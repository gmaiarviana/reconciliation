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daniel_macedo\Desktop\area_51\"/>
    </mc:Choice>
  </mc:AlternateContent>
  <xr:revisionPtr revIDLastSave="0" documentId="13_ncr:1_{5F0BF8C6-CD2C-416F-A85E-EAF99AF97905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unimed" sheetId="7" r:id="rId1"/>
    <sheet name="planos" sheetId="2" r:id="rId2"/>
    <sheet name="tabelas" sheetId="3" r:id="rId3"/>
  </sheets>
  <definedNames>
    <definedName name="_xlnm._FilterDatabase" localSheetId="0" hidden="1">unimed!$A$2:$WWS$57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4" i="7" l="1"/>
  <c r="AR5" i="7"/>
  <c r="AR6" i="7"/>
  <c r="AR7" i="7"/>
  <c r="AR8" i="7"/>
  <c r="AR9" i="7"/>
  <c r="AR10" i="7"/>
  <c r="AR11" i="7"/>
  <c r="AR17" i="7"/>
  <c r="AR26" i="7"/>
  <c r="AR28" i="7"/>
  <c r="AR29" i="7"/>
  <c r="AR30" i="7"/>
  <c r="AR31" i="7"/>
  <c r="AR32" i="7"/>
  <c r="AR33" i="7"/>
  <c r="AR34" i="7"/>
  <c r="AR35" i="7"/>
  <c r="AR36" i="7"/>
  <c r="AR37" i="7"/>
  <c r="AR38" i="7"/>
  <c r="AR39" i="7"/>
  <c r="AR40" i="7"/>
  <c r="AR41" i="7"/>
  <c r="AR42" i="7"/>
  <c r="AR43" i="7"/>
  <c r="AR44" i="7"/>
  <c r="AR45" i="7"/>
  <c r="AR46" i="7"/>
  <c r="AR47" i="7"/>
  <c r="AR48" i="7"/>
  <c r="AR49" i="7"/>
  <c r="AR50" i="7"/>
  <c r="AR51" i="7"/>
  <c r="AR52" i="7"/>
  <c r="AR53" i="7"/>
  <c r="AR54" i="7"/>
  <c r="AR55" i="7"/>
  <c r="AP12" i="7"/>
  <c r="AQ12" i="7" s="1"/>
  <c r="AP13" i="7"/>
  <c r="AQ13" i="7" s="1"/>
  <c r="AP14" i="7"/>
  <c r="AQ14" i="7" s="1"/>
  <c r="AP15" i="7"/>
  <c r="AQ15" i="7" s="1"/>
  <c r="AP16" i="7"/>
  <c r="AQ16" i="7" s="1"/>
  <c r="AP18" i="7"/>
  <c r="AQ18" i="7" s="1"/>
  <c r="AP19" i="7"/>
  <c r="AQ19" i="7" s="1"/>
  <c r="AP20" i="7"/>
  <c r="AQ20" i="7" s="1"/>
  <c r="AP21" i="7"/>
  <c r="AQ21" i="7" s="1"/>
  <c r="AP22" i="7"/>
  <c r="AQ22" i="7" s="1"/>
  <c r="AP23" i="7"/>
  <c r="AQ23" i="7" s="1"/>
  <c r="AP24" i="7"/>
  <c r="AQ24" i="7" s="1"/>
  <c r="AP25" i="7"/>
  <c r="AQ25" i="7" s="1"/>
  <c r="AP27" i="7"/>
  <c r="AQ27" i="7" s="1"/>
  <c r="AP41" i="7"/>
  <c r="AQ41" i="7" s="1"/>
  <c r="AO12" i="7"/>
  <c r="AO13" i="7"/>
  <c r="AO14" i="7"/>
  <c r="AO15" i="7"/>
  <c r="AO16" i="7"/>
  <c r="AO18" i="7"/>
  <c r="AO19" i="7"/>
  <c r="AO20" i="7"/>
  <c r="AO21" i="7"/>
  <c r="AO22" i="7"/>
  <c r="AO23" i="7"/>
  <c r="AO24" i="7"/>
  <c r="AO25" i="7"/>
  <c r="AO27" i="7"/>
  <c r="AO41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51" i="7"/>
  <c r="AN52" i="7"/>
  <c r="AN53" i="7"/>
  <c r="AN54" i="7"/>
  <c r="AN55" i="7"/>
  <c r="AO48" i="7" l="1"/>
  <c r="AP48" i="7" s="1"/>
  <c r="AQ48" i="7" s="1"/>
  <c r="AO55" i="7"/>
  <c r="AP55" i="7" s="1"/>
  <c r="AQ55" i="7" s="1"/>
  <c r="AO47" i="7"/>
  <c r="AP47" i="7" s="1"/>
  <c r="AQ47" i="7" s="1"/>
  <c r="AO39" i="7"/>
  <c r="AP39" i="7" s="1"/>
  <c r="AQ39" i="7" s="1"/>
  <c r="AO31" i="7"/>
  <c r="AP31" i="7" s="1"/>
  <c r="AQ31" i="7" s="1"/>
  <c r="AO7" i="7"/>
  <c r="AP7" i="7" s="1"/>
  <c r="AQ7" i="7" s="1"/>
  <c r="AO54" i="7"/>
  <c r="AP54" i="7" s="1"/>
  <c r="AQ54" i="7" s="1"/>
  <c r="AO46" i="7"/>
  <c r="AP46" i="7" s="1"/>
  <c r="AQ46" i="7" s="1"/>
  <c r="AO38" i="7"/>
  <c r="AP38" i="7" s="1"/>
  <c r="AQ38" i="7" s="1"/>
  <c r="AO30" i="7"/>
  <c r="AP30" i="7" s="1"/>
  <c r="AQ30" i="7" s="1"/>
  <c r="AO6" i="7"/>
  <c r="AP6" i="7" s="1"/>
  <c r="AQ6" i="7" s="1"/>
  <c r="AO8" i="7"/>
  <c r="AP8" i="7" s="1"/>
  <c r="AQ8" i="7" s="1"/>
  <c r="AO53" i="7"/>
  <c r="AP53" i="7" s="1"/>
  <c r="AQ53" i="7" s="1"/>
  <c r="AO45" i="7"/>
  <c r="AP45" i="7" s="1"/>
  <c r="AQ45" i="7" s="1"/>
  <c r="AO37" i="7"/>
  <c r="AP37" i="7" s="1"/>
  <c r="AQ37" i="7" s="1"/>
  <c r="AO29" i="7"/>
  <c r="AP29" i="7" s="1"/>
  <c r="AQ29" i="7" s="1"/>
  <c r="AO5" i="7"/>
  <c r="AP5" i="7" s="1"/>
  <c r="AQ5" i="7" s="1"/>
  <c r="AO40" i="7"/>
  <c r="AP40" i="7" s="1"/>
  <c r="AQ40" i="7" s="1"/>
  <c r="AO52" i="7"/>
  <c r="AP52" i="7" s="1"/>
  <c r="AQ52" i="7" s="1"/>
  <c r="AO44" i="7"/>
  <c r="AP44" i="7" s="1"/>
  <c r="AQ44" i="7" s="1"/>
  <c r="AO36" i="7"/>
  <c r="AP36" i="7" s="1"/>
  <c r="AQ36" i="7" s="1"/>
  <c r="AO28" i="7"/>
  <c r="AP28" i="7" s="1"/>
  <c r="AQ28" i="7" s="1"/>
  <c r="AO4" i="7"/>
  <c r="AP4" i="7" s="1"/>
  <c r="AQ4" i="7" s="1"/>
  <c r="AO51" i="7"/>
  <c r="AP51" i="7" s="1"/>
  <c r="AQ51" i="7" s="1"/>
  <c r="AO43" i="7"/>
  <c r="AP43" i="7" s="1"/>
  <c r="AQ43" i="7" s="1"/>
  <c r="AO35" i="7"/>
  <c r="AP35" i="7" s="1"/>
  <c r="AQ35" i="7" s="1"/>
  <c r="AO11" i="7"/>
  <c r="AP11" i="7" s="1"/>
  <c r="AQ11" i="7" s="1"/>
  <c r="AO32" i="7"/>
  <c r="AP32" i="7" s="1"/>
  <c r="AQ32" i="7" s="1"/>
  <c r="AO50" i="7"/>
  <c r="AP50" i="7" s="1"/>
  <c r="AQ50" i="7" s="1"/>
  <c r="AO42" i="7"/>
  <c r="AP42" i="7" s="1"/>
  <c r="AQ42" i="7" s="1"/>
  <c r="AO34" i="7"/>
  <c r="AP34" i="7" s="1"/>
  <c r="AQ34" i="7" s="1"/>
  <c r="AO26" i="7"/>
  <c r="AP26" i="7" s="1"/>
  <c r="AQ26" i="7" s="1"/>
  <c r="AO10" i="7"/>
  <c r="AP10" i="7" s="1"/>
  <c r="AQ10" i="7" s="1"/>
  <c r="AO49" i="7"/>
  <c r="AP49" i="7" s="1"/>
  <c r="AQ49" i="7" s="1"/>
  <c r="AO33" i="7"/>
  <c r="AP33" i="7" s="1"/>
  <c r="AQ33" i="7" s="1"/>
  <c r="AO17" i="7"/>
  <c r="AP17" i="7" s="1"/>
  <c r="AQ17" i="7" s="1"/>
  <c r="AO9" i="7"/>
  <c r="AP9" i="7" s="1"/>
  <c r="AQ9" i="7" s="1"/>
  <c r="AS16" i="7"/>
  <c r="AS20" i="7"/>
  <c r="AS22" i="7"/>
  <c r="AS13" i="7"/>
  <c r="AS15" i="7"/>
  <c r="AS21" i="7"/>
  <c r="AS18" i="7"/>
  <c r="AS19" i="7"/>
  <c r="AJ1" i="7" l="1"/>
  <c r="AR3" i="7" l="1"/>
  <c r="B41" i="2" l="1"/>
  <c r="B40" i="2"/>
  <c r="B39" i="2"/>
  <c r="B38" i="2"/>
  <c r="B37" i="2"/>
  <c r="B36" i="2"/>
  <c r="B35" i="2"/>
  <c r="B34" i="2"/>
  <c r="B31" i="2"/>
  <c r="B30" i="2"/>
  <c r="B29" i="2"/>
  <c r="B28" i="2"/>
  <c r="B27" i="2"/>
  <c r="B26" i="2"/>
  <c r="B25" i="2"/>
  <c r="B24" i="2"/>
  <c r="B21" i="2"/>
  <c r="B20" i="2"/>
  <c r="B19" i="2"/>
  <c r="B18" i="2"/>
  <c r="B17" i="2"/>
  <c r="B16" i="2"/>
  <c r="B15" i="2"/>
  <c r="B14" i="2"/>
  <c r="B11" i="2"/>
  <c r="B10" i="2"/>
  <c r="B9" i="2"/>
  <c r="B8" i="2"/>
  <c r="B7" i="2"/>
  <c r="B6" i="2"/>
  <c r="B5" i="2"/>
  <c r="B4" i="2"/>
  <c r="AS4" i="7" l="1"/>
  <c r="AS32" i="7"/>
  <c r="AS40" i="7"/>
  <c r="AS48" i="7"/>
  <c r="AS5" i="7"/>
  <c r="AS25" i="7"/>
  <c r="AS12" i="7"/>
  <c r="AS26" i="7"/>
  <c r="AS42" i="7"/>
  <c r="AS50" i="7"/>
  <c r="AS7" i="7"/>
  <c r="AS27" i="7"/>
  <c r="AS35" i="7"/>
  <c r="AS43" i="7"/>
  <c r="AS28" i="7"/>
  <c r="AS44" i="7"/>
  <c r="AS52" i="7"/>
  <c r="AS17" i="7"/>
  <c r="AS29" i="7"/>
  <c r="AS53" i="7"/>
  <c r="AS14" i="7"/>
  <c r="AS30" i="7"/>
  <c r="AS38" i="7"/>
  <c r="AS54" i="7"/>
  <c r="AS47" i="7"/>
  <c r="AS23" i="7"/>
  <c r="AN3" i="7"/>
  <c r="AS11" i="7" l="1"/>
  <c r="AO3" i="7"/>
  <c r="AO1" i="7" s="1"/>
  <c r="AS8" i="7" l="1"/>
  <c r="AS31" i="7"/>
  <c r="AS51" i="7"/>
  <c r="AS34" i="7"/>
  <c r="AS33" i="7"/>
  <c r="AS46" i="7"/>
  <c r="AS55" i="7"/>
  <c r="AS9" i="7"/>
  <c r="AS24" i="7"/>
  <c r="AS39" i="7"/>
  <c r="AS49" i="7"/>
  <c r="AS10" i="7"/>
  <c r="AS36" i="7"/>
  <c r="AS37" i="7"/>
  <c r="AS41" i="7"/>
  <c r="AS45" i="7"/>
  <c r="AS6" i="7"/>
  <c r="AP3" i="7"/>
  <c r="AQ3" i="7" l="1"/>
  <c r="AS3" i="7" l="1"/>
  <c r="AP1" i="7" l="1"/>
  <c r="AQ1" i="7" l="1"/>
  <c r="AR1" i="7" s="1"/>
</calcChain>
</file>

<file path=xl/sharedStrings.xml><?xml version="1.0" encoding="utf-8"?>
<sst xmlns="http://schemas.openxmlformats.org/spreadsheetml/2006/main" count="708" uniqueCount="169">
  <si>
    <t>Carteira</t>
  </si>
  <si>
    <t>Apartamento sem coparticipação</t>
  </si>
  <si>
    <t>Apartamento com coparticipação</t>
  </si>
  <si>
    <t>Enfermaria sem coparticipação</t>
  </si>
  <si>
    <t>Enfermaria com coparticipação</t>
  </si>
  <si>
    <t>Faixa Etária</t>
  </si>
  <si>
    <t>Valor individual</t>
  </si>
  <si>
    <t>Tipo Plano</t>
  </si>
  <si>
    <t>Idade</t>
  </si>
  <si>
    <t>TABELA DESCONTO UNIMED</t>
  </si>
  <si>
    <t>FAIXA SALARIAL</t>
  </si>
  <si>
    <t>ATLANTICO</t>
  </si>
  <si>
    <t>COLABORADOR</t>
  </si>
  <si>
    <t>Plano Base Atlântico</t>
  </si>
  <si>
    <t>Custo</t>
  </si>
  <si>
    <t>D</t>
  </si>
  <si>
    <t>T</t>
  </si>
  <si>
    <t>Dep</t>
  </si>
  <si>
    <t>Nome</t>
  </si>
  <si>
    <t>Plano</t>
  </si>
  <si>
    <t>M11</t>
  </si>
  <si>
    <t>M51</t>
  </si>
  <si>
    <t>Titular</t>
  </si>
  <si>
    <t>Fam.</t>
  </si>
  <si>
    <t>Data Nascimento</t>
  </si>
  <si>
    <t>CPF</t>
  </si>
  <si>
    <t>Data Inclusão</t>
  </si>
  <si>
    <t>Parentesco</t>
  </si>
  <si>
    <t>Verba</t>
  </si>
  <si>
    <t>Qt</t>
  </si>
  <si>
    <t>Valor</t>
  </si>
  <si>
    <t>Total</t>
  </si>
  <si>
    <t>TITULAR</t>
  </si>
  <si>
    <t>ESPOSO(A)</t>
  </si>
  <si>
    <t>M52</t>
  </si>
  <si>
    <t>FILHO(A)</t>
  </si>
  <si>
    <t>OUTROS</t>
  </si>
  <si>
    <t>COMPANHEIRO(A)</t>
  </si>
  <si>
    <t>M12</t>
  </si>
  <si>
    <t>CPF Titular</t>
  </si>
  <si>
    <t>Salário Titular</t>
  </si>
  <si>
    <t>CUSTO ATLANTICO</t>
  </si>
  <si>
    <t>DESCONTO COLABORADOR</t>
  </si>
  <si>
    <t>Matricula Titular</t>
  </si>
  <si>
    <t>293</t>
  </si>
  <si>
    <t>10/03/1995</t>
  </si>
  <si>
    <t>26</t>
  </si>
  <si>
    <t>28/10/2020</t>
  </si>
  <si>
    <t>MENSALIDADE SAUDE-14 - MULTIPLAN CE ENFERMARIA SEM COPART COM OBST</t>
  </si>
  <si>
    <t>1</t>
  </si>
  <si>
    <t>27/09/1996</t>
  </si>
  <si>
    <t>24</t>
  </si>
  <si>
    <t>15/02/2021</t>
  </si>
  <si>
    <t>9</t>
  </si>
  <si>
    <t>15/12/1981</t>
  </si>
  <si>
    <t>15/01/2020</t>
  </si>
  <si>
    <t>MENSALIDADE SAUDE-152</t>
  </si>
  <si>
    <t>27/01/1981</t>
  </si>
  <si>
    <t>22/10/2012</t>
  </si>
  <si>
    <t>23/11/2014</t>
  </si>
  <si>
    <t>29</t>
  </si>
  <si>
    <t>28</t>
  </si>
  <si>
    <t>7</t>
  </si>
  <si>
    <t>138</t>
  </si>
  <si>
    <t>08/08/1983</t>
  </si>
  <si>
    <t>13</t>
  </si>
  <si>
    <t>45</t>
  </si>
  <si>
    <t>03/04/1991</t>
  </si>
  <si>
    <t>30</t>
  </si>
  <si>
    <t>21/09/1978</t>
  </si>
  <si>
    <t>42</t>
  </si>
  <si>
    <t>MENSALIDADE SAUDE-15 - MULTIPLAN CE APARTAMENTO SEM COPART COM OBST</t>
  </si>
  <si>
    <t>20/10/2010</t>
  </si>
  <si>
    <t>10</t>
  </si>
  <si>
    <t>25/04/2007</t>
  </si>
  <si>
    <t>14</t>
  </si>
  <si>
    <t>44</t>
  </si>
  <si>
    <t>25</t>
  </si>
  <si>
    <t>12</t>
  </si>
  <si>
    <t>35</t>
  </si>
  <si>
    <t>34</t>
  </si>
  <si>
    <t>2</t>
  </si>
  <si>
    <t>33</t>
  </si>
  <si>
    <t>3</t>
  </si>
  <si>
    <t>32</t>
  </si>
  <si>
    <t>38</t>
  </si>
  <si>
    <t>15</t>
  </si>
  <si>
    <t>11</t>
  </si>
  <si>
    <t>FATOR MODERADOR SAUDE-152</t>
  </si>
  <si>
    <t>MENSALIDADE SAUDE-150</t>
  </si>
  <si>
    <t>47</t>
  </si>
  <si>
    <t>FATOR MODERADOR SAUDE-150</t>
  </si>
  <si>
    <t>18</t>
  </si>
  <si>
    <t>17</t>
  </si>
  <si>
    <t>Total Contrato:</t>
  </si>
  <si>
    <t>540</t>
  </si>
  <si>
    <t>27/12/1999</t>
  </si>
  <si>
    <t>16/06/2021</t>
  </si>
  <si>
    <t>01/07/1992</t>
  </si>
  <si>
    <t>677</t>
  </si>
  <si>
    <t>24/03/1991</t>
  </si>
  <si>
    <t>26/10/2021</t>
  </si>
  <si>
    <t>694</t>
  </si>
  <si>
    <t>01/10/1987</t>
  </si>
  <si>
    <t>26/11/2021</t>
  </si>
  <si>
    <t>21/01/2022</t>
  </si>
  <si>
    <t>703</t>
  </si>
  <si>
    <t>14/03/1987</t>
  </si>
  <si>
    <t>21/12/2021</t>
  </si>
  <si>
    <t>715</t>
  </si>
  <si>
    <t>02/04/1991</t>
  </si>
  <si>
    <t>04/10/1992</t>
  </si>
  <si>
    <t>712</t>
  </si>
  <si>
    <t>27/06/1980</t>
  </si>
  <si>
    <t>14/12/2011</t>
  </si>
  <si>
    <t>13/07/1981</t>
  </si>
  <si>
    <t>20/02/2008</t>
  </si>
  <si>
    <t>30/11/2015</t>
  </si>
  <si>
    <t>30/05/2011</t>
  </si>
  <si>
    <t>07/09/2013</t>
  </si>
  <si>
    <t>07/08/2008</t>
  </si>
  <si>
    <t>06/01/1993</t>
  </si>
  <si>
    <t>764</t>
  </si>
  <si>
    <t>12/05/1990</t>
  </si>
  <si>
    <t>26/02/2022</t>
  </si>
  <si>
    <t>25/06/1999</t>
  </si>
  <si>
    <t>04/05/2022</t>
  </si>
  <si>
    <t>827</t>
  </si>
  <si>
    <t>24/08/1992</t>
  </si>
  <si>
    <t>23/05/2022</t>
  </si>
  <si>
    <t>28/03/1997</t>
  </si>
  <si>
    <t>21/11/2022</t>
  </si>
  <si>
    <t>925</t>
  </si>
  <si>
    <t>09/05/2000</t>
  </si>
  <si>
    <t>Total Empresa:</t>
  </si>
  <si>
    <t>17/08/2023</t>
  </si>
  <si>
    <t>06/09/2023</t>
  </si>
  <si>
    <t>01/11/2023</t>
  </si>
  <si>
    <t>10/10/2023</t>
  </si>
  <si>
    <t>18/10/2023</t>
  </si>
  <si>
    <t>Código</t>
  </si>
  <si>
    <t>1017</t>
  </si>
  <si>
    <t>14/07/2001</t>
  </si>
  <si>
    <t>14/10/2024</t>
  </si>
  <si>
    <t>15/10/2024</t>
  </si>
  <si>
    <t>28/10/2024</t>
  </si>
  <si>
    <t>1034</t>
  </si>
  <si>
    <t>09/07/1983</t>
  </si>
  <si>
    <t>10/02/2025</t>
  </si>
  <si>
    <t>11/12/2022</t>
  </si>
  <si>
    <t>01/01/2026</t>
  </si>
  <si>
    <t>JOAO</t>
  </si>
  <si>
    <t>MARIA</t>
  </si>
  <si>
    <t>000.000.000-00</t>
  </si>
  <si>
    <t>Colaborador 5</t>
  </si>
  <si>
    <t>Colaborador 1</t>
  </si>
  <si>
    <t>Colaborador 2</t>
  </si>
  <si>
    <t>Colaborador 3</t>
  </si>
  <si>
    <t>Colaborador 4</t>
  </si>
  <si>
    <t>Colaborador 6</t>
  </si>
  <si>
    <t>Colaborador 7</t>
  </si>
  <si>
    <t>Colaborador 8</t>
  </si>
  <si>
    <t>Colaborador 9</t>
  </si>
  <si>
    <t>Colaborador 10</t>
  </si>
  <si>
    <t>Colaborador 11</t>
  </si>
  <si>
    <t>Colaborador 12</t>
  </si>
  <si>
    <t>Colaborador 13</t>
  </si>
  <si>
    <t>Colaborador 14</t>
  </si>
  <si>
    <t>Colaborador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</si>
</sst>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&quot;R$&quot;\ 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Montserrat"/>
    </font>
    <font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color indexed="72"/>
      <name val="sansserif"/>
    </font>
    <font>
      <sz val="6"/>
      <name val="sansserif"/>
    </font>
    <font>
      <sz val="6"/>
      <color theme="1"/>
      <name val="sansserif"/>
    </font>
    <font>
      <b/>
      <sz val="7"/>
      <color indexed="8"/>
      <name val="SansSerif"/>
    </font>
    <font>
      <sz val="6"/>
      <color indexed="8"/>
      <name val="SansSerif"/>
    </font>
    <font>
      <sz val="7"/>
      <color indexed="8"/>
      <name val="SansSerif"/>
    </font>
    <font>
      <b/>
      <sz val="6"/>
      <color indexed="8"/>
      <name val="SansSerif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SansSerif"/>
    </font>
    <font>
      <sz val="6"/>
      <color theme="0"/>
      <name val="sansserif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D752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D7524"/>
      </bottom>
      <diagonal/>
    </border>
    <border>
      <left style="dotted">
        <color indexed="17"/>
      </left>
      <right/>
      <top style="dotted">
        <color indexed="17"/>
      </top>
      <bottom style="dotted">
        <color indexed="17"/>
      </bottom>
      <diagonal/>
    </border>
    <border>
      <left style="dotted">
        <color indexed="17"/>
      </left>
      <right style="dotted">
        <color indexed="17"/>
      </right>
      <top style="dotted">
        <color indexed="17"/>
      </top>
      <bottom style="dotted">
        <color indexed="1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</cellStyleXfs>
  <cellXfs count="48">
    <xf numFmtId="0" fontId="0" fillId="0" borderId="0" xfId="0"/>
    <xf numFmtId="1" fontId="3" fillId="0" borderId="0" xfId="1" applyNumberFormat="1" applyFont="1" applyAlignment="1">
      <alignment horizontal="center"/>
    </xf>
    <xf numFmtId="1" fontId="3" fillId="0" borderId="1" xfId="1" applyNumberFormat="1" applyFont="1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43" fontId="3" fillId="0" borderId="0" xfId="1" applyFont="1" applyAlignment="1">
      <alignment horizontal="center"/>
    </xf>
    <xf numFmtId="43" fontId="3" fillId="0" borderId="1" xfId="1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43" fontId="3" fillId="0" borderId="0" xfId="1" applyFont="1" applyFill="1" applyBorder="1" applyAlignment="1">
      <alignment horizontal="center"/>
    </xf>
    <xf numFmtId="9" fontId="0" fillId="0" borderId="0" xfId="2" applyFont="1"/>
    <xf numFmtId="43" fontId="6" fillId="2" borderId="0" xfId="1" applyFont="1" applyFill="1" applyBorder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0" fontId="5" fillId="0" borderId="0" xfId="0" applyFont="1" applyAlignment="1">
      <alignment horizontal="right" vertical="center" wrapText="1"/>
    </xf>
    <xf numFmtId="165" fontId="7" fillId="0" borderId="0" xfId="0" applyNumberFormat="1" applyFont="1"/>
    <xf numFmtId="165" fontId="5" fillId="6" borderId="0" xfId="0" applyNumberFormat="1" applyFont="1" applyFill="1" applyAlignment="1">
      <alignment horizontal="right" vertical="center" wrapText="1"/>
    </xf>
    <xf numFmtId="165" fontId="7" fillId="5" borderId="0" xfId="0" applyNumberFormat="1" applyFont="1" applyFill="1"/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4" fontId="12" fillId="9" borderId="4" xfId="0" applyNumberFormat="1" applyFont="1" applyFill="1" applyBorder="1" applyAlignment="1">
      <alignment horizontal="center" vertical="center"/>
    </xf>
    <xf numFmtId="9" fontId="13" fillId="9" borderId="4" xfId="2" applyFont="1" applyFill="1" applyBorder="1" applyAlignment="1">
      <alignment horizontal="center" vertical="center"/>
    </xf>
    <xf numFmtId="9" fontId="12" fillId="9" borderId="4" xfId="2" applyFont="1" applyFill="1" applyBorder="1" applyAlignment="1">
      <alignment horizontal="center" vertical="center"/>
    </xf>
    <xf numFmtId="43" fontId="0" fillId="0" borderId="0" xfId="1" applyFont="1"/>
    <xf numFmtId="43" fontId="0" fillId="0" borderId="0" xfId="0" applyNumberFormat="1"/>
    <xf numFmtId="43" fontId="14" fillId="0" borderId="0" xfId="0" applyNumberFormat="1" applyFont="1"/>
    <xf numFmtId="0" fontId="9" fillId="0" borderId="0" xfId="0" applyFont="1" applyAlignment="1">
      <alignment horizontal="right" vertical="center" wrapText="1"/>
    </xf>
    <xf numFmtId="0" fontId="9" fillId="7" borderId="0" xfId="0" applyFont="1" applyFill="1" applyAlignment="1">
      <alignment horizontal="right" vertical="center" wrapText="1"/>
    </xf>
    <xf numFmtId="4" fontId="9" fillId="7" borderId="0" xfId="0" applyNumberFormat="1" applyFont="1" applyFill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7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vertical="top" wrapText="1"/>
    </xf>
    <xf numFmtId="10" fontId="0" fillId="0" borderId="0" xfId="2" applyNumberFormat="1" applyFont="1"/>
    <xf numFmtId="43" fontId="16" fillId="11" borderId="0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right" vertical="center" wrapText="1"/>
    </xf>
    <xf numFmtId="4" fontId="11" fillId="8" borderId="0" xfId="0" applyNumberFormat="1" applyFont="1" applyFill="1" applyAlignment="1">
      <alignment horizontal="right" vertical="center" wrapText="1"/>
    </xf>
    <xf numFmtId="0" fontId="11" fillId="8" borderId="0" xfId="0" applyFont="1" applyFill="1" applyAlignment="1">
      <alignment horizontal="right" vertical="center" wrapText="1"/>
    </xf>
    <xf numFmtId="0" fontId="8" fillId="10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right" vertical="center" wrapText="1"/>
    </xf>
    <xf numFmtId="0" fontId="11" fillId="8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</cellXfs>
  <cellStyles count="5">
    <cellStyle name="Normal" xfId="0" builtinId="0"/>
    <cellStyle name="Normal 5" xfId="4" xr:uid="{00000000-0005-0000-0000-000001000000}"/>
    <cellStyle name="Porcentagem" xfId="2" builtinId="5"/>
    <cellStyle name="Separador de milhares 4" xfId="3" xr:uid="{00000000-0005-0000-0000-000003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T57"/>
  <sheetViews>
    <sheetView tabSelected="1" zoomScale="110" zoomScaleNormal="110" workbookViewId="0">
      <selection activeCell="AL56" sqref="AL56"/>
    </sheetView>
  </sheetViews>
  <sheetFormatPr defaultRowHeight="8.25"/>
  <cols>
    <col min="1" max="1" width="20.42578125" style="10" bestFit="1" customWidth="1"/>
    <col min="2" max="3" width="3.85546875" style="10" customWidth="1"/>
    <col min="4" max="4" width="6.140625" style="10" customWidth="1"/>
    <col min="5" max="5" width="7.140625" style="10" customWidth="1"/>
    <col min="6" max="6" width="13.42578125" style="10" customWidth="1"/>
    <col min="7" max="7" width="3.5703125" style="10" customWidth="1"/>
    <col min="8" max="8" width="5.5703125" style="10" customWidth="1"/>
    <col min="9" max="9" width="20.5703125" style="10" customWidth="1"/>
    <col min="10" max="10" width="10" style="10" customWidth="1"/>
    <col min="11" max="11" width="4.5703125" style="10" customWidth="1"/>
    <col min="12" max="12" width="11.140625" style="10" customWidth="1"/>
    <col min="13" max="13" width="3.5703125" style="10" customWidth="1"/>
    <col min="14" max="14" width="10" style="10" hidden="1" customWidth="1"/>
    <col min="15" max="15" width="5.140625" style="10" hidden="1" customWidth="1"/>
    <col min="16" max="16" width="9.85546875" style="10" hidden="1" customWidth="1"/>
    <col min="17" max="17" width="7.5703125" style="10" hidden="1" customWidth="1"/>
    <col min="18" max="18" width="4.5703125" style="10" hidden="1" customWidth="1"/>
    <col min="19" max="19" width="8.5703125" style="10" hidden="1" customWidth="1"/>
    <col min="20" max="20" width="7.85546875" style="10" hidden="1" customWidth="1"/>
    <col min="21" max="21" width="3" style="10" hidden="1" customWidth="1"/>
    <col min="22" max="22" width="10.140625" style="10" hidden="1" customWidth="1"/>
    <col min="23" max="23" width="11.42578125" style="10" hidden="1" customWidth="1"/>
    <col min="24" max="24" width="3.5703125" style="10" hidden="1" customWidth="1"/>
    <col min="25" max="25" width="2.42578125" style="10" hidden="1" customWidth="1"/>
    <col min="26" max="26" width="8.42578125" style="10" hidden="1" customWidth="1"/>
    <col min="27" max="27" width="1.140625" style="10" hidden="1" customWidth="1"/>
    <col min="28" max="28" width="1.42578125" style="10" hidden="1" customWidth="1"/>
    <col min="29" max="29" width="22.140625" style="10" hidden="1" customWidth="1"/>
    <col min="30" max="31" width="0.42578125" style="10" hidden="1" customWidth="1"/>
    <col min="32" max="32" width="12.42578125" style="10" hidden="1" customWidth="1"/>
    <col min="33" max="34" width="8.42578125" style="10" hidden="1" customWidth="1"/>
    <col min="35" max="35" width="9.5703125" style="10" hidden="1" customWidth="1"/>
    <col min="36" max="36" width="9.5703125" style="13" hidden="1" customWidth="1"/>
    <col min="37" max="39" width="9.5703125" style="11" customWidth="1"/>
    <col min="40" max="42" width="8.85546875" style="10" customWidth="1"/>
    <col min="43" max="43" width="10.5703125" style="10" customWidth="1"/>
    <col min="44" max="44" width="11.85546875" style="10" bestFit="1" customWidth="1"/>
    <col min="45" max="257" width="9.140625" style="10"/>
    <col min="258" max="258" width="4.42578125" style="10" bestFit="1" customWidth="1"/>
    <col min="259" max="260" width="3.85546875" style="10" bestFit="1" customWidth="1"/>
    <col min="261" max="261" width="8.42578125" style="10" bestFit="1" customWidth="1"/>
    <col min="262" max="262" width="5" style="10" bestFit="1" customWidth="1"/>
    <col min="263" max="264" width="3.5703125" style="10" bestFit="1" customWidth="1"/>
    <col min="265" max="265" width="5.5703125" style="10" bestFit="1" customWidth="1"/>
    <col min="266" max="266" width="5.140625" style="10" bestFit="1" customWidth="1"/>
    <col min="267" max="267" width="7.5703125" style="10" bestFit="1" customWidth="1"/>
    <col min="268" max="268" width="7.42578125" style="10" bestFit="1" customWidth="1"/>
    <col min="269" max="269" width="5.5703125" style="10" bestFit="1" customWidth="1"/>
    <col min="270" max="270" width="4.5703125" style="10" bestFit="1" customWidth="1"/>
    <col min="271" max="271" width="1.5703125" style="10" bestFit="1" customWidth="1"/>
    <col min="272" max="272" width="3.5703125" style="10" bestFit="1" customWidth="1"/>
    <col min="273" max="273" width="4.140625" style="10" bestFit="1" customWidth="1"/>
    <col min="274" max="274" width="5.140625" style="10" bestFit="1" customWidth="1"/>
    <col min="275" max="275" width="2.140625" style="10" bestFit="1" customWidth="1"/>
    <col min="276" max="276" width="3" style="10" bestFit="1" customWidth="1"/>
    <col min="277" max="277" width="4.5703125" style="10" bestFit="1" customWidth="1"/>
    <col min="278" max="278" width="0.85546875" style="10" bestFit="1" customWidth="1"/>
    <col min="279" max="279" width="7.5703125" style="10" bestFit="1" customWidth="1"/>
    <col min="280" max="280" width="1.5703125" style="10" bestFit="1" customWidth="1"/>
    <col min="281" max="281" width="2.140625" style="10" bestFit="1" customWidth="1"/>
    <col min="282" max="282" width="7.42578125" style="10" bestFit="1" customWidth="1"/>
    <col min="283" max="283" width="0.85546875" style="10" bestFit="1" customWidth="1"/>
    <col min="284" max="284" width="2.42578125" style="10" bestFit="1" customWidth="1"/>
    <col min="285" max="285" width="0.85546875" style="10" bestFit="1" customWidth="1"/>
    <col min="286" max="286" width="7.42578125" style="10" bestFit="1" customWidth="1"/>
    <col min="287" max="287" width="10.42578125" style="10" bestFit="1" customWidth="1"/>
    <col min="288" max="288" width="0.42578125" style="10" bestFit="1" customWidth="1"/>
    <col min="289" max="289" width="3.42578125" style="10" bestFit="1" customWidth="1"/>
    <col min="290" max="290" width="1.5703125" style="10" bestFit="1" customWidth="1"/>
    <col min="291" max="291" width="2.85546875" style="10" bestFit="1" customWidth="1"/>
    <col min="292" max="292" width="5.85546875" style="10" bestFit="1" customWidth="1"/>
    <col min="293" max="293" width="9.85546875" style="10" bestFit="1" customWidth="1"/>
    <col min="294" max="513" width="9.140625" style="10"/>
    <col min="514" max="514" width="4.42578125" style="10" bestFit="1" customWidth="1"/>
    <col min="515" max="516" width="3.85546875" style="10" bestFit="1" customWidth="1"/>
    <col min="517" max="517" width="8.42578125" style="10" bestFit="1" customWidth="1"/>
    <col min="518" max="518" width="5" style="10" bestFit="1" customWidth="1"/>
    <col min="519" max="520" width="3.5703125" style="10" bestFit="1" customWidth="1"/>
    <col min="521" max="521" width="5.5703125" style="10" bestFit="1" customWidth="1"/>
    <col min="522" max="522" width="5.140625" style="10" bestFit="1" customWidth="1"/>
    <col min="523" max="523" width="7.5703125" style="10" bestFit="1" customWidth="1"/>
    <col min="524" max="524" width="7.42578125" style="10" bestFit="1" customWidth="1"/>
    <col min="525" max="525" width="5.5703125" style="10" bestFit="1" customWidth="1"/>
    <col min="526" max="526" width="4.5703125" style="10" bestFit="1" customWidth="1"/>
    <col min="527" max="527" width="1.5703125" style="10" bestFit="1" customWidth="1"/>
    <col min="528" max="528" width="3.5703125" style="10" bestFit="1" customWidth="1"/>
    <col min="529" max="529" width="4.140625" style="10" bestFit="1" customWidth="1"/>
    <col min="530" max="530" width="5.140625" style="10" bestFit="1" customWidth="1"/>
    <col min="531" max="531" width="2.140625" style="10" bestFit="1" customWidth="1"/>
    <col min="532" max="532" width="3" style="10" bestFit="1" customWidth="1"/>
    <col min="533" max="533" width="4.5703125" style="10" bestFit="1" customWidth="1"/>
    <col min="534" max="534" width="0.85546875" style="10" bestFit="1" customWidth="1"/>
    <col min="535" max="535" width="7.5703125" style="10" bestFit="1" customWidth="1"/>
    <col min="536" max="536" width="1.5703125" style="10" bestFit="1" customWidth="1"/>
    <col min="537" max="537" width="2.140625" style="10" bestFit="1" customWidth="1"/>
    <col min="538" max="538" width="7.42578125" style="10" bestFit="1" customWidth="1"/>
    <col min="539" max="539" width="0.85546875" style="10" bestFit="1" customWidth="1"/>
    <col min="540" max="540" width="2.42578125" style="10" bestFit="1" customWidth="1"/>
    <col min="541" max="541" width="0.85546875" style="10" bestFit="1" customWidth="1"/>
    <col min="542" max="542" width="7.42578125" style="10" bestFit="1" customWidth="1"/>
    <col min="543" max="543" width="10.42578125" style="10" bestFit="1" customWidth="1"/>
    <col min="544" max="544" width="0.42578125" style="10" bestFit="1" customWidth="1"/>
    <col min="545" max="545" width="3.42578125" style="10" bestFit="1" customWidth="1"/>
    <col min="546" max="546" width="1.5703125" style="10" bestFit="1" customWidth="1"/>
    <col min="547" max="547" width="2.85546875" style="10" bestFit="1" customWidth="1"/>
    <col min="548" max="548" width="5.85546875" style="10" bestFit="1" customWidth="1"/>
    <col min="549" max="549" width="9.85546875" style="10" bestFit="1" customWidth="1"/>
    <col min="550" max="769" width="9.140625" style="10"/>
    <col min="770" max="770" width="4.42578125" style="10" bestFit="1" customWidth="1"/>
    <col min="771" max="772" width="3.85546875" style="10" bestFit="1" customWidth="1"/>
    <col min="773" max="773" width="8.42578125" style="10" bestFit="1" customWidth="1"/>
    <col min="774" max="774" width="5" style="10" bestFit="1" customWidth="1"/>
    <col min="775" max="776" width="3.5703125" style="10" bestFit="1" customWidth="1"/>
    <col min="777" max="777" width="5.5703125" style="10" bestFit="1" customWidth="1"/>
    <col min="778" max="778" width="5.140625" style="10" bestFit="1" customWidth="1"/>
    <col min="779" max="779" width="7.5703125" style="10" bestFit="1" customWidth="1"/>
    <col min="780" max="780" width="7.42578125" style="10" bestFit="1" customWidth="1"/>
    <col min="781" max="781" width="5.5703125" style="10" bestFit="1" customWidth="1"/>
    <col min="782" max="782" width="4.5703125" style="10" bestFit="1" customWidth="1"/>
    <col min="783" max="783" width="1.5703125" style="10" bestFit="1" customWidth="1"/>
    <col min="784" max="784" width="3.5703125" style="10" bestFit="1" customWidth="1"/>
    <col min="785" max="785" width="4.140625" style="10" bestFit="1" customWidth="1"/>
    <col min="786" max="786" width="5.140625" style="10" bestFit="1" customWidth="1"/>
    <col min="787" max="787" width="2.140625" style="10" bestFit="1" customWidth="1"/>
    <col min="788" max="788" width="3" style="10" bestFit="1" customWidth="1"/>
    <col min="789" max="789" width="4.5703125" style="10" bestFit="1" customWidth="1"/>
    <col min="790" max="790" width="0.85546875" style="10" bestFit="1" customWidth="1"/>
    <col min="791" max="791" width="7.5703125" style="10" bestFit="1" customWidth="1"/>
    <col min="792" max="792" width="1.5703125" style="10" bestFit="1" customWidth="1"/>
    <col min="793" max="793" width="2.140625" style="10" bestFit="1" customWidth="1"/>
    <col min="794" max="794" width="7.42578125" style="10" bestFit="1" customWidth="1"/>
    <col min="795" max="795" width="0.85546875" style="10" bestFit="1" customWidth="1"/>
    <col min="796" max="796" width="2.42578125" style="10" bestFit="1" customWidth="1"/>
    <col min="797" max="797" width="0.85546875" style="10" bestFit="1" customWidth="1"/>
    <col min="798" max="798" width="7.42578125" style="10" bestFit="1" customWidth="1"/>
    <col min="799" max="799" width="10.42578125" style="10" bestFit="1" customWidth="1"/>
    <col min="800" max="800" width="0.42578125" style="10" bestFit="1" customWidth="1"/>
    <col min="801" max="801" width="3.42578125" style="10" bestFit="1" customWidth="1"/>
    <col min="802" max="802" width="1.5703125" style="10" bestFit="1" customWidth="1"/>
    <col min="803" max="803" width="2.85546875" style="10" bestFit="1" customWidth="1"/>
    <col min="804" max="804" width="5.85546875" style="10" bestFit="1" customWidth="1"/>
    <col min="805" max="805" width="9.85546875" style="10" bestFit="1" customWidth="1"/>
    <col min="806" max="1025" width="9.140625" style="10"/>
    <col min="1026" max="1026" width="4.42578125" style="10" bestFit="1" customWidth="1"/>
    <col min="1027" max="1028" width="3.85546875" style="10" bestFit="1" customWidth="1"/>
    <col min="1029" max="1029" width="8.42578125" style="10" bestFit="1" customWidth="1"/>
    <col min="1030" max="1030" width="5" style="10" bestFit="1" customWidth="1"/>
    <col min="1031" max="1032" width="3.5703125" style="10" bestFit="1" customWidth="1"/>
    <col min="1033" max="1033" width="5.5703125" style="10" bestFit="1" customWidth="1"/>
    <col min="1034" max="1034" width="5.140625" style="10" bestFit="1" customWidth="1"/>
    <col min="1035" max="1035" width="7.5703125" style="10" bestFit="1" customWidth="1"/>
    <col min="1036" max="1036" width="7.42578125" style="10" bestFit="1" customWidth="1"/>
    <col min="1037" max="1037" width="5.5703125" style="10" bestFit="1" customWidth="1"/>
    <col min="1038" max="1038" width="4.5703125" style="10" bestFit="1" customWidth="1"/>
    <col min="1039" max="1039" width="1.5703125" style="10" bestFit="1" customWidth="1"/>
    <col min="1040" max="1040" width="3.5703125" style="10" bestFit="1" customWidth="1"/>
    <col min="1041" max="1041" width="4.140625" style="10" bestFit="1" customWidth="1"/>
    <col min="1042" max="1042" width="5.140625" style="10" bestFit="1" customWidth="1"/>
    <col min="1043" max="1043" width="2.140625" style="10" bestFit="1" customWidth="1"/>
    <col min="1044" max="1044" width="3" style="10" bestFit="1" customWidth="1"/>
    <col min="1045" max="1045" width="4.5703125" style="10" bestFit="1" customWidth="1"/>
    <col min="1046" max="1046" width="0.85546875" style="10" bestFit="1" customWidth="1"/>
    <col min="1047" max="1047" width="7.5703125" style="10" bestFit="1" customWidth="1"/>
    <col min="1048" max="1048" width="1.5703125" style="10" bestFit="1" customWidth="1"/>
    <col min="1049" max="1049" width="2.140625" style="10" bestFit="1" customWidth="1"/>
    <col min="1050" max="1050" width="7.42578125" style="10" bestFit="1" customWidth="1"/>
    <col min="1051" max="1051" width="0.85546875" style="10" bestFit="1" customWidth="1"/>
    <col min="1052" max="1052" width="2.42578125" style="10" bestFit="1" customWidth="1"/>
    <col min="1053" max="1053" width="0.85546875" style="10" bestFit="1" customWidth="1"/>
    <col min="1054" max="1054" width="7.42578125" style="10" bestFit="1" customWidth="1"/>
    <col min="1055" max="1055" width="10.42578125" style="10" bestFit="1" customWidth="1"/>
    <col min="1056" max="1056" width="0.42578125" style="10" bestFit="1" customWidth="1"/>
    <col min="1057" max="1057" width="3.42578125" style="10" bestFit="1" customWidth="1"/>
    <col min="1058" max="1058" width="1.5703125" style="10" bestFit="1" customWidth="1"/>
    <col min="1059" max="1059" width="2.85546875" style="10" bestFit="1" customWidth="1"/>
    <col min="1060" max="1060" width="5.85546875" style="10" bestFit="1" customWidth="1"/>
    <col min="1061" max="1061" width="9.85546875" style="10" bestFit="1" customWidth="1"/>
    <col min="1062" max="1281" width="9.140625" style="10"/>
    <col min="1282" max="1282" width="4.42578125" style="10" bestFit="1" customWidth="1"/>
    <col min="1283" max="1284" width="3.85546875" style="10" bestFit="1" customWidth="1"/>
    <col min="1285" max="1285" width="8.42578125" style="10" bestFit="1" customWidth="1"/>
    <col min="1286" max="1286" width="5" style="10" bestFit="1" customWidth="1"/>
    <col min="1287" max="1288" width="3.5703125" style="10" bestFit="1" customWidth="1"/>
    <col min="1289" max="1289" width="5.5703125" style="10" bestFit="1" customWidth="1"/>
    <col min="1290" max="1290" width="5.140625" style="10" bestFit="1" customWidth="1"/>
    <col min="1291" max="1291" width="7.5703125" style="10" bestFit="1" customWidth="1"/>
    <col min="1292" max="1292" width="7.42578125" style="10" bestFit="1" customWidth="1"/>
    <col min="1293" max="1293" width="5.5703125" style="10" bestFit="1" customWidth="1"/>
    <col min="1294" max="1294" width="4.5703125" style="10" bestFit="1" customWidth="1"/>
    <col min="1295" max="1295" width="1.5703125" style="10" bestFit="1" customWidth="1"/>
    <col min="1296" max="1296" width="3.5703125" style="10" bestFit="1" customWidth="1"/>
    <col min="1297" max="1297" width="4.140625" style="10" bestFit="1" customWidth="1"/>
    <col min="1298" max="1298" width="5.140625" style="10" bestFit="1" customWidth="1"/>
    <col min="1299" max="1299" width="2.140625" style="10" bestFit="1" customWidth="1"/>
    <col min="1300" max="1300" width="3" style="10" bestFit="1" customWidth="1"/>
    <col min="1301" max="1301" width="4.5703125" style="10" bestFit="1" customWidth="1"/>
    <col min="1302" max="1302" width="0.85546875" style="10" bestFit="1" customWidth="1"/>
    <col min="1303" max="1303" width="7.5703125" style="10" bestFit="1" customWidth="1"/>
    <col min="1304" max="1304" width="1.5703125" style="10" bestFit="1" customWidth="1"/>
    <col min="1305" max="1305" width="2.140625" style="10" bestFit="1" customWidth="1"/>
    <col min="1306" max="1306" width="7.42578125" style="10" bestFit="1" customWidth="1"/>
    <col min="1307" max="1307" width="0.85546875" style="10" bestFit="1" customWidth="1"/>
    <col min="1308" max="1308" width="2.42578125" style="10" bestFit="1" customWidth="1"/>
    <col min="1309" max="1309" width="0.85546875" style="10" bestFit="1" customWidth="1"/>
    <col min="1310" max="1310" width="7.42578125" style="10" bestFit="1" customWidth="1"/>
    <col min="1311" max="1311" width="10.42578125" style="10" bestFit="1" customWidth="1"/>
    <col min="1312" max="1312" width="0.42578125" style="10" bestFit="1" customWidth="1"/>
    <col min="1313" max="1313" width="3.42578125" style="10" bestFit="1" customWidth="1"/>
    <col min="1314" max="1314" width="1.5703125" style="10" bestFit="1" customWidth="1"/>
    <col min="1315" max="1315" width="2.85546875" style="10" bestFit="1" customWidth="1"/>
    <col min="1316" max="1316" width="5.85546875" style="10" bestFit="1" customWidth="1"/>
    <col min="1317" max="1317" width="9.85546875" style="10" bestFit="1" customWidth="1"/>
    <col min="1318" max="1537" width="9.140625" style="10"/>
    <col min="1538" max="1538" width="4.42578125" style="10" bestFit="1" customWidth="1"/>
    <col min="1539" max="1540" width="3.85546875" style="10" bestFit="1" customWidth="1"/>
    <col min="1541" max="1541" width="8.42578125" style="10" bestFit="1" customWidth="1"/>
    <col min="1542" max="1542" width="5" style="10" bestFit="1" customWidth="1"/>
    <col min="1543" max="1544" width="3.5703125" style="10" bestFit="1" customWidth="1"/>
    <col min="1545" max="1545" width="5.5703125" style="10" bestFit="1" customWidth="1"/>
    <col min="1546" max="1546" width="5.140625" style="10" bestFit="1" customWidth="1"/>
    <col min="1547" max="1547" width="7.5703125" style="10" bestFit="1" customWidth="1"/>
    <col min="1548" max="1548" width="7.42578125" style="10" bestFit="1" customWidth="1"/>
    <col min="1549" max="1549" width="5.5703125" style="10" bestFit="1" customWidth="1"/>
    <col min="1550" max="1550" width="4.5703125" style="10" bestFit="1" customWidth="1"/>
    <col min="1551" max="1551" width="1.5703125" style="10" bestFit="1" customWidth="1"/>
    <col min="1552" max="1552" width="3.5703125" style="10" bestFit="1" customWidth="1"/>
    <col min="1553" max="1553" width="4.140625" style="10" bestFit="1" customWidth="1"/>
    <col min="1554" max="1554" width="5.140625" style="10" bestFit="1" customWidth="1"/>
    <col min="1555" max="1555" width="2.140625" style="10" bestFit="1" customWidth="1"/>
    <col min="1556" max="1556" width="3" style="10" bestFit="1" customWidth="1"/>
    <col min="1557" max="1557" width="4.5703125" style="10" bestFit="1" customWidth="1"/>
    <col min="1558" max="1558" width="0.85546875" style="10" bestFit="1" customWidth="1"/>
    <col min="1559" max="1559" width="7.5703125" style="10" bestFit="1" customWidth="1"/>
    <col min="1560" max="1560" width="1.5703125" style="10" bestFit="1" customWidth="1"/>
    <col min="1561" max="1561" width="2.140625" style="10" bestFit="1" customWidth="1"/>
    <col min="1562" max="1562" width="7.42578125" style="10" bestFit="1" customWidth="1"/>
    <col min="1563" max="1563" width="0.85546875" style="10" bestFit="1" customWidth="1"/>
    <col min="1564" max="1564" width="2.42578125" style="10" bestFit="1" customWidth="1"/>
    <col min="1565" max="1565" width="0.85546875" style="10" bestFit="1" customWidth="1"/>
    <col min="1566" max="1566" width="7.42578125" style="10" bestFit="1" customWidth="1"/>
    <col min="1567" max="1567" width="10.42578125" style="10" bestFit="1" customWidth="1"/>
    <col min="1568" max="1568" width="0.42578125" style="10" bestFit="1" customWidth="1"/>
    <col min="1569" max="1569" width="3.42578125" style="10" bestFit="1" customWidth="1"/>
    <col min="1570" max="1570" width="1.5703125" style="10" bestFit="1" customWidth="1"/>
    <col min="1571" max="1571" width="2.85546875" style="10" bestFit="1" customWidth="1"/>
    <col min="1572" max="1572" width="5.85546875" style="10" bestFit="1" customWidth="1"/>
    <col min="1573" max="1573" width="9.85546875" style="10" bestFit="1" customWidth="1"/>
    <col min="1574" max="1793" width="9.140625" style="10"/>
    <col min="1794" max="1794" width="4.42578125" style="10" bestFit="1" customWidth="1"/>
    <col min="1795" max="1796" width="3.85546875" style="10" bestFit="1" customWidth="1"/>
    <col min="1797" max="1797" width="8.42578125" style="10" bestFit="1" customWidth="1"/>
    <col min="1798" max="1798" width="5" style="10" bestFit="1" customWidth="1"/>
    <col min="1799" max="1800" width="3.5703125" style="10" bestFit="1" customWidth="1"/>
    <col min="1801" max="1801" width="5.5703125" style="10" bestFit="1" customWidth="1"/>
    <col min="1802" max="1802" width="5.140625" style="10" bestFit="1" customWidth="1"/>
    <col min="1803" max="1803" width="7.5703125" style="10" bestFit="1" customWidth="1"/>
    <col min="1804" max="1804" width="7.42578125" style="10" bestFit="1" customWidth="1"/>
    <col min="1805" max="1805" width="5.5703125" style="10" bestFit="1" customWidth="1"/>
    <col min="1806" max="1806" width="4.5703125" style="10" bestFit="1" customWidth="1"/>
    <col min="1807" max="1807" width="1.5703125" style="10" bestFit="1" customWidth="1"/>
    <col min="1808" max="1808" width="3.5703125" style="10" bestFit="1" customWidth="1"/>
    <col min="1809" max="1809" width="4.140625" style="10" bestFit="1" customWidth="1"/>
    <col min="1810" max="1810" width="5.140625" style="10" bestFit="1" customWidth="1"/>
    <col min="1811" max="1811" width="2.140625" style="10" bestFit="1" customWidth="1"/>
    <col min="1812" max="1812" width="3" style="10" bestFit="1" customWidth="1"/>
    <col min="1813" max="1813" width="4.5703125" style="10" bestFit="1" customWidth="1"/>
    <col min="1814" max="1814" width="0.85546875" style="10" bestFit="1" customWidth="1"/>
    <col min="1815" max="1815" width="7.5703125" style="10" bestFit="1" customWidth="1"/>
    <col min="1816" max="1816" width="1.5703125" style="10" bestFit="1" customWidth="1"/>
    <col min="1817" max="1817" width="2.140625" style="10" bestFit="1" customWidth="1"/>
    <col min="1818" max="1818" width="7.42578125" style="10" bestFit="1" customWidth="1"/>
    <col min="1819" max="1819" width="0.85546875" style="10" bestFit="1" customWidth="1"/>
    <col min="1820" max="1820" width="2.42578125" style="10" bestFit="1" customWidth="1"/>
    <col min="1821" max="1821" width="0.85546875" style="10" bestFit="1" customWidth="1"/>
    <col min="1822" max="1822" width="7.42578125" style="10" bestFit="1" customWidth="1"/>
    <col min="1823" max="1823" width="10.42578125" style="10" bestFit="1" customWidth="1"/>
    <col min="1824" max="1824" width="0.42578125" style="10" bestFit="1" customWidth="1"/>
    <col min="1825" max="1825" width="3.42578125" style="10" bestFit="1" customWidth="1"/>
    <col min="1826" max="1826" width="1.5703125" style="10" bestFit="1" customWidth="1"/>
    <col min="1827" max="1827" width="2.85546875" style="10" bestFit="1" customWidth="1"/>
    <col min="1828" max="1828" width="5.85546875" style="10" bestFit="1" customWidth="1"/>
    <col min="1829" max="1829" width="9.85546875" style="10" bestFit="1" customWidth="1"/>
    <col min="1830" max="2049" width="9.140625" style="10"/>
    <col min="2050" max="2050" width="4.42578125" style="10" bestFit="1" customWidth="1"/>
    <col min="2051" max="2052" width="3.85546875" style="10" bestFit="1" customWidth="1"/>
    <col min="2053" max="2053" width="8.42578125" style="10" bestFit="1" customWidth="1"/>
    <col min="2054" max="2054" width="5" style="10" bestFit="1" customWidth="1"/>
    <col min="2055" max="2056" width="3.5703125" style="10" bestFit="1" customWidth="1"/>
    <col min="2057" max="2057" width="5.5703125" style="10" bestFit="1" customWidth="1"/>
    <col min="2058" max="2058" width="5.140625" style="10" bestFit="1" customWidth="1"/>
    <col min="2059" max="2059" width="7.5703125" style="10" bestFit="1" customWidth="1"/>
    <col min="2060" max="2060" width="7.42578125" style="10" bestFit="1" customWidth="1"/>
    <col min="2061" max="2061" width="5.5703125" style="10" bestFit="1" customWidth="1"/>
    <col min="2062" max="2062" width="4.5703125" style="10" bestFit="1" customWidth="1"/>
    <col min="2063" max="2063" width="1.5703125" style="10" bestFit="1" customWidth="1"/>
    <col min="2064" max="2064" width="3.5703125" style="10" bestFit="1" customWidth="1"/>
    <col min="2065" max="2065" width="4.140625" style="10" bestFit="1" customWidth="1"/>
    <col min="2066" max="2066" width="5.140625" style="10" bestFit="1" customWidth="1"/>
    <col min="2067" max="2067" width="2.140625" style="10" bestFit="1" customWidth="1"/>
    <col min="2068" max="2068" width="3" style="10" bestFit="1" customWidth="1"/>
    <col min="2069" max="2069" width="4.5703125" style="10" bestFit="1" customWidth="1"/>
    <col min="2070" max="2070" width="0.85546875" style="10" bestFit="1" customWidth="1"/>
    <col min="2071" max="2071" width="7.5703125" style="10" bestFit="1" customWidth="1"/>
    <col min="2072" max="2072" width="1.5703125" style="10" bestFit="1" customWidth="1"/>
    <col min="2073" max="2073" width="2.140625" style="10" bestFit="1" customWidth="1"/>
    <col min="2074" max="2074" width="7.42578125" style="10" bestFit="1" customWidth="1"/>
    <col min="2075" max="2075" width="0.85546875" style="10" bestFit="1" customWidth="1"/>
    <col min="2076" max="2076" width="2.42578125" style="10" bestFit="1" customWidth="1"/>
    <col min="2077" max="2077" width="0.85546875" style="10" bestFit="1" customWidth="1"/>
    <col min="2078" max="2078" width="7.42578125" style="10" bestFit="1" customWidth="1"/>
    <col min="2079" max="2079" width="10.42578125" style="10" bestFit="1" customWidth="1"/>
    <col min="2080" max="2080" width="0.42578125" style="10" bestFit="1" customWidth="1"/>
    <col min="2081" max="2081" width="3.42578125" style="10" bestFit="1" customWidth="1"/>
    <col min="2082" max="2082" width="1.5703125" style="10" bestFit="1" customWidth="1"/>
    <col min="2083" max="2083" width="2.85546875" style="10" bestFit="1" customWidth="1"/>
    <col min="2084" max="2084" width="5.85546875" style="10" bestFit="1" customWidth="1"/>
    <col min="2085" max="2085" width="9.85546875" style="10" bestFit="1" customWidth="1"/>
    <col min="2086" max="2305" width="9.140625" style="10"/>
    <col min="2306" max="2306" width="4.42578125" style="10" bestFit="1" customWidth="1"/>
    <col min="2307" max="2308" width="3.85546875" style="10" bestFit="1" customWidth="1"/>
    <col min="2309" max="2309" width="8.42578125" style="10" bestFit="1" customWidth="1"/>
    <col min="2310" max="2310" width="5" style="10" bestFit="1" customWidth="1"/>
    <col min="2311" max="2312" width="3.5703125" style="10" bestFit="1" customWidth="1"/>
    <col min="2313" max="2313" width="5.5703125" style="10" bestFit="1" customWidth="1"/>
    <col min="2314" max="2314" width="5.140625" style="10" bestFit="1" customWidth="1"/>
    <col min="2315" max="2315" width="7.5703125" style="10" bestFit="1" customWidth="1"/>
    <col min="2316" max="2316" width="7.42578125" style="10" bestFit="1" customWidth="1"/>
    <col min="2317" max="2317" width="5.5703125" style="10" bestFit="1" customWidth="1"/>
    <col min="2318" max="2318" width="4.5703125" style="10" bestFit="1" customWidth="1"/>
    <col min="2319" max="2319" width="1.5703125" style="10" bestFit="1" customWidth="1"/>
    <col min="2320" max="2320" width="3.5703125" style="10" bestFit="1" customWidth="1"/>
    <col min="2321" max="2321" width="4.140625" style="10" bestFit="1" customWidth="1"/>
    <col min="2322" max="2322" width="5.140625" style="10" bestFit="1" customWidth="1"/>
    <col min="2323" max="2323" width="2.140625" style="10" bestFit="1" customWidth="1"/>
    <col min="2324" max="2324" width="3" style="10" bestFit="1" customWidth="1"/>
    <col min="2325" max="2325" width="4.5703125" style="10" bestFit="1" customWidth="1"/>
    <col min="2326" max="2326" width="0.85546875" style="10" bestFit="1" customWidth="1"/>
    <col min="2327" max="2327" width="7.5703125" style="10" bestFit="1" customWidth="1"/>
    <col min="2328" max="2328" width="1.5703125" style="10" bestFit="1" customWidth="1"/>
    <col min="2329" max="2329" width="2.140625" style="10" bestFit="1" customWidth="1"/>
    <col min="2330" max="2330" width="7.42578125" style="10" bestFit="1" customWidth="1"/>
    <col min="2331" max="2331" width="0.85546875" style="10" bestFit="1" customWidth="1"/>
    <col min="2332" max="2332" width="2.42578125" style="10" bestFit="1" customWidth="1"/>
    <col min="2333" max="2333" width="0.85546875" style="10" bestFit="1" customWidth="1"/>
    <col min="2334" max="2334" width="7.42578125" style="10" bestFit="1" customWidth="1"/>
    <col min="2335" max="2335" width="10.42578125" style="10" bestFit="1" customWidth="1"/>
    <col min="2336" max="2336" width="0.42578125" style="10" bestFit="1" customWidth="1"/>
    <col min="2337" max="2337" width="3.42578125" style="10" bestFit="1" customWidth="1"/>
    <col min="2338" max="2338" width="1.5703125" style="10" bestFit="1" customWidth="1"/>
    <col min="2339" max="2339" width="2.85546875" style="10" bestFit="1" customWidth="1"/>
    <col min="2340" max="2340" width="5.85546875" style="10" bestFit="1" customWidth="1"/>
    <col min="2341" max="2341" width="9.85546875" style="10" bestFit="1" customWidth="1"/>
    <col min="2342" max="2561" width="9.140625" style="10"/>
    <col min="2562" max="2562" width="4.42578125" style="10" bestFit="1" customWidth="1"/>
    <col min="2563" max="2564" width="3.85546875" style="10" bestFit="1" customWidth="1"/>
    <col min="2565" max="2565" width="8.42578125" style="10" bestFit="1" customWidth="1"/>
    <col min="2566" max="2566" width="5" style="10" bestFit="1" customWidth="1"/>
    <col min="2567" max="2568" width="3.5703125" style="10" bestFit="1" customWidth="1"/>
    <col min="2569" max="2569" width="5.5703125" style="10" bestFit="1" customWidth="1"/>
    <col min="2570" max="2570" width="5.140625" style="10" bestFit="1" customWidth="1"/>
    <col min="2571" max="2571" width="7.5703125" style="10" bestFit="1" customWidth="1"/>
    <col min="2572" max="2572" width="7.42578125" style="10" bestFit="1" customWidth="1"/>
    <col min="2573" max="2573" width="5.5703125" style="10" bestFit="1" customWidth="1"/>
    <col min="2574" max="2574" width="4.5703125" style="10" bestFit="1" customWidth="1"/>
    <col min="2575" max="2575" width="1.5703125" style="10" bestFit="1" customWidth="1"/>
    <col min="2576" max="2576" width="3.5703125" style="10" bestFit="1" customWidth="1"/>
    <col min="2577" max="2577" width="4.140625" style="10" bestFit="1" customWidth="1"/>
    <col min="2578" max="2578" width="5.140625" style="10" bestFit="1" customWidth="1"/>
    <col min="2579" max="2579" width="2.140625" style="10" bestFit="1" customWidth="1"/>
    <col min="2580" max="2580" width="3" style="10" bestFit="1" customWidth="1"/>
    <col min="2581" max="2581" width="4.5703125" style="10" bestFit="1" customWidth="1"/>
    <col min="2582" max="2582" width="0.85546875" style="10" bestFit="1" customWidth="1"/>
    <col min="2583" max="2583" width="7.5703125" style="10" bestFit="1" customWidth="1"/>
    <col min="2584" max="2584" width="1.5703125" style="10" bestFit="1" customWidth="1"/>
    <col min="2585" max="2585" width="2.140625" style="10" bestFit="1" customWidth="1"/>
    <col min="2586" max="2586" width="7.42578125" style="10" bestFit="1" customWidth="1"/>
    <col min="2587" max="2587" width="0.85546875" style="10" bestFit="1" customWidth="1"/>
    <col min="2588" max="2588" width="2.42578125" style="10" bestFit="1" customWidth="1"/>
    <col min="2589" max="2589" width="0.85546875" style="10" bestFit="1" customWidth="1"/>
    <col min="2590" max="2590" width="7.42578125" style="10" bestFit="1" customWidth="1"/>
    <col min="2591" max="2591" width="10.42578125" style="10" bestFit="1" customWidth="1"/>
    <col min="2592" max="2592" width="0.42578125" style="10" bestFit="1" customWidth="1"/>
    <col min="2593" max="2593" width="3.42578125" style="10" bestFit="1" customWidth="1"/>
    <col min="2594" max="2594" width="1.5703125" style="10" bestFit="1" customWidth="1"/>
    <col min="2595" max="2595" width="2.85546875" style="10" bestFit="1" customWidth="1"/>
    <col min="2596" max="2596" width="5.85546875" style="10" bestFit="1" customWidth="1"/>
    <col min="2597" max="2597" width="9.85546875" style="10" bestFit="1" customWidth="1"/>
    <col min="2598" max="2817" width="9.140625" style="10"/>
    <col min="2818" max="2818" width="4.42578125" style="10" bestFit="1" customWidth="1"/>
    <col min="2819" max="2820" width="3.85546875" style="10" bestFit="1" customWidth="1"/>
    <col min="2821" max="2821" width="8.42578125" style="10" bestFit="1" customWidth="1"/>
    <col min="2822" max="2822" width="5" style="10" bestFit="1" customWidth="1"/>
    <col min="2823" max="2824" width="3.5703125" style="10" bestFit="1" customWidth="1"/>
    <col min="2825" max="2825" width="5.5703125" style="10" bestFit="1" customWidth="1"/>
    <col min="2826" max="2826" width="5.140625" style="10" bestFit="1" customWidth="1"/>
    <col min="2827" max="2827" width="7.5703125" style="10" bestFit="1" customWidth="1"/>
    <col min="2828" max="2828" width="7.42578125" style="10" bestFit="1" customWidth="1"/>
    <col min="2829" max="2829" width="5.5703125" style="10" bestFit="1" customWidth="1"/>
    <col min="2830" max="2830" width="4.5703125" style="10" bestFit="1" customWidth="1"/>
    <col min="2831" max="2831" width="1.5703125" style="10" bestFit="1" customWidth="1"/>
    <col min="2832" max="2832" width="3.5703125" style="10" bestFit="1" customWidth="1"/>
    <col min="2833" max="2833" width="4.140625" style="10" bestFit="1" customWidth="1"/>
    <col min="2834" max="2834" width="5.140625" style="10" bestFit="1" customWidth="1"/>
    <col min="2835" max="2835" width="2.140625" style="10" bestFit="1" customWidth="1"/>
    <col min="2836" max="2836" width="3" style="10" bestFit="1" customWidth="1"/>
    <col min="2837" max="2837" width="4.5703125" style="10" bestFit="1" customWidth="1"/>
    <col min="2838" max="2838" width="0.85546875" style="10" bestFit="1" customWidth="1"/>
    <col min="2839" max="2839" width="7.5703125" style="10" bestFit="1" customWidth="1"/>
    <col min="2840" max="2840" width="1.5703125" style="10" bestFit="1" customWidth="1"/>
    <col min="2841" max="2841" width="2.140625" style="10" bestFit="1" customWidth="1"/>
    <col min="2842" max="2842" width="7.42578125" style="10" bestFit="1" customWidth="1"/>
    <col min="2843" max="2843" width="0.85546875" style="10" bestFit="1" customWidth="1"/>
    <col min="2844" max="2844" width="2.42578125" style="10" bestFit="1" customWidth="1"/>
    <col min="2845" max="2845" width="0.85546875" style="10" bestFit="1" customWidth="1"/>
    <col min="2846" max="2846" width="7.42578125" style="10" bestFit="1" customWidth="1"/>
    <col min="2847" max="2847" width="10.42578125" style="10" bestFit="1" customWidth="1"/>
    <col min="2848" max="2848" width="0.42578125" style="10" bestFit="1" customWidth="1"/>
    <col min="2849" max="2849" width="3.42578125" style="10" bestFit="1" customWidth="1"/>
    <col min="2850" max="2850" width="1.5703125" style="10" bestFit="1" customWidth="1"/>
    <col min="2851" max="2851" width="2.85546875" style="10" bestFit="1" customWidth="1"/>
    <col min="2852" max="2852" width="5.85546875" style="10" bestFit="1" customWidth="1"/>
    <col min="2853" max="2853" width="9.85546875" style="10" bestFit="1" customWidth="1"/>
    <col min="2854" max="3073" width="9.140625" style="10"/>
    <col min="3074" max="3074" width="4.42578125" style="10" bestFit="1" customWidth="1"/>
    <col min="3075" max="3076" width="3.85546875" style="10" bestFit="1" customWidth="1"/>
    <col min="3077" max="3077" width="8.42578125" style="10" bestFit="1" customWidth="1"/>
    <col min="3078" max="3078" width="5" style="10" bestFit="1" customWidth="1"/>
    <col min="3079" max="3080" width="3.5703125" style="10" bestFit="1" customWidth="1"/>
    <col min="3081" max="3081" width="5.5703125" style="10" bestFit="1" customWidth="1"/>
    <col min="3082" max="3082" width="5.140625" style="10" bestFit="1" customWidth="1"/>
    <col min="3083" max="3083" width="7.5703125" style="10" bestFit="1" customWidth="1"/>
    <col min="3084" max="3084" width="7.42578125" style="10" bestFit="1" customWidth="1"/>
    <col min="3085" max="3085" width="5.5703125" style="10" bestFit="1" customWidth="1"/>
    <col min="3086" max="3086" width="4.5703125" style="10" bestFit="1" customWidth="1"/>
    <col min="3087" max="3087" width="1.5703125" style="10" bestFit="1" customWidth="1"/>
    <col min="3088" max="3088" width="3.5703125" style="10" bestFit="1" customWidth="1"/>
    <col min="3089" max="3089" width="4.140625" style="10" bestFit="1" customWidth="1"/>
    <col min="3090" max="3090" width="5.140625" style="10" bestFit="1" customWidth="1"/>
    <col min="3091" max="3091" width="2.140625" style="10" bestFit="1" customWidth="1"/>
    <col min="3092" max="3092" width="3" style="10" bestFit="1" customWidth="1"/>
    <col min="3093" max="3093" width="4.5703125" style="10" bestFit="1" customWidth="1"/>
    <col min="3094" max="3094" width="0.85546875" style="10" bestFit="1" customWidth="1"/>
    <col min="3095" max="3095" width="7.5703125" style="10" bestFit="1" customWidth="1"/>
    <col min="3096" max="3096" width="1.5703125" style="10" bestFit="1" customWidth="1"/>
    <col min="3097" max="3097" width="2.140625" style="10" bestFit="1" customWidth="1"/>
    <col min="3098" max="3098" width="7.42578125" style="10" bestFit="1" customWidth="1"/>
    <col min="3099" max="3099" width="0.85546875" style="10" bestFit="1" customWidth="1"/>
    <col min="3100" max="3100" width="2.42578125" style="10" bestFit="1" customWidth="1"/>
    <col min="3101" max="3101" width="0.85546875" style="10" bestFit="1" customWidth="1"/>
    <col min="3102" max="3102" width="7.42578125" style="10" bestFit="1" customWidth="1"/>
    <col min="3103" max="3103" width="10.42578125" style="10" bestFit="1" customWidth="1"/>
    <col min="3104" max="3104" width="0.42578125" style="10" bestFit="1" customWidth="1"/>
    <col min="3105" max="3105" width="3.42578125" style="10" bestFit="1" customWidth="1"/>
    <col min="3106" max="3106" width="1.5703125" style="10" bestFit="1" customWidth="1"/>
    <col min="3107" max="3107" width="2.85546875" style="10" bestFit="1" customWidth="1"/>
    <col min="3108" max="3108" width="5.85546875" style="10" bestFit="1" customWidth="1"/>
    <col min="3109" max="3109" width="9.85546875" style="10" bestFit="1" customWidth="1"/>
    <col min="3110" max="3329" width="9.140625" style="10"/>
    <col min="3330" max="3330" width="4.42578125" style="10" bestFit="1" customWidth="1"/>
    <col min="3331" max="3332" width="3.85546875" style="10" bestFit="1" customWidth="1"/>
    <col min="3333" max="3333" width="8.42578125" style="10" bestFit="1" customWidth="1"/>
    <col min="3334" max="3334" width="5" style="10" bestFit="1" customWidth="1"/>
    <col min="3335" max="3336" width="3.5703125" style="10" bestFit="1" customWidth="1"/>
    <col min="3337" max="3337" width="5.5703125" style="10" bestFit="1" customWidth="1"/>
    <col min="3338" max="3338" width="5.140625" style="10" bestFit="1" customWidth="1"/>
    <col min="3339" max="3339" width="7.5703125" style="10" bestFit="1" customWidth="1"/>
    <col min="3340" max="3340" width="7.42578125" style="10" bestFit="1" customWidth="1"/>
    <col min="3341" max="3341" width="5.5703125" style="10" bestFit="1" customWidth="1"/>
    <col min="3342" max="3342" width="4.5703125" style="10" bestFit="1" customWidth="1"/>
    <col min="3343" max="3343" width="1.5703125" style="10" bestFit="1" customWidth="1"/>
    <col min="3344" max="3344" width="3.5703125" style="10" bestFit="1" customWidth="1"/>
    <col min="3345" max="3345" width="4.140625" style="10" bestFit="1" customWidth="1"/>
    <col min="3346" max="3346" width="5.140625" style="10" bestFit="1" customWidth="1"/>
    <col min="3347" max="3347" width="2.140625" style="10" bestFit="1" customWidth="1"/>
    <col min="3348" max="3348" width="3" style="10" bestFit="1" customWidth="1"/>
    <col min="3349" max="3349" width="4.5703125" style="10" bestFit="1" customWidth="1"/>
    <col min="3350" max="3350" width="0.85546875" style="10" bestFit="1" customWidth="1"/>
    <col min="3351" max="3351" width="7.5703125" style="10" bestFit="1" customWidth="1"/>
    <col min="3352" max="3352" width="1.5703125" style="10" bestFit="1" customWidth="1"/>
    <col min="3353" max="3353" width="2.140625" style="10" bestFit="1" customWidth="1"/>
    <col min="3354" max="3354" width="7.42578125" style="10" bestFit="1" customWidth="1"/>
    <col min="3355" max="3355" width="0.85546875" style="10" bestFit="1" customWidth="1"/>
    <col min="3356" max="3356" width="2.42578125" style="10" bestFit="1" customWidth="1"/>
    <col min="3357" max="3357" width="0.85546875" style="10" bestFit="1" customWidth="1"/>
    <col min="3358" max="3358" width="7.42578125" style="10" bestFit="1" customWidth="1"/>
    <col min="3359" max="3359" width="10.42578125" style="10" bestFit="1" customWidth="1"/>
    <col min="3360" max="3360" width="0.42578125" style="10" bestFit="1" customWidth="1"/>
    <col min="3361" max="3361" width="3.42578125" style="10" bestFit="1" customWidth="1"/>
    <col min="3362" max="3362" width="1.5703125" style="10" bestFit="1" customWidth="1"/>
    <col min="3363" max="3363" width="2.85546875" style="10" bestFit="1" customWidth="1"/>
    <col min="3364" max="3364" width="5.85546875" style="10" bestFit="1" customWidth="1"/>
    <col min="3365" max="3365" width="9.85546875" style="10" bestFit="1" customWidth="1"/>
    <col min="3366" max="3585" width="9.140625" style="10"/>
    <col min="3586" max="3586" width="4.42578125" style="10" bestFit="1" customWidth="1"/>
    <col min="3587" max="3588" width="3.85546875" style="10" bestFit="1" customWidth="1"/>
    <col min="3589" max="3589" width="8.42578125" style="10" bestFit="1" customWidth="1"/>
    <col min="3590" max="3590" width="5" style="10" bestFit="1" customWidth="1"/>
    <col min="3591" max="3592" width="3.5703125" style="10" bestFit="1" customWidth="1"/>
    <col min="3593" max="3593" width="5.5703125" style="10" bestFit="1" customWidth="1"/>
    <col min="3594" max="3594" width="5.140625" style="10" bestFit="1" customWidth="1"/>
    <col min="3595" max="3595" width="7.5703125" style="10" bestFit="1" customWidth="1"/>
    <col min="3596" max="3596" width="7.42578125" style="10" bestFit="1" customWidth="1"/>
    <col min="3597" max="3597" width="5.5703125" style="10" bestFit="1" customWidth="1"/>
    <col min="3598" max="3598" width="4.5703125" style="10" bestFit="1" customWidth="1"/>
    <col min="3599" max="3599" width="1.5703125" style="10" bestFit="1" customWidth="1"/>
    <col min="3600" max="3600" width="3.5703125" style="10" bestFit="1" customWidth="1"/>
    <col min="3601" max="3601" width="4.140625" style="10" bestFit="1" customWidth="1"/>
    <col min="3602" max="3602" width="5.140625" style="10" bestFit="1" customWidth="1"/>
    <col min="3603" max="3603" width="2.140625" style="10" bestFit="1" customWidth="1"/>
    <col min="3604" max="3604" width="3" style="10" bestFit="1" customWidth="1"/>
    <col min="3605" max="3605" width="4.5703125" style="10" bestFit="1" customWidth="1"/>
    <col min="3606" max="3606" width="0.85546875" style="10" bestFit="1" customWidth="1"/>
    <col min="3607" max="3607" width="7.5703125" style="10" bestFit="1" customWidth="1"/>
    <col min="3608" max="3608" width="1.5703125" style="10" bestFit="1" customWidth="1"/>
    <col min="3609" max="3609" width="2.140625" style="10" bestFit="1" customWidth="1"/>
    <col min="3610" max="3610" width="7.42578125" style="10" bestFit="1" customWidth="1"/>
    <col min="3611" max="3611" width="0.85546875" style="10" bestFit="1" customWidth="1"/>
    <col min="3612" max="3612" width="2.42578125" style="10" bestFit="1" customWidth="1"/>
    <col min="3613" max="3613" width="0.85546875" style="10" bestFit="1" customWidth="1"/>
    <col min="3614" max="3614" width="7.42578125" style="10" bestFit="1" customWidth="1"/>
    <col min="3615" max="3615" width="10.42578125" style="10" bestFit="1" customWidth="1"/>
    <col min="3616" max="3616" width="0.42578125" style="10" bestFit="1" customWidth="1"/>
    <col min="3617" max="3617" width="3.42578125" style="10" bestFit="1" customWidth="1"/>
    <col min="3618" max="3618" width="1.5703125" style="10" bestFit="1" customWidth="1"/>
    <col min="3619" max="3619" width="2.85546875" style="10" bestFit="1" customWidth="1"/>
    <col min="3620" max="3620" width="5.85546875" style="10" bestFit="1" customWidth="1"/>
    <col min="3621" max="3621" width="9.85546875" style="10" bestFit="1" customWidth="1"/>
    <col min="3622" max="3841" width="9.140625" style="10"/>
    <col min="3842" max="3842" width="4.42578125" style="10" bestFit="1" customWidth="1"/>
    <col min="3843" max="3844" width="3.85546875" style="10" bestFit="1" customWidth="1"/>
    <col min="3845" max="3845" width="8.42578125" style="10" bestFit="1" customWidth="1"/>
    <col min="3846" max="3846" width="5" style="10" bestFit="1" customWidth="1"/>
    <col min="3847" max="3848" width="3.5703125" style="10" bestFit="1" customWidth="1"/>
    <col min="3849" max="3849" width="5.5703125" style="10" bestFit="1" customWidth="1"/>
    <col min="3850" max="3850" width="5.140625" style="10" bestFit="1" customWidth="1"/>
    <col min="3851" max="3851" width="7.5703125" style="10" bestFit="1" customWidth="1"/>
    <col min="3852" max="3852" width="7.42578125" style="10" bestFit="1" customWidth="1"/>
    <col min="3853" max="3853" width="5.5703125" style="10" bestFit="1" customWidth="1"/>
    <col min="3854" max="3854" width="4.5703125" style="10" bestFit="1" customWidth="1"/>
    <col min="3855" max="3855" width="1.5703125" style="10" bestFit="1" customWidth="1"/>
    <col min="3856" max="3856" width="3.5703125" style="10" bestFit="1" customWidth="1"/>
    <col min="3857" max="3857" width="4.140625" style="10" bestFit="1" customWidth="1"/>
    <col min="3858" max="3858" width="5.140625" style="10" bestFit="1" customWidth="1"/>
    <col min="3859" max="3859" width="2.140625" style="10" bestFit="1" customWidth="1"/>
    <col min="3860" max="3860" width="3" style="10" bestFit="1" customWidth="1"/>
    <col min="3861" max="3861" width="4.5703125" style="10" bestFit="1" customWidth="1"/>
    <col min="3862" max="3862" width="0.85546875" style="10" bestFit="1" customWidth="1"/>
    <col min="3863" max="3863" width="7.5703125" style="10" bestFit="1" customWidth="1"/>
    <col min="3864" max="3864" width="1.5703125" style="10" bestFit="1" customWidth="1"/>
    <col min="3865" max="3865" width="2.140625" style="10" bestFit="1" customWidth="1"/>
    <col min="3866" max="3866" width="7.42578125" style="10" bestFit="1" customWidth="1"/>
    <col min="3867" max="3867" width="0.85546875" style="10" bestFit="1" customWidth="1"/>
    <col min="3868" max="3868" width="2.42578125" style="10" bestFit="1" customWidth="1"/>
    <col min="3869" max="3869" width="0.85546875" style="10" bestFit="1" customWidth="1"/>
    <col min="3870" max="3870" width="7.42578125" style="10" bestFit="1" customWidth="1"/>
    <col min="3871" max="3871" width="10.42578125" style="10" bestFit="1" customWidth="1"/>
    <col min="3872" max="3872" width="0.42578125" style="10" bestFit="1" customWidth="1"/>
    <col min="3873" max="3873" width="3.42578125" style="10" bestFit="1" customWidth="1"/>
    <col min="3874" max="3874" width="1.5703125" style="10" bestFit="1" customWidth="1"/>
    <col min="3875" max="3875" width="2.85546875" style="10" bestFit="1" customWidth="1"/>
    <col min="3876" max="3876" width="5.85546875" style="10" bestFit="1" customWidth="1"/>
    <col min="3877" max="3877" width="9.85546875" style="10" bestFit="1" customWidth="1"/>
    <col min="3878" max="4097" width="9.140625" style="10"/>
    <col min="4098" max="4098" width="4.42578125" style="10" bestFit="1" customWidth="1"/>
    <col min="4099" max="4100" width="3.85546875" style="10" bestFit="1" customWidth="1"/>
    <col min="4101" max="4101" width="8.42578125" style="10" bestFit="1" customWidth="1"/>
    <col min="4102" max="4102" width="5" style="10" bestFit="1" customWidth="1"/>
    <col min="4103" max="4104" width="3.5703125" style="10" bestFit="1" customWidth="1"/>
    <col min="4105" max="4105" width="5.5703125" style="10" bestFit="1" customWidth="1"/>
    <col min="4106" max="4106" width="5.140625" style="10" bestFit="1" customWidth="1"/>
    <col min="4107" max="4107" width="7.5703125" style="10" bestFit="1" customWidth="1"/>
    <col min="4108" max="4108" width="7.42578125" style="10" bestFit="1" customWidth="1"/>
    <col min="4109" max="4109" width="5.5703125" style="10" bestFit="1" customWidth="1"/>
    <col min="4110" max="4110" width="4.5703125" style="10" bestFit="1" customWidth="1"/>
    <col min="4111" max="4111" width="1.5703125" style="10" bestFit="1" customWidth="1"/>
    <col min="4112" max="4112" width="3.5703125" style="10" bestFit="1" customWidth="1"/>
    <col min="4113" max="4113" width="4.140625" style="10" bestFit="1" customWidth="1"/>
    <col min="4114" max="4114" width="5.140625" style="10" bestFit="1" customWidth="1"/>
    <col min="4115" max="4115" width="2.140625" style="10" bestFit="1" customWidth="1"/>
    <col min="4116" max="4116" width="3" style="10" bestFit="1" customWidth="1"/>
    <col min="4117" max="4117" width="4.5703125" style="10" bestFit="1" customWidth="1"/>
    <col min="4118" max="4118" width="0.85546875" style="10" bestFit="1" customWidth="1"/>
    <col min="4119" max="4119" width="7.5703125" style="10" bestFit="1" customWidth="1"/>
    <col min="4120" max="4120" width="1.5703125" style="10" bestFit="1" customWidth="1"/>
    <col min="4121" max="4121" width="2.140625" style="10" bestFit="1" customWidth="1"/>
    <col min="4122" max="4122" width="7.42578125" style="10" bestFit="1" customWidth="1"/>
    <col min="4123" max="4123" width="0.85546875" style="10" bestFit="1" customWidth="1"/>
    <col min="4124" max="4124" width="2.42578125" style="10" bestFit="1" customWidth="1"/>
    <col min="4125" max="4125" width="0.85546875" style="10" bestFit="1" customWidth="1"/>
    <col min="4126" max="4126" width="7.42578125" style="10" bestFit="1" customWidth="1"/>
    <col min="4127" max="4127" width="10.42578125" style="10" bestFit="1" customWidth="1"/>
    <col min="4128" max="4128" width="0.42578125" style="10" bestFit="1" customWidth="1"/>
    <col min="4129" max="4129" width="3.42578125" style="10" bestFit="1" customWidth="1"/>
    <col min="4130" max="4130" width="1.5703125" style="10" bestFit="1" customWidth="1"/>
    <col min="4131" max="4131" width="2.85546875" style="10" bestFit="1" customWidth="1"/>
    <col min="4132" max="4132" width="5.85546875" style="10" bestFit="1" customWidth="1"/>
    <col min="4133" max="4133" width="9.85546875" style="10" bestFit="1" customWidth="1"/>
    <col min="4134" max="4353" width="9.140625" style="10"/>
    <col min="4354" max="4354" width="4.42578125" style="10" bestFit="1" customWidth="1"/>
    <col min="4355" max="4356" width="3.85546875" style="10" bestFit="1" customWidth="1"/>
    <col min="4357" max="4357" width="8.42578125" style="10" bestFit="1" customWidth="1"/>
    <col min="4358" max="4358" width="5" style="10" bestFit="1" customWidth="1"/>
    <col min="4359" max="4360" width="3.5703125" style="10" bestFit="1" customWidth="1"/>
    <col min="4361" max="4361" width="5.5703125" style="10" bestFit="1" customWidth="1"/>
    <col min="4362" max="4362" width="5.140625" style="10" bestFit="1" customWidth="1"/>
    <col min="4363" max="4363" width="7.5703125" style="10" bestFit="1" customWidth="1"/>
    <col min="4364" max="4364" width="7.42578125" style="10" bestFit="1" customWidth="1"/>
    <col min="4365" max="4365" width="5.5703125" style="10" bestFit="1" customWidth="1"/>
    <col min="4366" max="4366" width="4.5703125" style="10" bestFit="1" customWidth="1"/>
    <col min="4367" max="4367" width="1.5703125" style="10" bestFit="1" customWidth="1"/>
    <col min="4368" max="4368" width="3.5703125" style="10" bestFit="1" customWidth="1"/>
    <col min="4369" max="4369" width="4.140625" style="10" bestFit="1" customWidth="1"/>
    <col min="4370" max="4370" width="5.140625" style="10" bestFit="1" customWidth="1"/>
    <col min="4371" max="4371" width="2.140625" style="10" bestFit="1" customWidth="1"/>
    <col min="4372" max="4372" width="3" style="10" bestFit="1" customWidth="1"/>
    <col min="4373" max="4373" width="4.5703125" style="10" bestFit="1" customWidth="1"/>
    <col min="4374" max="4374" width="0.85546875" style="10" bestFit="1" customWidth="1"/>
    <col min="4375" max="4375" width="7.5703125" style="10" bestFit="1" customWidth="1"/>
    <col min="4376" max="4376" width="1.5703125" style="10" bestFit="1" customWidth="1"/>
    <col min="4377" max="4377" width="2.140625" style="10" bestFit="1" customWidth="1"/>
    <col min="4378" max="4378" width="7.42578125" style="10" bestFit="1" customWidth="1"/>
    <col min="4379" max="4379" width="0.85546875" style="10" bestFit="1" customWidth="1"/>
    <col min="4380" max="4380" width="2.42578125" style="10" bestFit="1" customWidth="1"/>
    <col min="4381" max="4381" width="0.85546875" style="10" bestFit="1" customWidth="1"/>
    <col min="4382" max="4382" width="7.42578125" style="10" bestFit="1" customWidth="1"/>
    <col min="4383" max="4383" width="10.42578125" style="10" bestFit="1" customWidth="1"/>
    <col min="4384" max="4384" width="0.42578125" style="10" bestFit="1" customWidth="1"/>
    <col min="4385" max="4385" width="3.42578125" style="10" bestFit="1" customWidth="1"/>
    <col min="4386" max="4386" width="1.5703125" style="10" bestFit="1" customWidth="1"/>
    <col min="4387" max="4387" width="2.85546875" style="10" bestFit="1" customWidth="1"/>
    <col min="4388" max="4388" width="5.85546875" style="10" bestFit="1" customWidth="1"/>
    <col min="4389" max="4389" width="9.85546875" style="10" bestFit="1" customWidth="1"/>
    <col min="4390" max="4609" width="9.140625" style="10"/>
    <col min="4610" max="4610" width="4.42578125" style="10" bestFit="1" customWidth="1"/>
    <col min="4611" max="4612" width="3.85546875" style="10" bestFit="1" customWidth="1"/>
    <col min="4613" max="4613" width="8.42578125" style="10" bestFit="1" customWidth="1"/>
    <col min="4614" max="4614" width="5" style="10" bestFit="1" customWidth="1"/>
    <col min="4615" max="4616" width="3.5703125" style="10" bestFit="1" customWidth="1"/>
    <col min="4617" max="4617" width="5.5703125" style="10" bestFit="1" customWidth="1"/>
    <col min="4618" max="4618" width="5.140625" style="10" bestFit="1" customWidth="1"/>
    <col min="4619" max="4619" width="7.5703125" style="10" bestFit="1" customWidth="1"/>
    <col min="4620" max="4620" width="7.42578125" style="10" bestFit="1" customWidth="1"/>
    <col min="4621" max="4621" width="5.5703125" style="10" bestFit="1" customWidth="1"/>
    <col min="4622" max="4622" width="4.5703125" style="10" bestFit="1" customWidth="1"/>
    <col min="4623" max="4623" width="1.5703125" style="10" bestFit="1" customWidth="1"/>
    <col min="4624" max="4624" width="3.5703125" style="10" bestFit="1" customWidth="1"/>
    <col min="4625" max="4625" width="4.140625" style="10" bestFit="1" customWidth="1"/>
    <col min="4626" max="4626" width="5.140625" style="10" bestFit="1" customWidth="1"/>
    <col min="4627" max="4627" width="2.140625" style="10" bestFit="1" customWidth="1"/>
    <col min="4628" max="4628" width="3" style="10" bestFit="1" customWidth="1"/>
    <col min="4629" max="4629" width="4.5703125" style="10" bestFit="1" customWidth="1"/>
    <col min="4630" max="4630" width="0.85546875" style="10" bestFit="1" customWidth="1"/>
    <col min="4631" max="4631" width="7.5703125" style="10" bestFit="1" customWidth="1"/>
    <col min="4632" max="4632" width="1.5703125" style="10" bestFit="1" customWidth="1"/>
    <col min="4633" max="4633" width="2.140625" style="10" bestFit="1" customWidth="1"/>
    <col min="4634" max="4634" width="7.42578125" style="10" bestFit="1" customWidth="1"/>
    <col min="4635" max="4635" width="0.85546875" style="10" bestFit="1" customWidth="1"/>
    <col min="4636" max="4636" width="2.42578125" style="10" bestFit="1" customWidth="1"/>
    <col min="4637" max="4637" width="0.85546875" style="10" bestFit="1" customWidth="1"/>
    <col min="4638" max="4638" width="7.42578125" style="10" bestFit="1" customWidth="1"/>
    <col min="4639" max="4639" width="10.42578125" style="10" bestFit="1" customWidth="1"/>
    <col min="4640" max="4640" width="0.42578125" style="10" bestFit="1" customWidth="1"/>
    <col min="4641" max="4641" width="3.42578125" style="10" bestFit="1" customWidth="1"/>
    <col min="4642" max="4642" width="1.5703125" style="10" bestFit="1" customWidth="1"/>
    <col min="4643" max="4643" width="2.85546875" style="10" bestFit="1" customWidth="1"/>
    <col min="4644" max="4644" width="5.85546875" style="10" bestFit="1" customWidth="1"/>
    <col min="4645" max="4645" width="9.85546875" style="10" bestFit="1" customWidth="1"/>
    <col min="4646" max="4865" width="9.140625" style="10"/>
    <col min="4866" max="4866" width="4.42578125" style="10" bestFit="1" customWidth="1"/>
    <col min="4867" max="4868" width="3.85546875" style="10" bestFit="1" customWidth="1"/>
    <col min="4869" max="4869" width="8.42578125" style="10" bestFit="1" customWidth="1"/>
    <col min="4870" max="4870" width="5" style="10" bestFit="1" customWidth="1"/>
    <col min="4871" max="4872" width="3.5703125" style="10" bestFit="1" customWidth="1"/>
    <col min="4873" max="4873" width="5.5703125" style="10" bestFit="1" customWidth="1"/>
    <col min="4874" max="4874" width="5.140625" style="10" bestFit="1" customWidth="1"/>
    <col min="4875" max="4875" width="7.5703125" style="10" bestFit="1" customWidth="1"/>
    <col min="4876" max="4876" width="7.42578125" style="10" bestFit="1" customWidth="1"/>
    <col min="4877" max="4877" width="5.5703125" style="10" bestFit="1" customWidth="1"/>
    <col min="4878" max="4878" width="4.5703125" style="10" bestFit="1" customWidth="1"/>
    <col min="4879" max="4879" width="1.5703125" style="10" bestFit="1" customWidth="1"/>
    <col min="4880" max="4880" width="3.5703125" style="10" bestFit="1" customWidth="1"/>
    <col min="4881" max="4881" width="4.140625" style="10" bestFit="1" customWidth="1"/>
    <col min="4882" max="4882" width="5.140625" style="10" bestFit="1" customWidth="1"/>
    <col min="4883" max="4883" width="2.140625" style="10" bestFit="1" customWidth="1"/>
    <col min="4884" max="4884" width="3" style="10" bestFit="1" customWidth="1"/>
    <col min="4885" max="4885" width="4.5703125" style="10" bestFit="1" customWidth="1"/>
    <col min="4886" max="4886" width="0.85546875" style="10" bestFit="1" customWidth="1"/>
    <col min="4887" max="4887" width="7.5703125" style="10" bestFit="1" customWidth="1"/>
    <col min="4888" max="4888" width="1.5703125" style="10" bestFit="1" customWidth="1"/>
    <col min="4889" max="4889" width="2.140625" style="10" bestFit="1" customWidth="1"/>
    <col min="4890" max="4890" width="7.42578125" style="10" bestFit="1" customWidth="1"/>
    <col min="4891" max="4891" width="0.85546875" style="10" bestFit="1" customWidth="1"/>
    <col min="4892" max="4892" width="2.42578125" style="10" bestFit="1" customWidth="1"/>
    <col min="4893" max="4893" width="0.85546875" style="10" bestFit="1" customWidth="1"/>
    <col min="4894" max="4894" width="7.42578125" style="10" bestFit="1" customWidth="1"/>
    <col min="4895" max="4895" width="10.42578125" style="10" bestFit="1" customWidth="1"/>
    <col min="4896" max="4896" width="0.42578125" style="10" bestFit="1" customWidth="1"/>
    <col min="4897" max="4897" width="3.42578125" style="10" bestFit="1" customWidth="1"/>
    <col min="4898" max="4898" width="1.5703125" style="10" bestFit="1" customWidth="1"/>
    <col min="4899" max="4899" width="2.85546875" style="10" bestFit="1" customWidth="1"/>
    <col min="4900" max="4900" width="5.85546875" style="10" bestFit="1" customWidth="1"/>
    <col min="4901" max="4901" width="9.85546875" style="10" bestFit="1" customWidth="1"/>
    <col min="4902" max="5121" width="9.140625" style="10"/>
    <col min="5122" max="5122" width="4.42578125" style="10" bestFit="1" customWidth="1"/>
    <col min="5123" max="5124" width="3.85546875" style="10" bestFit="1" customWidth="1"/>
    <col min="5125" max="5125" width="8.42578125" style="10" bestFit="1" customWidth="1"/>
    <col min="5126" max="5126" width="5" style="10" bestFit="1" customWidth="1"/>
    <col min="5127" max="5128" width="3.5703125" style="10" bestFit="1" customWidth="1"/>
    <col min="5129" max="5129" width="5.5703125" style="10" bestFit="1" customWidth="1"/>
    <col min="5130" max="5130" width="5.140625" style="10" bestFit="1" customWidth="1"/>
    <col min="5131" max="5131" width="7.5703125" style="10" bestFit="1" customWidth="1"/>
    <col min="5132" max="5132" width="7.42578125" style="10" bestFit="1" customWidth="1"/>
    <col min="5133" max="5133" width="5.5703125" style="10" bestFit="1" customWidth="1"/>
    <col min="5134" max="5134" width="4.5703125" style="10" bestFit="1" customWidth="1"/>
    <col min="5135" max="5135" width="1.5703125" style="10" bestFit="1" customWidth="1"/>
    <col min="5136" max="5136" width="3.5703125" style="10" bestFit="1" customWidth="1"/>
    <col min="5137" max="5137" width="4.140625" style="10" bestFit="1" customWidth="1"/>
    <col min="5138" max="5138" width="5.140625" style="10" bestFit="1" customWidth="1"/>
    <col min="5139" max="5139" width="2.140625" style="10" bestFit="1" customWidth="1"/>
    <col min="5140" max="5140" width="3" style="10" bestFit="1" customWidth="1"/>
    <col min="5141" max="5141" width="4.5703125" style="10" bestFit="1" customWidth="1"/>
    <col min="5142" max="5142" width="0.85546875" style="10" bestFit="1" customWidth="1"/>
    <col min="5143" max="5143" width="7.5703125" style="10" bestFit="1" customWidth="1"/>
    <col min="5144" max="5144" width="1.5703125" style="10" bestFit="1" customWidth="1"/>
    <col min="5145" max="5145" width="2.140625" style="10" bestFit="1" customWidth="1"/>
    <col min="5146" max="5146" width="7.42578125" style="10" bestFit="1" customWidth="1"/>
    <col min="5147" max="5147" width="0.85546875" style="10" bestFit="1" customWidth="1"/>
    <col min="5148" max="5148" width="2.42578125" style="10" bestFit="1" customWidth="1"/>
    <col min="5149" max="5149" width="0.85546875" style="10" bestFit="1" customWidth="1"/>
    <col min="5150" max="5150" width="7.42578125" style="10" bestFit="1" customWidth="1"/>
    <col min="5151" max="5151" width="10.42578125" style="10" bestFit="1" customWidth="1"/>
    <col min="5152" max="5152" width="0.42578125" style="10" bestFit="1" customWidth="1"/>
    <col min="5153" max="5153" width="3.42578125" style="10" bestFit="1" customWidth="1"/>
    <col min="5154" max="5154" width="1.5703125" style="10" bestFit="1" customWidth="1"/>
    <col min="5155" max="5155" width="2.85546875" style="10" bestFit="1" customWidth="1"/>
    <col min="5156" max="5156" width="5.85546875" style="10" bestFit="1" customWidth="1"/>
    <col min="5157" max="5157" width="9.85546875" style="10" bestFit="1" customWidth="1"/>
    <col min="5158" max="5377" width="9.140625" style="10"/>
    <col min="5378" max="5378" width="4.42578125" style="10" bestFit="1" customWidth="1"/>
    <col min="5379" max="5380" width="3.85546875" style="10" bestFit="1" customWidth="1"/>
    <col min="5381" max="5381" width="8.42578125" style="10" bestFit="1" customWidth="1"/>
    <col min="5382" max="5382" width="5" style="10" bestFit="1" customWidth="1"/>
    <col min="5383" max="5384" width="3.5703125" style="10" bestFit="1" customWidth="1"/>
    <col min="5385" max="5385" width="5.5703125" style="10" bestFit="1" customWidth="1"/>
    <col min="5386" max="5386" width="5.140625" style="10" bestFit="1" customWidth="1"/>
    <col min="5387" max="5387" width="7.5703125" style="10" bestFit="1" customWidth="1"/>
    <col min="5388" max="5388" width="7.42578125" style="10" bestFit="1" customWidth="1"/>
    <col min="5389" max="5389" width="5.5703125" style="10" bestFit="1" customWidth="1"/>
    <col min="5390" max="5390" width="4.5703125" style="10" bestFit="1" customWidth="1"/>
    <col min="5391" max="5391" width="1.5703125" style="10" bestFit="1" customWidth="1"/>
    <col min="5392" max="5392" width="3.5703125" style="10" bestFit="1" customWidth="1"/>
    <col min="5393" max="5393" width="4.140625" style="10" bestFit="1" customWidth="1"/>
    <col min="5394" max="5394" width="5.140625" style="10" bestFit="1" customWidth="1"/>
    <col min="5395" max="5395" width="2.140625" style="10" bestFit="1" customWidth="1"/>
    <col min="5396" max="5396" width="3" style="10" bestFit="1" customWidth="1"/>
    <col min="5397" max="5397" width="4.5703125" style="10" bestFit="1" customWidth="1"/>
    <col min="5398" max="5398" width="0.85546875" style="10" bestFit="1" customWidth="1"/>
    <col min="5399" max="5399" width="7.5703125" style="10" bestFit="1" customWidth="1"/>
    <col min="5400" max="5400" width="1.5703125" style="10" bestFit="1" customWidth="1"/>
    <col min="5401" max="5401" width="2.140625" style="10" bestFit="1" customWidth="1"/>
    <col min="5402" max="5402" width="7.42578125" style="10" bestFit="1" customWidth="1"/>
    <col min="5403" max="5403" width="0.85546875" style="10" bestFit="1" customWidth="1"/>
    <col min="5404" max="5404" width="2.42578125" style="10" bestFit="1" customWidth="1"/>
    <col min="5405" max="5405" width="0.85546875" style="10" bestFit="1" customWidth="1"/>
    <col min="5406" max="5406" width="7.42578125" style="10" bestFit="1" customWidth="1"/>
    <col min="5407" max="5407" width="10.42578125" style="10" bestFit="1" customWidth="1"/>
    <col min="5408" max="5408" width="0.42578125" style="10" bestFit="1" customWidth="1"/>
    <col min="5409" max="5409" width="3.42578125" style="10" bestFit="1" customWidth="1"/>
    <col min="5410" max="5410" width="1.5703125" style="10" bestFit="1" customWidth="1"/>
    <col min="5411" max="5411" width="2.85546875" style="10" bestFit="1" customWidth="1"/>
    <col min="5412" max="5412" width="5.85546875" style="10" bestFit="1" customWidth="1"/>
    <col min="5413" max="5413" width="9.85546875" style="10" bestFit="1" customWidth="1"/>
    <col min="5414" max="5633" width="9.140625" style="10"/>
    <col min="5634" max="5634" width="4.42578125" style="10" bestFit="1" customWidth="1"/>
    <col min="5635" max="5636" width="3.85546875" style="10" bestFit="1" customWidth="1"/>
    <col min="5637" max="5637" width="8.42578125" style="10" bestFit="1" customWidth="1"/>
    <col min="5638" max="5638" width="5" style="10" bestFit="1" customWidth="1"/>
    <col min="5639" max="5640" width="3.5703125" style="10" bestFit="1" customWidth="1"/>
    <col min="5641" max="5641" width="5.5703125" style="10" bestFit="1" customWidth="1"/>
    <col min="5642" max="5642" width="5.140625" style="10" bestFit="1" customWidth="1"/>
    <col min="5643" max="5643" width="7.5703125" style="10" bestFit="1" customWidth="1"/>
    <col min="5644" max="5644" width="7.42578125" style="10" bestFit="1" customWidth="1"/>
    <col min="5645" max="5645" width="5.5703125" style="10" bestFit="1" customWidth="1"/>
    <col min="5646" max="5646" width="4.5703125" style="10" bestFit="1" customWidth="1"/>
    <col min="5647" max="5647" width="1.5703125" style="10" bestFit="1" customWidth="1"/>
    <col min="5648" max="5648" width="3.5703125" style="10" bestFit="1" customWidth="1"/>
    <col min="5649" max="5649" width="4.140625" style="10" bestFit="1" customWidth="1"/>
    <col min="5650" max="5650" width="5.140625" style="10" bestFit="1" customWidth="1"/>
    <col min="5651" max="5651" width="2.140625" style="10" bestFit="1" customWidth="1"/>
    <col min="5652" max="5652" width="3" style="10" bestFit="1" customWidth="1"/>
    <col min="5653" max="5653" width="4.5703125" style="10" bestFit="1" customWidth="1"/>
    <col min="5654" max="5654" width="0.85546875" style="10" bestFit="1" customWidth="1"/>
    <col min="5655" max="5655" width="7.5703125" style="10" bestFit="1" customWidth="1"/>
    <col min="5656" max="5656" width="1.5703125" style="10" bestFit="1" customWidth="1"/>
    <col min="5657" max="5657" width="2.140625" style="10" bestFit="1" customWidth="1"/>
    <col min="5658" max="5658" width="7.42578125" style="10" bestFit="1" customWidth="1"/>
    <col min="5659" max="5659" width="0.85546875" style="10" bestFit="1" customWidth="1"/>
    <col min="5660" max="5660" width="2.42578125" style="10" bestFit="1" customWidth="1"/>
    <col min="5661" max="5661" width="0.85546875" style="10" bestFit="1" customWidth="1"/>
    <col min="5662" max="5662" width="7.42578125" style="10" bestFit="1" customWidth="1"/>
    <col min="5663" max="5663" width="10.42578125" style="10" bestFit="1" customWidth="1"/>
    <col min="5664" max="5664" width="0.42578125" style="10" bestFit="1" customWidth="1"/>
    <col min="5665" max="5665" width="3.42578125" style="10" bestFit="1" customWidth="1"/>
    <col min="5666" max="5666" width="1.5703125" style="10" bestFit="1" customWidth="1"/>
    <col min="5667" max="5667" width="2.85546875" style="10" bestFit="1" customWidth="1"/>
    <col min="5668" max="5668" width="5.85546875" style="10" bestFit="1" customWidth="1"/>
    <col min="5669" max="5669" width="9.85546875" style="10" bestFit="1" customWidth="1"/>
    <col min="5670" max="5889" width="9.140625" style="10"/>
    <col min="5890" max="5890" width="4.42578125" style="10" bestFit="1" customWidth="1"/>
    <col min="5891" max="5892" width="3.85546875" style="10" bestFit="1" customWidth="1"/>
    <col min="5893" max="5893" width="8.42578125" style="10" bestFit="1" customWidth="1"/>
    <col min="5894" max="5894" width="5" style="10" bestFit="1" customWidth="1"/>
    <col min="5895" max="5896" width="3.5703125" style="10" bestFit="1" customWidth="1"/>
    <col min="5897" max="5897" width="5.5703125" style="10" bestFit="1" customWidth="1"/>
    <col min="5898" max="5898" width="5.140625" style="10" bestFit="1" customWidth="1"/>
    <col min="5899" max="5899" width="7.5703125" style="10" bestFit="1" customWidth="1"/>
    <col min="5900" max="5900" width="7.42578125" style="10" bestFit="1" customWidth="1"/>
    <col min="5901" max="5901" width="5.5703125" style="10" bestFit="1" customWidth="1"/>
    <col min="5902" max="5902" width="4.5703125" style="10" bestFit="1" customWidth="1"/>
    <col min="5903" max="5903" width="1.5703125" style="10" bestFit="1" customWidth="1"/>
    <col min="5904" max="5904" width="3.5703125" style="10" bestFit="1" customWidth="1"/>
    <col min="5905" max="5905" width="4.140625" style="10" bestFit="1" customWidth="1"/>
    <col min="5906" max="5906" width="5.140625" style="10" bestFit="1" customWidth="1"/>
    <col min="5907" max="5907" width="2.140625" style="10" bestFit="1" customWidth="1"/>
    <col min="5908" max="5908" width="3" style="10" bestFit="1" customWidth="1"/>
    <col min="5909" max="5909" width="4.5703125" style="10" bestFit="1" customWidth="1"/>
    <col min="5910" max="5910" width="0.85546875" style="10" bestFit="1" customWidth="1"/>
    <col min="5911" max="5911" width="7.5703125" style="10" bestFit="1" customWidth="1"/>
    <col min="5912" max="5912" width="1.5703125" style="10" bestFit="1" customWidth="1"/>
    <col min="5913" max="5913" width="2.140625" style="10" bestFit="1" customWidth="1"/>
    <col min="5914" max="5914" width="7.42578125" style="10" bestFit="1" customWidth="1"/>
    <col min="5915" max="5915" width="0.85546875" style="10" bestFit="1" customWidth="1"/>
    <col min="5916" max="5916" width="2.42578125" style="10" bestFit="1" customWidth="1"/>
    <col min="5917" max="5917" width="0.85546875" style="10" bestFit="1" customWidth="1"/>
    <col min="5918" max="5918" width="7.42578125" style="10" bestFit="1" customWidth="1"/>
    <col min="5919" max="5919" width="10.42578125" style="10" bestFit="1" customWidth="1"/>
    <col min="5920" max="5920" width="0.42578125" style="10" bestFit="1" customWidth="1"/>
    <col min="5921" max="5921" width="3.42578125" style="10" bestFit="1" customWidth="1"/>
    <col min="5922" max="5922" width="1.5703125" style="10" bestFit="1" customWidth="1"/>
    <col min="5923" max="5923" width="2.85546875" style="10" bestFit="1" customWidth="1"/>
    <col min="5924" max="5924" width="5.85546875" style="10" bestFit="1" customWidth="1"/>
    <col min="5925" max="5925" width="9.85546875" style="10" bestFit="1" customWidth="1"/>
    <col min="5926" max="6145" width="9.140625" style="10"/>
    <col min="6146" max="6146" width="4.42578125" style="10" bestFit="1" customWidth="1"/>
    <col min="6147" max="6148" width="3.85546875" style="10" bestFit="1" customWidth="1"/>
    <col min="6149" max="6149" width="8.42578125" style="10" bestFit="1" customWidth="1"/>
    <col min="6150" max="6150" width="5" style="10" bestFit="1" customWidth="1"/>
    <col min="6151" max="6152" width="3.5703125" style="10" bestFit="1" customWidth="1"/>
    <col min="6153" max="6153" width="5.5703125" style="10" bestFit="1" customWidth="1"/>
    <col min="6154" max="6154" width="5.140625" style="10" bestFit="1" customWidth="1"/>
    <col min="6155" max="6155" width="7.5703125" style="10" bestFit="1" customWidth="1"/>
    <col min="6156" max="6156" width="7.42578125" style="10" bestFit="1" customWidth="1"/>
    <col min="6157" max="6157" width="5.5703125" style="10" bestFit="1" customWidth="1"/>
    <col min="6158" max="6158" width="4.5703125" style="10" bestFit="1" customWidth="1"/>
    <col min="6159" max="6159" width="1.5703125" style="10" bestFit="1" customWidth="1"/>
    <col min="6160" max="6160" width="3.5703125" style="10" bestFit="1" customWidth="1"/>
    <col min="6161" max="6161" width="4.140625" style="10" bestFit="1" customWidth="1"/>
    <col min="6162" max="6162" width="5.140625" style="10" bestFit="1" customWidth="1"/>
    <col min="6163" max="6163" width="2.140625" style="10" bestFit="1" customWidth="1"/>
    <col min="6164" max="6164" width="3" style="10" bestFit="1" customWidth="1"/>
    <col min="6165" max="6165" width="4.5703125" style="10" bestFit="1" customWidth="1"/>
    <col min="6166" max="6166" width="0.85546875" style="10" bestFit="1" customWidth="1"/>
    <col min="6167" max="6167" width="7.5703125" style="10" bestFit="1" customWidth="1"/>
    <col min="6168" max="6168" width="1.5703125" style="10" bestFit="1" customWidth="1"/>
    <col min="6169" max="6169" width="2.140625" style="10" bestFit="1" customWidth="1"/>
    <col min="6170" max="6170" width="7.42578125" style="10" bestFit="1" customWidth="1"/>
    <col min="6171" max="6171" width="0.85546875" style="10" bestFit="1" customWidth="1"/>
    <col min="6172" max="6172" width="2.42578125" style="10" bestFit="1" customWidth="1"/>
    <col min="6173" max="6173" width="0.85546875" style="10" bestFit="1" customWidth="1"/>
    <col min="6174" max="6174" width="7.42578125" style="10" bestFit="1" customWidth="1"/>
    <col min="6175" max="6175" width="10.42578125" style="10" bestFit="1" customWidth="1"/>
    <col min="6176" max="6176" width="0.42578125" style="10" bestFit="1" customWidth="1"/>
    <col min="6177" max="6177" width="3.42578125" style="10" bestFit="1" customWidth="1"/>
    <col min="6178" max="6178" width="1.5703125" style="10" bestFit="1" customWidth="1"/>
    <col min="6179" max="6179" width="2.85546875" style="10" bestFit="1" customWidth="1"/>
    <col min="6180" max="6180" width="5.85546875" style="10" bestFit="1" customWidth="1"/>
    <col min="6181" max="6181" width="9.85546875" style="10" bestFit="1" customWidth="1"/>
    <col min="6182" max="6401" width="9.140625" style="10"/>
    <col min="6402" max="6402" width="4.42578125" style="10" bestFit="1" customWidth="1"/>
    <col min="6403" max="6404" width="3.85546875" style="10" bestFit="1" customWidth="1"/>
    <col min="6405" max="6405" width="8.42578125" style="10" bestFit="1" customWidth="1"/>
    <col min="6406" max="6406" width="5" style="10" bestFit="1" customWidth="1"/>
    <col min="6407" max="6408" width="3.5703125" style="10" bestFit="1" customWidth="1"/>
    <col min="6409" max="6409" width="5.5703125" style="10" bestFit="1" customWidth="1"/>
    <col min="6410" max="6410" width="5.140625" style="10" bestFit="1" customWidth="1"/>
    <col min="6411" max="6411" width="7.5703125" style="10" bestFit="1" customWidth="1"/>
    <col min="6412" max="6412" width="7.42578125" style="10" bestFit="1" customWidth="1"/>
    <col min="6413" max="6413" width="5.5703125" style="10" bestFit="1" customWidth="1"/>
    <col min="6414" max="6414" width="4.5703125" style="10" bestFit="1" customWidth="1"/>
    <col min="6415" max="6415" width="1.5703125" style="10" bestFit="1" customWidth="1"/>
    <col min="6416" max="6416" width="3.5703125" style="10" bestFit="1" customWidth="1"/>
    <col min="6417" max="6417" width="4.140625" style="10" bestFit="1" customWidth="1"/>
    <col min="6418" max="6418" width="5.140625" style="10" bestFit="1" customWidth="1"/>
    <col min="6419" max="6419" width="2.140625" style="10" bestFit="1" customWidth="1"/>
    <col min="6420" max="6420" width="3" style="10" bestFit="1" customWidth="1"/>
    <col min="6421" max="6421" width="4.5703125" style="10" bestFit="1" customWidth="1"/>
    <col min="6422" max="6422" width="0.85546875" style="10" bestFit="1" customWidth="1"/>
    <col min="6423" max="6423" width="7.5703125" style="10" bestFit="1" customWidth="1"/>
    <col min="6424" max="6424" width="1.5703125" style="10" bestFit="1" customWidth="1"/>
    <col min="6425" max="6425" width="2.140625" style="10" bestFit="1" customWidth="1"/>
    <col min="6426" max="6426" width="7.42578125" style="10" bestFit="1" customWidth="1"/>
    <col min="6427" max="6427" width="0.85546875" style="10" bestFit="1" customWidth="1"/>
    <col min="6428" max="6428" width="2.42578125" style="10" bestFit="1" customWidth="1"/>
    <col min="6429" max="6429" width="0.85546875" style="10" bestFit="1" customWidth="1"/>
    <col min="6430" max="6430" width="7.42578125" style="10" bestFit="1" customWidth="1"/>
    <col min="6431" max="6431" width="10.42578125" style="10" bestFit="1" customWidth="1"/>
    <col min="6432" max="6432" width="0.42578125" style="10" bestFit="1" customWidth="1"/>
    <col min="6433" max="6433" width="3.42578125" style="10" bestFit="1" customWidth="1"/>
    <col min="6434" max="6434" width="1.5703125" style="10" bestFit="1" customWidth="1"/>
    <col min="6435" max="6435" width="2.85546875" style="10" bestFit="1" customWidth="1"/>
    <col min="6436" max="6436" width="5.85546875" style="10" bestFit="1" customWidth="1"/>
    <col min="6437" max="6437" width="9.85546875" style="10" bestFit="1" customWidth="1"/>
    <col min="6438" max="6657" width="9.140625" style="10"/>
    <col min="6658" max="6658" width="4.42578125" style="10" bestFit="1" customWidth="1"/>
    <col min="6659" max="6660" width="3.85546875" style="10" bestFit="1" customWidth="1"/>
    <col min="6661" max="6661" width="8.42578125" style="10" bestFit="1" customWidth="1"/>
    <col min="6662" max="6662" width="5" style="10" bestFit="1" customWidth="1"/>
    <col min="6663" max="6664" width="3.5703125" style="10" bestFit="1" customWidth="1"/>
    <col min="6665" max="6665" width="5.5703125" style="10" bestFit="1" customWidth="1"/>
    <col min="6666" max="6666" width="5.140625" style="10" bestFit="1" customWidth="1"/>
    <col min="6667" max="6667" width="7.5703125" style="10" bestFit="1" customWidth="1"/>
    <col min="6668" max="6668" width="7.42578125" style="10" bestFit="1" customWidth="1"/>
    <col min="6669" max="6669" width="5.5703125" style="10" bestFit="1" customWidth="1"/>
    <col min="6670" max="6670" width="4.5703125" style="10" bestFit="1" customWidth="1"/>
    <col min="6671" max="6671" width="1.5703125" style="10" bestFit="1" customWidth="1"/>
    <col min="6672" max="6672" width="3.5703125" style="10" bestFit="1" customWidth="1"/>
    <col min="6673" max="6673" width="4.140625" style="10" bestFit="1" customWidth="1"/>
    <col min="6674" max="6674" width="5.140625" style="10" bestFit="1" customWidth="1"/>
    <col min="6675" max="6675" width="2.140625" style="10" bestFit="1" customWidth="1"/>
    <col min="6676" max="6676" width="3" style="10" bestFit="1" customWidth="1"/>
    <col min="6677" max="6677" width="4.5703125" style="10" bestFit="1" customWidth="1"/>
    <col min="6678" max="6678" width="0.85546875" style="10" bestFit="1" customWidth="1"/>
    <col min="6679" max="6679" width="7.5703125" style="10" bestFit="1" customWidth="1"/>
    <col min="6680" max="6680" width="1.5703125" style="10" bestFit="1" customWidth="1"/>
    <col min="6681" max="6681" width="2.140625" style="10" bestFit="1" customWidth="1"/>
    <col min="6682" max="6682" width="7.42578125" style="10" bestFit="1" customWidth="1"/>
    <col min="6683" max="6683" width="0.85546875" style="10" bestFit="1" customWidth="1"/>
    <col min="6684" max="6684" width="2.42578125" style="10" bestFit="1" customWidth="1"/>
    <col min="6685" max="6685" width="0.85546875" style="10" bestFit="1" customWidth="1"/>
    <col min="6686" max="6686" width="7.42578125" style="10" bestFit="1" customWidth="1"/>
    <col min="6687" max="6687" width="10.42578125" style="10" bestFit="1" customWidth="1"/>
    <col min="6688" max="6688" width="0.42578125" style="10" bestFit="1" customWidth="1"/>
    <col min="6689" max="6689" width="3.42578125" style="10" bestFit="1" customWidth="1"/>
    <col min="6690" max="6690" width="1.5703125" style="10" bestFit="1" customWidth="1"/>
    <col min="6691" max="6691" width="2.85546875" style="10" bestFit="1" customWidth="1"/>
    <col min="6692" max="6692" width="5.85546875" style="10" bestFit="1" customWidth="1"/>
    <col min="6693" max="6693" width="9.85546875" style="10" bestFit="1" customWidth="1"/>
    <col min="6694" max="6913" width="9.140625" style="10"/>
    <col min="6914" max="6914" width="4.42578125" style="10" bestFit="1" customWidth="1"/>
    <col min="6915" max="6916" width="3.85546875" style="10" bestFit="1" customWidth="1"/>
    <col min="6917" max="6917" width="8.42578125" style="10" bestFit="1" customWidth="1"/>
    <col min="6918" max="6918" width="5" style="10" bestFit="1" customWidth="1"/>
    <col min="6919" max="6920" width="3.5703125" style="10" bestFit="1" customWidth="1"/>
    <col min="6921" max="6921" width="5.5703125" style="10" bestFit="1" customWidth="1"/>
    <col min="6922" max="6922" width="5.140625" style="10" bestFit="1" customWidth="1"/>
    <col min="6923" max="6923" width="7.5703125" style="10" bestFit="1" customWidth="1"/>
    <col min="6924" max="6924" width="7.42578125" style="10" bestFit="1" customWidth="1"/>
    <col min="6925" max="6925" width="5.5703125" style="10" bestFit="1" customWidth="1"/>
    <col min="6926" max="6926" width="4.5703125" style="10" bestFit="1" customWidth="1"/>
    <col min="6927" max="6927" width="1.5703125" style="10" bestFit="1" customWidth="1"/>
    <col min="6928" max="6928" width="3.5703125" style="10" bestFit="1" customWidth="1"/>
    <col min="6929" max="6929" width="4.140625" style="10" bestFit="1" customWidth="1"/>
    <col min="6930" max="6930" width="5.140625" style="10" bestFit="1" customWidth="1"/>
    <col min="6931" max="6931" width="2.140625" style="10" bestFit="1" customWidth="1"/>
    <col min="6932" max="6932" width="3" style="10" bestFit="1" customWidth="1"/>
    <col min="6933" max="6933" width="4.5703125" style="10" bestFit="1" customWidth="1"/>
    <col min="6934" max="6934" width="0.85546875" style="10" bestFit="1" customWidth="1"/>
    <col min="6935" max="6935" width="7.5703125" style="10" bestFit="1" customWidth="1"/>
    <col min="6936" max="6936" width="1.5703125" style="10" bestFit="1" customWidth="1"/>
    <col min="6937" max="6937" width="2.140625" style="10" bestFit="1" customWidth="1"/>
    <col min="6938" max="6938" width="7.42578125" style="10" bestFit="1" customWidth="1"/>
    <col min="6939" max="6939" width="0.85546875" style="10" bestFit="1" customWidth="1"/>
    <col min="6940" max="6940" width="2.42578125" style="10" bestFit="1" customWidth="1"/>
    <col min="6941" max="6941" width="0.85546875" style="10" bestFit="1" customWidth="1"/>
    <col min="6942" max="6942" width="7.42578125" style="10" bestFit="1" customWidth="1"/>
    <col min="6943" max="6943" width="10.42578125" style="10" bestFit="1" customWidth="1"/>
    <col min="6944" max="6944" width="0.42578125" style="10" bestFit="1" customWidth="1"/>
    <col min="6945" max="6945" width="3.42578125" style="10" bestFit="1" customWidth="1"/>
    <col min="6946" max="6946" width="1.5703125" style="10" bestFit="1" customWidth="1"/>
    <col min="6947" max="6947" width="2.85546875" style="10" bestFit="1" customWidth="1"/>
    <col min="6948" max="6948" width="5.85546875" style="10" bestFit="1" customWidth="1"/>
    <col min="6949" max="6949" width="9.85546875" style="10" bestFit="1" customWidth="1"/>
    <col min="6950" max="7169" width="9.140625" style="10"/>
    <col min="7170" max="7170" width="4.42578125" style="10" bestFit="1" customWidth="1"/>
    <col min="7171" max="7172" width="3.85546875" style="10" bestFit="1" customWidth="1"/>
    <col min="7173" max="7173" width="8.42578125" style="10" bestFit="1" customWidth="1"/>
    <col min="7174" max="7174" width="5" style="10" bestFit="1" customWidth="1"/>
    <col min="7175" max="7176" width="3.5703125" style="10" bestFit="1" customWidth="1"/>
    <col min="7177" max="7177" width="5.5703125" style="10" bestFit="1" customWidth="1"/>
    <col min="7178" max="7178" width="5.140625" style="10" bestFit="1" customWidth="1"/>
    <col min="7179" max="7179" width="7.5703125" style="10" bestFit="1" customWidth="1"/>
    <col min="7180" max="7180" width="7.42578125" style="10" bestFit="1" customWidth="1"/>
    <col min="7181" max="7181" width="5.5703125" style="10" bestFit="1" customWidth="1"/>
    <col min="7182" max="7182" width="4.5703125" style="10" bestFit="1" customWidth="1"/>
    <col min="7183" max="7183" width="1.5703125" style="10" bestFit="1" customWidth="1"/>
    <col min="7184" max="7184" width="3.5703125" style="10" bestFit="1" customWidth="1"/>
    <col min="7185" max="7185" width="4.140625" style="10" bestFit="1" customWidth="1"/>
    <col min="7186" max="7186" width="5.140625" style="10" bestFit="1" customWidth="1"/>
    <col min="7187" max="7187" width="2.140625" style="10" bestFit="1" customWidth="1"/>
    <col min="7188" max="7188" width="3" style="10" bestFit="1" customWidth="1"/>
    <col min="7189" max="7189" width="4.5703125" style="10" bestFit="1" customWidth="1"/>
    <col min="7190" max="7190" width="0.85546875" style="10" bestFit="1" customWidth="1"/>
    <col min="7191" max="7191" width="7.5703125" style="10" bestFit="1" customWidth="1"/>
    <col min="7192" max="7192" width="1.5703125" style="10" bestFit="1" customWidth="1"/>
    <col min="7193" max="7193" width="2.140625" style="10" bestFit="1" customWidth="1"/>
    <col min="7194" max="7194" width="7.42578125" style="10" bestFit="1" customWidth="1"/>
    <col min="7195" max="7195" width="0.85546875" style="10" bestFit="1" customWidth="1"/>
    <col min="7196" max="7196" width="2.42578125" style="10" bestFit="1" customWidth="1"/>
    <col min="7197" max="7197" width="0.85546875" style="10" bestFit="1" customWidth="1"/>
    <col min="7198" max="7198" width="7.42578125" style="10" bestFit="1" customWidth="1"/>
    <col min="7199" max="7199" width="10.42578125" style="10" bestFit="1" customWidth="1"/>
    <col min="7200" max="7200" width="0.42578125" style="10" bestFit="1" customWidth="1"/>
    <col min="7201" max="7201" width="3.42578125" style="10" bestFit="1" customWidth="1"/>
    <col min="7202" max="7202" width="1.5703125" style="10" bestFit="1" customWidth="1"/>
    <col min="7203" max="7203" width="2.85546875" style="10" bestFit="1" customWidth="1"/>
    <col min="7204" max="7204" width="5.85546875" style="10" bestFit="1" customWidth="1"/>
    <col min="7205" max="7205" width="9.85546875" style="10" bestFit="1" customWidth="1"/>
    <col min="7206" max="7425" width="9.140625" style="10"/>
    <col min="7426" max="7426" width="4.42578125" style="10" bestFit="1" customWidth="1"/>
    <col min="7427" max="7428" width="3.85546875" style="10" bestFit="1" customWidth="1"/>
    <col min="7429" max="7429" width="8.42578125" style="10" bestFit="1" customWidth="1"/>
    <col min="7430" max="7430" width="5" style="10" bestFit="1" customWidth="1"/>
    <col min="7431" max="7432" width="3.5703125" style="10" bestFit="1" customWidth="1"/>
    <col min="7433" max="7433" width="5.5703125" style="10" bestFit="1" customWidth="1"/>
    <col min="7434" max="7434" width="5.140625" style="10" bestFit="1" customWidth="1"/>
    <col min="7435" max="7435" width="7.5703125" style="10" bestFit="1" customWidth="1"/>
    <col min="7436" max="7436" width="7.42578125" style="10" bestFit="1" customWidth="1"/>
    <col min="7437" max="7437" width="5.5703125" style="10" bestFit="1" customWidth="1"/>
    <col min="7438" max="7438" width="4.5703125" style="10" bestFit="1" customWidth="1"/>
    <col min="7439" max="7439" width="1.5703125" style="10" bestFit="1" customWidth="1"/>
    <col min="7440" max="7440" width="3.5703125" style="10" bestFit="1" customWidth="1"/>
    <col min="7441" max="7441" width="4.140625" style="10" bestFit="1" customWidth="1"/>
    <col min="7442" max="7442" width="5.140625" style="10" bestFit="1" customWidth="1"/>
    <col min="7443" max="7443" width="2.140625" style="10" bestFit="1" customWidth="1"/>
    <col min="7444" max="7444" width="3" style="10" bestFit="1" customWidth="1"/>
    <col min="7445" max="7445" width="4.5703125" style="10" bestFit="1" customWidth="1"/>
    <col min="7446" max="7446" width="0.85546875" style="10" bestFit="1" customWidth="1"/>
    <col min="7447" max="7447" width="7.5703125" style="10" bestFit="1" customWidth="1"/>
    <col min="7448" max="7448" width="1.5703125" style="10" bestFit="1" customWidth="1"/>
    <col min="7449" max="7449" width="2.140625" style="10" bestFit="1" customWidth="1"/>
    <col min="7450" max="7450" width="7.42578125" style="10" bestFit="1" customWidth="1"/>
    <col min="7451" max="7451" width="0.85546875" style="10" bestFit="1" customWidth="1"/>
    <col min="7452" max="7452" width="2.42578125" style="10" bestFit="1" customWidth="1"/>
    <col min="7453" max="7453" width="0.85546875" style="10" bestFit="1" customWidth="1"/>
    <col min="7454" max="7454" width="7.42578125" style="10" bestFit="1" customWidth="1"/>
    <col min="7455" max="7455" width="10.42578125" style="10" bestFit="1" customWidth="1"/>
    <col min="7456" max="7456" width="0.42578125" style="10" bestFit="1" customWidth="1"/>
    <col min="7457" max="7457" width="3.42578125" style="10" bestFit="1" customWidth="1"/>
    <col min="7458" max="7458" width="1.5703125" style="10" bestFit="1" customWidth="1"/>
    <col min="7459" max="7459" width="2.85546875" style="10" bestFit="1" customWidth="1"/>
    <col min="7460" max="7460" width="5.85546875" style="10" bestFit="1" customWidth="1"/>
    <col min="7461" max="7461" width="9.85546875" style="10" bestFit="1" customWidth="1"/>
    <col min="7462" max="7681" width="9.140625" style="10"/>
    <col min="7682" max="7682" width="4.42578125" style="10" bestFit="1" customWidth="1"/>
    <col min="7683" max="7684" width="3.85546875" style="10" bestFit="1" customWidth="1"/>
    <col min="7685" max="7685" width="8.42578125" style="10" bestFit="1" customWidth="1"/>
    <col min="7686" max="7686" width="5" style="10" bestFit="1" customWidth="1"/>
    <col min="7687" max="7688" width="3.5703125" style="10" bestFit="1" customWidth="1"/>
    <col min="7689" max="7689" width="5.5703125" style="10" bestFit="1" customWidth="1"/>
    <col min="7690" max="7690" width="5.140625" style="10" bestFit="1" customWidth="1"/>
    <col min="7691" max="7691" width="7.5703125" style="10" bestFit="1" customWidth="1"/>
    <col min="7692" max="7692" width="7.42578125" style="10" bestFit="1" customWidth="1"/>
    <col min="7693" max="7693" width="5.5703125" style="10" bestFit="1" customWidth="1"/>
    <col min="7694" max="7694" width="4.5703125" style="10" bestFit="1" customWidth="1"/>
    <col min="7695" max="7695" width="1.5703125" style="10" bestFit="1" customWidth="1"/>
    <col min="7696" max="7696" width="3.5703125" style="10" bestFit="1" customWidth="1"/>
    <col min="7697" max="7697" width="4.140625" style="10" bestFit="1" customWidth="1"/>
    <col min="7698" max="7698" width="5.140625" style="10" bestFit="1" customWidth="1"/>
    <col min="7699" max="7699" width="2.140625" style="10" bestFit="1" customWidth="1"/>
    <col min="7700" max="7700" width="3" style="10" bestFit="1" customWidth="1"/>
    <col min="7701" max="7701" width="4.5703125" style="10" bestFit="1" customWidth="1"/>
    <col min="7702" max="7702" width="0.85546875" style="10" bestFit="1" customWidth="1"/>
    <col min="7703" max="7703" width="7.5703125" style="10" bestFit="1" customWidth="1"/>
    <col min="7704" max="7704" width="1.5703125" style="10" bestFit="1" customWidth="1"/>
    <col min="7705" max="7705" width="2.140625" style="10" bestFit="1" customWidth="1"/>
    <col min="7706" max="7706" width="7.42578125" style="10" bestFit="1" customWidth="1"/>
    <col min="7707" max="7707" width="0.85546875" style="10" bestFit="1" customWidth="1"/>
    <col min="7708" max="7708" width="2.42578125" style="10" bestFit="1" customWidth="1"/>
    <col min="7709" max="7709" width="0.85546875" style="10" bestFit="1" customWidth="1"/>
    <col min="7710" max="7710" width="7.42578125" style="10" bestFit="1" customWidth="1"/>
    <col min="7711" max="7711" width="10.42578125" style="10" bestFit="1" customWidth="1"/>
    <col min="7712" max="7712" width="0.42578125" style="10" bestFit="1" customWidth="1"/>
    <col min="7713" max="7713" width="3.42578125" style="10" bestFit="1" customWidth="1"/>
    <col min="7714" max="7714" width="1.5703125" style="10" bestFit="1" customWidth="1"/>
    <col min="7715" max="7715" width="2.85546875" style="10" bestFit="1" customWidth="1"/>
    <col min="7716" max="7716" width="5.85546875" style="10" bestFit="1" customWidth="1"/>
    <col min="7717" max="7717" width="9.85546875" style="10" bestFit="1" customWidth="1"/>
    <col min="7718" max="7937" width="9.140625" style="10"/>
    <col min="7938" max="7938" width="4.42578125" style="10" bestFit="1" customWidth="1"/>
    <col min="7939" max="7940" width="3.85546875" style="10" bestFit="1" customWidth="1"/>
    <col min="7941" max="7941" width="8.42578125" style="10" bestFit="1" customWidth="1"/>
    <col min="7942" max="7942" width="5" style="10" bestFit="1" customWidth="1"/>
    <col min="7943" max="7944" width="3.5703125" style="10" bestFit="1" customWidth="1"/>
    <col min="7945" max="7945" width="5.5703125" style="10" bestFit="1" customWidth="1"/>
    <col min="7946" max="7946" width="5.140625" style="10" bestFit="1" customWidth="1"/>
    <col min="7947" max="7947" width="7.5703125" style="10" bestFit="1" customWidth="1"/>
    <col min="7948" max="7948" width="7.42578125" style="10" bestFit="1" customWidth="1"/>
    <col min="7949" max="7949" width="5.5703125" style="10" bestFit="1" customWidth="1"/>
    <col min="7950" max="7950" width="4.5703125" style="10" bestFit="1" customWidth="1"/>
    <col min="7951" max="7951" width="1.5703125" style="10" bestFit="1" customWidth="1"/>
    <col min="7952" max="7952" width="3.5703125" style="10" bestFit="1" customWidth="1"/>
    <col min="7953" max="7953" width="4.140625" style="10" bestFit="1" customWidth="1"/>
    <col min="7954" max="7954" width="5.140625" style="10" bestFit="1" customWidth="1"/>
    <col min="7955" max="7955" width="2.140625" style="10" bestFit="1" customWidth="1"/>
    <col min="7956" max="7956" width="3" style="10" bestFit="1" customWidth="1"/>
    <col min="7957" max="7957" width="4.5703125" style="10" bestFit="1" customWidth="1"/>
    <col min="7958" max="7958" width="0.85546875" style="10" bestFit="1" customWidth="1"/>
    <col min="7959" max="7959" width="7.5703125" style="10" bestFit="1" customWidth="1"/>
    <col min="7960" max="7960" width="1.5703125" style="10" bestFit="1" customWidth="1"/>
    <col min="7961" max="7961" width="2.140625" style="10" bestFit="1" customWidth="1"/>
    <col min="7962" max="7962" width="7.42578125" style="10" bestFit="1" customWidth="1"/>
    <col min="7963" max="7963" width="0.85546875" style="10" bestFit="1" customWidth="1"/>
    <col min="7964" max="7964" width="2.42578125" style="10" bestFit="1" customWidth="1"/>
    <col min="7965" max="7965" width="0.85546875" style="10" bestFit="1" customWidth="1"/>
    <col min="7966" max="7966" width="7.42578125" style="10" bestFit="1" customWidth="1"/>
    <col min="7967" max="7967" width="10.42578125" style="10" bestFit="1" customWidth="1"/>
    <col min="7968" max="7968" width="0.42578125" style="10" bestFit="1" customWidth="1"/>
    <col min="7969" max="7969" width="3.42578125" style="10" bestFit="1" customWidth="1"/>
    <col min="7970" max="7970" width="1.5703125" style="10" bestFit="1" customWidth="1"/>
    <col min="7971" max="7971" width="2.85546875" style="10" bestFit="1" customWidth="1"/>
    <col min="7972" max="7972" width="5.85546875" style="10" bestFit="1" customWidth="1"/>
    <col min="7973" max="7973" width="9.85546875" style="10" bestFit="1" customWidth="1"/>
    <col min="7974" max="8193" width="9.140625" style="10"/>
    <col min="8194" max="8194" width="4.42578125" style="10" bestFit="1" customWidth="1"/>
    <col min="8195" max="8196" width="3.85546875" style="10" bestFit="1" customWidth="1"/>
    <col min="8197" max="8197" width="8.42578125" style="10" bestFit="1" customWidth="1"/>
    <col min="8198" max="8198" width="5" style="10" bestFit="1" customWidth="1"/>
    <col min="8199" max="8200" width="3.5703125" style="10" bestFit="1" customWidth="1"/>
    <col min="8201" max="8201" width="5.5703125" style="10" bestFit="1" customWidth="1"/>
    <col min="8202" max="8202" width="5.140625" style="10" bestFit="1" customWidth="1"/>
    <col min="8203" max="8203" width="7.5703125" style="10" bestFit="1" customWidth="1"/>
    <col min="8204" max="8204" width="7.42578125" style="10" bestFit="1" customWidth="1"/>
    <col min="8205" max="8205" width="5.5703125" style="10" bestFit="1" customWidth="1"/>
    <col min="8206" max="8206" width="4.5703125" style="10" bestFit="1" customWidth="1"/>
    <col min="8207" max="8207" width="1.5703125" style="10" bestFit="1" customWidth="1"/>
    <col min="8208" max="8208" width="3.5703125" style="10" bestFit="1" customWidth="1"/>
    <col min="8209" max="8209" width="4.140625" style="10" bestFit="1" customWidth="1"/>
    <col min="8210" max="8210" width="5.140625" style="10" bestFit="1" customWidth="1"/>
    <col min="8211" max="8211" width="2.140625" style="10" bestFit="1" customWidth="1"/>
    <col min="8212" max="8212" width="3" style="10" bestFit="1" customWidth="1"/>
    <col min="8213" max="8213" width="4.5703125" style="10" bestFit="1" customWidth="1"/>
    <col min="8214" max="8214" width="0.85546875" style="10" bestFit="1" customWidth="1"/>
    <col min="8215" max="8215" width="7.5703125" style="10" bestFit="1" customWidth="1"/>
    <col min="8216" max="8216" width="1.5703125" style="10" bestFit="1" customWidth="1"/>
    <col min="8217" max="8217" width="2.140625" style="10" bestFit="1" customWidth="1"/>
    <col min="8218" max="8218" width="7.42578125" style="10" bestFit="1" customWidth="1"/>
    <col min="8219" max="8219" width="0.85546875" style="10" bestFit="1" customWidth="1"/>
    <col min="8220" max="8220" width="2.42578125" style="10" bestFit="1" customWidth="1"/>
    <col min="8221" max="8221" width="0.85546875" style="10" bestFit="1" customWidth="1"/>
    <col min="8222" max="8222" width="7.42578125" style="10" bestFit="1" customWidth="1"/>
    <col min="8223" max="8223" width="10.42578125" style="10" bestFit="1" customWidth="1"/>
    <col min="8224" max="8224" width="0.42578125" style="10" bestFit="1" customWidth="1"/>
    <col min="8225" max="8225" width="3.42578125" style="10" bestFit="1" customWidth="1"/>
    <col min="8226" max="8226" width="1.5703125" style="10" bestFit="1" customWidth="1"/>
    <col min="8227" max="8227" width="2.85546875" style="10" bestFit="1" customWidth="1"/>
    <col min="8228" max="8228" width="5.85546875" style="10" bestFit="1" customWidth="1"/>
    <col min="8229" max="8229" width="9.85546875" style="10" bestFit="1" customWidth="1"/>
    <col min="8230" max="8449" width="9.140625" style="10"/>
    <col min="8450" max="8450" width="4.42578125" style="10" bestFit="1" customWidth="1"/>
    <col min="8451" max="8452" width="3.85546875" style="10" bestFit="1" customWidth="1"/>
    <col min="8453" max="8453" width="8.42578125" style="10" bestFit="1" customWidth="1"/>
    <col min="8454" max="8454" width="5" style="10" bestFit="1" customWidth="1"/>
    <col min="8455" max="8456" width="3.5703125" style="10" bestFit="1" customWidth="1"/>
    <col min="8457" max="8457" width="5.5703125" style="10" bestFit="1" customWidth="1"/>
    <col min="8458" max="8458" width="5.140625" style="10" bestFit="1" customWidth="1"/>
    <col min="8459" max="8459" width="7.5703125" style="10" bestFit="1" customWidth="1"/>
    <col min="8460" max="8460" width="7.42578125" style="10" bestFit="1" customWidth="1"/>
    <col min="8461" max="8461" width="5.5703125" style="10" bestFit="1" customWidth="1"/>
    <col min="8462" max="8462" width="4.5703125" style="10" bestFit="1" customWidth="1"/>
    <col min="8463" max="8463" width="1.5703125" style="10" bestFit="1" customWidth="1"/>
    <col min="8464" max="8464" width="3.5703125" style="10" bestFit="1" customWidth="1"/>
    <col min="8465" max="8465" width="4.140625" style="10" bestFit="1" customWidth="1"/>
    <col min="8466" max="8466" width="5.140625" style="10" bestFit="1" customWidth="1"/>
    <col min="8467" max="8467" width="2.140625" style="10" bestFit="1" customWidth="1"/>
    <col min="8468" max="8468" width="3" style="10" bestFit="1" customWidth="1"/>
    <col min="8469" max="8469" width="4.5703125" style="10" bestFit="1" customWidth="1"/>
    <col min="8470" max="8470" width="0.85546875" style="10" bestFit="1" customWidth="1"/>
    <col min="8471" max="8471" width="7.5703125" style="10" bestFit="1" customWidth="1"/>
    <col min="8472" max="8472" width="1.5703125" style="10" bestFit="1" customWidth="1"/>
    <col min="8473" max="8473" width="2.140625" style="10" bestFit="1" customWidth="1"/>
    <col min="8474" max="8474" width="7.42578125" style="10" bestFit="1" customWidth="1"/>
    <col min="8475" max="8475" width="0.85546875" style="10" bestFit="1" customWidth="1"/>
    <col min="8476" max="8476" width="2.42578125" style="10" bestFit="1" customWidth="1"/>
    <col min="8477" max="8477" width="0.85546875" style="10" bestFit="1" customWidth="1"/>
    <col min="8478" max="8478" width="7.42578125" style="10" bestFit="1" customWidth="1"/>
    <col min="8479" max="8479" width="10.42578125" style="10" bestFit="1" customWidth="1"/>
    <col min="8480" max="8480" width="0.42578125" style="10" bestFit="1" customWidth="1"/>
    <col min="8481" max="8481" width="3.42578125" style="10" bestFit="1" customWidth="1"/>
    <col min="8482" max="8482" width="1.5703125" style="10" bestFit="1" customWidth="1"/>
    <col min="8483" max="8483" width="2.85546875" style="10" bestFit="1" customWidth="1"/>
    <col min="8484" max="8484" width="5.85546875" style="10" bestFit="1" customWidth="1"/>
    <col min="8485" max="8485" width="9.85546875" style="10" bestFit="1" customWidth="1"/>
    <col min="8486" max="8705" width="9.140625" style="10"/>
    <col min="8706" max="8706" width="4.42578125" style="10" bestFit="1" customWidth="1"/>
    <col min="8707" max="8708" width="3.85546875" style="10" bestFit="1" customWidth="1"/>
    <col min="8709" max="8709" width="8.42578125" style="10" bestFit="1" customWidth="1"/>
    <col min="8710" max="8710" width="5" style="10" bestFit="1" customWidth="1"/>
    <col min="8711" max="8712" width="3.5703125" style="10" bestFit="1" customWidth="1"/>
    <col min="8713" max="8713" width="5.5703125" style="10" bestFit="1" customWidth="1"/>
    <col min="8714" max="8714" width="5.140625" style="10" bestFit="1" customWidth="1"/>
    <col min="8715" max="8715" width="7.5703125" style="10" bestFit="1" customWidth="1"/>
    <col min="8716" max="8716" width="7.42578125" style="10" bestFit="1" customWidth="1"/>
    <col min="8717" max="8717" width="5.5703125" style="10" bestFit="1" customWidth="1"/>
    <col min="8718" max="8718" width="4.5703125" style="10" bestFit="1" customWidth="1"/>
    <col min="8719" max="8719" width="1.5703125" style="10" bestFit="1" customWidth="1"/>
    <col min="8720" max="8720" width="3.5703125" style="10" bestFit="1" customWidth="1"/>
    <col min="8721" max="8721" width="4.140625" style="10" bestFit="1" customWidth="1"/>
    <col min="8722" max="8722" width="5.140625" style="10" bestFit="1" customWidth="1"/>
    <col min="8723" max="8723" width="2.140625" style="10" bestFit="1" customWidth="1"/>
    <col min="8724" max="8724" width="3" style="10" bestFit="1" customWidth="1"/>
    <col min="8725" max="8725" width="4.5703125" style="10" bestFit="1" customWidth="1"/>
    <col min="8726" max="8726" width="0.85546875" style="10" bestFit="1" customWidth="1"/>
    <col min="8727" max="8727" width="7.5703125" style="10" bestFit="1" customWidth="1"/>
    <col min="8728" max="8728" width="1.5703125" style="10" bestFit="1" customWidth="1"/>
    <col min="8729" max="8729" width="2.140625" style="10" bestFit="1" customWidth="1"/>
    <col min="8730" max="8730" width="7.42578125" style="10" bestFit="1" customWidth="1"/>
    <col min="8731" max="8731" width="0.85546875" style="10" bestFit="1" customWidth="1"/>
    <col min="8732" max="8732" width="2.42578125" style="10" bestFit="1" customWidth="1"/>
    <col min="8733" max="8733" width="0.85546875" style="10" bestFit="1" customWidth="1"/>
    <col min="8734" max="8734" width="7.42578125" style="10" bestFit="1" customWidth="1"/>
    <col min="8735" max="8735" width="10.42578125" style="10" bestFit="1" customWidth="1"/>
    <col min="8736" max="8736" width="0.42578125" style="10" bestFit="1" customWidth="1"/>
    <col min="8737" max="8737" width="3.42578125" style="10" bestFit="1" customWidth="1"/>
    <col min="8738" max="8738" width="1.5703125" style="10" bestFit="1" customWidth="1"/>
    <col min="8739" max="8739" width="2.85546875" style="10" bestFit="1" customWidth="1"/>
    <col min="8740" max="8740" width="5.85546875" style="10" bestFit="1" customWidth="1"/>
    <col min="8741" max="8741" width="9.85546875" style="10" bestFit="1" customWidth="1"/>
    <col min="8742" max="8961" width="9.140625" style="10"/>
    <col min="8962" max="8962" width="4.42578125" style="10" bestFit="1" customWidth="1"/>
    <col min="8963" max="8964" width="3.85546875" style="10" bestFit="1" customWidth="1"/>
    <col min="8965" max="8965" width="8.42578125" style="10" bestFit="1" customWidth="1"/>
    <col min="8966" max="8966" width="5" style="10" bestFit="1" customWidth="1"/>
    <col min="8967" max="8968" width="3.5703125" style="10" bestFit="1" customWidth="1"/>
    <col min="8969" max="8969" width="5.5703125" style="10" bestFit="1" customWidth="1"/>
    <col min="8970" max="8970" width="5.140625" style="10" bestFit="1" customWidth="1"/>
    <col min="8971" max="8971" width="7.5703125" style="10" bestFit="1" customWidth="1"/>
    <col min="8972" max="8972" width="7.42578125" style="10" bestFit="1" customWidth="1"/>
    <col min="8973" max="8973" width="5.5703125" style="10" bestFit="1" customWidth="1"/>
    <col min="8974" max="8974" width="4.5703125" style="10" bestFit="1" customWidth="1"/>
    <col min="8975" max="8975" width="1.5703125" style="10" bestFit="1" customWidth="1"/>
    <col min="8976" max="8976" width="3.5703125" style="10" bestFit="1" customWidth="1"/>
    <col min="8977" max="8977" width="4.140625" style="10" bestFit="1" customWidth="1"/>
    <col min="8978" max="8978" width="5.140625" style="10" bestFit="1" customWidth="1"/>
    <col min="8979" max="8979" width="2.140625" style="10" bestFit="1" customWidth="1"/>
    <col min="8980" max="8980" width="3" style="10" bestFit="1" customWidth="1"/>
    <col min="8981" max="8981" width="4.5703125" style="10" bestFit="1" customWidth="1"/>
    <col min="8982" max="8982" width="0.85546875" style="10" bestFit="1" customWidth="1"/>
    <col min="8983" max="8983" width="7.5703125" style="10" bestFit="1" customWidth="1"/>
    <col min="8984" max="8984" width="1.5703125" style="10" bestFit="1" customWidth="1"/>
    <col min="8985" max="8985" width="2.140625" style="10" bestFit="1" customWidth="1"/>
    <col min="8986" max="8986" width="7.42578125" style="10" bestFit="1" customWidth="1"/>
    <col min="8987" max="8987" width="0.85546875" style="10" bestFit="1" customWidth="1"/>
    <col min="8988" max="8988" width="2.42578125" style="10" bestFit="1" customWidth="1"/>
    <col min="8989" max="8989" width="0.85546875" style="10" bestFit="1" customWidth="1"/>
    <col min="8990" max="8990" width="7.42578125" style="10" bestFit="1" customWidth="1"/>
    <col min="8991" max="8991" width="10.42578125" style="10" bestFit="1" customWidth="1"/>
    <col min="8992" max="8992" width="0.42578125" style="10" bestFit="1" customWidth="1"/>
    <col min="8993" max="8993" width="3.42578125" style="10" bestFit="1" customWidth="1"/>
    <col min="8994" max="8994" width="1.5703125" style="10" bestFit="1" customWidth="1"/>
    <col min="8995" max="8995" width="2.85546875" style="10" bestFit="1" customWidth="1"/>
    <col min="8996" max="8996" width="5.85546875" style="10" bestFit="1" customWidth="1"/>
    <col min="8997" max="8997" width="9.85546875" style="10" bestFit="1" customWidth="1"/>
    <col min="8998" max="9217" width="9.140625" style="10"/>
    <col min="9218" max="9218" width="4.42578125" style="10" bestFit="1" customWidth="1"/>
    <col min="9219" max="9220" width="3.85546875" style="10" bestFit="1" customWidth="1"/>
    <col min="9221" max="9221" width="8.42578125" style="10" bestFit="1" customWidth="1"/>
    <col min="9222" max="9222" width="5" style="10" bestFit="1" customWidth="1"/>
    <col min="9223" max="9224" width="3.5703125" style="10" bestFit="1" customWidth="1"/>
    <col min="9225" max="9225" width="5.5703125" style="10" bestFit="1" customWidth="1"/>
    <col min="9226" max="9226" width="5.140625" style="10" bestFit="1" customWidth="1"/>
    <col min="9227" max="9227" width="7.5703125" style="10" bestFit="1" customWidth="1"/>
    <col min="9228" max="9228" width="7.42578125" style="10" bestFit="1" customWidth="1"/>
    <col min="9229" max="9229" width="5.5703125" style="10" bestFit="1" customWidth="1"/>
    <col min="9230" max="9230" width="4.5703125" style="10" bestFit="1" customWidth="1"/>
    <col min="9231" max="9231" width="1.5703125" style="10" bestFit="1" customWidth="1"/>
    <col min="9232" max="9232" width="3.5703125" style="10" bestFit="1" customWidth="1"/>
    <col min="9233" max="9233" width="4.140625" style="10" bestFit="1" customWidth="1"/>
    <col min="9234" max="9234" width="5.140625" style="10" bestFit="1" customWidth="1"/>
    <col min="9235" max="9235" width="2.140625" style="10" bestFit="1" customWidth="1"/>
    <col min="9236" max="9236" width="3" style="10" bestFit="1" customWidth="1"/>
    <col min="9237" max="9237" width="4.5703125" style="10" bestFit="1" customWidth="1"/>
    <col min="9238" max="9238" width="0.85546875" style="10" bestFit="1" customWidth="1"/>
    <col min="9239" max="9239" width="7.5703125" style="10" bestFit="1" customWidth="1"/>
    <col min="9240" max="9240" width="1.5703125" style="10" bestFit="1" customWidth="1"/>
    <col min="9241" max="9241" width="2.140625" style="10" bestFit="1" customWidth="1"/>
    <col min="9242" max="9242" width="7.42578125" style="10" bestFit="1" customWidth="1"/>
    <col min="9243" max="9243" width="0.85546875" style="10" bestFit="1" customWidth="1"/>
    <col min="9244" max="9244" width="2.42578125" style="10" bestFit="1" customWidth="1"/>
    <col min="9245" max="9245" width="0.85546875" style="10" bestFit="1" customWidth="1"/>
    <col min="9246" max="9246" width="7.42578125" style="10" bestFit="1" customWidth="1"/>
    <col min="9247" max="9247" width="10.42578125" style="10" bestFit="1" customWidth="1"/>
    <col min="9248" max="9248" width="0.42578125" style="10" bestFit="1" customWidth="1"/>
    <col min="9249" max="9249" width="3.42578125" style="10" bestFit="1" customWidth="1"/>
    <col min="9250" max="9250" width="1.5703125" style="10" bestFit="1" customWidth="1"/>
    <col min="9251" max="9251" width="2.85546875" style="10" bestFit="1" customWidth="1"/>
    <col min="9252" max="9252" width="5.85546875" style="10" bestFit="1" customWidth="1"/>
    <col min="9253" max="9253" width="9.85546875" style="10" bestFit="1" customWidth="1"/>
    <col min="9254" max="9473" width="9.140625" style="10"/>
    <col min="9474" max="9474" width="4.42578125" style="10" bestFit="1" customWidth="1"/>
    <col min="9475" max="9476" width="3.85546875" style="10" bestFit="1" customWidth="1"/>
    <col min="9477" max="9477" width="8.42578125" style="10" bestFit="1" customWidth="1"/>
    <col min="9478" max="9478" width="5" style="10" bestFit="1" customWidth="1"/>
    <col min="9479" max="9480" width="3.5703125" style="10" bestFit="1" customWidth="1"/>
    <col min="9481" max="9481" width="5.5703125" style="10" bestFit="1" customWidth="1"/>
    <col min="9482" max="9482" width="5.140625" style="10" bestFit="1" customWidth="1"/>
    <col min="9483" max="9483" width="7.5703125" style="10" bestFit="1" customWidth="1"/>
    <col min="9484" max="9484" width="7.42578125" style="10" bestFit="1" customWidth="1"/>
    <col min="9485" max="9485" width="5.5703125" style="10" bestFit="1" customWidth="1"/>
    <col min="9486" max="9486" width="4.5703125" style="10" bestFit="1" customWidth="1"/>
    <col min="9487" max="9487" width="1.5703125" style="10" bestFit="1" customWidth="1"/>
    <col min="9488" max="9488" width="3.5703125" style="10" bestFit="1" customWidth="1"/>
    <col min="9489" max="9489" width="4.140625" style="10" bestFit="1" customWidth="1"/>
    <col min="9490" max="9490" width="5.140625" style="10" bestFit="1" customWidth="1"/>
    <col min="9491" max="9491" width="2.140625" style="10" bestFit="1" customWidth="1"/>
    <col min="9492" max="9492" width="3" style="10" bestFit="1" customWidth="1"/>
    <col min="9493" max="9493" width="4.5703125" style="10" bestFit="1" customWidth="1"/>
    <col min="9494" max="9494" width="0.85546875" style="10" bestFit="1" customWidth="1"/>
    <col min="9495" max="9495" width="7.5703125" style="10" bestFit="1" customWidth="1"/>
    <col min="9496" max="9496" width="1.5703125" style="10" bestFit="1" customWidth="1"/>
    <col min="9497" max="9497" width="2.140625" style="10" bestFit="1" customWidth="1"/>
    <col min="9498" max="9498" width="7.42578125" style="10" bestFit="1" customWidth="1"/>
    <col min="9499" max="9499" width="0.85546875" style="10" bestFit="1" customWidth="1"/>
    <col min="9500" max="9500" width="2.42578125" style="10" bestFit="1" customWidth="1"/>
    <col min="9501" max="9501" width="0.85546875" style="10" bestFit="1" customWidth="1"/>
    <col min="9502" max="9502" width="7.42578125" style="10" bestFit="1" customWidth="1"/>
    <col min="9503" max="9503" width="10.42578125" style="10" bestFit="1" customWidth="1"/>
    <col min="9504" max="9504" width="0.42578125" style="10" bestFit="1" customWidth="1"/>
    <col min="9505" max="9505" width="3.42578125" style="10" bestFit="1" customWidth="1"/>
    <col min="9506" max="9506" width="1.5703125" style="10" bestFit="1" customWidth="1"/>
    <col min="9507" max="9507" width="2.85546875" style="10" bestFit="1" customWidth="1"/>
    <col min="9508" max="9508" width="5.85546875" style="10" bestFit="1" customWidth="1"/>
    <col min="9509" max="9509" width="9.85546875" style="10" bestFit="1" customWidth="1"/>
    <col min="9510" max="9729" width="9.140625" style="10"/>
    <col min="9730" max="9730" width="4.42578125" style="10" bestFit="1" customWidth="1"/>
    <col min="9731" max="9732" width="3.85546875" style="10" bestFit="1" customWidth="1"/>
    <col min="9733" max="9733" width="8.42578125" style="10" bestFit="1" customWidth="1"/>
    <col min="9734" max="9734" width="5" style="10" bestFit="1" customWidth="1"/>
    <col min="9735" max="9736" width="3.5703125" style="10" bestFit="1" customWidth="1"/>
    <col min="9737" max="9737" width="5.5703125" style="10" bestFit="1" customWidth="1"/>
    <col min="9738" max="9738" width="5.140625" style="10" bestFit="1" customWidth="1"/>
    <col min="9739" max="9739" width="7.5703125" style="10" bestFit="1" customWidth="1"/>
    <col min="9740" max="9740" width="7.42578125" style="10" bestFit="1" customWidth="1"/>
    <col min="9741" max="9741" width="5.5703125" style="10" bestFit="1" customWidth="1"/>
    <col min="9742" max="9742" width="4.5703125" style="10" bestFit="1" customWidth="1"/>
    <col min="9743" max="9743" width="1.5703125" style="10" bestFit="1" customWidth="1"/>
    <col min="9744" max="9744" width="3.5703125" style="10" bestFit="1" customWidth="1"/>
    <col min="9745" max="9745" width="4.140625" style="10" bestFit="1" customWidth="1"/>
    <col min="9746" max="9746" width="5.140625" style="10" bestFit="1" customWidth="1"/>
    <col min="9747" max="9747" width="2.140625" style="10" bestFit="1" customWidth="1"/>
    <col min="9748" max="9748" width="3" style="10" bestFit="1" customWidth="1"/>
    <col min="9749" max="9749" width="4.5703125" style="10" bestFit="1" customWidth="1"/>
    <col min="9750" max="9750" width="0.85546875" style="10" bestFit="1" customWidth="1"/>
    <col min="9751" max="9751" width="7.5703125" style="10" bestFit="1" customWidth="1"/>
    <col min="9752" max="9752" width="1.5703125" style="10" bestFit="1" customWidth="1"/>
    <col min="9753" max="9753" width="2.140625" style="10" bestFit="1" customWidth="1"/>
    <col min="9754" max="9754" width="7.42578125" style="10" bestFit="1" customWidth="1"/>
    <col min="9755" max="9755" width="0.85546875" style="10" bestFit="1" customWidth="1"/>
    <col min="9756" max="9756" width="2.42578125" style="10" bestFit="1" customWidth="1"/>
    <col min="9757" max="9757" width="0.85546875" style="10" bestFit="1" customWidth="1"/>
    <col min="9758" max="9758" width="7.42578125" style="10" bestFit="1" customWidth="1"/>
    <col min="9759" max="9759" width="10.42578125" style="10" bestFit="1" customWidth="1"/>
    <col min="9760" max="9760" width="0.42578125" style="10" bestFit="1" customWidth="1"/>
    <col min="9761" max="9761" width="3.42578125" style="10" bestFit="1" customWidth="1"/>
    <col min="9762" max="9762" width="1.5703125" style="10" bestFit="1" customWidth="1"/>
    <col min="9763" max="9763" width="2.85546875" style="10" bestFit="1" customWidth="1"/>
    <col min="9764" max="9764" width="5.85546875" style="10" bestFit="1" customWidth="1"/>
    <col min="9765" max="9765" width="9.85546875" style="10" bestFit="1" customWidth="1"/>
    <col min="9766" max="9985" width="9.140625" style="10"/>
    <col min="9986" max="9986" width="4.42578125" style="10" bestFit="1" customWidth="1"/>
    <col min="9987" max="9988" width="3.85546875" style="10" bestFit="1" customWidth="1"/>
    <col min="9989" max="9989" width="8.42578125" style="10" bestFit="1" customWidth="1"/>
    <col min="9990" max="9990" width="5" style="10" bestFit="1" customWidth="1"/>
    <col min="9991" max="9992" width="3.5703125" style="10" bestFit="1" customWidth="1"/>
    <col min="9993" max="9993" width="5.5703125" style="10" bestFit="1" customWidth="1"/>
    <col min="9994" max="9994" width="5.140625" style="10" bestFit="1" customWidth="1"/>
    <col min="9995" max="9995" width="7.5703125" style="10" bestFit="1" customWidth="1"/>
    <col min="9996" max="9996" width="7.42578125" style="10" bestFit="1" customWidth="1"/>
    <col min="9997" max="9997" width="5.5703125" style="10" bestFit="1" customWidth="1"/>
    <col min="9998" max="9998" width="4.5703125" style="10" bestFit="1" customWidth="1"/>
    <col min="9999" max="9999" width="1.5703125" style="10" bestFit="1" customWidth="1"/>
    <col min="10000" max="10000" width="3.5703125" style="10" bestFit="1" customWidth="1"/>
    <col min="10001" max="10001" width="4.140625" style="10" bestFit="1" customWidth="1"/>
    <col min="10002" max="10002" width="5.140625" style="10" bestFit="1" customWidth="1"/>
    <col min="10003" max="10003" width="2.140625" style="10" bestFit="1" customWidth="1"/>
    <col min="10004" max="10004" width="3" style="10" bestFit="1" customWidth="1"/>
    <col min="10005" max="10005" width="4.5703125" style="10" bestFit="1" customWidth="1"/>
    <col min="10006" max="10006" width="0.85546875" style="10" bestFit="1" customWidth="1"/>
    <col min="10007" max="10007" width="7.5703125" style="10" bestFit="1" customWidth="1"/>
    <col min="10008" max="10008" width="1.5703125" style="10" bestFit="1" customWidth="1"/>
    <col min="10009" max="10009" width="2.140625" style="10" bestFit="1" customWidth="1"/>
    <col min="10010" max="10010" width="7.42578125" style="10" bestFit="1" customWidth="1"/>
    <col min="10011" max="10011" width="0.85546875" style="10" bestFit="1" customWidth="1"/>
    <col min="10012" max="10012" width="2.42578125" style="10" bestFit="1" customWidth="1"/>
    <col min="10013" max="10013" width="0.85546875" style="10" bestFit="1" customWidth="1"/>
    <col min="10014" max="10014" width="7.42578125" style="10" bestFit="1" customWidth="1"/>
    <col min="10015" max="10015" width="10.42578125" style="10" bestFit="1" customWidth="1"/>
    <col min="10016" max="10016" width="0.42578125" style="10" bestFit="1" customWidth="1"/>
    <col min="10017" max="10017" width="3.42578125" style="10" bestFit="1" customWidth="1"/>
    <col min="10018" max="10018" width="1.5703125" style="10" bestFit="1" customWidth="1"/>
    <col min="10019" max="10019" width="2.85546875" style="10" bestFit="1" customWidth="1"/>
    <col min="10020" max="10020" width="5.85546875" style="10" bestFit="1" customWidth="1"/>
    <col min="10021" max="10021" width="9.85546875" style="10" bestFit="1" customWidth="1"/>
    <col min="10022" max="10241" width="9.140625" style="10"/>
    <col min="10242" max="10242" width="4.42578125" style="10" bestFit="1" customWidth="1"/>
    <col min="10243" max="10244" width="3.85546875" style="10" bestFit="1" customWidth="1"/>
    <col min="10245" max="10245" width="8.42578125" style="10" bestFit="1" customWidth="1"/>
    <col min="10246" max="10246" width="5" style="10" bestFit="1" customWidth="1"/>
    <col min="10247" max="10248" width="3.5703125" style="10" bestFit="1" customWidth="1"/>
    <col min="10249" max="10249" width="5.5703125" style="10" bestFit="1" customWidth="1"/>
    <col min="10250" max="10250" width="5.140625" style="10" bestFit="1" customWidth="1"/>
    <col min="10251" max="10251" width="7.5703125" style="10" bestFit="1" customWidth="1"/>
    <col min="10252" max="10252" width="7.42578125" style="10" bestFit="1" customWidth="1"/>
    <col min="10253" max="10253" width="5.5703125" style="10" bestFit="1" customWidth="1"/>
    <col min="10254" max="10254" width="4.5703125" style="10" bestFit="1" customWidth="1"/>
    <col min="10255" max="10255" width="1.5703125" style="10" bestFit="1" customWidth="1"/>
    <col min="10256" max="10256" width="3.5703125" style="10" bestFit="1" customWidth="1"/>
    <col min="10257" max="10257" width="4.140625" style="10" bestFit="1" customWidth="1"/>
    <col min="10258" max="10258" width="5.140625" style="10" bestFit="1" customWidth="1"/>
    <col min="10259" max="10259" width="2.140625" style="10" bestFit="1" customWidth="1"/>
    <col min="10260" max="10260" width="3" style="10" bestFit="1" customWidth="1"/>
    <col min="10261" max="10261" width="4.5703125" style="10" bestFit="1" customWidth="1"/>
    <col min="10262" max="10262" width="0.85546875" style="10" bestFit="1" customWidth="1"/>
    <col min="10263" max="10263" width="7.5703125" style="10" bestFit="1" customWidth="1"/>
    <col min="10264" max="10264" width="1.5703125" style="10" bestFit="1" customWidth="1"/>
    <col min="10265" max="10265" width="2.140625" style="10" bestFit="1" customWidth="1"/>
    <col min="10266" max="10266" width="7.42578125" style="10" bestFit="1" customWidth="1"/>
    <col min="10267" max="10267" width="0.85546875" style="10" bestFit="1" customWidth="1"/>
    <col min="10268" max="10268" width="2.42578125" style="10" bestFit="1" customWidth="1"/>
    <col min="10269" max="10269" width="0.85546875" style="10" bestFit="1" customWidth="1"/>
    <col min="10270" max="10270" width="7.42578125" style="10" bestFit="1" customWidth="1"/>
    <col min="10271" max="10271" width="10.42578125" style="10" bestFit="1" customWidth="1"/>
    <col min="10272" max="10272" width="0.42578125" style="10" bestFit="1" customWidth="1"/>
    <col min="10273" max="10273" width="3.42578125" style="10" bestFit="1" customWidth="1"/>
    <col min="10274" max="10274" width="1.5703125" style="10" bestFit="1" customWidth="1"/>
    <col min="10275" max="10275" width="2.85546875" style="10" bestFit="1" customWidth="1"/>
    <col min="10276" max="10276" width="5.85546875" style="10" bestFit="1" customWidth="1"/>
    <col min="10277" max="10277" width="9.85546875" style="10" bestFit="1" customWidth="1"/>
    <col min="10278" max="10497" width="9.140625" style="10"/>
    <col min="10498" max="10498" width="4.42578125" style="10" bestFit="1" customWidth="1"/>
    <col min="10499" max="10500" width="3.85546875" style="10" bestFit="1" customWidth="1"/>
    <col min="10501" max="10501" width="8.42578125" style="10" bestFit="1" customWidth="1"/>
    <col min="10502" max="10502" width="5" style="10" bestFit="1" customWidth="1"/>
    <col min="10503" max="10504" width="3.5703125" style="10" bestFit="1" customWidth="1"/>
    <col min="10505" max="10505" width="5.5703125" style="10" bestFit="1" customWidth="1"/>
    <col min="10506" max="10506" width="5.140625" style="10" bestFit="1" customWidth="1"/>
    <col min="10507" max="10507" width="7.5703125" style="10" bestFit="1" customWidth="1"/>
    <col min="10508" max="10508" width="7.42578125" style="10" bestFit="1" customWidth="1"/>
    <col min="10509" max="10509" width="5.5703125" style="10" bestFit="1" customWidth="1"/>
    <col min="10510" max="10510" width="4.5703125" style="10" bestFit="1" customWidth="1"/>
    <col min="10511" max="10511" width="1.5703125" style="10" bestFit="1" customWidth="1"/>
    <col min="10512" max="10512" width="3.5703125" style="10" bestFit="1" customWidth="1"/>
    <col min="10513" max="10513" width="4.140625" style="10" bestFit="1" customWidth="1"/>
    <col min="10514" max="10514" width="5.140625" style="10" bestFit="1" customWidth="1"/>
    <col min="10515" max="10515" width="2.140625" style="10" bestFit="1" customWidth="1"/>
    <col min="10516" max="10516" width="3" style="10" bestFit="1" customWidth="1"/>
    <col min="10517" max="10517" width="4.5703125" style="10" bestFit="1" customWidth="1"/>
    <col min="10518" max="10518" width="0.85546875" style="10" bestFit="1" customWidth="1"/>
    <col min="10519" max="10519" width="7.5703125" style="10" bestFit="1" customWidth="1"/>
    <col min="10520" max="10520" width="1.5703125" style="10" bestFit="1" customWidth="1"/>
    <col min="10521" max="10521" width="2.140625" style="10" bestFit="1" customWidth="1"/>
    <col min="10522" max="10522" width="7.42578125" style="10" bestFit="1" customWidth="1"/>
    <col min="10523" max="10523" width="0.85546875" style="10" bestFit="1" customWidth="1"/>
    <col min="10524" max="10524" width="2.42578125" style="10" bestFit="1" customWidth="1"/>
    <col min="10525" max="10525" width="0.85546875" style="10" bestFit="1" customWidth="1"/>
    <col min="10526" max="10526" width="7.42578125" style="10" bestFit="1" customWidth="1"/>
    <col min="10527" max="10527" width="10.42578125" style="10" bestFit="1" customWidth="1"/>
    <col min="10528" max="10528" width="0.42578125" style="10" bestFit="1" customWidth="1"/>
    <col min="10529" max="10529" width="3.42578125" style="10" bestFit="1" customWidth="1"/>
    <col min="10530" max="10530" width="1.5703125" style="10" bestFit="1" customWidth="1"/>
    <col min="10531" max="10531" width="2.85546875" style="10" bestFit="1" customWidth="1"/>
    <col min="10532" max="10532" width="5.85546875" style="10" bestFit="1" customWidth="1"/>
    <col min="10533" max="10533" width="9.85546875" style="10" bestFit="1" customWidth="1"/>
    <col min="10534" max="10753" width="9.140625" style="10"/>
    <col min="10754" max="10754" width="4.42578125" style="10" bestFit="1" customWidth="1"/>
    <col min="10755" max="10756" width="3.85546875" style="10" bestFit="1" customWidth="1"/>
    <col min="10757" max="10757" width="8.42578125" style="10" bestFit="1" customWidth="1"/>
    <col min="10758" max="10758" width="5" style="10" bestFit="1" customWidth="1"/>
    <col min="10759" max="10760" width="3.5703125" style="10" bestFit="1" customWidth="1"/>
    <col min="10761" max="10761" width="5.5703125" style="10" bestFit="1" customWidth="1"/>
    <col min="10762" max="10762" width="5.140625" style="10" bestFit="1" customWidth="1"/>
    <col min="10763" max="10763" width="7.5703125" style="10" bestFit="1" customWidth="1"/>
    <col min="10764" max="10764" width="7.42578125" style="10" bestFit="1" customWidth="1"/>
    <col min="10765" max="10765" width="5.5703125" style="10" bestFit="1" customWidth="1"/>
    <col min="10766" max="10766" width="4.5703125" style="10" bestFit="1" customWidth="1"/>
    <col min="10767" max="10767" width="1.5703125" style="10" bestFit="1" customWidth="1"/>
    <col min="10768" max="10768" width="3.5703125" style="10" bestFit="1" customWidth="1"/>
    <col min="10769" max="10769" width="4.140625" style="10" bestFit="1" customWidth="1"/>
    <col min="10770" max="10770" width="5.140625" style="10" bestFit="1" customWidth="1"/>
    <col min="10771" max="10771" width="2.140625" style="10" bestFit="1" customWidth="1"/>
    <col min="10772" max="10772" width="3" style="10" bestFit="1" customWidth="1"/>
    <col min="10773" max="10773" width="4.5703125" style="10" bestFit="1" customWidth="1"/>
    <col min="10774" max="10774" width="0.85546875" style="10" bestFit="1" customWidth="1"/>
    <col min="10775" max="10775" width="7.5703125" style="10" bestFit="1" customWidth="1"/>
    <col min="10776" max="10776" width="1.5703125" style="10" bestFit="1" customWidth="1"/>
    <col min="10777" max="10777" width="2.140625" style="10" bestFit="1" customWidth="1"/>
    <col min="10778" max="10778" width="7.42578125" style="10" bestFit="1" customWidth="1"/>
    <col min="10779" max="10779" width="0.85546875" style="10" bestFit="1" customWidth="1"/>
    <col min="10780" max="10780" width="2.42578125" style="10" bestFit="1" customWidth="1"/>
    <col min="10781" max="10781" width="0.85546875" style="10" bestFit="1" customWidth="1"/>
    <col min="10782" max="10782" width="7.42578125" style="10" bestFit="1" customWidth="1"/>
    <col min="10783" max="10783" width="10.42578125" style="10" bestFit="1" customWidth="1"/>
    <col min="10784" max="10784" width="0.42578125" style="10" bestFit="1" customWidth="1"/>
    <col min="10785" max="10785" width="3.42578125" style="10" bestFit="1" customWidth="1"/>
    <col min="10786" max="10786" width="1.5703125" style="10" bestFit="1" customWidth="1"/>
    <col min="10787" max="10787" width="2.85546875" style="10" bestFit="1" customWidth="1"/>
    <col min="10788" max="10788" width="5.85546875" style="10" bestFit="1" customWidth="1"/>
    <col min="10789" max="10789" width="9.85546875" style="10" bestFit="1" customWidth="1"/>
    <col min="10790" max="11009" width="9.140625" style="10"/>
    <col min="11010" max="11010" width="4.42578125" style="10" bestFit="1" customWidth="1"/>
    <col min="11011" max="11012" width="3.85546875" style="10" bestFit="1" customWidth="1"/>
    <col min="11013" max="11013" width="8.42578125" style="10" bestFit="1" customWidth="1"/>
    <col min="11014" max="11014" width="5" style="10" bestFit="1" customWidth="1"/>
    <col min="11015" max="11016" width="3.5703125" style="10" bestFit="1" customWidth="1"/>
    <col min="11017" max="11017" width="5.5703125" style="10" bestFit="1" customWidth="1"/>
    <col min="11018" max="11018" width="5.140625" style="10" bestFit="1" customWidth="1"/>
    <col min="11019" max="11019" width="7.5703125" style="10" bestFit="1" customWidth="1"/>
    <col min="11020" max="11020" width="7.42578125" style="10" bestFit="1" customWidth="1"/>
    <col min="11021" max="11021" width="5.5703125" style="10" bestFit="1" customWidth="1"/>
    <col min="11022" max="11022" width="4.5703125" style="10" bestFit="1" customWidth="1"/>
    <col min="11023" max="11023" width="1.5703125" style="10" bestFit="1" customWidth="1"/>
    <col min="11024" max="11024" width="3.5703125" style="10" bestFit="1" customWidth="1"/>
    <col min="11025" max="11025" width="4.140625" style="10" bestFit="1" customWidth="1"/>
    <col min="11026" max="11026" width="5.140625" style="10" bestFit="1" customWidth="1"/>
    <col min="11027" max="11027" width="2.140625" style="10" bestFit="1" customWidth="1"/>
    <col min="11028" max="11028" width="3" style="10" bestFit="1" customWidth="1"/>
    <col min="11029" max="11029" width="4.5703125" style="10" bestFit="1" customWidth="1"/>
    <col min="11030" max="11030" width="0.85546875" style="10" bestFit="1" customWidth="1"/>
    <col min="11031" max="11031" width="7.5703125" style="10" bestFit="1" customWidth="1"/>
    <col min="11032" max="11032" width="1.5703125" style="10" bestFit="1" customWidth="1"/>
    <col min="11033" max="11033" width="2.140625" style="10" bestFit="1" customWidth="1"/>
    <col min="11034" max="11034" width="7.42578125" style="10" bestFit="1" customWidth="1"/>
    <col min="11035" max="11035" width="0.85546875" style="10" bestFit="1" customWidth="1"/>
    <col min="11036" max="11036" width="2.42578125" style="10" bestFit="1" customWidth="1"/>
    <col min="11037" max="11037" width="0.85546875" style="10" bestFit="1" customWidth="1"/>
    <col min="11038" max="11038" width="7.42578125" style="10" bestFit="1" customWidth="1"/>
    <col min="11039" max="11039" width="10.42578125" style="10" bestFit="1" customWidth="1"/>
    <col min="11040" max="11040" width="0.42578125" style="10" bestFit="1" customWidth="1"/>
    <col min="11041" max="11041" width="3.42578125" style="10" bestFit="1" customWidth="1"/>
    <col min="11042" max="11042" width="1.5703125" style="10" bestFit="1" customWidth="1"/>
    <col min="11043" max="11043" width="2.85546875" style="10" bestFit="1" customWidth="1"/>
    <col min="11044" max="11044" width="5.85546875" style="10" bestFit="1" customWidth="1"/>
    <col min="11045" max="11045" width="9.85546875" style="10" bestFit="1" customWidth="1"/>
    <col min="11046" max="11265" width="9.140625" style="10"/>
    <col min="11266" max="11266" width="4.42578125" style="10" bestFit="1" customWidth="1"/>
    <col min="11267" max="11268" width="3.85546875" style="10" bestFit="1" customWidth="1"/>
    <col min="11269" max="11269" width="8.42578125" style="10" bestFit="1" customWidth="1"/>
    <col min="11270" max="11270" width="5" style="10" bestFit="1" customWidth="1"/>
    <col min="11271" max="11272" width="3.5703125" style="10" bestFit="1" customWidth="1"/>
    <col min="11273" max="11273" width="5.5703125" style="10" bestFit="1" customWidth="1"/>
    <col min="11274" max="11274" width="5.140625" style="10" bestFit="1" customWidth="1"/>
    <col min="11275" max="11275" width="7.5703125" style="10" bestFit="1" customWidth="1"/>
    <col min="11276" max="11276" width="7.42578125" style="10" bestFit="1" customWidth="1"/>
    <col min="11277" max="11277" width="5.5703125" style="10" bestFit="1" customWidth="1"/>
    <col min="11278" max="11278" width="4.5703125" style="10" bestFit="1" customWidth="1"/>
    <col min="11279" max="11279" width="1.5703125" style="10" bestFit="1" customWidth="1"/>
    <col min="11280" max="11280" width="3.5703125" style="10" bestFit="1" customWidth="1"/>
    <col min="11281" max="11281" width="4.140625" style="10" bestFit="1" customWidth="1"/>
    <col min="11282" max="11282" width="5.140625" style="10" bestFit="1" customWidth="1"/>
    <col min="11283" max="11283" width="2.140625" style="10" bestFit="1" customWidth="1"/>
    <col min="11284" max="11284" width="3" style="10" bestFit="1" customWidth="1"/>
    <col min="11285" max="11285" width="4.5703125" style="10" bestFit="1" customWidth="1"/>
    <col min="11286" max="11286" width="0.85546875" style="10" bestFit="1" customWidth="1"/>
    <col min="11287" max="11287" width="7.5703125" style="10" bestFit="1" customWidth="1"/>
    <col min="11288" max="11288" width="1.5703125" style="10" bestFit="1" customWidth="1"/>
    <col min="11289" max="11289" width="2.140625" style="10" bestFit="1" customWidth="1"/>
    <col min="11290" max="11290" width="7.42578125" style="10" bestFit="1" customWidth="1"/>
    <col min="11291" max="11291" width="0.85546875" style="10" bestFit="1" customWidth="1"/>
    <col min="11292" max="11292" width="2.42578125" style="10" bestFit="1" customWidth="1"/>
    <col min="11293" max="11293" width="0.85546875" style="10" bestFit="1" customWidth="1"/>
    <col min="11294" max="11294" width="7.42578125" style="10" bestFit="1" customWidth="1"/>
    <col min="11295" max="11295" width="10.42578125" style="10" bestFit="1" customWidth="1"/>
    <col min="11296" max="11296" width="0.42578125" style="10" bestFit="1" customWidth="1"/>
    <col min="11297" max="11297" width="3.42578125" style="10" bestFit="1" customWidth="1"/>
    <col min="11298" max="11298" width="1.5703125" style="10" bestFit="1" customWidth="1"/>
    <col min="11299" max="11299" width="2.85546875" style="10" bestFit="1" customWidth="1"/>
    <col min="11300" max="11300" width="5.85546875" style="10" bestFit="1" customWidth="1"/>
    <col min="11301" max="11301" width="9.85546875" style="10" bestFit="1" customWidth="1"/>
    <col min="11302" max="11521" width="9.140625" style="10"/>
    <col min="11522" max="11522" width="4.42578125" style="10" bestFit="1" customWidth="1"/>
    <col min="11523" max="11524" width="3.85546875" style="10" bestFit="1" customWidth="1"/>
    <col min="11525" max="11525" width="8.42578125" style="10" bestFit="1" customWidth="1"/>
    <col min="11526" max="11526" width="5" style="10" bestFit="1" customWidth="1"/>
    <col min="11527" max="11528" width="3.5703125" style="10" bestFit="1" customWidth="1"/>
    <col min="11529" max="11529" width="5.5703125" style="10" bestFit="1" customWidth="1"/>
    <col min="11530" max="11530" width="5.140625" style="10" bestFit="1" customWidth="1"/>
    <col min="11531" max="11531" width="7.5703125" style="10" bestFit="1" customWidth="1"/>
    <col min="11532" max="11532" width="7.42578125" style="10" bestFit="1" customWidth="1"/>
    <col min="11533" max="11533" width="5.5703125" style="10" bestFit="1" customWidth="1"/>
    <col min="11534" max="11534" width="4.5703125" style="10" bestFit="1" customWidth="1"/>
    <col min="11535" max="11535" width="1.5703125" style="10" bestFit="1" customWidth="1"/>
    <col min="11536" max="11536" width="3.5703125" style="10" bestFit="1" customWidth="1"/>
    <col min="11537" max="11537" width="4.140625" style="10" bestFit="1" customWidth="1"/>
    <col min="11538" max="11538" width="5.140625" style="10" bestFit="1" customWidth="1"/>
    <col min="11539" max="11539" width="2.140625" style="10" bestFit="1" customWidth="1"/>
    <col min="11540" max="11540" width="3" style="10" bestFit="1" customWidth="1"/>
    <col min="11541" max="11541" width="4.5703125" style="10" bestFit="1" customWidth="1"/>
    <col min="11542" max="11542" width="0.85546875" style="10" bestFit="1" customWidth="1"/>
    <col min="11543" max="11543" width="7.5703125" style="10" bestFit="1" customWidth="1"/>
    <col min="11544" max="11544" width="1.5703125" style="10" bestFit="1" customWidth="1"/>
    <col min="11545" max="11545" width="2.140625" style="10" bestFit="1" customWidth="1"/>
    <col min="11546" max="11546" width="7.42578125" style="10" bestFit="1" customWidth="1"/>
    <col min="11547" max="11547" width="0.85546875" style="10" bestFit="1" customWidth="1"/>
    <col min="11548" max="11548" width="2.42578125" style="10" bestFit="1" customWidth="1"/>
    <col min="11549" max="11549" width="0.85546875" style="10" bestFit="1" customWidth="1"/>
    <col min="11550" max="11550" width="7.42578125" style="10" bestFit="1" customWidth="1"/>
    <col min="11551" max="11551" width="10.42578125" style="10" bestFit="1" customWidth="1"/>
    <col min="11552" max="11552" width="0.42578125" style="10" bestFit="1" customWidth="1"/>
    <col min="11553" max="11553" width="3.42578125" style="10" bestFit="1" customWidth="1"/>
    <col min="11554" max="11554" width="1.5703125" style="10" bestFit="1" customWidth="1"/>
    <col min="11555" max="11555" width="2.85546875" style="10" bestFit="1" customWidth="1"/>
    <col min="11556" max="11556" width="5.85546875" style="10" bestFit="1" customWidth="1"/>
    <col min="11557" max="11557" width="9.85546875" style="10" bestFit="1" customWidth="1"/>
    <col min="11558" max="11777" width="9.140625" style="10"/>
    <col min="11778" max="11778" width="4.42578125" style="10" bestFit="1" customWidth="1"/>
    <col min="11779" max="11780" width="3.85546875" style="10" bestFit="1" customWidth="1"/>
    <col min="11781" max="11781" width="8.42578125" style="10" bestFit="1" customWidth="1"/>
    <col min="11782" max="11782" width="5" style="10" bestFit="1" customWidth="1"/>
    <col min="11783" max="11784" width="3.5703125" style="10" bestFit="1" customWidth="1"/>
    <col min="11785" max="11785" width="5.5703125" style="10" bestFit="1" customWidth="1"/>
    <col min="11786" max="11786" width="5.140625" style="10" bestFit="1" customWidth="1"/>
    <col min="11787" max="11787" width="7.5703125" style="10" bestFit="1" customWidth="1"/>
    <col min="11788" max="11788" width="7.42578125" style="10" bestFit="1" customWidth="1"/>
    <col min="11789" max="11789" width="5.5703125" style="10" bestFit="1" customWidth="1"/>
    <col min="11790" max="11790" width="4.5703125" style="10" bestFit="1" customWidth="1"/>
    <col min="11791" max="11791" width="1.5703125" style="10" bestFit="1" customWidth="1"/>
    <col min="11792" max="11792" width="3.5703125" style="10" bestFit="1" customWidth="1"/>
    <col min="11793" max="11793" width="4.140625" style="10" bestFit="1" customWidth="1"/>
    <col min="11794" max="11794" width="5.140625" style="10" bestFit="1" customWidth="1"/>
    <col min="11795" max="11795" width="2.140625" style="10" bestFit="1" customWidth="1"/>
    <col min="11796" max="11796" width="3" style="10" bestFit="1" customWidth="1"/>
    <col min="11797" max="11797" width="4.5703125" style="10" bestFit="1" customWidth="1"/>
    <col min="11798" max="11798" width="0.85546875" style="10" bestFit="1" customWidth="1"/>
    <col min="11799" max="11799" width="7.5703125" style="10" bestFit="1" customWidth="1"/>
    <col min="11800" max="11800" width="1.5703125" style="10" bestFit="1" customWidth="1"/>
    <col min="11801" max="11801" width="2.140625" style="10" bestFit="1" customWidth="1"/>
    <col min="11802" max="11802" width="7.42578125" style="10" bestFit="1" customWidth="1"/>
    <col min="11803" max="11803" width="0.85546875" style="10" bestFit="1" customWidth="1"/>
    <col min="11804" max="11804" width="2.42578125" style="10" bestFit="1" customWidth="1"/>
    <col min="11805" max="11805" width="0.85546875" style="10" bestFit="1" customWidth="1"/>
    <col min="11806" max="11806" width="7.42578125" style="10" bestFit="1" customWidth="1"/>
    <col min="11807" max="11807" width="10.42578125" style="10" bestFit="1" customWidth="1"/>
    <col min="11808" max="11808" width="0.42578125" style="10" bestFit="1" customWidth="1"/>
    <col min="11809" max="11809" width="3.42578125" style="10" bestFit="1" customWidth="1"/>
    <col min="11810" max="11810" width="1.5703125" style="10" bestFit="1" customWidth="1"/>
    <col min="11811" max="11811" width="2.85546875" style="10" bestFit="1" customWidth="1"/>
    <col min="11812" max="11812" width="5.85546875" style="10" bestFit="1" customWidth="1"/>
    <col min="11813" max="11813" width="9.85546875" style="10" bestFit="1" customWidth="1"/>
    <col min="11814" max="12033" width="9.140625" style="10"/>
    <col min="12034" max="12034" width="4.42578125" style="10" bestFit="1" customWidth="1"/>
    <col min="12035" max="12036" width="3.85546875" style="10" bestFit="1" customWidth="1"/>
    <col min="12037" max="12037" width="8.42578125" style="10" bestFit="1" customWidth="1"/>
    <col min="12038" max="12038" width="5" style="10" bestFit="1" customWidth="1"/>
    <col min="12039" max="12040" width="3.5703125" style="10" bestFit="1" customWidth="1"/>
    <col min="12041" max="12041" width="5.5703125" style="10" bestFit="1" customWidth="1"/>
    <col min="12042" max="12042" width="5.140625" style="10" bestFit="1" customWidth="1"/>
    <col min="12043" max="12043" width="7.5703125" style="10" bestFit="1" customWidth="1"/>
    <col min="12044" max="12044" width="7.42578125" style="10" bestFit="1" customWidth="1"/>
    <col min="12045" max="12045" width="5.5703125" style="10" bestFit="1" customWidth="1"/>
    <col min="12046" max="12046" width="4.5703125" style="10" bestFit="1" customWidth="1"/>
    <col min="12047" max="12047" width="1.5703125" style="10" bestFit="1" customWidth="1"/>
    <col min="12048" max="12048" width="3.5703125" style="10" bestFit="1" customWidth="1"/>
    <col min="12049" max="12049" width="4.140625" style="10" bestFit="1" customWidth="1"/>
    <col min="12050" max="12050" width="5.140625" style="10" bestFit="1" customWidth="1"/>
    <col min="12051" max="12051" width="2.140625" style="10" bestFit="1" customWidth="1"/>
    <col min="12052" max="12052" width="3" style="10" bestFit="1" customWidth="1"/>
    <col min="12053" max="12053" width="4.5703125" style="10" bestFit="1" customWidth="1"/>
    <col min="12054" max="12054" width="0.85546875" style="10" bestFit="1" customWidth="1"/>
    <col min="12055" max="12055" width="7.5703125" style="10" bestFit="1" customWidth="1"/>
    <col min="12056" max="12056" width="1.5703125" style="10" bestFit="1" customWidth="1"/>
    <col min="12057" max="12057" width="2.140625" style="10" bestFit="1" customWidth="1"/>
    <col min="12058" max="12058" width="7.42578125" style="10" bestFit="1" customWidth="1"/>
    <col min="12059" max="12059" width="0.85546875" style="10" bestFit="1" customWidth="1"/>
    <col min="12060" max="12060" width="2.42578125" style="10" bestFit="1" customWidth="1"/>
    <col min="12061" max="12061" width="0.85546875" style="10" bestFit="1" customWidth="1"/>
    <col min="12062" max="12062" width="7.42578125" style="10" bestFit="1" customWidth="1"/>
    <col min="12063" max="12063" width="10.42578125" style="10" bestFit="1" customWidth="1"/>
    <col min="12064" max="12064" width="0.42578125" style="10" bestFit="1" customWidth="1"/>
    <col min="12065" max="12065" width="3.42578125" style="10" bestFit="1" customWidth="1"/>
    <col min="12066" max="12066" width="1.5703125" style="10" bestFit="1" customWidth="1"/>
    <col min="12067" max="12067" width="2.85546875" style="10" bestFit="1" customWidth="1"/>
    <col min="12068" max="12068" width="5.85546875" style="10" bestFit="1" customWidth="1"/>
    <col min="12069" max="12069" width="9.85546875" style="10" bestFit="1" customWidth="1"/>
    <col min="12070" max="12289" width="9.140625" style="10"/>
    <col min="12290" max="12290" width="4.42578125" style="10" bestFit="1" customWidth="1"/>
    <col min="12291" max="12292" width="3.85546875" style="10" bestFit="1" customWidth="1"/>
    <col min="12293" max="12293" width="8.42578125" style="10" bestFit="1" customWidth="1"/>
    <col min="12294" max="12294" width="5" style="10" bestFit="1" customWidth="1"/>
    <col min="12295" max="12296" width="3.5703125" style="10" bestFit="1" customWidth="1"/>
    <col min="12297" max="12297" width="5.5703125" style="10" bestFit="1" customWidth="1"/>
    <col min="12298" max="12298" width="5.140625" style="10" bestFit="1" customWidth="1"/>
    <col min="12299" max="12299" width="7.5703125" style="10" bestFit="1" customWidth="1"/>
    <col min="12300" max="12300" width="7.42578125" style="10" bestFit="1" customWidth="1"/>
    <col min="12301" max="12301" width="5.5703125" style="10" bestFit="1" customWidth="1"/>
    <col min="12302" max="12302" width="4.5703125" style="10" bestFit="1" customWidth="1"/>
    <col min="12303" max="12303" width="1.5703125" style="10" bestFit="1" customWidth="1"/>
    <col min="12304" max="12304" width="3.5703125" style="10" bestFit="1" customWidth="1"/>
    <col min="12305" max="12305" width="4.140625" style="10" bestFit="1" customWidth="1"/>
    <col min="12306" max="12306" width="5.140625" style="10" bestFit="1" customWidth="1"/>
    <col min="12307" max="12307" width="2.140625" style="10" bestFit="1" customWidth="1"/>
    <col min="12308" max="12308" width="3" style="10" bestFit="1" customWidth="1"/>
    <col min="12309" max="12309" width="4.5703125" style="10" bestFit="1" customWidth="1"/>
    <col min="12310" max="12310" width="0.85546875" style="10" bestFit="1" customWidth="1"/>
    <col min="12311" max="12311" width="7.5703125" style="10" bestFit="1" customWidth="1"/>
    <col min="12312" max="12312" width="1.5703125" style="10" bestFit="1" customWidth="1"/>
    <col min="12313" max="12313" width="2.140625" style="10" bestFit="1" customWidth="1"/>
    <col min="12314" max="12314" width="7.42578125" style="10" bestFit="1" customWidth="1"/>
    <col min="12315" max="12315" width="0.85546875" style="10" bestFit="1" customWidth="1"/>
    <col min="12316" max="12316" width="2.42578125" style="10" bestFit="1" customWidth="1"/>
    <col min="12317" max="12317" width="0.85546875" style="10" bestFit="1" customWidth="1"/>
    <col min="12318" max="12318" width="7.42578125" style="10" bestFit="1" customWidth="1"/>
    <col min="12319" max="12319" width="10.42578125" style="10" bestFit="1" customWidth="1"/>
    <col min="12320" max="12320" width="0.42578125" style="10" bestFit="1" customWidth="1"/>
    <col min="12321" max="12321" width="3.42578125" style="10" bestFit="1" customWidth="1"/>
    <col min="12322" max="12322" width="1.5703125" style="10" bestFit="1" customWidth="1"/>
    <col min="12323" max="12323" width="2.85546875" style="10" bestFit="1" customWidth="1"/>
    <col min="12324" max="12324" width="5.85546875" style="10" bestFit="1" customWidth="1"/>
    <col min="12325" max="12325" width="9.85546875" style="10" bestFit="1" customWidth="1"/>
    <col min="12326" max="12545" width="9.140625" style="10"/>
    <col min="12546" max="12546" width="4.42578125" style="10" bestFit="1" customWidth="1"/>
    <col min="12547" max="12548" width="3.85546875" style="10" bestFit="1" customWidth="1"/>
    <col min="12549" max="12549" width="8.42578125" style="10" bestFit="1" customWidth="1"/>
    <col min="12550" max="12550" width="5" style="10" bestFit="1" customWidth="1"/>
    <col min="12551" max="12552" width="3.5703125" style="10" bestFit="1" customWidth="1"/>
    <col min="12553" max="12553" width="5.5703125" style="10" bestFit="1" customWidth="1"/>
    <col min="12554" max="12554" width="5.140625" style="10" bestFit="1" customWidth="1"/>
    <col min="12555" max="12555" width="7.5703125" style="10" bestFit="1" customWidth="1"/>
    <col min="12556" max="12556" width="7.42578125" style="10" bestFit="1" customWidth="1"/>
    <col min="12557" max="12557" width="5.5703125" style="10" bestFit="1" customWidth="1"/>
    <col min="12558" max="12558" width="4.5703125" style="10" bestFit="1" customWidth="1"/>
    <col min="12559" max="12559" width="1.5703125" style="10" bestFit="1" customWidth="1"/>
    <col min="12560" max="12560" width="3.5703125" style="10" bestFit="1" customWidth="1"/>
    <col min="12561" max="12561" width="4.140625" style="10" bestFit="1" customWidth="1"/>
    <col min="12562" max="12562" width="5.140625" style="10" bestFit="1" customWidth="1"/>
    <col min="12563" max="12563" width="2.140625" style="10" bestFit="1" customWidth="1"/>
    <col min="12564" max="12564" width="3" style="10" bestFit="1" customWidth="1"/>
    <col min="12565" max="12565" width="4.5703125" style="10" bestFit="1" customWidth="1"/>
    <col min="12566" max="12566" width="0.85546875" style="10" bestFit="1" customWidth="1"/>
    <col min="12567" max="12567" width="7.5703125" style="10" bestFit="1" customWidth="1"/>
    <col min="12568" max="12568" width="1.5703125" style="10" bestFit="1" customWidth="1"/>
    <col min="12569" max="12569" width="2.140625" style="10" bestFit="1" customWidth="1"/>
    <col min="12570" max="12570" width="7.42578125" style="10" bestFit="1" customWidth="1"/>
    <col min="12571" max="12571" width="0.85546875" style="10" bestFit="1" customWidth="1"/>
    <col min="12572" max="12572" width="2.42578125" style="10" bestFit="1" customWidth="1"/>
    <col min="12573" max="12573" width="0.85546875" style="10" bestFit="1" customWidth="1"/>
    <col min="12574" max="12574" width="7.42578125" style="10" bestFit="1" customWidth="1"/>
    <col min="12575" max="12575" width="10.42578125" style="10" bestFit="1" customWidth="1"/>
    <col min="12576" max="12576" width="0.42578125" style="10" bestFit="1" customWidth="1"/>
    <col min="12577" max="12577" width="3.42578125" style="10" bestFit="1" customWidth="1"/>
    <col min="12578" max="12578" width="1.5703125" style="10" bestFit="1" customWidth="1"/>
    <col min="12579" max="12579" width="2.85546875" style="10" bestFit="1" customWidth="1"/>
    <col min="12580" max="12580" width="5.85546875" style="10" bestFit="1" customWidth="1"/>
    <col min="12581" max="12581" width="9.85546875" style="10" bestFit="1" customWidth="1"/>
    <col min="12582" max="12801" width="9.140625" style="10"/>
    <col min="12802" max="12802" width="4.42578125" style="10" bestFit="1" customWidth="1"/>
    <col min="12803" max="12804" width="3.85546875" style="10" bestFit="1" customWidth="1"/>
    <col min="12805" max="12805" width="8.42578125" style="10" bestFit="1" customWidth="1"/>
    <col min="12806" max="12806" width="5" style="10" bestFit="1" customWidth="1"/>
    <col min="12807" max="12808" width="3.5703125" style="10" bestFit="1" customWidth="1"/>
    <col min="12809" max="12809" width="5.5703125" style="10" bestFit="1" customWidth="1"/>
    <col min="12810" max="12810" width="5.140625" style="10" bestFit="1" customWidth="1"/>
    <col min="12811" max="12811" width="7.5703125" style="10" bestFit="1" customWidth="1"/>
    <col min="12812" max="12812" width="7.42578125" style="10" bestFit="1" customWidth="1"/>
    <col min="12813" max="12813" width="5.5703125" style="10" bestFit="1" customWidth="1"/>
    <col min="12814" max="12814" width="4.5703125" style="10" bestFit="1" customWidth="1"/>
    <col min="12815" max="12815" width="1.5703125" style="10" bestFit="1" customWidth="1"/>
    <col min="12816" max="12816" width="3.5703125" style="10" bestFit="1" customWidth="1"/>
    <col min="12817" max="12817" width="4.140625" style="10" bestFit="1" customWidth="1"/>
    <col min="12818" max="12818" width="5.140625" style="10" bestFit="1" customWidth="1"/>
    <col min="12819" max="12819" width="2.140625" style="10" bestFit="1" customWidth="1"/>
    <col min="12820" max="12820" width="3" style="10" bestFit="1" customWidth="1"/>
    <col min="12821" max="12821" width="4.5703125" style="10" bestFit="1" customWidth="1"/>
    <col min="12822" max="12822" width="0.85546875" style="10" bestFit="1" customWidth="1"/>
    <col min="12823" max="12823" width="7.5703125" style="10" bestFit="1" customWidth="1"/>
    <col min="12824" max="12824" width="1.5703125" style="10" bestFit="1" customWidth="1"/>
    <col min="12825" max="12825" width="2.140625" style="10" bestFit="1" customWidth="1"/>
    <col min="12826" max="12826" width="7.42578125" style="10" bestFit="1" customWidth="1"/>
    <col min="12827" max="12827" width="0.85546875" style="10" bestFit="1" customWidth="1"/>
    <col min="12828" max="12828" width="2.42578125" style="10" bestFit="1" customWidth="1"/>
    <col min="12829" max="12829" width="0.85546875" style="10" bestFit="1" customWidth="1"/>
    <col min="12830" max="12830" width="7.42578125" style="10" bestFit="1" customWidth="1"/>
    <col min="12831" max="12831" width="10.42578125" style="10" bestFit="1" customWidth="1"/>
    <col min="12832" max="12832" width="0.42578125" style="10" bestFit="1" customWidth="1"/>
    <col min="12833" max="12833" width="3.42578125" style="10" bestFit="1" customWidth="1"/>
    <col min="12834" max="12834" width="1.5703125" style="10" bestFit="1" customWidth="1"/>
    <col min="12835" max="12835" width="2.85546875" style="10" bestFit="1" customWidth="1"/>
    <col min="12836" max="12836" width="5.85546875" style="10" bestFit="1" customWidth="1"/>
    <col min="12837" max="12837" width="9.85546875" style="10" bestFit="1" customWidth="1"/>
    <col min="12838" max="13057" width="9.140625" style="10"/>
    <col min="13058" max="13058" width="4.42578125" style="10" bestFit="1" customWidth="1"/>
    <col min="13059" max="13060" width="3.85546875" style="10" bestFit="1" customWidth="1"/>
    <col min="13061" max="13061" width="8.42578125" style="10" bestFit="1" customWidth="1"/>
    <col min="13062" max="13062" width="5" style="10" bestFit="1" customWidth="1"/>
    <col min="13063" max="13064" width="3.5703125" style="10" bestFit="1" customWidth="1"/>
    <col min="13065" max="13065" width="5.5703125" style="10" bestFit="1" customWidth="1"/>
    <col min="13066" max="13066" width="5.140625" style="10" bestFit="1" customWidth="1"/>
    <col min="13067" max="13067" width="7.5703125" style="10" bestFit="1" customWidth="1"/>
    <col min="13068" max="13068" width="7.42578125" style="10" bestFit="1" customWidth="1"/>
    <col min="13069" max="13069" width="5.5703125" style="10" bestFit="1" customWidth="1"/>
    <col min="13070" max="13070" width="4.5703125" style="10" bestFit="1" customWidth="1"/>
    <col min="13071" max="13071" width="1.5703125" style="10" bestFit="1" customWidth="1"/>
    <col min="13072" max="13072" width="3.5703125" style="10" bestFit="1" customWidth="1"/>
    <col min="13073" max="13073" width="4.140625" style="10" bestFit="1" customWidth="1"/>
    <col min="13074" max="13074" width="5.140625" style="10" bestFit="1" customWidth="1"/>
    <col min="13075" max="13075" width="2.140625" style="10" bestFit="1" customWidth="1"/>
    <col min="13076" max="13076" width="3" style="10" bestFit="1" customWidth="1"/>
    <col min="13077" max="13077" width="4.5703125" style="10" bestFit="1" customWidth="1"/>
    <col min="13078" max="13078" width="0.85546875" style="10" bestFit="1" customWidth="1"/>
    <col min="13079" max="13079" width="7.5703125" style="10" bestFit="1" customWidth="1"/>
    <col min="13080" max="13080" width="1.5703125" style="10" bestFit="1" customWidth="1"/>
    <col min="13081" max="13081" width="2.140625" style="10" bestFit="1" customWidth="1"/>
    <col min="13082" max="13082" width="7.42578125" style="10" bestFit="1" customWidth="1"/>
    <col min="13083" max="13083" width="0.85546875" style="10" bestFit="1" customWidth="1"/>
    <col min="13084" max="13084" width="2.42578125" style="10" bestFit="1" customWidth="1"/>
    <col min="13085" max="13085" width="0.85546875" style="10" bestFit="1" customWidth="1"/>
    <col min="13086" max="13086" width="7.42578125" style="10" bestFit="1" customWidth="1"/>
    <col min="13087" max="13087" width="10.42578125" style="10" bestFit="1" customWidth="1"/>
    <col min="13088" max="13088" width="0.42578125" style="10" bestFit="1" customWidth="1"/>
    <col min="13089" max="13089" width="3.42578125" style="10" bestFit="1" customWidth="1"/>
    <col min="13090" max="13090" width="1.5703125" style="10" bestFit="1" customWidth="1"/>
    <col min="13091" max="13091" width="2.85546875" style="10" bestFit="1" customWidth="1"/>
    <col min="13092" max="13092" width="5.85546875" style="10" bestFit="1" customWidth="1"/>
    <col min="13093" max="13093" width="9.85546875" style="10" bestFit="1" customWidth="1"/>
    <col min="13094" max="13313" width="9.140625" style="10"/>
    <col min="13314" max="13314" width="4.42578125" style="10" bestFit="1" customWidth="1"/>
    <col min="13315" max="13316" width="3.85546875" style="10" bestFit="1" customWidth="1"/>
    <col min="13317" max="13317" width="8.42578125" style="10" bestFit="1" customWidth="1"/>
    <col min="13318" max="13318" width="5" style="10" bestFit="1" customWidth="1"/>
    <col min="13319" max="13320" width="3.5703125" style="10" bestFit="1" customWidth="1"/>
    <col min="13321" max="13321" width="5.5703125" style="10" bestFit="1" customWidth="1"/>
    <col min="13322" max="13322" width="5.140625" style="10" bestFit="1" customWidth="1"/>
    <col min="13323" max="13323" width="7.5703125" style="10" bestFit="1" customWidth="1"/>
    <col min="13324" max="13324" width="7.42578125" style="10" bestFit="1" customWidth="1"/>
    <col min="13325" max="13325" width="5.5703125" style="10" bestFit="1" customWidth="1"/>
    <col min="13326" max="13326" width="4.5703125" style="10" bestFit="1" customWidth="1"/>
    <col min="13327" max="13327" width="1.5703125" style="10" bestFit="1" customWidth="1"/>
    <col min="13328" max="13328" width="3.5703125" style="10" bestFit="1" customWidth="1"/>
    <col min="13329" max="13329" width="4.140625" style="10" bestFit="1" customWidth="1"/>
    <col min="13330" max="13330" width="5.140625" style="10" bestFit="1" customWidth="1"/>
    <col min="13331" max="13331" width="2.140625" style="10" bestFit="1" customWidth="1"/>
    <col min="13332" max="13332" width="3" style="10" bestFit="1" customWidth="1"/>
    <col min="13333" max="13333" width="4.5703125" style="10" bestFit="1" customWidth="1"/>
    <col min="13334" max="13334" width="0.85546875" style="10" bestFit="1" customWidth="1"/>
    <col min="13335" max="13335" width="7.5703125" style="10" bestFit="1" customWidth="1"/>
    <col min="13336" max="13336" width="1.5703125" style="10" bestFit="1" customWidth="1"/>
    <col min="13337" max="13337" width="2.140625" style="10" bestFit="1" customWidth="1"/>
    <col min="13338" max="13338" width="7.42578125" style="10" bestFit="1" customWidth="1"/>
    <col min="13339" max="13339" width="0.85546875" style="10" bestFit="1" customWidth="1"/>
    <col min="13340" max="13340" width="2.42578125" style="10" bestFit="1" customWidth="1"/>
    <col min="13341" max="13341" width="0.85546875" style="10" bestFit="1" customWidth="1"/>
    <col min="13342" max="13342" width="7.42578125" style="10" bestFit="1" customWidth="1"/>
    <col min="13343" max="13343" width="10.42578125" style="10" bestFit="1" customWidth="1"/>
    <col min="13344" max="13344" width="0.42578125" style="10" bestFit="1" customWidth="1"/>
    <col min="13345" max="13345" width="3.42578125" style="10" bestFit="1" customWidth="1"/>
    <col min="13346" max="13346" width="1.5703125" style="10" bestFit="1" customWidth="1"/>
    <col min="13347" max="13347" width="2.85546875" style="10" bestFit="1" customWidth="1"/>
    <col min="13348" max="13348" width="5.85546875" style="10" bestFit="1" customWidth="1"/>
    <col min="13349" max="13349" width="9.85546875" style="10" bestFit="1" customWidth="1"/>
    <col min="13350" max="13569" width="9.140625" style="10"/>
    <col min="13570" max="13570" width="4.42578125" style="10" bestFit="1" customWidth="1"/>
    <col min="13571" max="13572" width="3.85546875" style="10" bestFit="1" customWidth="1"/>
    <col min="13573" max="13573" width="8.42578125" style="10" bestFit="1" customWidth="1"/>
    <col min="13574" max="13574" width="5" style="10" bestFit="1" customWidth="1"/>
    <col min="13575" max="13576" width="3.5703125" style="10" bestFit="1" customWidth="1"/>
    <col min="13577" max="13577" width="5.5703125" style="10" bestFit="1" customWidth="1"/>
    <col min="13578" max="13578" width="5.140625" style="10" bestFit="1" customWidth="1"/>
    <col min="13579" max="13579" width="7.5703125" style="10" bestFit="1" customWidth="1"/>
    <col min="13580" max="13580" width="7.42578125" style="10" bestFit="1" customWidth="1"/>
    <col min="13581" max="13581" width="5.5703125" style="10" bestFit="1" customWidth="1"/>
    <col min="13582" max="13582" width="4.5703125" style="10" bestFit="1" customWidth="1"/>
    <col min="13583" max="13583" width="1.5703125" style="10" bestFit="1" customWidth="1"/>
    <col min="13584" max="13584" width="3.5703125" style="10" bestFit="1" customWidth="1"/>
    <col min="13585" max="13585" width="4.140625" style="10" bestFit="1" customWidth="1"/>
    <col min="13586" max="13586" width="5.140625" style="10" bestFit="1" customWidth="1"/>
    <col min="13587" max="13587" width="2.140625" style="10" bestFit="1" customWidth="1"/>
    <col min="13588" max="13588" width="3" style="10" bestFit="1" customWidth="1"/>
    <col min="13589" max="13589" width="4.5703125" style="10" bestFit="1" customWidth="1"/>
    <col min="13590" max="13590" width="0.85546875" style="10" bestFit="1" customWidth="1"/>
    <col min="13591" max="13591" width="7.5703125" style="10" bestFit="1" customWidth="1"/>
    <col min="13592" max="13592" width="1.5703125" style="10" bestFit="1" customWidth="1"/>
    <col min="13593" max="13593" width="2.140625" style="10" bestFit="1" customWidth="1"/>
    <col min="13594" max="13594" width="7.42578125" style="10" bestFit="1" customWidth="1"/>
    <col min="13595" max="13595" width="0.85546875" style="10" bestFit="1" customWidth="1"/>
    <col min="13596" max="13596" width="2.42578125" style="10" bestFit="1" customWidth="1"/>
    <col min="13597" max="13597" width="0.85546875" style="10" bestFit="1" customWidth="1"/>
    <col min="13598" max="13598" width="7.42578125" style="10" bestFit="1" customWidth="1"/>
    <col min="13599" max="13599" width="10.42578125" style="10" bestFit="1" customWidth="1"/>
    <col min="13600" max="13600" width="0.42578125" style="10" bestFit="1" customWidth="1"/>
    <col min="13601" max="13601" width="3.42578125" style="10" bestFit="1" customWidth="1"/>
    <col min="13602" max="13602" width="1.5703125" style="10" bestFit="1" customWidth="1"/>
    <col min="13603" max="13603" width="2.85546875" style="10" bestFit="1" customWidth="1"/>
    <col min="13604" max="13604" width="5.85546875" style="10" bestFit="1" customWidth="1"/>
    <col min="13605" max="13605" width="9.85546875" style="10" bestFit="1" customWidth="1"/>
    <col min="13606" max="13825" width="9.140625" style="10"/>
    <col min="13826" max="13826" width="4.42578125" style="10" bestFit="1" customWidth="1"/>
    <col min="13827" max="13828" width="3.85546875" style="10" bestFit="1" customWidth="1"/>
    <col min="13829" max="13829" width="8.42578125" style="10" bestFit="1" customWidth="1"/>
    <col min="13830" max="13830" width="5" style="10" bestFit="1" customWidth="1"/>
    <col min="13831" max="13832" width="3.5703125" style="10" bestFit="1" customWidth="1"/>
    <col min="13833" max="13833" width="5.5703125" style="10" bestFit="1" customWidth="1"/>
    <col min="13834" max="13834" width="5.140625" style="10" bestFit="1" customWidth="1"/>
    <col min="13835" max="13835" width="7.5703125" style="10" bestFit="1" customWidth="1"/>
    <col min="13836" max="13836" width="7.42578125" style="10" bestFit="1" customWidth="1"/>
    <col min="13837" max="13837" width="5.5703125" style="10" bestFit="1" customWidth="1"/>
    <col min="13838" max="13838" width="4.5703125" style="10" bestFit="1" customWidth="1"/>
    <col min="13839" max="13839" width="1.5703125" style="10" bestFit="1" customWidth="1"/>
    <col min="13840" max="13840" width="3.5703125" style="10" bestFit="1" customWidth="1"/>
    <col min="13841" max="13841" width="4.140625" style="10" bestFit="1" customWidth="1"/>
    <col min="13842" max="13842" width="5.140625" style="10" bestFit="1" customWidth="1"/>
    <col min="13843" max="13843" width="2.140625" style="10" bestFit="1" customWidth="1"/>
    <col min="13844" max="13844" width="3" style="10" bestFit="1" customWidth="1"/>
    <col min="13845" max="13845" width="4.5703125" style="10" bestFit="1" customWidth="1"/>
    <col min="13846" max="13846" width="0.85546875" style="10" bestFit="1" customWidth="1"/>
    <col min="13847" max="13847" width="7.5703125" style="10" bestFit="1" customWidth="1"/>
    <col min="13848" max="13848" width="1.5703125" style="10" bestFit="1" customWidth="1"/>
    <col min="13849" max="13849" width="2.140625" style="10" bestFit="1" customWidth="1"/>
    <col min="13850" max="13850" width="7.42578125" style="10" bestFit="1" customWidth="1"/>
    <col min="13851" max="13851" width="0.85546875" style="10" bestFit="1" customWidth="1"/>
    <col min="13852" max="13852" width="2.42578125" style="10" bestFit="1" customWidth="1"/>
    <col min="13853" max="13853" width="0.85546875" style="10" bestFit="1" customWidth="1"/>
    <col min="13854" max="13854" width="7.42578125" style="10" bestFit="1" customWidth="1"/>
    <col min="13855" max="13855" width="10.42578125" style="10" bestFit="1" customWidth="1"/>
    <col min="13856" max="13856" width="0.42578125" style="10" bestFit="1" customWidth="1"/>
    <col min="13857" max="13857" width="3.42578125" style="10" bestFit="1" customWidth="1"/>
    <col min="13858" max="13858" width="1.5703125" style="10" bestFit="1" customWidth="1"/>
    <col min="13859" max="13859" width="2.85546875" style="10" bestFit="1" customWidth="1"/>
    <col min="13860" max="13860" width="5.85546875" style="10" bestFit="1" customWidth="1"/>
    <col min="13861" max="13861" width="9.85546875" style="10" bestFit="1" customWidth="1"/>
    <col min="13862" max="14081" width="9.140625" style="10"/>
    <col min="14082" max="14082" width="4.42578125" style="10" bestFit="1" customWidth="1"/>
    <col min="14083" max="14084" width="3.85546875" style="10" bestFit="1" customWidth="1"/>
    <col min="14085" max="14085" width="8.42578125" style="10" bestFit="1" customWidth="1"/>
    <col min="14086" max="14086" width="5" style="10" bestFit="1" customWidth="1"/>
    <col min="14087" max="14088" width="3.5703125" style="10" bestFit="1" customWidth="1"/>
    <col min="14089" max="14089" width="5.5703125" style="10" bestFit="1" customWidth="1"/>
    <col min="14090" max="14090" width="5.140625" style="10" bestFit="1" customWidth="1"/>
    <col min="14091" max="14091" width="7.5703125" style="10" bestFit="1" customWidth="1"/>
    <col min="14092" max="14092" width="7.42578125" style="10" bestFit="1" customWidth="1"/>
    <col min="14093" max="14093" width="5.5703125" style="10" bestFit="1" customWidth="1"/>
    <col min="14094" max="14094" width="4.5703125" style="10" bestFit="1" customWidth="1"/>
    <col min="14095" max="14095" width="1.5703125" style="10" bestFit="1" customWidth="1"/>
    <col min="14096" max="14096" width="3.5703125" style="10" bestFit="1" customWidth="1"/>
    <col min="14097" max="14097" width="4.140625" style="10" bestFit="1" customWidth="1"/>
    <col min="14098" max="14098" width="5.140625" style="10" bestFit="1" customWidth="1"/>
    <col min="14099" max="14099" width="2.140625" style="10" bestFit="1" customWidth="1"/>
    <col min="14100" max="14100" width="3" style="10" bestFit="1" customWidth="1"/>
    <col min="14101" max="14101" width="4.5703125" style="10" bestFit="1" customWidth="1"/>
    <col min="14102" max="14102" width="0.85546875" style="10" bestFit="1" customWidth="1"/>
    <col min="14103" max="14103" width="7.5703125" style="10" bestFit="1" customWidth="1"/>
    <col min="14104" max="14104" width="1.5703125" style="10" bestFit="1" customWidth="1"/>
    <col min="14105" max="14105" width="2.140625" style="10" bestFit="1" customWidth="1"/>
    <col min="14106" max="14106" width="7.42578125" style="10" bestFit="1" customWidth="1"/>
    <col min="14107" max="14107" width="0.85546875" style="10" bestFit="1" customWidth="1"/>
    <col min="14108" max="14108" width="2.42578125" style="10" bestFit="1" customWidth="1"/>
    <col min="14109" max="14109" width="0.85546875" style="10" bestFit="1" customWidth="1"/>
    <col min="14110" max="14110" width="7.42578125" style="10" bestFit="1" customWidth="1"/>
    <col min="14111" max="14111" width="10.42578125" style="10" bestFit="1" customWidth="1"/>
    <col min="14112" max="14112" width="0.42578125" style="10" bestFit="1" customWidth="1"/>
    <col min="14113" max="14113" width="3.42578125" style="10" bestFit="1" customWidth="1"/>
    <col min="14114" max="14114" width="1.5703125" style="10" bestFit="1" customWidth="1"/>
    <col min="14115" max="14115" width="2.85546875" style="10" bestFit="1" customWidth="1"/>
    <col min="14116" max="14116" width="5.85546875" style="10" bestFit="1" customWidth="1"/>
    <col min="14117" max="14117" width="9.85546875" style="10" bestFit="1" customWidth="1"/>
    <col min="14118" max="14337" width="9.140625" style="10"/>
    <col min="14338" max="14338" width="4.42578125" style="10" bestFit="1" customWidth="1"/>
    <col min="14339" max="14340" width="3.85546875" style="10" bestFit="1" customWidth="1"/>
    <col min="14341" max="14341" width="8.42578125" style="10" bestFit="1" customWidth="1"/>
    <col min="14342" max="14342" width="5" style="10" bestFit="1" customWidth="1"/>
    <col min="14343" max="14344" width="3.5703125" style="10" bestFit="1" customWidth="1"/>
    <col min="14345" max="14345" width="5.5703125" style="10" bestFit="1" customWidth="1"/>
    <col min="14346" max="14346" width="5.140625" style="10" bestFit="1" customWidth="1"/>
    <col min="14347" max="14347" width="7.5703125" style="10" bestFit="1" customWidth="1"/>
    <col min="14348" max="14348" width="7.42578125" style="10" bestFit="1" customWidth="1"/>
    <col min="14349" max="14349" width="5.5703125" style="10" bestFit="1" customWidth="1"/>
    <col min="14350" max="14350" width="4.5703125" style="10" bestFit="1" customWidth="1"/>
    <col min="14351" max="14351" width="1.5703125" style="10" bestFit="1" customWidth="1"/>
    <col min="14352" max="14352" width="3.5703125" style="10" bestFit="1" customWidth="1"/>
    <col min="14353" max="14353" width="4.140625" style="10" bestFit="1" customWidth="1"/>
    <col min="14354" max="14354" width="5.140625" style="10" bestFit="1" customWidth="1"/>
    <col min="14355" max="14355" width="2.140625" style="10" bestFit="1" customWidth="1"/>
    <col min="14356" max="14356" width="3" style="10" bestFit="1" customWidth="1"/>
    <col min="14357" max="14357" width="4.5703125" style="10" bestFit="1" customWidth="1"/>
    <col min="14358" max="14358" width="0.85546875" style="10" bestFit="1" customWidth="1"/>
    <col min="14359" max="14359" width="7.5703125" style="10" bestFit="1" customWidth="1"/>
    <col min="14360" max="14360" width="1.5703125" style="10" bestFit="1" customWidth="1"/>
    <col min="14361" max="14361" width="2.140625" style="10" bestFit="1" customWidth="1"/>
    <col min="14362" max="14362" width="7.42578125" style="10" bestFit="1" customWidth="1"/>
    <col min="14363" max="14363" width="0.85546875" style="10" bestFit="1" customWidth="1"/>
    <col min="14364" max="14364" width="2.42578125" style="10" bestFit="1" customWidth="1"/>
    <col min="14365" max="14365" width="0.85546875" style="10" bestFit="1" customWidth="1"/>
    <col min="14366" max="14366" width="7.42578125" style="10" bestFit="1" customWidth="1"/>
    <col min="14367" max="14367" width="10.42578125" style="10" bestFit="1" customWidth="1"/>
    <col min="14368" max="14368" width="0.42578125" style="10" bestFit="1" customWidth="1"/>
    <col min="14369" max="14369" width="3.42578125" style="10" bestFit="1" customWidth="1"/>
    <col min="14370" max="14370" width="1.5703125" style="10" bestFit="1" customWidth="1"/>
    <col min="14371" max="14371" width="2.85546875" style="10" bestFit="1" customWidth="1"/>
    <col min="14372" max="14372" width="5.85546875" style="10" bestFit="1" customWidth="1"/>
    <col min="14373" max="14373" width="9.85546875" style="10" bestFit="1" customWidth="1"/>
    <col min="14374" max="14593" width="9.140625" style="10"/>
    <col min="14594" max="14594" width="4.42578125" style="10" bestFit="1" customWidth="1"/>
    <col min="14595" max="14596" width="3.85546875" style="10" bestFit="1" customWidth="1"/>
    <col min="14597" max="14597" width="8.42578125" style="10" bestFit="1" customWidth="1"/>
    <col min="14598" max="14598" width="5" style="10" bestFit="1" customWidth="1"/>
    <col min="14599" max="14600" width="3.5703125" style="10" bestFit="1" customWidth="1"/>
    <col min="14601" max="14601" width="5.5703125" style="10" bestFit="1" customWidth="1"/>
    <col min="14602" max="14602" width="5.140625" style="10" bestFit="1" customWidth="1"/>
    <col min="14603" max="14603" width="7.5703125" style="10" bestFit="1" customWidth="1"/>
    <col min="14604" max="14604" width="7.42578125" style="10" bestFit="1" customWidth="1"/>
    <col min="14605" max="14605" width="5.5703125" style="10" bestFit="1" customWidth="1"/>
    <col min="14606" max="14606" width="4.5703125" style="10" bestFit="1" customWidth="1"/>
    <col min="14607" max="14607" width="1.5703125" style="10" bestFit="1" customWidth="1"/>
    <col min="14608" max="14608" width="3.5703125" style="10" bestFit="1" customWidth="1"/>
    <col min="14609" max="14609" width="4.140625" style="10" bestFit="1" customWidth="1"/>
    <col min="14610" max="14610" width="5.140625" style="10" bestFit="1" customWidth="1"/>
    <col min="14611" max="14611" width="2.140625" style="10" bestFit="1" customWidth="1"/>
    <col min="14612" max="14612" width="3" style="10" bestFit="1" customWidth="1"/>
    <col min="14613" max="14613" width="4.5703125" style="10" bestFit="1" customWidth="1"/>
    <col min="14614" max="14614" width="0.85546875" style="10" bestFit="1" customWidth="1"/>
    <col min="14615" max="14615" width="7.5703125" style="10" bestFit="1" customWidth="1"/>
    <col min="14616" max="14616" width="1.5703125" style="10" bestFit="1" customWidth="1"/>
    <col min="14617" max="14617" width="2.140625" style="10" bestFit="1" customWidth="1"/>
    <col min="14618" max="14618" width="7.42578125" style="10" bestFit="1" customWidth="1"/>
    <col min="14619" max="14619" width="0.85546875" style="10" bestFit="1" customWidth="1"/>
    <col min="14620" max="14620" width="2.42578125" style="10" bestFit="1" customWidth="1"/>
    <col min="14621" max="14621" width="0.85546875" style="10" bestFit="1" customWidth="1"/>
    <col min="14622" max="14622" width="7.42578125" style="10" bestFit="1" customWidth="1"/>
    <col min="14623" max="14623" width="10.42578125" style="10" bestFit="1" customWidth="1"/>
    <col min="14624" max="14624" width="0.42578125" style="10" bestFit="1" customWidth="1"/>
    <col min="14625" max="14625" width="3.42578125" style="10" bestFit="1" customWidth="1"/>
    <col min="14626" max="14626" width="1.5703125" style="10" bestFit="1" customWidth="1"/>
    <col min="14627" max="14627" width="2.85546875" style="10" bestFit="1" customWidth="1"/>
    <col min="14628" max="14628" width="5.85546875" style="10" bestFit="1" customWidth="1"/>
    <col min="14629" max="14629" width="9.85546875" style="10" bestFit="1" customWidth="1"/>
    <col min="14630" max="14849" width="9.140625" style="10"/>
    <col min="14850" max="14850" width="4.42578125" style="10" bestFit="1" customWidth="1"/>
    <col min="14851" max="14852" width="3.85546875" style="10" bestFit="1" customWidth="1"/>
    <col min="14853" max="14853" width="8.42578125" style="10" bestFit="1" customWidth="1"/>
    <col min="14854" max="14854" width="5" style="10" bestFit="1" customWidth="1"/>
    <col min="14855" max="14856" width="3.5703125" style="10" bestFit="1" customWidth="1"/>
    <col min="14857" max="14857" width="5.5703125" style="10" bestFit="1" customWidth="1"/>
    <col min="14858" max="14858" width="5.140625" style="10" bestFit="1" customWidth="1"/>
    <col min="14859" max="14859" width="7.5703125" style="10" bestFit="1" customWidth="1"/>
    <col min="14860" max="14860" width="7.42578125" style="10" bestFit="1" customWidth="1"/>
    <col min="14861" max="14861" width="5.5703125" style="10" bestFit="1" customWidth="1"/>
    <col min="14862" max="14862" width="4.5703125" style="10" bestFit="1" customWidth="1"/>
    <col min="14863" max="14863" width="1.5703125" style="10" bestFit="1" customWidth="1"/>
    <col min="14864" max="14864" width="3.5703125" style="10" bestFit="1" customWidth="1"/>
    <col min="14865" max="14865" width="4.140625" style="10" bestFit="1" customWidth="1"/>
    <col min="14866" max="14866" width="5.140625" style="10" bestFit="1" customWidth="1"/>
    <col min="14867" max="14867" width="2.140625" style="10" bestFit="1" customWidth="1"/>
    <col min="14868" max="14868" width="3" style="10" bestFit="1" customWidth="1"/>
    <col min="14869" max="14869" width="4.5703125" style="10" bestFit="1" customWidth="1"/>
    <col min="14870" max="14870" width="0.85546875" style="10" bestFit="1" customWidth="1"/>
    <col min="14871" max="14871" width="7.5703125" style="10" bestFit="1" customWidth="1"/>
    <col min="14872" max="14872" width="1.5703125" style="10" bestFit="1" customWidth="1"/>
    <col min="14873" max="14873" width="2.140625" style="10" bestFit="1" customWidth="1"/>
    <col min="14874" max="14874" width="7.42578125" style="10" bestFit="1" customWidth="1"/>
    <col min="14875" max="14875" width="0.85546875" style="10" bestFit="1" customWidth="1"/>
    <col min="14876" max="14876" width="2.42578125" style="10" bestFit="1" customWidth="1"/>
    <col min="14877" max="14877" width="0.85546875" style="10" bestFit="1" customWidth="1"/>
    <col min="14878" max="14878" width="7.42578125" style="10" bestFit="1" customWidth="1"/>
    <col min="14879" max="14879" width="10.42578125" style="10" bestFit="1" customWidth="1"/>
    <col min="14880" max="14880" width="0.42578125" style="10" bestFit="1" customWidth="1"/>
    <col min="14881" max="14881" width="3.42578125" style="10" bestFit="1" customWidth="1"/>
    <col min="14882" max="14882" width="1.5703125" style="10" bestFit="1" customWidth="1"/>
    <col min="14883" max="14883" width="2.85546875" style="10" bestFit="1" customWidth="1"/>
    <col min="14884" max="14884" width="5.85546875" style="10" bestFit="1" customWidth="1"/>
    <col min="14885" max="14885" width="9.85546875" style="10" bestFit="1" customWidth="1"/>
    <col min="14886" max="15105" width="9.140625" style="10"/>
    <col min="15106" max="15106" width="4.42578125" style="10" bestFit="1" customWidth="1"/>
    <col min="15107" max="15108" width="3.85546875" style="10" bestFit="1" customWidth="1"/>
    <col min="15109" max="15109" width="8.42578125" style="10" bestFit="1" customWidth="1"/>
    <col min="15110" max="15110" width="5" style="10" bestFit="1" customWidth="1"/>
    <col min="15111" max="15112" width="3.5703125" style="10" bestFit="1" customWidth="1"/>
    <col min="15113" max="15113" width="5.5703125" style="10" bestFit="1" customWidth="1"/>
    <col min="15114" max="15114" width="5.140625" style="10" bestFit="1" customWidth="1"/>
    <col min="15115" max="15115" width="7.5703125" style="10" bestFit="1" customWidth="1"/>
    <col min="15116" max="15116" width="7.42578125" style="10" bestFit="1" customWidth="1"/>
    <col min="15117" max="15117" width="5.5703125" style="10" bestFit="1" customWidth="1"/>
    <col min="15118" max="15118" width="4.5703125" style="10" bestFit="1" customWidth="1"/>
    <col min="15119" max="15119" width="1.5703125" style="10" bestFit="1" customWidth="1"/>
    <col min="15120" max="15120" width="3.5703125" style="10" bestFit="1" customWidth="1"/>
    <col min="15121" max="15121" width="4.140625" style="10" bestFit="1" customWidth="1"/>
    <col min="15122" max="15122" width="5.140625" style="10" bestFit="1" customWidth="1"/>
    <col min="15123" max="15123" width="2.140625" style="10" bestFit="1" customWidth="1"/>
    <col min="15124" max="15124" width="3" style="10" bestFit="1" customWidth="1"/>
    <col min="15125" max="15125" width="4.5703125" style="10" bestFit="1" customWidth="1"/>
    <col min="15126" max="15126" width="0.85546875" style="10" bestFit="1" customWidth="1"/>
    <col min="15127" max="15127" width="7.5703125" style="10" bestFit="1" customWidth="1"/>
    <col min="15128" max="15128" width="1.5703125" style="10" bestFit="1" customWidth="1"/>
    <col min="15129" max="15129" width="2.140625" style="10" bestFit="1" customWidth="1"/>
    <col min="15130" max="15130" width="7.42578125" style="10" bestFit="1" customWidth="1"/>
    <col min="15131" max="15131" width="0.85546875" style="10" bestFit="1" customWidth="1"/>
    <col min="15132" max="15132" width="2.42578125" style="10" bestFit="1" customWidth="1"/>
    <col min="15133" max="15133" width="0.85546875" style="10" bestFit="1" customWidth="1"/>
    <col min="15134" max="15134" width="7.42578125" style="10" bestFit="1" customWidth="1"/>
    <col min="15135" max="15135" width="10.42578125" style="10" bestFit="1" customWidth="1"/>
    <col min="15136" max="15136" width="0.42578125" style="10" bestFit="1" customWidth="1"/>
    <col min="15137" max="15137" width="3.42578125" style="10" bestFit="1" customWidth="1"/>
    <col min="15138" max="15138" width="1.5703125" style="10" bestFit="1" customWidth="1"/>
    <col min="15139" max="15139" width="2.85546875" style="10" bestFit="1" customWidth="1"/>
    <col min="15140" max="15140" width="5.85546875" style="10" bestFit="1" customWidth="1"/>
    <col min="15141" max="15141" width="9.85546875" style="10" bestFit="1" customWidth="1"/>
    <col min="15142" max="15361" width="9.140625" style="10"/>
    <col min="15362" max="15362" width="4.42578125" style="10" bestFit="1" customWidth="1"/>
    <col min="15363" max="15364" width="3.85546875" style="10" bestFit="1" customWidth="1"/>
    <col min="15365" max="15365" width="8.42578125" style="10" bestFit="1" customWidth="1"/>
    <col min="15366" max="15366" width="5" style="10" bestFit="1" customWidth="1"/>
    <col min="15367" max="15368" width="3.5703125" style="10" bestFit="1" customWidth="1"/>
    <col min="15369" max="15369" width="5.5703125" style="10" bestFit="1" customWidth="1"/>
    <col min="15370" max="15370" width="5.140625" style="10" bestFit="1" customWidth="1"/>
    <col min="15371" max="15371" width="7.5703125" style="10" bestFit="1" customWidth="1"/>
    <col min="15372" max="15372" width="7.42578125" style="10" bestFit="1" customWidth="1"/>
    <col min="15373" max="15373" width="5.5703125" style="10" bestFit="1" customWidth="1"/>
    <col min="15374" max="15374" width="4.5703125" style="10" bestFit="1" customWidth="1"/>
    <col min="15375" max="15375" width="1.5703125" style="10" bestFit="1" customWidth="1"/>
    <col min="15376" max="15376" width="3.5703125" style="10" bestFit="1" customWidth="1"/>
    <col min="15377" max="15377" width="4.140625" style="10" bestFit="1" customWidth="1"/>
    <col min="15378" max="15378" width="5.140625" style="10" bestFit="1" customWidth="1"/>
    <col min="15379" max="15379" width="2.140625" style="10" bestFit="1" customWidth="1"/>
    <col min="15380" max="15380" width="3" style="10" bestFit="1" customWidth="1"/>
    <col min="15381" max="15381" width="4.5703125" style="10" bestFit="1" customWidth="1"/>
    <col min="15382" max="15382" width="0.85546875" style="10" bestFit="1" customWidth="1"/>
    <col min="15383" max="15383" width="7.5703125" style="10" bestFit="1" customWidth="1"/>
    <col min="15384" max="15384" width="1.5703125" style="10" bestFit="1" customWidth="1"/>
    <col min="15385" max="15385" width="2.140625" style="10" bestFit="1" customWidth="1"/>
    <col min="15386" max="15386" width="7.42578125" style="10" bestFit="1" customWidth="1"/>
    <col min="15387" max="15387" width="0.85546875" style="10" bestFit="1" customWidth="1"/>
    <col min="15388" max="15388" width="2.42578125" style="10" bestFit="1" customWidth="1"/>
    <col min="15389" max="15389" width="0.85546875" style="10" bestFit="1" customWidth="1"/>
    <col min="15390" max="15390" width="7.42578125" style="10" bestFit="1" customWidth="1"/>
    <col min="15391" max="15391" width="10.42578125" style="10" bestFit="1" customWidth="1"/>
    <col min="15392" max="15392" width="0.42578125" style="10" bestFit="1" customWidth="1"/>
    <col min="15393" max="15393" width="3.42578125" style="10" bestFit="1" customWidth="1"/>
    <col min="15394" max="15394" width="1.5703125" style="10" bestFit="1" customWidth="1"/>
    <col min="15395" max="15395" width="2.85546875" style="10" bestFit="1" customWidth="1"/>
    <col min="15396" max="15396" width="5.85546875" style="10" bestFit="1" customWidth="1"/>
    <col min="15397" max="15397" width="9.85546875" style="10" bestFit="1" customWidth="1"/>
    <col min="15398" max="15617" width="9.140625" style="10"/>
    <col min="15618" max="15618" width="4.42578125" style="10" bestFit="1" customWidth="1"/>
    <col min="15619" max="15620" width="3.85546875" style="10" bestFit="1" customWidth="1"/>
    <col min="15621" max="15621" width="8.42578125" style="10" bestFit="1" customWidth="1"/>
    <col min="15622" max="15622" width="5" style="10" bestFit="1" customWidth="1"/>
    <col min="15623" max="15624" width="3.5703125" style="10" bestFit="1" customWidth="1"/>
    <col min="15625" max="15625" width="5.5703125" style="10" bestFit="1" customWidth="1"/>
    <col min="15626" max="15626" width="5.140625" style="10" bestFit="1" customWidth="1"/>
    <col min="15627" max="15627" width="7.5703125" style="10" bestFit="1" customWidth="1"/>
    <col min="15628" max="15628" width="7.42578125" style="10" bestFit="1" customWidth="1"/>
    <col min="15629" max="15629" width="5.5703125" style="10" bestFit="1" customWidth="1"/>
    <col min="15630" max="15630" width="4.5703125" style="10" bestFit="1" customWidth="1"/>
    <col min="15631" max="15631" width="1.5703125" style="10" bestFit="1" customWidth="1"/>
    <col min="15632" max="15632" width="3.5703125" style="10" bestFit="1" customWidth="1"/>
    <col min="15633" max="15633" width="4.140625" style="10" bestFit="1" customWidth="1"/>
    <col min="15634" max="15634" width="5.140625" style="10" bestFit="1" customWidth="1"/>
    <col min="15635" max="15635" width="2.140625" style="10" bestFit="1" customWidth="1"/>
    <col min="15636" max="15636" width="3" style="10" bestFit="1" customWidth="1"/>
    <col min="15637" max="15637" width="4.5703125" style="10" bestFit="1" customWidth="1"/>
    <col min="15638" max="15638" width="0.85546875" style="10" bestFit="1" customWidth="1"/>
    <col min="15639" max="15639" width="7.5703125" style="10" bestFit="1" customWidth="1"/>
    <col min="15640" max="15640" width="1.5703125" style="10" bestFit="1" customWidth="1"/>
    <col min="15641" max="15641" width="2.140625" style="10" bestFit="1" customWidth="1"/>
    <col min="15642" max="15642" width="7.42578125" style="10" bestFit="1" customWidth="1"/>
    <col min="15643" max="15643" width="0.85546875" style="10" bestFit="1" customWidth="1"/>
    <col min="15644" max="15644" width="2.42578125" style="10" bestFit="1" customWidth="1"/>
    <col min="15645" max="15645" width="0.85546875" style="10" bestFit="1" customWidth="1"/>
    <col min="15646" max="15646" width="7.42578125" style="10" bestFit="1" customWidth="1"/>
    <col min="15647" max="15647" width="10.42578125" style="10" bestFit="1" customWidth="1"/>
    <col min="15648" max="15648" width="0.42578125" style="10" bestFit="1" customWidth="1"/>
    <col min="15649" max="15649" width="3.42578125" style="10" bestFit="1" customWidth="1"/>
    <col min="15650" max="15650" width="1.5703125" style="10" bestFit="1" customWidth="1"/>
    <col min="15651" max="15651" width="2.85546875" style="10" bestFit="1" customWidth="1"/>
    <col min="15652" max="15652" width="5.85546875" style="10" bestFit="1" customWidth="1"/>
    <col min="15653" max="15653" width="9.85546875" style="10" bestFit="1" customWidth="1"/>
    <col min="15654" max="15873" width="9.140625" style="10"/>
    <col min="15874" max="15874" width="4.42578125" style="10" bestFit="1" customWidth="1"/>
    <col min="15875" max="15876" width="3.85546875" style="10" bestFit="1" customWidth="1"/>
    <col min="15877" max="15877" width="8.42578125" style="10" bestFit="1" customWidth="1"/>
    <col min="15878" max="15878" width="5" style="10" bestFit="1" customWidth="1"/>
    <col min="15879" max="15880" width="3.5703125" style="10" bestFit="1" customWidth="1"/>
    <col min="15881" max="15881" width="5.5703125" style="10" bestFit="1" customWidth="1"/>
    <col min="15882" max="15882" width="5.140625" style="10" bestFit="1" customWidth="1"/>
    <col min="15883" max="15883" width="7.5703125" style="10" bestFit="1" customWidth="1"/>
    <col min="15884" max="15884" width="7.42578125" style="10" bestFit="1" customWidth="1"/>
    <col min="15885" max="15885" width="5.5703125" style="10" bestFit="1" customWidth="1"/>
    <col min="15886" max="15886" width="4.5703125" style="10" bestFit="1" customWidth="1"/>
    <col min="15887" max="15887" width="1.5703125" style="10" bestFit="1" customWidth="1"/>
    <col min="15888" max="15888" width="3.5703125" style="10" bestFit="1" customWidth="1"/>
    <col min="15889" max="15889" width="4.140625" style="10" bestFit="1" customWidth="1"/>
    <col min="15890" max="15890" width="5.140625" style="10" bestFit="1" customWidth="1"/>
    <col min="15891" max="15891" width="2.140625" style="10" bestFit="1" customWidth="1"/>
    <col min="15892" max="15892" width="3" style="10" bestFit="1" customWidth="1"/>
    <col min="15893" max="15893" width="4.5703125" style="10" bestFit="1" customWidth="1"/>
    <col min="15894" max="15894" width="0.85546875" style="10" bestFit="1" customWidth="1"/>
    <col min="15895" max="15895" width="7.5703125" style="10" bestFit="1" customWidth="1"/>
    <col min="15896" max="15896" width="1.5703125" style="10" bestFit="1" customWidth="1"/>
    <col min="15897" max="15897" width="2.140625" style="10" bestFit="1" customWidth="1"/>
    <col min="15898" max="15898" width="7.42578125" style="10" bestFit="1" customWidth="1"/>
    <col min="15899" max="15899" width="0.85546875" style="10" bestFit="1" customWidth="1"/>
    <col min="15900" max="15900" width="2.42578125" style="10" bestFit="1" customWidth="1"/>
    <col min="15901" max="15901" width="0.85546875" style="10" bestFit="1" customWidth="1"/>
    <col min="15902" max="15902" width="7.42578125" style="10" bestFit="1" customWidth="1"/>
    <col min="15903" max="15903" width="10.42578125" style="10" bestFit="1" customWidth="1"/>
    <col min="15904" max="15904" width="0.42578125" style="10" bestFit="1" customWidth="1"/>
    <col min="15905" max="15905" width="3.42578125" style="10" bestFit="1" customWidth="1"/>
    <col min="15906" max="15906" width="1.5703125" style="10" bestFit="1" customWidth="1"/>
    <col min="15907" max="15907" width="2.85546875" style="10" bestFit="1" customWidth="1"/>
    <col min="15908" max="15908" width="5.85546875" style="10" bestFit="1" customWidth="1"/>
    <col min="15909" max="15909" width="9.85546875" style="10" bestFit="1" customWidth="1"/>
    <col min="15910" max="16129" width="9.140625" style="10"/>
    <col min="16130" max="16130" width="4.42578125" style="10" bestFit="1" customWidth="1"/>
    <col min="16131" max="16132" width="3.85546875" style="10" bestFit="1" customWidth="1"/>
    <col min="16133" max="16133" width="8.42578125" style="10" bestFit="1" customWidth="1"/>
    <col min="16134" max="16134" width="5" style="10" bestFit="1" customWidth="1"/>
    <col min="16135" max="16136" width="3.5703125" style="10" bestFit="1" customWidth="1"/>
    <col min="16137" max="16137" width="5.5703125" style="10" bestFit="1" customWidth="1"/>
    <col min="16138" max="16138" width="5.140625" style="10" bestFit="1" customWidth="1"/>
    <col min="16139" max="16139" width="7.5703125" style="10" bestFit="1" customWidth="1"/>
    <col min="16140" max="16140" width="7.42578125" style="10" bestFit="1" customWidth="1"/>
    <col min="16141" max="16141" width="5.5703125" style="10" bestFit="1" customWidth="1"/>
    <col min="16142" max="16142" width="4.5703125" style="10" bestFit="1" customWidth="1"/>
    <col min="16143" max="16143" width="1.5703125" style="10" bestFit="1" customWidth="1"/>
    <col min="16144" max="16144" width="3.5703125" style="10" bestFit="1" customWidth="1"/>
    <col min="16145" max="16145" width="4.140625" style="10" bestFit="1" customWidth="1"/>
    <col min="16146" max="16146" width="5.140625" style="10" bestFit="1" customWidth="1"/>
    <col min="16147" max="16147" width="2.140625" style="10" bestFit="1" customWidth="1"/>
    <col min="16148" max="16148" width="3" style="10" bestFit="1" customWidth="1"/>
    <col min="16149" max="16149" width="4.5703125" style="10" bestFit="1" customWidth="1"/>
    <col min="16150" max="16150" width="0.85546875" style="10" bestFit="1" customWidth="1"/>
    <col min="16151" max="16151" width="7.5703125" style="10" bestFit="1" customWidth="1"/>
    <col min="16152" max="16152" width="1.5703125" style="10" bestFit="1" customWidth="1"/>
    <col min="16153" max="16153" width="2.140625" style="10" bestFit="1" customWidth="1"/>
    <col min="16154" max="16154" width="7.42578125" style="10" bestFit="1" customWidth="1"/>
    <col min="16155" max="16155" width="0.85546875" style="10" bestFit="1" customWidth="1"/>
    <col min="16156" max="16156" width="2.42578125" style="10" bestFit="1" customWidth="1"/>
    <col min="16157" max="16157" width="0.85546875" style="10" bestFit="1" customWidth="1"/>
    <col min="16158" max="16158" width="7.42578125" style="10" bestFit="1" customWidth="1"/>
    <col min="16159" max="16159" width="10.42578125" style="10" bestFit="1" customWidth="1"/>
    <col min="16160" max="16160" width="0.42578125" style="10" bestFit="1" customWidth="1"/>
    <col min="16161" max="16161" width="3.42578125" style="10" bestFit="1" customWidth="1"/>
    <col min="16162" max="16162" width="1.5703125" style="10" bestFit="1" customWidth="1"/>
    <col min="16163" max="16163" width="2.85546875" style="10" bestFit="1" customWidth="1"/>
    <col min="16164" max="16164" width="5.85546875" style="10" bestFit="1" customWidth="1"/>
    <col min="16165" max="16165" width="9.85546875" style="10" bestFit="1" customWidth="1"/>
    <col min="16166" max="16384" width="9.140625" style="10"/>
  </cols>
  <sheetData>
    <row r="1" spans="1:46">
      <c r="AJ1" s="15">
        <f>SUM(AJ3:AJ8824)</f>
        <v>24839.420000000009</v>
      </c>
      <c r="AO1" s="15">
        <f>SUM(AO3:AO8824)</f>
        <v>20302.693316269815</v>
      </c>
      <c r="AP1" s="15">
        <f>SUM(AP3:AP8824)</f>
        <v>19897.653316269818</v>
      </c>
      <c r="AQ1" s="15">
        <f>SUM(AQ3:AQ8824)</f>
        <v>4941.7666837301804</v>
      </c>
      <c r="AR1" s="13">
        <f>AP1+AQ1</f>
        <v>24839.42</v>
      </c>
      <c r="AS1" s="13"/>
      <c r="AT1" s="13"/>
    </row>
    <row r="2" spans="1:46" ht="21" customHeight="1">
      <c r="A2" s="45" t="s">
        <v>22</v>
      </c>
      <c r="B2" s="45"/>
      <c r="C2" s="45"/>
      <c r="D2" s="45"/>
      <c r="E2" s="16" t="s">
        <v>23</v>
      </c>
      <c r="F2" s="45" t="s">
        <v>0</v>
      </c>
      <c r="G2" s="45"/>
      <c r="H2" s="45"/>
      <c r="I2" s="45" t="s">
        <v>18</v>
      </c>
      <c r="J2" s="45"/>
      <c r="K2" s="45"/>
      <c r="L2" s="45" t="s">
        <v>24</v>
      </c>
      <c r="M2" s="45"/>
      <c r="N2" s="45" t="s">
        <v>8</v>
      </c>
      <c r="O2" s="45"/>
      <c r="P2" s="45" t="s">
        <v>25</v>
      </c>
      <c r="Q2" s="45"/>
      <c r="R2" s="45"/>
      <c r="S2" s="45" t="s">
        <v>26</v>
      </c>
      <c r="T2" s="45"/>
      <c r="U2" s="45"/>
      <c r="V2" s="16" t="s">
        <v>19</v>
      </c>
      <c r="W2" s="45" t="s">
        <v>17</v>
      </c>
      <c r="X2" s="45"/>
      <c r="Y2" s="45" t="s">
        <v>27</v>
      </c>
      <c r="Z2" s="45"/>
      <c r="AA2" s="45"/>
      <c r="AB2" s="45"/>
      <c r="AC2" s="45" t="s">
        <v>28</v>
      </c>
      <c r="AD2" s="45"/>
      <c r="AE2" s="45"/>
      <c r="AF2" s="45"/>
      <c r="AG2" s="45"/>
      <c r="AH2" s="16" t="s">
        <v>29</v>
      </c>
      <c r="AI2" s="16" t="s">
        <v>30</v>
      </c>
      <c r="AJ2" s="17" t="s">
        <v>31</v>
      </c>
      <c r="AK2" s="9" t="s">
        <v>39</v>
      </c>
      <c r="AL2" s="9" t="s">
        <v>43</v>
      </c>
      <c r="AM2" s="9" t="s">
        <v>40</v>
      </c>
      <c r="AN2" s="9" t="s">
        <v>13</v>
      </c>
      <c r="AO2" s="9" t="s">
        <v>14</v>
      </c>
      <c r="AP2" s="9" t="s">
        <v>41</v>
      </c>
      <c r="AQ2" s="9" t="s">
        <v>42</v>
      </c>
      <c r="AR2" s="34" t="s">
        <v>140</v>
      </c>
    </row>
    <row r="3" spans="1:46" ht="12.95" customHeight="1">
      <c r="A3" s="44" t="s">
        <v>151</v>
      </c>
      <c r="B3" s="44"/>
      <c r="C3" s="44"/>
      <c r="D3" s="44"/>
      <c r="E3" s="29" t="s">
        <v>99</v>
      </c>
      <c r="F3" s="46">
        <v>0</v>
      </c>
      <c r="G3" s="46"/>
      <c r="H3" s="46"/>
      <c r="I3" s="44" t="s">
        <v>155</v>
      </c>
      <c r="J3" s="44"/>
      <c r="K3" s="44"/>
      <c r="L3" s="43" t="s">
        <v>100</v>
      </c>
      <c r="M3" s="43"/>
      <c r="N3" s="43" t="s">
        <v>80</v>
      </c>
      <c r="O3" s="43"/>
      <c r="P3" s="43" t="s">
        <v>153</v>
      </c>
      <c r="Q3" s="43"/>
      <c r="R3" s="43"/>
      <c r="S3" s="43" t="s">
        <v>101</v>
      </c>
      <c r="T3" s="43"/>
      <c r="U3" s="43"/>
      <c r="V3" s="28" t="s">
        <v>20</v>
      </c>
      <c r="W3" s="43" t="s">
        <v>16</v>
      </c>
      <c r="X3" s="43"/>
      <c r="Y3" s="44" t="s">
        <v>32</v>
      </c>
      <c r="Z3" s="44"/>
      <c r="AA3" s="44"/>
      <c r="AB3" s="44"/>
      <c r="AC3" s="44" t="s">
        <v>48</v>
      </c>
      <c r="AD3" s="44"/>
      <c r="AE3" s="44"/>
      <c r="AF3" s="44"/>
      <c r="AG3" s="44"/>
      <c r="AH3" s="24">
        <v>1</v>
      </c>
      <c r="AI3" s="24">
        <v>694.48</v>
      </c>
      <c r="AJ3" s="24">
        <v>694.48</v>
      </c>
      <c r="AK3" s="14" t="s">
        <v>153</v>
      </c>
      <c r="AL3" s="12">
        <v>1</v>
      </c>
      <c r="AM3" s="14">
        <v>5826.03</v>
      </c>
      <c r="AN3" s="14">
        <f>SUMIFS(planos!D:D,planos!B:B,"&lt;="&amp;unimed!N3,planos!C:C,"&gt;="&amp;unimed!N3,planos!E:E,"Enfermaria sem coparticipação")</f>
        <v>694.48105762398416</v>
      </c>
      <c r="AO3" s="14">
        <f>IF(AJ3=0,0,IF(MID(AC3,1,15)="FATOR MODERADOR",AJ3,IF(AM3&gt;=0,IF(AND(AM3&gt;tabelas!$C$4,AM3&lt;=tabelas!$C$5),(AN3)*tabelas!$D$4,IF(AND(AM3&gt;=tabelas!$C$5,AM3&lt;=tabelas!$C$6),(AN3)*tabelas!$D$5,IF(AND(AM3&gt;=tabelas!$C$6,AM3&lt;=tabelas!$C$7),(AN3)*tabelas!$D$6,IF(AND(AM3&gt;0,AM3&gt;tabelas!$C$7),(AN3)*tabelas!$D$7,0)))))))</f>
        <v>590.30889898038652</v>
      </c>
      <c r="AP3" s="14">
        <f>IF(MID(AC3,1,15)="FATOR MODERADOR",0,IF(MID(AC3,1,21)="RECOMPOSIÇÃO REAJUSTE",0,IF(AH3=1,AO3,AO3*AH3/30)))</f>
        <v>590.30889898038652</v>
      </c>
      <c r="AQ3" s="14">
        <f t="shared" ref="AQ3:AQ55" si="0">AJ3-AP3</f>
        <v>104.1711010196135</v>
      </c>
      <c r="AR3" s="35">
        <f>IF(IFERROR(SEARCH("PRORATA",AC3),0)=13,2030,IF(IFERROR(SEARCH("FATOR MODERADOR",AC3),0)=1,613,0))</f>
        <v>0</v>
      </c>
      <c r="AS3" s="13">
        <f>AJ3-AP3-AQ3</f>
        <v>0</v>
      </c>
    </row>
    <row r="4" spans="1:46" ht="12.95" customHeight="1">
      <c r="A4" s="42" t="s">
        <v>152</v>
      </c>
      <c r="B4" s="42"/>
      <c r="C4" s="42"/>
      <c r="D4" s="42"/>
      <c r="E4" s="31" t="s">
        <v>99</v>
      </c>
      <c r="F4" s="46">
        <v>0</v>
      </c>
      <c r="G4" s="46"/>
      <c r="H4" s="46"/>
      <c r="I4" s="44" t="s">
        <v>155</v>
      </c>
      <c r="J4" s="44"/>
      <c r="K4" s="44"/>
      <c r="L4" s="41" t="s">
        <v>135</v>
      </c>
      <c r="M4" s="41"/>
      <c r="N4" s="41" t="s">
        <v>81</v>
      </c>
      <c r="O4" s="41"/>
      <c r="P4" s="43" t="s">
        <v>153</v>
      </c>
      <c r="Q4" s="43"/>
      <c r="R4" s="43"/>
      <c r="S4" s="41" t="s">
        <v>136</v>
      </c>
      <c r="T4" s="41"/>
      <c r="U4" s="41"/>
      <c r="V4" s="30" t="s">
        <v>20</v>
      </c>
      <c r="W4" s="41" t="s">
        <v>15</v>
      </c>
      <c r="X4" s="41"/>
      <c r="Y4" s="42" t="s">
        <v>35</v>
      </c>
      <c r="Z4" s="42"/>
      <c r="AA4" s="42"/>
      <c r="AB4" s="42"/>
      <c r="AC4" s="42" t="s">
        <v>48</v>
      </c>
      <c r="AD4" s="42"/>
      <c r="AE4" s="42"/>
      <c r="AF4" s="42"/>
      <c r="AG4" s="42"/>
      <c r="AH4" s="25">
        <v>1</v>
      </c>
      <c r="AI4" s="25">
        <v>393.45</v>
      </c>
      <c r="AJ4" s="25">
        <v>393.45</v>
      </c>
      <c r="AK4" s="14" t="s">
        <v>153</v>
      </c>
      <c r="AL4" s="12">
        <v>1</v>
      </c>
      <c r="AM4" s="14">
        <v>1177.21</v>
      </c>
      <c r="AN4" s="14">
        <f>SUMIFS(planos!D:D,planos!B:B,"&lt;="&amp;unimed!N4,planos!C:C,"&gt;="&amp;unimed!N4,planos!E:E,"Enfermaria sem coparticipação")</f>
        <v>393.45220152873048</v>
      </c>
      <c r="AO4" s="14">
        <f>IF(AJ4=0,0,IF(MID(AC4,1,15)="FATOR MODERADOR",AJ4,IF(AM4&gt;=0,IF(AND(AM4&gt;tabelas!$C$4,AM4&lt;=tabelas!$C$5),(AN4)*tabelas!$D$4,IF(AND(AM4&gt;=tabelas!$C$5,AM4&lt;=tabelas!$C$6),(AN4)*tabelas!$D$5,IF(AND(AM4&gt;=tabelas!$C$6,AM4&lt;=tabelas!$C$7),(AN4)*tabelas!$D$6,IF(AND(AM4&gt;0,AM4&gt;tabelas!$C$7),(AN4)*tabelas!$D$7,0)))))))</f>
        <v>365.91054742171934</v>
      </c>
      <c r="AP4" s="14">
        <f t="shared" ref="AP4:AP55" si="1">IF(MID(AC4,1,15)="FATOR MODERADOR",0,IF(MID(AC4,1,21)="RECOMPOSIÇÃO REAJUSTE",0,IF(AH4=1,AO4,AO4*AH4/30)))</f>
        <v>365.91054742171934</v>
      </c>
      <c r="AQ4" s="14">
        <f t="shared" si="0"/>
        <v>27.539452578280645</v>
      </c>
      <c r="AR4" s="35">
        <f t="shared" ref="AR4:AR55" si="2">IF(IFERROR(SEARCH("PRORATA",AC4),0)=13,2030,IF(IFERROR(SEARCH("FATOR MODERADOR",AC4),0)=1,613,0))</f>
        <v>0</v>
      </c>
      <c r="AS4" s="13">
        <f t="shared" ref="AS4:AS55" si="3">AJ4-AP4-AQ4</f>
        <v>0</v>
      </c>
    </row>
    <row r="5" spans="1:46" ht="12.95" customHeight="1">
      <c r="A5" s="44" t="s">
        <v>151</v>
      </c>
      <c r="B5" s="44"/>
      <c r="C5" s="44"/>
      <c r="D5" s="44"/>
      <c r="E5" s="29" t="s">
        <v>99</v>
      </c>
      <c r="F5" s="46">
        <v>0</v>
      </c>
      <c r="G5" s="46"/>
      <c r="H5" s="46"/>
      <c r="I5" s="44" t="s">
        <v>155</v>
      </c>
      <c r="J5" s="44"/>
      <c r="K5" s="44"/>
      <c r="L5" s="43" t="s">
        <v>98</v>
      </c>
      <c r="M5" s="43"/>
      <c r="N5" s="43" t="s">
        <v>82</v>
      </c>
      <c r="O5" s="43"/>
      <c r="P5" s="43" t="s">
        <v>153</v>
      </c>
      <c r="Q5" s="43"/>
      <c r="R5" s="43"/>
      <c r="S5" s="43" t="s">
        <v>101</v>
      </c>
      <c r="T5" s="43"/>
      <c r="U5" s="43"/>
      <c r="V5" s="28" t="s">
        <v>20</v>
      </c>
      <c r="W5" s="43" t="s">
        <v>15</v>
      </c>
      <c r="X5" s="43"/>
      <c r="Y5" s="44" t="s">
        <v>33</v>
      </c>
      <c r="Z5" s="44"/>
      <c r="AA5" s="44"/>
      <c r="AB5" s="44"/>
      <c r="AC5" s="44" t="s">
        <v>48</v>
      </c>
      <c r="AD5" s="44"/>
      <c r="AE5" s="44"/>
      <c r="AF5" s="44"/>
      <c r="AG5" s="44"/>
      <c r="AH5" s="24">
        <v>1</v>
      </c>
      <c r="AI5" s="24">
        <v>559.91999999999996</v>
      </c>
      <c r="AJ5" s="24">
        <v>559.91999999999996</v>
      </c>
      <c r="AK5" s="14" t="s">
        <v>153</v>
      </c>
      <c r="AL5" s="12">
        <v>1</v>
      </c>
      <c r="AM5" s="14">
        <v>1799.49</v>
      </c>
      <c r="AN5" s="14">
        <f>SUMIFS(planos!D:D,planos!B:B,"&lt;="&amp;unimed!N5,planos!C:C,"&gt;="&amp;unimed!N5,planos!E:E,"Enfermaria sem coparticipação")</f>
        <v>559.91758325401042</v>
      </c>
      <c r="AO5" s="14">
        <f>IF(AJ5=0,0,IF(MID(AC5,1,15)="FATOR MODERADOR",AJ5,IF(AM5&gt;=0,IF(AND(AM5&gt;tabelas!$C$4,AM5&lt;=tabelas!$C$5),(AN5)*tabelas!$D$4,IF(AND(AM5&gt;=tabelas!$C$5,AM5&lt;=tabelas!$C$6),(AN5)*tabelas!$D$5,IF(AND(AM5&gt;=tabelas!$C$6,AM5&lt;=tabelas!$C$7),(AN5)*tabelas!$D$6,IF(AND(AM5&gt;0,AM5&gt;tabelas!$C$7),(AN5)*tabelas!$D$7,0)))))))</f>
        <v>520.72335242622967</v>
      </c>
      <c r="AP5" s="14">
        <f t="shared" si="1"/>
        <v>520.72335242622967</v>
      </c>
      <c r="AQ5" s="14">
        <f t="shared" si="0"/>
        <v>39.196647573770292</v>
      </c>
      <c r="AR5" s="35">
        <f t="shared" si="2"/>
        <v>0</v>
      </c>
      <c r="AS5" s="13">
        <f t="shared" si="3"/>
        <v>0</v>
      </c>
    </row>
    <row r="6" spans="1:46" ht="12.95" customHeight="1">
      <c r="A6" s="42" t="s">
        <v>152</v>
      </c>
      <c r="B6" s="42"/>
      <c r="C6" s="42"/>
      <c r="D6" s="42"/>
      <c r="E6" s="31" t="s">
        <v>44</v>
      </c>
      <c r="F6" s="46">
        <v>0</v>
      </c>
      <c r="G6" s="46"/>
      <c r="H6" s="46"/>
      <c r="I6" s="44" t="s">
        <v>156</v>
      </c>
      <c r="J6" s="44"/>
      <c r="K6" s="44"/>
      <c r="L6" s="41" t="s">
        <v>45</v>
      </c>
      <c r="M6" s="41"/>
      <c r="N6" s="41" t="s">
        <v>68</v>
      </c>
      <c r="O6" s="41"/>
      <c r="P6" s="43" t="s">
        <v>153</v>
      </c>
      <c r="Q6" s="43"/>
      <c r="R6" s="43"/>
      <c r="S6" s="41" t="s">
        <v>47</v>
      </c>
      <c r="T6" s="41"/>
      <c r="U6" s="41"/>
      <c r="V6" s="30" t="s">
        <v>20</v>
      </c>
      <c r="W6" s="41" t="s">
        <v>16</v>
      </c>
      <c r="X6" s="41"/>
      <c r="Y6" s="42" t="s">
        <v>32</v>
      </c>
      <c r="Z6" s="42"/>
      <c r="AA6" s="42"/>
      <c r="AB6" s="42"/>
      <c r="AC6" s="42" t="s">
        <v>48</v>
      </c>
      <c r="AD6" s="42"/>
      <c r="AE6" s="42"/>
      <c r="AF6" s="42"/>
      <c r="AG6" s="42"/>
      <c r="AH6" s="25">
        <v>1</v>
      </c>
      <c r="AI6" s="25">
        <v>559.91999999999996</v>
      </c>
      <c r="AJ6" s="25">
        <v>559.91999999999996</v>
      </c>
      <c r="AK6" s="14" t="s">
        <v>153</v>
      </c>
      <c r="AL6" s="12">
        <v>2</v>
      </c>
      <c r="AM6" s="14">
        <v>4332.22</v>
      </c>
      <c r="AN6" s="14">
        <f>SUMIFS(planos!D:D,planos!B:B,"&lt;="&amp;unimed!N6,planos!C:C,"&gt;="&amp;unimed!N6,planos!E:E,"Enfermaria sem coparticipação")</f>
        <v>559.91758325401042</v>
      </c>
      <c r="AO6" s="14">
        <f>IF(AJ6=0,0,IF(MID(AC6,1,15)="FATOR MODERADOR",AJ6,IF(AM6&gt;=0,IF(AND(AM6&gt;tabelas!$C$4,AM6&lt;=tabelas!$C$5),(AN6)*tabelas!$D$4,IF(AND(AM6&gt;=tabelas!$C$5,AM6&lt;=tabelas!$C$6),(AN6)*tabelas!$D$5,IF(AND(AM6&gt;=tabelas!$C$6,AM6&lt;=tabelas!$C$7),(AN6)*tabelas!$D$6,IF(AND(AM6&gt;0,AM6&gt;tabelas!$C$7),(AN6)*tabelas!$D$7,0)))))))</f>
        <v>475.92994576590883</v>
      </c>
      <c r="AP6" s="14">
        <f t="shared" si="1"/>
        <v>475.92994576590883</v>
      </c>
      <c r="AQ6" s="14">
        <f t="shared" si="0"/>
        <v>83.990054234091133</v>
      </c>
      <c r="AR6" s="35">
        <f t="shared" si="2"/>
        <v>0</v>
      </c>
      <c r="AS6" s="13">
        <f t="shared" si="3"/>
        <v>0</v>
      </c>
    </row>
    <row r="7" spans="1:46" ht="12.95" customHeight="1">
      <c r="A7" s="44" t="s">
        <v>151</v>
      </c>
      <c r="B7" s="44"/>
      <c r="C7" s="44"/>
      <c r="D7" s="44"/>
      <c r="E7" s="29" t="s">
        <v>44</v>
      </c>
      <c r="F7" s="46">
        <v>0</v>
      </c>
      <c r="G7" s="46"/>
      <c r="H7" s="46"/>
      <c r="I7" s="44" t="s">
        <v>156</v>
      </c>
      <c r="J7" s="44"/>
      <c r="K7" s="44"/>
      <c r="L7" s="43" t="s">
        <v>50</v>
      </c>
      <c r="M7" s="43"/>
      <c r="N7" s="43" t="s">
        <v>60</v>
      </c>
      <c r="O7" s="43"/>
      <c r="P7" s="43" t="s">
        <v>153</v>
      </c>
      <c r="Q7" s="43"/>
      <c r="R7" s="43"/>
      <c r="S7" s="43" t="s">
        <v>52</v>
      </c>
      <c r="T7" s="43"/>
      <c r="U7" s="43"/>
      <c r="V7" s="28" t="s">
        <v>20</v>
      </c>
      <c r="W7" s="43" t="s">
        <v>15</v>
      </c>
      <c r="X7" s="43"/>
      <c r="Y7" s="44" t="s">
        <v>33</v>
      </c>
      <c r="Z7" s="44"/>
      <c r="AA7" s="44"/>
      <c r="AB7" s="44"/>
      <c r="AC7" s="44" t="s">
        <v>48</v>
      </c>
      <c r="AD7" s="44"/>
      <c r="AE7" s="44"/>
      <c r="AF7" s="44"/>
      <c r="AG7" s="44"/>
      <c r="AH7" s="24">
        <v>1</v>
      </c>
      <c r="AI7" s="24">
        <v>559.91999999999996</v>
      </c>
      <c r="AJ7" s="24">
        <v>559.91999999999996</v>
      </c>
      <c r="AK7" s="14" t="s">
        <v>153</v>
      </c>
      <c r="AL7" s="12">
        <v>2</v>
      </c>
      <c r="AM7" s="14">
        <v>4178.46</v>
      </c>
      <c r="AN7" s="14">
        <f>SUMIFS(planos!D:D,planos!B:B,"&lt;="&amp;unimed!N7,planos!C:C,"&gt;="&amp;unimed!N7,planos!E:E,"Enfermaria sem coparticipação")</f>
        <v>559.91758325401042</v>
      </c>
      <c r="AO7" s="14">
        <f>IF(AJ7=0,0,IF(MID(AC7,1,15)="FATOR MODERADOR",AJ7,IF(AM7&gt;=0,IF(AND(AM7&gt;tabelas!$C$4,AM7&lt;=tabelas!$C$5),(AN7)*tabelas!$D$4,IF(AND(AM7&gt;=tabelas!$C$5,AM7&lt;=tabelas!$C$6),(AN7)*tabelas!$D$5,IF(AND(AM7&gt;=tabelas!$C$6,AM7&lt;=tabelas!$C$7),(AN7)*tabelas!$D$6,IF(AND(AM7&gt;0,AM7&gt;tabelas!$C$7),(AN7)*tabelas!$D$7,0)))))))</f>
        <v>475.92994576590883</v>
      </c>
      <c r="AP7" s="14">
        <f t="shared" si="1"/>
        <v>475.92994576590883</v>
      </c>
      <c r="AQ7" s="14">
        <f t="shared" si="0"/>
        <v>83.990054234091133</v>
      </c>
      <c r="AR7" s="35">
        <f t="shared" si="2"/>
        <v>0</v>
      </c>
      <c r="AS7" s="13">
        <f t="shared" si="3"/>
        <v>0</v>
      </c>
    </row>
    <row r="8" spans="1:46" ht="12.95" customHeight="1">
      <c r="A8" s="42" t="s">
        <v>152</v>
      </c>
      <c r="B8" s="42"/>
      <c r="C8" s="42"/>
      <c r="D8" s="42"/>
      <c r="E8" s="31" t="s">
        <v>132</v>
      </c>
      <c r="F8" s="46">
        <v>0</v>
      </c>
      <c r="G8" s="46"/>
      <c r="H8" s="46"/>
      <c r="I8" s="44" t="s">
        <v>157</v>
      </c>
      <c r="J8" s="44"/>
      <c r="K8" s="44"/>
      <c r="L8" s="41" t="s">
        <v>133</v>
      </c>
      <c r="M8" s="41"/>
      <c r="N8" s="41" t="s">
        <v>77</v>
      </c>
      <c r="O8" s="41"/>
      <c r="P8" s="43" t="s">
        <v>153</v>
      </c>
      <c r="Q8" s="43"/>
      <c r="R8" s="43"/>
      <c r="S8" s="41" t="s">
        <v>131</v>
      </c>
      <c r="T8" s="41"/>
      <c r="U8" s="41"/>
      <c r="V8" s="30" t="s">
        <v>20</v>
      </c>
      <c r="W8" s="41" t="s">
        <v>16</v>
      </c>
      <c r="X8" s="41"/>
      <c r="Y8" s="42" t="s">
        <v>32</v>
      </c>
      <c r="Z8" s="42"/>
      <c r="AA8" s="42"/>
      <c r="AB8" s="42"/>
      <c r="AC8" s="42" t="s">
        <v>48</v>
      </c>
      <c r="AD8" s="42"/>
      <c r="AE8" s="42"/>
      <c r="AF8" s="42"/>
      <c r="AG8" s="42"/>
      <c r="AH8" s="25">
        <v>1</v>
      </c>
      <c r="AI8" s="25">
        <v>559.91999999999996</v>
      </c>
      <c r="AJ8" s="25">
        <v>559.91999999999996</v>
      </c>
      <c r="AK8" s="14" t="s">
        <v>153</v>
      </c>
      <c r="AL8" s="12">
        <v>3</v>
      </c>
      <c r="AM8" s="14">
        <v>4714.12</v>
      </c>
      <c r="AN8" s="14">
        <f>SUMIFS(planos!D:D,planos!B:B,"&lt;="&amp;unimed!N8,planos!C:C,"&gt;="&amp;unimed!N8,planos!E:E,"Enfermaria sem coparticipação")</f>
        <v>559.91758325401042</v>
      </c>
      <c r="AO8" s="14">
        <f>IF(AJ8=0,0,IF(MID(AC8,1,15)="FATOR MODERADOR",AJ8,IF(AM8&gt;=0,IF(AND(AM8&gt;tabelas!$C$4,AM8&lt;=tabelas!$C$5),(AN8)*tabelas!$D$4,IF(AND(AM8&gt;=tabelas!$C$5,AM8&lt;=tabelas!$C$6),(AN8)*tabelas!$D$5,IF(AND(AM8&gt;=tabelas!$C$6,AM8&lt;=tabelas!$C$7),(AN8)*tabelas!$D$6,IF(AND(AM8&gt;0,AM8&gt;tabelas!$C$7),(AN8)*tabelas!$D$7,0)))))))</f>
        <v>475.92994576590883</v>
      </c>
      <c r="AP8" s="14">
        <f t="shared" si="1"/>
        <v>475.92994576590883</v>
      </c>
      <c r="AQ8" s="14">
        <f t="shared" si="0"/>
        <v>83.990054234091133</v>
      </c>
      <c r="AR8" s="35">
        <f t="shared" si="2"/>
        <v>0</v>
      </c>
      <c r="AS8" s="13">
        <f t="shared" si="3"/>
        <v>0</v>
      </c>
    </row>
    <row r="9" spans="1:46" ht="12.95" customHeight="1">
      <c r="A9" s="44" t="s">
        <v>151</v>
      </c>
      <c r="B9" s="44"/>
      <c r="C9" s="44"/>
      <c r="D9" s="44"/>
      <c r="E9" s="29" t="s">
        <v>102</v>
      </c>
      <c r="F9" s="46">
        <v>0</v>
      </c>
      <c r="G9" s="46"/>
      <c r="H9" s="46"/>
      <c r="I9" s="44" t="s">
        <v>158</v>
      </c>
      <c r="J9" s="44"/>
      <c r="K9" s="44"/>
      <c r="L9" s="43" t="s">
        <v>103</v>
      </c>
      <c r="M9" s="43"/>
      <c r="N9" s="43" t="s">
        <v>85</v>
      </c>
      <c r="O9" s="43"/>
      <c r="P9" s="43" t="s">
        <v>153</v>
      </c>
      <c r="Q9" s="43"/>
      <c r="R9" s="43"/>
      <c r="S9" s="43" t="s">
        <v>104</v>
      </c>
      <c r="T9" s="43"/>
      <c r="U9" s="43"/>
      <c r="V9" s="28" t="s">
        <v>21</v>
      </c>
      <c r="W9" s="43" t="s">
        <v>16</v>
      </c>
      <c r="X9" s="43"/>
      <c r="Y9" s="44" t="s">
        <v>32</v>
      </c>
      <c r="Z9" s="44"/>
      <c r="AA9" s="44"/>
      <c r="AB9" s="44"/>
      <c r="AC9" s="44" t="s">
        <v>71</v>
      </c>
      <c r="AD9" s="44"/>
      <c r="AE9" s="44"/>
      <c r="AF9" s="44"/>
      <c r="AG9" s="44"/>
      <c r="AH9" s="24">
        <v>1</v>
      </c>
      <c r="AI9" s="24">
        <v>937.56</v>
      </c>
      <c r="AJ9" s="24">
        <v>937.56</v>
      </c>
      <c r="AK9" s="14" t="s">
        <v>153</v>
      </c>
      <c r="AL9" s="12">
        <v>4</v>
      </c>
      <c r="AM9" s="14">
        <v>7685.13</v>
      </c>
      <c r="AN9" s="14">
        <f>SUMIFS(planos!D:D,planos!B:B,"&lt;="&amp;unimed!N9,planos!C:C,"&gt;="&amp;unimed!N9,planos!E:E,"Enfermaria sem coparticipação")</f>
        <v>694.48105762398416</v>
      </c>
      <c r="AO9" s="14">
        <f>IF(AJ9=0,0,IF(MID(AC9,1,15)="FATOR MODERADOR",AJ9,IF(AM9&gt;=0,IF(AND(AM9&gt;tabelas!$C$4,AM9&lt;=tabelas!$C$5),(AN9)*tabelas!$D$4,IF(AND(AM9&gt;=tabelas!$C$5,AM9&lt;=tabelas!$C$6),(AN9)*tabelas!$D$5,IF(AND(AM9&gt;=tabelas!$C$6,AM9&lt;=tabelas!$C$7),(AN9)*tabelas!$D$6,IF(AND(AM9&gt;0,AM9&gt;tabelas!$C$7),(AN9)*tabelas!$D$7,0)))))))</f>
        <v>534.75041437046787</v>
      </c>
      <c r="AP9" s="14">
        <f t="shared" si="1"/>
        <v>534.75041437046787</v>
      </c>
      <c r="AQ9" s="14">
        <f t="shared" si="0"/>
        <v>402.80958562953208</v>
      </c>
      <c r="AR9" s="35">
        <f t="shared" si="2"/>
        <v>0</v>
      </c>
      <c r="AS9" s="13">
        <f t="shared" si="3"/>
        <v>0</v>
      </c>
    </row>
    <row r="10" spans="1:46" ht="12.95" customHeight="1">
      <c r="A10" s="42" t="s">
        <v>152</v>
      </c>
      <c r="B10" s="42"/>
      <c r="C10" s="42"/>
      <c r="D10" s="42"/>
      <c r="E10" s="31" t="s">
        <v>53</v>
      </c>
      <c r="F10" s="46">
        <v>0</v>
      </c>
      <c r="G10" s="46"/>
      <c r="H10" s="46"/>
      <c r="I10" s="44" t="s">
        <v>154</v>
      </c>
      <c r="J10" s="44"/>
      <c r="K10" s="44"/>
      <c r="L10" s="41" t="s">
        <v>54</v>
      </c>
      <c r="M10" s="41"/>
      <c r="N10" s="41" t="s">
        <v>76</v>
      </c>
      <c r="O10" s="41"/>
      <c r="P10" s="43" t="s">
        <v>153</v>
      </c>
      <c r="Q10" s="43"/>
      <c r="R10" s="43"/>
      <c r="S10" s="41" t="s">
        <v>55</v>
      </c>
      <c r="T10" s="41"/>
      <c r="U10" s="41"/>
      <c r="V10" s="30" t="s">
        <v>34</v>
      </c>
      <c r="W10" s="41" t="s">
        <v>16</v>
      </c>
      <c r="X10" s="41"/>
      <c r="Y10" s="42" t="s">
        <v>32</v>
      </c>
      <c r="Z10" s="42"/>
      <c r="AA10" s="42"/>
      <c r="AB10" s="42"/>
      <c r="AC10" s="42" t="s">
        <v>56</v>
      </c>
      <c r="AD10" s="42"/>
      <c r="AE10" s="42"/>
      <c r="AF10" s="42"/>
      <c r="AG10" s="42"/>
      <c r="AH10" s="25">
        <v>1</v>
      </c>
      <c r="AI10" s="26">
        <v>1201.83</v>
      </c>
      <c r="AJ10" s="26">
        <v>1201.83</v>
      </c>
      <c r="AK10" s="14" t="s">
        <v>153</v>
      </c>
      <c r="AL10" s="12">
        <v>5</v>
      </c>
      <c r="AM10" s="14">
        <v>3652.6</v>
      </c>
      <c r="AN10" s="14">
        <f>SUMIFS(planos!D:D,planos!B:B,"&lt;="&amp;unimed!N10,planos!C:C,"&gt;="&amp;unimed!N10,planos!E:E,"Enfermaria sem coparticipação")</f>
        <v>1123.0245</v>
      </c>
      <c r="AO10" s="14">
        <f>IF(AJ10=0,0,IF(MID(AC10,1,15)="FATOR MODERADOR",AJ10,IF(AM10&gt;=0,IF(AND(AM10&gt;tabelas!$C$4,AM10&lt;=tabelas!$C$5),(AN10)*tabelas!$D$4,IF(AND(AM10&gt;=tabelas!$C$5,AM10&lt;=tabelas!$C$6),(AN10)*tabelas!$D$5,IF(AND(AM10&gt;=tabelas!$C$6,AM10&lt;=tabelas!$C$7),(AN10)*tabelas!$D$6,IF(AND(AM10&gt;0,AM10&gt;tabelas!$C$7),(AN10)*tabelas!$D$7,0)))))))</f>
        <v>1044.412785</v>
      </c>
      <c r="AP10" s="14">
        <f t="shared" si="1"/>
        <v>1044.412785</v>
      </c>
      <c r="AQ10" s="14">
        <f t="shared" si="0"/>
        <v>157.41721499999994</v>
      </c>
      <c r="AR10" s="35">
        <f t="shared" si="2"/>
        <v>0</v>
      </c>
      <c r="AS10" s="13">
        <f t="shared" si="3"/>
        <v>0</v>
      </c>
    </row>
    <row r="11" spans="1:46" ht="12.95" customHeight="1">
      <c r="A11" s="44" t="s">
        <v>151</v>
      </c>
      <c r="B11" s="44"/>
      <c r="C11" s="44"/>
      <c r="D11" s="44"/>
      <c r="E11" s="29" t="s">
        <v>53</v>
      </c>
      <c r="F11" s="46">
        <v>0</v>
      </c>
      <c r="G11" s="46"/>
      <c r="H11" s="46"/>
      <c r="I11" s="44" t="s">
        <v>154</v>
      </c>
      <c r="J11" s="44"/>
      <c r="K11" s="44"/>
      <c r="L11" s="43" t="s">
        <v>59</v>
      </c>
      <c r="M11" s="43"/>
      <c r="N11" s="43" t="s">
        <v>87</v>
      </c>
      <c r="O11" s="43"/>
      <c r="P11" s="43" t="s">
        <v>153</v>
      </c>
      <c r="Q11" s="43"/>
      <c r="R11" s="43"/>
      <c r="S11" s="43" t="s">
        <v>55</v>
      </c>
      <c r="T11" s="43"/>
      <c r="U11" s="43"/>
      <c r="V11" s="28" t="s">
        <v>34</v>
      </c>
      <c r="W11" s="43" t="s">
        <v>15</v>
      </c>
      <c r="X11" s="43"/>
      <c r="Y11" s="44" t="s">
        <v>35</v>
      </c>
      <c r="Z11" s="44"/>
      <c r="AA11" s="44"/>
      <c r="AB11" s="44"/>
      <c r="AC11" s="44" t="s">
        <v>56</v>
      </c>
      <c r="AD11" s="44"/>
      <c r="AE11" s="44"/>
      <c r="AF11" s="44"/>
      <c r="AG11" s="44"/>
      <c r="AH11" s="24">
        <v>1</v>
      </c>
      <c r="AI11" s="24">
        <v>421.06</v>
      </c>
      <c r="AJ11" s="24">
        <v>421.06</v>
      </c>
      <c r="AK11" s="14" t="s">
        <v>153</v>
      </c>
      <c r="AL11" s="12">
        <v>5</v>
      </c>
      <c r="AM11" s="14">
        <v>3579</v>
      </c>
      <c r="AN11" s="14">
        <f>SUMIFS(planos!D:D,planos!B:B,"&lt;="&amp;unimed!N11,planos!C:C,"&gt;="&amp;unimed!N11,planos!E:E,"Enfermaria sem coparticipação")</f>
        <v>393.45220152873048</v>
      </c>
      <c r="AO11" s="14">
        <f>IF(AJ11=0,0,IF(MID(AC11,1,15)="FATOR MODERADOR",AJ11,IF(AM11&gt;=0,IF(AND(AM11&gt;tabelas!$C$4,AM11&lt;=tabelas!$C$5),(AN11)*tabelas!$D$4,IF(AND(AM11&gt;=tabelas!$C$5,AM11&lt;=tabelas!$C$6),(AN11)*tabelas!$D$5,IF(AND(AM11&gt;=tabelas!$C$6,AM11&lt;=tabelas!$C$7),(AN11)*tabelas!$D$6,IF(AND(AM11&gt;0,AM11&gt;tabelas!$C$7),(AN11)*tabelas!$D$7,0)))))))</f>
        <v>365.91054742171934</v>
      </c>
      <c r="AP11" s="14">
        <f t="shared" si="1"/>
        <v>365.91054742171934</v>
      </c>
      <c r="AQ11" s="14">
        <f t="shared" si="0"/>
        <v>55.149452578280659</v>
      </c>
      <c r="AR11" s="35">
        <f t="shared" si="2"/>
        <v>0</v>
      </c>
      <c r="AS11" s="13">
        <f t="shared" si="3"/>
        <v>0</v>
      </c>
    </row>
    <row r="12" spans="1:46" ht="12.95" customHeight="1">
      <c r="A12" s="42" t="s">
        <v>152</v>
      </c>
      <c r="B12" s="42"/>
      <c r="C12" s="42"/>
      <c r="D12" s="42"/>
      <c r="E12" s="31" t="s">
        <v>53</v>
      </c>
      <c r="F12" s="46">
        <v>0</v>
      </c>
      <c r="G12" s="46"/>
      <c r="H12" s="46"/>
      <c r="I12" s="44" t="s">
        <v>154</v>
      </c>
      <c r="J12" s="44"/>
      <c r="K12" s="44"/>
      <c r="L12" s="41" t="s">
        <v>58</v>
      </c>
      <c r="M12" s="41"/>
      <c r="N12" s="41" t="s">
        <v>65</v>
      </c>
      <c r="O12" s="41"/>
      <c r="P12" s="43" t="s">
        <v>153</v>
      </c>
      <c r="Q12" s="43"/>
      <c r="R12" s="43"/>
      <c r="S12" s="41" t="s">
        <v>55</v>
      </c>
      <c r="T12" s="41"/>
      <c r="U12" s="41"/>
      <c r="V12" s="30" t="s">
        <v>34</v>
      </c>
      <c r="W12" s="41" t="s">
        <v>15</v>
      </c>
      <c r="X12" s="41"/>
      <c r="Y12" s="42" t="s">
        <v>33</v>
      </c>
      <c r="Z12" s="42"/>
      <c r="AA12" s="42"/>
      <c r="AB12" s="42"/>
      <c r="AC12" s="42" t="s">
        <v>88</v>
      </c>
      <c r="AD12" s="42"/>
      <c r="AE12" s="42"/>
      <c r="AF12" s="42"/>
      <c r="AG12" s="42"/>
      <c r="AH12" s="25">
        <v>1</v>
      </c>
      <c r="AI12" s="25">
        <v>43.74</v>
      </c>
      <c r="AJ12" s="25">
        <v>43.74</v>
      </c>
      <c r="AK12" s="14" t="s">
        <v>153</v>
      </c>
      <c r="AL12" s="12">
        <v>5</v>
      </c>
      <c r="AM12" s="14">
        <v>3043.68</v>
      </c>
      <c r="AN12" s="14">
        <f>SUMIFS(planos!D:D,planos!B:B,"&lt;="&amp;unimed!N12,planos!C:C,"&gt;="&amp;unimed!N12,planos!E:E,"Enfermaria sem coparticipação")</f>
        <v>393.45220152873048</v>
      </c>
      <c r="AO12" s="14">
        <f>IF(AJ12=0,0,IF(MID(AC12,1,15)="FATOR MODERADOR",AJ12,IF(AM12&gt;=0,IF(AND(AM12&gt;tabelas!$C$4,AM12&lt;=tabelas!$C$5),(AN12)*tabelas!$D$4,IF(AND(AM12&gt;=tabelas!$C$5,AM12&lt;=tabelas!$C$6),(AN12)*tabelas!$D$5,IF(AND(AM12&gt;=tabelas!$C$6,AM12&lt;=tabelas!$C$7),(AN12)*tabelas!$D$6,IF(AND(AM12&gt;0,AM12&gt;tabelas!$C$7),(AN12)*tabelas!$D$7,0)))))))</f>
        <v>43.74</v>
      </c>
      <c r="AP12" s="14">
        <f t="shared" si="1"/>
        <v>0</v>
      </c>
      <c r="AQ12" s="14">
        <f t="shared" si="0"/>
        <v>43.74</v>
      </c>
      <c r="AR12" s="35">
        <v>350</v>
      </c>
      <c r="AS12" s="13">
        <f t="shared" si="3"/>
        <v>0</v>
      </c>
    </row>
    <row r="13" spans="1:46" ht="12.95" customHeight="1">
      <c r="A13" s="44" t="s">
        <v>151</v>
      </c>
      <c r="B13" s="44"/>
      <c r="C13" s="44"/>
      <c r="D13" s="44"/>
      <c r="E13" s="29" t="s">
        <v>53</v>
      </c>
      <c r="F13" s="46">
        <v>0</v>
      </c>
      <c r="G13" s="46"/>
      <c r="H13" s="46"/>
      <c r="I13" s="44" t="s">
        <v>154</v>
      </c>
      <c r="J13" s="44"/>
      <c r="K13" s="44"/>
      <c r="L13" s="43" t="s">
        <v>58</v>
      </c>
      <c r="M13" s="43"/>
      <c r="N13" s="43" t="s">
        <v>65</v>
      </c>
      <c r="O13" s="43"/>
      <c r="P13" s="43" t="s">
        <v>153</v>
      </c>
      <c r="Q13" s="43"/>
      <c r="R13" s="43"/>
      <c r="S13" s="43" t="s">
        <v>55</v>
      </c>
      <c r="T13" s="43"/>
      <c r="U13" s="43"/>
      <c r="V13" s="28" t="s">
        <v>34</v>
      </c>
      <c r="W13" s="43" t="s">
        <v>15</v>
      </c>
      <c r="X13" s="43"/>
      <c r="Y13" s="44" t="s">
        <v>33</v>
      </c>
      <c r="Z13" s="44"/>
      <c r="AA13" s="44"/>
      <c r="AB13" s="44"/>
      <c r="AC13" s="44" t="s">
        <v>88</v>
      </c>
      <c r="AD13" s="44"/>
      <c r="AE13" s="44"/>
      <c r="AF13" s="44"/>
      <c r="AG13" s="44"/>
      <c r="AH13" s="24">
        <v>1</v>
      </c>
      <c r="AI13" s="24">
        <v>39.75</v>
      </c>
      <c r="AJ13" s="24">
        <v>39.75</v>
      </c>
      <c r="AK13" s="14" t="s">
        <v>153</v>
      </c>
      <c r="AL13" s="12">
        <v>5</v>
      </c>
      <c r="AM13" s="14">
        <v>2052.13</v>
      </c>
      <c r="AN13" s="14">
        <f>SUMIFS(planos!D:D,planos!B:B,"&lt;="&amp;unimed!N13,planos!C:C,"&gt;="&amp;unimed!N13,planos!E:E,"Enfermaria sem coparticipação")</f>
        <v>393.45220152873048</v>
      </c>
      <c r="AO13" s="14">
        <f>IF(AJ13=0,0,IF(MID(AC13,1,15)="FATOR MODERADOR",AJ13,IF(AM13&gt;=0,IF(AND(AM13&gt;tabelas!$C$4,AM13&lt;=tabelas!$C$5),(AN13)*tabelas!$D$4,IF(AND(AM13&gt;=tabelas!$C$5,AM13&lt;=tabelas!$C$6),(AN13)*tabelas!$D$5,IF(AND(AM13&gt;=tabelas!$C$6,AM13&lt;=tabelas!$C$7),(AN13)*tabelas!$D$6,IF(AND(AM13&gt;0,AM13&gt;tabelas!$C$7),(AN13)*tabelas!$D$7,0)))))))</f>
        <v>39.75</v>
      </c>
      <c r="AP13" s="14">
        <f t="shared" si="1"/>
        <v>0</v>
      </c>
      <c r="AQ13" s="14">
        <f t="shared" si="0"/>
        <v>39.75</v>
      </c>
      <c r="AR13" s="35">
        <v>350</v>
      </c>
      <c r="AS13" s="13">
        <f t="shared" si="3"/>
        <v>0</v>
      </c>
    </row>
    <row r="14" spans="1:46" ht="12.95" customHeight="1">
      <c r="A14" s="42" t="s">
        <v>152</v>
      </c>
      <c r="B14" s="42"/>
      <c r="C14" s="42"/>
      <c r="D14" s="42"/>
      <c r="E14" s="31" t="s">
        <v>53</v>
      </c>
      <c r="F14" s="46">
        <v>0</v>
      </c>
      <c r="G14" s="46"/>
      <c r="H14" s="46"/>
      <c r="I14" s="44" t="s">
        <v>154</v>
      </c>
      <c r="J14" s="44"/>
      <c r="K14" s="44"/>
      <c r="L14" s="41" t="s">
        <v>58</v>
      </c>
      <c r="M14" s="41"/>
      <c r="N14" s="41" t="s">
        <v>65</v>
      </c>
      <c r="O14" s="41"/>
      <c r="P14" s="43" t="s">
        <v>153</v>
      </c>
      <c r="Q14" s="43"/>
      <c r="R14" s="43"/>
      <c r="S14" s="41" t="s">
        <v>55</v>
      </c>
      <c r="T14" s="41"/>
      <c r="U14" s="41"/>
      <c r="V14" s="30" t="s">
        <v>34</v>
      </c>
      <c r="W14" s="41" t="s">
        <v>15</v>
      </c>
      <c r="X14" s="41"/>
      <c r="Y14" s="42" t="s">
        <v>33</v>
      </c>
      <c r="Z14" s="42"/>
      <c r="AA14" s="42"/>
      <c r="AB14" s="42"/>
      <c r="AC14" s="42" t="s">
        <v>88</v>
      </c>
      <c r="AD14" s="42"/>
      <c r="AE14" s="42"/>
      <c r="AF14" s="42"/>
      <c r="AG14" s="42"/>
      <c r="AH14" s="25">
        <v>1</v>
      </c>
      <c r="AI14" s="25">
        <v>26.37</v>
      </c>
      <c r="AJ14" s="25">
        <v>26.37</v>
      </c>
      <c r="AK14" s="14" t="s">
        <v>153</v>
      </c>
      <c r="AL14" s="12">
        <v>5</v>
      </c>
      <c r="AM14" s="14">
        <v>4636.88</v>
      </c>
      <c r="AN14" s="14">
        <f>SUMIFS(planos!D:D,planos!B:B,"&lt;="&amp;unimed!N14,planos!C:C,"&gt;="&amp;unimed!N14,planos!E:E,"Enfermaria sem coparticipação")</f>
        <v>393.45220152873048</v>
      </c>
      <c r="AO14" s="14">
        <f>IF(AJ14=0,0,IF(MID(AC14,1,15)="FATOR MODERADOR",AJ14,IF(AM14&gt;=0,IF(AND(AM14&gt;tabelas!$C$4,AM14&lt;=tabelas!$C$5),(AN14)*tabelas!$D$4,IF(AND(AM14&gt;=tabelas!$C$5,AM14&lt;=tabelas!$C$6),(AN14)*tabelas!$D$5,IF(AND(AM14&gt;=tabelas!$C$6,AM14&lt;=tabelas!$C$7),(AN14)*tabelas!$D$6,IF(AND(AM14&gt;0,AM14&gt;tabelas!$C$7),(AN14)*tabelas!$D$7,0)))))))</f>
        <v>26.37</v>
      </c>
      <c r="AP14" s="14">
        <f t="shared" si="1"/>
        <v>0</v>
      </c>
      <c r="AQ14" s="14">
        <f t="shared" si="0"/>
        <v>26.37</v>
      </c>
      <c r="AR14" s="35">
        <v>350</v>
      </c>
      <c r="AS14" s="13">
        <f t="shared" si="3"/>
        <v>0</v>
      </c>
    </row>
    <row r="15" spans="1:46" ht="12.95" customHeight="1">
      <c r="A15" s="44" t="s">
        <v>151</v>
      </c>
      <c r="B15" s="44"/>
      <c r="C15" s="44"/>
      <c r="D15" s="44"/>
      <c r="E15" s="29" t="s">
        <v>53</v>
      </c>
      <c r="F15" s="46">
        <v>0</v>
      </c>
      <c r="G15" s="46"/>
      <c r="H15" s="46"/>
      <c r="I15" s="44" t="s">
        <v>154</v>
      </c>
      <c r="J15" s="44"/>
      <c r="K15" s="44"/>
      <c r="L15" s="43" t="s">
        <v>58</v>
      </c>
      <c r="M15" s="43"/>
      <c r="N15" s="43" t="s">
        <v>65</v>
      </c>
      <c r="O15" s="43"/>
      <c r="P15" s="43" t="s">
        <v>153</v>
      </c>
      <c r="Q15" s="43"/>
      <c r="R15" s="43"/>
      <c r="S15" s="43" t="s">
        <v>55</v>
      </c>
      <c r="T15" s="43"/>
      <c r="U15" s="43"/>
      <c r="V15" s="28" t="s">
        <v>34</v>
      </c>
      <c r="W15" s="43" t="s">
        <v>15</v>
      </c>
      <c r="X15" s="43"/>
      <c r="Y15" s="44" t="s">
        <v>33</v>
      </c>
      <c r="Z15" s="44"/>
      <c r="AA15" s="44"/>
      <c r="AB15" s="44"/>
      <c r="AC15" s="44" t="s">
        <v>88</v>
      </c>
      <c r="AD15" s="44"/>
      <c r="AE15" s="44"/>
      <c r="AF15" s="44"/>
      <c r="AG15" s="44"/>
      <c r="AH15" s="24">
        <v>1</v>
      </c>
      <c r="AI15" s="24">
        <v>24.05</v>
      </c>
      <c r="AJ15" s="24">
        <v>24.05</v>
      </c>
      <c r="AK15" s="14" t="s">
        <v>153</v>
      </c>
      <c r="AL15" s="12">
        <v>5</v>
      </c>
      <c r="AM15" s="14">
        <v>2528.58</v>
      </c>
      <c r="AN15" s="14">
        <f>SUMIFS(planos!D:D,planos!B:B,"&lt;="&amp;unimed!N15,planos!C:C,"&gt;="&amp;unimed!N15,planos!E:E,"Enfermaria sem coparticipação")</f>
        <v>393.45220152873048</v>
      </c>
      <c r="AO15" s="14">
        <f>IF(AJ15=0,0,IF(MID(AC15,1,15)="FATOR MODERADOR",AJ15,IF(AM15&gt;=0,IF(AND(AM15&gt;tabelas!$C$4,AM15&lt;=tabelas!$C$5),(AN15)*tabelas!$D$4,IF(AND(AM15&gt;=tabelas!$C$5,AM15&lt;=tabelas!$C$6),(AN15)*tabelas!$D$5,IF(AND(AM15&gt;=tabelas!$C$6,AM15&lt;=tabelas!$C$7),(AN15)*tabelas!$D$6,IF(AND(AM15&gt;0,AM15&gt;tabelas!$C$7),(AN15)*tabelas!$D$7,0)))))))</f>
        <v>24.05</v>
      </c>
      <c r="AP15" s="14">
        <f t="shared" si="1"/>
        <v>0</v>
      </c>
      <c r="AQ15" s="14">
        <f t="shared" si="0"/>
        <v>24.05</v>
      </c>
      <c r="AR15" s="35">
        <v>350</v>
      </c>
      <c r="AS15" s="13">
        <f t="shared" si="3"/>
        <v>0</v>
      </c>
    </row>
    <row r="16" spans="1:46" ht="12.95" customHeight="1">
      <c r="A16" s="42" t="s">
        <v>152</v>
      </c>
      <c r="B16" s="42"/>
      <c r="C16" s="42"/>
      <c r="D16" s="42"/>
      <c r="E16" s="31" t="s">
        <v>53</v>
      </c>
      <c r="F16" s="46">
        <v>0</v>
      </c>
      <c r="G16" s="46"/>
      <c r="H16" s="46"/>
      <c r="I16" s="44" t="s">
        <v>154</v>
      </c>
      <c r="J16" s="44"/>
      <c r="K16" s="44"/>
      <c r="L16" s="41" t="s">
        <v>58</v>
      </c>
      <c r="M16" s="41"/>
      <c r="N16" s="41" t="s">
        <v>65</v>
      </c>
      <c r="O16" s="41"/>
      <c r="P16" s="43" t="s">
        <v>153</v>
      </c>
      <c r="Q16" s="43"/>
      <c r="R16" s="43"/>
      <c r="S16" s="41" t="s">
        <v>55</v>
      </c>
      <c r="T16" s="41"/>
      <c r="U16" s="41"/>
      <c r="V16" s="30" t="s">
        <v>34</v>
      </c>
      <c r="W16" s="41" t="s">
        <v>15</v>
      </c>
      <c r="X16" s="41"/>
      <c r="Y16" s="42" t="s">
        <v>33</v>
      </c>
      <c r="Z16" s="42"/>
      <c r="AA16" s="42"/>
      <c r="AB16" s="42"/>
      <c r="AC16" s="42" t="s">
        <v>88</v>
      </c>
      <c r="AD16" s="42"/>
      <c r="AE16" s="42"/>
      <c r="AF16" s="42"/>
      <c r="AG16" s="42"/>
      <c r="AH16" s="25">
        <v>1</v>
      </c>
      <c r="AI16" s="25">
        <v>23.3</v>
      </c>
      <c r="AJ16" s="25">
        <v>23.3</v>
      </c>
      <c r="AK16" s="14" t="s">
        <v>153</v>
      </c>
      <c r="AL16" s="12">
        <v>5</v>
      </c>
      <c r="AM16" s="14">
        <v>1252.48</v>
      </c>
      <c r="AN16" s="14">
        <f>SUMIFS(planos!D:D,planos!B:B,"&lt;="&amp;unimed!N16,planos!C:C,"&gt;="&amp;unimed!N16,planos!E:E,"Enfermaria sem coparticipação")</f>
        <v>393.45220152873048</v>
      </c>
      <c r="AO16" s="14">
        <f>IF(AJ16=0,0,IF(MID(AC16,1,15)="FATOR MODERADOR",AJ16,IF(AM16&gt;=0,IF(AND(AM16&gt;tabelas!$C$4,AM16&lt;=tabelas!$C$5),(AN16)*tabelas!$D$4,IF(AND(AM16&gt;=tabelas!$C$5,AM16&lt;=tabelas!$C$6),(AN16)*tabelas!$D$5,IF(AND(AM16&gt;=tabelas!$C$6,AM16&lt;=tabelas!$C$7),(AN16)*tabelas!$D$6,IF(AND(AM16&gt;0,AM16&gt;tabelas!$C$7),(AN16)*tabelas!$D$7,0)))))))</f>
        <v>23.3</v>
      </c>
      <c r="AP16" s="14">
        <f t="shared" si="1"/>
        <v>0</v>
      </c>
      <c r="AQ16" s="14">
        <f t="shared" si="0"/>
        <v>23.3</v>
      </c>
      <c r="AR16" s="35">
        <v>350</v>
      </c>
      <c r="AS16" s="13">
        <f t="shared" si="3"/>
        <v>0</v>
      </c>
    </row>
    <row r="17" spans="1:45" ht="12.95" customHeight="1">
      <c r="A17" s="44" t="s">
        <v>151</v>
      </c>
      <c r="B17" s="44"/>
      <c r="C17" s="44"/>
      <c r="D17" s="44"/>
      <c r="E17" s="29" t="s">
        <v>53</v>
      </c>
      <c r="F17" s="46">
        <v>0</v>
      </c>
      <c r="G17" s="46"/>
      <c r="H17" s="46"/>
      <c r="I17" s="44" t="s">
        <v>154</v>
      </c>
      <c r="J17" s="44"/>
      <c r="K17" s="44"/>
      <c r="L17" s="43" t="s">
        <v>58</v>
      </c>
      <c r="M17" s="43"/>
      <c r="N17" s="43" t="s">
        <v>65</v>
      </c>
      <c r="O17" s="43"/>
      <c r="P17" s="43" t="s">
        <v>153</v>
      </c>
      <c r="Q17" s="43"/>
      <c r="R17" s="43"/>
      <c r="S17" s="43" t="s">
        <v>55</v>
      </c>
      <c r="T17" s="43"/>
      <c r="U17" s="43"/>
      <c r="V17" s="28" t="s">
        <v>34</v>
      </c>
      <c r="W17" s="43" t="s">
        <v>15</v>
      </c>
      <c r="X17" s="43"/>
      <c r="Y17" s="44" t="s">
        <v>33</v>
      </c>
      <c r="Z17" s="44"/>
      <c r="AA17" s="44"/>
      <c r="AB17" s="44"/>
      <c r="AC17" s="44" t="s">
        <v>56</v>
      </c>
      <c r="AD17" s="44"/>
      <c r="AE17" s="44"/>
      <c r="AF17" s="44"/>
      <c r="AG17" s="44"/>
      <c r="AH17" s="24">
        <v>1</v>
      </c>
      <c r="AI17" s="24">
        <v>421.06</v>
      </c>
      <c r="AJ17" s="24">
        <v>421.06</v>
      </c>
      <c r="AK17" s="14" t="s">
        <v>153</v>
      </c>
      <c r="AL17" s="12">
        <v>5</v>
      </c>
      <c r="AM17" s="14">
        <v>5599.77</v>
      </c>
      <c r="AN17" s="14">
        <f>SUMIFS(planos!D:D,planos!B:B,"&lt;="&amp;unimed!N17,planos!C:C,"&gt;="&amp;unimed!N17,planos!E:E,"Enfermaria sem coparticipação")</f>
        <v>393.45220152873048</v>
      </c>
      <c r="AO17" s="14">
        <f>IF(AJ17=0,0,IF(MID(AC17,1,15)="FATOR MODERADOR",AJ17,IF(AM17&gt;=0,IF(AND(AM17&gt;tabelas!$C$4,AM17&lt;=tabelas!$C$5),(AN17)*tabelas!$D$4,IF(AND(AM17&gt;=tabelas!$C$5,AM17&lt;=tabelas!$C$6),(AN17)*tabelas!$D$5,IF(AND(AM17&gt;=tabelas!$C$6,AM17&lt;=tabelas!$C$7),(AN17)*tabelas!$D$6,IF(AND(AM17&gt;0,AM17&gt;tabelas!$C$7),(AN17)*tabelas!$D$7,0)))))))</f>
        <v>334.43437129942089</v>
      </c>
      <c r="AP17" s="14">
        <f t="shared" si="1"/>
        <v>334.43437129942089</v>
      </c>
      <c r="AQ17" s="14">
        <f t="shared" si="0"/>
        <v>86.625628700579114</v>
      </c>
      <c r="AR17" s="35">
        <f t="shared" si="2"/>
        <v>0</v>
      </c>
      <c r="AS17" s="13">
        <f t="shared" si="3"/>
        <v>0</v>
      </c>
    </row>
    <row r="18" spans="1:45" ht="12.95" customHeight="1">
      <c r="A18" s="42" t="s">
        <v>152</v>
      </c>
      <c r="B18" s="42"/>
      <c r="C18" s="42"/>
      <c r="D18" s="42"/>
      <c r="E18" s="31" t="s">
        <v>53</v>
      </c>
      <c r="F18" s="46">
        <v>0</v>
      </c>
      <c r="G18" s="46"/>
      <c r="H18" s="46"/>
      <c r="I18" s="44" t="s">
        <v>154</v>
      </c>
      <c r="J18" s="44"/>
      <c r="K18" s="44"/>
      <c r="L18" s="41" t="s">
        <v>57</v>
      </c>
      <c r="M18" s="41"/>
      <c r="N18" s="41" t="s">
        <v>76</v>
      </c>
      <c r="O18" s="41"/>
      <c r="P18" s="43" t="s">
        <v>153</v>
      </c>
      <c r="Q18" s="43"/>
      <c r="R18" s="43"/>
      <c r="S18" s="41" t="s">
        <v>55</v>
      </c>
      <c r="T18" s="41"/>
      <c r="U18" s="41"/>
      <c r="V18" s="30" t="s">
        <v>34</v>
      </c>
      <c r="W18" s="41" t="s">
        <v>15</v>
      </c>
      <c r="X18" s="41"/>
      <c r="Y18" s="42" t="s">
        <v>36</v>
      </c>
      <c r="Z18" s="42"/>
      <c r="AA18" s="42"/>
      <c r="AB18" s="42"/>
      <c r="AC18" s="42" t="s">
        <v>88</v>
      </c>
      <c r="AD18" s="42"/>
      <c r="AE18" s="42"/>
      <c r="AF18" s="42"/>
      <c r="AG18" s="42"/>
      <c r="AH18" s="25">
        <v>1</v>
      </c>
      <c r="AI18" s="25">
        <v>26.37</v>
      </c>
      <c r="AJ18" s="25">
        <v>26.37</v>
      </c>
      <c r="AK18" s="14" t="s">
        <v>153</v>
      </c>
      <c r="AL18" s="12">
        <v>5</v>
      </c>
      <c r="AM18" s="14">
        <v>7322.38</v>
      </c>
      <c r="AN18" s="14">
        <f>SUMIFS(planos!D:D,planos!B:B,"&lt;="&amp;unimed!N18,planos!C:C,"&gt;="&amp;unimed!N18,planos!E:E,"Enfermaria sem coparticipação")</f>
        <v>1123.0245</v>
      </c>
      <c r="AO18" s="14">
        <f>IF(AJ18=0,0,IF(MID(AC18,1,15)="FATOR MODERADOR",AJ18,IF(AM18&gt;=0,IF(AND(AM18&gt;tabelas!$C$4,AM18&lt;=tabelas!$C$5),(AN18)*tabelas!$D$4,IF(AND(AM18&gt;=tabelas!$C$5,AM18&lt;=tabelas!$C$6),(AN18)*tabelas!$D$5,IF(AND(AM18&gt;=tabelas!$C$6,AM18&lt;=tabelas!$C$7),(AN18)*tabelas!$D$6,IF(AND(AM18&gt;0,AM18&gt;tabelas!$C$7),(AN18)*tabelas!$D$7,0)))))))</f>
        <v>26.37</v>
      </c>
      <c r="AP18" s="14">
        <f t="shared" si="1"/>
        <v>0</v>
      </c>
      <c r="AQ18" s="14">
        <f t="shared" si="0"/>
        <v>26.37</v>
      </c>
      <c r="AR18" s="35">
        <v>350</v>
      </c>
      <c r="AS18" s="13">
        <f t="shared" si="3"/>
        <v>0</v>
      </c>
    </row>
    <row r="19" spans="1:45" ht="12.95" customHeight="1">
      <c r="A19" s="44" t="s">
        <v>151</v>
      </c>
      <c r="B19" s="44"/>
      <c r="C19" s="44"/>
      <c r="D19" s="44"/>
      <c r="E19" s="29" t="s">
        <v>53</v>
      </c>
      <c r="F19" s="46">
        <v>0</v>
      </c>
      <c r="G19" s="46"/>
      <c r="H19" s="46"/>
      <c r="I19" s="44" t="s">
        <v>154</v>
      </c>
      <c r="J19" s="44"/>
      <c r="K19" s="44"/>
      <c r="L19" s="43" t="s">
        <v>57</v>
      </c>
      <c r="M19" s="43"/>
      <c r="N19" s="43" t="s">
        <v>76</v>
      </c>
      <c r="O19" s="43"/>
      <c r="P19" s="43" t="s">
        <v>153</v>
      </c>
      <c r="Q19" s="43"/>
      <c r="R19" s="43"/>
      <c r="S19" s="43" t="s">
        <v>55</v>
      </c>
      <c r="T19" s="43"/>
      <c r="U19" s="43"/>
      <c r="V19" s="28" t="s">
        <v>34</v>
      </c>
      <c r="W19" s="43" t="s">
        <v>15</v>
      </c>
      <c r="X19" s="43"/>
      <c r="Y19" s="44" t="s">
        <v>36</v>
      </c>
      <c r="Z19" s="44"/>
      <c r="AA19" s="44"/>
      <c r="AB19" s="44"/>
      <c r="AC19" s="44" t="s">
        <v>88</v>
      </c>
      <c r="AD19" s="44"/>
      <c r="AE19" s="44"/>
      <c r="AF19" s="44"/>
      <c r="AG19" s="44"/>
      <c r="AH19" s="24">
        <v>1</v>
      </c>
      <c r="AI19" s="24">
        <v>13.16</v>
      </c>
      <c r="AJ19" s="24">
        <v>13.16</v>
      </c>
      <c r="AK19" s="14" t="s">
        <v>153</v>
      </c>
      <c r="AL19" s="12">
        <v>5</v>
      </c>
      <c r="AM19" s="14">
        <v>2799.33</v>
      </c>
      <c r="AN19" s="14">
        <f>SUMIFS(planos!D:D,planos!B:B,"&lt;="&amp;unimed!N19,planos!C:C,"&gt;="&amp;unimed!N19,planos!E:E,"Enfermaria sem coparticipação")</f>
        <v>1123.0245</v>
      </c>
      <c r="AO19" s="14">
        <f>IF(AJ19=0,0,IF(MID(AC19,1,15)="FATOR MODERADOR",AJ19,IF(AM19&gt;=0,IF(AND(AM19&gt;tabelas!$C$4,AM19&lt;=tabelas!$C$5),(AN19)*tabelas!$D$4,IF(AND(AM19&gt;=tabelas!$C$5,AM19&lt;=tabelas!$C$6),(AN19)*tabelas!$D$5,IF(AND(AM19&gt;=tabelas!$C$6,AM19&lt;=tabelas!$C$7),(AN19)*tabelas!$D$6,IF(AND(AM19&gt;0,AM19&gt;tabelas!$C$7),(AN19)*tabelas!$D$7,0)))))))</f>
        <v>13.16</v>
      </c>
      <c r="AP19" s="14">
        <f t="shared" si="1"/>
        <v>0</v>
      </c>
      <c r="AQ19" s="14">
        <f t="shared" si="0"/>
        <v>13.16</v>
      </c>
      <c r="AR19" s="35">
        <v>350</v>
      </c>
      <c r="AS19" s="13">
        <f t="shared" si="3"/>
        <v>0</v>
      </c>
    </row>
    <row r="20" spans="1:45" ht="12.95" customHeight="1">
      <c r="A20" s="42" t="s">
        <v>152</v>
      </c>
      <c r="B20" s="42"/>
      <c r="C20" s="42"/>
      <c r="D20" s="42"/>
      <c r="E20" s="31" t="s">
        <v>53</v>
      </c>
      <c r="F20" s="46">
        <v>0</v>
      </c>
      <c r="G20" s="46"/>
      <c r="H20" s="46"/>
      <c r="I20" s="44" t="s">
        <v>154</v>
      </c>
      <c r="J20" s="44"/>
      <c r="K20" s="44"/>
      <c r="L20" s="41" t="s">
        <v>57</v>
      </c>
      <c r="M20" s="41"/>
      <c r="N20" s="41" t="s">
        <v>76</v>
      </c>
      <c r="O20" s="41"/>
      <c r="P20" s="43" t="s">
        <v>153</v>
      </c>
      <c r="Q20" s="43"/>
      <c r="R20" s="43"/>
      <c r="S20" s="41" t="s">
        <v>55</v>
      </c>
      <c r="T20" s="41"/>
      <c r="U20" s="41"/>
      <c r="V20" s="30" t="s">
        <v>34</v>
      </c>
      <c r="W20" s="41" t="s">
        <v>15</v>
      </c>
      <c r="X20" s="41"/>
      <c r="Y20" s="42" t="s">
        <v>36</v>
      </c>
      <c r="Z20" s="42"/>
      <c r="AA20" s="42"/>
      <c r="AB20" s="42"/>
      <c r="AC20" s="42" t="s">
        <v>88</v>
      </c>
      <c r="AD20" s="42"/>
      <c r="AE20" s="42"/>
      <c r="AF20" s="42"/>
      <c r="AG20" s="42"/>
      <c r="AH20" s="25">
        <v>1</v>
      </c>
      <c r="AI20" s="25">
        <v>10.130000000000001</v>
      </c>
      <c r="AJ20" s="25">
        <v>10.130000000000001</v>
      </c>
      <c r="AK20" s="14" t="s">
        <v>153</v>
      </c>
      <c r="AL20" s="12">
        <v>5</v>
      </c>
      <c r="AM20" s="14">
        <v>6948.27</v>
      </c>
      <c r="AN20" s="14">
        <f>SUMIFS(planos!D:D,planos!B:B,"&lt;="&amp;unimed!N20,planos!C:C,"&gt;="&amp;unimed!N20,planos!E:E,"Enfermaria sem coparticipação")</f>
        <v>1123.0245</v>
      </c>
      <c r="AO20" s="14">
        <f>IF(AJ20=0,0,IF(MID(AC20,1,15)="FATOR MODERADOR",AJ20,IF(AM20&gt;=0,IF(AND(AM20&gt;tabelas!$C$4,AM20&lt;=tabelas!$C$5),(AN20)*tabelas!$D$4,IF(AND(AM20&gt;=tabelas!$C$5,AM20&lt;=tabelas!$C$6),(AN20)*tabelas!$D$5,IF(AND(AM20&gt;=tabelas!$C$6,AM20&lt;=tabelas!$C$7),(AN20)*tabelas!$D$6,IF(AND(AM20&gt;0,AM20&gt;tabelas!$C$7),(AN20)*tabelas!$D$7,0)))))))</f>
        <v>10.130000000000001</v>
      </c>
      <c r="AP20" s="14">
        <f t="shared" si="1"/>
        <v>0</v>
      </c>
      <c r="AQ20" s="14">
        <f t="shared" si="0"/>
        <v>10.130000000000001</v>
      </c>
      <c r="AR20" s="35">
        <v>350</v>
      </c>
      <c r="AS20" s="13">
        <f t="shared" si="3"/>
        <v>0</v>
      </c>
    </row>
    <row r="21" spans="1:45" ht="12.95" customHeight="1">
      <c r="A21" s="44" t="s">
        <v>151</v>
      </c>
      <c r="B21" s="44"/>
      <c r="C21" s="44"/>
      <c r="D21" s="44"/>
      <c r="E21" s="29" t="s">
        <v>53</v>
      </c>
      <c r="F21" s="46">
        <v>0</v>
      </c>
      <c r="G21" s="46"/>
      <c r="H21" s="46"/>
      <c r="I21" s="44" t="s">
        <v>154</v>
      </c>
      <c r="J21" s="44"/>
      <c r="K21" s="44"/>
      <c r="L21" s="43" t="s">
        <v>57</v>
      </c>
      <c r="M21" s="43"/>
      <c r="N21" s="43" t="s">
        <v>76</v>
      </c>
      <c r="O21" s="43"/>
      <c r="P21" s="43" t="s">
        <v>153</v>
      </c>
      <c r="Q21" s="43"/>
      <c r="R21" s="43"/>
      <c r="S21" s="43" t="s">
        <v>55</v>
      </c>
      <c r="T21" s="43"/>
      <c r="U21" s="43"/>
      <c r="V21" s="28" t="s">
        <v>34</v>
      </c>
      <c r="W21" s="43" t="s">
        <v>15</v>
      </c>
      <c r="X21" s="43"/>
      <c r="Y21" s="44" t="s">
        <v>36</v>
      </c>
      <c r="Z21" s="44"/>
      <c r="AA21" s="44"/>
      <c r="AB21" s="44"/>
      <c r="AC21" s="44" t="s">
        <v>88</v>
      </c>
      <c r="AD21" s="44"/>
      <c r="AE21" s="44"/>
      <c r="AF21" s="44"/>
      <c r="AG21" s="44"/>
      <c r="AH21" s="24">
        <v>1</v>
      </c>
      <c r="AI21" s="24">
        <v>3.6</v>
      </c>
      <c r="AJ21" s="24">
        <v>3.6</v>
      </c>
      <c r="AK21" s="14" t="s">
        <v>153</v>
      </c>
      <c r="AL21" s="12">
        <v>5</v>
      </c>
      <c r="AM21" s="14">
        <v>6863.34</v>
      </c>
      <c r="AN21" s="14">
        <f>SUMIFS(planos!D:D,planos!B:B,"&lt;="&amp;unimed!N21,planos!C:C,"&gt;="&amp;unimed!N21,planos!E:E,"Enfermaria sem coparticipação")</f>
        <v>1123.0245</v>
      </c>
      <c r="AO21" s="14">
        <f>IF(AJ21=0,0,IF(MID(AC21,1,15)="FATOR MODERADOR",AJ21,IF(AM21&gt;=0,IF(AND(AM21&gt;tabelas!$C$4,AM21&lt;=tabelas!$C$5),(AN21)*tabelas!$D$4,IF(AND(AM21&gt;=tabelas!$C$5,AM21&lt;=tabelas!$C$6),(AN21)*tabelas!$D$5,IF(AND(AM21&gt;=tabelas!$C$6,AM21&lt;=tabelas!$C$7),(AN21)*tabelas!$D$6,IF(AND(AM21&gt;0,AM21&gt;tabelas!$C$7),(AN21)*tabelas!$D$7,0)))))))</f>
        <v>3.6</v>
      </c>
      <c r="AP21" s="14">
        <f t="shared" si="1"/>
        <v>0</v>
      </c>
      <c r="AQ21" s="14">
        <f t="shared" si="0"/>
        <v>3.6</v>
      </c>
      <c r="AR21" s="35">
        <v>350</v>
      </c>
      <c r="AS21" s="13">
        <f t="shared" si="3"/>
        <v>0</v>
      </c>
    </row>
    <row r="22" spans="1:45" ht="12.95" customHeight="1">
      <c r="A22" s="42" t="s">
        <v>152</v>
      </c>
      <c r="B22" s="42"/>
      <c r="C22" s="42"/>
      <c r="D22" s="42"/>
      <c r="E22" s="31" t="s">
        <v>53</v>
      </c>
      <c r="F22" s="46">
        <v>0</v>
      </c>
      <c r="G22" s="46"/>
      <c r="H22" s="46"/>
      <c r="I22" s="44" t="s">
        <v>154</v>
      </c>
      <c r="J22" s="44"/>
      <c r="K22" s="44"/>
      <c r="L22" s="41" t="s">
        <v>59</v>
      </c>
      <c r="M22" s="41"/>
      <c r="N22" s="41" t="s">
        <v>87</v>
      </c>
      <c r="O22" s="41"/>
      <c r="P22" s="43" t="s">
        <v>153</v>
      </c>
      <c r="Q22" s="43"/>
      <c r="R22" s="43"/>
      <c r="S22" s="41" t="s">
        <v>55</v>
      </c>
      <c r="T22" s="41"/>
      <c r="U22" s="41"/>
      <c r="V22" s="30" t="s">
        <v>34</v>
      </c>
      <c r="W22" s="41" t="s">
        <v>15</v>
      </c>
      <c r="X22" s="41"/>
      <c r="Y22" s="42" t="s">
        <v>35</v>
      </c>
      <c r="Z22" s="42"/>
      <c r="AA22" s="42"/>
      <c r="AB22" s="42"/>
      <c r="AC22" s="42" t="s">
        <v>88</v>
      </c>
      <c r="AD22" s="42"/>
      <c r="AE22" s="42"/>
      <c r="AF22" s="42"/>
      <c r="AG22" s="42"/>
      <c r="AH22" s="25">
        <v>1</v>
      </c>
      <c r="AI22" s="25">
        <v>19.190000000000001</v>
      </c>
      <c r="AJ22" s="25">
        <v>19.190000000000001</v>
      </c>
      <c r="AK22" s="14" t="s">
        <v>153</v>
      </c>
      <c r="AL22" s="12">
        <v>5</v>
      </c>
      <c r="AM22" s="14">
        <v>3517.02</v>
      </c>
      <c r="AN22" s="14">
        <f>SUMIFS(planos!D:D,planos!B:B,"&lt;="&amp;unimed!N22,planos!C:C,"&gt;="&amp;unimed!N22,planos!E:E,"Enfermaria sem coparticipação")</f>
        <v>393.45220152873048</v>
      </c>
      <c r="AO22" s="14">
        <f>IF(AJ22=0,0,IF(MID(AC22,1,15)="FATOR MODERADOR",AJ22,IF(AM22&gt;=0,IF(AND(AM22&gt;tabelas!$C$4,AM22&lt;=tabelas!$C$5),(AN22)*tabelas!$D$4,IF(AND(AM22&gt;=tabelas!$C$5,AM22&lt;=tabelas!$C$6),(AN22)*tabelas!$D$5,IF(AND(AM22&gt;=tabelas!$C$6,AM22&lt;=tabelas!$C$7),(AN22)*tabelas!$D$6,IF(AND(AM22&gt;0,AM22&gt;tabelas!$C$7),(AN22)*tabelas!$D$7,0)))))))</f>
        <v>19.190000000000001</v>
      </c>
      <c r="AP22" s="14">
        <f t="shared" si="1"/>
        <v>0</v>
      </c>
      <c r="AQ22" s="14">
        <f t="shared" si="0"/>
        <v>19.190000000000001</v>
      </c>
      <c r="AR22" s="35">
        <v>350</v>
      </c>
      <c r="AS22" s="13">
        <f t="shared" si="3"/>
        <v>0</v>
      </c>
    </row>
    <row r="23" spans="1:45" ht="12.95" customHeight="1">
      <c r="A23" s="44" t="s">
        <v>151</v>
      </c>
      <c r="B23" s="44"/>
      <c r="C23" s="44"/>
      <c r="D23" s="44"/>
      <c r="E23" s="29" t="s">
        <v>53</v>
      </c>
      <c r="F23" s="46">
        <v>0</v>
      </c>
      <c r="G23" s="46"/>
      <c r="H23" s="46"/>
      <c r="I23" s="44" t="s">
        <v>154</v>
      </c>
      <c r="J23" s="44"/>
      <c r="K23" s="44"/>
      <c r="L23" s="43" t="s">
        <v>59</v>
      </c>
      <c r="M23" s="43"/>
      <c r="N23" s="43" t="s">
        <v>87</v>
      </c>
      <c r="O23" s="43"/>
      <c r="P23" s="43" t="s">
        <v>153</v>
      </c>
      <c r="Q23" s="43"/>
      <c r="R23" s="43"/>
      <c r="S23" s="43" t="s">
        <v>55</v>
      </c>
      <c r="T23" s="43"/>
      <c r="U23" s="43"/>
      <c r="V23" s="28" t="s">
        <v>34</v>
      </c>
      <c r="W23" s="43" t="s">
        <v>15</v>
      </c>
      <c r="X23" s="43"/>
      <c r="Y23" s="44" t="s">
        <v>35</v>
      </c>
      <c r="Z23" s="44"/>
      <c r="AA23" s="44"/>
      <c r="AB23" s="44"/>
      <c r="AC23" s="44" t="s">
        <v>88</v>
      </c>
      <c r="AD23" s="44"/>
      <c r="AE23" s="44"/>
      <c r="AF23" s="44"/>
      <c r="AG23" s="44"/>
      <c r="AH23" s="24">
        <v>1</v>
      </c>
      <c r="AI23" s="24">
        <v>21.11</v>
      </c>
      <c r="AJ23" s="24">
        <v>21.11</v>
      </c>
      <c r="AK23" s="14" t="s">
        <v>153</v>
      </c>
      <c r="AL23" s="12">
        <v>5</v>
      </c>
      <c r="AM23" s="14">
        <v>2513.3000000000002</v>
      </c>
      <c r="AN23" s="14">
        <f>SUMIFS(planos!D:D,planos!B:B,"&lt;="&amp;unimed!N23,planos!C:C,"&gt;="&amp;unimed!N23,planos!E:E,"Enfermaria sem coparticipação")</f>
        <v>393.45220152873048</v>
      </c>
      <c r="AO23" s="14">
        <f>IF(AJ23=0,0,IF(MID(AC23,1,15)="FATOR MODERADOR",AJ23,IF(AM23&gt;=0,IF(AND(AM23&gt;tabelas!$C$4,AM23&lt;=tabelas!$C$5),(AN23)*tabelas!$D$4,IF(AND(AM23&gt;=tabelas!$C$5,AM23&lt;=tabelas!$C$6),(AN23)*tabelas!$D$5,IF(AND(AM23&gt;=tabelas!$C$6,AM23&lt;=tabelas!$C$7),(AN23)*tabelas!$D$6,IF(AND(AM23&gt;0,AM23&gt;tabelas!$C$7),(AN23)*tabelas!$D$7,0)))))))</f>
        <v>21.11</v>
      </c>
      <c r="AP23" s="14">
        <f t="shared" si="1"/>
        <v>0</v>
      </c>
      <c r="AQ23" s="14">
        <f t="shared" si="0"/>
        <v>21.11</v>
      </c>
      <c r="AR23" s="35">
        <v>350</v>
      </c>
      <c r="AS23" s="13">
        <f t="shared" si="3"/>
        <v>0</v>
      </c>
    </row>
    <row r="24" spans="1:45" ht="12.95" customHeight="1">
      <c r="A24" s="42" t="s">
        <v>152</v>
      </c>
      <c r="B24" s="42"/>
      <c r="C24" s="42"/>
      <c r="D24" s="42"/>
      <c r="E24" s="31" t="s">
        <v>53</v>
      </c>
      <c r="F24" s="46">
        <v>0</v>
      </c>
      <c r="G24" s="46"/>
      <c r="H24" s="46"/>
      <c r="I24" s="44" t="s">
        <v>154</v>
      </c>
      <c r="J24" s="44"/>
      <c r="K24" s="44"/>
      <c r="L24" s="41" t="s">
        <v>59</v>
      </c>
      <c r="M24" s="41"/>
      <c r="N24" s="41" t="s">
        <v>87</v>
      </c>
      <c r="O24" s="41"/>
      <c r="P24" s="43" t="s">
        <v>153</v>
      </c>
      <c r="Q24" s="43"/>
      <c r="R24" s="43"/>
      <c r="S24" s="41" t="s">
        <v>55</v>
      </c>
      <c r="T24" s="41"/>
      <c r="U24" s="41"/>
      <c r="V24" s="30" t="s">
        <v>34</v>
      </c>
      <c r="W24" s="41" t="s">
        <v>15</v>
      </c>
      <c r="X24" s="41"/>
      <c r="Y24" s="42" t="s">
        <v>35</v>
      </c>
      <c r="Z24" s="42"/>
      <c r="AA24" s="42"/>
      <c r="AB24" s="42"/>
      <c r="AC24" s="42" t="s">
        <v>88</v>
      </c>
      <c r="AD24" s="42"/>
      <c r="AE24" s="42"/>
      <c r="AF24" s="42"/>
      <c r="AG24" s="42"/>
      <c r="AH24" s="25">
        <v>1</v>
      </c>
      <c r="AI24" s="25">
        <v>24.45</v>
      </c>
      <c r="AJ24" s="25">
        <v>24.45</v>
      </c>
      <c r="AK24" s="14" t="s">
        <v>153</v>
      </c>
      <c r="AL24" s="12">
        <v>5</v>
      </c>
      <c r="AM24" s="14">
        <v>1358.44</v>
      </c>
      <c r="AN24" s="14">
        <f>SUMIFS(planos!D:D,planos!B:B,"&lt;="&amp;unimed!N24,planos!C:C,"&gt;="&amp;unimed!N24,planos!E:E,"Enfermaria sem coparticipação")</f>
        <v>393.45220152873048</v>
      </c>
      <c r="AO24" s="14">
        <f>IF(AJ24=0,0,IF(MID(AC24,1,15)="FATOR MODERADOR",AJ24,IF(AM24&gt;=0,IF(AND(AM24&gt;tabelas!$C$4,AM24&lt;=tabelas!$C$5),(AN24)*tabelas!$D$4,IF(AND(AM24&gt;=tabelas!$C$5,AM24&lt;=tabelas!$C$6),(AN24)*tabelas!$D$5,IF(AND(AM24&gt;=tabelas!$C$6,AM24&lt;=tabelas!$C$7),(AN24)*tabelas!$D$6,IF(AND(AM24&gt;0,AM24&gt;tabelas!$C$7),(AN24)*tabelas!$D$7,0)))))))</f>
        <v>24.45</v>
      </c>
      <c r="AP24" s="14">
        <f t="shared" si="1"/>
        <v>0</v>
      </c>
      <c r="AQ24" s="14">
        <f t="shared" si="0"/>
        <v>24.45</v>
      </c>
      <c r="AR24" s="35">
        <v>350</v>
      </c>
      <c r="AS24" s="13">
        <f t="shared" si="3"/>
        <v>0</v>
      </c>
    </row>
    <row r="25" spans="1:45" ht="12.95" customHeight="1">
      <c r="A25" s="44" t="s">
        <v>151</v>
      </c>
      <c r="B25" s="44"/>
      <c r="C25" s="44"/>
      <c r="D25" s="44"/>
      <c r="E25" s="29" t="s">
        <v>53</v>
      </c>
      <c r="F25" s="46">
        <v>0</v>
      </c>
      <c r="G25" s="46"/>
      <c r="H25" s="46"/>
      <c r="I25" s="44" t="s">
        <v>154</v>
      </c>
      <c r="J25" s="44"/>
      <c r="K25" s="44"/>
      <c r="L25" s="43" t="s">
        <v>59</v>
      </c>
      <c r="M25" s="43"/>
      <c r="N25" s="43" t="s">
        <v>87</v>
      </c>
      <c r="O25" s="43"/>
      <c r="P25" s="43" t="s">
        <v>153</v>
      </c>
      <c r="Q25" s="43"/>
      <c r="R25" s="43"/>
      <c r="S25" s="43" t="s">
        <v>55</v>
      </c>
      <c r="T25" s="43"/>
      <c r="U25" s="43"/>
      <c r="V25" s="28" t="s">
        <v>34</v>
      </c>
      <c r="W25" s="43" t="s">
        <v>15</v>
      </c>
      <c r="X25" s="43"/>
      <c r="Y25" s="44" t="s">
        <v>35</v>
      </c>
      <c r="Z25" s="44"/>
      <c r="AA25" s="44"/>
      <c r="AB25" s="44"/>
      <c r="AC25" s="44" t="s">
        <v>88</v>
      </c>
      <c r="AD25" s="44"/>
      <c r="AE25" s="44"/>
      <c r="AF25" s="44"/>
      <c r="AG25" s="44"/>
      <c r="AH25" s="24">
        <v>1</v>
      </c>
      <c r="AI25" s="24">
        <v>48.86</v>
      </c>
      <c r="AJ25" s="24">
        <v>48.86</v>
      </c>
      <c r="AK25" s="14" t="s">
        <v>153</v>
      </c>
      <c r="AL25" s="12">
        <v>5</v>
      </c>
      <c r="AM25" s="14">
        <v>1498.86</v>
      </c>
      <c r="AN25" s="14">
        <f>SUMIFS(planos!D:D,planos!B:B,"&lt;="&amp;unimed!N25,planos!C:C,"&gt;="&amp;unimed!N25,planos!E:E,"Enfermaria sem coparticipação")</f>
        <v>393.45220152873048</v>
      </c>
      <c r="AO25" s="14">
        <f>IF(AJ25=0,0,IF(MID(AC25,1,15)="FATOR MODERADOR",AJ25,IF(AM25&gt;=0,IF(AND(AM25&gt;tabelas!$C$4,AM25&lt;=tabelas!$C$5),(AN25)*tabelas!$D$4,IF(AND(AM25&gt;=tabelas!$C$5,AM25&lt;=tabelas!$C$6),(AN25)*tabelas!$D$5,IF(AND(AM25&gt;=tabelas!$C$6,AM25&lt;=tabelas!$C$7),(AN25)*tabelas!$D$6,IF(AND(AM25&gt;0,AM25&gt;tabelas!$C$7),(AN25)*tabelas!$D$7,0)))))))</f>
        <v>48.86</v>
      </c>
      <c r="AP25" s="14">
        <f t="shared" si="1"/>
        <v>0</v>
      </c>
      <c r="AQ25" s="14">
        <f t="shared" si="0"/>
        <v>48.86</v>
      </c>
      <c r="AR25" s="35">
        <v>350</v>
      </c>
      <c r="AS25" s="13">
        <f t="shared" si="3"/>
        <v>0</v>
      </c>
    </row>
    <row r="26" spans="1:45" ht="12.95" customHeight="1">
      <c r="A26" s="42" t="s">
        <v>152</v>
      </c>
      <c r="B26" s="42"/>
      <c r="C26" s="42"/>
      <c r="D26" s="42"/>
      <c r="E26" s="31" t="s">
        <v>53</v>
      </c>
      <c r="F26" s="46">
        <v>0</v>
      </c>
      <c r="G26" s="46"/>
      <c r="H26" s="46"/>
      <c r="I26" s="44" t="s">
        <v>154</v>
      </c>
      <c r="J26" s="44"/>
      <c r="K26" s="44"/>
      <c r="L26" s="41" t="s">
        <v>57</v>
      </c>
      <c r="M26" s="41"/>
      <c r="N26" s="41" t="s">
        <v>76</v>
      </c>
      <c r="O26" s="41"/>
      <c r="P26" s="43" t="s">
        <v>153</v>
      </c>
      <c r="Q26" s="43"/>
      <c r="R26" s="43"/>
      <c r="S26" s="41" t="s">
        <v>55</v>
      </c>
      <c r="T26" s="41"/>
      <c r="U26" s="41"/>
      <c r="V26" s="30" t="s">
        <v>34</v>
      </c>
      <c r="W26" s="41" t="s">
        <v>15</v>
      </c>
      <c r="X26" s="41"/>
      <c r="Y26" s="42" t="s">
        <v>36</v>
      </c>
      <c r="Z26" s="42"/>
      <c r="AA26" s="42"/>
      <c r="AB26" s="42"/>
      <c r="AC26" s="42" t="s">
        <v>56</v>
      </c>
      <c r="AD26" s="42"/>
      <c r="AE26" s="42"/>
      <c r="AF26" s="42"/>
      <c r="AG26" s="42"/>
      <c r="AH26" s="25">
        <v>1</v>
      </c>
      <c r="AI26" s="26">
        <v>1201.83</v>
      </c>
      <c r="AJ26" s="26">
        <v>1201.83</v>
      </c>
      <c r="AK26" s="14" t="s">
        <v>153</v>
      </c>
      <c r="AL26" s="12">
        <v>5</v>
      </c>
      <c r="AM26" s="14">
        <v>5250.54</v>
      </c>
      <c r="AN26" s="14">
        <f>SUMIFS(planos!D:D,planos!B:B,"&lt;="&amp;unimed!N26,planos!C:C,"&gt;="&amp;unimed!N26,planos!E:E,"Enfermaria sem coparticipação")</f>
        <v>1123.0245</v>
      </c>
      <c r="AO26" s="14">
        <f>IF(AJ26=0,0,IF(MID(AC26,1,15)="FATOR MODERADOR",AJ26,IF(AM26&gt;=0,IF(AND(AM26&gt;tabelas!$C$4,AM26&lt;=tabelas!$C$5),(AN26)*tabelas!$D$4,IF(AND(AM26&gt;=tabelas!$C$5,AM26&lt;=tabelas!$C$6),(AN26)*tabelas!$D$5,IF(AND(AM26&gt;=tabelas!$C$6,AM26&lt;=tabelas!$C$7),(AN26)*tabelas!$D$6,IF(AND(AM26&gt;0,AM26&gt;tabelas!$C$7),(AN26)*tabelas!$D$7,0)))))))</f>
        <v>954.57082500000001</v>
      </c>
      <c r="AP26" s="14">
        <f t="shared" si="1"/>
        <v>954.57082500000001</v>
      </c>
      <c r="AQ26" s="14">
        <f t="shared" si="0"/>
        <v>247.25917499999991</v>
      </c>
      <c r="AR26" s="35">
        <f t="shared" si="2"/>
        <v>0</v>
      </c>
      <c r="AS26" s="13">
        <f t="shared" si="3"/>
        <v>0</v>
      </c>
    </row>
    <row r="27" spans="1:45" ht="12.95" customHeight="1">
      <c r="A27" s="44" t="s">
        <v>151</v>
      </c>
      <c r="B27" s="44"/>
      <c r="C27" s="44"/>
      <c r="D27" s="44"/>
      <c r="E27" s="29" t="s">
        <v>53</v>
      </c>
      <c r="F27" s="46">
        <v>0</v>
      </c>
      <c r="G27" s="46"/>
      <c r="H27" s="46"/>
      <c r="I27" s="44" t="s">
        <v>154</v>
      </c>
      <c r="J27" s="44"/>
      <c r="K27" s="44"/>
      <c r="L27" s="43" t="s">
        <v>59</v>
      </c>
      <c r="M27" s="43"/>
      <c r="N27" s="43" t="s">
        <v>87</v>
      </c>
      <c r="O27" s="43"/>
      <c r="P27" s="43" t="s">
        <v>153</v>
      </c>
      <c r="Q27" s="43"/>
      <c r="R27" s="43"/>
      <c r="S27" s="43" t="s">
        <v>55</v>
      </c>
      <c r="T27" s="43"/>
      <c r="U27" s="43"/>
      <c r="V27" s="28" t="s">
        <v>34</v>
      </c>
      <c r="W27" s="43" t="s">
        <v>15</v>
      </c>
      <c r="X27" s="43"/>
      <c r="Y27" s="44" t="s">
        <v>35</v>
      </c>
      <c r="Z27" s="44"/>
      <c r="AA27" s="44"/>
      <c r="AB27" s="44"/>
      <c r="AC27" s="44" t="s">
        <v>88</v>
      </c>
      <c r="AD27" s="44"/>
      <c r="AE27" s="44"/>
      <c r="AF27" s="44"/>
      <c r="AG27" s="44"/>
      <c r="AH27" s="24">
        <v>1</v>
      </c>
      <c r="AI27" s="24">
        <v>54.59</v>
      </c>
      <c r="AJ27" s="24">
        <v>54.59</v>
      </c>
      <c r="AK27" s="14" t="s">
        <v>153</v>
      </c>
      <c r="AL27" s="12">
        <v>5</v>
      </c>
      <c r="AM27" s="14">
        <v>3814.48</v>
      </c>
      <c r="AN27" s="14">
        <f>SUMIFS(planos!D:D,planos!B:B,"&lt;="&amp;unimed!N27,planos!C:C,"&gt;="&amp;unimed!N27,planos!E:E,"Enfermaria sem coparticipação")</f>
        <v>393.45220152873048</v>
      </c>
      <c r="AO27" s="14">
        <f>IF(AJ27=0,0,IF(MID(AC27,1,15)="FATOR MODERADOR",AJ27,IF(AM27&gt;=0,IF(AND(AM27&gt;tabelas!$C$4,AM27&lt;=tabelas!$C$5),(AN27)*tabelas!$D$4,IF(AND(AM27&gt;=tabelas!$C$5,AM27&lt;=tabelas!$C$6),(AN27)*tabelas!$D$5,IF(AND(AM27&gt;=tabelas!$C$6,AM27&lt;=tabelas!$C$7),(AN27)*tabelas!$D$6,IF(AND(AM27&gt;0,AM27&gt;tabelas!$C$7),(AN27)*tabelas!$D$7,0)))))))</f>
        <v>54.59</v>
      </c>
      <c r="AP27" s="14">
        <f t="shared" si="1"/>
        <v>0</v>
      </c>
      <c r="AQ27" s="14">
        <f t="shared" si="0"/>
        <v>54.59</v>
      </c>
      <c r="AR27" s="35">
        <v>350</v>
      </c>
      <c r="AS27" s="13">
        <f t="shared" si="3"/>
        <v>0</v>
      </c>
    </row>
    <row r="28" spans="1:45" ht="12.95" customHeight="1">
      <c r="A28" s="42" t="s">
        <v>152</v>
      </c>
      <c r="B28" s="42"/>
      <c r="C28" s="42"/>
      <c r="D28" s="42"/>
      <c r="E28" s="31" t="s">
        <v>106</v>
      </c>
      <c r="F28" s="46">
        <v>0</v>
      </c>
      <c r="G28" s="46"/>
      <c r="H28" s="46"/>
      <c r="I28" s="44" t="s">
        <v>159</v>
      </c>
      <c r="J28" s="44"/>
      <c r="K28" s="44"/>
      <c r="L28" s="41" t="s">
        <v>107</v>
      </c>
      <c r="M28" s="41"/>
      <c r="N28" s="41" t="s">
        <v>85</v>
      </c>
      <c r="O28" s="41"/>
      <c r="P28" s="43" t="s">
        <v>153</v>
      </c>
      <c r="Q28" s="43"/>
      <c r="R28" s="43"/>
      <c r="S28" s="41" t="s">
        <v>108</v>
      </c>
      <c r="T28" s="41"/>
      <c r="U28" s="41"/>
      <c r="V28" s="30" t="s">
        <v>20</v>
      </c>
      <c r="W28" s="41" t="s">
        <v>16</v>
      </c>
      <c r="X28" s="41"/>
      <c r="Y28" s="42" t="s">
        <v>32</v>
      </c>
      <c r="Z28" s="42"/>
      <c r="AA28" s="42"/>
      <c r="AB28" s="42"/>
      <c r="AC28" s="42" t="s">
        <v>48</v>
      </c>
      <c r="AD28" s="42"/>
      <c r="AE28" s="42"/>
      <c r="AF28" s="42"/>
      <c r="AG28" s="42"/>
      <c r="AH28" s="25">
        <v>1</v>
      </c>
      <c r="AI28" s="25">
        <v>694.48</v>
      </c>
      <c r="AJ28" s="25">
        <v>694.48</v>
      </c>
      <c r="AK28" s="14" t="s">
        <v>153</v>
      </c>
      <c r="AL28" s="12">
        <v>6</v>
      </c>
      <c r="AM28" s="14">
        <v>7943.86</v>
      </c>
      <c r="AN28" s="14">
        <f>SUMIFS(planos!D:D,planos!B:B,"&lt;="&amp;unimed!N28,planos!C:C,"&gt;="&amp;unimed!N28,planos!E:E,"Enfermaria sem coparticipação")</f>
        <v>694.48105762398416</v>
      </c>
      <c r="AO28" s="14">
        <f>IF(AJ28=0,0,IF(MID(AC28,1,15)="FATOR MODERADOR",AJ28,IF(AM28&gt;=0,IF(AND(AM28&gt;tabelas!$C$4,AM28&lt;=tabelas!$C$5),(AN28)*tabelas!$D$4,IF(AND(AM28&gt;=tabelas!$C$5,AM28&lt;=tabelas!$C$6),(AN28)*tabelas!$D$5,IF(AND(AM28&gt;=tabelas!$C$6,AM28&lt;=tabelas!$C$7),(AN28)*tabelas!$D$6,IF(AND(AM28&gt;0,AM28&gt;tabelas!$C$7),(AN28)*tabelas!$D$7,0)))))))</f>
        <v>534.75041437046787</v>
      </c>
      <c r="AP28" s="14">
        <f t="shared" si="1"/>
        <v>534.75041437046787</v>
      </c>
      <c r="AQ28" s="14">
        <f t="shared" si="0"/>
        <v>159.72958562953215</v>
      </c>
      <c r="AR28" s="35">
        <f t="shared" si="2"/>
        <v>0</v>
      </c>
      <c r="AS28" s="13">
        <f t="shared" si="3"/>
        <v>0</v>
      </c>
    </row>
    <row r="29" spans="1:45" ht="12.95" customHeight="1">
      <c r="A29" s="44" t="s">
        <v>151</v>
      </c>
      <c r="B29" s="44"/>
      <c r="C29" s="44"/>
      <c r="D29" s="44"/>
      <c r="E29" s="29" t="s">
        <v>106</v>
      </c>
      <c r="F29" s="46">
        <v>0</v>
      </c>
      <c r="G29" s="46"/>
      <c r="H29" s="46"/>
      <c r="I29" s="44" t="s">
        <v>159</v>
      </c>
      <c r="J29" s="44"/>
      <c r="K29" s="44"/>
      <c r="L29" s="43" t="s">
        <v>117</v>
      </c>
      <c r="M29" s="43"/>
      <c r="N29" s="43" t="s">
        <v>73</v>
      </c>
      <c r="O29" s="43"/>
      <c r="P29" s="43" t="s">
        <v>153</v>
      </c>
      <c r="Q29" s="43"/>
      <c r="R29" s="43"/>
      <c r="S29" s="43" t="s">
        <v>105</v>
      </c>
      <c r="T29" s="43"/>
      <c r="U29" s="43"/>
      <c r="V29" s="28" t="s">
        <v>20</v>
      </c>
      <c r="W29" s="43" t="s">
        <v>15</v>
      </c>
      <c r="X29" s="43"/>
      <c r="Y29" s="44" t="s">
        <v>35</v>
      </c>
      <c r="Z29" s="44"/>
      <c r="AA29" s="44"/>
      <c r="AB29" s="44"/>
      <c r="AC29" s="44" t="s">
        <v>48</v>
      </c>
      <c r="AD29" s="44"/>
      <c r="AE29" s="44"/>
      <c r="AF29" s="44"/>
      <c r="AG29" s="44"/>
      <c r="AH29" s="24">
        <v>1</v>
      </c>
      <c r="AI29" s="24">
        <v>393.45</v>
      </c>
      <c r="AJ29" s="24">
        <v>393.45</v>
      </c>
      <c r="AK29" s="14" t="s">
        <v>153</v>
      </c>
      <c r="AL29" s="12">
        <v>6</v>
      </c>
      <c r="AM29" s="14">
        <v>1102.82</v>
      </c>
      <c r="AN29" s="14">
        <f>SUMIFS(planos!D:D,planos!B:B,"&lt;="&amp;unimed!N29,planos!C:C,"&gt;="&amp;unimed!N29,planos!E:E,"Enfermaria sem coparticipação")</f>
        <v>393.45220152873048</v>
      </c>
      <c r="AO29" s="14">
        <f>IF(AJ29=0,0,IF(MID(AC29,1,15)="FATOR MODERADOR",AJ29,IF(AM29&gt;=0,IF(AND(AM29&gt;tabelas!$C$4,AM29&lt;=tabelas!$C$5),(AN29)*tabelas!$D$4,IF(AND(AM29&gt;=tabelas!$C$5,AM29&lt;=tabelas!$C$6),(AN29)*tabelas!$D$5,IF(AND(AM29&gt;=tabelas!$C$6,AM29&lt;=tabelas!$C$7),(AN29)*tabelas!$D$6,IF(AND(AM29&gt;0,AM29&gt;tabelas!$C$7),(AN29)*tabelas!$D$7,0)))))))</f>
        <v>365.91054742171934</v>
      </c>
      <c r="AP29" s="14">
        <f t="shared" si="1"/>
        <v>365.91054742171934</v>
      </c>
      <c r="AQ29" s="14">
        <f t="shared" si="0"/>
        <v>27.539452578280645</v>
      </c>
      <c r="AR29" s="35">
        <f t="shared" si="2"/>
        <v>0</v>
      </c>
      <c r="AS29" s="13">
        <f t="shared" si="3"/>
        <v>0</v>
      </c>
    </row>
    <row r="30" spans="1:45" ht="12.95" customHeight="1">
      <c r="A30" s="42" t="s">
        <v>152</v>
      </c>
      <c r="B30" s="42"/>
      <c r="C30" s="42"/>
      <c r="D30" s="42"/>
      <c r="E30" s="31" t="s">
        <v>106</v>
      </c>
      <c r="F30" s="46">
        <v>0</v>
      </c>
      <c r="G30" s="46"/>
      <c r="H30" s="46"/>
      <c r="I30" s="44" t="s">
        <v>159</v>
      </c>
      <c r="J30" s="44"/>
      <c r="K30" s="44"/>
      <c r="L30" s="41" t="s">
        <v>119</v>
      </c>
      <c r="M30" s="41"/>
      <c r="N30" s="41" t="s">
        <v>78</v>
      </c>
      <c r="O30" s="41"/>
      <c r="P30" s="43" t="s">
        <v>153</v>
      </c>
      <c r="Q30" s="43"/>
      <c r="R30" s="43"/>
      <c r="S30" s="41" t="s">
        <v>105</v>
      </c>
      <c r="T30" s="41"/>
      <c r="U30" s="41"/>
      <c r="V30" s="30" t="s">
        <v>20</v>
      </c>
      <c r="W30" s="41" t="s">
        <v>15</v>
      </c>
      <c r="X30" s="41"/>
      <c r="Y30" s="42" t="s">
        <v>35</v>
      </c>
      <c r="Z30" s="42"/>
      <c r="AA30" s="42"/>
      <c r="AB30" s="42"/>
      <c r="AC30" s="42" t="s">
        <v>48</v>
      </c>
      <c r="AD30" s="42"/>
      <c r="AE30" s="42"/>
      <c r="AF30" s="42"/>
      <c r="AG30" s="42"/>
      <c r="AH30" s="25">
        <v>1</v>
      </c>
      <c r="AI30" s="25">
        <v>393.45</v>
      </c>
      <c r="AJ30" s="25">
        <v>393.45</v>
      </c>
      <c r="AK30" s="14" t="s">
        <v>153</v>
      </c>
      <c r="AL30" s="12">
        <v>6</v>
      </c>
      <c r="AM30" s="14">
        <v>5901.7</v>
      </c>
      <c r="AN30" s="14">
        <f>SUMIFS(planos!D:D,planos!B:B,"&lt;="&amp;unimed!N30,planos!C:C,"&gt;="&amp;unimed!N30,planos!E:E,"Enfermaria sem coparticipação")</f>
        <v>393.45220152873048</v>
      </c>
      <c r="AO30" s="14">
        <f>IF(AJ30=0,0,IF(MID(AC30,1,15)="FATOR MODERADOR",AJ30,IF(AM30&gt;=0,IF(AND(AM30&gt;tabelas!$C$4,AM30&lt;=tabelas!$C$5),(AN30)*tabelas!$D$4,IF(AND(AM30&gt;=tabelas!$C$5,AM30&lt;=tabelas!$C$6),(AN30)*tabelas!$D$5,IF(AND(AM30&gt;=tabelas!$C$6,AM30&lt;=tabelas!$C$7),(AN30)*tabelas!$D$6,IF(AND(AM30&gt;0,AM30&gt;tabelas!$C$7),(AN30)*tabelas!$D$7,0)))))))</f>
        <v>334.43437129942089</v>
      </c>
      <c r="AP30" s="14">
        <f t="shared" si="1"/>
        <v>334.43437129942089</v>
      </c>
      <c r="AQ30" s="14">
        <f t="shared" si="0"/>
        <v>59.0156287005791</v>
      </c>
      <c r="AR30" s="35">
        <f t="shared" si="2"/>
        <v>0</v>
      </c>
      <c r="AS30" s="13">
        <f t="shared" si="3"/>
        <v>0</v>
      </c>
    </row>
    <row r="31" spans="1:45" ht="12.95" customHeight="1">
      <c r="A31" s="44" t="s">
        <v>151</v>
      </c>
      <c r="B31" s="44"/>
      <c r="C31" s="44"/>
      <c r="D31" s="44"/>
      <c r="E31" s="29" t="s">
        <v>106</v>
      </c>
      <c r="F31" s="46">
        <v>0</v>
      </c>
      <c r="G31" s="46"/>
      <c r="H31" s="46"/>
      <c r="I31" s="44" t="s">
        <v>159</v>
      </c>
      <c r="J31" s="44"/>
      <c r="K31" s="44"/>
      <c r="L31" s="43" t="s">
        <v>118</v>
      </c>
      <c r="M31" s="43"/>
      <c r="N31" s="43" t="s">
        <v>75</v>
      </c>
      <c r="O31" s="43"/>
      <c r="P31" s="43" t="s">
        <v>153</v>
      </c>
      <c r="Q31" s="43"/>
      <c r="R31" s="43"/>
      <c r="S31" s="43" t="s">
        <v>105</v>
      </c>
      <c r="T31" s="43"/>
      <c r="U31" s="43"/>
      <c r="V31" s="28" t="s">
        <v>20</v>
      </c>
      <c r="W31" s="43" t="s">
        <v>15</v>
      </c>
      <c r="X31" s="43"/>
      <c r="Y31" s="44" t="s">
        <v>35</v>
      </c>
      <c r="Z31" s="44"/>
      <c r="AA31" s="44"/>
      <c r="AB31" s="44"/>
      <c r="AC31" s="44" t="s">
        <v>48</v>
      </c>
      <c r="AD31" s="44"/>
      <c r="AE31" s="44"/>
      <c r="AF31" s="44"/>
      <c r="AG31" s="44"/>
      <c r="AH31" s="24">
        <v>1</v>
      </c>
      <c r="AI31" s="24">
        <v>393.45</v>
      </c>
      <c r="AJ31" s="24">
        <v>393.45</v>
      </c>
      <c r="AK31" s="14" t="s">
        <v>153</v>
      </c>
      <c r="AL31" s="12">
        <v>6</v>
      </c>
      <c r="AM31" s="14">
        <v>3010.18</v>
      </c>
      <c r="AN31" s="14">
        <f>SUMIFS(planos!D:D,planos!B:B,"&lt;="&amp;unimed!N31,planos!C:C,"&gt;="&amp;unimed!N31,planos!E:E,"Enfermaria sem coparticipação")</f>
        <v>393.45220152873048</v>
      </c>
      <c r="AO31" s="14">
        <f>IF(AJ31=0,0,IF(MID(AC31,1,15)="FATOR MODERADOR",AJ31,IF(AM31&gt;=0,IF(AND(AM31&gt;tabelas!$C$4,AM31&lt;=tabelas!$C$5),(AN31)*tabelas!$D$4,IF(AND(AM31&gt;=tabelas!$C$5,AM31&lt;=tabelas!$C$6),(AN31)*tabelas!$D$5,IF(AND(AM31&gt;=tabelas!$C$6,AM31&lt;=tabelas!$C$7),(AN31)*tabelas!$D$6,IF(AND(AM31&gt;0,AM31&gt;tabelas!$C$7),(AN31)*tabelas!$D$7,0)))))))</f>
        <v>365.91054742171934</v>
      </c>
      <c r="AP31" s="14">
        <f t="shared" si="1"/>
        <v>365.91054742171934</v>
      </c>
      <c r="AQ31" s="14">
        <f t="shared" si="0"/>
        <v>27.539452578280645</v>
      </c>
      <c r="AR31" s="35">
        <f t="shared" si="2"/>
        <v>0</v>
      </c>
      <c r="AS31" s="13">
        <f t="shared" si="3"/>
        <v>0</v>
      </c>
    </row>
    <row r="32" spans="1:45" ht="12.95" customHeight="1">
      <c r="A32" s="42" t="s">
        <v>152</v>
      </c>
      <c r="B32" s="42"/>
      <c r="C32" s="42"/>
      <c r="D32" s="42"/>
      <c r="E32" s="31" t="s">
        <v>106</v>
      </c>
      <c r="F32" s="46">
        <v>0</v>
      </c>
      <c r="G32" s="46"/>
      <c r="H32" s="46"/>
      <c r="I32" s="44" t="s">
        <v>159</v>
      </c>
      <c r="J32" s="44"/>
      <c r="K32" s="44"/>
      <c r="L32" s="41" t="s">
        <v>120</v>
      </c>
      <c r="M32" s="41"/>
      <c r="N32" s="41" t="s">
        <v>93</v>
      </c>
      <c r="O32" s="41"/>
      <c r="P32" s="43" t="s">
        <v>153</v>
      </c>
      <c r="Q32" s="43"/>
      <c r="R32" s="43"/>
      <c r="S32" s="41" t="s">
        <v>105</v>
      </c>
      <c r="T32" s="41"/>
      <c r="U32" s="41"/>
      <c r="V32" s="30" t="s">
        <v>20</v>
      </c>
      <c r="W32" s="41" t="s">
        <v>15</v>
      </c>
      <c r="X32" s="41"/>
      <c r="Y32" s="42" t="s">
        <v>35</v>
      </c>
      <c r="Z32" s="42"/>
      <c r="AA32" s="42"/>
      <c r="AB32" s="42"/>
      <c r="AC32" s="42" t="s">
        <v>48</v>
      </c>
      <c r="AD32" s="42"/>
      <c r="AE32" s="42"/>
      <c r="AF32" s="42"/>
      <c r="AG32" s="42"/>
      <c r="AH32" s="25">
        <v>1</v>
      </c>
      <c r="AI32" s="25">
        <v>393.45</v>
      </c>
      <c r="AJ32" s="25">
        <v>393.45</v>
      </c>
      <c r="AK32" s="14" t="s">
        <v>153</v>
      </c>
      <c r="AL32" s="12">
        <v>6</v>
      </c>
      <c r="AM32" s="14">
        <v>3603.46</v>
      </c>
      <c r="AN32" s="14">
        <f>SUMIFS(planos!D:D,planos!B:B,"&lt;="&amp;unimed!N32,planos!C:C,"&gt;="&amp;unimed!N32,planos!E:E,"Enfermaria sem coparticipação")</f>
        <v>393.45220152873048</v>
      </c>
      <c r="AO32" s="14">
        <f>IF(AJ32=0,0,IF(MID(AC32,1,15)="FATOR MODERADOR",AJ32,IF(AM32&gt;=0,IF(AND(AM32&gt;tabelas!$C$4,AM32&lt;=tabelas!$C$5),(AN32)*tabelas!$D$4,IF(AND(AM32&gt;=tabelas!$C$5,AM32&lt;=tabelas!$C$6),(AN32)*tabelas!$D$5,IF(AND(AM32&gt;=tabelas!$C$6,AM32&lt;=tabelas!$C$7),(AN32)*tabelas!$D$6,IF(AND(AM32&gt;0,AM32&gt;tabelas!$C$7),(AN32)*tabelas!$D$7,0)))))))</f>
        <v>365.91054742171934</v>
      </c>
      <c r="AP32" s="14">
        <f t="shared" si="1"/>
        <v>365.91054742171934</v>
      </c>
      <c r="AQ32" s="14">
        <f t="shared" si="0"/>
        <v>27.539452578280645</v>
      </c>
      <c r="AR32" s="35">
        <f t="shared" si="2"/>
        <v>0</v>
      </c>
      <c r="AS32" s="13">
        <f t="shared" si="3"/>
        <v>0</v>
      </c>
    </row>
    <row r="33" spans="1:45" ht="12.95" customHeight="1">
      <c r="A33" s="44" t="s">
        <v>151</v>
      </c>
      <c r="B33" s="44"/>
      <c r="C33" s="44"/>
      <c r="D33" s="44"/>
      <c r="E33" s="29" t="s">
        <v>106</v>
      </c>
      <c r="F33" s="46">
        <v>0</v>
      </c>
      <c r="G33" s="46"/>
      <c r="H33" s="46"/>
      <c r="I33" s="44" t="s">
        <v>159</v>
      </c>
      <c r="J33" s="44"/>
      <c r="K33" s="44"/>
      <c r="L33" s="43" t="s">
        <v>121</v>
      </c>
      <c r="M33" s="43"/>
      <c r="N33" s="43" t="s">
        <v>84</v>
      </c>
      <c r="O33" s="43"/>
      <c r="P33" s="43" t="s">
        <v>153</v>
      </c>
      <c r="Q33" s="43"/>
      <c r="R33" s="43"/>
      <c r="S33" s="43" t="s">
        <v>105</v>
      </c>
      <c r="T33" s="43"/>
      <c r="U33" s="43"/>
      <c r="V33" s="28" t="s">
        <v>20</v>
      </c>
      <c r="W33" s="43" t="s">
        <v>15</v>
      </c>
      <c r="X33" s="43"/>
      <c r="Y33" s="44" t="s">
        <v>33</v>
      </c>
      <c r="Z33" s="44"/>
      <c r="AA33" s="44"/>
      <c r="AB33" s="44"/>
      <c r="AC33" s="44" t="s">
        <v>48</v>
      </c>
      <c r="AD33" s="44"/>
      <c r="AE33" s="44"/>
      <c r="AF33" s="44"/>
      <c r="AG33" s="44"/>
      <c r="AH33" s="24">
        <v>1</v>
      </c>
      <c r="AI33" s="24">
        <v>559.91999999999996</v>
      </c>
      <c r="AJ33" s="24">
        <v>559.91999999999996</v>
      </c>
      <c r="AK33" s="14" t="s">
        <v>153</v>
      </c>
      <c r="AL33" s="12">
        <v>6</v>
      </c>
      <c r="AM33" s="14">
        <v>6032.51</v>
      </c>
      <c r="AN33" s="14">
        <f>SUMIFS(planos!D:D,planos!B:B,"&lt;="&amp;unimed!N33,planos!C:C,"&gt;="&amp;unimed!N33,planos!E:E,"Enfermaria sem coparticipação")</f>
        <v>559.91758325401042</v>
      </c>
      <c r="AO33" s="14">
        <f>IF(AJ33=0,0,IF(MID(AC33,1,15)="FATOR MODERADOR",AJ33,IF(AM33&gt;=0,IF(AND(AM33&gt;tabelas!$C$4,AM33&lt;=tabelas!$C$5),(AN33)*tabelas!$D$4,IF(AND(AM33&gt;=tabelas!$C$5,AM33&lt;=tabelas!$C$6),(AN33)*tabelas!$D$5,IF(AND(AM33&gt;=tabelas!$C$6,AM33&lt;=tabelas!$C$7),(AN33)*tabelas!$D$6,IF(AND(AM33&gt;0,AM33&gt;tabelas!$C$7),(AN33)*tabelas!$D$7,0)))))))</f>
        <v>475.92994576590883</v>
      </c>
      <c r="AP33" s="14">
        <f t="shared" si="1"/>
        <v>475.92994576590883</v>
      </c>
      <c r="AQ33" s="14">
        <f t="shared" si="0"/>
        <v>83.990054234091133</v>
      </c>
      <c r="AR33" s="35">
        <f t="shared" si="2"/>
        <v>0</v>
      </c>
      <c r="AS33" s="13">
        <f t="shared" si="3"/>
        <v>0</v>
      </c>
    </row>
    <row r="34" spans="1:45" ht="12.95" customHeight="1">
      <c r="A34" s="42" t="s">
        <v>152</v>
      </c>
      <c r="B34" s="42"/>
      <c r="C34" s="42"/>
      <c r="D34" s="42"/>
      <c r="E34" s="31" t="s">
        <v>106</v>
      </c>
      <c r="F34" s="46">
        <v>0</v>
      </c>
      <c r="G34" s="46"/>
      <c r="H34" s="46"/>
      <c r="I34" s="44" t="s">
        <v>159</v>
      </c>
      <c r="J34" s="44"/>
      <c r="K34" s="44"/>
      <c r="L34" s="41" t="s">
        <v>144</v>
      </c>
      <c r="M34" s="41"/>
      <c r="N34" s="41" t="s">
        <v>49</v>
      </c>
      <c r="O34" s="41"/>
      <c r="P34" s="43" t="s">
        <v>153</v>
      </c>
      <c r="Q34" s="43"/>
      <c r="R34" s="43"/>
      <c r="S34" s="41" t="s">
        <v>145</v>
      </c>
      <c r="T34" s="41"/>
      <c r="U34" s="41"/>
      <c r="V34" s="30" t="s">
        <v>20</v>
      </c>
      <c r="W34" s="41" t="s">
        <v>15</v>
      </c>
      <c r="X34" s="41"/>
      <c r="Y34" s="42" t="s">
        <v>35</v>
      </c>
      <c r="Z34" s="42"/>
      <c r="AA34" s="42"/>
      <c r="AB34" s="42"/>
      <c r="AC34" s="42" t="s">
        <v>48</v>
      </c>
      <c r="AD34" s="42"/>
      <c r="AE34" s="42"/>
      <c r="AF34" s="42"/>
      <c r="AG34" s="42"/>
      <c r="AH34" s="25">
        <v>1</v>
      </c>
      <c r="AI34" s="25">
        <v>393.45</v>
      </c>
      <c r="AJ34" s="25">
        <v>393.45</v>
      </c>
      <c r="AK34" s="14" t="s">
        <v>153</v>
      </c>
      <c r="AL34" s="12">
        <v>6</v>
      </c>
      <c r="AM34" s="14">
        <v>7742.75</v>
      </c>
      <c r="AN34" s="14">
        <f>SUMIFS(planos!D:D,planos!B:B,"&lt;="&amp;unimed!N34,planos!C:C,"&gt;="&amp;unimed!N34,planos!E:E,"Enfermaria sem coparticipação")</f>
        <v>393.45220152873048</v>
      </c>
      <c r="AO34" s="14">
        <f>IF(AJ34=0,0,IF(MID(AC34,1,15)="FATOR MODERADOR",AJ34,IF(AM34&gt;=0,IF(AND(AM34&gt;tabelas!$C$4,AM34&lt;=tabelas!$C$5),(AN34)*tabelas!$D$4,IF(AND(AM34&gt;=tabelas!$C$5,AM34&lt;=tabelas!$C$6),(AN34)*tabelas!$D$5,IF(AND(AM34&gt;=tabelas!$C$6,AM34&lt;=tabelas!$C$7),(AN34)*tabelas!$D$6,IF(AND(AM34&gt;0,AM34&gt;tabelas!$C$7),(AN34)*tabelas!$D$7,0)))))))</f>
        <v>302.95819517712249</v>
      </c>
      <c r="AP34" s="14">
        <f t="shared" si="1"/>
        <v>302.95819517712249</v>
      </c>
      <c r="AQ34" s="14">
        <f t="shared" si="0"/>
        <v>90.491804822877498</v>
      </c>
      <c r="AR34" s="35">
        <f t="shared" si="2"/>
        <v>0</v>
      </c>
      <c r="AS34" s="13">
        <f t="shared" si="3"/>
        <v>0</v>
      </c>
    </row>
    <row r="35" spans="1:45" ht="12.95" customHeight="1">
      <c r="A35" s="44" t="s">
        <v>151</v>
      </c>
      <c r="B35" s="44"/>
      <c r="C35" s="44"/>
      <c r="D35" s="44"/>
      <c r="E35" s="29" t="s">
        <v>127</v>
      </c>
      <c r="F35" s="46">
        <v>0</v>
      </c>
      <c r="G35" s="46"/>
      <c r="H35" s="46"/>
      <c r="I35" s="44" t="s">
        <v>160</v>
      </c>
      <c r="J35" s="44"/>
      <c r="K35" s="44"/>
      <c r="L35" s="43" t="s">
        <v>128</v>
      </c>
      <c r="M35" s="43"/>
      <c r="N35" s="43" t="s">
        <v>82</v>
      </c>
      <c r="O35" s="43"/>
      <c r="P35" s="43" t="s">
        <v>153</v>
      </c>
      <c r="Q35" s="43"/>
      <c r="R35" s="43"/>
      <c r="S35" s="43" t="s">
        <v>129</v>
      </c>
      <c r="T35" s="43"/>
      <c r="U35" s="43"/>
      <c r="V35" s="28" t="s">
        <v>20</v>
      </c>
      <c r="W35" s="43" t="s">
        <v>16</v>
      </c>
      <c r="X35" s="43"/>
      <c r="Y35" s="44" t="s">
        <v>32</v>
      </c>
      <c r="Z35" s="44"/>
      <c r="AA35" s="44"/>
      <c r="AB35" s="44"/>
      <c r="AC35" s="44" t="s">
        <v>48</v>
      </c>
      <c r="AD35" s="44"/>
      <c r="AE35" s="44"/>
      <c r="AF35" s="44"/>
      <c r="AG35" s="44"/>
      <c r="AH35" s="24">
        <v>1</v>
      </c>
      <c r="AI35" s="24">
        <v>559.91999999999996</v>
      </c>
      <c r="AJ35" s="24">
        <v>559.91999999999996</v>
      </c>
      <c r="AK35" s="14" t="s">
        <v>153</v>
      </c>
      <c r="AL35" s="12">
        <v>7</v>
      </c>
      <c r="AM35" s="14">
        <v>7131.14</v>
      </c>
      <c r="AN35" s="14">
        <f>SUMIFS(planos!D:D,planos!B:B,"&lt;="&amp;unimed!N35,planos!C:C,"&gt;="&amp;unimed!N35,planos!E:E,"Enfermaria sem coparticipação")</f>
        <v>559.91758325401042</v>
      </c>
      <c r="AO35" s="14">
        <f>IF(AJ35=0,0,IF(MID(AC35,1,15)="FATOR MODERADOR",AJ35,IF(AM35&gt;=0,IF(AND(AM35&gt;tabelas!$C$4,AM35&lt;=tabelas!$C$5),(AN35)*tabelas!$D$4,IF(AND(AM35&gt;=tabelas!$C$5,AM35&lt;=tabelas!$C$6),(AN35)*tabelas!$D$5,IF(AND(AM35&gt;=tabelas!$C$6,AM35&lt;=tabelas!$C$7),(AN35)*tabelas!$D$6,IF(AND(AM35&gt;0,AM35&gt;tabelas!$C$7),(AN35)*tabelas!$D$7,0)))))))</f>
        <v>475.92994576590883</v>
      </c>
      <c r="AP35" s="14">
        <f t="shared" si="1"/>
        <v>475.92994576590883</v>
      </c>
      <c r="AQ35" s="14">
        <f t="shared" si="0"/>
        <v>83.990054234091133</v>
      </c>
      <c r="AR35" s="35">
        <f t="shared" si="2"/>
        <v>0</v>
      </c>
      <c r="AS35" s="13">
        <f t="shared" si="3"/>
        <v>0</v>
      </c>
    </row>
    <row r="36" spans="1:45" ht="12.95" customHeight="1">
      <c r="A36" s="42" t="s">
        <v>152</v>
      </c>
      <c r="B36" s="42"/>
      <c r="C36" s="42"/>
      <c r="D36" s="42"/>
      <c r="E36" s="31" t="s">
        <v>127</v>
      </c>
      <c r="F36" s="46">
        <v>0</v>
      </c>
      <c r="G36" s="46"/>
      <c r="H36" s="46"/>
      <c r="I36" s="44" t="s">
        <v>160</v>
      </c>
      <c r="J36" s="44"/>
      <c r="K36" s="44"/>
      <c r="L36" s="41" t="s">
        <v>130</v>
      </c>
      <c r="M36" s="41"/>
      <c r="N36" s="41" t="s">
        <v>61</v>
      </c>
      <c r="O36" s="41"/>
      <c r="P36" s="43" t="s">
        <v>153</v>
      </c>
      <c r="Q36" s="43"/>
      <c r="R36" s="43"/>
      <c r="S36" s="41" t="s">
        <v>129</v>
      </c>
      <c r="T36" s="41"/>
      <c r="U36" s="41"/>
      <c r="V36" s="30" t="s">
        <v>20</v>
      </c>
      <c r="W36" s="41" t="s">
        <v>15</v>
      </c>
      <c r="X36" s="41"/>
      <c r="Y36" s="42" t="s">
        <v>33</v>
      </c>
      <c r="Z36" s="42"/>
      <c r="AA36" s="42"/>
      <c r="AB36" s="42"/>
      <c r="AC36" s="42" t="s">
        <v>48</v>
      </c>
      <c r="AD36" s="42"/>
      <c r="AE36" s="42"/>
      <c r="AF36" s="42"/>
      <c r="AG36" s="42"/>
      <c r="AH36" s="25">
        <v>1</v>
      </c>
      <c r="AI36" s="25">
        <v>559.91999999999996</v>
      </c>
      <c r="AJ36" s="25">
        <v>559.91999999999996</v>
      </c>
      <c r="AK36" s="14" t="s">
        <v>153</v>
      </c>
      <c r="AL36" s="12">
        <v>7</v>
      </c>
      <c r="AM36" s="14">
        <v>7364.72</v>
      </c>
      <c r="AN36" s="14">
        <f>SUMIFS(planos!D:D,planos!B:B,"&lt;="&amp;unimed!N36,planos!C:C,"&gt;="&amp;unimed!N36,planos!E:E,"Enfermaria sem coparticipação")</f>
        <v>559.91758325401042</v>
      </c>
      <c r="AO36" s="14">
        <f>IF(AJ36=0,0,IF(MID(AC36,1,15)="FATOR MODERADOR",AJ36,IF(AM36&gt;=0,IF(AND(AM36&gt;tabelas!$C$4,AM36&lt;=tabelas!$C$5),(AN36)*tabelas!$D$4,IF(AND(AM36&gt;=tabelas!$C$5,AM36&lt;=tabelas!$C$6),(AN36)*tabelas!$D$5,IF(AND(AM36&gt;=tabelas!$C$6,AM36&lt;=tabelas!$C$7),(AN36)*tabelas!$D$6,IF(AND(AM36&gt;0,AM36&gt;tabelas!$C$7),(AN36)*tabelas!$D$7,0)))))))</f>
        <v>475.92994576590883</v>
      </c>
      <c r="AP36" s="14">
        <f t="shared" si="1"/>
        <v>475.92994576590883</v>
      </c>
      <c r="AQ36" s="14">
        <f t="shared" si="0"/>
        <v>83.990054234091133</v>
      </c>
      <c r="AR36" s="35">
        <f t="shared" si="2"/>
        <v>0</v>
      </c>
      <c r="AS36" s="13">
        <f t="shared" si="3"/>
        <v>0</v>
      </c>
    </row>
    <row r="37" spans="1:45" ht="12.95" customHeight="1">
      <c r="A37" s="44" t="s">
        <v>151</v>
      </c>
      <c r="B37" s="44"/>
      <c r="C37" s="44"/>
      <c r="D37" s="44"/>
      <c r="E37" s="29" t="s">
        <v>122</v>
      </c>
      <c r="F37" s="46">
        <v>0</v>
      </c>
      <c r="G37" s="46"/>
      <c r="H37" s="46"/>
      <c r="I37" s="44" t="s">
        <v>161</v>
      </c>
      <c r="J37" s="44"/>
      <c r="K37" s="44"/>
      <c r="L37" s="43" t="s">
        <v>123</v>
      </c>
      <c r="M37" s="43"/>
      <c r="N37" s="43" t="s">
        <v>79</v>
      </c>
      <c r="O37" s="43"/>
      <c r="P37" s="43" t="s">
        <v>153</v>
      </c>
      <c r="Q37" s="43"/>
      <c r="R37" s="43"/>
      <c r="S37" s="43" t="s">
        <v>124</v>
      </c>
      <c r="T37" s="43"/>
      <c r="U37" s="43"/>
      <c r="V37" s="28" t="s">
        <v>20</v>
      </c>
      <c r="W37" s="43" t="s">
        <v>16</v>
      </c>
      <c r="X37" s="43"/>
      <c r="Y37" s="44" t="s">
        <v>32</v>
      </c>
      <c r="Z37" s="44"/>
      <c r="AA37" s="44"/>
      <c r="AB37" s="44"/>
      <c r="AC37" s="44" t="s">
        <v>48</v>
      </c>
      <c r="AD37" s="44"/>
      <c r="AE37" s="44"/>
      <c r="AF37" s="44"/>
      <c r="AG37" s="44"/>
      <c r="AH37" s="24">
        <v>1</v>
      </c>
      <c r="AI37" s="24">
        <v>694.48</v>
      </c>
      <c r="AJ37" s="24">
        <v>694.48</v>
      </c>
      <c r="AK37" s="14" t="s">
        <v>153</v>
      </c>
      <c r="AL37" s="12">
        <v>8</v>
      </c>
      <c r="AM37" s="14">
        <v>5245.5</v>
      </c>
      <c r="AN37" s="14">
        <f>SUMIFS(planos!D:D,planos!B:B,"&lt;="&amp;unimed!N37,planos!C:C,"&gt;="&amp;unimed!N37,planos!E:E,"Enfermaria sem coparticipação")</f>
        <v>694.48105762398416</v>
      </c>
      <c r="AO37" s="14">
        <f>IF(AJ37=0,0,IF(MID(AC37,1,15)="FATOR MODERADOR",AJ37,IF(AM37&gt;=0,IF(AND(AM37&gt;tabelas!$C$4,AM37&lt;=tabelas!$C$5),(AN37)*tabelas!$D$4,IF(AND(AM37&gt;=tabelas!$C$5,AM37&lt;=tabelas!$C$6),(AN37)*tabelas!$D$5,IF(AND(AM37&gt;=tabelas!$C$6,AM37&lt;=tabelas!$C$7),(AN37)*tabelas!$D$6,IF(AND(AM37&gt;0,AM37&gt;tabelas!$C$7),(AN37)*tabelas!$D$7,0)))))))</f>
        <v>590.30889898038652</v>
      </c>
      <c r="AP37" s="14">
        <f t="shared" si="1"/>
        <v>590.30889898038652</v>
      </c>
      <c r="AQ37" s="14">
        <f t="shared" si="0"/>
        <v>104.1711010196135</v>
      </c>
      <c r="AR37" s="35">
        <f t="shared" si="2"/>
        <v>0</v>
      </c>
      <c r="AS37" s="13">
        <f t="shared" si="3"/>
        <v>0</v>
      </c>
    </row>
    <row r="38" spans="1:45" ht="12.95" customHeight="1">
      <c r="A38" s="42" t="s">
        <v>152</v>
      </c>
      <c r="B38" s="42"/>
      <c r="C38" s="42"/>
      <c r="D38" s="42"/>
      <c r="E38" s="31" t="s">
        <v>109</v>
      </c>
      <c r="F38" s="46">
        <v>0</v>
      </c>
      <c r="G38" s="46"/>
      <c r="H38" s="46"/>
      <c r="I38" s="44" t="s">
        <v>162</v>
      </c>
      <c r="J38" s="44"/>
      <c r="K38" s="44"/>
      <c r="L38" s="41" t="s">
        <v>110</v>
      </c>
      <c r="M38" s="41"/>
      <c r="N38" s="41" t="s">
        <v>80</v>
      </c>
      <c r="O38" s="41"/>
      <c r="P38" s="43" t="s">
        <v>153</v>
      </c>
      <c r="Q38" s="43"/>
      <c r="R38" s="43"/>
      <c r="S38" s="41" t="s">
        <v>105</v>
      </c>
      <c r="T38" s="41"/>
      <c r="U38" s="41"/>
      <c r="V38" s="30" t="s">
        <v>20</v>
      </c>
      <c r="W38" s="41" t="s">
        <v>16</v>
      </c>
      <c r="X38" s="41"/>
      <c r="Y38" s="42" t="s">
        <v>32</v>
      </c>
      <c r="Z38" s="42"/>
      <c r="AA38" s="42"/>
      <c r="AB38" s="42"/>
      <c r="AC38" s="42" t="s">
        <v>48</v>
      </c>
      <c r="AD38" s="42"/>
      <c r="AE38" s="42"/>
      <c r="AF38" s="42"/>
      <c r="AG38" s="42"/>
      <c r="AH38" s="25">
        <v>1</v>
      </c>
      <c r="AI38" s="25">
        <v>694.48</v>
      </c>
      <c r="AJ38" s="25">
        <v>694.48</v>
      </c>
      <c r="AK38" s="14" t="s">
        <v>153</v>
      </c>
      <c r="AL38" s="12">
        <v>9</v>
      </c>
      <c r="AM38" s="14">
        <v>4229.32</v>
      </c>
      <c r="AN38" s="14">
        <f>SUMIFS(planos!D:D,planos!B:B,"&lt;="&amp;unimed!N38,planos!C:C,"&gt;="&amp;unimed!N38,planos!E:E,"Enfermaria sem coparticipação")</f>
        <v>694.48105762398416</v>
      </c>
      <c r="AO38" s="14">
        <f>IF(AJ38=0,0,IF(MID(AC38,1,15)="FATOR MODERADOR",AJ38,IF(AM38&gt;=0,IF(AND(AM38&gt;tabelas!$C$4,AM38&lt;=tabelas!$C$5),(AN38)*tabelas!$D$4,IF(AND(AM38&gt;=tabelas!$C$5,AM38&lt;=tabelas!$C$6),(AN38)*tabelas!$D$5,IF(AND(AM38&gt;=tabelas!$C$6,AM38&lt;=tabelas!$C$7),(AN38)*tabelas!$D$6,IF(AND(AM38&gt;0,AM38&gt;tabelas!$C$7),(AN38)*tabelas!$D$7,0)))))))</f>
        <v>590.30889898038652</v>
      </c>
      <c r="AP38" s="14">
        <f t="shared" si="1"/>
        <v>590.30889898038652</v>
      </c>
      <c r="AQ38" s="14">
        <f t="shared" si="0"/>
        <v>104.1711010196135</v>
      </c>
      <c r="AR38" s="35">
        <f t="shared" si="2"/>
        <v>0</v>
      </c>
      <c r="AS38" s="13">
        <f t="shared" si="3"/>
        <v>0</v>
      </c>
    </row>
    <row r="39" spans="1:45" ht="12.95" customHeight="1">
      <c r="A39" s="44" t="s">
        <v>151</v>
      </c>
      <c r="B39" s="44"/>
      <c r="C39" s="44"/>
      <c r="D39" s="44"/>
      <c r="E39" s="29" t="s">
        <v>109</v>
      </c>
      <c r="F39" s="46">
        <v>0</v>
      </c>
      <c r="G39" s="46"/>
      <c r="H39" s="46"/>
      <c r="I39" s="44" t="s">
        <v>162</v>
      </c>
      <c r="J39" s="44"/>
      <c r="K39" s="44"/>
      <c r="L39" s="43" t="s">
        <v>111</v>
      </c>
      <c r="M39" s="43"/>
      <c r="N39" s="43" t="s">
        <v>82</v>
      </c>
      <c r="O39" s="43"/>
      <c r="P39" s="43" t="s">
        <v>153</v>
      </c>
      <c r="Q39" s="43"/>
      <c r="R39" s="43"/>
      <c r="S39" s="43" t="s">
        <v>150</v>
      </c>
      <c r="T39" s="43"/>
      <c r="U39" s="43"/>
      <c r="V39" s="28" t="s">
        <v>21</v>
      </c>
      <c r="W39" s="43" t="s">
        <v>15</v>
      </c>
      <c r="X39" s="43"/>
      <c r="Y39" s="44" t="s">
        <v>33</v>
      </c>
      <c r="Z39" s="44"/>
      <c r="AA39" s="44"/>
      <c r="AB39" s="44"/>
      <c r="AC39" s="44" t="s">
        <v>71</v>
      </c>
      <c r="AD39" s="44"/>
      <c r="AE39" s="44"/>
      <c r="AF39" s="44"/>
      <c r="AG39" s="44"/>
      <c r="AH39" s="24">
        <v>1</v>
      </c>
      <c r="AI39" s="24">
        <v>755.88</v>
      </c>
      <c r="AJ39" s="24">
        <v>755.88</v>
      </c>
      <c r="AK39" s="14" t="s">
        <v>153</v>
      </c>
      <c r="AL39" s="12">
        <v>9</v>
      </c>
      <c r="AM39" s="14">
        <v>7034.3</v>
      </c>
      <c r="AN39" s="14">
        <f>SUMIFS(planos!D:D,planos!B:B,"&lt;="&amp;unimed!N39,planos!C:C,"&gt;="&amp;unimed!N39,planos!E:E,"Enfermaria sem coparticipação")</f>
        <v>559.91758325401042</v>
      </c>
      <c r="AO39" s="14">
        <f>IF(AJ39=0,0,IF(MID(AC39,1,15)="FATOR MODERADOR",AJ39,IF(AM39&gt;=0,IF(AND(AM39&gt;tabelas!$C$4,AM39&lt;=tabelas!$C$5),(AN39)*tabelas!$D$4,IF(AND(AM39&gt;=tabelas!$C$5,AM39&lt;=tabelas!$C$6),(AN39)*tabelas!$D$5,IF(AND(AM39&gt;=tabelas!$C$6,AM39&lt;=tabelas!$C$7),(AN39)*tabelas!$D$6,IF(AND(AM39&gt;0,AM39&gt;tabelas!$C$7),(AN39)*tabelas!$D$7,0)))))))</f>
        <v>475.92994576590883</v>
      </c>
      <c r="AP39" s="14">
        <f t="shared" si="1"/>
        <v>475.92994576590883</v>
      </c>
      <c r="AQ39" s="14">
        <f t="shared" si="0"/>
        <v>279.95005423409117</v>
      </c>
      <c r="AR39" s="35">
        <f t="shared" si="2"/>
        <v>0</v>
      </c>
      <c r="AS39" s="13">
        <f t="shared" si="3"/>
        <v>0</v>
      </c>
    </row>
    <row r="40" spans="1:45" ht="12.95" customHeight="1">
      <c r="A40" s="42" t="s">
        <v>152</v>
      </c>
      <c r="B40" s="42"/>
      <c r="C40" s="42"/>
      <c r="D40" s="42"/>
      <c r="E40" s="31" t="s">
        <v>141</v>
      </c>
      <c r="F40" s="46">
        <v>0</v>
      </c>
      <c r="G40" s="46"/>
      <c r="H40" s="46"/>
      <c r="I40" s="44" t="s">
        <v>163</v>
      </c>
      <c r="J40" s="44"/>
      <c r="K40" s="44"/>
      <c r="L40" s="41" t="s">
        <v>142</v>
      </c>
      <c r="M40" s="41"/>
      <c r="N40" s="41" t="s">
        <v>51</v>
      </c>
      <c r="O40" s="41"/>
      <c r="P40" s="43" t="s">
        <v>153</v>
      </c>
      <c r="Q40" s="43"/>
      <c r="R40" s="43"/>
      <c r="S40" s="41" t="s">
        <v>143</v>
      </c>
      <c r="T40" s="41"/>
      <c r="U40" s="41"/>
      <c r="V40" s="30" t="s">
        <v>20</v>
      </c>
      <c r="W40" s="41" t="s">
        <v>16</v>
      </c>
      <c r="X40" s="41"/>
      <c r="Y40" s="42" t="s">
        <v>32</v>
      </c>
      <c r="Z40" s="42"/>
      <c r="AA40" s="42"/>
      <c r="AB40" s="42"/>
      <c r="AC40" s="42" t="s">
        <v>48</v>
      </c>
      <c r="AD40" s="42"/>
      <c r="AE40" s="42"/>
      <c r="AF40" s="42"/>
      <c r="AG40" s="42"/>
      <c r="AH40" s="25">
        <v>1</v>
      </c>
      <c r="AI40" s="25">
        <v>559.91999999999996</v>
      </c>
      <c r="AJ40" s="25">
        <v>559.91999999999996</v>
      </c>
      <c r="AK40" s="14" t="s">
        <v>153</v>
      </c>
      <c r="AL40" s="12">
        <v>10</v>
      </c>
      <c r="AM40" s="14">
        <v>2404.84</v>
      </c>
      <c r="AN40" s="14">
        <f>SUMIFS(planos!D:D,planos!B:B,"&lt;="&amp;unimed!N40,planos!C:C,"&gt;="&amp;unimed!N40,planos!E:E,"Enfermaria sem coparticipação")</f>
        <v>559.91758325401042</v>
      </c>
      <c r="AO40" s="14">
        <f>IF(AJ40=0,0,IF(MID(AC40,1,15)="FATOR MODERADOR",AJ40,IF(AM40&gt;=0,IF(AND(AM40&gt;tabelas!$C$4,AM40&lt;=tabelas!$C$5),(AN40)*tabelas!$D$4,IF(AND(AM40&gt;=tabelas!$C$5,AM40&lt;=tabelas!$C$6),(AN40)*tabelas!$D$5,IF(AND(AM40&gt;=tabelas!$C$6,AM40&lt;=tabelas!$C$7),(AN40)*tabelas!$D$6,IF(AND(AM40&gt;0,AM40&gt;tabelas!$C$7),(AN40)*tabelas!$D$7,0)))))))</f>
        <v>520.72335242622967</v>
      </c>
      <c r="AP40" s="14">
        <f t="shared" si="1"/>
        <v>520.72335242622967</v>
      </c>
      <c r="AQ40" s="14">
        <f t="shared" si="0"/>
        <v>39.196647573770292</v>
      </c>
      <c r="AR40" s="35">
        <f t="shared" si="2"/>
        <v>0</v>
      </c>
      <c r="AS40" s="13">
        <f t="shared" si="3"/>
        <v>0</v>
      </c>
    </row>
    <row r="41" spans="1:45" ht="12.95" customHeight="1">
      <c r="A41" s="44" t="s">
        <v>151</v>
      </c>
      <c r="B41" s="44"/>
      <c r="C41" s="44"/>
      <c r="D41" s="44"/>
      <c r="E41" s="29" t="s">
        <v>63</v>
      </c>
      <c r="F41" s="46">
        <v>0</v>
      </c>
      <c r="G41" s="46"/>
      <c r="H41" s="46"/>
      <c r="I41" s="44" t="s">
        <v>163</v>
      </c>
      <c r="J41" s="44"/>
      <c r="K41" s="44"/>
      <c r="L41" s="43" t="s">
        <v>64</v>
      </c>
      <c r="M41" s="43"/>
      <c r="N41" s="43" t="s">
        <v>70</v>
      </c>
      <c r="O41" s="43"/>
      <c r="P41" s="43" t="s">
        <v>153</v>
      </c>
      <c r="Q41" s="43"/>
      <c r="R41" s="43"/>
      <c r="S41" s="43" t="s">
        <v>137</v>
      </c>
      <c r="T41" s="43"/>
      <c r="U41" s="43"/>
      <c r="V41" s="28" t="s">
        <v>38</v>
      </c>
      <c r="W41" s="43" t="s">
        <v>16</v>
      </c>
      <c r="X41" s="43"/>
      <c r="Y41" s="44" t="s">
        <v>32</v>
      </c>
      <c r="Z41" s="44"/>
      <c r="AA41" s="44"/>
      <c r="AB41" s="44"/>
      <c r="AC41" s="44" t="s">
        <v>91</v>
      </c>
      <c r="AD41" s="44"/>
      <c r="AE41" s="44"/>
      <c r="AF41" s="44"/>
      <c r="AG41" s="44"/>
      <c r="AH41" s="24">
        <v>1</v>
      </c>
      <c r="AI41" s="24">
        <v>26.37</v>
      </c>
      <c r="AJ41" s="24">
        <v>26.37</v>
      </c>
      <c r="AK41" s="14" t="s">
        <v>153</v>
      </c>
      <c r="AL41" s="12">
        <v>10</v>
      </c>
      <c r="AM41" s="14">
        <v>6805.89</v>
      </c>
      <c r="AN41" s="14">
        <f>SUMIFS(planos!D:D,planos!B:B,"&lt;="&amp;unimed!N41,planos!C:C,"&gt;="&amp;unimed!N41,planos!E:E,"Enfermaria sem coparticipação")</f>
        <v>694.48105762398416</v>
      </c>
      <c r="AO41" s="14">
        <f>IF(AJ41=0,0,IF(MID(AC41,1,15)="FATOR MODERADOR",AJ41,IF(AM41&gt;=0,IF(AND(AM41&gt;tabelas!$C$4,AM41&lt;=tabelas!$C$5),(AN41)*tabelas!$D$4,IF(AND(AM41&gt;=tabelas!$C$5,AM41&lt;=tabelas!$C$6),(AN41)*tabelas!$D$5,IF(AND(AM41&gt;=tabelas!$C$6,AM41&lt;=tabelas!$C$7),(AN41)*tabelas!$D$6,IF(AND(AM41&gt;0,AM41&gt;tabelas!$C$7),(AN41)*tabelas!$D$7,0)))))))</f>
        <v>26.37</v>
      </c>
      <c r="AP41" s="14">
        <f t="shared" si="1"/>
        <v>0</v>
      </c>
      <c r="AQ41" s="14">
        <f t="shared" si="0"/>
        <v>26.37</v>
      </c>
      <c r="AR41" s="35">
        <f t="shared" si="2"/>
        <v>613</v>
      </c>
      <c r="AS41" s="13">
        <f t="shared" si="3"/>
        <v>0</v>
      </c>
    </row>
    <row r="42" spans="1:45" ht="12.95" customHeight="1">
      <c r="A42" s="42" t="s">
        <v>152</v>
      </c>
      <c r="B42" s="42"/>
      <c r="C42" s="42"/>
      <c r="D42" s="42"/>
      <c r="E42" s="31" t="s">
        <v>63</v>
      </c>
      <c r="F42" s="46">
        <v>0</v>
      </c>
      <c r="G42" s="46"/>
      <c r="H42" s="46"/>
      <c r="I42" s="44" t="s">
        <v>163</v>
      </c>
      <c r="J42" s="44"/>
      <c r="K42" s="44"/>
      <c r="L42" s="41" t="s">
        <v>64</v>
      </c>
      <c r="M42" s="41"/>
      <c r="N42" s="41" t="s">
        <v>70</v>
      </c>
      <c r="O42" s="41"/>
      <c r="P42" s="43" t="s">
        <v>153</v>
      </c>
      <c r="Q42" s="43"/>
      <c r="R42" s="43"/>
      <c r="S42" s="41" t="s">
        <v>137</v>
      </c>
      <c r="T42" s="41"/>
      <c r="U42" s="41"/>
      <c r="V42" s="30" t="s">
        <v>38</v>
      </c>
      <c r="W42" s="41" t="s">
        <v>16</v>
      </c>
      <c r="X42" s="41"/>
      <c r="Y42" s="42" t="s">
        <v>32</v>
      </c>
      <c r="Z42" s="42"/>
      <c r="AA42" s="42"/>
      <c r="AB42" s="42"/>
      <c r="AC42" s="42" t="s">
        <v>89</v>
      </c>
      <c r="AD42" s="42"/>
      <c r="AE42" s="42"/>
      <c r="AF42" s="42"/>
      <c r="AG42" s="42"/>
      <c r="AH42" s="25">
        <v>1</v>
      </c>
      <c r="AI42" s="25">
        <v>550.51</v>
      </c>
      <c r="AJ42" s="25">
        <v>550.51</v>
      </c>
      <c r="AK42" s="14" t="s">
        <v>153</v>
      </c>
      <c r="AL42" s="12">
        <v>10</v>
      </c>
      <c r="AM42" s="14">
        <v>3746.22</v>
      </c>
      <c r="AN42" s="14">
        <f>SUMIFS(planos!D:D,planos!B:B,"&lt;="&amp;unimed!N42,planos!C:C,"&gt;="&amp;unimed!N42,planos!E:E,"Enfermaria sem coparticipação")</f>
        <v>694.48105762398416</v>
      </c>
      <c r="AO42" s="14">
        <f>IF(AJ42=0,0,IF(MID(AC42,1,15)="FATOR MODERADOR",AJ42,IF(AM42&gt;=0,IF(AND(AM42&gt;tabelas!$C$4,AM42&lt;=tabelas!$C$5),(AN42)*tabelas!$D$4,IF(AND(AM42&gt;=tabelas!$C$5,AM42&lt;=tabelas!$C$6),(AN42)*tabelas!$D$5,IF(AND(AM42&gt;=tabelas!$C$6,AM42&lt;=tabelas!$C$7),(AN42)*tabelas!$D$6,IF(AND(AM42&gt;0,AM42&gt;tabelas!$C$7),(AN42)*tabelas!$D$7,0)))))))</f>
        <v>590.30889898038652</v>
      </c>
      <c r="AP42" s="14">
        <f t="shared" si="1"/>
        <v>590.30889898038652</v>
      </c>
      <c r="AQ42" s="14">
        <f t="shared" si="0"/>
        <v>-39.798898980386525</v>
      </c>
      <c r="AR42" s="35">
        <f t="shared" si="2"/>
        <v>0</v>
      </c>
      <c r="AS42" s="13">
        <f t="shared" si="3"/>
        <v>0</v>
      </c>
    </row>
    <row r="43" spans="1:45" ht="12.95" customHeight="1">
      <c r="A43" s="44" t="s">
        <v>151</v>
      </c>
      <c r="B43" s="44"/>
      <c r="C43" s="44"/>
      <c r="D43" s="44"/>
      <c r="E43" s="29" t="s">
        <v>63</v>
      </c>
      <c r="F43" s="46">
        <v>0</v>
      </c>
      <c r="G43" s="46"/>
      <c r="H43" s="46"/>
      <c r="I43" s="44" t="s">
        <v>163</v>
      </c>
      <c r="J43" s="44"/>
      <c r="K43" s="44"/>
      <c r="L43" s="43" t="s">
        <v>138</v>
      </c>
      <c r="M43" s="43"/>
      <c r="N43" s="43" t="s">
        <v>81</v>
      </c>
      <c r="O43" s="43"/>
      <c r="P43" s="43" t="s">
        <v>153</v>
      </c>
      <c r="Q43" s="43"/>
      <c r="R43" s="43"/>
      <c r="S43" s="43" t="s">
        <v>139</v>
      </c>
      <c r="T43" s="43"/>
      <c r="U43" s="43"/>
      <c r="V43" s="28" t="s">
        <v>34</v>
      </c>
      <c r="W43" s="43" t="s">
        <v>15</v>
      </c>
      <c r="X43" s="43"/>
      <c r="Y43" s="44" t="s">
        <v>35</v>
      </c>
      <c r="Z43" s="44"/>
      <c r="AA43" s="44"/>
      <c r="AB43" s="44"/>
      <c r="AC43" s="44" t="s">
        <v>56</v>
      </c>
      <c r="AD43" s="44"/>
      <c r="AE43" s="44"/>
      <c r="AF43" s="44"/>
      <c r="AG43" s="44"/>
      <c r="AH43" s="24">
        <v>1</v>
      </c>
      <c r="AI43" s="24">
        <v>421.06</v>
      </c>
      <c r="AJ43" s="24">
        <v>421.06</v>
      </c>
      <c r="AK43" s="14" t="s">
        <v>153</v>
      </c>
      <c r="AL43" s="12">
        <v>10</v>
      </c>
      <c r="AM43" s="14">
        <v>2201.92</v>
      </c>
      <c r="AN43" s="14">
        <f>SUMIFS(planos!D:D,planos!B:B,"&lt;="&amp;unimed!N43,planos!C:C,"&gt;="&amp;unimed!N43,planos!E:E,"Enfermaria sem coparticipação")</f>
        <v>393.45220152873048</v>
      </c>
      <c r="AO43" s="14">
        <f>IF(AJ43=0,0,IF(MID(AC43,1,15)="FATOR MODERADOR",AJ43,IF(AM43&gt;=0,IF(AND(AM43&gt;tabelas!$C$4,AM43&lt;=tabelas!$C$5),(AN43)*tabelas!$D$4,IF(AND(AM43&gt;=tabelas!$C$5,AM43&lt;=tabelas!$C$6),(AN43)*tabelas!$D$5,IF(AND(AM43&gt;=tabelas!$C$6,AM43&lt;=tabelas!$C$7),(AN43)*tabelas!$D$6,IF(AND(AM43&gt;0,AM43&gt;tabelas!$C$7),(AN43)*tabelas!$D$7,0)))))))</f>
        <v>365.91054742171934</v>
      </c>
      <c r="AP43" s="14">
        <f t="shared" si="1"/>
        <v>365.91054742171934</v>
      </c>
      <c r="AQ43" s="14">
        <f t="shared" si="0"/>
        <v>55.149452578280659</v>
      </c>
      <c r="AR43" s="35">
        <f t="shared" si="2"/>
        <v>0</v>
      </c>
      <c r="AS43" s="13">
        <f t="shared" si="3"/>
        <v>0</v>
      </c>
    </row>
    <row r="44" spans="1:45" ht="12.95" customHeight="1">
      <c r="A44" s="42" t="s">
        <v>152</v>
      </c>
      <c r="B44" s="42"/>
      <c r="C44" s="42"/>
      <c r="D44" s="42"/>
      <c r="E44" s="31" t="s">
        <v>146</v>
      </c>
      <c r="F44" s="46">
        <v>0</v>
      </c>
      <c r="G44" s="46"/>
      <c r="H44" s="46"/>
      <c r="I44" s="44" t="s">
        <v>164</v>
      </c>
      <c r="J44" s="44"/>
      <c r="K44" s="44"/>
      <c r="L44" s="41" t="s">
        <v>147</v>
      </c>
      <c r="M44" s="41"/>
      <c r="N44" s="41" t="s">
        <v>70</v>
      </c>
      <c r="O44" s="41"/>
      <c r="P44" s="43" t="s">
        <v>153</v>
      </c>
      <c r="Q44" s="43"/>
      <c r="R44" s="43"/>
      <c r="S44" s="41" t="s">
        <v>148</v>
      </c>
      <c r="T44" s="41"/>
      <c r="U44" s="41"/>
      <c r="V44" s="30" t="s">
        <v>20</v>
      </c>
      <c r="W44" s="41" t="s">
        <v>16</v>
      </c>
      <c r="X44" s="41"/>
      <c r="Y44" s="42" t="s">
        <v>32</v>
      </c>
      <c r="Z44" s="42"/>
      <c r="AA44" s="42"/>
      <c r="AB44" s="42"/>
      <c r="AC44" s="42" t="s">
        <v>48</v>
      </c>
      <c r="AD44" s="42"/>
      <c r="AE44" s="42"/>
      <c r="AF44" s="42"/>
      <c r="AG44" s="42"/>
      <c r="AH44" s="25">
        <v>1</v>
      </c>
      <c r="AI44" s="25">
        <v>694.48</v>
      </c>
      <c r="AJ44" s="25">
        <v>694.48</v>
      </c>
      <c r="AK44" s="14" t="s">
        <v>153</v>
      </c>
      <c r="AL44" s="12">
        <v>11</v>
      </c>
      <c r="AM44" s="14">
        <v>2335.0300000000002</v>
      </c>
      <c r="AN44" s="14">
        <f>SUMIFS(planos!D:D,planos!B:B,"&lt;="&amp;unimed!N44,planos!C:C,"&gt;="&amp;unimed!N44,planos!E:E,"Enfermaria sem coparticipação")</f>
        <v>694.48105762398416</v>
      </c>
      <c r="AO44" s="14">
        <f>IF(AJ44=0,0,IF(MID(AC44,1,15)="FATOR MODERADOR",AJ44,IF(AM44&gt;=0,IF(AND(AM44&gt;tabelas!$C$4,AM44&lt;=tabelas!$C$5),(AN44)*tabelas!$D$4,IF(AND(AM44&gt;=tabelas!$C$5,AM44&lt;=tabelas!$C$6),(AN44)*tabelas!$D$5,IF(AND(AM44&gt;=tabelas!$C$6,AM44&lt;=tabelas!$C$7),(AN44)*tabelas!$D$6,IF(AND(AM44&gt;0,AM44&gt;tabelas!$C$7),(AN44)*tabelas!$D$7,0)))))))</f>
        <v>645.86738359030528</v>
      </c>
      <c r="AP44" s="14">
        <f t="shared" si="1"/>
        <v>645.86738359030528</v>
      </c>
      <c r="AQ44" s="14">
        <f t="shared" si="0"/>
        <v>48.612616409694738</v>
      </c>
      <c r="AR44" s="35">
        <f t="shared" si="2"/>
        <v>0</v>
      </c>
      <c r="AS44" s="13">
        <f t="shared" si="3"/>
        <v>0</v>
      </c>
    </row>
    <row r="45" spans="1:45" ht="12.95" customHeight="1">
      <c r="A45" s="44" t="s">
        <v>151</v>
      </c>
      <c r="B45" s="44"/>
      <c r="C45" s="44"/>
      <c r="D45" s="44"/>
      <c r="E45" s="29" t="s">
        <v>146</v>
      </c>
      <c r="F45" s="46">
        <v>0</v>
      </c>
      <c r="G45" s="46"/>
      <c r="H45" s="46"/>
      <c r="I45" s="44" t="s">
        <v>164</v>
      </c>
      <c r="J45" s="44"/>
      <c r="K45" s="44"/>
      <c r="L45" s="43" t="s">
        <v>149</v>
      </c>
      <c r="M45" s="43"/>
      <c r="N45" s="43" t="s">
        <v>83</v>
      </c>
      <c r="O45" s="43"/>
      <c r="P45" s="43" t="s">
        <v>153</v>
      </c>
      <c r="Q45" s="43"/>
      <c r="R45" s="43"/>
      <c r="S45" s="43" t="s">
        <v>148</v>
      </c>
      <c r="T45" s="43"/>
      <c r="U45" s="43"/>
      <c r="V45" s="28" t="s">
        <v>20</v>
      </c>
      <c r="W45" s="43" t="s">
        <v>15</v>
      </c>
      <c r="X45" s="43"/>
      <c r="Y45" s="44" t="s">
        <v>35</v>
      </c>
      <c r="Z45" s="44"/>
      <c r="AA45" s="44"/>
      <c r="AB45" s="44"/>
      <c r="AC45" s="44" t="s">
        <v>48</v>
      </c>
      <c r="AD45" s="44"/>
      <c r="AE45" s="44"/>
      <c r="AF45" s="44"/>
      <c r="AG45" s="44"/>
      <c r="AH45" s="24">
        <v>1</v>
      </c>
      <c r="AI45" s="24">
        <v>393.45</v>
      </c>
      <c r="AJ45" s="24">
        <v>393.45</v>
      </c>
      <c r="AK45" s="14" t="s">
        <v>153</v>
      </c>
      <c r="AL45" s="12">
        <v>11</v>
      </c>
      <c r="AM45" s="14">
        <v>7335.8</v>
      </c>
      <c r="AN45" s="14">
        <f>SUMIFS(planos!D:D,planos!B:B,"&lt;="&amp;unimed!N45,planos!C:C,"&gt;="&amp;unimed!N45,planos!E:E,"Enfermaria sem coparticipação")</f>
        <v>393.45220152873048</v>
      </c>
      <c r="AO45" s="14">
        <f>IF(AJ45=0,0,IF(MID(AC45,1,15)="FATOR MODERADOR",AJ45,IF(AM45&gt;=0,IF(AND(AM45&gt;tabelas!$C$4,AM45&lt;=tabelas!$C$5),(AN45)*tabelas!$D$4,IF(AND(AM45&gt;=tabelas!$C$5,AM45&lt;=tabelas!$C$6),(AN45)*tabelas!$D$5,IF(AND(AM45&gt;=tabelas!$C$6,AM45&lt;=tabelas!$C$7),(AN45)*tabelas!$D$6,IF(AND(AM45&gt;0,AM45&gt;tabelas!$C$7),(AN45)*tabelas!$D$7,0)))))))</f>
        <v>334.43437129942089</v>
      </c>
      <c r="AP45" s="14">
        <f t="shared" si="1"/>
        <v>334.43437129942089</v>
      </c>
      <c r="AQ45" s="14">
        <f t="shared" si="0"/>
        <v>59.0156287005791</v>
      </c>
      <c r="AR45" s="35">
        <f t="shared" si="2"/>
        <v>0</v>
      </c>
      <c r="AS45" s="13">
        <f t="shared" si="3"/>
        <v>0</v>
      </c>
    </row>
    <row r="46" spans="1:45" ht="12.95" customHeight="1">
      <c r="A46" s="42" t="s">
        <v>152</v>
      </c>
      <c r="B46" s="42"/>
      <c r="C46" s="42"/>
      <c r="D46" s="42"/>
      <c r="E46" s="31" t="s">
        <v>112</v>
      </c>
      <c r="F46" s="46">
        <v>0</v>
      </c>
      <c r="G46" s="46"/>
      <c r="H46" s="46"/>
      <c r="I46" s="44" t="s">
        <v>165</v>
      </c>
      <c r="J46" s="44"/>
      <c r="K46" s="44"/>
      <c r="L46" s="41" t="s">
        <v>113</v>
      </c>
      <c r="M46" s="41"/>
      <c r="N46" s="41" t="s">
        <v>66</v>
      </c>
      <c r="O46" s="41"/>
      <c r="P46" s="43" t="s">
        <v>153</v>
      </c>
      <c r="Q46" s="43"/>
      <c r="R46" s="43"/>
      <c r="S46" s="41" t="s">
        <v>108</v>
      </c>
      <c r="T46" s="41"/>
      <c r="U46" s="41"/>
      <c r="V46" s="30" t="s">
        <v>20</v>
      </c>
      <c r="W46" s="41" t="s">
        <v>16</v>
      </c>
      <c r="X46" s="41"/>
      <c r="Y46" s="42" t="s">
        <v>32</v>
      </c>
      <c r="Z46" s="42"/>
      <c r="AA46" s="42"/>
      <c r="AB46" s="42"/>
      <c r="AC46" s="42" t="s">
        <v>48</v>
      </c>
      <c r="AD46" s="42"/>
      <c r="AE46" s="42"/>
      <c r="AF46" s="42"/>
      <c r="AG46" s="42"/>
      <c r="AH46" s="25">
        <v>1</v>
      </c>
      <c r="AI46" s="26">
        <v>1123.02</v>
      </c>
      <c r="AJ46" s="26">
        <v>1123.02</v>
      </c>
      <c r="AK46" s="14" t="s">
        <v>153</v>
      </c>
      <c r="AL46" s="12">
        <v>12</v>
      </c>
      <c r="AM46" s="14">
        <v>3290.79</v>
      </c>
      <c r="AN46" s="14">
        <f>SUMIFS(planos!D:D,planos!B:B,"&lt;="&amp;unimed!N46,planos!C:C,"&gt;="&amp;unimed!N46,planos!E:E,"Enfermaria sem coparticipação")</f>
        <v>1123.0245</v>
      </c>
      <c r="AO46" s="14">
        <f>IF(AJ46=0,0,IF(MID(AC46,1,15)="FATOR MODERADOR",AJ46,IF(AM46&gt;=0,IF(AND(AM46&gt;tabelas!$C$4,AM46&lt;=tabelas!$C$5),(AN46)*tabelas!$D$4,IF(AND(AM46&gt;=tabelas!$C$5,AM46&lt;=tabelas!$C$6),(AN46)*tabelas!$D$5,IF(AND(AM46&gt;=tabelas!$C$6,AM46&lt;=tabelas!$C$7),(AN46)*tabelas!$D$6,IF(AND(AM46&gt;0,AM46&gt;tabelas!$C$7),(AN46)*tabelas!$D$7,0)))))))</f>
        <v>1044.412785</v>
      </c>
      <c r="AP46" s="14">
        <f t="shared" si="1"/>
        <v>1044.412785</v>
      </c>
      <c r="AQ46" s="14">
        <f t="shared" si="0"/>
        <v>78.607214999999997</v>
      </c>
      <c r="AR46" s="35">
        <f t="shared" si="2"/>
        <v>0</v>
      </c>
      <c r="AS46" s="13">
        <f t="shared" si="3"/>
        <v>0</v>
      </c>
    </row>
    <row r="47" spans="1:45" ht="12.95" customHeight="1">
      <c r="A47" s="44" t="s">
        <v>151</v>
      </c>
      <c r="B47" s="44"/>
      <c r="C47" s="44"/>
      <c r="D47" s="44"/>
      <c r="E47" s="29" t="s">
        <v>112</v>
      </c>
      <c r="F47" s="46">
        <v>0</v>
      </c>
      <c r="G47" s="46"/>
      <c r="H47" s="46"/>
      <c r="I47" s="44" t="s">
        <v>165</v>
      </c>
      <c r="J47" s="44"/>
      <c r="K47" s="44"/>
      <c r="L47" s="43" t="s">
        <v>116</v>
      </c>
      <c r="M47" s="43"/>
      <c r="N47" s="43" t="s">
        <v>93</v>
      </c>
      <c r="O47" s="43"/>
      <c r="P47" s="43" t="s">
        <v>153</v>
      </c>
      <c r="Q47" s="43"/>
      <c r="R47" s="43"/>
      <c r="S47" s="43" t="s">
        <v>108</v>
      </c>
      <c r="T47" s="43"/>
      <c r="U47" s="43"/>
      <c r="V47" s="28" t="s">
        <v>20</v>
      </c>
      <c r="W47" s="43" t="s">
        <v>15</v>
      </c>
      <c r="X47" s="43"/>
      <c r="Y47" s="44" t="s">
        <v>35</v>
      </c>
      <c r="Z47" s="44"/>
      <c r="AA47" s="44"/>
      <c r="AB47" s="44"/>
      <c r="AC47" s="44" t="s">
        <v>48</v>
      </c>
      <c r="AD47" s="44"/>
      <c r="AE47" s="44"/>
      <c r="AF47" s="44"/>
      <c r="AG47" s="44"/>
      <c r="AH47" s="24">
        <v>1</v>
      </c>
      <c r="AI47" s="24">
        <v>393.45</v>
      </c>
      <c r="AJ47" s="24">
        <v>393.45</v>
      </c>
      <c r="AK47" s="14" t="s">
        <v>153</v>
      </c>
      <c r="AL47" s="12">
        <v>12</v>
      </c>
      <c r="AM47" s="14">
        <v>7652.78</v>
      </c>
      <c r="AN47" s="14">
        <f>SUMIFS(planos!D:D,planos!B:B,"&lt;="&amp;unimed!N47,planos!C:C,"&gt;="&amp;unimed!N47,planos!E:E,"Enfermaria sem coparticipação")</f>
        <v>393.45220152873048</v>
      </c>
      <c r="AO47" s="14">
        <f>IF(AJ47=0,0,IF(MID(AC47,1,15)="FATOR MODERADOR",AJ47,IF(AM47&gt;=0,IF(AND(AM47&gt;tabelas!$C$4,AM47&lt;=tabelas!$C$5),(AN47)*tabelas!$D$4,IF(AND(AM47&gt;=tabelas!$C$5,AM47&lt;=tabelas!$C$6),(AN47)*tabelas!$D$5,IF(AND(AM47&gt;=tabelas!$C$6,AM47&lt;=tabelas!$C$7),(AN47)*tabelas!$D$6,IF(AND(AM47&gt;0,AM47&gt;tabelas!$C$7),(AN47)*tabelas!$D$7,0)))))))</f>
        <v>302.95819517712249</v>
      </c>
      <c r="AP47" s="14">
        <f t="shared" si="1"/>
        <v>302.95819517712249</v>
      </c>
      <c r="AQ47" s="14">
        <f t="shared" si="0"/>
        <v>90.491804822877498</v>
      </c>
      <c r="AR47" s="35">
        <f t="shared" si="2"/>
        <v>0</v>
      </c>
      <c r="AS47" s="13">
        <f t="shared" si="3"/>
        <v>0</v>
      </c>
    </row>
    <row r="48" spans="1:45" ht="12.95" customHeight="1">
      <c r="A48" s="42" t="s">
        <v>152</v>
      </c>
      <c r="B48" s="42"/>
      <c r="C48" s="42"/>
      <c r="D48" s="42"/>
      <c r="E48" s="31" t="s">
        <v>112</v>
      </c>
      <c r="F48" s="46">
        <v>0</v>
      </c>
      <c r="G48" s="46"/>
      <c r="H48" s="46"/>
      <c r="I48" s="44" t="s">
        <v>165</v>
      </c>
      <c r="J48" s="44"/>
      <c r="K48" s="44"/>
      <c r="L48" s="41" t="s">
        <v>114</v>
      </c>
      <c r="M48" s="41"/>
      <c r="N48" s="41" t="s">
        <v>75</v>
      </c>
      <c r="O48" s="41"/>
      <c r="P48" s="43" t="s">
        <v>153</v>
      </c>
      <c r="Q48" s="43"/>
      <c r="R48" s="43"/>
      <c r="S48" s="41" t="s">
        <v>108</v>
      </c>
      <c r="T48" s="41"/>
      <c r="U48" s="41"/>
      <c r="V48" s="30" t="s">
        <v>20</v>
      </c>
      <c r="W48" s="41" t="s">
        <v>15</v>
      </c>
      <c r="X48" s="41"/>
      <c r="Y48" s="42" t="s">
        <v>35</v>
      </c>
      <c r="Z48" s="42"/>
      <c r="AA48" s="42"/>
      <c r="AB48" s="42"/>
      <c r="AC48" s="42" t="s">
        <v>48</v>
      </c>
      <c r="AD48" s="42"/>
      <c r="AE48" s="42"/>
      <c r="AF48" s="42"/>
      <c r="AG48" s="42"/>
      <c r="AH48" s="25">
        <v>1</v>
      </c>
      <c r="AI48" s="25">
        <v>393.45</v>
      </c>
      <c r="AJ48" s="25">
        <v>393.45</v>
      </c>
      <c r="AK48" s="14" t="s">
        <v>153</v>
      </c>
      <c r="AL48" s="12">
        <v>12</v>
      </c>
      <c r="AM48" s="14">
        <v>5212.45</v>
      </c>
      <c r="AN48" s="14">
        <f>SUMIFS(planos!D:D,planos!B:B,"&lt;="&amp;unimed!N48,planos!C:C,"&gt;="&amp;unimed!N48,planos!E:E,"Enfermaria sem coparticipação")</f>
        <v>393.45220152873048</v>
      </c>
      <c r="AO48" s="14">
        <f>IF(AJ48=0,0,IF(MID(AC48,1,15)="FATOR MODERADOR",AJ48,IF(AM48&gt;=0,IF(AND(AM48&gt;tabelas!$C$4,AM48&lt;=tabelas!$C$5),(AN48)*tabelas!$D$4,IF(AND(AM48&gt;=tabelas!$C$5,AM48&lt;=tabelas!$C$6),(AN48)*tabelas!$D$5,IF(AND(AM48&gt;=tabelas!$C$6,AM48&lt;=tabelas!$C$7),(AN48)*tabelas!$D$6,IF(AND(AM48&gt;0,AM48&gt;tabelas!$C$7),(AN48)*tabelas!$D$7,0)))))))</f>
        <v>334.43437129942089</v>
      </c>
      <c r="AP48" s="14">
        <f t="shared" si="1"/>
        <v>334.43437129942089</v>
      </c>
      <c r="AQ48" s="14">
        <f t="shared" si="0"/>
        <v>59.0156287005791</v>
      </c>
      <c r="AR48" s="35">
        <f t="shared" si="2"/>
        <v>0</v>
      </c>
      <c r="AS48" s="13">
        <f t="shared" si="3"/>
        <v>0</v>
      </c>
    </row>
    <row r="49" spans="1:45" ht="12.95" customHeight="1">
      <c r="A49" s="44" t="s">
        <v>151</v>
      </c>
      <c r="B49" s="44"/>
      <c r="C49" s="44"/>
      <c r="D49" s="44"/>
      <c r="E49" s="29" t="s">
        <v>112</v>
      </c>
      <c r="F49" s="46">
        <v>0</v>
      </c>
      <c r="G49" s="46"/>
      <c r="H49" s="46"/>
      <c r="I49" s="44" t="s">
        <v>165</v>
      </c>
      <c r="J49" s="44"/>
      <c r="K49" s="44"/>
      <c r="L49" s="43" t="s">
        <v>115</v>
      </c>
      <c r="M49" s="43"/>
      <c r="N49" s="43" t="s">
        <v>76</v>
      </c>
      <c r="O49" s="43"/>
      <c r="P49" s="43" t="s">
        <v>153</v>
      </c>
      <c r="Q49" s="43"/>
      <c r="R49" s="43"/>
      <c r="S49" s="43" t="s">
        <v>108</v>
      </c>
      <c r="T49" s="43"/>
      <c r="U49" s="43"/>
      <c r="V49" s="28" t="s">
        <v>20</v>
      </c>
      <c r="W49" s="43" t="s">
        <v>15</v>
      </c>
      <c r="X49" s="43"/>
      <c r="Y49" s="44" t="s">
        <v>33</v>
      </c>
      <c r="Z49" s="44"/>
      <c r="AA49" s="44"/>
      <c r="AB49" s="44"/>
      <c r="AC49" s="44" t="s">
        <v>48</v>
      </c>
      <c r="AD49" s="44"/>
      <c r="AE49" s="44"/>
      <c r="AF49" s="44"/>
      <c r="AG49" s="44"/>
      <c r="AH49" s="24">
        <v>1</v>
      </c>
      <c r="AI49" s="27">
        <v>1123.02</v>
      </c>
      <c r="AJ49" s="27">
        <v>1123.02</v>
      </c>
      <c r="AK49" s="14" t="s">
        <v>153</v>
      </c>
      <c r="AL49" s="12">
        <v>12</v>
      </c>
      <c r="AM49" s="14">
        <v>1109.1400000000001</v>
      </c>
      <c r="AN49" s="14">
        <f>SUMIFS(planos!D:D,planos!B:B,"&lt;="&amp;unimed!N49,planos!C:C,"&gt;="&amp;unimed!N49,planos!E:E,"Enfermaria sem coparticipação")</f>
        <v>1123.0245</v>
      </c>
      <c r="AO49" s="14">
        <f>IF(AJ49=0,0,IF(MID(AC49,1,15)="FATOR MODERADOR",AJ49,IF(AM49&gt;=0,IF(AND(AM49&gt;tabelas!$C$4,AM49&lt;=tabelas!$C$5),(AN49)*tabelas!$D$4,IF(AND(AM49&gt;=tabelas!$C$5,AM49&lt;=tabelas!$C$6),(AN49)*tabelas!$D$5,IF(AND(AM49&gt;=tabelas!$C$6,AM49&lt;=tabelas!$C$7),(AN49)*tabelas!$D$6,IF(AND(AM49&gt;0,AM49&gt;tabelas!$C$7),(AN49)*tabelas!$D$7,0)))))))</f>
        <v>1044.412785</v>
      </c>
      <c r="AP49" s="14">
        <f t="shared" si="1"/>
        <v>1044.412785</v>
      </c>
      <c r="AQ49" s="14">
        <f t="shared" si="0"/>
        <v>78.607214999999997</v>
      </c>
      <c r="AR49" s="35">
        <f t="shared" si="2"/>
        <v>0</v>
      </c>
      <c r="AS49" s="13">
        <f t="shared" si="3"/>
        <v>0</v>
      </c>
    </row>
    <row r="50" spans="1:45" ht="12.95" customHeight="1">
      <c r="A50" s="42" t="s">
        <v>152</v>
      </c>
      <c r="B50" s="42"/>
      <c r="C50" s="42"/>
      <c r="D50" s="42"/>
      <c r="E50" s="31" t="s">
        <v>66</v>
      </c>
      <c r="F50" s="46">
        <v>0</v>
      </c>
      <c r="G50" s="46"/>
      <c r="H50" s="46"/>
      <c r="I50" s="44" t="s">
        <v>166</v>
      </c>
      <c r="J50" s="44"/>
      <c r="K50" s="44"/>
      <c r="L50" s="41" t="s">
        <v>67</v>
      </c>
      <c r="M50" s="41"/>
      <c r="N50" s="41" t="s">
        <v>80</v>
      </c>
      <c r="O50" s="41"/>
      <c r="P50" s="43" t="s">
        <v>153</v>
      </c>
      <c r="Q50" s="43"/>
      <c r="R50" s="43"/>
      <c r="S50" s="41" t="s">
        <v>55</v>
      </c>
      <c r="T50" s="41"/>
      <c r="U50" s="41"/>
      <c r="V50" s="30" t="s">
        <v>20</v>
      </c>
      <c r="W50" s="41" t="s">
        <v>16</v>
      </c>
      <c r="X50" s="41"/>
      <c r="Y50" s="42" t="s">
        <v>32</v>
      </c>
      <c r="Z50" s="42"/>
      <c r="AA50" s="42"/>
      <c r="AB50" s="42"/>
      <c r="AC50" s="42" t="s">
        <v>48</v>
      </c>
      <c r="AD50" s="42"/>
      <c r="AE50" s="42"/>
      <c r="AF50" s="42"/>
      <c r="AG50" s="42"/>
      <c r="AH50" s="25">
        <v>1</v>
      </c>
      <c r="AI50" s="25">
        <v>694.48</v>
      </c>
      <c r="AJ50" s="25">
        <v>694.48</v>
      </c>
      <c r="AK50" s="14" t="s">
        <v>153</v>
      </c>
      <c r="AL50" s="12">
        <v>13</v>
      </c>
      <c r="AM50" s="14">
        <v>1102.1600000000001</v>
      </c>
      <c r="AN50" s="14">
        <f>SUMIFS(planos!D:D,planos!B:B,"&lt;="&amp;unimed!N50,planos!C:C,"&gt;="&amp;unimed!N50,planos!E:E,"Enfermaria sem coparticipação")</f>
        <v>694.48105762398416</v>
      </c>
      <c r="AO50" s="14">
        <f>IF(AJ50=0,0,IF(MID(AC50,1,15)="FATOR MODERADOR",AJ50,IF(AM50&gt;=0,IF(AND(AM50&gt;tabelas!$C$4,AM50&lt;=tabelas!$C$5),(AN50)*tabelas!$D$4,IF(AND(AM50&gt;=tabelas!$C$5,AM50&lt;=tabelas!$C$6),(AN50)*tabelas!$D$5,IF(AND(AM50&gt;=tabelas!$C$6,AM50&lt;=tabelas!$C$7),(AN50)*tabelas!$D$6,IF(AND(AM50&gt;0,AM50&gt;tabelas!$C$7),(AN50)*tabelas!$D$7,0)))))))</f>
        <v>645.86738359030528</v>
      </c>
      <c r="AP50" s="14">
        <f t="shared" si="1"/>
        <v>645.86738359030528</v>
      </c>
      <c r="AQ50" s="14">
        <f t="shared" si="0"/>
        <v>48.612616409694738</v>
      </c>
      <c r="AR50" s="35">
        <f t="shared" si="2"/>
        <v>0</v>
      </c>
      <c r="AS50" s="13">
        <f t="shared" si="3"/>
        <v>0</v>
      </c>
    </row>
    <row r="51" spans="1:45" ht="12.95" customHeight="1">
      <c r="A51" s="44" t="s">
        <v>151</v>
      </c>
      <c r="B51" s="44"/>
      <c r="C51" s="44"/>
      <c r="D51" s="44"/>
      <c r="E51" s="29" t="s">
        <v>62</v>
      </c>
      <c r="F51" s="46">
        <v>0</v>
      </c>
      <c r="G51" s="46"/>
      <c r="H51" s="46"/>
      <c r="I51" s="44" t="s">
        <v>167</v>
      </c>
      <c r="J51" s="44"/>
      <c r="K51" s="44"/>
      <c r="L51" s="43" t="s">
        <v>69</v>
      </c>
      <c r="M51" s="43"/>
      <c r="N51" s="43" t="s">
        <v>90</v>
      </c>
      <c r="O51" s="43"/>
      <c r="P51" s="43" t="s">
        <v>153</v>
      </c>
      <c r="Q51" s="43"/>
      <c r="R51" s="43"/>
      <c r="S51" s="43" t="s">
        <v>55</v>
      </c>
      <c r="T51" s="43"/>
      <c r="U51" s="43"/>
      <c r="V51" s="28" t="s">
        <v>21</v>
      </c>
      <c r="W51" s="43" t="s">
        <v>16</v>
      </c>
      <c r="X51" s="43"/>
      <c r="Y51" s="44" t="s">
        <v>32</v>
      </c>
      <c r="Z51" s="44"/>
      <c r="AA51" s="44"/>
      <c r="AB51" s="44"/>
      <c r="AC51" s="44" t="s">
        <v>71</v>
      </c>
      <c r="AD51" s="44"/>
      <c r="AE51" s="44"/>
      <c r="AF51" s="44"/>
      <c r="AG51" s="44"/>
      <c r="AH51" s="24">
        <v>1</v>
      </c>
      <c r="AI51" s="27">
        <v>1516.1</v>
      </c>
      <c r="AJ51" s="27">
        <v>1516.1</v>
      </c>
      <c r="AK51" s="14" t="s">
        <v>153</v>
      </c>
      <c r="AL51" s="12">
        <v>14</v>
      </c>
      <c r="AM51" s="14">
        <v>5617.18</v>
      </c>
      <c r="AN51" s="14">
        <f>SUMIFS(planos!D:D,planos!B:B,"&lt;="&amp;unimed!N51,planos!C:C,"&gt;="&amp;unimed!N51,planos!E:E,"Enfermaria sem coparticipação")</f>
        <v>1123.0245</v>
      </c>
      <c r="AO51" s="14">
        <f>IF(AJ51=0,0,IF(MID(AC51,1,15)="FATOR MODERADOR",AJ51,IF(AM51&gt;=0,IF(AND(AM51&gt;tabelas!$C$4,AM51&lt;=tabelas!$C$5),(AN51)*tabelas!$D$4,IF(AND(AM51&gt;=tabelas!$C$5,AM51&lt;=tabelas!$C$6),(AN51)*tabelas!$D$5,IF(AND(AM51&gt;=tabelas!$C$6,AM51&lt;=tabelas!$C$7),(AN51)*tabelas!$D$6,IF(AND(AM51&gt;0,AM51&gt;tabelas!$C$7),(AN51)*tabelas!$D$7,0)))))))</f>
        <v>954.57082500000001</v>
      </c>
      <c r="AP51" s="14">
        <f t="shared" si="1"/>
        <v>954.57082500000001</v>
      </c>
      <c r="AQ51" s="14">
        <f t="shared" si="0"/>
        <v>561.5291749999999</v>
      </c>
      <c r="AR51" s="35">
        <f t="shared" si="2"/>
        <v>0</v>
      </c>
      <c r="AS51" s="13">
        <f t="shared" si="3"/>
        <v>0</v>
      </c>
    </row>
    <row r="52" spans="1:45" ht="12.95" customHeight="1">
      <c r="A52" s="42" t="s">
        <v>152</v>
      </c>
      <c r="B52" s="42"/>
      <c r="C52" s="42"/>
      <c r="D52" s="42"/>
      <c r="E52" s="31" t="s">
        <v>62</v>
      </c>
      <c r="F52" s="46">
        <v>0</v>
      </c>
      <c r="G52" s="46"/>
      <c r="H52" s="46"/>
      <c r="I52" s="44" t="s">
        <v>167</v>
      </c>
      <c r="J52" s="44"/>
      <c r="K52" s="44"/>
      <c r="L52" s="41" t="s">
        <v>74</v>
      </c>
      <c r="M52" s="41"/>
      <c r="N52" s="41" t="s">
        <v>92</v>
      </c>
      <c r="O52" s="41"/>
      <c r="P52" s="43" t="s">
        <v>153</v>
      </c>
      <c r="Q52" s="43"/>
      <c r="R52" s="43"/>
      <c r="S52" s="41" t="s">
        <v>55</v>
      </c>
      <c r="T52" s="41"/>
      <c r="U52" s="41"/>
      <c r="V52" s="30" t="s">
        <v>21</v>
      </c>
      <c r="W52" s="41" t="s">
        <v>15</v>
      </c>
      <c r="X52" s="41"/>
      <c r="Y52" s="42" t="s">
        <v>35</v>
      </c>
      <c r="Z52" s="42"/>
      <c r="AA52" s="42"/>
      <c r="AB52" s="42"/>
      <c r="AC52" s="42" t="s">
        <v>71</v>
      </c>
      <c r="AD52" s="42"/>
      <c r="AE52" s="42"/>
      <c r="AF52" s="42"/>
      <c r="AG52" s="42"/>
      <c r="AH52" s="25">
        <v>1</v>
      </c>
      <c r="AI52" s="25">
        <v>531.20000000000005</v>
      </c>
      <c r="AJ52" s="25">
        <v>531.20000000000005</v>
      </c>
      <c r="AK52" s="14" t="s">
        <v>153</v>
      </c>
      <c r="AL52" s="12">
        <v>14</v>
      </c>
      <c r="AM52" s="14">
        <v>1727.56</v>
      </c>
      <c r="AN52" s="14">
        <f>SUMIFS(planos!D:D,planos!B:B,"&lt;="&amp;unimed!N52,planos!C:C,"&gt;="&amp;unimed!N52,planos!E:E,"Enfermaria sem coparticipação")</f>
        <v>393.45220152873048</v>
      </c>
      <c r="AO52" s="14">
        <f>IF(AJ52=0,0,IF(MID(AC52,1,15)="FATOR MODERADOR",AJ52,IF(AM52&gt;=0,IF(AND(AM52&gt;tabelas!$C$4,AM52&lt;=tabelas!$C$5),(AN52)*tabelas!$D$4,IF(AND(AM52&gt;=tabelas!$C$5,AM52&lt;=tabelas!$C$6),(AN52)*tabelas!$D$5,IF(AND(AM52&gt;=tabelas!$C$6,AM52&lt;=tabelas!$C$7),(AN52)*tabelas!$D$6,IF(AND(AM52&gt;0,AM52&gt;tabelas!$C$7),(AN52)*tabelas!$D$7,0)))))))</f>
        <v>365.91054742171934</v>
      </c>
      <c r="AP52" s="14">
        <f t="shared" si="1"/>
        <v>365.91054742171934</v>
      </c>
      <c r="AQ52" s="14">
        <f t="shared" si="0"/>
        <v>165.2894525782807</v>
      </c>
      <c r="AR52" s="35">
        <f t="shared" si="2"/>
        <v>0</v>
      </c>
      <c r="AS52" s="13">
        <f t="shared" si="3"/>
        <v>0</v>
      </c>
    </row>
    <row r="53" spans="1:45" ht="12.95" customHeight="1">
      <c r="A53" s="44" t="s">
        <v>151</v>
      </c>
      <c r="B53" s="44"/>
      <c r="C53" s="44"/>
      <c r="D53" s="44"/>
      <c r="E53" s="29" t="s">
        <v>62</v>
      </c>
      <c r="F53" s="46">
        <v>0</v>
      </c>
      <c r="G53" s="46"/>
      <c r="H53" s="46"/>
      <c r="I53" s="44" t="s">
        <v>167</v>
      </c>
      <c r="J53" s="44"/>
      <c r="K53" s="44"/>
      <c r="L53" s="43" t="s">
        <v>72</v>
      </c>
      <c r="M53" s="43"/>
      <c r="N53" s="43" t="s">
        <v>86</v>
      </c>
      <c r="O53" s="43"/>
      <c r="P53" s="43" t="s">
        <v>153</v>
      </c>
      <c r="Q53" s="43"/>
      <c r="R53" s="43"/>
      <c r="S53" s="43" t="s">
        <v>55</v>
      </c>
      <c r="T53" s="43"/>
      <c r="U53" s="43"/>
      <c r="V53" s="28" t="s">
        <v>21</v>
      </c>
      <c r="W53" s="43" t="s">
        <v>15</v>
      </c>
      <c r="X53" s="43"/>
      <c r="Y53" s="44" t="s">
        <v>35</v>
      </c>
      <c r="Z53" s="44"/>
      <c r="AA53" s="44"/>
      <c r="AB53" s="44"/>
      <c r="AC53" s="44" t="s">
        <v>71</v>
      </c>
      <c r="AD53" s="44"/>
      <c r="AE53" s="44"/>
      <c r="AF53" s="44"/>
      <c r="AG53" s="44"/>
      <c r="AH53" s="24">
        <v>1</v>
      </c>
      <c r="AI53" s="24">
        <v>531.20000000000005</v>
      </c>
      <c r="AJ53" s="24">
        <v>531.20000000000005</v>
      </c>
      <c r="AK53" s="14" t="s">
        <v>153</v>
      </c>
      <c r="AL53" s="12">
        <v>14</v>
      </c>
      <c r="AM53" s="14">
        <v>7861.79</v>
      </c>
      <c r="AN53" s="14">
        <f>SUMIFS(planos!D:D,planos!B:B,"&lt;="&amp;unimed!N53,planos!C:C,"&gt;="&amp;unimed!N53,planos!E:E,"Enfermaria sem coparticipação")</f>
        <v>393.45220152873048</v>
      </c>
      <c r="AO53" s="14">
        <f>IF(AJ53=0,0,IF(MID(AC53,1,15)="FATOR MODERADOR",AJ53,IF(AM53&gt;=0,IF(AND(AM53&gt;tabelas!$C$4,AM53&lt;=tabelas!$C$5),(AN53)*tabelas!$D$4,IF(AND(AM53&gt;=tabelas!$C$5,AM53&lt;=tabelas!$C$6),(AN53)*tabelas!$D$5,IF(AND(AM53&gt;=tabelas!$C$6,AM53&lt;=tabelas!$C$7),(AN53)*tabelas!$D$6,IF(AND(AM53&gt;0,AM53&gt;tabelas!$C$7),(AN53)*tabelas!$D$7,0)))))))</f>
        <v>302.95819517712249</v>
      </c>
      <c r="AP53" s="14">
        <f t="shared" si="1"/>
        <v>302.95819517712249</v>
      </c>
      <c r="AQ53" s="14">
        <f t="shared" si="0"/>
        <v>228.24180482287755</v>
      </c>
      <c r="AR53" s="35">
        <f t="shared" si="2"/>
        <v>0</v>
      </c>
      <c r="AS53" s="13">
        <f t="shared" si="3"/>
        <v>0</v>
      </c>
    </row>
    <row r="54" spans="1:45" ht="12.95" customHeight="1">
      <c r="A54" s="42" t="s">
        <v>152</v>
      </c>
      <c r="B54" s="42"/>
      <c r="C54" s="42"/>
      <c r="D54" s="42"/>
      <c r="E54" s="31" t="s">
        <v>95</v>
      </c>
      <c r="F54" s="46">
        <v>0</v>
      </c>
      <c r="G54" s="46"/>
      <c r="H54" s="46"/>
      <c r="I54" s="44" t="s">
        <v>168</v>
      </c>
      <c r="J54" s="44"/>
      <c r="K54" s="44"/>
      <c r="L54" s="41" t="s">
        <v>96</v>
      </c>
      <c r="M54" s="41"/>
      <c r="N54" s="41" t="s">
        <v>46</v>
      </c>
      <c r="O54" s="41"/>
      <c r="P54" s="43" t="s">
        <v>153</v>
      </c>
      <c r="Q54" s="43"/>
      <c r="R54" s="43"/>
      <c r="S54" s="41" t="s">
        <v>97</v>
      </c>
      <c r="T54" s="41"/>
      <c r="U54" s="41"/>
      <c r="V54" s="30" t="s">
        <v>21</v>
      </c>
      <c r="W54" s="41" t="s">
        <v>16</v>
      </c>
      <c r="X54" s="41"/>
      <c r="Y54" s="42" t="s">
        <v>32</v>
      </c>
      <c r="Z54" s="42"/>
      <c r="AA54" s="42"/>
      <c r="AB54" s="42"/>
      <c r="AC54" s="42" t="s">
        <v>71</v>
      </c>
      <c r="AD54" s="42"/>
      <c r="AE54" s="42"/>
      <c r="AF54" s="42"/>
      <c r="AG54" s="42"/>
      <c r="AH54" s="25">
        <v>1</v>
      </c>
      <c r="AI54" s="25">
        <v>755.88</v>
      </c>
      <c r="AJ54" s="25">
        <v>755.88</v>
      </c>
      <c r="AK54" s="14" t="s">
        <v>153</v>
      </c>
      <c r="AL54" s="12">
        <v>15</v>
      </c>
      <c r="AM54" s="14">
        <v>5591.86</v>
      </c>
      <c r="AN54" s="14">
        <f>SUMIFS(planos!D:D,planos!B:B,"&lt;="&amp;unimed!N54,planos!C:C,"&gt;="&amp;unimed!N54,planos!E:E,"Enfermaria sem coparticipação")</f>
        <v>559.91758325401042</v>
      </c>
      <c r="AO54" s="14">
        <f>IF(AJ54=0,0,IF(MID(AC54,1,15)="FATOR MODERADOR",AJ54,IF(AM54&gt;=0,IF(AND(AM54&gt;tabelas!$C$4,AM54&lt;=tabelas!$C$5),(AN54)*tabelas!$D$4,IF(AND(AM54&gt;=tabelas!$C$5,AM54&lt;=tabelas!$C$6),(AN54)*tabelas!$D$5,IF(AND(AM54&gt;=tabelas!$C$6,AM54&lt;=tabelas!$C$7),(AN54)*tabelas!$D$6,IF(AND(AM54&gt;0,AM54&gt;tabelas!$C$7),(AN54)*tabelas!$D$7,0)))))))</f>
        <v>475.92994576590883</v>
      </c>
      <c r="AP54" s="14">
        <f t="shared" si="1"/>
        <v>475.92994576590883</v>
      </c>
      <c r="AQ54" s="14">
        <f t="shared" si="0"/>
        <v>279.95005423409117</v>
      </c>
      <c r="AR54" s="35">
        <f t="shared" si="2"/>
        <v>0</v>
      </c>
      <c r="AS54" s="13">
        <f t="shared" si="3"/>
        <v>0</v>
      </c>
    </row>
    <row r="55" spans="1:45" ht="12.95" customHeight="1">
      <c r="A55" s="44" t="s">
        <v>151</v>
      </c>
      <c r="B55" s="44"/>
      <c r="C55" s="44"/>
      <c r="D55" s="44"/>
      <c r="E55" s="29" t="s">
        <v>95</v>
      </c>
      <c r="F55" s="46">
        <v>0</v>
      </c>
      <c r="G55" s="46"/>
      <c r="H55" s="46"/>
      <c r="I55" s="44" t="s">
        <v>168</v>
      </c>
      <c r="J55" s="44"/>
      <c r="K55" s="44"/>
      <c r="L55" s="43" t="s">
        <v>125</v>
      </c>
      <c r="M55" s="43"/>
      <c r="N55" s="43" t="s">
        <v>46</v>
      </c>
      <c r="O55" s="43"/>
      <c r="P55" s="43" t="s">
        <v>153</v>
      </c>
      <c r="Q55" s="43"/>
      <c r="R55" s="43"/>
      <c r="S55" s="43" t="s">
        <v>126</v>
      </c>
      <c r="T55" s="43"/>
      <c r="U55" s="43"/>
      <c r="V55" s="28" t="s">
        <v>21</v>
      </c>
      <c r="W55" s="43" t="s">
        <v>15</v>
      </c>
      <c r="X55" s="43"/>
      <c r="Y55" s="44" t="s">
        <v>37</v>
      </c>
      <c r="Z55" s="44"/>
      <c r="AA55" s="44"/>
      <c r="AB55" s="44"/>
      <c r="AC55" s="44" t="s">
        <v>71</v>
      </c>
      <c r="AD55" s="44"/>
      <c r="AE55" s="44"/>
      <c r="AF55" s="44"/>
      <c r="AG55" s="44"/>
      <c r="AH55" s="24">
        <v>1</v>
      </c>
      <c r="AI55" s="24">
        <v>755.88</v>
      </c>
      <c r="AJ55" s="24">
        <v>755.88</v>
      </c>
      <c r="AK55" s="14" t="s">
        <v>153</v>
      </c>
      <c r="AL55" s="12">
        <v>15</v>
      </c>
      <c r="AM55" s="14">
        <v>6375.93</v>
      </c>
      <c r="AN55" s="14">
        <f>SUMIFS(planos!D:D,planos!B:B,"&lt;="&amp;unimed!N55,planos!C:C,"&gt;="&amp;unimed!N55,planos!E:E,"Enfermaria sem coparticipação")</f>
        <v>559.91758325401042</v>
      </c>
      <c r="AO55" s="14">
        <f>IF(AJ55=0,0,IF(MID(AC55,1,15)="FATOR MODERADOR",AJ55,IF(AM55&gt;=0,IF(AND(AM55&gt;tabelas!$C$4,AM55&lt;=tabelas!$C$5),(AN55)*tabelas!$D$4,IF(AND(AM55&gt;=tabelas!$C$5,AM55&lt;=tabelas!$C$6),(AN55)*tabelas!$D$5,IF(AND(AM55&gt;=tabelas!$C$6,AM55&lt;=tabelas!$C$7),(AN55)*tabelas!$D$6,IF(AND(AM55&gt;0,AM55&gt;tabelas!$C$7),(AN55)*tabelas!$D$7,0)))))))</f>
        <v>475.92994576590883</v>
      </c>
      <c r="AP55" s="14">
        <f t="shared" si="1"/>
        <v>475.92994576590883</v>
      </c>
      <c r="AQ55" s="14">
        <f t="shared" si="0"/>
        <v>279.95005423409117</v>
      </c>
      <c r="AR55" s="35">
        <f t="shared" si="2"/>
        <v>0</v>
      </c>
      <c r="AS55" s="13">
        <f t="shared" si="3"/>
        <v>0</v>
      </c>
    </row>
    <row r="56" spans="1:45" ht="9" customHeight="1">
      <c r="A56" s="40" t="s">
        <v>94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36"/>
      <c r="AI56" s="37"/>
      <c r="AJ56" s="37"/>
      <c r="AK56" s="14"/>
      <c r="AL56" s="12"/>
      <c r="AM56" s="14"/>
      <c r="AN56" s="14"/>
      <c r="AO56" s="14"/>
      <c r="AP56" s="14"/>
      <c r="AQ56" s="14"/>
      <c r="AR56" s="35"/>
      <c r="AS56" s="13"/>
    </row>
    <row r="57" spans="1:45" ht="9" customHeight="1">
      <c r="A57" s="38" t="s">
        <v>134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9"/>
      <c r="AC57" s="39"/>
      <c r="AD57" s="39"/>
      <c r="AE57" s="39"/>
      <c r="AF57" s="32"/>
      <c r="AG57" s="32"/>
      <c r="AH57" s="32"/>
      <c r="AI57" s="32"/>
      <c r="AJ57" s="32"/>
      <c r="AK57" s="14"/>
      <c r="AL57" s="12"/>
      <c r="AM57" s="14"/>
      <c r="AN57" s="14"/>
      <c r="AO57" s="14"/>
      <c r="AP57" s="14"/>
      <c r="AQ57" s="14"/>
      <c r="AR57" s="35"/>
      <c r="AS57" s="13"/>
    </row>
  </sheetData>
  <autoFilter ref="A2:WWS57" xr:uid="{00000000-0009-0000-0000-000001000000}">
    <filterColumn colId="0" showButton="0"/>
    <filterColumn colId="1" showButton="0"/>
    <filterColumn colId="2" showButton="0"/>
    <filterColumn colId="5" showButton="0"/>
    <filterColumn colId="6" showButton="0"/>
    <filterColumn colId="8" showButton="0"/>
    <filterColumn colId="9" showButton="0"/>
    <filterColumn colId="11" showButton="0"/>
    <filterColumn colId="13" showButton="0"/>
    <filterColumn colId="15" showButton="0"/>
    <filterColumn colId="16" showButton="0"/>
    <filterColumn colId="18" showButton="0"/>
    <filterColumn colId="19" showButton="0"/>
    <filterColumn colId="22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  <filterColumn colId="31" showButton="0"/>
  </autoFilter>
  <mergeCells count="544">
    <mergeCell ref="AC48:AG48"/>
    <mergeCell ref="F49:H49"/>
    <mergeCell ref="I49:K49"/>
    <mergeCell ref="N50:O50"/>
    <mergeCell ref="I48:K48"/>
    <mergeCell ref="L52:M52"/>
    <mergeCell ref="P55:R55"/>
    <mergeCell ref="A52:D52"/>
    <mergeCell ref="A54:D54"/>
    <mergeCell ref="F54:H54"/>
    <mergeCell ref="I54:K54"/>
    <mergeCell ref="I50:K50"/>
    <mergeCell ref="L50:M50"/>
    <mergeCell ref="P50:R50"/>
    <mergeCell ref="A55:D55"/>
    <mergeCell ref="A53:D53"/>
    <mergeCell ref="F53:H53"/>
    <mergeCell ref="I53:K53"/>
    <mergeCell ref="L55:M55"/>
    <mergeCell ref="N55:O55"/>
    <mergeCell ref="I51:K51"/>
    <mergeCell ref="F50:H50"/>
    <mergeCell ref="F51:H51"/>
    <mergeCell ref="F52:H52"/>
    <mergeCell ref="W46:X46"/>
    <mergeCell ref="A51:D51"/>
    <mergeCell ref="S47:U47"/>
    <mergeCell ref="W47:X47"/>
    <mergeCell ref="N48:O48"/>
    <mergeCell ref="P48:R48"/>
    <mergeCell ref="L51:M51"/>
    <mergeCell ref="N51:O51"/>
    <mergeCell ref="P47:R47"/>
    <mergeCell ref="A46:D46"/>
    <mergeCell ref="A50:D50"/>
    <mergeCell ref="L49:M49"/>
    <mergeCell ref="P49:R49"/>
    <mergeCell ref="S48:U48"/>
    <mergeCell ref="W48:X48"/>
    <mergeCell ref="A49:D49"/>
    <mergeCell ref="N49:O49"/>
    <mergeCell ref="S51:U51"/>
    <mergeCell ref="W51:X51"/>
    <mergeCell ref="Y51:AB51"/>
    <mergeCell ref="A47:D47"/>
    <mergeCell ref="Y49:AB49"/>
    <mergeCell ref="L48:M48"/>
    <mergeCell ref="A48:D48"/>
    <mergeCell ref="F48:H48"/>
    <mergeCell ref="Y47:AB47"/>
    <mergeCell ref="Y48:AB48"/>
    <mergeCell ref="AC47:AG47"/>
    <mergeCell ref="F47:H47"/>
    <mergeCell ref="I47:K47"/>
    <mergeCell ref="L47:M47"/>
    <mergeCell ref="N47:O47"/>
    <mergeCell ref="AC46:AG46"/>
    <mergeCell ref="F46:H46"/>
    <mergeCell ref="AC42:AG42"/>
    <mergeCell ref="A39:D39"/>
    <mergeCell ref="W43:X43"/>
    <mergeCell ref="AC39:AG39"/>
    <mergeCell ref="Y39:AB39"/>
    <mergeCell ref="W39:X39"/>
    <mergeCell ref="S39:U39"/>
    <mergeCell ref="Y46:AB46"/>
    <mergeCell ref="AC44:AG44"/>
    <mergeCell ref="AC45:AG45"/>
    <mergeCell ref="I46:K46"/>
    <mergeCell ref="L46:M46"/>
    <mergeCell ref="N46:O46"/>
    <mergeCell ref="P46:R46"/>
    <mergeCell ref="S46:U46"/>
    <mergeCell ref="W41:X41"/>
    <mergeCell ref="Y41:AB41"/>
    <mergeCell ref="S45:U45"/>
    <mergeCell ref="W45:X45"/>
    <mergeCell ref="Y45:AB45"/>
    <mergeCell ref="F44:H44"/>
    <mergeCell ref="A45:D45"/>
    <mergeCell ref="A44:D44"/>
    <mergeCell ref="W42:X42"/>
    <mergeCell ref="L43:M43"/>
    <mergeCell ref="N39:O39"/>
    <mergeCell ref="L39:M39"/>
    <mergeCell ref="W44:X44"/>
    <mergeCell ref="Y44:AB44"/>
    <mergeCell ref="S44:U44"/>
    <mergeCell ref="P41:R41"/>
    <mergeCell ref="P39:R39"/>
    <mergeCell ref="Y40:AB40"/>
    <mergeCell ref="S40:U40"/>
    <mergeCell ref="W40:X40"/>
    <mergeCell ref="Y42:AB42"/>
    <mergeCell ref="S42:U42"/>
    <mergeCell ref="I44:K44"/>
    <mergeCell ref="L44:M44"/>
    <mergeCell ref="N40:O40"/>
    <mergeCell ref="P40:R40"/>
    <mergeCell ref="I45:K45"/>
    <mergeCell ref="L45:M45"/>
    <mergeCell ref="F42:H42"/>
    <mergeCell ref="I42:K42"/>
    <mergeCell ref="L42:M42"/>
    <mergeCell ref="N42:O42"/>
    <mergeCell ref="P42:R42"/>
    <mergeCell ref="F45:H45"/>
    <mergeCell ref="N44:O44"/>
    <mergeCell ref="P44:R44"/>
    <mergeCell ref="I43:K43"/>
    <mergeCell ref="N45:O45"/>
    <mergeCell ref="P45:R45"/>
    <mergeCell ref="F39:H39"/>
    <mergeCell ref="P38:R38"/>
    <mergeCell ref="N38:O38"/>
    <mergeCell ref="F37:H37"/>
    <mergeCell ref="N36:O36"/>
    <mergeCell ref="AC36:AG36"/>
    <mergeCell ref="Y43:AB43"/>
    <mergeCell ref="AC43:AG43"/>
    <mergeCell ref="A38:D38"/>
    <mergeCell ref="A40:D40"/>
    <mergeCell ref="AC40:AG40"/>
    <mergeCell ref="Y38:AB38"/>
    <mergeCell ref="W38:X38"/>
    <mergeCell ref="S38:U38"/>
    <mergeCell ref="L38:M38"/>
    <mergeCell ref="I38:K38"/>
    <mergeCell ref="F38:H38"/>
    <mergeCell ref="AC37:AG37"/>
    <mergeCell ref="Y37:AB37"/>
    <mergeCell ref="W37:X37"/>
    <mergeCell ref="S37:U37"/>
    <mergeCell ref="AC38:AG38"/>
    <mergeCell ref="AC41:AG41"/>
    <mergeCell ref="L40:M40"/>
    <mergeCell ref="A43:D43"/>
    <mergeCell ref="S43:U43"/>
    <mergeCell ref="F41:H41"/>
    <mergeCell ref="I41:K41"/>
    <mergeCell ref="L41:M41"/>
    <mergeCell ref="N41:O41"/>
    <mergeCell ref="A42:D42"/>
    <mergeCell ref="F40:H40"/>
    <mergeCell ref="I40:K40"/>
    <mergeCell ref="N43:O43"/>
    <mergeCell ref="P43:R43"/>
    <mergeCell ref="F43:H43"/>
    <mergeCell ref="S41:U41"/>
    <mergeCell ref="AC18:AG18"/>
    <mergeCell ref="W25:X25"/>
    <mergeCell ref="S27:U27"/>
    <mergeCell ref="W27:X27"/>
    <mergeCell ref="S28:U28"/>
    <mergeCell ref="F18:H18"/>
    <mergeCell ref="S20:U20"/>
    <mergeCell ref="W20:X20"/>
    <mergeCell ref="W21:X21"/>
    <mergeCell ref="S22:U22"/>
    <mergeCell ref="W22:X22"/>
    <mergeCell ref="F22:H22"/>
    <mergeCell ref="I22:K22"/>
    <mergeCell ref="W28:X28"/>
    <mergeCell ref="L18:M18"/>
    <mergeCell ref="AC20:AG20"/>
    <mergeCell ref="S21:U21"/>
    <mergeCell ref="Y21:AB21"/>
    <mergeCell ref="AC21:AG21"/>
    <mergeCell ref="Y22:AB22"/>
    <mergeCell ref="AC22:AG22"/>
    <mergeCell ref="F25:H25"/>
    <mergeCell ref="I25:K25"/>
    <mergeCell ref="L25:M25"/>
    <mergeCell ref="P37:R37"/>
    <mergeCell ref="I39:K39"/>
    <mergeCell ref="I37:K37"/>
    <mergeCell ref="W34:X34"/>
    <mergeCell ref="S36:U36"/>
    <mergeCell ref="N37:O37"/>
    <mergeCell ref="L37:M37"/>
    <mergeCell ref="P35:R35"/>
    <mergeCell ref="Y19:AB19"/>
    <mergeCell ref="N25:O25"/>
    <mergeCell ref="P25:R25"/>
    <mergeCell ref="I27:K27"/>
    <mergeCell ref="N28:O28"/>
    <mergeCell ref="L28:M28"/>
    <mergeCell ref="I28:K28"/>
    <mergeCell ref="N34:O34"/>
    <mergeCell ref="P34:R34"/>
    <mergeCell ref="L35:M35"/>
    <mergeCell ref="N35:O35"/>
    <mergeCell ref="L36:M36"/>
    <mergeCell ref="I36:K36"/>
    <mergeCell ref="W33:X33"/>
    <mergeCell ref="Y36:AB36"/>
    <mergeCell ref="W36:X36"/>
    <mergeCell ref="Y33:AB33"/>
    <mergeCell ref="AC33:AG33"/>
    <mergeCell ref="A41:D41"/>
    <mergeCell ref="S35:U35"/>
    <mergeCell ref="W35:X35"/>
    <mergeCell ref="Y35:AB35"/>
    <mergeCell ref="AC35:AG35"/>
    <mergeCell ref="A37:D37"/>
    <mergeCell ref="A35:D35"/>
    <mergeCell ref="F35:H35"/>
    <mergeCell ref="I35:K35"/>
    <mergeCell ref="A33:D33"/>
    <mergeCell ref="F33:H33"/>
    <mergeCell ref="I33:K33"/>
    <mergeCell ref="L33:M33"/>
    <mergeCell ref="N33:O33"/>
    <mergeCell ref="A34:D34"/>
    <mergeCell ref="S34:U34"/>
    <mergeCell ref="Y34:AB34"/>
    <mergeCell ref="AC34:AG34"/>
    <mergeCell ref="P36:R36"/>
    <mergeCell ref="P33:R33"/>
    <mergeCell ref="A32:D32"/>
    <mergeCell ref="F32:H32"/>
    <mergeCell ref="S33:U33"/>
    <mergeCell ref="L27:M27"/>
    <mergeCell ref="A27:D27"/>
    <mergeCell ref="F27:H27"/>
    <mergeCell ref="F28:H28"/>
    <mergeCell ref="F36:H36"/>
    <mergeCell ref="A36:D36"/>
    <mergeCell ref="F34:H34"/>
    <mergeCell ref="I34:K34"/>
    <mergeCell ref="L34:M34"/>
    <mergeCell ref="S32:U32"/>
    <mergeCell ref="A29:D29"/>
    <mergeCell ref="P28:R28"/>
    <mergeCell ref="P32:R32"/>
    <mergeCell ref="I32:K32"/>
    <mergeCell ref="L32:M32"/>
    <mergeCell ref="N32:O32"/>
    <mergeCell ref="AC25:AG25"/>
    <mergeCell ref="A30:D30"/>
    <mergeCell ref="A25:D25"/>
    <mergeCell ref="P29:R29"/>
    <mergeCell ref="N29:O29"/>
    <mergeCell ref="L29:M29"/>
    <mergeCell ref="I29:K29"/>
    <mergeCell ref="F29:H29"/>
    <mergeCell ref="Y26:AB26"/>
    <mergeCell ref="AC26:AG26"/>
    <mergeCell ref="S26:U26"/>
    <mergeCell ref="W26:X26"/>
    <mergeCell ref="A31:D31"/>
    <mergeCell ref="F30:H30"/>
    <mergeCell ref="I30:K30"/>
    <mergeCell ref="L30:M30"/>
    <mergeCell ref="N30:O30"/>
    <mergeCell ref="P30:R30"/>
    <mergeCell ref="W32:X32"/>
    <mergeCell ref="F31:H31"/>
    <mergeCell ref="I31:K31"/>
    <mergeCell ref="L31:M31"/>
    <mergeCell ref="N31:O31"/>
    <mergeCell ref="P31:R31"/>
    <mergeCell ref="A26:D26"/>
    <mergeCell ref="F26:H26"/>
    <mergeCell ref="I26:K26"/>
    <mergeCell ref="L26:M26"/>
    <mergeCell ref="Y32:AB32"/>
    <mergeCell ref="AC32:AG32"/>
    <mergeCell ref="S25:U25"/>
    <mergeCell ref="S31:U31"/>
    <mergeCell ref="W31:X31"/>
    <mergeCell ref="Y31:AB31"/>
    <mergeCell ref="AC31:AG31"/>
    <mergeCell ref="Y27:AB27"/>
    <mergeCell ref="AC27:AG27"/>
    <mergeCell ref="I20:K20"/>
    <mergeCell ref="L20:M20"/>
    <mergeCell ref="N20:O20"/>
    <mergeCell ref="P20:R20"/>
    <mergeCell ref="A28:D28"/>
    <mergeCell ref="A23:D23"/>
    <mergeCell ref="I21:K21"/>
    <mergeCell ref="L21:M21"/>
    <mergeCell ref="N21:O21"/>
    <mergeCell ref="P21:R21"/>
    <mergeCell ref="A20:D20"/>
    <mergeCell ref="A22:D22"/>
    <mergeCell ref="L22:M22"/>
    <mergeCell ref="N22:O22"/>
    <mergeCell ref="P22:R22"/>
    <mergeCell ref="A21:D21"/>
    <mergeCell ref="F21:H21"/>
    <mergeCell ref="F20:H20"/>
    <mergeCell ref="P27:R27"/>
    <mergeCell ref="N26:O26"/>
    <mergeCell ref="P26:R26"/>
    <mergeCell ref="W18:X18"/>
    <mergeCell ref="S18:U18"/>
    <mergeCell ref="Y12:AB12"/>
    <mergeCell ref="L10:M10"/>
    <mergeCell ref="Y30:AB30"/>
    <mergeCell ref="AC30:AG30"/>
    <mergeCell ref="AC29:AG29"/>
    <mergeCell ref="Y29:AB29"/>
    <mergeCell ref="W29:X29"/>
    <mergeCell ref="AC23:AG23"/>
    <mergeCell ref="Y25:AB25"/>
    <mergeCell ref="Y23:AB23"/>
    <mergeCell ref="Y28:AB28"/>
    <mergeCell ref="S24:U24"/>
    <mergeCell ref="W24:X24"/>
    <mergeCell ref="Y24:AB24"/>
    <mergeCell ref="AC24:AG24"/>
    <mergeCell ref="AC28:AG28"/>
    <mergeCell ref="S30:U30"/>
    <mergeCell ref="W30:X30"/>
    <mergeCell ref="N24:O24"/>
    <mergeCell ref="P24:R24"/>
    <mergeCell ref="N27:O27"/>
    <mergeCell ref="AC19:AG19"/>
    <mergeCell ref="F13:H13"/>
    <mergeCell ref="A14:D14"/>
    <mergeCell ref="F14:H14"/>
    <mergeCell ref="A13:D13"/>
    <mergeCell ref="A17:D17"/>
    <mergeCell ref="F17:H17"/>
    <mergeCell ref="P18:R18"/>
    <mergeCell ref="N18:O18"/>
    <mergeCell ref="A18:D18"/>
    <mergeCell ref="I14:K14"/>
    <mergeCell ref="S23:U23"/>
    <mergeCell ref="W23:X23"/>
    <mergeCell ref="S29:U29"/>
    <mergeCell ref="N23:O23"/>
    <mergeCell ref="P23:R23"/>
    <mergeCell ref="I18:K18"/>
    <mergeCell ref="A19:D19"/>
    <mergeCell ref="F19:H19"/>
    <mergeCell ref="I19:K19"/>
    <mergeCell ref="L19:M19"/>
    <mergeCell ref="N19:O19"/>
    <mergeCell ref="P19:R19"/>
    <mergeCell ref="S19:U19"/>
    <mergeCell ref="W19:X19"/>
    <mergeCell ref="A16:D16"/>
    <mergeCell ref="F16:H16"/>
    <mergeCell ref="F23:H23"/>
    <mergeCell ref="I23:K23"/>
    <mergeCell ref="L23:M23"/>
    <mergeCell ref="A24:D24"/>
    <mergeCell ref="F24:H24"/>
    <mergeCell ref="I24:K24"/>
    <mergeCell ref="L24:M24"/>
    <mergeCell ref="AC13:AG13"/>
    <mergeCell ref="I16:K16"/>
    <mergeCell ref="L16:M16"/>
    <mergeCell ref="N16:O16"/>
    <mergeCell ref="P16:R16"/>
    <mergeCell ref="S13:U13"/>
    <mergeCell ref="W13:X13"/>
    <mergeCell ref="L14:M14"/>
    <mergeCell ref="A12:D12"/>
    <mergeCell ref="F12:H12"/>
    <mergeCell ref="I12:K12"/>
    <mergeCell ref="W16:X16"/>
    <mergeCell ref="S14:U14"/>
    <mergeCell ref="N13:O13"/>
    <mergeCell ref="P13:R13"/>
    <mergeCell ref="N12:O12"/>
    <mergeCell ref="AC14:AG14"/>
    <mergeCell ref="S16:U16"/>
    <mergeCell ref="Y14:AB14"/>
    <mergeCell ref="A15:D15"/>
    <mergeCell ref="F15:H15"/>
    <mergeCell ref="S15:U15"/>
    <mergeCell ref="W15:X15"/>
    <mergeCell ref="P15:R15"/>
    <mergeCell ref="AC16:AG16"/>
    <mergeCell ref="S17:U17"/>
    <mergeCell ref="W17:X17"/>
    <mergeCell ref="Y17:AB17"/>
    <mergeCell ref="AC17:AG17"/>
    <mergeCell ref="I15:K15"/>
    <mergeCell ref="W7:X7"/>
    <mergeCell ref="L8:M8"/>
    <mergeCell ref="N8:O8"/>
    <mergeCell ref="L13:M13"/>
    <mergeCell ref="N14:O14"/>
    <mergeCell ref="P14:R14"/>
    <mergeCell ref="I13:K13"/>
    <mergeCell ref="I17:K17"/>
    <mergeCell ref="L17:M17"/>
    <mergeCell ref="W14:X14"/>
    <mergeCell ref="L15:M15"/>
    <mergeCell ref="N15:O15"/>
    <mergeCell ref="N17:O17"/>
    <mergeCell ref="P17:R17"/>
    <mergeCell ref="P8:R8"/>
    <mergeCell ref="AC15:AG15"/>
    <mergeCell ref="AC12:AG12"/>
    <mergeCell ref="N10:O10"/>
    <mergeCell ref="AC2:AG2"/>
    <mergeCell ref="Y8:AB8"/>
    <mergeCell ref="Y7:AB7"/>
    <mergeCell ref="S9:U9"/>
    <mergeCell ref="L5:M5"/>
    <mergeCell ref="AC6:AG6"/>
    <mergeCell ref="W10:X10"/>
    <mergeCell ref="Y10:AB10"/>
    <mergeCell ref="L11:M11"/>
    <mergeCell ref="S10:U10"/>
    <mergeCell ref="AC4:AG4"/>
    <mergeCell ref="Y4:AB4"/>
    <mergeCell ref="S3:U3"/>
    <mergeCell ref="W3:X3"/>
    <mergeCell ref="Y3:AB3"/>
    <mergeCell ref="AC3:AG3"/>
    <mergeCell ref="N9:O9"/>
    <mergeCell ref="AC10:AG10"/>
    <mergeCell ref="P10:R10"/>
    <mergeCell ref="F8:H8"/>
    <mergeCell ref="I6:K6"/>
    <mergeCell ref="I8:K8"/>
    <mergeCell ref="I9:K9"/>
    <mergeCell ref="I7:K7"/>
    <mergeCell ref="A10:D10"/>
    <mergeCell ref="F10:H10"/>
    <mergeCell ref="I10:K10"/>
    <mergeCell ref="A11:D11"/>
    <mergeCell ref="A9:D9"/>
    <mergeCell ref="F9:H9"/>
    <mergeCell ref="A8:D8"/>
    <mergeCell ref="A7:D7"/>
    <mergeCell ref="F7:H7"/>
    <mergeCell ref="I11:K11"/>
    <mergeCell ref="F11:H11"/>
    <mergeCell ref="A3:D3"/>
    <mergeCell ref="F3:H3"/>
    <mergeCell ref="I3:K3"/>
    <mergeCell ref="L3:M3"/>
    <mergeCell ref="N3:O3"/>
    <mergeCell ref="P3:R3"/>
    <mergeCell ref="A2:D2"/>
    <mergeCell ref="F2:H2"/>
    <mergeCell ref="I2:K2"/>
    <mergeCell ref="L2:M2"/>
    <mergeCell ref="N2:O2"/>
    <mergeCell ref="P2:R2"/>
    <mergeCell ref="AC5:AG5"/>
    <mergeCell ref="S4:U4"/>
    <mergeCell ref="W4:X4"/>
    <mergeCell ref="L6:M6"/>
    <mergeCell ref="N6:O6"/>
    <mergeCell ref="F5:H5"/>
    <mergeCell ref="A6:D6"/>
    <mergeCell ref="F6:H6"/>
    <mergeCell ref="I5:K5"/>
    <mergeCell ref="P5:R5"/>
    <mergeCell ref="P6:R6"/>
    <mergeCell ref="S6:U6"/>
    <mergeCell ref="W6:X6"/>
    <mergeCell ref="Y6:AB6"/>
    <mergeCell ref="N5:O5"/>
    <mergeCell ref="A4:D4"/>
    <mergeCell ref="F4:H4"/>
    <mergeCell ref="I4:K4"/>
    <mergeCell ref="A5:D5"/>
    <mergeCell ref="AC11:AG11"/>
    <mergeCell ref="Y11:AB11"/>
    <mergeCell ref="W11:X11"/>
    <mergeCell ref="S11:U11"/>
    <mergeCell ref="P11:R11"/>
    <mergeCell ref="N11:O11"/>
    <mergeCell ref="AC7:AG7"/>
    <mergeCell ref="AC9:AG9"/>
    <mergeCell ref="AC8:AG8"/>
    <mergeCell ref="N7:O7"/>
    <mergeCell ref="P7:R7"/>
    <mergeCell ref="W9:X9"/>
    <mergeCell ref="Y9:AB9"/>
    <mergeCell ref="S8:U8"/>
    <mergeCell ref="W8:X8"/>
    <mergeCell ref="P51:R51"/>
    <mergeCell ref="S49:U49"/>
    <mergeCell ref="P9:R9"/>
    <mergeCell ref="S7:U7"/>
    <mergeCell ref="L4:M4"/>
    <mergeCell ref="N4:O4"/>
    <mergeCell ref="P4:R4"/>
    <mergeCell ref="S5:U5"/>
    <mergeCell ref="Y2:AB2"/>
    <mergeCell ref="L7:M7"/>
    <mergeCell ref="L9:M9"/>
    <mergeCell ref="P12:R12"/>
    <mergeCell ref="W5:X5"/>
    <mergeCell ref="Y5:AB5"/>
    <mergeCell ref="S2:U2"/>
    <mergeCell ref="W2:X2"/>
    <mergeCell ref="L12:M12"/>
    <mergeCell ref="Y13:AB13"/>
    <mergeCell ref="Y16:AB16"/>
    <mergeCell ref="S12:U12"/>
    <mergeCell ref="W12:X12"/>
    <mergeCell ref="Y15:AB15"/>
    <mergeCell ref="Y20:AB20"/>
    <mergeCell ref="Y18:AB18"/>
    <mergeCell ref="W49:X49"/>
    <mergeCell ref="AC54:AG54"/>
    <mergeCell ref="S50:U50"/>
    <mergeCell ref="W50:X50"/>
    <mergeCell ref="Y50:AB50"/>
    <mergeCell ref="AC50:AG50"/>
    <mergeCell ref="AC51:AG51"/>
    <mergeCell ref="AC49:AG49"/>
    <mergeCell ref="AC53:AG53"/>
    <mergeCell ref="S53:U53"/>
    <mergeCell ref="W53:X53"/>
    <mergeCell ref="S54:U54"/>
    <mergeCell ref="W54:X54"/>
    <mergeCell ref="Y54:AB54"/>
    <mergeCell ref="Y53:AB53"/>
    <mergeCell ref="Y52:AB52"/>
    <mergeCell ref="S52:U52"/>
    <mergeCell ref="AH56:AJ56"/>
    <mergeCell ref="A57:AA57"/>
    <mergeCell ref="AB57:AE57"/>
    <mergeCell ref="A56:AG56"/>
    <mergeCell ref="W52:X52"/>
    <mergeCell ref="AC52:AG52"/>
    <mergeCell ref="L54:M54"/>
    <mergeCell ref="N54:O54"/>
    <mergeCell ref="N53:O53"/>
    <mergeCell ref="Y55:AB55"/>
    <mergeCell ref="AC55:AG55"/>
    <mergeCell ref="S55:U55"/>
    <mergeCell ref="F55:H55"/>
    <mergeCell ref="I55:K55"/>
    <mergeCell ref="P53:R53"/>
    <mergeCell ref="W55:X55"/>
    <mergeCell ref="I52:K52"/>
    <mergeCell ref="N52:O52"/>
    <mergeCell ref="P52:R52"/>
    <mergeCell ref="P54:R54"/>
    <mergeCell ref="L53:M53"/>
  </mergeCells>
  <phoneticPr fontId="17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/>
  <dimension ref="B2:I42"/>
  <sheetViews>
    <sheetView topLeftCell="A26" workbookViewId="0">
      <selection activeCell="D13" sqref="D13"/>
    </sheetView>
  </sheetViews>
  <sheetFormatPr defaultRowHeight="15"/>
  <cols>
    <col min="4" max="4" width="12.42578125" customWidth="1"/>
    <col min="5" max="5" width="38.140625" bestFit="1" customWidth="1"/>
    <col min="6" max="6" width="9.140625" bestFit="1" customWidth="1"/>
    <col min="8" max="8" width="9.28515625" bestFit="1" customWidth="1"/>
    <col min="10" max="10" width="9.28515625" bestFit="1" customWidth="1"/>
  </cols>
  <sheetData>
    <row r="2" spans="2:9" ht="30">
      <c r="B2" s="47" t="s">
        <v>5</v>
      </c>
      <c r="C2" s="47"/>
      <c r="D2" s="3" t="s">
        <v>6</v>
      </c>
      <c r="E2" s="3" t="s">
        <v>7</v>
      </c>
      <c r="F2" s="33">
        <v>9.35E-2</v>
      </c>
    </row>
    <row r="3" spans="2:9">
      <c r="B3" s="1">
        <v>0</v>
      </c>
      <c r="C3" s="1">
        <v>18</v>
      </c>
      <c r="D3" s="4">
        <v>393.45220152873048</v>
      </c>
      <c r="E3" s="4" t="s">
        <v>3</v>
      </c>
      <c r="F3" s="4"/>
      <c r="G3" s="4"/>
      <c r="H3" s="4"/>
      <c r="I3" s="4"/>
    </row>
    <row r="4" spans="2:9">
      <c r="B4" s="1">
        <f>C3+1</f>
        <v>19</v>
      </c>
      <c r="C4" s="1">
        <v>23</v>
      </c>
      <c r="D4" s="4">
        <v>452.45117555185368</v>
      </c>
      <c r="E4" s="4" t="s">
        <v>3</v>
      </c>
      <c r="F4" s="4"/>
      <c r="G4" s="4"/>
      <c r="H4" s="4"/>
      <c r="I4" s="4"/>
    </row>
    <row r="5" spans="2:9">
      <c r="B5" s="1">
        <f t="shared" ref="B5:B11" si="0">C4+1</f>
        <v>24</v>
      </c>
      <c r="C5" s="1">
        <v>28</v>
      </c>
      <c r="D5" s="4">
        <v>559.91758325401042</v>
      </c>
      <c r="E5" s="4" t="s">
        <v>3</v>
      </c>
      <c r="F5" s="4"/>
      <c r="G5" s="4"/>
      <c r="H5" s="4"/>
      <c r="I5" s="4"/>
    </row>
    <row r="6" spans="2:9">
      <c r="B6" s="1">
        <f t="shared" si="0"/>
        <v>29</v>
      </c>
      <c r="C6" s="1">
        <v>33</v>
      </c>
      <c r="D6" s="4">
        <v>559.91758325401042</v>
      </c>
      <c r="E6" s="4" t="s">
        <v>3</v>
      </c>
      <c r="F6" s="4"/>
      <c r="G6" s="4"/>
      <c r="H6" s="4"/>
      <c r="I6" s="4"/>
    </row>
    <row r="7" spans="2:9">
      <c r="B7" s="1">
        <f t="shared" si="0"/>
        <v>34</v>
      </c>
      <c r="C7" s="1">
        <v>38</v>
      </c>
      <c r="D7" s="4">
        <v>694.48105762398416</v>
      </c>
      <c r="E7" s="4" t="s">
        <v>3</v>
      </c>
      <c r="F7" s="4"/>
      <c r="G7" s="4"/>
      <c r="H7" s="4"/>
      <c r="I7" s="4"/>
    </row>
    <row r="8" spans="2:9">
      <c r="B8" s="1">
        <f t="shared" si="0"/>
        <v>39</v>
      </c>
      <c r="C8" s="1">
        <v>43</v>
      </c>
      <c r="D8" s="4">
        <v>694.48105762398416</v>
      </c>
      <c r="E8" s="4" t="s">
        <v>3</v>
      </c>
      <c r="F8" s="4"/>
      <c r="G8" s="4"/>
      <c r="H8" s="4"/>
      <c r="I8" s="4"/>
    </row>
    <row r="9" spans="2:9">
      <c r="B9" s="1">
        <f t="shared" si="0"/>
        <v>44</v>
      </c>
      <c r="C9" s="1">
        <v>48</v>
      </c>
      <c r="D9" s="4">
        <v>1123.0245</v>
      </c>
      <c r="E9" s="4" t="s">
        <v>3</v>
      </c>
      <c r="F9" s="4"/>
      <c r="G9" s="4"/>
      <c r="H9" s="4"/>
      <c r="I9" s="4"/>
    </row>
    <row r="10" spans="2:9">
      <c r="B10" s="1">
        <f t="shared" si="0"/>
        <v>49</v>
      </c>
      <c r="C10" s="1">
        <v>53</v>
      </c>
      <c r="D10" s="4">
        <v>1123.0245</v>
      </c>
      <c r="E10" s="4" t="s">
        <v>3</v>
      </c>
      <c r="F10" s="4"/>
      <c r="G10" s="4"/>
      <c r="H10" s="4"/>
      <c r="I10" s="4"/>
    </row>
    <row r="11" spans="2:9">
      <c r="B11" s="1">
        <f t="shared" si="0"/>
        <v>54</v>
      </c>
      <c r="C11" s="1">
        <v>58</v>
      </c>
      <c r="D11" s="4">
        <v>1705.1457740930059</v>
      </c>
      <c r="E11" s="4" t="s">
        <v>3</v>
      </c>
      <c r="F11" s="4"/>
      <c r="G11" s="4"/>
      <c r="H11" s="4"/>
      <c r="I11" s="4"/>
    </row>
    <row r="12" spans="2:9">
      <c r="B12" s="2">
        <v>59</v>
      </c>
      <c r="C12" s="2">
        <v>100</v>
      </c>
      <c r="D12" s="4">
        <v>2360.5595660108643</v>
      </c>
      <c r="E12" s="5" t="s">
        <v>3</v>
      </c>
      <c r="F12" s="4"/>
      <c r="G12" s="4"/>
      <c r="H12" s="4"/>
      <c r="I12" s="4"/>
    </row>
    <row r="13" spans="2:9">
      <c r="B13" s="1">
        <v>0</v>
      </c>
      <c r="C13" s="1">
        <v>18</v>
      </c>
      <c r="D13" s="4">
        <v>531.20027961017956</v>
      </c>
      <c r="E13" s="7" t="s">
        <v>1</v>
      </c>
      <c r="F13" s="4"/>
      <c r="G13" s="4"/>
    </row>
    <row r="14" spans="2:9">
      <c r="B14" s="1">
        <f>C13+1</f>
        <v>19</v>
      </c>
      <c r="C14" s="1">
        <v>23</v>
      </c>
      <c r="D14" s="4">
        <v>610.78743727678841</v>
      </c>
      <c r="E14" s="7" t="s">
        <v>1</v>
      </c>
      <c r="F14" s="4"/>
      <c r="G14" s="4"/>
    </row>
    <row r="15" spans="2:9">
      <c r="B15" s="1">
        <f t="shared" ref="B15:B21" si="1">C14+1</f>
        <v>24</v>
      </c>
      <c r="C15" s="1">
        <v>28</v>
      </c>
      <c r="D15" s="4">
        <v>755.88245199085179</v>
      </c>
      <c r="E15" s="7" t="s">
        <v>1</v>
      </c>
      <c r="F15" s="4"/>
      <c r="G15" s="4"/>
    </row>
    <row r="16" spans="2:9">
      <c r="B16" s="1">
        <f t="shared" si="1"/>
        <v>29</v>
      </c>
      <c r="C16" s="1">
        <v>33</v>
      </c>
      <c r="D16" s="4">
        <v>755.88245199085179</v>
      </c>
      <c r="E16" s="7" t="s">
        <v>1</v>
      </c>
      <c r="F16" s="4"/>
      <c r="G16" s="4"/>
    </row>
    <row r="17" spans="2:7">
      <c r="B17" s="1">
        <f t="shared" si="1"/>
        <v>34</v>
      </c>
      <c r="C17" s="1">
        <v>38</v>
      </c>
      <c r="D17" s="4">
        <v>937.55850670646817</v>
      </c>
      <c r="E17" s="7" t="s">
        <v>1</v>
      </c>
      <c r="F17" s="4"/>
      <c r="G17" s="4"/>
    </row>
    <row r="18" spans="2:7">
      <c r="B18" s="1">
        <f t="shared" si="1"/>
        <v>39</v>
      </c>
      <c r="C18" s="1">
        <v>43</v>
      </c>
      <c r="D18" s="4">
        <v>937.55850670646817</v>
      </c>
      <c r="E18" s="7" t="s">
        <v>1</v>
      </c>
      <c r="F18" s="4"/>
      <c r="G18" s="4"/>
    </row>
    <row r="19" spans="2:7">
      <c r="B19" s="1">
        <f t="shared" si="1"/>
        <v>44</v>
      </c>
      <c r="C19" s="1">
        <v>48</v>
      </c>
      <c r="D19" s="4">
        <v>1516.1</v>
      </c>
      <c r="E19" s="7" t="s">
        <v>1</v>
      </c>
      <c r="F19" s="4"/>
      <c r="G19" s="4"/>
    </row>
    <row r="20" spans="2:7">
      <c r="B20" s="1">
        <f t="shared" si="1"/>
        <v>49</v>
      </c>
      <c r="C20" s="1">
        <v>53</v>
      </c>
      <c r="D20" s="4">
        <v>1516.1</v>
      </c>
      <c r="E20" s="7" t="s">
        <v>1</v>
      </c>
      <c r="F20" s="4"/>
      <c r="G20" s="4"/>
    </row>
    <row r="21" spans="2:7">
      <c r="B21" s="1">
        <f t="shared" si="1"/>
        <v>54</v>
      </c>
      <c r="C21" s="1">
        <v>58</v>
      </c>
      <c r="D21" s="4">
        <v>2301.9516836716061</v>
      </c>
      <c r="E21" s="7" t="s">
        <v>1</v>
      </c>
      <c r="F21" s="4"/>
      <c r="G21" s="4"/>
    </row>
    <row r="22" spans="2:7">
      <c r="B22" s="2">
        <v>59</v>
      </c>
      <c r="C22" s="2">
        <v>100</v>
      </c>
      <c r="D22" s="4">
        <v>3186.7547157366598</v>
      </c>
      <c r="E22" s="5" t="s">
        <v>1</v>
      </c>
      <c r="F22" s="4"/>
      <c r="G22" s="4"/>
    </row>
    <row r="23" spans="2:7">
      <c r="B23" s="1">
        <v>0</v>
      </c>
      <c r="C23" s="1">
        <v>18</v>
      </c>
      <c r="D23" s="4">
        <v>421.06310999999999</v>
      </c>
      <c r="E23" s="7" t="s">
        <v>2</v>
      </c>
      <c r="F23" s="4"/>
      <c r="G23" s="4"/>
    </row>
    <row r="24" spans="2:7">
      <c r="B24" s="1">
        <f>C23+1</f>
        <v>19</v>
      </c>
      <c r="C24" s="1">
        <v>23</v>
      </c>
      <c r="D24" s="4">
        <v>484.19907311718003</v>
      </c>
      <c r="E24" s="7" t="s">
        <v>2</v>
      </c>
      <c r="F24" s="4"/>
      <c r="G24" s="4"/>
    </row>
    <row r="25" spans="2:7">
      <c r="B25" s="1">
        <f t="shared" ref="B25:B31" si="2">C24+1</f>
        <v>24</v>
      </c>
      <c r="C25" s="1">
        <v>28</v>
      </c>
      <c r="D25" s="4">
        <v>599.21</v>
      </c>
      <c r="E25" s="7" t="s">
        <v>2</v>
      </c>
      <c r="F25" s="4"/>
      <c r="G25" s="4"/>
    </row>
    <row r="26" spans="2:7">
      <c r="B26" s="1">
        <f t="shared" si="2"/>
        <v>29</v>
      </c>
      <c r="C26" s="1">
        <v>33</v>
      </c>
      <c r="D26" s="4">
        <v>599.21</v>
      </c>
      <c r="E26" s="7" t="s">
        <v>2</v>
      </c>
      <c r="F26" s="4"/>
      <c r="G26" s="4"/>
    </row>
    <row r="27" spans="2:7">
      <c r="B27" s="1">
        <f t="shared" si="2"/>
        <v>34</v>
      </c>
      <c r="C27" s="1">
        <v>38</v>
      </c>
      <c r="D27" s="4">
        <v>743.19727499999999</v>
      </c>
      <c r="E27" s="7" t="s">
        <v>2</v>
      </c>
      <c r="F27" s="4"/>
      <c r="G27" s="4"/>
    </row>
    <row r="28" spans="2:7">
      <c r="B28" s="1">
        <f t="shared" si="2"/>
        <v>39</v>
      </c>
      <c r="C28" s="1">
        <v>43</v>
      </c>
      <c r="D28" s="4">
        <v>743.19727499999999</v>
      </c>
      <c r="E28" s="7" t="s">
        <v>2</v>
      </c>
      <c r="F28" s="4"/>
      <c r="G28" s="4"/>
    </row>
    <row r="29" spans="2:7">
      <c r="B29" s="1">
        <f t="shared" si="2"/>
        <v>44</v>
      </c>
      <c r="C29" s="1">
        <v>48</v>
      </c>
      <c r="D29" s="4">
        <v>1201.8330449999999</v>
      </c>
      <c r="E29" s="7" t="s">
        <v>2</v>
      </c>
      <c r="F29" s="4"/>
      <c r="G29" s="4"/>
    </row>
    <row r="30" spans="2:7">
      <c r="B30" s="1">
        <f t="shared" si="2"/>
        <v>49</v>
      </c>
      <c r="C30" s="1">
        <v>53</v>
      </c>
      <c r="D30" s="4">
        <v>1201.8330449999999</v>
      </c>
      <c r="E30" s="7" t="s">
        <v>2</v>
      </c>
      <c r="F30" s="4"/>
      <c r="G30" s="4"/>
    </row>
    <row r="31" spans="2:7">
      <c r="B31" s="1">
        <f t="shared" si="2"/>
        <v>54</v>
      </c>
      <c r="C31" s="1">
        <v>58</v>
      </c>
      <c r="D31" s="4">
        <v>1824.778125</v>
      </c>
      <c r="E31" s="7" t="s">
        <v>2</v>
      </c>
      <c r="F31" s="4"/>
      <c r="G31" s="4"/>
    </row>
    <row r="32" spans="2:7">
      <c r="B32" s="2">
        <v>59</v>
      </c>
      <c r="C32" s="2">
        <v>100</v>
      </c>
      <c r="D32" s="4">
        <v>2526.18183</v>
      </c>
      <c r="E32" s="5" t="s">
        <v>2</v>
      </c>
      <c r="F32" s="4"/>
      <c r="G32" s="4"/>
    </row>
    <row r="33" spans="2:7">
      <c r="B33" s="1">
        <v>0</v>
      </c>
      <c r="C33" s="1">
        <v>18</v>
      </c>
      <c r="D33" s="4">
        <v>311.91716038050004</v>
      </c>
      <c r="E33" s="7" t="s">
        <v>4</v>
      </c>
      <c r="F33" s="4"/>
      <c r="G33" s="4"/>
    </row>
    <row r="34" spans="2:7">
      <c r="B34" s="1">
        <f>C33+1</f>
        <v>19</v>
      </c>
      <c r="C34" s="1">
        <v>23</v>
      </c>
      <c r="D34" s="4">
        <v>358.66800000000001</v>
      </c>
      <c r="E34" s="7" t="s">
        <v>4</v>
      </c>
      <c r="F34" s="4"/>
      <c r="G34" s="4"/>
    </row>
    <row r="35" spans="2:7">
      <c r="B35" s="1">
        <f t="shared" ref="B35:B41" si="3">C34+1</f>
        <v>24</v>
      </c>
      <c r="C35" s="1">
        <v>28</v>
      </c>
      <c r="D35" s="4">
        <v>443.84071499999999</v>
      </c>
      <c r="E35" s="7" t="s">
        <v>4</v>
      </c>
      <c r="F35" s="4"/>
      <c r="G35" s="4"/>
    </row>
    <row r="36" spans="2:7">
      <c r="B36" s="1">
        <f t="shared" si="3"/>
        <v>29</v>
      </c>
      <c r="C36" s="1">
        <v>33</v>
      </c>
      <c r="D36" s="4">
        <v>443.84071499999999</v>
      </c>
      <c r="E36" s="7" t="s">
        <v>4</v>
      </c>
      <c r="F36" s="4"/>
      <c r="G36" s="4"/>
    </row>
    <row r="37" spans="2:7">
      <c r="B37" s="1">
        <f t="shared" si="3"/>
        <v>34</v>
      </c>
      <c r="C37" s="1">
        <v>38</v>
      </c>
      <c r="D37" s="4">
        <v>550.51</v>
      </c>
      <c r="E37" s="7" t="s">
        <v>4</v>
      </c>
      <c r="F37" s="4"/>
      <c r="G37" s="4"/>
    </row>
    <row r="38" spans="2:7">
      <c r="B38" s="1">
        <f t="shared" si="3"/>
        <v>39</v>
      </c>
      <c r="C38" s="1">
        <v>43</v>
      </c>
      <c r="D38" s="4">
        <v>550.51</v>
      </c>
      <c r="E38" s="7" t="s">
        <v>4</v>
      </c>
      <c r="F38" s="4"/>
      <c r="G38" s="4"/>
    </row>
    <row r="39" spans="2:7">
      <c r="B39" s="1">
        <f t="shared" si="3"/>
        <v>44</v>
      </c>
      <c r="C39" s="1">
        <v>48</v>
      </c>
      <c r="D39" s="4">
        <v>890.26208999999994</v>
      </c>
      <c r="E39" s="7" t="s">
        <v>4</v>
      </c>
      <c r="F39" s="4"/>
      <c r="G39" s="4"/>
    </row>
    <row r="40" spans="2:7">
      <c r="B40" s="1">
        <f t="shared" si="3"/>
        <v>49</v>
      </c>
      <c r="C40" s="1">
        <v>53</v>
      </c>
      <c r="D40" s="4">
        <v>890.26208999999994</v>
      </c>
      <c r="E40" s="7" t="s">
        <v>4</v>
      </c>
      <c r="F40" s="4"/>
      <c r="G40" s="4"/>
    </row>
    <row r="41" spans="2:7">
      <c r="B41" s="1">
        <f t="shared" si="3"/>
        <v>54</v>
      </c>
      <c r="C41" s="1">
        <v>58</v>
      </c>
      <c r="D41" s="4">
        <v>1351.6862849999998</v>
      </c>
      <c r="E41" s="7" t="s">
        <v>4</v>
      </c>
      <c r="F41" s="4"/>
      <c r="G41" s="4"/>
    </row>
    <row r="42" spans="2:7">
      <c r="B42" s="2">
        <v>59</v>
      </c>
      <c r="C42" s="2">
        <v>100</v>
      </c>
      <c r="D42" s="4">
        <v>1871.2505053693799</v>
      </c>
      <c r="E42" s="5" t="s">
        <v>4</v>
      </c>
      <c r="F42" s="4"/>
      <c r="G42" s="4"/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5"/>
  <dimension ref="C2:M17"/>
  <sheetViews>
    <sheetView showGridLines="0" workbookViewId="0">
      <selection activeCell="C4" sqref="C4:E7"/>
    </sheetView>
  </sheetViews>
  <sheetFormatPr defaultRowHeight="15"/>
  <cols>
    <col min="1" max="1" width="4" customWidth="1"/>
    <col min="2" max="2" width="5" customWidth="1"/>
    <col min="3" max="5" width="18.42578125" customWidth="1"/>
    <col min="7" max="7" width="10.42578125" bestFit="1" customWidth="1"/>
    <col min="13" max="13" width="9.42578125" bestFit="1" customWidth="1"/>
  </cols>
  <sheetData>
    <row r="2" spans="3:12" ht="25.5" customHeight="1">
      <c r="C2" s="47" t="s">
        <v>9</v>
      </c>
      <c r="D2" s="47"/>
      <c r="E2" s="47"/>
    </row>
    <row r="3" spans="3:12">
      <c r="C3" s="6" t="s">
        <v>10</v>
      </c>
      <c r="D3" s="6" t="s">
        <v>11</v>
      </c>
      <c r="E3" s="6" t="s">
        <v>12</v>
      </c>
    </row>
    <row r="4" spans="3:12" ht="15.75">
      <c r="C4" s="18">
        <v>0</v>
      </c>
      <c r="D4" s="19">
        <v>0.93</v>
      </c>
      <c r="E4" s="20">
        <v>7.0000000000000007E-2</v>
      </c>
    </row>
    <row r="5" spans="3:12" ht="15.75">
      <c r="C5" s="18">
        <v>3712.13751</v>
      </c>
      <c r="D5" s="19">
        <v>0.85</v>
      </c>
      <c r="E5" s="20">
        <v>0.15</v>
      </c>
    </row>
    <row r="6" spans="3:12" ht="15.75">
      <c r="C6" s="18">
        <v>7411.3001100000001</v>
      </c>
      <c r="D6" s="19">
        <v>0.77</v>
      </c>
      <c r="E6" s="20">
        <v>0.23</v>
      </c>
    </row>
    <row r="7" spans="3:12" ht="15.75">
      <c r="C7" s="18">
        <v>15265.627734</v>
      </c>
      <c r="D7" s="19">
        <v>0.69</v>
      </c>
      <c r="E7" s="20">
        <v>0.31</v>
      </c>
    </row>
    <row r="8" spans="3:12">
      <c r="L8" s="8"/>
    </row>
    <row r="13" spans="3:12">
      <c r="G13" s="21"/>
      <c r="K13" s="21"/>
    </row>
    <row r="14" spans="3:12">
      <c r="K14" s="21"/>
    </row>
    <row r="15" spans="3:12">
      <c r="K15" s="21"/>
    </row>
    <row r="16" spans="3:12">
      <c r="K16" s="21"/>
    </row>
    <row r="17" spans="11:13">
      <c r="K17" s="23"/>
      <c r="M17" s="22"/>
    </row>
  </sheetData>
  <mergeCells count="1">
    <mergeCell ref="C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unimed</vt:lpstr>
      <vt:lpstr>planos</vt:lpstr>
      <vt:lpstr>tabelas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DAYSYANE RODRIGUES MIRANDA</dc:creator>
  <cp:lastModifiedBy>Daniel Alves de Macedo</cp:lastModifiedBy>
  <cp:lastPrinted>2021-01-31T23:31:58Z</cp:lastPrinted>
  <dcterms:created xsi:type="dcterms:W3CDTF">2019-11-26T12:40:49Z</dcterms:created>
  <dcterms:modified xsi:type="dcterms:W3CDTF">2026-02-23T18:00:11Z</dcterms:modified>
</cp:coreProperties>
</file>