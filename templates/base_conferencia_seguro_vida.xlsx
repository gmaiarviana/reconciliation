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_macedo\Desktop\area_51\"/>
    </mc:Choice>
  </mc:AlternateContent>
  <xr:revisionPtr revIDLastSave="0" documentId="13_ncr:1_{C6BF071F-5758-45D4-BC2A-0158ADA4036C}" xr6:coauthVersionLast="47" xr6:coauthVersionMax="47" xr10:uidLastSave="{00000000-0000-0000-0000-000000000000}"/>
  <bookViews>
    <workbookView xWindow="-120" yWindow="-120" windowWidth="29040" windowHeight="15720" xr2:uid="{751CCA4C-37B3-4D15-9B36-924F9C492BA2}"/>
  </bookViews>
  <sheets>
    <sheet name="Planilha1" sheetId="1" r:id="rId1"/>
  </sheets>
  <definedNames>
    <definedName name="_xlnm._FilterDatabase" localSheetId="0" hidden="1">Planilha1!$A$2:$H$32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G32" i="1" l="1"/>
  <c r="G8" i="1"/>
  <c r="G22" i="1"/>
  <c r="G3" i="1"/>
  <c r="G18" i="1"/>
  <c r="G23" i="1"/>
  <c r="G29" i="1"/>
  <c r="G12" i="1"/>
  <c r="G11" i="1"/>
  <c r="G13" i="1"/>
  <c r="G30" i="1"/>
  <c r="G28" i="1"/>
  <c r="G25" i="1"/>
  <c r="G10" i="1"/>
  <c r="G4" i="1"/>
  <c r="G24" i="1"/>
  <c r="G14" i="1"/>
  <c r="G21" i="1"/>
  <c r="G15" i="1"/>
  <c r="G16" i="1"/>
  <c r="G20" i="1"/>
  <c r="G19" i="1"/>
  <c r="G26" i="1"/>
  <c r="G31" i="1"/>
  <c r="G5" i="1"/>
  <c r="G7" i="1"/>
  <c r="G9" i="1"/>
  <c r="G27" i="1"/>
  <c r="G17" i="1"/>
  <c r="G6" i="1"/>
  <c r="G33" i="1" l="1"/>
  <c r="H33" i="1" l="1"/>
  <c r="H30" i="1" l="1"/>
  <c r="H6" i="1"/>
  <c r="H24" i="1"/>
  <c r="H9" i="1"/>
  <c r="H23" i="1"/>
  <c r="H14" i="1"/>
  <c r="H19" i="1"/>
  <c r="H31" i="1"/>
  <c r="H5" i="1"/>
  <c r="H3" i="1"/>
  <c r="H8" i="1"/>
  <c r="H13" i="1"/>
  <c r="H18" i="1"/>
  <c r="H27" i="1"/>
  <c r="H12" i="1"/>
  <c r="H15" i="1"/>
  <c r="H7" i="1"/>
  <c r="H26" i="1"/>
  <c r="H32" i="1"/>
  <c r="H28" i="1"/>
  <c r="H21" i="1"/>
  <c r="H11" i="1"/>
  <c r="H22" i="1"/>
  <c r="H10" i="1"/>
  <c r="H25" i="1"/>
  <c r="H29" i="1"/>
  <c r="H20" i="1"/>
  <c r="H16" i="1"/>
  <c r="H4" i="1"/>
  <c r="H17" i="1"/>
</calcChain>
</file>

<file path=xl/sharedStrings.xml><?xml version="1.0" encoding="utf-8"?>
<sst xmlns="http://schemas.openxmlformats.org/spreadsheetml/2006/main" count="68" uniqueCount="39">
  <si>
    <t>DATA DE NASCIMENTO</t>
  </si>
  <si>
    <t>CPF</t>
  </si>
  <si>
    <t>SALARIO</t>
  </si>
  <si>
    <t>NOME</t>
  </si>
  <si>
    <t>CAPITAL</t>
  </si>
  <si>
    <t>PRÊMIO</t>
  </si>
  <si>
    <t>DESCONTO</t>
  </si>
  <si>
    <t>MATRÍCULA</t>
  </si>
  <si>
    <t>Colaborador 1</t>
  </si>
  <si>
    <t>00/00/0000</t>
  </si>
  <si>
    <t>Colaborador 2</t>
  </si>
  <si>
    <t>Colaborador 3</t>
  </si>
  <si>
    <t>Colaborador 4</t>
  </si>
  <si>
    <t>Colaborador 5</t>
  </si>
  <si>
    <t>Colaborador 6</t>
  </si>
  <si>
    <t>Colaborador 7</t>
  </si>
  <si>
    <t>Colaborador 8</t>
  </si>
  <si>
    <t>Colaborador 9</t>
  </si>
  <si>
    <t>Colaborador 10</t>
  </si>
  <si>
    <t>Colaborador 11</t>
  </si>
  <si>
    <t>Colaborador 12</t>
  </si>
  <si>
    <t>Colaborador 13</t>
  </si>
  <si>
    <t>Colaborador 14</t>
  </si>
  <si>
    <t>Colaborador 15</t>
  </si>
  <si>
    <t>Colaborador 16</t>
  </si>
  <si>
    <t>Colaborador 17</t>
  </si>
  <si>
    <t>Colaborador 18</t>
  </si>
  <si>
    <t>Colaborador 19</t>
  </si>
  <si>
    <t>Colaborador 20</t>
  </si>
  <si>
    <t>Colaborador 21</t>
  </si>
  <si>
    <t>Colaborador 22</t>
  </si>
  <si>
    <t>Colaborador 23</t>
  </si>
  <si>
    <t>Colaborador 24</t>
  </si>
  <si>
    <t>Colaborador 25</t>
  </si>
  <si>
    <t>Colaborador 26</t>
  </si>
  <si>
    <t>Colaborador 27</t>
  </si>
  <si>
    <t>Colaborador 28</t>
  </si>
  <si>
    <t>Colaborador 29</t>
  </si>
  <si>
    <t>Colaborador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</si>
</sst>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3" formatCode="_-* #,##0.00_-;\-* #,##0.00_-;_-* &quot;-&quot;??_-;_-@_-"/>
    <numFmt numFmtId="164" formatCode="00000000000"/>
    <numFmt numFmtId="165" formatCode="0.00000%"/>
    <numFmt numFmtId="166" formatCode="&quot;R$&quot;\ #,##0.00"/>
    <numFmt numFmtId="170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17">
    <xf numFmtId="0" fontId="0" fillId="0" borderId="0" xfId="0"/>
    <xf numFmtId="43" fontId="2" fillId="0" borderId="1" xfId="1" applyFont="1" applyBorder="1"/>
    <xf numFmtId="0" fontId="4" fillId="3" borderId="1" xfId="0" applyFont="1" applyFill="1" applyBorder="1" applyAlignment="1">
      <alignment horizontal="center"/>
    </xf>
    <xf numFmtId="165" fontId="5" fillId="4" borderId="0" xfId="0" applyNumberFormat="1" applyFont="1" applyFill="1"/>
    <xf numFmtId="166" fontId="2" fillId="0" borderId="1" xfId="1" applyNumberFormat="1" applyFont="1" applyBorder="1"/>
    <xf numFmtId="8" fontId="0" fillId="0" borderId="0" xfId="0" applyNumberFormat="1"/>
    <xf numFmtId="43" fontId="0" fillId="0" borderId="0" xfId="0" applyNumberFormat="1"/>
    <xf numFmtId="0" fontId="2" fillId="0" borderId="0" xfId="0" applyFont="1"/>
    <xf numFmtId="0" fontId="3" fillId="0" borderId="0" xfId="0" applyFont="1" applyAlignment="1">
      <alignment horizontal="left" vertical="top"/>
    </xf>
    <xf numFmtId="14" fontId="3" fillId="2" borderId="0" xfId="0" applyNumberFormat="1" applyFont="1" applyFill="1" applyAlignment="1">
      <alignment horizontal="center" vertical="top"/>
    </xf>
    <xf numFmtId="164" fontId="3" fillId="0" borderId="0" xfId="0" applyNumberFormat="1" applyFont="1" applyAlignment="1">
      <alignment horizontal="left" vertical="top"/>
    </xf>
    <xf numFmtId="43" fontId="2" fillId="0" borderId="0" xfId="1" applyFont="1" applyBorder="1"/>
    <xf numFmtId="166" fontId="2" fillId="0" borderId="0" xfId="1" applyNumberFormat="1" applyFont="1" applyBorder="1"/>
    <xf numFmtId="43" fontId="4" fillId="3" borderId="0" xfId="1" applyFont="1" applyFill="1" applyBorder="1"/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left" vertical="top"/>
    </xf>
  </cellXfs>
  <cellStyles count="6">
    <cellStyle name="Normal" xfId="0" builtinId="0"/>
    <cellStyle name="Vírgula" xfId="1" builtinId="3"/>
    <cellStyle name="Vírgula 2" xfId="3" xr:uid="{DEC7CF0D-C00E-4142-A1C4-1F124F8D8275}"/>
    <cellStyle name="Vírgula 2 2" xfId="5" xr:uid="{9FB0892C-153E-4474-94DE-0D92B2905325}"/>
    <cellStyle name="Vírgula 3" xfId="2" xr:uid="{C2F662E6-33DB-4456-9F04-587DB34B8733}"/>
    <cellStyle name="Vírgula 4" xfId="4" xr:uid="{DD54D02A-459D-4508-A841-787139B770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FA08B-70F2-4916-BAB8-FADBC163AA8D}">
  <dimension ref="A1:H36"/>
  <sheetViews>
    <sheetView tabSelected="1" zoomScale="90" zoomScaleNormal="90" workbookViewId="0">
      <selection activeCell="G3" sqref="G3:G32"/>
    </sheetView>
  </sheetViews>
  <sheetFormatPr defaultRowHeight="15" x14ac:dyDescent="0.25"/>
  <cols>
    <col min="1" max="1" width="10.28515625" bestFit="1" customWidth="1"/>
    <col min="2" max="2" width="55.42578125" bestFit="1" customWidth="1"/>
    <col min="3" max="3" width="20.7109375" bestFit="1" customWidth="1"/>
    <col min="4" max="4" width="13.7109375" bestFit="1" customWidth="1"/>
    <col min="5" max="5" width="10.5703125" bestFit="1" customWidth="1"/>
    <col min="6" max="6" width="18" bestFit="1" customWidth="1"/>
    <col min="7" max="7" width="12.42578125" bestFit="1" customWidth="1"/>
    <col min="13" max="13" width="13.85546875" bestFit="1" customWidth="1"/>
  </cols>
  <sheetData>
    <row r="1" spans="1:8" x14ac:dyDescent="0.25">
      <c r="G1" s="3">
        <v>1.065E-4</v>
      </c>
    </row>
    <row r="2" spans="1:8" x14ac:dyDescent="0.25">
      <c r="A2" s="2" t="s">
        <v>7</v>
      </c>
      <c r="B2" s="2" t="s">
        <v>3</v>
      </c>
      <c r="C2" s="2" t="s">
        <v>0</v>
      </c>
      <c r="D2" s="2" t="s">
        <v>1</v>
      </c>
      <c r="E2" s="2" t="s">
        <v>2</v>
      </c>
      <c r="F2" s="2" t="s">
        <v>4</v>
      </c>
      <c r="G2" s="2" t="s">
        <v>5</v>
      </c>
      <c r="H2" s="2" t="s">
        <v>6</v>
      </c>
    </row>
    <row r="3" spans="1:8" x14ac:dyDescent="0.25">
      <c r="A3" s="14">
        <v>1</v>
      </c>
      <c r="B3" s="14" t="s">
        <v>8</v>
      </c>
      <c r="C3" s="15" t="s">
        <v>9</v>
      </c>
      <c r="D3" s="16">
        <v>0</v>
      </c>
      <c r="E3" s="4">
        <v>5826.03</v>
      </c>
      <c r="F3" s="4">
        <f t="shared" ref="F3:F32" si="0">E3*30</f>
        <v>174780.9</v>
      </c>
      <c r="G3" s="1">
        <f t="shared" ref="G3:G32" si="1">F3*$G$1</f>
        <v>18.614165849999999</v>
      </c>
      <c r="H3" s="1">
        <f t="shared" ref="H3:H32" si="2">G3/2</f>
        <v>9.3070829249999996</v>
      </c>
    </row>
    <row r="4" spans="1:8" x14ac:dyDescent="0.25">
      <c r="A4" s="14">
        <v>2</v>
      </c>
      <c r="B4" s="14" t="s">
        <v>10</v>
      </c>
      <c r="C4" s="15" t="s">
        <v>9</v>
      </c>
      <c r="D4" s="16">
        <v>0</v>
      </c>
      <c r="E4" s="4">
        <v>4332.22</v>
      </c>
      <c r="F4" s="4">
        <f t="shared" si="0"/>
        <v>129966.6</v>
      </c>
      <c r="G4" s="1">
        <f t="shared" si="1"/>
        <v>13.841442900000001</v>
      </c>
      <c r="H4" s="1">
        <f t="shared" si="2"/>
        <v>6.9207214500000003</v>
      </c>
    </row>
    <row r="5" spans="1:8" x14ac:dyDescent="0.25">
      <c r="A5" s="14">
        <v>3</v>
      </c>
      <c r="B5" s="14" t="s">
        <v>11</v>
      </c>
      <c r="C5" s="15" t="s">
        <v>9</v>
      </c>
      <c r="D5" s="16">
        <v>0</v>
      </c>
      <c r="E5" s="4">
        <v>4714.12</v>
      </c>
      <c r="F5" s="4">
        <f t="shared" si="0"/>
        <v>141423.6</v>
      </c>
      <c r="G5" s="1">
        <f t="shared" si="1"/>
        <v>15.061613400000001</v>
      </c>
      <c r="H5" s="1">
        <f t="shared" si="2"/>
        <v>7.5308067000000003</v>
      </c>
    </row>
    <row r="6" spans="1:8" x14ac:dyDescent="0.25">
      <c r="A6" s="14">
        <v>4</v>
      </c>
      <c r="B6" s="14" t="s">
        <v>12</v>
      </c>
      <c r="C6" s="15" t="s">
        <v>9</v>
      </c>
      <c r="D6" s="16">
        <v>0</v>
      </c>
      <c r="E6" s="4">
        <v>7685.13</v>
      </c>
      <c r="F6" s="4">
        <f t="shared" si="0"/>
        <v>230553.9</v>
      </c>
      <c r="G6" s="1">
        <f t="shared" si="1"/>
        <v>24.553990349999999</v>
      </c>
      <c r="H6" s="1">
        <f t="shared" si="2"/>
        <v>12.276995175</v>
      </c>
    </row>
    <row r="7" spans="1:8" x14ac:dyDescent="0.25">
      <c r="A7" s="14">
        <v>5</v>
      </c>
      <c r="B7" s="14" t="s">
        <v>13</v>
      </c>
      <c r="C7" s="15" t="s">
        <v>9</v>
      </c>
      <c r="D7" s="16">
        <v>0</v>
      </c>
      <c r="E7" s="4">
        <v>3652.6</v>
      </c>
      <c r="F7" s="4">
        <f t="shared" si="0"/>
        <v>109578</v>
      </c>
      <c r="G7" s="1">
        <f t="shared" si="1"/>
        <v>11.670057</v>
      </c>
      <c r="H7" s="1">
        <f t="shared" si="2"/>
        <v>5.8350285</v>
      </c>
    </row>
    <row r="8" spans="1:8" x14ac:dyDescent="0.25">
      <c r="A8" s="14">
        <v>6</v>
      </c>
      <c r="B8" s="14" t="s">
        <v>14</v>
      </c>
      <c r="C8" s="15" t="s">
        <v>9</v>
      </c>
      <c r="D8" s="16">
        <v>0</v>
      </c>
      <c r="E8" s="4">
        <v>7943.86</v>
      </c>
      <c r="F8" s="4">
        <f t="shared" si="0"/>
        <v>238315.8</v>
      </c>
      <c r="G8" s="1">
        <f t="shared" si="1"/>
        <v>25.3806327</v>
      </c>
      <c r="H8" s="1">
        <f t="shared" si="2"/>
        <v>12.69031635</v>
      </c>
    </row>
    <row r="9" spans="1:8" x14ac:dyDescent="0.25">
      <c r="A9" s="14">
        <v>7</v>
      </c>
      <c r="B9" s="14" t="s">
        <v>15</v>
      </c>
      <c r="C9" s="15" t="s">
        <v>9</v>
      </c>
      <c r="D9" s="16">
        <v>0</v>
      </c>
      <c r="E9" s="4">
        <v>7131.14</v>
      </c>
      <c r="F9" s="4">
        <f t="shared" si="0"/>
        <v>213934.2</v>
      </c>
      <c r="G9" s="1">
        <f t="shared" si="1"/>
        <v>22.783992300000001</v>
      </c>
      <c r="H9" s="1">
        <f t="shared" si="2"/>
        <v>11.391996150000001</v>
      </c>
    </row>
    <row r="10" spans="1:8" x14ac:dyDescent="0.25">
      <c r="A10" s="14">
        <v>8</v>
      </c>
      <c r="B10" s="14" t="s">
        <v>16</v>
      </c>
      <c r="C10" s="15" t="s">
        <v>9</v>
      </c>
      <c r="D10" s="16">
        <v>0</v>
      </c>
      <c r="E10" s="4">
        <v>5245.5</v>
      </c>
      <c r="F10" s="4">
        <f t="shared" si="0"/>
        <v>157365</v>
      </c>
      <c r="G10" s="1">
        <f t="shared" si="1"/>
        <v>16.759372500000001</v>
      </c>
      <c r="H10" s="1">
        <f t="shared" si="2"/>
        <v>8.3796862500000007</v>
      </c>
    </row>
    <row r="11" spans="1:8" x14ac:dyDescent="0.25">
      <c r="A11" s="14">
        <v>9</v>
      </c>
      <c r="B11" s="14" t="s">
        <v>17</v>
      </c>
      <c r="C11" s="15" t="s">
        <v>9</v>
      </c>
      <c r="D11" s="16">
        <v>0</v>
      </c>
      <c r="E11" s="4">
        <v>4229.32</v>
      </c>
      <c r="F11" s="4">
        <f t="shared" si="0"/>
        <v>126879.59999999999</v>
      </c>
      <c r="G11" s="1">
        <f t="shared" si="1"/>
        <v>13.512677399999999</v>
      </c>
      <c r="H11" s="1">
        <f t="shared" si="2"/>
        <v>6.7563386999999997</v>
      </c>
    </row>
    <row r="12" spans="1:8" x14ac:dyDescent="0.25">
      <c r="A12" s="14">
        <v>10</v>
      </c>
      <c r="B12" s="14" t="s">
        <v>18</v>
      </c>
      <c r="C12" s="15" t="s">
        <v>9</v>
      </c>
      <c r="D12" s="16">
        <v>0</v>
      </c>
      <c r="E12" s="4">
        <v>2404.84</v>
      </c>
      <c r="F12" s="4">
        <f t="shared" si="0"/>
        <v>72145.200000000012</v>
      </c>
      <c r="G12" s="1">
        <f t="shared" si="1"/>
        <v>7.6834638000000011</v>
      </c>
      <c r="H12" s="1">
        <f t="shared" si="2"/>
        <v>3.8417319000000005</v>
      </c>
    </row>
    <row r="13" spans="1:8" x14ac:dyDescent="0.25">
      <c r="A13" s="14">
        <v>11</v>
      </c>
      <c r="B13" s="14" t="s">
        <v>19</v>
      </c>
      <c r="C13" s="15" t="s">
        <v>9</v>
      </c>
      <c r="D13" s="16">
        <v>0</v>
      </c>
      <c r="E13" s="4">
        <v>2335.0300000000002</v>
      </c>
      <c r="F13" s="4">
        <f t="shared" si="0"/>
        <v>70050.900000000009</v>
      </c>
      <c r="G13" s="1">
        <f t="shared" si="1"/>
        <v>7.4604208500000011</v>
      </c>
      <c r="H13" s="1">
        <f t="shared" si="2"/>
        <v>3.7302104250000006</v>
      </c>
    </row>
    <row r="14" spans="1:8" x14ac:dyDescent="0.25">
      <c r="A14" s="14">
        <v>12</v>
      </c>
      <c r="B14" s="14" t="s">
        <v>20</v>
      </c>
      <c r="C14" s="15" t="s">
        <v>9</v>
      </c>
      <c r="D14" s="16">
        <v>0</v>
      </c>
      <c r="E14" s="4">
        <v>3290.79</v>
      </c>
      <c r="F14" s="4">
        <f t="shared" si="0"/>
        <v>98723.7</v>
      </c>
      <c r="G14" s="1">
        <f t="shared" si="1"/>
        <v>10.51407405</v>
      </c>
      <c r="H14" s="1">
        <f t="shared" si="2"/>
        <v>5.2570370249999998</v>
      </c>
    </row>
    <row r="15" spans="1:8" x14ac:dyDescent="0.25">
      <c r="A15" s="14">
        <v>13</v>
      </c>
      <c r="B15" s="14" t="s">
        <v>21</v>
      </c>
      <c r="C15" s="15" t="s">
        <v>9</v>
      </c>
      <c r="D15" s="16">
        <v>0</v>
      </c>
      <c r="E15" s="4">
        <v>1102.1600000000001</v>
      </c>
      <c r="F15" s="4">
        <f t="shared" si="0"/>
        <v>33064.800000000003</v>
      </c>
      <c r="G15" s="1">
        <f t="shared" si="1"/>
        <v>3.5214012000000001</v>
      </c>
      <c r="H15" s="1">
        <f t="shared" si="2"/>
        <v>1.7607006000000001</v>
      </c>
    </row>
    <row r="16" spans="1:8" x14ac:dyDescent="0.25">
      <c r="A16" s="14">
        <v>14</v>
      </c>
      <c r="B16" s="14" t="s">
        <v>22</v>
      </c>
      <c r="C16" s="15" t="s">
        <v>9</v>
      </c>
      <c r="D16" s="16">
        <v>0</v>
      </c>
      <c r="E16" s="4">
        <v>5617.18</v>
      </c>
      <c r="F16" s="4">
        <f t="shared" si="0"/>
        <v>168515.40000000002</v>
      </c>
      <c r="G16" s="1">
        <f t="shared" si="1"/>
        <v>17.946890100000001</v>
      </c>
      <c r="H16" s="1">
        <f t="shared" si="2"/>
        <v>8.9734450500000005</v>
      </c>
    </row>
    <row r="17" spans="1:8" x14ac:dyDescent="0.25">
      <c r="A17" s="14">
        <v>15</v>
      </c>
      <c r="B17" s="14" t="s">
        <v>23</v>
      </c>
      <c r="C17" s="15" t="s">
        <v>9</v>
      </c>
      <c r="D17" s="16">
        <v>0</v>
      </c>
      <c r="E17" s="4">
        <v>5591.86</v>
      </c>
      <c r="F17" s="4">
        <f t="shared" si="0"/>
        <v>167755.79999999999</v>
      </c>
      <c r="G17" s="1">
        <f t="shared" si="1"/>
        <v>17.8659927</v>
      </c>
      <c r="H17" s="1">
        <f t="shared" si="2"/>
        <v>8.9329963499999998</v>
      </c>
    </row>
    <row r="18" spans="1:8" x14ac:dyDescent="0.25">
      <c r="A18" s="14">
        <v>16</v>
      </c>
      <c r="B18" s="14" t="s">
        <v>24</v>
      </c>
      <c r="C18" s="15" t="s">
        <v>9</v>
      </c>
      <c r="D18" s="16">
        <v>0</v>
      </c>
      <c r="E18" s="4">
        <v>7685.13</v>
      </c>
      <c r="F18" s="4">
        <f t="shared" si="0"/>
        <v>230553.9</v>
      </c>
      <c r="G18" s="1">
        <f t="shared" si="1"/>
        <v>24.553990349999999</v>
      </c>
      <c r="H18" s="1">
        <f t="shared" si="2"/>
        <v>12.276995175</v>
      </c>
    </row>
    <row r="19" spans="1:8" x14ac:dyDescent="0.25">
      <c r="A19" s="14">
        <v>17</v>
      </c>
      <c r="B19" s="14" t="s">
        <v>25</v>
      </c>
      <c r="C19" s="15" t="s">
        <v>9</v>
      </c>
      <c r="D19" s="16">
        <v>0</v>
      </c>
      <c r="E19" s="4">
        <v>3652.6</v>
      </c>
      <c r="F19" s="4">
        <f t="shared" si="0"/>
        <v>109578</v>
      </c>
      <c r="G19" s="1">
        <f t="shared" si="1"/>
        <v>11.670057</v>
      </c>
      <c r="H19" s="1">
        <f t="shared" si="2"/>
        <v>5.8350285</v>
      </c>
    </row>
    <row r="20" spans="1:8" x14ac:dyDescent="0.25">
      <c r="A20" s="14">
        <v>18</v>
      </c>
      <c r="B20" s="14" t="s">
        <v>26</v>
      </c>
      <c r="C20" s="15" t="s">
        <v>9</v>
      </c>
      <c r="D20" s="16">
        <v>0</v>
      </c>
      <c r="E20" s="4">
        <v>7943.86</v>
      </c>
      <c r="F20" s="4">
        <f t="shared" si="0"/>
        <v>238315.8</v>
      </c>
      <c r="G20" s="1">
        <f t="shared" si="1"/>
        <v>25.3806327</v>
      </c>
      <c r="H20" s="1">
        <f t="shared" si="2"/>
        <v>12.69031635</v>
      </c>
    </row>
    <row r="21" spans="1:8" x14ac:dyDescent="0.25">
      <c r="A21" s="14">
        <v>19</v>
      </c>
      <c r="B21" s="14" t="s">
        <v>27</v>
      </c>
      <c r="C21" s="15" t="s">
        <v>9</v>
      </c>
      <c r="D21" s="16">
        <v>0</v>
      </c>
      <c r="E21" s="4">
        <v>7131.14</v>
      </c>
      <c r="F21" s="4">
        <f t="shared" si="0"/>
        <v>213934.2</v>
      </c>
      <c r="G21" s="1">
        <f t="shared" si="1"/>
        <v>22.783992300000001</v>
      </c>
      <c r="H21" s="1">
        <f t="shared" si="2"/>
        <v>11.391996150000001</v>
      </c>
    </row>
    <row r="22" spans="1:8" x14ac:dyDescent="0.25">
      <c r="A22" s="14">
        <v>20</v>
      </c>
      <c r="B22" s="14" t="s">
        <v>28</v>
      </c>
      <c r="C22" s="15" t="s">
        <v>9</v>
      </c>
      <c r="D22" s="16">
        <v>0</v>
      </c>
      <c r="E22" s="4">
        <v>5245.5</v>
      </c>
      <c r="F22" s="4">
        <f t="shared" si="0"/>
        <v>157365</v>
      </c>
      <c r="G22" s="1">
        <f t="shared" si="1"/>
        <v>16.759372500000001</v>
      </c>
      <c r="H22" s="1">
        <f t="shared" si="2"/>
        <v>8.3796862500000007</v>
      </c>
    </row>
    <row r="23" spans="1:8" x14ac:dyDescent="0.25">
      <c r="A23" s="14">
        <v>21</v>
      </c>
      <c r="B23" s="14" t="s">
        <v>29</v>
      </c>
      <c r="C23" s="15" t="s">
        <v>9</v>
      </c>
      <c r="D23" s="16">
        <v>0</v>
      </c>
      <c r="E23" s="4">
        <v>4229.32</v>
      </c>
      <c r="F23" s="4">
        <f t="shared" si="0"/>
        <v>126879.59999999999</v>
      </c>
      <c r="G23" s="1">
        <f t="shared" si="1"/>
        <v>13.512677399999999</v>
      </c>
      <c r="H23" s="1">
        <f t="shared" si="2"/>
        <v>6.7563386999999997</v>
      </c>
    </row>
    <row r="24" spans="1:8" x14ac:dyDescent="0.25">
      <c r="A24" s="14">
        <v>22</v>
      </c>
      <c r="B24" s="14" t="s">
        <v>30</v>
      </c>
      <c r="C24" s="15" t="s">
        <v>9</v>
      </c>
      <c r="D24" s="16">
        <v>0</v>
      </c>
      <c r="E24" s="4">
        <v>2404.84</v>
      </c>
      <c r="F24" s="4">
        <f t="shared" si="0"/>
        <v>72145.200000000012</v>
      </c>
      <c r="G24" s="1">
        <f t="shared" si="1"/>
        <v>7.6834638000000011</v>
      </c>
      <c r="H24" s="1">
        <f t="shared" si="2"/>
        <v>3.8417319000000005</v>
      </c>
    </row>
    <row r="25" spans="1:8" x14ac:dyDescent="0.25">
      <c r="A25" s="14">
        <v>23</v>
      </c>
      <c r="B25" s="14" t="s">
        <v>31</v>
      </c>
      <c r="C25" s="15" t="s">
        <v>9</v>
      </c>
      <c r="D25" s="16">
        <v>0</v>
      </c>
      <c r="E25" s="4">
        <v>2335.0300000000002</v>
      </c>
      <c r="F25" s="4">
        <f t="shared" si="0"/>
        <v>70050.900000000009</v>
      </c>
      <c r="G25" s="1">
        <f t="shared" si="1"/>
        <v>7.4604208500000011</v>
      </c>
      <c r="H25" s="1">
        <f t="shared" si="2"/>
        <v>3.7302104250000006</v>
      </c>
    </row>
    <row r="26" spans="1:8" x14ac:dyDescent="0.25">
      <c r="A26" s="14">
        <v>24</v>
      </c>
      <c r="B26" s="14" t="s">
        <v>32</v>
      </c>
      <c r="C26" s="15" t="s">
        <v>9</v>
      </c>
      <c r="D26" s="16">
        <v>0</v>
      </c>
      <c r="E26" s="4">
        <v>3290.79</v>
      </c>
      <c r="F26" s="4">
        <f t="shared" si="0"/>
        <v>98723.7</v>
      </c>
      <c r="G26" s="1">
        <f t="shared" si="1"/>
        <v>10.51407405</v>
      </c>
      <c r="H26" s="1">
        <f t="shared" si="2"/>
        <v>5.2570370249999998</v>
      </c>
    </row>
    <row r="27" spans="1:8" x14ac:dyDescent="0.25">
      <c r="A27" s="14">
        <v>25</v>
      </c>
      <c r="B27" s="14" t="s">
        <v>33</v>
      </c>
      <c r="C27" s="15" t="s">
        <v>9</v>
      </c>
      <c r="D27" s="16">
        <v>0</v>
      </c>
      <c r="E27" s="4">
        <v>1102.1600000000001</v>
      </c>
      <c r="F27" s="4">
        <f t="shared" si="0"/>
        <v>33064.800000000003</v>
      </c>
      <c r="G27" s="1">
        <f t="shared" si="1"/>
        <v>3.5214012000000001</v>
      </c>
      <c r="H27" s="1">
        <f t="shared" si="2"/>
        <v>1.7607006000000001</v>
      </c>
    </row>
    <row r="28" spans="1:8" x14ac:dyDescent="0.25">
      <c r="A28" s="14">
        <v>26</v>
      </c>
      <c r="B28" s="14" t="s">
        <v>34</v>
      </c>
      <c r="C28" s="15" t="s">
        <v>9</v>
      </c>
      <c r="D28" s="16">
        <v>0</v>
      </c>
      <c r="E28" s="4">
        <v>5617.18</v>
      </c>
      <c r="F28" s="4">
        <f t="shared" si="0"/>
        <v>168515.40000000002</v>
      </c>
      <c r="G28" s="1">
        <f t="shared" si="1"/>
        <v>17.946890100000001</v>
      </c>
      <c r="H28" s="1">
        <f t="shared" si="2"/>
        <v>8.9734450500000005</v>
      </c>
    </row>
    <row r="29" spans="1:8" x14ac:dyDescent="0.25">
      <c r="A29" s="14">
        <v>27</v>
      </c>
      <c r="B29" s="14" t="s">
        <v>35</v>
      </c>
      <c r="C29" s="15" t="s">
        <v>9</v>
      </c>
      <c r="D29" s="16">
        <v>0</v>
      </c>
      <c r="E29" s="4">
        <v>5591.86</v>
      </c>
      <c r="F29" s="4">
        <f t="shared" si="0"/>
        <v>167755.79999999999</v>
      </c>
      <c r="G29" s="1">
        <f t="shared" si="1"/>
        <v>17.8659927</v>
      </c>
      <c r="H29" s="1">
        <f t="shared" si="2"/>
        <v>8.9329963499999998</v>
      </c>
    </row>
    <row r="30" spans="1:8" x14ac:dyDescent="0.25">
      <c r="A30" s="14">
        <v>28</v>
      </c>
      <c r="B30" s="14" t="s">
        <v>36</v>
      </c>
      <c r="C30" s="15" t="s">
        <v>9</v>
      </c>
      <c r="D30" s="16">
        <v>0</v>
      </c>
      <c r="E30" s="4">
        <v>7685.13</v>
      </c>
      <c r="F30" s="4">
        <f t="shared" si="0"/>
        <v>230553.9</v>
      </c>
      <c r="G30" s="1">
        <f t="shared" si="1"/>
        <v>24.553990349999999</v>
      </c>
      <c r="H30" s="1">
        <f t="shared" si="2"/>
        <v>12.276995175</v>
      </c>
    </row>
    <row r="31" spans="1:8" x14ac:dyDescent="0.25">
      <c r="A31" s="14">
        <v>29</v>
      </c>
      <c r="B31" s="14" t="s">
        <v>37</v>
      </c>
      <c r="C31" s="15" t="s">
        <v>9</v>
      </c>
      <c r="D31" s="16">
        <v>0</v>
      </c>
      <c r="E31" s="4">
        <v>3652.6</v>
      </c>
      <c r="F31" s="4">
        <f t="shared" si="0"/>
        <v>109578</v>
      </c>
      <c r="G31" s="1">
        <f t="shared" si="1"/>
        <v>11.670057</v>
      </c>
      <c r="H31" s="1">
        <f t="shared" si="2"/>
        <v>5.8350285</v>
      </c>
    </row>
    <row r="32" spans="1:8" x14ac:dyDescent="0.25">
      <c r="A32" s="14">
        <v>30</v>
      </c>
      <c r="B32" s="14" t="s">
        <v>38</v>
      </c>
      <c r="C32" s="15" t="s">
        <v>9</v>
      </c>
      <c r="D32" s="16">
        <v>0</v>
      </c>
      <c r="E32" s="4">
        <v>7943.86</v>
      </c>
      <c r="F32" s="4">
        <f t="shared" si="0"/>
        <v>238315.8</v>
      </c>
      <c r="G32" s="1">
        <f t="shared" si="1"/>
        <v>25.3806327</v>
      </c>
      <c r="H32" s="1">
        <f t="shared" si="2"/>
        <v>12.69031635</v>
      </c>
    </row>
    <row r="33" spans="1:8" x14ac:dyDescent="0.25">
      <c r="A33" s="7"/>
      <c r="B33" s="8"/>
      <c r="C33" s="9"/>
      <c r="D33" s="10"/>
      <c r="E33" s="11"/>
      <c r="F33" s="12"/>
      <c r="G33" s="13">
        <f>SUM(G3:G32)</f>
        <v>468.42783209999993</v>
      </c>
      <c r="H33" s="13">
        <f t="shared" ref="H33" si="3">G33/2</f>
        <v>234.21391604999997</v>
      </c>
    </row>
    <row r="35" spans="1:8" x14ac:dyDescent="0.25">
      <c r="G35" s="5"/>
    </row>
    <row r="36" spans="1:8" x14ac:dyDescent="0.25">
      <c r="G36" s="6"/>
    </row>
  </sheetData>
  <autoFilter ref="A2:H32" xr:uid="{71AFA08B-70F2-4916-BAB8-FADBC163AA8D}">
    <sortState xmlns:xlrd2="http://schemas.microsoft.com/office/spreadsheetml/2017/richdata2" ref="A3:H32">
      <sortCondition ref="A2:A32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Alves de Macedo</dc:creator>
  <cp:lastModifiedBy>Daniel Alves de Macedo</cp:lastModifiedBy>
  <dcterms:created xsi:type="dcterms:W3CDTF">2024-06-10T16:53:14Z</dcterms:created>
  <dcterms:modified xsi:type="dcterms:W3CDTF">2026-02-23T18:00:00Z</dcterms:modified>
</cp:coreProperties>
</file>