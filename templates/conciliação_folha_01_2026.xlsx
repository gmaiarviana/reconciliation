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4A300A1C-33C1-46B5-BAE9-E2BEB4D139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cubo" sheetId="2" r:id="rId2"/>
    <sheet name="conciliacao_custos" sheetId="4" r:id="rId3"/>
    <sheet name="conciliação_descontos" sheetId="3" r:id="rId4"/>
  </sheets>
  <externalReferences>
    <externalReference r:id="rId5"/>
  </externalReferences>
  <definedNames>
    <definedName name="_xlnm._FilterDatabase" localSheetId="2" hidden="1">conciliacao_custos!$B$3:$AN$3</definedName>
    <definedName name="_xlnm._FilterDatabase" localSheetId="3" hidden="1">conciliação_descontos!$B$3:$AM$666</definedName>
    <definedName name="_xlnm._FilterDatabase" localSheetId="1" hidden="1">cubo!$A$6:$BO$6</definedName>
    <definedName name="_xlnm._FilterDatabase" localSheetId="0" hidden="1">Sheet!$A$5:$BF$5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P595" i="4" s="1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Q450" i="4" s="1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Q434" i="4" s="1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Q425" i="4" s="1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P416" i="4" s="1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Q398" i="4" s="1"/>
  <c r="C397" i="4"/>
  <c r="B397" i="4"/>
  <c r="C396" i="4"/>
  <c r="B396" i="4"/>
  <c r="C395" i="4"/>
  <c r="B395" i="4"/>
  <c r="C394" i="4"/>
  <c r="B394" i="4"/>
  <c r="I394" i="4" s="1"/>
  <c r="C393" i="4"/>
  <c r="B393" i="4"/>
  <c r="C392" i="4"/>
  <c r="B392" i="4"/>
  <c r="C391" i="4"/>
  <c r="B391" i="4"/>
  <c r="C390" i="4"/>
  <c r="B390" i="4"/>
  <c r="C389" i="4"/>
  <c r="B389" i="4"/>
  <c r="Q389" i="4" s="1"/>
  <c r="C388" i="4"/>
  <c r="B388" i="4"/>
  <c r="C387" i="4"/>
  <c r="B387" i="4"/>
  <c r="C386" i="4"/>
  <c r="B386" i="4"/>
  <c r="C385" i="4"/>
  <c r="B385" i="4"/>
  <c r="H385" i="4" s="1"/>
  <c r="C384" i="4"/>
  <c r="B384" i="4"/>
  <c r="C383" i="4"/>
  <c r="B383" i="4"/>
  <c r="C382" i="4"/>
  <c r="B382" i="4"/>
  <c r="C381" i="4"/>
  <c r="B381" i="4"/>
  <c r="C380" i="4"/>
  <c r="B380" i="4"/>
  <c r="P380" i="4" s="1"/>
  <c r="C379" i="4"/>
  <c r="B379" i="4"/>
  <c r="C378" i="4"/>
  <c r="B378" i="4"/>
  <c r="C377" i="4"/>
  <c r="B377" i="4"/>
  <c r="C376" i="4"/>
  <c r="B376" i="4"/>
  <c r="H376" i="4" s="1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I362" i="4" s="1"/>
  <c r="C361" i="4"/>
  <c r="B361" i="4"/>
  <c r="C360" i="4"/>
  <c r="B360" i="4"/>
  <c r="C359" i="4"/>
  <c r="B359" i="4"/>
  <c r="P359" i="4" s="1"/>
  <c r="C358" i="4"/>
  <c r="B358" i="4"/>
  <c r="C357" i="4"/>
  <c r="B357" i="4"/>
  <c r="C356" i="4"/>
  <c r="B356" i="4"/>
  <c r="I356" i="4" s="1"/>
  <c r="C355" i="4"/>
  <c r="B355" i="4"/>
  <c r="C354" i="4"/>
  <c r="B354" i="4"/>
  <c r="C353" i="4"/>
  <c r="B353" i="4"/>
  <c r="H353" i="4" s="1"/>
  <c r="C352" i="4"/>
  <c r="B352" i="4"/>
  <c r="C351" i="4"/>
  <c r="B351" i="4"/>
  <c r="C350" i="4"/>
  <c r="B350" i="4"/>
  <c r="P350" i="4" s="1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P338" i="4" s="1"/>
  <c r="C337" i="4"/>
  <c r="B337" i="4"/>
  <c r="C336" i="4"/>
  <c r="B336" i="4"/>
  <c r="I336" i="4" s="1"/>
  <c r="C335" i="4"/>
  <c r="B335" i="4"/>
  <c r="C334" i="4"/>
  <c r="B334" i="4"/>
  <c r="H334" i="4" s="1"/>
  <c r="C333" i="4"/>
  <c r="B333" i="4"/>
  <c r="C332" i="4"/>
  <c r="B332" i="4"/>
  <c r="C331" i="4"/>
  <c r="B331" i="4"/>
  <c r="Q331" i="4" s="1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P322" i="4" s="1"/>
  <c r="C321" i="4"/>
  <c r="B321" i="4"/>
  <c r="C320" i="4"/>
  <c r="B320" i="4"/>
  <c r="C319" i="4"/>
  <c r="B319" i="4"/>
  <c r="C318" i="4"/>
  <c r="B318" i="4"/>
  <c r="H318" i="4" s="1"/>
  <c r="C317" i="4"/>
  <c r="B317" i="4"/>
  <c r="C316" i="4"/>
  <c r="B316" i="4"/>
  <c r="C315" i="4"/>
  <c r="B315" i="4"/>
  <c r="C314" i="4"/>
  <c r="B314" i="4"/>
  <c r="C313" i="4"/>
  <c r="B313" i="4"/>
  <c r="P313" i="4" s="1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P306" i="4" s="1"/>
  <c r="C305" i="4"/>
  <c r="B305" i="4"/>
  <c r="C304" i="4"/>
  <c r="B304" i="4"/>
  <c r="C303" i="4"/>
  <c r="B303" i="4"/>
  <c r="C302" i="4"/>
  <c r="B302" i="4"/>
  <c r="H302" i="4" s="1"/>
  <c r="C301" i="4"/>
  <c r="B301" i="4"/>
  <c r="C300" i="4"/>
  <c r="B300" i="4"/>
  <c r="C299" i="4"/>
  <c r="B299" i="4"/>
  <c r="Q299" i="4" s="1"/>
  <c r="C298" i="4"/>
  <c r="B298" i="4"/>
  <c r="C297" i="4"/>
  <c r="B297" i="4"/>
  <c r="P297" i="4" s="1"/>
  <c r="C296" i="4"/>
  <c r="B296" i="4"/>
  <c r="C295" i="4"/>
  <c r="B295" i="4"/>
  <c r="H295" i="4" s="1"/>
  <c r="C294" i="4"/>
  <c r="B294" i="4"/>
  <c r="C293" i="4"/>
  <c r="B293" i="4"/>
  <c r="C292" i="4"/>
  <c r="B292" i="4"/>
  <c r="C291" i="4"/>
  <c r="B291" i="4"/>
  <c r="C290" i="4"/>
  <c r="B290" i="4"/>
  <c r="P290" i="4" s="1"/>
  <c r="C289" i="4"/>
  <c r="B289" i="4"/>
  <c r="C288" i="4"/>
  <c r="B288" i="4"/>
  <c r="C287" i="4"/>
  <c r="B287" i="4"/>
  <c r="C286" i="4"/>
  <c r="B286" i="4"/>
  <c r="P286" i="4" s="1"/>
  <c r="C285" i="4"/>
  <c r="B285" i="4"/>
  <c r="C284" i="4"/>
  <c r="B284" i="4"/>
  <c r="C283" i="4"/>
  <c r="B283" i="4"/>
  <c r="C282" i="4"/>
  <c r="B282" i="4"/>
  <c r="P282" i="4" s="1"/>
  <c r="C281" i="4"/>
  <c r="B281" i="4"/>
  <c r="C280" i="4"/>
  <c r="B280" i="4"/>
  <c r="P280" i="4" s="1"/>
  <c r="C279" i="4"/>
  <c r="B279" i="4"/>
  <c r="C278" i="4"/>
  <c r="B278" i="4"/>
  <c r="P278" i="4" s="1"/>
  <c r="C277" i="4"/>
  <c r="B277" i="4"/>
  <c r="C276" i="4"/>
  <c r="B276" i="4"/>
  <c r="C275" i="4"/>
  <c r="B275" i="4"/>
  <c r="C274" i="4"/>
  <c r="B274" i="4"/>
  <c r="P274" i="4" s="1"/>
  <c r="C273" i="4"/>
  <c r="B273" i="4"/>
  <c r="C272" i="4"/>
  <c r="B272" i="4"/>
  <c r="C271" i="4"/>
  <c r="B271" i="4"/>
  <c r="C270" i="4"/>
  <c r="B270" i="4"/>
  <c r="P270" i="4" s="1"/>
  <c r="C269" i="4"/>
  <c r="B269" i="4"/>
  <c r="C268" i="4"/>
  <c r="B268" i="4"/>
  <c r="C267" i="4"/>
  <c r="B267" i="4"/>
  <c r="C266" i="4"/>
  <c r="B266" i="4"/>
  <c r="P266" i="4" s="1"/>
  <c r="C265" i="4"/>
  <c r="B265" i="4"/>
  <c r="C264" i="4"/>
  <c r="B264" i="4"/>
  <c r="P264" i="4" s="1"/>
  <c r="C263" i="4"/>
  <c r="B263" i="4"/>
  <c r="C262" i="4"/>
  <c r="B262" i="4"/>
  <c r="P262" i="4" s="1"/>
  <c r="C261" i="4"/>
  <c r="B261" i="4"/>
  <c r="C260" i="4"/>
  <c r="B260" i="4"/>
  <c r="C259" i="4"/>
  <c r="B259" i="4"/>
  <c r="C258" i="4"/>
  <c r="B258" i="4"/>
  <c r="P258" i="4" s="1"/>
  <c r="C257" i="4"/>
  <c r="B257" i="4"/>
  <c r="C256" i="4"/>
  <c r="B256" i="4"/>
  <c r="C255" i="4"/>
  <c r="B255" i="4"/>
  <c r="C254" i="4"/>
  <c r="B254" i="4"/>
  <c r="P254" i="4" s="1"/>
  <c r="C253" i="4"/>
  <c r="B253" i="4"/>
  <c r="C252" i="4"/>
  <c r="B252" i="4"/>
  <c r="C251" i="4"/>
  <c r="B251" i="4"/>
  <c r="C250" i="4"/>
  <c r="B250" i="4"/>
  <c r="P250" i="4" s="1"/>
  <c r="C249" i="4"/>
  <c r="B249" i="4"/>
  <c r="C248" i="4"/>
  <c r="B248" i="4"/>
  <c r="P248" i="4" s="1"/>
  <c r="C247" i="4"/>
  <c r="B247" i="4"/>
  <c r="C246" i="4"/>
  <c r="B246" i="4"/>
  <c r="P246" i="4" s="1"/>
  <c r="C245" i="4"/>
  <c r="B245" i="4"/>
  <c r="C244" i="4"/>
  <c r="B244" i="4"/>
  <c r="C243" i="4"/>
  <c r="B243" i="4"/>
  <c r="C242" i="4"/>
  <c r="B242" i="4"/>
  <c r="P242" i="4" s="1"/>
  <c r="C241" i="4"/>
  <c r="B241" i="4"/>
  <c r="C240" i="4"/>
  <c r="B240" i="4"/>
  <c r="C239" i="4"/>
  <c r="B239" i="4"/>
  <c r="C238" i="4"/>
  <c r="B238" i="4"/>
  <c r="P238" i="4" s="1"/>
  <c r="C237" i="4"/>
  <c r="B237" i="4"/>
  <c r="C236" i="4"/>
  <c r="B236" i="4"/>
  <c r="C235" i="4"/>
  <c r="B235" i="4"/>
  <c r="C234" i="4"/>
  <c r="B234" i="4"/>
  <c r="P234" i="4" s="1"/>
  <c r="C233" i="4"/>
  <c r="B233" i="4"/>
  <c r="C232" i="4"/>
  <c r="B232" i="4"/>
  <c r="P232" i="4" s="1"/>
  <c r="C231" i="4"/>
  <c r="B231" i="4"/>
  <c r="C230" i="4"/>
  <c r="B230" i="4"/>
  <c r="P230" i="4" s="1"/>
  <c r="C229" i="4"/>
  <c r="B229" i="4"/>
  <c r="C228" i="4"/>
  <c r="B228" i="4"/>
  <c r="C227" i="4"/>
  <c r="B227" i="4"/>
  <c r="C226" i="4"/>
  <c r="B226" i="4"/>
  <c r="P226" i="4" s="1"/>
  <c r="C225" i="4"/>
  <c r="B225" i="4"/>
  <c r="C224" i="4"/>
  <c r="B224" i="4"/>
  <c r="C223" i="4"/>
  <c r="B223" i="4"/>
  <c r="C222" i="4"/>
  <c r="B222" i="4"/>
  <c r="P222" i="4" s="1"/>
  <c r="C221" i="4"/>
  <c r="B221" i="4"/>
  <c r="C220" i="4"/>
  <c r="B220" i="4"/>
  <c r="C219" i="4"/>
  <c r="B219" i="4"/>
  <c r="C218" i="4"/>
  <c r="B218" i="4"/>
  <c r="P218" i="4" s="1"/>
  <c r="C217" i="4"/>
  <c r="B217" i="4"/>
  <c r="C216" i="4"/>
  <c r="B216" i="4"/>
  <c r="P216" i="4" s="1"/>
  <c r="C215" i="4"/>
  <c r="B215" i="4"/>
  <c r="C214" i="4"/>
  <c r="B214" i="4"/>
  <c r="P214" i="4" s="1"/>
  <c r="C213" i="4"/>
  <c r="B213" i="4"/>
  <c r="C212" i="4"/>
  <c r="B212" i="4"/>
  <c r="C211" i="4"/>
  <c r="B211" i="4"/>
  <c r="C210" i="4"/>
  <c r="B210" i="4"/>
  <c r="P210" i="4" s="1"/>
  <c r="C209" i="4"/>
  <c r="B209" i="4"/>
  <c r="C208" i="4"/>
  <c r="B208" i="4"/>
  <c r="C207" i="4"/>
  <c r="B207" i="4"/>
  <c r="C206" i="4"/>
  <c r="B206" i="4"/>
  <c r="P206" i="4" s="1"/>
  <c r="C205" i="4"/>
  <c r="B205" i="4"/>
  <c r="C204" i="4"/>
  <c r="B204" i="4"/>
  <c r="C203" i="4"/>
  <c r="B203" i="4"/>
  <c r="C202" i="4"/>
  <c r="B202" i="4"/>
  <c r="P202" i="4" s="1"/>
  <c r="C201" i="4"/>
  <c r="B201" i="4"/>
  <c r="C200" i="4"/>
  <c r="B200" i="4"/>
  <c r="P200" i="4" s="1"/>
  <c r="C199" i="4"/>
  <c r="B199" i="4"/>
  <c r="C198" i="4"/>
  <c r="B198" i="4"/>
  <c r="P198" i="4" s="1"/>
  <c r="C197" i="4"/>
  <c r="B197" i="4"/>
  <c r="C196" i="4"/>
  <c r="B196" i="4"/>
  <c r="C195" i="4"/>
  <c r="B195" i="4"/>
  <c r="C194" i="4"/>
  <c r="B194" i="4"/>
  <c r="P194" i="4" s="1"/>
  <c r="C193" i="4"/>
  <c r="B193" i="4"/>
  <c r="C192" i="4"/>
  <c r="B192" i="4"/>
  <c r="C191" i="4"/>
  <c r="B191" i="4"/>
  <c r="C190" i="4"/>
  <c r="B190" i="4"/>
  <c r="P190" i="4" s="1"/>
  <c r="C189" i="4"/>
  <c r="B189" i="4"/>
  <c r="C188" i="4"/>
  <c r="B188" i="4"/>
  <c r="C187" i="4"/>
  <c r="B187" i="4"/>
  <c r="C186" i="4"/>
  <c r="B186" i="4"/>
  <c r="P186" i="4" s="1"/>
  <c r="C185" i="4"/>
  <c r="B185" i="4"/>
  <c r="C184" i="4"/>
  <c r="B184" i="4"/>
  <c r="P184" i="4" s="1"/>
  <c r="C183" i="4"/>
  <c r="B183" i="4"/>
  <c r="C182" i="4"/>
  <c r="B182" i="4"/>
  <c r="P182" i="4" s="1"/>
  <c r="C181" i="4"/>
  <c r="B181" i="4"/>
  <c r="C180" i="4"/>
  <c r="B180" i="4"/>
  <c r="C179" i="4"/>
  <c r="B179" i="4"/>
  <c r="C178" i="4"/>
  <c r="B178" i="4"/>
  <c r="P178" i="4" s="1"/>
  <c r="C177" i="4"/>
  <c r="B177" i="4"/>
  <c r="C176" i="4"/>
  <c r="B176" i="4"/>
  <c r="C175" i="4"/>
  <c r="B175" i="4"/>
  <c r="C174" i="4"/>
  <c r="B174" i="4"/>
  <c r="P174" i="4" s="1"/>
  <c r="C173" i="4"/>
  <c r="B173" i="4"/>
  <c r="C172" i="4"/>
  <c r="B172" i="4"/>
  <c r="C171" i="4"/>
  <c r="B171" i="4"/>
  <c r="C170" i="4"/>
  <c r="B170" i="4"/>
  <c r="P170" i="4" s="1"/>
  <c r="C169" i="4"/>
  <c r="B169" i="4"/>
  <c r="C168" i="4"/>
  <c r="B168" i="4"/>
  <c r="P168" i="4" s="1"/>
  <c r="C167" i="4"/>
  <c r="B167" i="4"/>
  <c r="C166" i="4"/>
  <c r="B166" i="4"/>
  <c r="P166" i="4" s="1"/>
  <c r="C165" i="4"/>
  <c r="B165" i="4"/>
  <c r="C164" i="4"/>
  <c r="B164" i="4"/>
  <c r="C163" i="4"/>
  <c r="B163" i="4"/>
  <c r="F163" i="4" s="1"/>
  <c r="C162" i="4"/>
  <c r="B162" i="4"/>
  <c r="N162" i="4" s="1"/>
  <c r="C161" i="4"/>
  <c r="B161" i="4"/>
  <c r="N161" i="4" s="1"/>
  <c r="C160" i="4"/>
  <c r="B160" i="4"/>
  <c r="C159" i="4"/>
  <c r="B159" i="4"/>
  <c r="N159" i="4" s="1"/>
  <c r="C158" i="4"/>
  <c r="B158" i="4"/>
  <c r="N158" i="4" s="1"/>
  <c r="C157" i="4"/>
  <c r="B157" i="4"/>
  <c r="N157" i="4" s="1"/>
  <c r="C156" i="4"/>
  <c r="B156" i="4"/>
  <c r="C155" i="4"/>
  <c r="B155" i="4"/>
  <c r="N155" i="4" s="1"/>
  <c r="C154" i="4"/>
  <c r="B154" i="4"/>
  <c r="N154" i="4" s="1"/>
  <c r="C153" i="4"/>
  <c r="B153" i="4"/>
  <c r="N153" i="4" s="1"/>
  <c r="C152" i="4"/>
  <c r="B152" i="4"/>
  <c r="C151" i="4"/>
  <c r="B151" i="4"/>
  <c r="F151" i="4" s="1"/>
  <c r="C150" i="4"/>
  <c r="B150" i="4"/>
  <c r="N150" i="4" s="1"/>
  <c r="C149" i="4"/>
  <c r="B149" i="4"/>
  <c r="N149" i="4" s="1"/>
  <c r="C148" i="4"/>
  <c r="B148" i="4"/>
  <c r="C147" i="4"/>
  <c r="B147" i="4"/>
  <c r="C146" i="4"/>
  <c r="B146" i="4"/>
  <c r="N146" i="4" s="1"/>
  <c r="C145" i="4"/>
  <c r="B145" i="4"/>
  <c r="N145" i="4" s="1"/>
  <c r="C144" i="4"/>
  <c r="B144" i="4"/>
  <c r="C143" i="4"/>
  <c r="B143" i="4"/>
  <c r="N143" i="4" s="1"/>
  <c r="C142" i="4"/>
  <c r="B142" i="4"/>
  <c r="N142" i="4" s="1"/>
  <c r="C141" i="4"/>
  <c r="B141" i="4"/>
  <c r="N141" i="4" s="1"/>
  <c r="C140" i="4"/>
  <c r="B140" i="4"/>
  <c r="C139" i="4"/>
  <c r="B139" i="4"/>
  <c r="F139" i="4" s="1"/>
  <c r="C138" i="4"/>
  <c r="B138" i="4"/>
  <c r="N138" i="4" s="1"/>
  <c r="C137" i="4"/>
  <c r="B137" i="4"/>
  <c r="N137" i="4" s="1"/>
  <c r="C136" i="4"/>
  <c r="B136" i="4"/>
  <c r="C135" i="4"/>
  <c r="B135" i="4"/>
  <c r="N135" i="4" s="1"/>
  <c r="C134" i="4"/>
  <c r="B134" i="4"/>
  <c r="N134" i="4" s="1"/>
  <c r="C133" i="4"/>
  <c r="B133" i="4"/>
  <c r="N133" i="4" s="1"/>
  <c r="C132" i="4"/>
  <c r="B132" i="4"/>
  <c r="C131" i="4"/>
  <c r="B131" i="4"/>
  <c r="N131" i="4" s="1"/>
  <c r="C130" i="4"/>
  <c r="B130" i="4"/>
  <c r="N130" i="4" s="1"/>
  <c r="C129" i="4"/>
  <c r="B129" i="4"/>
  <c r="N129" i="4" s="1"/>
  <c r="C128" i="4"/>
  <c r="B128" i="4"/>
  <c r="C127" i="4"/>
  <c r="B127" i="4"/>
  <c r="F127" i="4" s="1"/>
  <c r="C126" i="4"/>
  <c r="B126" i="4"/>
  <c r="N126" i="4" s="1"/>
  <c r="C125" i="4"/>
  <c r="B125" i="4"/>
  <c r="N125" i="4" s="1"/>
  <c r="C124" i="4"/>
  <c r="B124" i="4"/>
  <c r="C123" i="4"/>
  <c r="B123" i="4"/>
  <c r="C122" i="4"/>
  <c r="B122" i="4"/>
  <c r="N122" i="4" s="1"/>
  <c r="C121" i="4"/>
  <c r="B121" i="4"/>
  <c r="N121" i="4" s="1"/>
  <c r="C120" i="4"/>
  <c r="B120" i="4"/>
  <c r="C119" i="4"/>
  <c r="B119" i="4"/>
  <c r="N119" i="4" s="1"/>
  <c r="C118" i="4"/>
  <c r="B118" i="4"/>
  <c r="N118" i="4" s="1"/>
  <c r="C117" i="4"/>
  <c r="B117" i="4"/>
  <c r="N117" i="4" s="1"/>
  <c r="C116" i="4"/>
  <c r="B116" i="4"/>
  <c r="C115" i="4"/>
  <c r="B115" i="4"/>
  <c r="N115" i="4" s="1"/>
  <c r="C114" i="4"/>
  <c r="B114" i="4"/>
  <c r="N114" i="4" s="1"/>
  <c r="C113" i="4"/>
  <c r="B113" i="4"/>
  <c r="N113" i="4" s="1"/>
  <c r="C112" i="4"/>
  <c r="B112" i="4"/>
  <c r="C111" i="4"/>
  <c r="B111" i="4"/>
  <c r="F111" i="4" s="1"/>
  <c r="C110" i="4"/>
  <c r="B110" i="4"/>
  <c r="N110" i="4" s="1"/>
  <c r="C109" i="4"/>
  <c r="B109" i="4"/>
  <c r="N109" i="4" s="1"/>
  <c r="C108" i="4"/>
  <c r="B108" i="4"/>
  <c r="C107" i="4"/>
  <c r="B107" i="4"/>
  <c r="N107" i="4" s="1"/>
  <c r="C106" i="4"/>
  <c r="B106" i="4"/>
  <c r="N106" i="4" s="1"/>
  <c r="C105" i="4"/>
  <c r="B105" i="4"/>
  <c r="N105" i="4" s="1"/>
  <c r="C104" i="4"/>
  <c r="B104" i="4"/>
  <c r="C103" i="4"/>
  <c r="B103" i="4"/>
  <c r="N103" i="4" s="1"/>
  <c r="C102" i="4"/>
  <c r="B102" i="4"/>
  <c r="N102" i="4" s="1"/>
  <c r="C101" i="4"/>
  <c r="B101" i="4"/>
  <c r="N101" i="4" s="1"/>
  <c r="C100" i="4"/>
  <c r="B100" i="4"/>
  <c r="C99" i="4"/>
  <c r="B99" i="4"/>
  <c r="C98" i="4"/>
  <c r="B98" i="4"/>
  <c r="N98" i="4" s="1"/>
  <c r="C97" i="4"/>
  <c r="B97" i="4"/>
  <c r="N97" i="4" s="1"/>
  <c r="C96" i="4"/>
  <c r="B96" i="4"/>
  <c r="C95" i="4"/>
  <c r="B95" i="4"/>
  <c r="C94" i="4"/>
  <c r="B94" i="4"/>
  <c r="N94" i="4" s="1"/>
  <c r="C93" i="4"/>
  <c r="B93" i="4"/>
  <c r="N93" i="4" s="1"/>
  <c r="C92" i="4"/>
  <c r="B92" i="4"/>
  <c r="C91" i="4"/>
  <c r="B91" i="4"/>
  <c r="F91" i="4" s="1"/>
  <c r="C90" i="4"/>
  <c r="B90" i="4"/>
  <c r="N90" i="4" s="1"/>
  <c r="C89" i="4"/>
  <c r="B89" i="4"/>
  <c r="N89" i="4" s="1"/>
  <c r="C88" i="4"/>
  <c r="B88" i="4"/>
  <c r="C87" i="4"/>
  <c r="B87" i="4"/>
  <c r="N87" i="4" s="1"/>
  <c r="C86" i="4"/>
  <c r="B86" i="4"/>
  <c r="N86" i="4" s="1"/>
  <c r="C85" i="4"/>
  <c r="B85" i="4"/>
  <c r="N85" i="4" s="1"/>
  <c r="C84" i="4"/>
  <c r="B84" i="4"/>
  <c r="C83" i="4"/>
  <c r="B83" i="4"/>
  <c r="N83" i="4" s="1"/>
  <c r="C82" i="4"/>
  <c r="B82" i="4"/>
  <c r="N82" i="4" s="1"/>
  <c r="C81" i="4"/>
  <c r="B81" i="4"/>
  <c r="N81" i="4" s="1"/>
  <c r="C80" i="4"/>
  <c r="B80" i="4"/>
  <c r="C79" i="4"/>
  <c r="B79" i="4"/>
  <c r="F79" i="4" s="1"/>
  <c r="C78" i="4"/>
  <c r="B78" i="4"/>
  <c r="N78" i="4" s="1"/>
  <c r="C77" i="4"/>
  <c r="B77" i="4"/>
  <c r="N77" i="4" s="1"/>
  <c r="C76" i="4"/>
  <c r="B76" i="4"/>
  <c r="C75" i="4"/>
  <c r="B75" i="4"/>
  <c r="C74" i="4"/>
  <c r="B74" i="4"/>
  <c r="N74" i="4" s="1"/>
  <c r="C73" i="4"/>
  <c r="B73" i="4"/>
  <c r="N73" i="4" s="1"/>
  <c r="C72" i="4"/>
  <c r="B72" i="4"/>
  <c r="C71" i="4"/>
  <c r="B71" i="4"/>
  <c r="N71" i="4" s="1"/>
  <c r="C70" i="4"/>
  <c r="B70" i="4"/>
  <c r="N70" i="4" s="1"/>
  <c r="C69" i="4"/>
  <c r="B69" i="4"/>
  <c r="N69" i="4" s="1"/>
  <c r="C68" i="4"/>
  <c r="B68" i="4"/>
  <c r="C67" i="4"/>
  <c r="B67" i="4"/>
  <c r="F67" i="4" s="1"/>
  <c r="C66" i="4"/>
  <c r="B66" i="4"/>
  <c r="N66" i="4" s="1"/>
  <c r="C65" i="4"/>
  <c r="B65" i="4"/>
  <c r="N65" i="4" s="1"/>
  <c r="C64" i="4"/>
  <c r="B64" i="4"/>
  <c r="C63" i="4"/>
  <c r="B63" i="4"/>
  <c r="N63" i="4" s="1"/>
  <c r="C62" i="4"/>
  <c r="B62" i="4"/>
  <c r="N62" i="4" s="1"/>
  <c r="C61" i="4"/>
  <c r="B61" i="4"/>
  <c r="N61" i="4" s="1"/>
  <c r="C60" i="4"/>
  <c r="B60" i="4"/>
  <c r="C59" i="4"/>
  <c r="B59" i="4"/>
  <c r="N59" i="4" s="1"/>
  <c r="C58" i="4"/>
  <c r="B58" i="4"/>
  <c r="N58" i="4" s="1"/>
  <c r="C57" i="4"/>
  <c r="B57" i="4"/>
  <c r="N57" i="4" s="1"/>
  <c r="C56" i="4"/>
  <c r="B56" i="4"/>
  <c r="C55" i="4"/>
  <c r="B55" i="4"/>
  <c r="F55" i="4" s="1"/>
  <c r="C54" i="4"/>
  <c r="B54" i="4"/>
  <c r="N54" i="4" s="1"/>
  <c r="C53" i="4"/>
  <c r="B53" i="4"/>
  <c r="N53" i="4" s="1"/>
  <c r="C52" i="4"/>
  <c r="B52" i="4"/>
  <c r="C51" i="4"/>
  <c r="B51" i="4"/>
  <c r="C50" i="4"/>
  <c r="B50" i="4"/>
  <c r="F50" i="4" s="1"/>
  <c r="C49" i="4"/>
  <c r="B49" i="4"/>
  <c r="R49" i="4" s="1"/>
  <c r="C48" i="4"/>
  <c r="B48" i="4"/>
  <c r="J48" i="4" s="1"/>
  <c r="C47" i="4"/>
  <c r="B47" i="4"/>
  <c r="J47" i="4" s="1"/>
  <c r="C46" i="4"/>
  <c r="B46" i="4"/>
  <c r="P46" i="4" s="1"/>
  <c r="C45" i="4"/>
  <c r="B45" i="4"/>
  <c r="R45" i="4" s="1"/>
  <c r="C44" i="4"/>
  <c r="B44" i="4"/>
  <c r="J44" i="4" s="1"/>
  <c r="C43" i="4"/>
  <c r="B43" i="4"/>
  <c r="Q43" i="4" s="1"/>
  <c r="C42" i="4"/>
  <c r="B42" i="4"/>
  <c r="P42" i="4" s="1"/>
  <c r="C41" i="4"/>
  <c r="B41" i="4"/>
  <c r="J41" i="4" s="1"/>
  <c r="C40" i="4"/>
  <c r="B40" i="4"/>
  <c r="S40" i="4" s="1"/>
  <c r="C39" i="4"/>
  <c r="B39" i="4"/>
  <c r="L39" i="4" s="1"/>
  <c r="C38" i="4"/>
  <c r="B38" i="4"/>
  <c r="L38" i="4" s="1"/>
  <c r="C37" i="4"/>
  <c r="B37" i="4"/>
  <c r="L37" i="4" s="1"/>
  <c r="C36" i="4"/>
  <c r="B36" i="4"/>
  <c r="L36" i="4" s="1"/>
  <c r="C35" i="4"/>
  <c r="B35" i="4"/>
  <c r="L35" i="4" s="1"/>
  <c r="C34" i="4"/>
  <c r="B34" i="4"/>
  <c r="L34" i="4" s="1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L21" i="4" s="1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L13" i="4" s="1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L29" i="4" l="1"/>
  <c r="L10" i="4"/>
  <c r="J19" i="4"/>
  <c r="J28" i="4"/>
  <c r="N26" i="4"/>
  <c r="J27" i="4"/>
  <c r="N33" i="4"/>
  <c r="L12" i="4"/>
  <c r="L33" i="4"/>
  <c r="J31" i="4"/>
  <c r="N12" i="4"/>
  <c r="N21" i="4"/>
  <c r="H16" i="4"/>
  <c r="L18" i="4"/>
  <c r="F19" i="4"/>
  <c r="L14" i="4"/>
  <c r="L22" i="4"/>
  <c r="E15" i="4"/>
  <c r="L26" i="4"/>
  <c r="F29" i="4"/>
  <c r="J9" i="4"/>
  <c r="N13" i="4"/>
  <c r="P16" i="4"/>
  <c r="F27" i="4"/>
  <c r="G27" i="4"/>
  <c r="P29" i="4"/>
  <c r="P30" i="4"/>
  <c r="E17" i="4"/>
  <c r="F6" i="4"/>
  <c r="P11" i="3"/>
  <c r="S13" i="4"/>
  <c r="L19" i="4"/>
  <c r="E24" i="4"/>
  <c r="N29" i="4"/>
  <c r="L27" i="4"/>
  <c r="N17" i="4"/>
  <c r="E19" i="4"/>
  <c r="H25" i="4"/>
  <c r="L6" i="4"/>
  <c r="L30" i="4"/>
  <c r="G12" i="4"/>
  <c r="F18" i="4"/>
  <c r="AK19" i="3"/>
  <c r="L25" i="4"/>
  <c r="J26" i="3"/>
  <c r="J27" i="3"/>
  <c r="N30" i="3"/>
  <c r="L20" i="4"/>
  <c r="G29" i="4"/>
  <c r="AK28" i="3"/>
  <c r="L5" i="4"/>
  <c r="L9" i="4"/>
  <c r="L17" i="4"/>
  <c r="G4" i="4"/>
  <c r="P8" i="4"/>
  <c r="J9" i="3"/>
  <c r="G10" i="4"/>
  <c r="P15" i="4"/>
  <c r="N26" i="3"/>
  <c r="J18" i="4"/>
  <c r="L28" i="4"/>
  <c r="G13" i="4"/>
  <c r="P14" i="4"/>
  <c r="J19" i="3"/>
  <c r="AK21" i="3"/>
  <c r="J25" i="4"/>
  <c r="AK16" i="3"/>
  <c r="H16" i="3"/>
  <c r="L7" i="4"/>
  <c r="F4" i="3"/>
  <c r="H6" i="4"/>
  <c r="E8" i="4"/>
  <c r="F10" i="4"/>
  <c r="F4" i="4"/>
  <c r="J14" i="3"/>
  <c r="F32" i="4"/>
  <c r="F17" i="4"/>
  <c r="J22" i="3"/>
  <c r="L23" i="4"/>
  <c r="G24" i="4"/>
  <c r="AK24" i="3"/>
  <c r="F25" i="4"/>
  <c r="E28" i="4"/>
  <c r="J30" i="3"/>
  <c r="AK32" i="3"/>
  <c r="F33" i="4"/>
  <c r="E5" i="4"/>
  <c r="J7" i="3"/>
  <c r="G9" i="4"/>
  <c r="AJ9" i="3"/>
  <c r="J15" i="3"/>
  <c r="L16" i="4"/>
  <c r="G17" i="4"/>
  <c r="AK17" i="3"/>
  <c r="E21" i="4"/>
  <c r="J23" i="3"/>
  <c r="AK25" i="3"/>
  <c r="F26" i="4"/>
  <c r="E29" i="4"/>
  <c r="J31" i="3"/>
  <c r="L32" i="4"/>
  <c r="G33" i="4"/>
  <c r="AJ33" i="3"/>
  <c r="E14" i="4"/>
  <c r="E22" i="4"/>
  <c r="G26" i="4"/>
  <c r="E30" i="4"/>
  <c r="E7" i="4"/>
  <c r="L15" i="4"/>
  <c r="F14" i="4"/>
  <c r="G22" i="4"/>
  <c r="G41" i="4"/>
  <c r="F13" i="4"/>
  <c r="I44" i="4"/>
  <c r="O49" i="4"/>
  <c r="F16" i="4"/>
  <c r="F20" i="4"/>
  <c r="F36" i="4"/>
  <c r="N20" i="4"/>
  <c r="N36" i="4"/>
  <c r="N8" i="4"/>
  <c r="N24" i="4"/>
  <c r="N40" i="4"/>
  <c r="N10" i="4"/>
  <c r="M15" i="4"/>
  <c r="M31" i="4"/>
  <c r="F38" i="4"/>
  <c r="N43" i="4"/>
  <c r="I46" i="4"/>
  <c r="F62" i="4"/>
  <c r="F78" i="4"/>
  <c r="F94" i="4"/>
  <c r="F110" i="4"/>
  <c r="F126" i="4"/>
  <c r="F142" i="4"/>
  <c r="F158" i="4"/>
  <c r="M4" i="4"/>
  <c r="M6" i="4"/>
  <c r="E9" i="4"/>
  <c r="E11" i="4"/>
  <c r="M13" i="4"/>
  <c r="E16" i="4"/>
  <c r="E18" i="4"/>
  <c r="M20" i="4"/>
  <c r="M22" i="4"/>
  <c r="E25" i="4"/>
  <c r="E27" i="4"/>
  <c r="M29" i="4"/>
  <c r="E32" i="4"/>
  <c r="E34" i="4"/>
  <c r="M36" i="4"/>
  <c r="M38" i="4"/>
  <c r="F41" i="4"/>
  <c r="H44" i="4"/>
  <c r="R46" i="4"/>
  <c r="J50" i="4"/>
  <c r="F34" i="4"/>
  <c r="N47" i="4"/>
  <c r="N50" i="4"/>
  <c r="F66" i="4"/>
  <c r="F82" i="4"/>
  <c r="F98" i="4"/>
  <c r="F114" i="4"/>
  <c r="F130" i="4"/>
  <c r="F146" i="4"/>
  <c r="F162" i="4"/>
  <c r="M9" i="4"/>
  <c r="E12" i="4"/>
  <c r="M16" i="4"/>
  <c r="M18" i="4"/>
  <c r="E23" i="4"/>
  <c r="M25" i="4"/>
  <c r="M32" i="4"/>
  <c r="M34" i="4"/>
  <c r="E37" i="4"/>
  <c r="E39" i="4"/>
  <c r="O41" i="4"/>
  <c r="R44" i="4"/>
  <c r="H48" i="4"/>
  <c r="N6" i="4"/>
  <c r="F5" i="4"/>
  <c r="M7" i="4"/>
  <c r="N9" i="4"/>
  <c r="F12" i="4"/>
  <c r="N16" i="4"/>
  <c r="N18" i="4"/>
  <c r="F21" i="4"/>
  <c r="M23" i="4"/>
  <c r="N25" i="4"/>
  <c r="F28" i="4"/>
  <c r="N32" i="4"/>
  <c r="N34" i="4"/>
  <c r="F37" i="4"/>
  <c r="M39" i="4"/>
  <c r="P41" i="4"/>
  <c r="D45" i="4"/>
  <c r="I48" i="4"/>
  <c r="F54" i="4"/>
  <c r="F70" i="4"/>
  <c r="F86" i="4"/>
  <c r="F102" i="4"/>
  <c r="F118" i="4"/>
  <c r="F134" i="4"/>
  <c r="F150" i="4"/>
  <c r="N22" i="4"/>
  <c r="M27" i="4"/>
  <c r="N38" i="4"/>
  <c r="M5" i="4"/>
  <c r="E10" i="4"/>
  <c r="M12" i="4"/>
  <c r="M14" i="4"/>
  <c r="M21" i="4"/>
  <c r="E26" i="4"/>
  <c r="M28" i="4"/>
  <c r="M30" i="4"/>
  <c r="E33" i="4"/>
  <c r="E35" i="4"/>
  <c r="M37" i="4"/>
  <c r="E40" i="4"/>
  <c r="H42" i="4"/>
  <c r="N45" i="4"/>
  <c r="R48" i="4"/>
  <c r="M11" i="4"/>
  <c r="N5" i="4"/>
  <c r="F8" i="4"/>
  <c r="N14" i="4"/>
  <c r="M19" i="4"/>
  <c r="F24" i="4"/>
  <c r="N28" i="4"/>
  <c r="N30" i="4"/>
  <c r="M35" i="4"/>
  <c r="N37" i="4"/>
  <c r="F40" i="4"/>
  <c r="I42" i="4"/>
  <c r="O45" i="4"/>
  <c r="D49" i="4"/>
  <c r="F58" i="4"/>
  <c r="F74" i="4"/>
  <c r="F90" i="4"/>
  <c r="F106" i="4"/>
  <c r="F122" i="4"/>
  <c r="F138" i="4"/>
  <c r="F154" i="4"/>
  <c r="M8" i="4"/>
  <c r="M10" i="4"/>
  <c r="M17" i="4"/>
  <c r="M24" i="4"/>
  <c r="M26" i="4"/>
  <c r="E31" i="4"/>
  <c r="M33" i="4"/>
  <c r="E36" i="4"/>
  <c r="E38" i="4"/>
  <c r="M40" i="4"/>
  <c r="R42" i="4"/>
  <c r="H46" i="4"/>
  <c r="N49" i="4"/>
  <c r="M95" i="4"/>
  <c r="E95" i="4"/>
  <c r="L95" i="4"/>
  <c r="D95" i="4"/>
  <c r="S95" i="4"/>
  <c r="K95" i="4"/>
  <c r="R95" i="4"/>
  <c r="J95" i="4"/>
  <c r="Q95" i="4"/>
  <c r="I95" i="4"/>
  <c r="P95" i="4"/>
  <c r="H95" i="4"/>
  <c r="O95" i="4"/>
  <c r="G95" i="4"/>
  <c r="O187" i="4"/>
  <c r="G187" i="4"/>
  <c r="N187" i="4"/>
  <c r="F187" i="4"/>
  <c r="M187" i="4"/>
  <c r="E187" i="4"/>
  <c r="L187" i="4"/>
  <c r="D187" i="4"/>
  <c r="S187" i="4"/>
  <c r="K187" i="4"/>
  <c r="R187" i="4"/>
  <c r="J187" i="4"/>
  <c r="Q187" i="4"/>
  <c r="P187" i="4"/>
  <c r="I187" i="4"/>
  <c r="H187" i="4"/>
  <c r="O271" i="4"/>
  <c r="G271" i="4"/>
  <c r="N271" i="4"/>
  <c r="F271" i="4"/>
  <c r="M271" i="4"/>
  <c r="E271" i="4"/>
  <c r="L271" i="4"/>
  <c r="D271" i="4"/>
  <c r="S271" i="4"/>
  <c r="K271" i="4"/>
  <c r="R271" i="4"/>
  <c r="J271" i="4"/>
  <c r="Q271" i="4"/>
  <c r="P271" i="4"/>
  <c r="I271" i="4"/>
  <c r="H271" i="4"/>
  <c r="O351" i="4"/>
  <c r="G351" i="4"/>
  <c r="N351" i="4"/>
  <c r="F351" i="4"/>
  <c r="M351" i="4"/>
  <c r="E351" i="4"/>
  <c r="L351" i="4"/>
  <c r="D351" i="4"/>
  <c r="S351" i="4"/>
  <c r="K351" i="4"/>
  <c r="R351" i="4"/>
  <c r="J351" i="4"/>
  <c r="I351" i="4"/>
  <c r="Q351" i="4"/>
  <c r="P351" i="4"/>
  <c r="H351" i="4"/>
  <c r="O431" i="4"/>
  <c r="G431" i="4"/>
  <c r="N431" i="4"/>
  <c r="F431" i="4"/>
  <c r="M431" i="4"/>
  <c r="E431" i="4"/>
  <c r="L431" i="4"/>
  <c r="D431" i="4"/>
  <c r="S431" i="4"/>
  <c r="K431" i="4"/>
  <c r="R431" i="4"/>
  <c r="J431" i="4"/>
  <c r="I431" i="4"/>
  <c r="Q431" i="4"/>
  <c r="P431" i="4"/>
  <c r="H431" i="4"/>
  <c r="O503" i="4"/>
  <c r="G503" i="4"/>
  <c r="N503" i="4"/>
  <c r="F503" i="4"/>
  <c r="M503" i="4"/>
  <c r="E503" i="4"/>
  <c r="L503" i="4"/>
  <c r="D503" i="4"/>
  <c r="S503" i="4"/>
  <c r="K503" i="4"/>
  <c r="R503" i="4"/>
  <c r="J503" i="4"/>
  <c r="I503" i="4"/>
  <c r="H503" i="4"/>
  <c r="Q503" i="4"/>
  <c r="P503" i="4"/>
  <c r="O575" i="4"/>
  <c r="G575" i="4"/>
  <c r="N575" i="4"/>
  <c r="F575" i="4"/>
  <c r="M575" i="4"/>
  <c r="E575" i="4"/>
  <c r="L575" i="4"/>
  <c r="D575" i="4"/>
  <c r="S575" i="4"/>
  <c r="K575" i="4"/>
  <c r="R575" i="4"/>
  <c r="J575" i="4"/>
  <c r="I575" i="4"/>
  <c r="H575" i="4"/>
  <c r="Q575" i="4"/>
  <c r="P575" i="4"/>
  <c r="O639" i="4"/>
  <c r="G639" i="4"/>
  <c r="N639" i="4"/>
  <c r="F639" i="4"/>
  <c r="M639" i="4"/>
  <c r="E639" i="4"/>
  <c r="L639" i="4"/>
  <c r="D639" i="4"/>
  <c r="S639" i="4"/>
  <c r="K639" i="4"/>
  <c r="R639" i="4"/>
  <c r="J639" i="4"/>
  <c r="I639" i="4"/>
  <c r="H639" i="4"/>
  <c r="Q639" i="4"/>
  <c r="P639" i="4"/>
  <c r="AF24" i="3" a="1"/>
  <c r="AF24" i="3" s="1"/>
  <c r="AN24" i="3"/>
  <c r="AE24" i="3"/>
  <c r="W24" i="3"/>
  <c r="O24" i="3"/>
  <c r="AM24" i="3"/>
  <c r="AD24" i="3"/>
  <c r="V24" i="3"/>
  <c r="N24" i="3"/>
  <c r="AL24" i="3"/>
  <c r="AC24" i="3"/>
  <c r="U24" i="3"/>
  <c r="M24" i="3"/>
  <c r="E24" i="3"/>
  <c r="AB24" i="3"/>
  <c r="T24" i="3"/>
  <c r="L24" i="3"/>
  <c r="D24" i="3"/>
  <c r="AJ24" i="3"/>
  <c r="AA24" i="3"/>
  <c r="S24" i="3"/>
  <c r="K24" i="3"/>
  <c r="AI24" i="3"/>
  <c r="Z24" i="3"/>
  <c r="R24" i="3"/>
  <c r="J24" i="3"/>
  <c r="Y24" i="3"/>
  <c r="X24" i="3"/>
  <c r="Q24" i="3"/>
  <c r="P24" i="3"/>
  <c r="I24" i="3"/>
  <c r="AH24" i="3"/>
  <c r="AG24" i="3"/>
  <c r="AF104" i="3" a="1"/>
  <c r="AF104" i="3" s="1"/>
  <c r="AL104" i="3"/>
  <c r="AC104" i="3"/>
  <c r="U104" i="3"/>
  <c r="M104" i="3"/>
  <c r="E104" i="3"/>
  <c r="AK104" i="3"/>
  <c r="AB104" i="3"/>
  <c r="T104" i="3"/>
  <c r="L104" i="3"/>
  <c r="D104" i="3"/>
  <c r="AJ104" i="3"/>
  <c r="AA104" i="3"/>
  <c r="S104" i="3"/>
  <c r="K104" i="3"/>
  <c r="AI104" i="3"/>
  <c r="Z104" i="3"/>
  <c r="R104" i="3"/>
  <c r="J104" i="3"/>
  <c r="AH104" i="3"/>
  <c r="Y104" i="3"/>
  <c r="Q104" i="3"/>
  <c r="I104" i="3"/>
  <c r="AG104" i="3"/>
  <c r="X104" i="3"/>
  <c r="P104" i="3"/>
  <c r="H104" i="3"/>
  <c r="O104" i="3"/>
  <c r="N104" i="3"/>
  <c r="AN104" i="3"/>
  <c r="G104" i="3"/>
  <c r="AM104" i="3"/>
  <c r="F104" i="3"/>
  <c r="AE104" i="3"/>
  <c r="AD104" i="3"/>
  <c r="W104" i="3"/>
  <c r="V104" i="3"/>
  <c r="AF180" i="3" a="1"/>
  <c r="AF180" i="3" s="1"/>
  <c r="AL180" i="3"/>
  <c r="AC180" i="3"/>
  <c r="U180" i="3"/>
  <c r="M180" i="3"/>
  <c r="E180" i="3"/>
  <c r="AK180" i="3"/>
  <c r="AB180" i="3"/>
  <c r="T180" i="3"/>
  <c r="L180" i="3"/>
  <c r="D180" i="3"/>
  <c r="AJ180" i="3"/>
  <c r="AA180" i="3"/>
  <c r="S180" i="3"/>
  <c r="K180" i="3"/>
  <c r="AI180" i="3"/>
  <c r="Z180" i="3"/>
  <c r="R180" i="3"/>
  <c r="J180" i="3"/>
  <c r="AH180" i="3"/>
  <c r="Y180" i="3"/>
  <c r="Q180" i="3"/>
  <c r="I180" i="3"/>
  <c r="AG180" i="3"/>
  <c r="X180" i="3"/>
  <c r="P180" i="3"/>
  <c r="H180" i="3"/>
  <c r="AE180" i="3"/>
  <c r="AD180" i="3"/>
  <c r="W180" i="3"/>
  <c r="V180" i="3"/>
  <c r="O180" i="3"/>
  <c r="N180" i="3"/>
  <c r="AN180" i="3"/>
  <c r="G180" i="3"/>
  <c r="AM180" i="3"/>
  <c r="F180" i="3"/>
  <c r="AF248" i="3" a="1"/>
  <c r="AF248" i="3" s="1"/>
  <c r="AL248" i="3"/>
  <c r="AC248" i="3"/>
  <c r="U248" i="3"/>
  <c r="M248" i="3"/>
  <c r="E248" i="3"/>
  <c r="AK248" i="3"/>
  <c r="AB248" i="3"/>
  <c r="T248" i="3"/>
  <c r="L248" i="3"/>
  <c r="D248" i="3"/>
  <c r="AJ248" i="3"/>
  <c r="AA248" i="3"/>
  <c r="S248" i="3"/>
  <c r="K248" i="3"/>
  <c r="AI248" i="3"/>
  <c r="Z248" i="3"/>
  <c r="R248" i="3"/>
  <c r="J248" i="3"/>
  <c r="AH248" i="3"/>
  <c r="Y248" i="3"/>
  <c r="Q248" i="3"/>
  <c r="I248" i="3"/>
  <c r="AG248" i="3"/>
  <c r="X248" i="3"/>
  <c r="P248" i="3"/>
  <c r="H248" i="3"/>
  <c r="W248" i="3"/>
  <c r="V248" i="3"/>
  <c r="O248" i="3"/>
  <c r="N248" i="3"/>
  <c r="AN248" i="3"/>
  <c r="G248" i="3"/>
  <c r="AM248" i="3"/>
  <c r="F248" i="3"/>
  <c r="AE248" i="3"/>
  <c r="AD248" i="3"/>
  <c r="AF312" i="3" a="1"/>
  <c r="AF312" i="3" s="1"/>
  <c r="AI312" i="3"/>
  <c r="Z312" i="3"/>
  <c r="R312" i="3"/>
  <c r="J312" i="3"/>
  <c r="AH312" i="3"/>
  <c r="Y312" i="3"/>
  <c r="Q312" i="3"/>
  <c r="I312" i="3"/>
  <c r="AG312" i="3"/>
  <c r="X312" i="3"/>
  <c r="P312" i="3"/>
  <c r="H312" i="3"/>
  <c r="AM312" i="3"/>
  <c r="AD312" i="3"/>
  <c r="V312" i="3"/>
  <c r="N312" i="3"/>
  <c r="F312" i="3"/>
  <c r="AL312" i="3"/>
  <c r="AC312" i="3"/>
  <c r="U312" i="3"/>
  <c r="M312" i="3"/>
  <c r="E312" i="3"/>
  <c r="AB312" i="3"/>
  <c r="G312" i="3"/>
  <c r="AA312" i="3"/>
  <c r="D312" i="3"/>
  <c r="W312" i="3"/>
  <c r="T312" i="3"/>
  <c r="AN312" i="3"/>
  <c r="S312" i="3"/>
  <c r="AK312" i="3"/>
  <c r="O312" i="3"/>
  <c r="AJ312" i="3"/>
  <c r="AE312" i="3"/>
  <c r="L312" i="3"/>
  <c r="K312" i="3"/>
  <c r="AF380" i="3" a="1"/>
  <c r="AF380" i="3" s="1"/>
  <c r="AH380" i="3"/>
  <c r="Y380" i="3"/>
  <c r="Q380" i="3"/>
  <c r="I380" i="3"/>
  <c r="AG380" i="3"/>
  <c r="X380" i="3"/>
  <c r="P380" i="3"/>
  <c r="H380" i="3"/>
  <c r="AN380" i="3"/>
  <c r="AE380" i="3"/>
  <c r="W380" i="3"/>
  <c r="O380" i="3"/>
  <c r="G380" i="3"/>
  <c r="AM380" i="3"/>
  <c r="AD380" i="3"/>
  <c r="V380" i="3"/>
  <c r="N380" i="3"/>
  <c r="F380" i="3"/>
  <c r="AL380" i="3"/>
  <c r="AC380" i="3"/>
  <c r="U380" i="3"/>
  <c r="M380" i="3"/>
  <c r="E380" i="3"/>
  <c r="AK380" i="3"/>
  <c r="AB380" i="3"/>
  <c r="T380" i="3"/>
  <c r="L380" i="3"/>
  <c r="D380" i="3"/>
  <c r="S380" i="3"/>
  <c r="R380" i="3"/>
  <c r="K380" i="3"/>
  <c r="J380" i="3"/>
  <c r="AJ380" i="3"/>
  <c r="AI380" i="3"/>
  <c r="AA380" i="3"/>
  <c r="Z380" i="3"/>
  <c r="AF452" i="3" a="1"/>
  <c r="AF452" i="3" s="1"/>
  <c r="AM452" i="3"/>
  <c r="AD452" i="3"/>
  <c r="V452" i="3"/>
  <c r="N452" i="3"/>
  <c r="F452" i="3"/>
  <c r="AL452" i="3"/>
  <c r="AC452" i="3"/>
  <c r="U452" i="3"/>
  <c r="M452" i="3"/>
  <c r="E452" i="3"/>
  <c r="AK452" i="3"/>
  <c r="AB452" i="3"/>
  <c r="T452" i="3"/>
  <c r="L452" i="3"/>
  <c r="D452" i="3"/>
  <c r="AJ452" i="3"/>
  <c r="AA452" i="3"/>
  <c r="S452" i="3"/>
  <c r="K452" i="3"/>
  <c r="AI452" i="3"/>
  <c r="Z452" i="3"/>
  <c r="R452" i="3"/>
  <c r="J452" i="3"/>
  <c r="AH452" i="3"/>
  <c r="Y452" i="3"/>
  <c r="Q452" i="3"/>
  <c r="I452" i="3"/>
  <c r="X452" i="3"/>
  <c r="W452" i="3"/>
  <c r="P452" i="3"/>
  <c r="O452" i="3"/>
  <c r="H452" i="3"/>
  <c r="AN452" i="3"/>
  <c r="G452" i="3"/>
  <c r="AG452" i="3"/>
  <c r="AE452" i="3"/>
  <c r="AF520" i="3" a="1"/>
  <c r="AF520" i="3" s="1"/>
  <c r="AM520" i="3"/>
  <c r="AD520" i="3"/>
  <c r="V520" i="3"/>
  <c r="N520" i="3"/>
  <c r="F520" i="3"/>
  <c r="AL520" i="3"/>
  <c r="AC520" i="3"/>
  <c r="U520" i="3"/>
  <c r="M520" i="3"/>
  <c r="E520" i="3"/>
  <c r="AK520" i="3"/>
  <c r="AB520" i="3"/>
  <c r="T520" i="3"/>
  <c r="L520" i="3"/>
  <c r="D520" i="3"/>
  <c r="AI520" i="3"/>
  <c r="Z520" i="3"/>
  <c r="R520" i="3"/>
  <c r="J520" i="3"/>
  <c r="AH520" i="3"/>
  <c r="Y520" i="3"/>
  <c r="Q520" i="3"/>
  <c r="I520" i="3"/>
  <c r="AJ520" i="3"/>
  <c r="O520" i="3"/>
  <c r="AG520" i="3"/>
  <c r="K520" i="3"/>
  <c r="AE520" i="3"/>
  <c r="H520" i="3"/>
  <c r="AA520" i="3"/>
  <c r="G520" i="3"/>
  <c r="X520" i="3"/>
  <c r="W520" i="3"/>
  <c r="AN520" i="3"/>
  <c r="S520" i="3"/>
  <c r="P520" i="3"/>
  <c r="AF552" i="3" a="1"/>
  <c r="AF552" i="3" s="1"/>
  <c r="AM552" i="3"/>
  <c r="AD552" i="3"/>
  <c r="V552" i="3"/>
  <c r="N552" i="3"/>
  <c r="F552" i="3"/>
  <c r="AL552" i="3"/>
  <c r="AC552" i="3"/>
  <c r="U552" i="3"/>
  <c r="M552" i="3"/>
  <c r="E552" i="3"/>
  <c r="AI552" i="3"/>
  <c r="Z552" i="3"/>
  <c r="R552" i="3"/>
  <c r="J552" i="3"/>
  <c r="AH552" i="3"/>
  <c r="Y552" i="3"/>
  <c r="Q552" i="3"/>
  <c r="I552" i="3"/>
  <c r="AK552" i="3"/>
  <c r="T552" i="3"/>
  <c r="D552" i="3"/>
  <c r="AJ552" i="3"/>
  <c r="S552" i="3"/>
  <c r="AG552" i="3"/>
  <c r="P552" i="3"/>
  <c r="AE552" i="3"/>
  <c r="O552" i="3"/>
  <c r="AB552" i="3"/>
  <c r="L552" i="3"/>
  <c r="AA552" i="3"/>
  <c r="K552" i="3"/>
  <c r="H552" i="3"/>
  <c r="G552" i="3"/>
  <c r="AN552" i="3"/>
  <c r="X552" i="3"/>
  <c r="W552" i="3"/>
  <c r="AF584" i="3" a="1"/>
  <c r="AF584" i="3" s="1"/>
  <c r="AI584" i="3"/>
  <c r="Z584" i="3"/>
  <c r="R584" i="3"/>
  <c r="J584" i="3"/>
  <c r="AH584" i="3"/>
  <c r="Y584" i="3"/>
  <c r="Q584" i="3"/>
  <c r="I584" i="3"/>
  <c r="AG584" i="3"/>
  <c r="X584" i="3"/>
  <c r="P584" i="3"/>
  <c r="H584" i="3"/>
  <c r="AN584" i="3"/>
  <c r="AE584" i="3"/>
  <c r="W584" i="3"/>
  <c r="O584" i="3"/>
  <c r="G584" i="3"/>
  <c r="AM584" i="3"/>
  <c r="AD584" i="3"/>
  <c r="V584" i="3"/>
  <c r="N584" i="3"/>
  <c r="F584" i="3"/>
  <c r="AJ584" i="3"/>
  <c r="L584" i="3"/>
  <c r="AC584" i="3"/>
  <c r="K584" i="3"/>
  <c r="AB584" i="3"/>
  <c r="E584" i="3"/>
  <c r="U584" i="3"/>
  <c r="T584" i="3"/>
  <c r="AL584" i="3"/>
  <c r="AK584" i="3"/>
  <c r="AA584" i="3"/>
  <c r="S584" i="3"/>
  <c r="M584" i="3"/>
  <c r="D584" i="3"/>
  <c r="AF604" i="3" a="1"/>
  <c r="AF604" i="3" s="1"/>
  <c r="AH604" i="3"/>
  <c r="Y604" i="3"/>
  <c r="Q604" i="3"/>
  <c r="I604" i="3"/>
  <c r="AG604" i="3"/>
  <c r="X604" i="3"/>
  <c r="P604" i="3"/>
  <c r="H604" i="3"/>
  <c r="AN604" i="3"/>
  <c r="AE604" i="3"/>
  <c r="W604" i="3"/>
  <c r="O604" i="3"/>
  <c r="G604" i="3"/>
  <c r="AL604" i="3"/>
  <c r="AC604" i="3"/>
  <c r="U604" i="3"/>
  <c r="M604" i="3"/>
  <c r="E604" i="3"/>
  <c r="AK604" i="3"/>
  <c r="AB604" i="3"/>
  <c r="T604" i="3"/>
  <c r="L604" i="3"/>
  <c r="D604" i="3"/>
  <c r="V604" i="3"/>
  <c r="S604" i="3"/>
  <c r="AM604" i="3"/>
  <c r="R604" i="3"/>
  <c r="AJ604" i="3"/>
  <c r="N604" i="3"/>
  <c r="AI604" i="3"/>
  <c r="K604" i="3"/>
  <c r="AA604" i="3"/>
  <c r="Z604" i="3"/>
  <c r="J604" i="3"/>
  <c r="AD604" i="3"/>
  <c r="F604" i="3"/>
  <c r="AF628" i="3" a="1"/>
  <c r="AF628" i="3" s="1"/>
  <c r="AG628" i="3"/>
  <c r="X628" i="3"/>
  <c r="P628" i="3"/>
  <c r="H628" i="3"/>
  <c r="AN628" i="3"/>
  <c r="AE628" i="3"/>
  <c r="W628" i="3"/>
  <c r="O628" i="3"/>
  <c r="G628" i="3"/>
  <c r="AM628" i="3"/>
  <c r="AD628" i="3"/>
  <c r="V628" i="3"/>
  <c r="N628" i="3"/>
  <c r="F628" i="3"/>
  <c r="AL628" i="3"/>
  <c r="AC628" i="3"/>
  <c r="U628" i="3"/>
  <c r="M628" i="3"/>
  <c r="E628" i="3"/>
  <c r="AH628" i="3"/>
  <c r="Q628" i="3"/>
  <c r="AB628" i="3"/>
  <c r="L628" i="3"/>
  <c r="AA628" i="3"/>
  <c r="K628" i="3"/>
  <c r="Z628" i="3"/>
  <c r="J628" i="3"/>
  <c r="Y628" i="3"/>
  <c r="I628" i="3"/>
  <c r="AK628" i="3"/>
  <c r="T628" i="3"/>
  <c r="D628" i="3"/>
  <c r="S628" i="3"/>
  <c r="R628" i="3"/>
  <c r="AJ628" i="3"/>
  <c r="AI628" i="3"/>
  <c r="AI660" i="3"/>
  <c r="Z660" i="3"/>
  <c r="R660" i="3"/>
  <c r="J660" i="3"/>
  <c r="AG660" i="3"/>
  <c r="X660" i="3"/>
  <c r="P660" i="3"/>
  <c r="H660" i="3"/>
  <c r="AF660" i="3" a="1"/>
  <c r="AF660" i="3" s="1"/>
  <c r="AN660" i="3"/>
  <c r="AE660" i="3"/>
  <c r="W660" i="3"/>
  <c r="O660" i="3"/>
  <c r="G660" i="3"/>
  <c r="AM660" i="3"/>
  <c r="AD660" i="3"/>
  <c r="V660" i="3"/>
  <c r="N660" i="3"/>
  <c r="F660" i="3"/>
  <c r="AK660" i="3"/>
  <c r="AB660" i="3"/>
  <c r="T660" i="3"/>
  <c r="L660" i="3"/>
  <c r="D660" i="3"/>
  <c r="AL660" i="3"/>
  <c r="Q660" i="3"/>
  <c r="AJ660" i="3"/>
  <c r="M660" i="3"/>
  <c r="AH660" i="3"/>
  <c r="K660" i="3"/>
  <c r="AC660" i="3"/>
  <c r="I660" i="3"/>
  <c r="AA660" i="3"/>
  <c r="E660" i="3"/>
  <c r="Y660" i="3"/>
  <c r="U660" i="3"/>
  <c r="S660" i="3"/>
  <c r="N19" i="4"/>
  <c r="N23" i="4"/>
  <c r="N27" i="4"/>
  <c r="N31" i="4"/>
  <c r="F35" i="4"/>
  <c r="O43" i="4"/>
  <c r="O4" i="4"/>
  <c r="G5" i="4"/>
  <c r="O5" i="4"/>
  <c r="O6" i="4"/>
  <c r="G7" i="4"/>
  <c r="O7" i="4"/>
  <c r="O8" i="4"/>
  <c r="O9" i="4"/>
  <c r="O10" i="4"/>
  <c r="O11" i="4"/>
  <c r="O12" i="4"/>
  <c r="O13" i="4"/>
  <c r="G14" i="4"/>
  <c r="O14" i="4"/>
  <c r="G15" i="4"/>
  <c r="O15" i="4"/>
  <c r="O16" i="4"/>
  <c r="O17" i="4"/>
  <c r="G18" i="4"/>
  <c r="O18" i="4"/>
  <c r="G19" i="4"/>
  <c r="O19" i="4"/>
  <c r="O20" i="4"/>
  <c r="G21" i="4"/>
  <c r="O21" i="4"/>
  <c r="O22" i="4"/>
  <c r="G23" i="4"/>
  <c r="O23" i="4"/>
  <c r="O24" i="4"/>
  <c r="O25" i="4"/>
  <c r="O26" i="4"/>
  <c r="O27" i="4"/>
  <c r="G28" i="4"/>
  <c r="O28" i="4"/>
  <c r="O29" i="4"/>
  <c r="G30" i="4"/>
  <c r="O30" i="4"/>
  <c r="G31" i="4"/>
  <c r="O31" i="4"/>
  <c r="O32" i="4"/>
  <c r="O33" i="4"/>
  <c r="G34" i="4"/>
  <c r="O34" i="4"/>
  <c r="G35" i="4"/>
  <c r="O35" i="4"/>
  <c r="G36" i="4"/>
  <c r="O36" i="4"/>
  <c r="G37" i="4"/>
  <c r="O37" i="4"/>
  <c r="G38" i="4"/>
  <c r="O38" i="4"/>
  <c r="G39" i="4"/>
  <c r="O39" i="4"/>
  <c r="G40" i="4"/>
  <c r="O40" i="4"/>
  <c r="H41" i="4"/>
  <c r="Q41" i="4"/>
  <c r="J42" i="4"/>
  <c r="F43" i="4"/>
  <c r="P43" i="4"/>
  <c r="F45" i="4"/>
  <c r="P45" i="4"/>
  <c r="J46" i="4"/>
  <c r="F47" i="4"/>
  <c r="P47" i="4"/>
  <c r="F49" i="4"/>
  <c r="P49" i="4"/>
  <c r="O50" i="4"/>
  <c r="M51" i="4"/>
  <c r="E51" i="4"/>
  <c r="L51" i="4"/>
  <c r="D51" i="4"/>
  <c r="S51" i="4"/>
  <c r="K51" i="4"/>
  <c r="R51" i="4"/>
  <c r="J51" i="4"/>
  <c r="Q51" i="4"/>
  <c r="I51" i="4"/>
  <c r="P51" i="4"/>
  <c r="H51" i="4"/>
  <c r="O51" i="4"/>
  <c r="G51" i="4"/>
  <c r="M75" i="4"/>
  <c r="E75" i="4"/>
  <c r="L75" i="4"/>
  <c r="D75" i="4"/>
  <c r="S75" i="4"/>
  <c r="K75" i="4"/>
  <c r="R75" i="4"/>
  <c r="J75" i="4"/>
  <c r="Q75" i="4"/>
  <c r="I75" i="4"/>
  <c r="P75" i="4"/>
  <c r="H75" i="4"/>
  <c r="O75" i="4"/>
  <c r="G75" i="4"/>
  <c r="M99" i="4"/>
  <c r="E99" i="4"/>
  <c r="L99" i="4"/>
  <c r="D99" i="4"/>
  <c r="S99" i="4"/>
  <c r="K99" i="4"/>
  <c r="R99" i="4"/>
  <c r="J99" i="4"/>
  <c r="Q99" i="4"/>
  <c r="I99" i="4"/>
  <c r="P99" i="4"/>
  <c r="H99" i="4"/>
  <c r="O99" i="4"/>
  <c r="G99" i="4"/>
  <c r="M123" i="4"/>
  <c r="E123" i="4"/>
  <c r="L123" i="4"/>
  <c r="D123" i="4"/>
  <c r="S123" i="4"/>
  <c r="K123" i="4"/>
  <c r="R123" i="4"/>
  <c r="J123" i="4"/>
  <c r="Q123" i="4"/>
  <c r="I123" i="4"/>
  <c r="P123" i="4"/>
  <c r="H123" i="4"/>
  <c r="O123" i="4"/>
  <c r="G123" i="4"/>
  <c r="M147" i="4"/>
  <c r="E147" i="4"/>
  <c r="L147" i="4"/>
  <c r="D147" i="4"/>
  <c r="S147" i="4"/>
  <c r="K147" i="4"/>
  <c r="R147" i="4"/>
  <c r="J147" i="4"/>
  <c r="Q147" i="4"/>
  <c r="I147" i="4"/>
  <c r="P147" i="4"/>
  <c r="H147" i="4"/>
  <c r="O147" i="4"/>
  <c r="G147" i="4"/>
  <c r="O171" i="4"/>
  <c r="G171" i="4"/>
  <c r="N171" i="4"/>
  <c r="F171" i="4"/>
  <c r="M171" i="4"/>
  <c r="E171" i="4"/>
  <c r="L171" i="4"/>
  <c r="D171" i="4"/>
  <c r="S171" i="4"/>
  <c r="K171" i="4"/>
  <c r="R171" i="4"/>
  <c r="J171" i="4"/>
  <c r="Q171" i="4"/>
  <c r="P171" i="4"/>
  <c r="I171" i="4"/>
  <c r="H171" i="4"/>
  <c r="O199" i="4"/>
  <c r="G199" i="4"/>
  <c r="N199" i="4"/>
  <c r="F199" i="4"/>
  <c r="M199" i="4"/>
  <c r="E199" i="4"/>
  <c r="L199" i="4"/>
  <c r="D199" i="4"/>
  <c r="S199" i="4"/>
  <c r="K199" i="4"/>
  <c r="R199" i="4"/>
  <c r="J199" i="4"/>
  <c r="Q199" i="4"/>
  <c r="P199" i="4"/>
  <c r="I199" i="4"/>
  <c r="H199" i="4"/>
  <c r="O223" i="4"/>
  <c r="G223" i="4"/>
  <c r="N223" i="4"/>
  <c r="F223" i="4"/>
  <c r="M223" i="4"/>
  <c r="E223" i="4"/>
  <c r="L223" i="4"/>
  <c r="D223" i="4"/>
  <c r="S223" i="4"/>
  <c r="K223" i="4"/>
  <c r="R223" i="4"/>
  <c r="J223" i="4"/>
  <c r="Q223" i="4"/>
  <c r="P223" i="4"/>
  <c r="I223" i="4"/>
  <c r="H223" i="4"/>
  <c r="O243" i="4"/>
  <c r="G243" i="4"/>
  <c r="N243" i="4"/>
  <c r="F243" i="4"/>
  <c r="M243" i="4"/>
  <c r="E243" i="4"/>
  <c r="L243" i="4"/>
  <c r="D243" i="4"/>
  <c r="S243" i="4"/>
  <c r="K243" i="4"/>
  <c r="R243" i="4"/>
  <c r="J243" i="4"/>
  <c r="Q243" i="4"/>
  <c r="P243" i="4"/>
  <c r="I243" i="4"/>
  <c r="H243" i="4"/>
  <c r="O263" i="4"/>
  <c r="G263" i="4"/>
  <c r="N263" i="4"/>
  <c r="F263" i="4"/>
  <c r="M263" i="4"/>
  <c r="E263" i="4"/>
  <c r="L263" i="4"/>
  <c r="D263" i="4"/>
  <c r="S263" i="4"/>
  <c r="K263" i="4"/>
  <c r="R263" i="4"/>
  <c r="J263" i="4"/>
  <c r="Q263" i="4"/>
  <c r="P263" i="4"/>
  <c r="I263" i="4"/>
  <c r="H263" i="4"/>
  <c r="O283" i="4"/>
  <c r="G283" i="4"/>
  <c r="N283" i="4"/>
  <c r="F283" i="4"/>
  <c r="M283" i="4"/>
  <c r="E283" i="4"/>
  <c r="L283" i="4"/>
  <c r="D283" i="4"/>
  <c r="S283" i="4"/>
  <c r="K283" i="4"/>
  <c r="R283" i="4"/>
  <c r="J283" i="4"/>
  <c r="Q283" i="4"/>
  <c r="P283" i="4"/>
  <c r="I283" i="4"/>
  <c r="H283" i="4"/>
  <c r="O299" i="4"/>
  <c r="G299" i="4"/>
  <c r="N299" i="4"/>
  <c r="F299" i="4"/>
  <c r="M299" i="4"/>
  <c r="E299" i="4"/>
  <c r="L299" i="4"/>
  <c r="D299" i="4"/>
  <c r="S299" i="4"/>
  <c r="K299" i="4"/>
  <c r="R299" i="4"/>
  <c r="J299" i="4"/>
  <c r="I299" i="4"/>
  <c r="P299" i="4"/>
  <c r="H299" i="4"/>
  <c r="O319" i="4"/>
  <c r="G319" i="4"/>
  <c r="N319" i="4"/>
  <c r="F319" i="4"/>
  <c r="M319" i="4"/>
  <c r="E319" i="4"/>
  <c r="L319" i="4"/>
  <c r="D319" i="4"/>
  <c r="S319" i="4"/>
  <c r="K319" i="4"/>
  <c r="R319" i="4"/>
  <c r="J319" i="4"/>
  <c r="I319" i="4"/>
  <c r="Q319" i="4"/>
  <c r="P319" i="4"/>
  <c r="H319" i="4"/>
  <c r="O339" i="4"/>
  <c r="G339" i="4"/>
  <c r="N339" i="4"/>
  <c r="F339" i="4"/>
  <c r="M339" i="4"/>
  <c r="E339" i="4"/>
  <c r="L339" i="4"/>
  <c r="D339" i="4"/>
  <c r="S339" i="4"/>
  <c r="K339" i="4"/>
  <c r="R339" i="4"/>
  <c r="J339" i="4"/>
  <c r="I339" i="4"/>
  <c r="Q339" i="4"/>
  <c r="P339" i="4"/>
  <c r="H339" i="4"/>
  <c r="O363" i="4"/>
  <c r="G363" i="4"/>
  <c r="N363" i="4"/>
  <c r="F363" i="4"/>
  <c r="M363" i="4"/>
  <c r="E363" i="4"/>
  <c r="L363" i="4"/>
  <c r="D363" i="4"/>
  <c r="S363" i="4"/>
  <c r="K363" i="4"/>
  <c r="R363" i="4"/>
  <c r="J363" i="4"/>
  <c r="I363" i="4"/>
  <c r="P363" i="4"/>
  <c r="Q363" i="4"/>
  <c r="H363" i="4"/>
  <c r="O387" i="4"/>
  <c r="G387" i="4"/>
  <c r="N387" i="4"/>
  <c r="F387" i="4"/>
  <c r="M387" i="4"/>
  <c r="E387" i="4"/>
  <c r="L387" i="4"/>
  <c r="D387" i="4"/>
  <c r="S387" i="4"/>
  <c r="K387" i="4"/>
  <c r="R387" i="4"/>
  <c r="J387" i="4"/>
  <c r="I387" i="4"/>
  <c r="Q387" i="4"/>
  <c r="P387" i="4"/>
  <c r="H387" i="4"/>
  <c r="O411" i="4"/>
  <c r="G411" i="4"/>
  <c r="N411" i="4"/>
  <c r="F411" i="4"/>
  <c r="M411" i="4"/>
  <c r="E411" i="4"/>
  <c r="L411" i="4"/>
  <c r="D411" i="4"/>
  <c r="S411" i="4"/>
  <c r="K411" i="4"/>
  <c r="R411" i="4"/>
  <c r="J411" i="4"/>
  <c r="I411" i="4"/>
  <c r="H411" i="4"/>
  <c r="P411" i="4"/>
  <c r="Q411" i="4"/>
  <c r="O427" i="4"/>
  <c r="G427" i="4"/>
  <c r="N427" i="4"/>
  <c r="F427" i="4"/>
  <c r="M427" i="4"/>
  <c r="E427" i="4"/>
  <c r="L427" i="4"/>
  <c r="D427" i="4"/>
  <c r="S427" i="4"/>
  <c r="K427" i="4"/>
  <c r="R427" i="4"/>
  <c r="J427" i="4"/>
  <c r="I427" i="4"/>
  <c r="H427" i="4"/>
  <c r="P427" i="4"/>
  <c r="Q427" i="4"/>
  <c r="O451" i="4"/>
  <c r="G451" i="4"/>
  <c r="N451" i="4"/>
  <c r="F451" i="4"/>
  <c r="M451" i="4"/>
  <c r="E451" i="4"/>
  <c r="L451" i="4"/>
  <c r="D451" i="4"/>
  <c r="S451" i="4"/>
  <c r="K451" i="4"/>
  <c r="R451" i="4"/>
  <c r="J451" i="4"/>
  <c r="I451" i="4"/>
  <c r="Q451" i="4"/>
  <c r="P451" i="4"/>
  <c r="H451" i="4"/>
  <c r="O471" i="4"/>
  <c r="G471" i="4"/>
  <c r="N471" i="4"/>
  <c r="F471" i="4"/>
  <c r="M471" i="4"/>
  <c r="E471" i="4"/>
  <c r="L471" i="4"/>
  <c r="D471" i="4"/>
  <c r="S471" i="4"/>
  <c r="K471" i="4"/>
  <c r="R471" i="4"/>
  <c r="J471" i="4"/>
  <c r="I471" i="4"/>
  <c r="H471" i="4"/>
  <c r="Q471" i="4"/>
  <c r="P471" i="4"/>
  <c r="O491" i="4"/>
  <c r="G491" i="4"/>
  <c r="N491" i="4"/>
  <c r="F491" i="4"/>
  <c r="M491" i="4"/>
  <c r="E491" i="4"/>
  <c r="L491" i="4"/>
  <c r="D491" i="4"/>
  <c r="S491" i="4"/>
  <c r="K491" i="4"/>
  <c r="R491" i="4"/>
  <c r="J491" i="4"/>
  <c r="I491" i="4"/>
  <c r="H491" i="4"/>
  <c r="Q491" i="4"/>
  <c r="P491" i="4"/>
  <c r="O519" i="4"/>
  <c r="G519" i="4"/>
  <c r="N519" i="4"/>
  <c r="F519" i="4"/>
  <c r="M519" i="4"/>
  <c r="E519" i="4"/>
  <c r="L519" i="4"/>
  <c r="D519" i="4"/>
  <c r="S519" i="4"/>
  <c r="K519" i="4"/>
  <c r="R519" i="4"/>
  <c r="J519" i="4"/>
  <c r="I519" i="4"/>
  <c r="H519" i="4"/>
  <c r="Q519" i="4"/>
  <c r="P519" i="4"/>
  <c r="O535" i="4"/>
  <c r="G535" i="4"/>
  <c r="N535" i="4"/>
  <c r="F535" i="4"/>
  <c r="M535" i="4"/>
  <c r="E535" i="4"/>
  <c r="L535" i="4"/>
  <c r="D535" i="4"/>
  <c r="S535" i="4"/>
  <c r="K535" i="4"/>
  <c r="R535" i="4"/>
  <c r="J535" i="4"/>
  <c r="I535" i="4"/>
  <c r="H535" i="4"/>
  <c r="Q535" i="4"/>
  <c r="P535" i="4"/>
  <c r="O551" i="4"/>
  <c r="G551" i="4"/>
  <c r="N551" i="4"/>
  <c r="F551" i="4"/>
  <c r="M551" i="4"/>
  <c r="E551" i="4"/>
  <c r="L551" i="4"/>
  <c r="D551" i="4"/>
  <c r="S551" i="4"/>
  <c r="K551" i="4"/>
  <c r="R551" i="4"/>
  <c r="J551" i="4"/>
  <c r="I551" i="4"/>
  <c r="H551" i="4"/>
  <c r="Q551" i="4"/>
  <c r="P551" i="4"/>
  <c r="O571" i="4"/>
  <c r="G571" i="4"/>
  <c r="N571" i="4"/>
  <c r="F571" i="4"/>
  <c r="M571" i="4"/>
  <c r="E571" i="4"/>
  <c r="L571" i="4"/>
  <c r="D571" i="4"/>
  <c r="S571" i="4"/>
  <c r="K571" i="4"/>
  <c r="R571" i="4"/>
  <c r="J571" i="4"/>
  <c r="I571" i="4"/>
  <c r="H571" i="4"/>
  <c r="Q571" i="4"/>
  <c r="P571" i="4"/>
  <c r="O591" i="4"/>
  <c r="G591" i="4"/>
  <c r="N591" i="4"/>
  <c r="F591" i="4"/>
  <c r="M591" i="4"/>
  <c r="E591" i="4"/>
  <c r="L591" i="4"/>
  <c r="D591" i="4"/>
  <c r="S591" i="4"/>
  <c r="K591" i="4"/>
  <c r="R591" i="4"/>
  <c r="J591" i="4"/>
  <c r="I591" i="4"/>
  <c r="H591" i="4"/>
  <c r="Q591" i="4"/>
  <c r="P591" i="4"/>
  <c r="O615" i="4"/>
  <c r="G615" i="4"/>
  <c r="N615" i="4"/>
  <c r="F615" i="4"/>
  <c r="M615" i="4"/>
  <c r="E615" i="4"/>
  <c r="L615" i="4"/>
  <c r="D615" i="4"/>
  <c r="S615" i="4"/>
  <c r="K615" i="4"/>
  <c r="R615" i="4"/>
  <c r="J615" i="4"/>
  <c r="I615" i="4"/>
  <c r="H615" i="4"/>
  <c r="Q615" i="4"/>
  <c r="P615" i="4"/>
  <c r="O663" i="4"/>
  <c r="G663" i="4"/>
  <c r="N663" i="4"/>
  <c r="F663" i="4"/>
  <c r="M663" i="4"/>
  <c r="E663" i="4"/>
  <c r="L663" i="4"/>
  <c r="D663" i="4"/>
  <c r="S663" i="4"/>
  <c r="K663" i="4"/>
  <c r="R663" i="4"/>
  <c r="J663" i="4"/>
  <c r="I663" i="4"/>
  <c r="H663" i="4"/>
  <c r="Q663" i="4"/>
  <c r="P663" i="4"/>
  <c r="AF12" i="3" a="1"/>
  <c r="AF12" i="3" s="1"/>
  <c r="AN12" i="3"/>
  <c r="AE12" i="3"/>
  <c r="W12" i="3"/>
  <c r="O12" i="3"/>
  <c r="AM12" i="3"/>
  <c r="AD12" i="3"/>
  <c r="V12" i="3"/>
  <c r="N12" i="3"/>
  <c r="F12" i="3"/>
  <c r="AL12" i="3"/>
  <c r="AC12" i="3"/>
  <c r="U12" i="3"/>
  <c r="M12" i="3"/>
  <c r="E12" i="3"/>
  <c r="AK12" i="3"/>
  <c r="AB12" i="3"/>
  <c r="T12" i="3"/>
  <c r="L12" i="3"/>
  <c r="D12" i="3"/>
  <c r="AJ12" i="3"/>
  <c r="AA12" i="3"/>
  <c r="S12" i="3"/>
  <c r="K12" i="3"/>
  <c r="AI12" i="3"/>
  <c r="Z12" i="3"/>
  <c r="R12" i="3"/>
  <c r="J12" i="3"/>
  <c r="I12" i="3"/>
  <c r="AH12" i="3"/>
  <c r="AG12" i="3"/>
  <c r="Y12" i="3"/>
  <c r="X12" i="3"/>
  <c r="Q12" i="3"/>
  <c r="P12" i="3"/>
  <c r="AF32" i="3" a="1"/>
  <c r="AF32" i="3" s="1"/>
  <c r="AN32" i="3"/>
  <c r="AE32" i="3"/>
  <c r="W32" i="3"/>
  <c r="O32" i="3"/>
  <c r="AM32" i="3"/>
  <c r="AD32" i="3"/>
  <c r="V32" i="3"/>
  <c r="N32" i="3"/>
  <c r="AL32" i="3"/>
  <c r="AC32" i="3"/>
  <c r="U32" i="3"/>
  <c r="M32" i="3"/>
  <c r="E32" i="3"/>
  <c r="AB32" i="3"/>
  <c r="T32" i="3"/>
  <c r="L32" i="3"/>
  <c r="D32" i="3"/>
  <c r="AJ32" i="3"/>
  <c r="AA32" i="3"/>
  <c r="S32" i="3"/>
  <c r="K32" i="3"/>
  <c r="AI32" i="3"/>
  <c r="Z32" i="3"/>
  <c r="R32" i="3"/>
  <c r="J32" i="3"/>
  <c r="Y32" i="3"/>
  <c r="X32" i="3"/>
  <c r="Q32" i="3"/>
  <c r="I32" i="3"/>
  <c r="H32" i="3"/>
  <c r="AH32" i="3"/>
  <c r="AG32" i="3"/>
  <c r="AF44" i="3" a="1"/>
  <c r="AF44" i="3" s="1"/>
  <c r="AN44" i="3"/>
  <c r="AE44" i="3"/>
  <c r="W44" i="3"/>
  <c r="O44" i="3"/>
  <c r="G44" i="3"/>
  <c r="AM44" i="3"/>
  <c r="AD44" i="3"/>
  <c r="V44" i="3"/>
  <c r="N44" i="3"/>
  <c r="F44" i="3"/>
  <c r="AL44" i="3"/>
  <c r="AC44" i="3"/>
  <c r="U44" i="3"/>
  <c r="M44" i="3"/>
  <c r="E44" i="3"/>
  <c r="AK44" i="3"/>
  <c r="AB44" i="3"/>
  <c r="T44" i="3"/>
  <c r="L44" i="3"/>
  <c r="D44" i="3"/>
  <c r="AJ44" i="3"/>
  <c r="AA44" i="3"/>
  <c r="S44" i="3"/>
  <c r="K44" i="3"/>
  <c r="AI44" i="3"/>
  <c r="Z44" i="3"/>
  <c r="R44" i="3"/>
  <c r="J44" i="3"/>
  <c r="I44" i="3"/>
  <c r="H44" i="3"/>
  <c r="AH44" i="3"/>
  <c r="AG44" i="3"/>
  <c r="Y44" i="3"/>
  <c r="X44" i="3"/>
  <c r="Q44" i="3"/>
  <c r="P44" i="3"/>
  <c r="AF60" i="3" a="1"/>
  <c r="AF60" i="3" s="1"/>
  <c r="AN60" i="3"/>
  <c r="AE60" i="3"/>
  <c r="W60" i="3"/>
  <c r="O60" i="3"/>
  <c r="G60" i="3"/>
  <c r="AM60" i="3"/>
  <c r="AD60" i="3"/>
  <c r="V60" i="3"/>
  <c r="N60" i="3"/>
  <c r="F60" i="3"/>
  <c r="AL60" i="3"/>
  <c r="AC60" i="3"/>
  <c r="U60" i="3"/>
  <c r="M60" i="3"/>
  <c r="E60" i="3"/>
  <c r="AK60" i="3"/>
  <c r="AB60" i="3"/>
  <c r="T60" i="3"/>
  <c r="L60" i="3"/>
  <c r="D60" i="3"/>
  <c r="AJ60" i="3"/>
  <c r="AA60" i="3"/>
  <c r="S60" i="3"/>
  <c r="K60" i="3"/>
  <c r="AI60" i="3"/>
  <c r="Z60" i="3"/>
  <c r="R60" i="3"/>
  <c r="J60" i="3"/>
  <c r="I60" i="3"/>
  <c r="H60" i="3"/>
  <c r="AH60" i="3"/>
  <c r="AG60" i="3"/>
  <c r="Y60" i="3"/>
  <c r="X60" i="3"/>
  <c r="Q60" i="3"/>
  <c r="P60" i="3"/>
  <c r="AF76" i="3" a="1"/>
  <c r="AF76" i="3" s="1"/>
  <c r="AH76" i="3"/>
  <c r="Y76" i="3"/>
  <c r="Q76" i="3"/>
  <c r="I76" i="3"/>
  <c r="AG76" i="3"/>
  <c r="X76" i="3"/>
  <c r="P76" i="3"/>
  <c r="H76" i="3"/>
  <c r="AN76" i="3"/>
  <c r="AE76" i="3"/>
  <c r="W76" i="3"/>
  <c r="O76" i="3"/>
  <c r="G76" i="3"/>
  <c r="AM76" i="3"/>
  <c r="AD76" i="3"/>
  <c r="V76" i="3"/>
  <c r="N76" i="3"/>
  <c r="F76" i="3"/>
  <c r="AL76" i="3"/>
  <c r="AC76" i="3"/>
  <c r="U76" i="3"/>
  <c r="M76" i="3"/>
  <c r="E76" i="3"/>
  <c r="AK76" i="3"/>
  <c r="AB76" i="3"/>
  <c r="T76" i="3"/>
  <c r="L76" i="3"/>
  <c r="D76" i="3"/>
  <c r="R76" i="3"/>
  <c r="K76" i="3"/>
  <c r="J76" i="3"/>
  <c r="AJ76" i="3"/>
  <c r="AI76" i="3"/>
  <c r="AA76" i="3"/>
  <c r="Z76" i="3"/>
  <c r="S76" i="3"/>
  <c r="AF84" i="3" a="1"/>
  <c r="AF84" i="3" s="1"/>
  <c r="AH84" i="3"/>
  <c r="Y84" i="3"/>
  <c r="Q84" i="3"/>
  <c r="I84" i="3"/>
  <c r="AG84" i="3"/>
  <c r="X84" i="3"/>
  <c r="P84" i="3"/>
  <c r="H84" i="3"/>
  <c r="AN84" i="3"/>
  <c r="AE84" i="3"/>
  <c r="W84" i="3"/>
  <c r="O84" i="3"/>
  <c r="G84" i="3"/>
  <c r="AM84" i="3"/>
  <c r="AD84" i="3"/>
  <c r="V84" i="3"/>
  <c r="N84" i="3"/>
  <c r="F84" i="3"/>
  <c r="AL84" i="3"/>
  <c r="AC84" i="3"/>
  <c r="U84" i="3"/>
  <c r="M84" i="3"/>
  <c r="E84" i="3"/>
  <c r="AK84" i="3"/>
  <c r="AB84" i="3"/>
  <c r="T84" i="3"/>
  <c r="L84" i="3"/>
  <c r="D84" i="3"/>
  <c r="R84" i="3"/>
  <c r="K84" i="3"/>
  <c r="J84" i="3"/>
  <c r="AJ84" i="3"/>
  <c r="AI84" i="3"/>
  <c r="AA84" i="3"/>
  <c r="Z84" i="3"/>
  <c r="S84" i="3"/>
  <c r="AF100" i="3" a="1"/>
  <c r="AF100" i="3" s="1"/>
  <c r="AL100" i="3"/>
  <c r="AC100" i="3"/>
  <c r="U100" i="3"/>
  <c r="M100" i="3"/>
  <c r="E100" i="3"/>
  <c r="AK100" i="3"/>
  <c r="AB100" i="3"/>
  <c r="T100" i="3"/>
  <c r="L100" i="3"/>
  <c r="D100" i="3"/>
  <c r="AJ100" i="3"/>
  <c r="AA100" i="3"/>
  <c r="S100" i="3"/>
  <c r="K100" i="3"/>
  <c r="AI100" i="3"/>
  <c r="Z100" i="3"/>
  <c r="R100" i="3"/>
  <c r="J100" i="3"/>
  <c r="AH100" i="3"/>
  <c r="Y100" i="3"/>
  <c r="Q100" i="3"/>
  <c r="I100" i="3"/>
  <c r="AG100" i="3"/>
  <c r="X100" i="3"/>
  <c r="P100" i="3"/>
  <c r="H100" i="3"/>
  <c r="AE100" i="3"/>
  <c r="AD100" i="3"/>
  <c r="W100" i="3"/>
  <c r="V100" i="3"/>
  <c r="O100" i="3"/>
  <c r="N100" i="3"/>
  <c r="AN100" i="3"/>
  <c r="AM100" i="3"/>
  <c r="G100" i="3"/>
  <c r="F100" i="3"/>
  <c r="AF120" i="3" a="1"/>
  <c r="AF120" i="3" s="1"/>
  <c r="AL120" i="3"/>
  <c r="AC120" i="3"/>
  <c r="U120" i="3"/>
  <c r="M120" i="3"/>
  <c r="E120" i="3"/>
  <c r="AK120" i="3"/>
  <c r="AB120" i="3"/>
  <c r="T120" i="3"/>
  <c r="L120" i="3"/>
  <c r="D120" i="3"/>
  <c r="AJ120" i="3"/>
  <c r="AA120" i="3"/>
  <c r="S120" i="3"/>
  <c r="K120" i="3"/>
  <c r="AI120" i="3"/>
  <c r="Z120" i="3"/>
  <c r="R120" i="3"/>
  <c r="J120" i="3"/>
  <c r="AH120" i="3"/>
  <c r="Y120" i="3"/>
  <c r="Q120" i="3"/>
  <c r="I120" i="3"/>
  <c r="AG120" i="3"/>
  <c r="X120" i="3"/>
  <c r="P120" i="3"/>
  <c r="H120" i="3"/>
  <c r="O120" i="3"/>
  <c r="N120" i="3"/>
  <c r="AN120" i="3"/>
  <c r="G120" i="3"/>
  <c r="AM120" i="3"/>
  <c r="F120" i="3"/>
  <c r="AE120" i="3"/>
  <c r="AD120" i="3"/>
  <c r="V120" i="3"/>
  <c r="W120" i="3"/>
  <c r="AF132" i="3" a="1"/>
  <c r="AF132" i="3" s="1"/>
  <c r="AL132" i="3"/>
  <c r="AC132" i="3"/>
  <c r="U132" i="3"/>
  <c r="M132" i="3"/>
  <c r="E132" i="3"/>
  <c r="AK132" i="3"/>
  <c r="AB132" i="3"/>
  <c r="T132" i="3"/>
  <c r="L132" i="3"/>
  <c r="D132" i="3"/>
  <c r="AJ132" i="3"/>
  <c r="AA132" i="3"/>
  <c r="S132" i="3"/>
  <c r="K132" i="3"/>
  <c r="AI132" i="3"/>
  <c r="Z132" i="3"/>
  <c r="R132" i="3"/>
  <c r="J132" i="3"/>
  <c r="AH132" i="3"/>
  <c r="Y132" i="3"/>
  <c r="Q132" i="3"/>
  <c r="I132" i="3"/>
  <c r="AG132" i="3"/>
  <c r="X132" i="3"/>
  <c r="P132" i="3"/>
  <c r="H132" i="3"/>
  <c r="AE132" i="3"/>
  <c r="AD132" i="3"/>
  <c r="W132" i="3"/>
  <c r="V132" i="3"/>
  <c r="O132" i="3"/>
  <c r="N132" i="3"/>
  <c r="AN132" i="3"/>
  <c r="AM132" i="3"/>
  <c r="G132" i="3"/>
  <c r="F132" i="3"/>
  <c r="AF148" i="3" a="1"/>
  <c r="AF148" i="3" s="1"/>
  <c r="AL148" i="3"/>
  <c r="AC148" i="3"/>
  <c r="U148" i="3"/>
  <c r="M148" i="3"/>
  <c r="E148" i="3"/>
  <c r="AK148" i="3"/>
  <c r="AB148" i="3"/>
  <c r="T148" i="3"/>
  <c r="L148" i="3"/>
  <c r="D148" i="3"/>
  <c r="AJ148" i="3"/>
  <c r="AA148" i="3"/>
  <c r="S148" i="3"/>
  <c r="K148" i="3"/>
  <c r="AI148" i="3"/>
  <c r="Z148" i="3"/>
  <c r="R148" i="3"/>
  <c r="J148" i="3"/>
  <c r="AH148" i="3"/>
  <c r="Y148" i="3"/>
  <c r="Q148" i="3"/>
  <c r="I148" i="3"/>
  <c r="AG148" i="3"/>
  <c r="X148" i="3"/>
  <c r="P148" i="3"/>
  <c r="H148" i="3"/>
  <c r="AE148" i="3"/>
  <c r="AD148" i="3"/>
  <c r="W148" i="3"/>
  <c r="V148" i="3"/>
  <c r="O148" i="3"/>
  <c r="N148" i="3"/>
  <c r="AM148" i="3"/>
  <c r="G148" i="3"/>
  <c r="F148" i="3"/>
  <c r="AN148" i="3"/>
  <c r="AF164" i="3" a="1"/>
  <c r="AF164" i="3" s="1"/>
  <c r="AL164" i="3"/>
  <c r="AC164" i="3"/>
  <c r="U164" i="3"/>
  <c r="M164" i="3"/>
  <c r="E164" i="3"/>
  <c r="AK164" i="3"/>
  <c r="AB164" i="3"/>
  <c r="T164" i="3"/>
  <c r="L164" i="3"/>
  <c r="D164" i="3"/>
  <c r="AJ164" i="3"/>
  <c r="AA164" i="3"/>
  <c r="S164" i="3"/>
  <c r="K164" i="3"/>
  <c r="AI164" i="3"/>
  <c r="Z164" i="3"/>
  <c r="R164" i="3"/>
  <c r="J164" i="3"/>
  <c r="AH164" i="3"/>
  <c r="Y164" i="3"/>
  <c r="Q164" i="3"/>
  <c r="I164" i="3"/>
  <c r="AG164" i="3"/>
  <c r="X164" i="3"/>
  <c r="P164" i="3"/>
  <c r="H164" i="3"/>
  <c r="AE164" i="3"/>
  <c r="AD164" i="3"/>
  <c r="W164" i="3"/>
  <c r="V164" i="3"/>
  <c r="O164" i="3"/>
  <c r="N164" i="3"/>
  <c r="AN164" i="3"/>
  <c r="AM164" i="3"/>
  <c r="G164" i="3"/>
  <c r="F164" i="3"/>
  <c r="AF184" i="3" a="1"/>
  <c r="AF184" i="3" s="1"/>
  <c r="AL184" i="3"/>
  <c r="AC184" i="3"/>
  <c r="U184" i="3"/>
  <c r="M184" i="3"/>
  <c r="E184" i="3"/>
  <c r="AK184" i="3"/>
  <c r="AB184" i="3"/>
  <c r="T184" i="3"/>
  <c r="L184" i="3"/>
  <c r="D184" i="3"/>
  <c r="AJ184" i="3"/>
  <c r="AA184" i="3"/>
  <c r="S184" i="3"/>
  <c r="K184" i="3"/>
  <c r="AI184" i="3"/>
  <c r="Z184" i="3"/>
  <c r="R184" i="3"/>
  <c r="J184" i="3"/>
  <c r="AH184" i="3"/>
  <c r="Y184" i="3"/>
  <c r="Q184" i="3"/>
  <c r="I184" i="3"/>
  <c r="AG184" i="3"/>
  <c r="X184" i="3"/>
  <c r="P184" i="3"/>
  <c r="H184" i="3"/>
  <c r="O184" i="3"/>
  <c r="N184" i="3"/>
  <c r="AN184" i="3"/>
  <c r="G184" i="3"/>
  <c r="AM184" i="3"/>
  <c r="F184" i="3"/>
  <c r="AE184" i="3"/>
  <c r="AD184" i="3"/>
  <c r="W184" i="3"/>
  <c r="V184" i="3"/>
  <c r="AF200" i="3" a="1"/>
  <c r="AF200" i="3" s="1"/>
  <c r="AL200" i="3"/>
  <c r="AC200" i="3"/>
  <c r="U200" i="3"/>
  <c r="M200" i="3"/>
  <c r="E200" i="3"/>
  <c r="AK200" i="3"/>
  <c r="AB200" i="3"/>
  <c r="T200" i="3"/>
  <c r="L200" i="3"/>
  <c r="D200" i="3"/>
  <c r="AJ200" i="3"/>
  <c r="AA200" i="3"/>
  <c r="S200" i="3"/>
  <c r="K200" i="3"/>
  <c r="AI200" i="3"/>
  <c r="Z200" i="3"/>
  <c r="R200" i="3"/>
  <c r="J200" i="3"/>
  <c r="AH200" i="3"/>
  <c r="Y200" i="3"/>
  <c r="Q200" i="3"/>
  <c r="I200" i="3"/>
  <c r="AG200" i="3"/>
  <c r="X200" i="3"/>
  <c r="P200" i="3"/>
  <c r="H200" i="3"/>
  <c r="O200" i="3"/>
  <c r="N200" i="3"/>
  <c r="AN200" i="3"/>
  <c r="G200" i="3"/>
  <c r="AM200" i="3"/>
  <c r="F200" i="3"/>
  <c r="AE200" i="3"/>
  <c r="AD200" i="3"/>
  <c r="W200" i="3"/>
  <c r="V200" i="3"/>
  <c r="AF220" i="3" a="1"/>
  <c r="AF220" i="3" s="1"/>
  <c r="AL220" i="3"/>
  <c r="AC220" i="3"/>
  <c r="U220" i="3"/>
  <c r="M220" i="3"/>
  <c r="E220" i="3"/>
  <c r="AK220" i="3"/>
  <c r="AB220" i="3"/>
  <c r="T220" i="3"/>
  <c r="L220" i="3"/>
  <c r="D220" i="3"/>
  <c r="AJ220" i="3"/>
  <c r="AA220" i="3"/>
  <c r="S220" i="3"/>
  <c r="K220" i="3"/>
  <c r="AI220" i="3"/>
  <c r="Z220" i="3"/>
  <c r="R220" i="3"/>
  <c r="J220" i="3"/>
  <c r="AH220" i="3"/>
  <c r="Y220" i="3"/>
  <c r="Q220" i="3"/>
  <c r="I220" i="3"/>
  <c r="AG220" i="3"/>
  <c r="X220" i="3"/>
  <c r="P220" i="3"/>
  <c r="H220" i="3"/>
  <c r="AE220" i="3"/>
  <c r="AD220" i="3"/>
  <c r="W220" i="3"/>
  <c r="V220" i="3"/>
  <c r="O220" i="3"/>
  <c r="N220" i="3"/>
  <c r="AN220" i="3"/>
  <c r="G220" i="3"/>
  <c r="AM220" i="3"/>
  <c r="F220" i="3"/>
  <c r="AF236" i="3" a="1"/>
  <c r="AF236" i="3" s="1"/>
  <c r="AL236" i="3"/>
  <c r="AC236" i="3"/>
  <c r="U236" i="3"/>
  <c r="M236" i="3"/>
  <c r="E236" i="3"/>
  <c r="AK236" i="3"/>
  <c r="AB236" i="3"/>
  <c r="T236" i="3"/>
  <c r="L236" i="3"/>
  <c r="D236" i="3"/>
  <c r="AJ236" i="3"/>
  <c r="AA236" i="3"/>
  <c r="S236" i="3"/>
  <c r="K236" i="3"/>
  <c r="AI236" i="3"/>
  <c r="Z236" i="3"/>
  <c r="R236" i="3"/>
  <c r="J236" i="3"/>
  <c r="AH236" i="3"/>
  <c r="Y236" i="3"/>
  <c r="Q236" i="3"/>
  <c r="I236" i="3"/>
  <c r="AG236" i="3"/>
  <c r="X236" i="3"/>
  <c r="P236" i="3"/>
  <c r="H236" i="3"/>
  <c r="AN236" i="3"/>
  <c r="G236" i="3"/>
  <c r="AM236" i="3"/>
  <c r="F236" i="3"/>
  <c r="AE236" i="3"/>
  <c r="AD236" i="3"/>
  <c r="W236" i="3"/>
  <c r="V236" i="3"/>
  <c r="O236" i="3"/>
  <c r="N236" i="3"/>
  <c r="AF252" i="3" a="1"/>
  <c r="AF252" i="3" s="1"/>
  <c r="AL252" i="3"/>
  <c r="AC252" i="3"/>
  <c r="U252" i="3"/>
  <c r="M252" i="3"/>
  <c r="E252" i="3"/>
  <c r="AK252" i="3"/>
  <c r="AB252" i="3"/>
  <c r="T252" i="3"/>
  <c r="L252" i="3"/>
  <c r="D252" i="3"/>
  <c r="AJ252" i="3"/>
  <c r="AA252" i="3"/>
  <c r="S252" i="3"/>
  <c r="K252" i="3"/>
  <c r="AI252" i="3"/>
  <c r="Z252" i="3"/>
  <c r="R252" i="3"/>
  <c r="J252" i="3"/>
  <c r="AH252" i="3"/>
  <c r="Y252" i="3"/>
  <c r="Q252" i="3"/>
  <c r="I252" i="3"/>
  <c r="AG252" i="3"/>
  <c r="X252" i="3"/>
  <c r="P252" i="3"/>
  <c r="H252" i="3"/>
  <c r="AN252" i="3"/>
  <c r="G252" i="3"/>
  <c r="AM252" i="3"/>
  <c r="F252" i="3"/>
  <c r="AE252" i="3"/>
  <c r="AD252" i="3"/>
  <c r="W252" i="3"/>
  <c r="V252" i="3"/>
  <c r="O252" i="3"/>
  <c r="N252" i="3"/>
  <c r="AF268" i="3" a="1"/>
  <c r="AF268" i="3" s="1"/>
  <c r="AL268" i="3"/>
  <c r="AC268" i="3"/>
  <c r="U268" i="3"/>
  <c r="M268" i="3"/>
  <c r="E268" i="3"/>
  <c r="AK268" i="3"/>
  <c r="AB268" i="3"/>
  <c r="T268" i="3"/>
  <c r="L268" i="3"/>
  <c r="D268" i="3"/>
  <c r="AJ268" i="3"/>
  <c r="AA268" i="3"/>
  <c r="S268" i="3"/>
  <c r="K268" i="3"/>
  <c r="AI268" i="3"/>
  <c r="Z268" i="3"/>
  <c r="R268" i="3"/>
  <c r="J268" i="3"/>
  <c r="AH268" i="3"/>
  <c r="Y268" i="3"/>
  <c r="Q268" i="3"/>
  <c r="I268" i="3"/>
  <c r="AG268" i="3"/>
  <c r="X268" i="3"/>
  <c r="P268" i="3"/>
  <c r="H268" i="3"/>
  <c r="AN268" i="3"/>
  <c r="G268" i="3"/>
  <c r="AM268" i="3"/>
  <c r="F268" i="3"/>
  <c r="AE268" i="3"/>
  <c r="AD268" i="3"/>
  <c r="W268" i="3"/>
  <c r="V268" i="3"/>
  <c r="O268" i="3"/>
  <c r="N268" i="3"/>
  <c r="AF288" i="3" a="1"/>
  <c r="AF288" i="3" s="1"/>
  <c r="AI288" i="3"/>
  <c r="Z288" i="3"/>
  <c r="R288" i="3"/>
  <c r="J288" i="3"/>
  <c r="AH288" i="3"/>
  <c r="Y288" i="3"/>
  <c r="Q288" i="3"/>
  <c r="I288" i="3"/>
  <c r="AG288" i="3"/>
  <c r="X288" i="3"/>
  <c r="P288" i="3"/>
  <c r="H288" i="3"/>
  <c r="AM288" i="3"/>
  <c r="AD288" i="3"/>
  <c r="V288" i="3"/>
  <c r="N288" i="3"/>
  <c r="F288" i="3"/>
  <c r="AL288" i="3"/>
  <c r="AC288" i="3"/>
  <c r="U288" i="3"/>
  <c r="M288" i="3"/>
  <c r="E288" i="3"/>
  <c r="AN288" i="3"/>
  <c r="S288" i="3"/>
  <c r="AK288" i="3"/>
  <c r="O288" i="3"/>
  <c r="AJ288" i="3"/>
  <c r="L288" i="3"/>
  <c r="AE288" i="3"/>
  <c r="K288" i="3"/>
  <c r="AB288" i="3"/>
  <c r="G288" i="3"/>
  <c r="AA288" i="3"/>
  <c r="D288" i="3"/>
  <c r="W288" i="3"/>
  <c r="T288" i="3"/>
  <c r="AF304" i="3" a="1"/>
  <c r="AF304" i="3" s="1"/>
  <c r="AI304" i="3"/>
  <c r="Z304" i="3"/>
  <c r="R304" i="3"/>
  <c r="J304" i="3"/>
  <c r="AH304" i="3"/>
  <c r="Y304" i="3"/>
  <c r="Q304" i="3"/>
  <c r="I304" i="3"/>
  <c r="AG304" i="3"/>
  <c r="X304" i="3"/>
  <c r="P304" i="3"/>
  <c r="H304" i="3"/>
  <c r="AM304" i="3"/>
  <c r="AD304" i="3"/>
  <c r="V304" i="3"/>
  <c r="N304" i="3"/>
  <c r="F304" i="3"/>
  <c r="AL304" i="3"/>
  <c r="AC304" i="3"/>
  <c r="U304" i="3"/>
  <c r="M304" i="3"/>
  <c r="E304" i="3"/>
  <c r="AN304" i="3"/>
  <c r="S304" i="3"/>
  <c r="AK304" i="3"/>
  <c r="O304" i="3"/>
  <c r="AJ304" i="3"/>
  <c r="L304" i="3"/>
  <c r="AE304" i="3"/>
  <c r="K304" i="3"/>
  <c r="AB304" i="3"/>
  <c r="G304" i="3"/>
  <c r="AA304" i="3"/>
  <c r="D304" i="3"/>
  <c r="W304" i="3"/>
  <c r="T304" i="3"/>
  <c r="AF328" i="3" a="1"/>
  <c r="AF328" i="3" s="1"/>
  <c r="AH328" i="3"/>
  <c r="Y328" i="3"/>
  <c r="Q328" i="3"/>
  <c r="I328" i="3"/>
  <c r="AG328" i="3"/>
  <c r="X328" i="3"/>
  <c r="P328" i="3"/>
  <c r="H328" i="3"/>
  <c r="AN328" i="3"/>
  <c r="AE328" i="3"/>
  <c r="W328" i="3"/>
  <c r="O328" i="3"/>
  <c r="G328" i="3"/>
  <c r="AL328" i="3"/>
  <c r="AC328" i="3"/>
  <c r="U328" i="3"/>
  <c r="M328" i="3"/>
  <c r="E328" i="3"/>
  <c r="AJ328" i="3"/>
  <c r="S328" i="3"/>
  <c r="AI328" i="3"/>
  <c r="R328" i="3"/>
  <c r="AD328" i="3"/>
  <c r="N328" i="3"/>
  <c r="AA328" i="3"/>
  <c r="K328" i="3"/>
  <c r="Z328" i="3"/>
  <c r="J328" i="3"/>
  <c r="D328" i="3"/>
  <c r="AM328" i="3"/>
  <c r="AK328" i="3"/>
  <c r="AB328" i="3"/>
  <c r="V328" i="3"/>
  <c r="T328" i="3"/>
  <c r="L328" i="3"/>
  <c r="F328" i="3"/>
  <c r="AF344" i="3" a="1"/>
  <c r="AF344" i="3" s="1"/>
  <c r="AH344" i="3"/>
  <c r="Y344" i="3"/>
  <c r="Q344" i="3"/>
  <c r="I344" i="3"/>
  <c r="AG344" i="3"/>
  <c r="X344" i="3"/>
  <c r="P344" i="3"/>
  <c r="H344" i="3"/>
  <c r="AN344" i="3"/>
  <c r="AE344" i="3"/>
  <c r="W344" i="3"/>
  <c r="O344" i="3"/>
  <c r="G344" i="3"/>
  <c r="AM344" i="3"/>
  <c r="AD344" i="3"/>
  <c r="V344" i="3"/>
  <c r="N344" i="3"/>
  <c r="F344" i="3"/>
  <c r="AL344" i="3"/>
  <c r="AC344" i="3"/>
  <c r="U344" i="3"/>
  <c r="M344" i="3"/>
  <c r="E344" i="3"/>
  <c r="AA344" i="3"/>
  <c r="D344" i="3"/>
  <c r="Z344" i="3"/>
  <c r="T344" i="3"/>
  <c r="AK344" i="3"/>
  <c r="R344" i="3"/>
  <c r="AJ344" i="3"/>
  <c r="L344" i="3"/>
  <c r="AI344" i="3"/>
  <c r="AB344" i="3"/>
  <c r="S344" i="3"/>
  <c r="K344" i="3"/>
  <c r="J344" i="3"/>
  <c r="AF364" i="3" a="1"/>
  <c r="AF364" i="3" s="1"/>
  <c r="AH364" i="3"/>
  <c r="Y364" i="3"/>
  <c r="Q364" i="3"/>
  <c r="I364" i="3"/>
  <c r="AG364" i="3"/>
  <c r="X364" i="3"/>
  <c r="P364" i="3"/>
  <c r="H364" i="3"/>
  <c r="AN364" i="3"/>
  <c r="AE364" i="3"/>
  <c r="W364" i="3"/>
  <c r="O364" i="3"/>
  <c r="G364" i="3"/>
  <c r="AM364" i="3"/>
  <c r="AD364" i="3"/>
  <c r="V364" i="3"/>
  <c r="N364" i="3"/>
  <c r="F364" i="3"/>
  <c r="AL364" i="3"/>
  <c r="AC364" i="3"/>
  <c r="U364" i="3"/>
  <c r="M364" i="3"/>
  <c r="E364" i="3"/>
  <c r="AI364" i="3"/>
  <c r="K364" i="3"/>
  <c r="AB364" i="3"/>
  <c r="J364" i="3"/>
  <c r="AA364" i="3"/>
  <c r="D364" i="3"/>
  <c r="T364" i="3"/>
  <c r="S364" i="3"/>
  <c r="AK364" i="3"/>
  <c r="AJ364" i="3"/>
  <c r="Z364" i="3"/>
  <c r="R364" i="3"/>
  <c r="L364" i="3"/>
  <c r="AF388" i="3" a="1"/>
  <c r="AF388" i="3" s="1"/>
  <c r="AH388" i="3"/>
  <c r="Y388" i="3"/>
  <c r="Q388" i="3"/>
  <c r="I388" i="3"/>
  <c r="AG388" i="3"/>
  <c r="X388" i="3"/>
  <c r="P388" i="3"/>
  <c r="H388" i="3"/>
  <c r="AN388" i="3"/>
  <c r="AE388" i="3"/>
  <c r="W388" i="3"/>
  <c r="O388" i="3"/>
  <c r="G388" i="3"/>
  <c r="AM388" i="3"/>
  <c r="AD388" i="3"/>
  <c r="V388" i="3"/>
  <c r="N388" i="3"/>
  <c r="F388" i="3"/>
  <c r="AL388" i="3"/>
  <c r="AC388" i="3"/>
  <c r="U388" i="3"/>
  <c r="M388" i="3"/>
  <c r="E388" i="3"/>
  <c r="AK388" i="3"/>
  <c r="AB388" i="3"/>
  <c r="T388" i="3"/>
  <c r="L388" i="3"/>
  <c r="D388" i="3"/>
  <c r="S388" i="3"/>
  <c r="R388" i="3"/>
  <c r="K388" i="3"/>
  <c r="J388" i="3"/>
  <c r="AJ388" i="3"/>
  <c r="AI388" i="3"/>
  <c r="Z388" i="3"/>
  <c r="AA388" i="3"/>
  <c r="AF412" i="3" a="1"/>
  <c r="AF412" i="3" s="1"/>
  <c r="AH412" i="3"/>
  <c r="Y412" i="3"/>
  <c r="Q412" i="3"/>
  <c r="I412" i="3"/>
  <c r="AG412" i="3"/>
  <c r="X412" i="3"/>
  <c r="P412" i="3"/>
  <c r="H412" i="3"/>
  <c r="AN412" i="3"/>
  <c r="AE412" i="3"/>
  <c r="W412" i="3"/>
  <c r="O412" i="3"/>
  <c r="G412" i="3"/>
  <c r="AM412" i="3"/>
  <c r="AD412" i="3"/>
  <c r="V412" i="3"/>
  <c r="N412" i="3"/>
  <c r="F412" i="3"/>
  <c r="AL412" i="3"/>
  <c r="AC412" i="3"/>
  <c r="U412" i="3"/>
  <c r="M412" i="3"/>
  <c r="E412" i="3"/>
  <c r="AK412" i="3"/>
  <c r="AB412" i="3"/>
  <c r="T412" i="3"/>
  <c r="L412" i="3"/>
  <c r="D412" i="3"/>
  <c r="S412" i="3"/>
  <c r="R412" i="3"/>
  <c r="K412" i="3"/>
  <c r="J412" i="3"/>
  <c r="AJ412" i="3"/>
  <c r="AI412" i="3"/>
  <c r="AA412" i="3"/>
  <c r="Z412" i="3"/>
  <c r="AF428" i="3" a="1"/>
  <c r="AF428" i="3" s="1"/>
  <c r="AH428" i="3"/>
  <c r="Y428" i="3"/>
  <c r="Q428" i="3"/>
  <c r="I428" i="3"/>
  <c r="AG428" i="3"/>
  <c r="X428" i="3"/>
  <c r="P428" i="3"/>
  <c r="H428" i="3"/>
  <c r="AN428" i="3"/>
  <c r="AE428" i="3"/>
  <c r="W428" i="3"/>
  <c r="O428" i="3"/>
  <c r="G428" i="3"/>
  <c r="AM428" i="3"/>
  <c r="AD428" i="3"/>
  <c r="V428" i="3"/>
  <c r="N428" i="3"/>
  <c r="F428" i="3"/>
  <c r="AL428" i="3"/>
  <c r="AC428" i="3"/>
  <c r="U428" i="3"/>
  <c r="M428" i="3"/>
  <c r="E428" i="3"/>
  <c r="AK428" i="3"/>
  <c r="AB428" i="3"/>
  <c r="T428" i="3"/>
  <c r="L428" i="3"/>
  <c r="D428" i="3"/>
  <c r="S428" i="3"/>
  <c r="R428" i="3"/>
  <c r="K428" i="3"/>
  <c r="J428" i="3"/>
  <c r="AJ428" i="3"/>
  <c r="Z428" i="3"/>
  <c r="AI428" i="3"/>
  <c r="AA428" i="3"/>
  <c r="AF448" i="3" a="1"/>
  <c r="AF448" i="3" s="1"/>
  <c r="AM448" i="3"/>
  <c r="AD448" i="3"/>
  <c r="V448" i="3"/>
  <c r="N448" i="3"/>
  <c r="F448" i="3"/>
  <c r="AL448" i="3"/>
  <c r="AC448" i="3"/>
  <c r="U448" i="3"/>
  <c r="M448" i="3"/>
  <c r="E448" i="3"/>
  <c r="AK448" i="3"/>
  <c r="AB448" i="3"/>
  <c r="T448" i="3"/>
  <c r="L448" i="3"/>
  <c r="D448" i="3"/>
  <c r="AI448" i="3"/>
  <c r="Z448" i="3"/>
  <c r="R448" i="3"/>
  <c r="J448" i="3"/>
  <c r="AH448" i="3"/>
  <c r="Y448" i="3"/>
  <c r="Q448" i="3"/>
  <c r="I448" i="3"/>
  <c r="W448" i="3"/>
  <c r="S448" i="3"/>
  <c r="AN448" i="3"/>
  <c r="P448" i="3"/>
  <c r="AJ448" i="3"/>
  <c r="O448" i="3"/>
  <c r="AG448" i="3"/>
  <c r="K448" i="3"/>
  <c r="AE448" i="3"/>
  <c r="H448" i="3"/>
  <c r="AA448" i="3"/>
  <c r="X448" i="3"/>
  <c r="G448" i="3"/>
  <c r="AF468" i="3" a="1"/>
  <c r="AF468" i="3" s="1"/>
  <c r="AM468" i="3"/>
  <c r="AD468" i="3"/>
  <c r="V468" i="3"/>
  <c r="N468" i="3"/>
  <c r="F468" i="3"/>
  <c r="AL468" i="3"/>
  <c r="AC468" i="3"/>
  <c r="U468" i="3"/>
  <c r="M468" i="3"/>
  <c r="E468" i="3"/>
  <c r="AK468" i="3"/>
  <c r="AB468" i="3"/>
  <c r="T468" i="3"/>
  <c r="L468" i="3"/>
  <c r="D468" i="3"/>
  <c r="AJ468" i="3"/>
  <c r="AA468" i="3"/>
  <c r="S468" i="3"/>
  <c r="K468" i="3"/>
  <c r="AI468" i="3"/>
  <c r="Z468" i="3"/>
  <c r="R468" i="3"/>
  <c r="J468" i="3"/>
  <c r="AH468" i="3"/>
  <c r="Y468" i="3"/>
  <c r="Q468" i="3"/>
  <c r="I468" i="3"/>
  <c r="X468" i="3"/>
  <c r="W468" i="3"/>
  <c r="P468" i="3"/>
  <c r="O468" i="3"/>
  <c r="H468" i="3"/>
  <c r="AN468" i="3"/>
  <c r="G468" i="3"/>
  <c r="AG468" i="3"/>
  <c r="AE468" i="3"/>
  <c r="AF484" i="3" a="1"/>
  <c r="AF484" i="3" s="1"/>
  <c r="AM484" i="3"/>
  <c r="AD484" i="3"/>
  <c r="V484" i="3"/>
  <c r="N484" i="3"/>
  <c r="F484" i="3"/>
  <c r="AL484" i="3"/>
  <c r="AC484" i="3"/>
  <c r="U484" i="3"/>
  <c r="M484" i="3"/>
  <c r="E484" i="3"/>
  <c r="AK484" i="3"/>
  <c r="AB484" i="3"/>
  <c r="T484" i="3"/>
  <c r="L484" i="3"/>
  <c r="D484" i="3"/>
  <c r="AJ484" i="3"/>
  <c r="AA484" i="3"/>
  <c r="S484" i="3"/>
  <c r="K484" i="3"/>
  <c r="AI484" i="3"/>
  <c r="Z484" i="3"/>
  <c r="R484" i="3"/>
  <c r="J484" i="3"/>
  <c r="AH484" i="3"/>
  <c r="Y484" i="3"/>
  <c r="Q484" i="3"/>
  <c r="I484" i="3"/>
  <c r="X484" i="3"/>
  <c r="W484" i="3"/>
  <c r="P484" i="3"/>
  <c r="O484" i="3"/>
  <c r="H484" i="3"/>
  <c r="AN484" i="3"/>
  <c r="G484" i="3"/>
  <c r="AG484" i="3"/>
  <c r="AE484" i="3"/>
  <c r="AF496" i="3" a="1"/>
  <c r="AF496" i="3" s="1"/>
  <c r="AM496" i="3"/>
  <c r="AD496" i="3"/>
  <c r="V496" i="3"/>
  <c r="N496" i="3"/>
  <c r="F496" i="3"/>
  <c r="AL496" i="3"/>
  <c r="AC496" i="3"/>
  <c r="U496" i="3"/>
  <c r="M496" i="3"/>
  <c r="E496" i="3"/>
  <c r="AK496" i="3"/>
  <c r="AB496" i="3"/>
  <c r="T496" i="3"/>
  <c r="L496" i="3"/>
  <c r="D496" i="3"/>
  <c r="AI496" i="3"/>
  <c r="Z496" i="3"/>
  <c r="R496" i="3"/>
  <c r="J496" i="3"/>
  <c r="AH496" i="3"/>
  <c r="Y496" i="3"/>
  <c r="Q496" i="3"/>
  <c r="I496" i="3"/>
  <c r="X496" i="3"/>
  <c r="W496" i="3"/>
  <c r="S496" i="3"/>
  <c r="AN496" i="3"/>
  <c r="P496" i="3"/>
  <c r="AJ496" i="3"/>
  <c r="O496" i="3"/>
  <c r="AG496" i="3"/>
  <c r="K496" i="3"/>
  <c r="AE496" i="3"/>
  <c r="AA496" i="3"/>
  <c r="H496" i="3"/>
  <c r="G496" i="3"/>
  <c r="AF516" i="3" a="1"/>
  <c r="AF516" i="3" s="1"/>
  <c r="AM516" i="3"/>
  <c r="AD516" i="3"/>
  <c r="V516" i="3"/>
  <c r="N516" i="3"/>
  <c r="F516" i="3"/>
  <c r="AL516" i="3"/>
  <c r="AC516" i="3"/>
  <c r="U516" i="3"/>
  <c r="M516" i="3"/>
  <c r="E516" i="3"/>
  <c r="AK516" i="3"/>
  <c r="AB516" i="3"/>
  <c r="T516" i="3"/>
  <c r="L516" i="3"/>
  <c r="D516" i="3"/>
  <c r="AI516" i="3"/>
  <c r="Z516" i="3"/>
  <c r="R516" i="3"/>
  <c r="J516" i="3"/>
  <c r="AH516" i="3"/>
  <c r="Y516" i="3"/>
  <c r="Q516" i="3"/>
  <c r="I516" i="3"/>
  <c r="AE516" i="3"/>
  <c r="H516" i="3"/>
  <c r="AA516" i="3"/>
  <c r="G516" i="3"/>
  <c r="X516" i="3"/>
  <c r="W516" i="3"/>
  <c r="S516" i="3"/>
  <c r="AN516" i="3"/>
  <c r="P516" i="3"/>
  <c r="O516" i="3"/>
  <c r="K516" i="3"/>
  <c r="AJ516" i="3"/>
  <c r="AG516" i="3"/>
  <c r="AF532" i="3" a="1"/>
  <c r="AF532" i="3" s="1"/>
  <c r="AI532" i="3"/>
  <c r="Z532" i="3"/>
  <c r="R532" i="3"/>
  <c r="J532" i="3"/>
  <c r="AH532" i="3"/>
  <c r="Y532" i="3"/>
  <c r="Q532" i="3"/>
  <c r="I532" i="3"/>
  <c r="AG532" i="3"/>
  <c r="X532" i="3"/>
  <c r="P532" i="3"/>
  <c r="H532" i="3"/>
  <c r="AN532" i="3"/>
  <c r="AE532" i="3"/>
  <c r="W532" i="3"/>
  <c r="O532" i="3"/>
  <c r="G532" i="3"/>
  <c r="AM532" i="3"/>
  <c r="AD532" i="3"/>
  <c r="V532" i="3"/>
  <c r="N532" i="3"/>
  <c r="F532" i="3"/>
  <c r="AL532" i="3"/>
  <c r="AC532" i="3"/>
  <c r="U532" i="3"/>
  <c r="M532" i="3"/>
  <c r="E532" i="3"/>
  <c r="L532" i="3"/>
  <c r="K532" i="3"/>
  <c r="AK532" i="3"/>
  <c r="D532" i="3"/>
  <c r="AJ532" i="3"/>
  <c r="AB532" i="3"/>
  <c r="AA532" i="3"/>
  <c r="T532" i="3"/>
  <c r="S532" i="3"/>
  <c r="AF544" i="3" a="1"/>
  <c r="AF544" i="3" s="1"/>
  <c r="AM544" i="3"/>
  <c r="AD544" i="3"/>
  <c r="V544" i="3"/>
  <c r="AL544" i="3"/>
  <c r="AC544" i="3"/>
  <c r="U544" i="3"/>
  <c r="AI544" i="3"/>
  <c r="Z544" i="3"/>
  <c r="R544" i="3"/>
  <c r="AH544" i="3"/>
  <c r="Y544" i="3"/>
  <c r="Q544" i="3"/>
  <c r="AK544" i="3"/>
  <c r="T544" i="3"/>
  <c r="J544" i="3"/>
  <c r="AJ544" i="3"/>
  <c r="S544" i="3"/>
  <c r="I544" i="3"/>
  <c r="AG544" i="3"/>
  <c r="P544" i="3"/>
  <c r="H544" i="3"/>
  <c r="AE544" i="3"/>
  <c r="O544" i="3"/>
  <c r="G544" i="3"/>
  <c r="AB544" i="3"/>
  <c r="N544" i="3"/>
  <c r="F544" i="3"/>
  <c r="AA544" i="3"/>
  <c r="M544" i="3"/>
  <c r="E544" i="3"/>
  <c r="AN544" i="3"/>
  <c r="X544" i="3"/>
  <c r="W544" i="3"/>
  <c r="L544" i="3"/>
  <c r="K544" i="3"/>
  <c r="D544" i="3"/>
  <c r="AF556" i="3" a="1"/>
  <c r="AF556" i="3" s="1"/>
  <c r="AM556" i="3"/>
  <c r="AD556" i="3"/>
  <c r="V556" i="3"/>
  <c r="N556" i="3"/>
  <c r="F556" i="3"/>
  <c r="AL556" i="3"/>
  <c r="AC556" i="3"/>
  <c r="U556" i="3"/>
  <c r="M556" i="3"/>
  <c r="E556" i="3"/>
  <c r="AI556" i="3"/>
  <c r="Z556" i="3"/>
  <c r="R556" i="3"/>
  <c r="J556" i="3"/>
  <c r="AH556" i="3"/>
  <c r="Y556" i="3"/>
  <c r="Q556" i="3"/>
  <c r="I556" i="3"/>
  <c r="AK556" i="3"/>
  <c r="T556" i="3"/>
  <c r="D556" i="3"/>
  <c r="AJ556" i="3"/>
  <c r="S556" i="3"/>
  <c r="AG556" i="3"/>
  <c r="P556" i="3"/>
  <c r="AE556" i="3"/>
  <c r="O556" i="3"/>
  <c r="AB556" i="3"/>
  <c r="L556" i="3"/>
  <c r="AA556" i="3"/>
  <c r="K556" i="3"/>
  <c r="AN556" i="3"/>
  <c r="X556" i="3"/>
  <c r="W556" i="3"/>
  <c r="H556" i="3"/>
  <c r="G556" i="3"/>
  <c r="AF580" i="3" a="1"/>
  <c r="AF580" i="3" s="1"/>
  <c r="AI580" i="3"/>
  <c r="Z580" i="3"/>
  <c r="R580" i="3"/>
  <c r="J580" i="3"/>
  <c r="AH580" i="3"/>
  <c r="Y580" i="3"/>
  <c r="Q580" i="3"/>
  <c r="I580" i="3"/>
  <c r="AG580" i="3"/>
  <c r="X580" i="3"/>
  <c r="P580" i="3"/>
  <c r="H580" i="3"/>
  <c r="AN580" i="3"/>
  <c r="AE580" i="3"/>
  <c r="W580" i="3"/>
  <c r="O580" i="3"/>
  <c r="G580" i="3"/>
  <c r="AM580" i="3"/>
  <c r="AD580" i="3"/>
  <c r="V580" i="3"/>
  <c r="N580" i="3"/>
  <c r="F580" i="3"/>
  <c r="AB580" i="3"/>
  <c r="E580" i="3"/>
  <c r="AA580" i="3"/>
  <c r="D580" i="3"/>
  <c r="U580" i="3"/>
  <c r="AL580" i="3"/>
  <c r="S580" i="3"/>
  <c r="AK580" i="3"/>
  <c r="M580" i="3"/>
  <c r="L580" i="3"/>
  <c r="K580" i="3"/>
  <c r="AJ580" i="3"/>
  <c r="AC580" i="3"/>
  <c r="T580" i="3"/>
  <c r="AF608" i="3" a="1"/>
  <c r="AF608" i="3" s="1"/>
  <c r="AH608" i="3"/>
  <c r="Y608" i="3"/>
  <c r="Q608" i="3"/>
  <c r="I608" i="3"/>
  <c r="AG608" i="3"/>
  <c r="X608" i="3"/>
  <c r="P608" i="3"/>
  <c r="H608" i="3"/>
  <c r="AN608" i="3"/>
  <c r="AE608" i="3"/>
  <c r="W608" i="3"/>
  <c r="O608" i="3"/>
  <c r="G608" i="3"/>
  <c r="AL608" i="3"/>
  <c r="AC608" i="3"/>
  <c r="U608" i="3"/>
  <c r="M608" i="3"/>
  <c r="E608" i="3"/>
  <c r="AK608" i="3"/>
  <c r="AB608" i="3"/>
  <c r="T608" i="3"/>
  <c r="L608" i="3"/>
  <c r="D608" i="3"/>
  <c r="AA608" i="3"/>
  <c r="F608" i="3"/>
  <c r="Z608" i="3"/>
  <c r="V608" i="3"/>
  <c r="S608" i="3"/>
  <c r="AM608" i="3"/>
  <c r="R608" i="3"/>
  <c r="AJ608" i="3"/>
  <c r="AD608" i="3"/>
  <c r="N608" i="3"/>
  <c r="AI608" i="3"/>
  <c r="K608" i="3"/>
  <c r="J608" i="3"/>
  <c r="AF648" i="3" a="1"/>
  <c r="AF648" i="3" s="1"/>
  <c r="AI648" i="3"/>
  <c r="Z648" i="3"/>
  <c r="R648" i="3"/>
  <c r="J648" i="3"/>
  <c r="AH648" i="3"/>
  <c r="Y648" i="3"/>
  <c r="Q648" i="3"/>
  <c r="I648" i="3"/>
  <c r="AN648" i="3"/>
  <c r="AE648" i="3"/>
  <c r="W648" i="3"/>
  <c r="O648" i="3"/>
  <c r="G648" i="3"/>
  <c r="AM648" i="3"/>
  <c r="AD648" i="3"/>
  <c r="V648" i="3"/>
  <c r="N648" i="3"/>
  <c r="F648" i="3"/>
  <c r="AL648" i="3"/>
  <c r="U648" i="3"/>
  <c r="E648" i="3"/>
  <c r="AK648" i="3"/>
  <c r="T648" i="3"/>
  <c r="D648" i="3"/>
  <c r="AJ648" i="3"/>
  <c r="S648" i="3"/>
  <c r="AG648" i="3"/>
  <c r="P648" i="3"/>
  <c r="AC648" i="3"/>
  <c r="M648" i="3"/>
  <c r="AB648" i="3"/>
  <c r="L648" i="3"/>
  <c r="AA648" i="3"/>
  <c r="X648" i="3"/>
  <c r="K648" i="3"/>
  <c r="H648" i="3"/>
  <c r="M44" i="4"/>
  <c r="E44" i="4"/>
  <c r="S44" i="4"/>
  <c r="K44" i="4"/>
  <c r="M48" i="4"/>
  <c r="E48" i="4"/>
  <c r="S48" i="4"/>
  <c r="K48" i="4"/>
  <c r="M52" i="4"/>
  <c r="E52" i="4"/>
  <c r="L52" i="4"/>
  <c r="D52" i="4"/>
  <c r="S52" i="4"/>
  <c r="K52" i="4"/>
  <c r="R52" i="4"/>
  <c r="J52" i="4"/>
  <c r="Q52" i="4"/>
  <c r="I52" i="4"/>
  <c r="P52" i="4"/>
  <c r="H52" i="4"/>
  <c r="O52" i="4"/>
  <c r="G52" i="4"/>
  <c r="M56" i="4"/>
  <c r="E56" i="4"/>
  <c r="L56" i="4"/>
  <c r="D56" i="4"/>
  <c r="S56" i="4"/>
  <c r="K56" i="4"/>
  <c r="R56" i="4"/>
  <c r="J56" i="4"/>
  <c r="Q56" i="4"/>
  <c r="I56" i="4"/>
  <c r="P56" i="4"/>
  <c r="H56" i="4"/>
  <c r="O56" i="4"/>
  <c r="G56" i="4"/>
  <c r="M60" i="4"/>
  <c r="E60" i="4"/>
  <c r="L60" i="4"/>
  <c r="D60" i="4"/>
  <c r="S60" i="4"/>
  <c r="K60" i="4"/>
  <c r="R60" i="4"/>
  <c r="J60" i="4"/>
  <c r="Q60" i="4"/>
  <c r="I60" i="4"/>
  <c r="P60" i="4"/>
  <c r="H60" i="4"/>
  <c r="O60" i="4"/>
  <c r="G60" i="4"/>
  <c r="M64" i="4"/>
  <c r="E64" i="4"/>
  <c r="L64" i="4"/>
  <c r="D64" i="4"/>
  <c r="S64" i="4"/>
  <c r="K64" i="4"/>
  <c r="R64" i="4"/>
  <c r="J64" i="4"/>
  <c r="Q64" i="4"/>
  <c r="I64" i="4"/>
  <c r="P64" i="4"/>
  <c r="H64" i="4"/>
  <c r="O64" i="4"/>
  <c r="G64" i="4"/>
  <c r="M68" i="4"/>
  <c r="E68" i="4"/>
  <c r="L68" i="4"/>
  <c r="D68" i="4"/>
  <c r="S68" i="4"/>
  <c r="K68" i="4"/>
  <c r="R68" i="4"/>
  <c r="J68" i="4"/>
  <c r="Q68" i="4"/>
  <c r="I68" i="4"/>
  <c r="P68" i="4"/>
  <c r="H68" i="4"/>
  <c r="O68" i="4"/>
  <c r="G68" i="4"/>
  <c r="M72" i="4"/>
  <c r="E72" i="4"/>
  <c r="L72" i="4"/>
  <c r="D72" i="4"/>
  <c r="S72" i="4"/>
  <c r="K72" i="4"/>
  <c r="R72" i="4"/>
  <c r="J72" i="4"/>
  <c r="Q72" i="4"/>
  <c r="I72" i="4"/>
  <c r="P72" i="4"/>
  <c r="H72" i="4"/>
  <c r="O72" i="4"/>
  <c r="G72" i="4"/>
  <c r="M76" i="4"/>
  <c r="E76" i="4"/>
  <c r="L76" i="4"/>
  <c r="D76" i="4"/>
  <c r="S76" i="4"/>
  <c r="K76" i="4"/>
  <c r="R76" i="4"/>
  <c r="J76" i="4"/>
  <c r="Q76" i="4"/>
  <c r="I76" i="4"/>
  <c r="P76" i="4"/>
  <c r="H76" i="4"/>
  <c r="O76" i="4"/>
  <c r="G76" i="4"/>
  <c r="M80" i="4"/>
  <c r="E80" i="4"/>
  <c r="L80" i="4"/>
  <c r="D80" i="4"/>
  <c r="S80" i="4"/>
  <c r="K80" i="4"/>
  <c r="R80" i="4"/>
  <c r="J80" i="4"/>
  <c r="Q80" i="4"/>
  <c r="I80" i="4"/>
  <c r="P80" i="4"/>
  <c r="H80" i="4"/>
  <c r="O80" i="4"/>
  <c r="G80" i="4"/>
  <c r="M84" i="4"/>
  <c r="E84" i="4"/>
  <c r="L84" i="4"/>
  <c r="D84" i="4"/>
  <c r="S84" i="4"/>
  <c r="K84" i="4"/>
  <c r="R84" i="4"/>
  <c r="J84" i="4"/>
  <c r="Q84" i="4"/>
  <c r="I84" i="4"/>
  <c r="P84" i="4"/>
  <c r="H84" i="4"/>
  <c r="O84" i="4"/>
  <c r="G84" i="4"/>
  <c r="M88" i="4"/>
  <c r="E88" i="4"/>
  <c r="L88" i="4"/>
  <c r="D88" i="4"/>
  <c r="S88" i="4"/>
  <c r="K88" i="4"/>
  <c r="R88" i="4"/>
  <c r="J88" i="4"/>
  <c r="Q88" i="4"/>
  <c r="I88" i="4"/>
  <c r="P88" i="4"/>
  <c r="H88" i="4"/>
  <c r="O88" i="4"/>
  <c r="G88" i="4"/>
  <c r="M92" i="4"/>
  <c r="E92" i="4"/>
  <c r="L92" i="4"/>
  <c r="D92" i="4"/>
  <c r="S92" i="4"/>
  <c r="K92" i="4"/>
  <c r="R92" i="4"/>
  <c r="J92" i="4"/>
  <c r="Q92" i="4"/>
  <c r="I92" i="4"/>
  <c r="P92" i="4"/>
  <c r="H92" i="4"/>
  <c r="O92" i="4"/>
  <c r="G92" i="4"/>
  <c r="M96" i="4"/>
  <c r="E96" i="4"/>
  <c r="L96" i="4"/>
  <c r="D96" i="4"/>
  <c r="S96" i="4"/>
  <c r="K96" i="4"/>
  <c r="R96" i="4"/>
  <c r="J96" i="4"/>
  <c r="Q96" i="4"/>
  <c r="I96" i="4"/>
  <c r="P96" i="4"/>
  <c r="H96" i="4"/>
  <c r="O96" i="4"/>
  <c r="G96" i="4"/>
  <c r="M100" i="4"/>
  <c r="E100" i="4"/>
  <c r="L100" i="4"/>
  <c r="D100" i="4"/>
  <c r="S100" i="4"/>
  <c r="K100" i="4"/>
  <c r="R100" i="4"/>
  <c r="J100" i="4"/>
  <c r="Q100" i="4"/>
  <c r="I100" i="4"/>
  <c r="P100" i="4"/>
  <c r="H100" i="4"/>
  <c r="O100" i="4"/>
  <c r="G100" i="4"/>
  <c r="M104" i="4"/>
  <c r="E104" i="4"/>
  <c r="L104" i="4"/>
  <c r="D104" i="4"/>
  <c r="S104" i="4"/>
  <c r="K104" i="4"/>
  <c r="R104" i="4"/>
  <c r="J104" i="4"/>
  <c r="Q104" i="4"/>
  <c r="I104" i="4"/>
  <c r="P104" i="4"/>
  <c r="H104" i="4"/>
  <c r="O104" i="4"/>
  <c r="G104" i="4"/>
  <c r="M108" i="4"/>
  <c r="E108" i="4"/>
  <c r="L108" i="4"/>
  <c r="D108" i="4"/>
  <c r="S108" i="4"/>
  <c r="K108" i="4"/>
  <c r="R108" i="4"/>
  <c r="J108" i="4"/>
  <c r="Q108" i="4"/>
  <c r="I108" i="4"/>
  <c r="P108" i="4"/>
  <c r="H108" i="4"/>
  <c r="O108" i="4"/>
  <c r="G108" i="4"/>
  <c r="M112" i="4"/>
  <c r="E112" i="4"/>
  <c r="L112" i="4"/>
  <c r="D112" i="4"/>
  <c r="S112" i="4"/>
  <c r="K112" i="4"/>
  <c r="R112" i="4"/>
  <c r="J112" i="4"/>
  <c r="Q112" i="4"/>
  <c r="I112" i="4"/>
  <c r="P112" i="4"/>
  <c r="H112" i="4"/>
  <c r="O112" i="4"/>
  <c r="G112" i="4"/>
  <c r="M116" i="4"/>
  <c r="E116" i="4"/>
  <c r="L116" i="4"/>
  <c r="D116" i="4"/>
  <c r="S116" i="4"/>
  <c r="K116" i="4"/>
  <c r="R116" i="4"/>
  <c r="J116" i="4"/>
  <c r="Q116" i="4"/>
  <c r="I116" i="4"/>
  <c r="P116" i="4"/>
  <c r="H116" i="4"/>
  <c r="O116" i="4"/>
  <c r="G116" i="4"/>
  <c r="M120" i="4"/>
  <c r="E120" i="4"/>
  <c r="L120" i="4"/>
  <c r="D120" i="4"/>
  <c r="S120" i="4"/>
  <c r="K120" i="4"/>
  <c r="R120" i="4"/>
  <c r="J120" i="4"/>
  <c r="Q120" i="4"/>
  <c r="I120" i="4"/>
  <c r="P120" i="4"/>
  <c r="H120" i="4"/>
  <c r="O120" i="4"/>
  <c r="G120" i="4"/>
  <c r="M124" i="4"/>
  <c r="E124" i="4"/>
  <c r="L124" i="4"/>
  <c r="D124" i="4"/>
  <c r="S124" i="4"/>
  <c r="K124" i="4"/>
  <c r="R124" i="4"/>
  <c r="J124" i="4"/>
  <c r="Q124" i="4"/>
  <c r="I124" i="4"/>
  <c r="P124" i="4"/>
  <c r="H124" i="4"/>
  <c r="O124" i="4"/>
  <c r="G124" i="4"/>
  <c r="M128" i="4"/>
  <c r="E128" i="4"/>
  <c r="L128" i="4"/>
  <c r="D128" i="4"/>
  <c r="S128" i="4"/>
  <c r="K128" i="4"/>
  <c r="R128" i="4"/>
  <c r="J128" i="4"/>
  <c r="Q128" i="4"/>
  <c r="I128" i="4"/>
  <c r="P128" i="4"/>
  <c r="H128" i="4"/>
  <c r="O128" i="4"/>
  <c r="G128" i="4"/>
  <c r="M132" i="4"/>
  <c r="E132" i="4"/>
  <c r="L132" i="4"/>
  <c r="D132" i="4"/>
  <c r="S132" i="4"/>
  <c r="K132" i="4"/>
  <c r="R132" i="4"/>
  <c r="J132" i="4"/>
  <c r="Q132" i="4"/>
  <c r="I132" i="4"/>
  <c r="P132" i="4"/>
  <c r="H132" i="4"/>
  <c r="O132" i="4"/>
  <c r="G132" i="4"/>
  <c r="M136" i="4"/>
  <c r="E136" i="4"/>
  <c r="L136" i="4"/>
  <c r="D136" i="4"/>
  <c r="S136" i="4"/>
  <c r="K136" i="4"/>
  <c r="R136" i="4"/>
  <c r="J136" i="4"/>
  <c r="Q136" i="4"/>
  <c r="I136" i="4"/>
  <c r="P136" i="4"/>
  <c r="H136" i="4"/>
  <c r="O136" i="4"/>
  <c r="G136" i="4"/>
  <c r="M140" i="4"/>
  <c r="E140" i="4"/>
  <c r="L140" i="4"/>
  <c r="D140" i="4"/>
  <c r="S140" i="4"/>
  <c r="K140" i="4"/>
  <c r="R140" i="4"/>
  <c r="J140" i="4"/>
  <c r="Q140" i="4"/>
  <c r="I140" i="4"/>
  <c r="P140" i="4"/>
  <c r="H140" i="4"/>
  <c r="O140" i="4"/>
  <c r="G140" i="4"/>
  <c r="M144" i="4"/>
  <c r="E144" i="4"/>
  <c r="L144" i="4"/>
  <c r="D144" i="4"/>
  <c r="S144" i="4"/>
  <c r="K144" i="4"/>
  <c r="R144" i="4"/>
  <c r="J144" i="4"/>
  <c r="Q144" i="4"/>
  <c r="I144" i="4"/>
  <c r="P144" i="4"/>
  <c r="H144" i="4"/>
  <c r="O144" i="4"/>
  <c r="G144" i="4"/>
  <c r="M148" i="4"/>
  <c r="E148" i="4"/>
  <c r="L148" i="4"/>
  <c r="D148" i="4"/>
  <c r="S148" i="4"/>
  <c r="K148" i="4"/>
  <c r="R148" i="4"/>
  <c r="J148" i="4"/>
  <c r="Q148" i="4"/>
  <c r="I148" i="4"/>
  <c r="P148" i="4"/>
  <c r="H148" i="4"/>
  <c r="O148" i="4"/>
  <c r="G148" i="4"/>
  <c r="M152" i="4"/>
  <c r="E152" i="4"/>
  <c r="L152" i="4"/>
  <c r="D152" i="4"/>
  <c r="S152" i="4"/>
  <c r="K152" i="4"/>
  <c r="R152" i="4"/>
  <c r="J152" i="4"/>
  <c r="Q152" i="4"/>
  <c r="I152" i="4"/>
  <c r="P152" i="4"/>
  <c r="H152" i="4"/>
  <c r="O152" i="4"/>
  <c r="G152" i="4"/>
  <c r="M156" i="4"/>
  <c r="E156" i="4"/>
  <c r="L156" i="4"/>
  <c r="D156" i="4"/>
  <c r="S156" i="4"/>
  <c r="K156" i="4"/>
  <c r="R156" i="4"/>
  <c r="J156" i="4"/>
  <c r="Q156" i="4"/>
  <c r="I156" i="4"/>
  <c r="P156" i="4"/>
  <c r="H156" i="4"/>
  <c r="O156" i="4"/>
  <c r="G156" i="4"/>
  <c r="M160" i="4"/>
  <c r="E160" i="4"/>
  <c r="L160" i="4"/>
  <c r="D160" i="4"/>
  <c r="S160" i="4"/>
  <c r="K160" i="4"/>
  <c r="R160" i="4"/>
  <c r="J160" i="4"/>
  <c r="Q160" i="4"/>
  <c r="I160" i="4"/>
  <c r="P160" i="4"/>
  <c r="H160" i="4"/>
  <c r="O160" i="4"/>
  <c r="G160" i="4"/>
  <c r="M164" i="4"/>
  <c r="E164" i="4"/>
  <c r="L164" i="4"/>
  <c r="D164" i="4"/>
  <c r="S164" i="4"/>
  <c r="K164" i="4"/>
  <c r="R164" i="4"/>
  <c r="J164" i="4"/>
  <c r="Q164" i="4"/>
  <c r="I164" i="4"/>
  <c r="P164" i="4"/>
  <c r="H164" i="4"/>
  <c r="O164" i="4"/>
  <c r="G164" i="4"/>
  <c r="O168" i="4"/>
  <c r="G168" i="4"/>
  <c r="N168" i="4"/>
  <c r="F168" i="4"/>
  <c r="M168" i="4"/>
  <c r="E168" i="4"/>
  <c r="L168" i="4"/>
  <c r="D168" i="4"/>
  <c r="S168" i="4"/>
  <c r="K168" i="4"/>
  <c r="R168" i="4"/>
  <c r="J168" i="4"/>
  <c r="I168" i="4"/>
  <c r="H168" i="4"/>
  <c r="Q168" i="4"/>
  <c r="O172" i="4"/>
  <c r="G172" i="4"/>
  <c r="N172" i="4"/>
  <c r="F172" i="4"/>
  <c r="M172" i="4"/>
  <c r="E172" i="4"/>
  <c r="L172" i="4"/>
  <c r="D172" i="4"/>
  <c r="S172" i="4"/>
  <c r="K172" i="4"/>
  <c r="R172" i="4"/>
  <c r="J172" i="4"/>
  <c r="I172" i="4"/>
  <c r="H172" i="4"/>
  <c r="Q172" i="4"/>
  <c r="O176" i="4"/>
  <c r="G176" i="4"/>
  <c r="N176" i="4"/>
  <c r="F176" i="4"/>
  <c r="M176" i="4"/>
  <c r="E176" i="4"/>
  <c r="L176" i="4"/>
  <c r="D176" i="4"/>
  <c r="S176" i="4"/>
  <c r="K176" i="4"/>
  <c r="R176" i="4"/>
  <c r="J176" i="4"/>
  <c r="I176" i="4"/>
  <c r="H176" i="4"/>
  <c r="Q176" i="4"/>
  <c r="O180" i="4"/>
  <c r="G180" i="4"/>
  <c r="N180" i="4"/>
  <c r="F180" i="4"/>
  <c r="M180" i="4"/>
  <c r="E180" i="4"/>
  <c r="L180" i="4"/>
  <c r="D180" i="4"/>
  <c r="S180" i="4"/>
  <c r="K180" i="4"/>
  <c r="R180" i="4"/>
  <c r="J180" i="4"/>
  <c r="I180" i="4"/>
  <c r="H180" i="4"/>
  <c r="Q180" i="4"/>
  <c r="O184" i="4"/>
  <c r="G184" i="4"/>
  <c r="N184" i="4"/>
  <c r="F184" i="4"/>
  <c r="M184" i="4"/>
  <c r="E184" i="4"/>
  <c r="L184" i="4"/>
  <c r="D184" i="4"/>
  <c r="S184" i="4"/>
  <c r="K184" i="4"/>
  <c r="R184" i="4"/>
  <c r="J184" i="4"/>
  <c r="I184" i="4"/>
  <c r="H184" i="4"/>
  <c r="Q184" i="4"/>
  <c r="O188" i="4"/>
  <c r="G188" i="4"/>
  <c r="N188" i="4"/>
  <c r="F188" i="4"/>
  <c r="M188" i="4"/>
  <c r="E188" i="4"/>
  <c r="L188" i="4"/>
  <c r="D188" i="4"/>
  <c r="S188" i="4"/>
  <c r="K188" i="4"/>
  <c r="R188" i="4"/>
  <c r="J188" i="4"/>
  <c r="I188" i="4"/>
  <c r="H188" i="4"/>
  <c r="Q188" i="4"/>
  <c r="O192" i="4"/>
  <c r="G192" i="4"/>
  <c r="N192" i="4"/>
  <c r="F192" i="4"/>
  <c r="M192" i="4"/>
  <c r="E192" i="4"/>
  <c r="L192" i="4"/>
  <c r="D192" i="4"/>
  <c r="S192" i="4"/>
  <c r="K192" i="4"/>
  <c r="R192" i="4"/>
  <c r="J192" i="4"/>
  <c r="I192" i="4"/>
  <c r="H192" i="4"/>
  <c r="Q192" i="4"/>
  <c r="O196" i="4"/>
  <c r="G196" i="4"/>
  <c r="N196" i="4"/>
  <c r="F196" i="4"/>
  <c r="M196" i="4"/>
  <c r="E196" i="4"/>
  <c r="L196" i="4"/>
  <c r="D196" i="4"/>
  <c r="S196" i="4"/>
  <c r="K196" i="4"/>
  <c r="R196" i="4"/>
  <c r="J196" i="4"/>
  <c r="I196" i="4"/>
  <c r="H196" i="4"/>
  <c r="Q196" i="4"/>
  <c r="O200" i="4"/>
  <c r="G200" i="4"/>
  <c r="N200" i="4"/>
  <c r="F200" i="4"/>
  <c r="M200" i="4"/>
  <c r="E200" i="4"/>
  <c r="L200" i="4"/>
  <c r="D200" i="4"/>
  <c r="S200" i="4"/>
  <c r="K200" i="4"/>
  <c r="R200" i="4"/>
  <c r="J200" i="4"/>
  <c r="I200" i="4"/>
  <c r="H200" i="4"/>
  <c r="Q200" i="4"/>
  <c r="O204" i="4"/>
  <c r="G204" i="4"/>
  <c r="N204" i="4"/>
  <c r="F204" i="4"/>
  <c r="M204" i="4"/>
  <c r="E204" i="4"/>
  <c r="L204" i="4"/>
  <c r="D204" i="4"/>
  <c r="S204" i="4"/>
  <c r="K204" i="4"/>
  <c r="R204" i="4"/>
  <c r="J204" i="4"/>
  <c r="I204" i="4"/>
  <c r="H204" i="4"/>
  <c r="Q204" i="4"/>
  <c r="O208" i="4"/>
  <c r="G208" i="4"/>
  <c r="N208" i="4"/>
  <c r="F208" i="4"/>
  <c r="M208" i="4"/>
  <c r="E208" i="4"/>
  <c r="L208" i="4"/>
  <c r="D208" i="4"/>
  <c r="S208" i="4"/>
  <c r="K208" i="4"/>
  <c r="R208" i="4"/>
  <c r="J208" i="4"/>
  <c r="I208" i="4"/>
  <c r="H208" i="4"/>
  <c r="Q208" i="4"/>
  <c r="O212" i="4"/>
  <c r="G212" i="4"/>
  <c r="N212" i="4"/>
  <c r="F212" i="4"/>
  <c r="M212" i="4"/>
  <c r="E212" i="4"/>
  <c r="L212" i="4"/>
  <c r="D212" i="4"/>
  <c r="S212" i="4"/>
  <c r="K212" i="4"/>
  <c r="R212" i="4"/>
  <c r="J212" i="4"/>
  <c r="I212" i="4"/>
  <c r="H212" i="4"/>
  <c r="Q212" i="4"/>
  <c r="O216" i="4"/>
  <c r="G216" i="4"/>
  <c r="N216" i="4"/>
  <c r="F216" i="4"/>
  <c r="M216" i="4"/>
  <c r="E216" i="4"/>
  <c r="L216" i="4"/>
  <c r="D216" i="4"/>
  <c r="S216" i="4"/>
  <c r="K216" i="4"/>
  <c r="R216" i="4"/>
  <c r="J216" i="4"/>
  <c r="I216" i="4"/>
  <c r="H216" i="4"/>
  <c r="Q216" i="4"/>
  <c r="O220" i="4"/>
  <c r="G220" i="4"/>
  <c r="N220" i="4"/>
  <c r="F220" i="4"/>
  <c r="M220" i="4"/>
  <c r="E220" i="4"/>
  <c r="L220" i="4"/>
  <c r="D220" i="4"/>
  <c r="S220" i="4"/>
  <c r="K220" i="4"/>
  <c r="R220" i="4"/>
  <c r="J220" i="4"/>
  <c r="I220" i="4"/>
  <c r="H220" i="4"/>
  <c r="Q220" i="4"/>
  <c r="O224" i="4"/>
  <c r="G224" i="4"/>
  <c r="N224" i="4"/>
  <c r="F224" i="4"/>
  <c r="M224" i="4"/>
  <c r="E224" i="4"/>
  <c r="L224" i="4"/>
  <c r="D224" i="4"/>
  <c r="S224" i="4"/>
  <c r="K224" i="4"/>
  <c r="R224" i="4"/>
  <c r="J224" i="4"/>
  <c r="I224" i="4"/>
  <c r="H224" i="4"/>
  <c r="Q224" i="4"/>
  <c r="O228" i="4"/>
  <c r="G228" i="4"/>
  <c r="N228" i="4"/>
  <c r="F228" i="4"/>
  <c r="M228" i="4"/>
  <c r="E228" i="4"/>
  <c r="L228" i="4"/>
  <c r="D228" i="4"/>
  <c r="S228" i="4"/>
  <c r="K228" i="4"/>
  <c r="R228" i="4"/>
  <c r="J228" i="4"/>
  <c r="I228" i="4"/>
  <c r="H228" i="4"/>
  <c r="Q228" i="4"/>
  <c r="O232" i="4"/>
  <c r="G232" i="4"/>
  <c r="N232" i="4"/>
  <c r="F232" i="4"/>
  <c r="M232" i="4"/>
  <c r="E232" i="4"/>
  <c r="L232" i="4"/>
  <c r="D232" i="4"/>
  <c r="S232" i="4"/>
  <c r="K232" i="4"/>
  <c r="R232" i="4"/>
  <c r="J232" i="4"/>
  <c r="I232" i="4"/>
  <c r="H232" i="4"/>
  <c r="Q232" i="4"/>
  <c r="O236" i="4"/>
  <c r="G236" i="4"/>
  <c r="N236" i="4"/>
  <c r="F236" i="4"/>
  <c r="M236" i="4"/>
  <c r="E236" i="4"/>
  <c r="L236" i="4"/>
  <c r="D236" i="4"/>
  <c r="S236" i="4"/>
  <c r="K236" i="4"/>
  <c r="R236" i="4"/>
  <c r="J236" i="4"/>
  <c r="I236" i="4"/>
  <c r="H236" i="4"/>
  <c r="Q236" i="4"/>
  <c r="O240" i="4"/>
  <c r="G240" i="4"/>
  <c r="N240" i="4"/>
  <c r="F240" i="4"/>
  <c r="M240" i="4"/>
  <c r="E240" i="4"/>
  <c r="L240" i="4"/>
  <c r="D240" i="4"/>
  <c r="S240" i="4"/>
  <c r="K240" i="4"/>
  <c r="R240" i="4"/>
  <c r="J240" i="4"/>
  <c r="I240" i="4"/>
  <c r="H240" i="4"/>
  <c r="Q240" i="4"/>
  <c r="O244" i="4"/>
  <c r="G244" i="4"/>
  <c r="N244" i="4"/>
  <c r="F244" i="4"/>
  <c r="M244" i="4"/>
  <c r="E244" i="4"/>
  <c r="L244" i="4"/>
  <c r="D244" i="4"/>
  <c r="S244" i="4"/>
  <c r="K244" i="4"/>
  <c r="R244" i="4"/>
  <c r="J244" i="4"/>
  <c r="I244" i="4"/>
  <c r="H244" i="4"/>
  <c r="Q244" i="4"/>
  <c r="O248" i="4"/>
  <c r="G248" i="4"/>
  <c r="N248" i="4"/>
  <c r="F248" i="4"/>
  <c r="M248" i="4"/>
  <c r="E248" i="4"/>
  <c r="L248" i="4"/>
  <c r="D248" i="4"/>
  <c r="S248" i="4"/>
  <c r="K248" i="4"/>
  <c r="R248" i="4"/>
  <c r="J248" i="4"/>
  <c r="I248" i="4"/>
  <c r="H248" i="4"/>
  <c r="Q248" i="4"/>
  <c r="O252" i="4"/>
  <c r="G252" i="4"/>
  <c r="N252" i="4"/>
  <c r="F252" i="4"/>
  <c r="M252" i="4"/>
  <c r="E252" i="4"/>
  <c r="L252" i="4"/>
  <c r="D252" i="4"/>
  <c r="S252" i="4"/>
  <c r="K252" i="4"/>
  <c r="R252" i="4"/>
  <c r="J252" i="4"/>
  <c r="I252" i="4"/>
  <c r="H252" i="4"/>
  <c r="Q252" i="4"/>
  <c r="O256" i="4"/>
  <c r="G256" i="4"/>
  <c r="N256" i="4"/>
  <c r="F256" i="4"/>
  <c r="M256" i="4"/>
  <c r="E256" i="4"/>
  <c r="L256" i="4"/>
  <c r="D256" i="4"/>
  <c r="S256" i="4"/>
  <c r="K256" i="4"/>
  <c r="R256" i="4"/>
  <c r="J256" i="4"/>
  <c r="I256" i="4"/>
  <c r="H256" i="4"/>
  <c r="Q256" i="4"/>
  <c r="O260" i="4"/>
  <c r="G260" i="4"/>
  <c r="N260" i="4"/>
  <c r="F260" i="4"/>
  <c r="M260" i="4"/>
  <c r="E260" i="4"/>
  <c r="L260" i="4"/>
  <c r="D260" i="4"/>
  <c r="S260" i="4"/>
  <c r="K260" i="4"/>
  <c r="R260" i="4"/>
  <c r="J260" i="4"/>
  <c r="I260" i="4"/>
  <c r="H260" i="4"/>
  <c r="Q260" i="4"/>
  <c r="O264" i="4"/>
  <c r="G264" i="4"/>
  <c r="N264" i="4"/>
  <c r="F264" i="4"/>
  <c r="M264" i="4"/>
  <c r="E264" i="4"/>
  <c r="L264" i="4"/>
  <c r="D264" i="4"/>
  <c r="S264" i="4"/>
  <c r="K264" i="4"/>
  <c r="R264" i="4"/>
  <c r="J264" i="4"/>
  <c r="I264" i="4"/>
  <c r="H264" i="4"/>
  <c r="Q264" i="4"/>
  <c r="O268" i="4"/>
  <c r="G268" i="4"/>
  <c r="N268" i="4"/>
  <c r="F268" i="4"/>
  <c r="M268" i="4"/>
  <c r="E268" i="4"/>
  <c r="L268" i="4"/>
  <c r="D268" i="4"/>
  <c r="S268" i="4"/>
  <c r="K268" i="4"/>
  <c r="R268" i="4"/>
  <c r="J268" i="4"/>
  <c r="I268" i="4"/>
  <c r="H268" i="4"/>
  <c r="Q268" i="4"/>
  <c r="O272" i="4"/>
  <c r="G272" i="4"/>
  <c r="N272" i="4"/>
  <c r="F272" i="4"/>
  <c r="M272" i="4"/>
  <c r="E272" i="4"/>
  <c r="L272" i="4"/>
  <c r="D272" i="4"/>
  <c r="S272" i="4"/>
  <c r="K272" i="4"/>
  <c r="R272" i="4"/>
  <c r="J272" i="4"/>
  <c r="I272" i="4"/>
  <c r="H272" i="4"/>
  <c r="Q272" i="4"/>
  <c r="O276" i="4"/>
  <c r="G276" i="4"/>
  <c r="N276" i="4"/>
  <c r="F276" i="4"/>
  <c r="M276" i="4"/>
  <c r="E276" i="4"/>
  <c r="L276" i="4"/>
  <c r="D276" i="4"/>
  <c r="S276" i="4"/>
  <c r="K276" i="4"/>
  <c r="R276" i="4"/>
  <c r="J276" i="4"/>
  <c r="I276" i="4"/>
  <c r="H276" i="4"/>
  <c r="Q276" i="4"/>
  <c r="O280" i="4"/>
  <c r="G280" i="4"/>
  <c r="N280" i="4"/>
  <c r="F280" i="4"/>
  <c r="M280" i="4"/>
  <c r="E280" i="4"/>
  <c r="L280" i="4"/>
  <c r="D280" i="4"/>
  <c r="S280" i="4"/>
  <c r="K280" i="4"/>
  <c r="R280" i="4"/>
  <c r="J280" i="4"/>
  <c r="I280" i="4"/>
  <c r="H280" i="4"/>
  <c r="Q280" i="4"/>
  <c r="O284" i="4"/>
  <c r="G284" i="4"/>
  <c r="N284" i="4"/>
  <c r="F284" i="4"/>
  <c r="M284" i="4"/>
  <c r="E284" i="4"/>
  <c r="L284" i="4"/>
  <c r="D284" i="4"/>
  <c r="S284" i="4"/>
  <c r="K284" i="4"/>
  <c r="R284" i="4"/>
  <c r="J284" i="4"/>
  <c r="I284" i="4"/>
  <c r="H284" i="4"/>
  <c r="Q284" i="4"/>
  <c r="O288" i="4"/>
  <c r="G288" i="4"/>
  <c r="N288" i="4"/>
  <c r="F288" i="4"/>
  <c r="M288" i="4"/>
  <c r="E288" i="4"/>
  <c r="L288" i="4"/>
  <c r="D288" i="4"/>
  <c r="S288" i="4"/>
  <c r="K288" i="4"/>
  <c r="R288" i="4"/>
  <c r="J288" i="4"/>
  <c r="I288" i="4"/>
  <c r="H288" i="4"/>
  <c r="Q288" i="4"/>
  <c r="O292" i="4"/>
  <c r="G292" i="4"/>
  <c r="N292" i="4"/>
  <c r="F292" i="4"/>
  <c r="M292" i="4"/>
  <c r="E292" i="4"/>
  <c r="L292" i="4"/>
  <c r="D292" i="4"/>
  <c r="S292" i="4"/>
  <c r="K292" i="4"/>
  <c r="R292" i="4"/>
  <c r="J292" i="4"/>
  <c r="P292" i="4"/>
  <c r="I292" i="4"/>
  <c r="H292" i="4"/>
  <c r="O296" i="4"/>
  <c r="G296" i="4"/>
  <c r="N296" i="4"/>
  <c r="F296" i="4"/>
  <c r="M296" i="4"/>
  <c r="E296" i="4"/>
  <c r="L296" i="4"/>
  <c r="D296" i="4"/>
  <c r="S296" i="4"/>
  <c r="K296" i="4"/>
  <c r="R296" i="4"/>
  <c r="J296" i="4"/>
  <c r="Q296" i="4"/>
  <c r="P296" i="4"/>
  <c r="I296" i="4"/>
  <c r="H296" i="4"/>
  <c r="O300" i="4"/>
  <c r="G300" i="4"/>
  <c r="N300" i="4"/>
  <c r="F300" i="4"/>
  <c r="M300" i="4"/>
  <c r="E300" i="4"/>
  <c r="L300" i="4"/>
  <c r="D300" i="4"/>
  <c r="S300" i="4"/>
  <c r="K300" i="4"/>
  <c r="R300" i="4"/>
  <c r="J300" i="4"/>
  <c r="Q300" i="4"/>
  <c r="P300" i="4"/>
  <c r="I300" i="4"/>
  <c r="H300" i="4"/>
  <c r="O304" i="4"/>
  <c r="G304" i="4"/>
  <c r="N304" i="4"/>
  <c r="F304" i="4"/>
  <c r="M304" i="4"/>
  <c r="E304" i="4"/>
  <c r="L304" i="4"/>
  <c r="D304" i="4"/>
  <c r="S304" i="4"/>
  <c r="K304" i="4"/>
  <c r="R304" i="4"/>
  <c r="J304" i="4"/>
  <c r="H304" i="4"/>
  <c r="Q304" i="4"/>
  <c r="P304" i="4"/>
  <c r="O308" i="4"/>
  <c r="G308" i="4"/>
  <c r="N308" i="4"/>
  <c r="F308" i="4"/>
  <c r="M308" i="4"/>
  <c r="E308" i="4"/>
  <c r="L308" i="4"/>
  <c r="D308" i="4"/>
  <c r="S308" i="4"/>
  <c r="K308" i="4"/>
  <c r="R308" i="4"/>
  <c r="J308" i="4"/>
  <c r="P308" i="4"/>
  <c r="I308" i="4"/>
  <c r="H308" i="4"/>
  <c r="O312" i="4"/>
  <c r="G312" i="4"/>
  <c r="N312" i="4"/>
  <c r="F312" i="4"/>
  <c r="M312" i="4"/>
  <c r="E312" i="4"/>
  <c r="L312" i="4"/>
  <c r="D312" i="4"/>
  <c r="S312" i="4"/>
  <c r="K312" i="4"/>
  <c r="R312" i="4"/>
  <c r="J312" i="4"/>
  <c r="Q312" i="4"/>
  <c r="P312" i="4"/>
  <c r="I312" i="4"/>
  <c r="H312" i="4"/>
  <c r="O316" i="4"/>
  <c r="G316" i="4"/>
  <c r="N316" i="4"/>
  <c r="F316" i="4"/>
  <c r="M316" i="4"/>
  <c r="E316" i="4"/>
  <c r="L316" i="4"/>
  <c r="D316" i="4"/>
  <c r="S316" i="4"/>
  <c r="K316" i="4"/>
  <c r="R316" i="4"/>
  <c r="J316" i="4"/>
  <c r="Q316" i="4"/>
  <c r="P316" i="4"/>
  <c r="I316" i="4"/>
  <c r="H316" i="4"/>
  <c r="O320" i="4"/>
  <c r="G320" i="4"/>
  <c r="N320" i="4"/>
  <c r="F320" i="4"/>
  <c r="M320" i="4"/>
  <c r="E320" i="4"/>
  <c r="L320" i="4"/>
  <c r="D320" i="4"/>
  <c r="S320" i="4"/>
  <c r="K320" i="4"/>
  <c r="R320" i="4"/>
  <c r="J320" i="4"/>
  <c r="H320" i="4"/>
  <c r="Q320" i="4"/>
  <c r="P320" i="4"/>
  <c r="O324" i="4"/>
  <c r="G324" i="4"/>
  <c r="N324" i="4"/>
  <c r="F324" i="4"/>
  <c r="M324" i="4"/>
  <c r="E324" i="4"/>
  <c r="L324" i="4"/>
  <c r="D324" i="4"/>
  <c r="S324" i="4"/>
  <c r="K324" i="4"/>
  <c r="R324" i="4"/>
  <c r="J324" i="4"/>
  <c r="P324" i="4"/>
  <c r="I324" i="4"/>
  <c r="H324" i="4"/>
  <c r="O328" i="4"/>
  <c r="G328" i="4"/>
  <c r="N328" i="4"/>
  <c r="F328" i="4"/>
  <c r="M328" i="4"/>
  <c r="E328" i="4"/>
  <c r="L328" i="4"/>
  <c r="D328" i="4"/>
  <c r="S328" i="4"/>
  <c r="K328" i="4"/>
  <c r="R328" i="4"/>
  <c r="J328" i="4"/>
  <c r="Q328" i="4"/>
  <c r="P328" i="4"/>
  <c r="I328" i="4"/>
  <c r="H328" i="4"/>
  <c r="O332" i="4"/>
  <c r="G332" i="4"/>
  <c r="N332" i="4"/>
  <c r="F332" i="4"/>
  <c r="M332" i="4"/>
  <c r="E332" i="4"/>
  <c r="L332" i="4"/>
  <c r="D332" i="4"/>
  <c r="S332" i="4"/>
  <c r="K332" i="4"/>
  <c r="R332" i="4"/>
  <c r="J332" i="4"/>
  <c r="Q332" i="4"/>
  <c r="P332" i="4"/>
  <c r="I332" i="4"/>
  <c r="H332" i="4"/>
  <c r="O336" i="4"/>
  <c r="G336" i="4"/>
  <c r="N336" i="4"/>
  <c r="F336" i="4"/>
  <c r="M336" i="4"/>
  <c r="E336" i="4"/>
  <c r="L336" i="4"/>
  <c r="D336" i="4"/>
  <c r="S336" i="4"/>
  <c r="K336" i="4"/>
  <c r="R336" i="4"/>
  <c r="J336" i="4"/>
  <c r="H336" i="4"/>
  <c r="Q336" i="4"/>
  <c r="P336" i="4"/>
  <c r="O340" i="4"/>
  <c r="G340" i="4"/>
  <c r="N340" i="4"/>
  <c r="F340" i="4"/>
  <c r="M340" i="4"/>
  <c r="E340" i="4"/>
  <c r="L340" i="4"/>
  <c r="D340" i="4"/>
  <c r="S340" i="4"/>
  <c r="K340" i="4"/>
  <c r="R340" i="4"/>
  <c r="J340" i="4"/>
  <c r="P340" i="4"/>
  <c r="I340" i="4"/>
  <c r="H340" i="4"/>
  <c r="O344" i="4"/>
  <c r="G344" i="4"/>
  <c r="N344" i="4"/>
  <c r="F344" i="4"/>
  <c r="M344" i="4"/>
  <c r="E344" i="4"/>
  <c r="L344" i="4"/>
  <c r="D344" i="4"/>
  <c r="S344" i="4"/>
  <c r="K344" i="4"/>
  <c r="R344" i="4"/>
  <c r="J344" i="4"/>
  <c r="Q344" i="4"/>
  <c r="P344" i="4"/>
  <c r="I344" i="4"/>
  <c r="H344" i="4"/>
  <c r="O348" i="4"/>
  <c r="G348" i="4"/>
  <c r="N348" i="4"/>
  <c r="F348" i="4"/>
  <c r="M348" i="4"/>
  <c r="E348" i="4"/>
  <c r="L348" i="4"/>
  <c r="D348" i="4"/>
  <c r="S348" i="4"/>
  <c r="K348" i="4"/>
  <c r="R348" i="4"/>
  <c r="J348" i="4"/>
  <c r="Q348" i="4"/>
  <c r="P348" i="4"/>
  <c r="I348" i="4"/>
  <c r="O352" i="4"/>
  <c r="G352" i="4"/>
  <c r="N352" i="4"/>
  <c r="F352" i="4"/>
  <c r="M352" i="4"/>
  <c r="E352" i="4"/>
  <c r="L352" i="4"/>
  <c r="D352" i="4"/>
  <c r="S352" i="4"/>
  <c r="K352" i="4"/>
  <c r="R352" i="4"/>
  <c r="J352" i="4"/>
  <c r="H352" i="4"/>
  <c r="Q352" i="4"/>
  <c r="P352" i="4"/>
  <c r="I352" i="4"/>
  <c r="O356" i="4"/>
  <c r="G356" i="4"/>
  <c r="N356" i="4"/>
  <c r="F356" i="4"/>
  <c r="M356" i="4"/>
  <c r="E356" i="4"/>
  <c r="L356" i="4"/>
  <c r="D356" i="4"/>
  <c r="S356" i="4"/>
  <c r="K356" i="4"/>
  <c r="R356" i="4"/>
  <c r="J356" i="4"/>
  <c r="P356" i="4"/>
  <c r="H356" i="4"/>
  <c r="Q356" i="4"/>
  <c r="O360" i="4"/>
  <c r="G360" i="4"/>
  <c r="N360" i="4"/>
  <c r="F360" i="4"/>
  <c r="M360" i="4"/>
  <c r="E360" i="4"/>
  <c r="L360" i="4"/>
  <c r="D360" i="4"/>
  <c r="S360" i="4"/>
  <c r="K360" i="4"/>
  <c r="R360" i="4"/>
  <c r="J360" i="4"/>
  <c r="I360" i="4"/>
  <c r="Q360" i="4"/>
  <c r="P360" i="4"/>
  <c r="H360" i="4"/>
  <c r="O364" i="4"/>
  <c r="G364" i="4"/>
  <c r="N364" i="4"/>
  <c r="F364" i="4"/>
  <c r="M364" i="4"/>
  <c r="E364" i="4"/>
  <c r="L364" i="4"/>
  <c r="D364" i="4"/>
  <c r="S364" i="4"/>
  <c r="K364" i="4"/>
  <c r="R364" i="4"/>
  <c r="J364" i="4"/>
  <c r="Q364" i="4"/>
  <c r="P364" i="4"/>
  <c r="I364" i="4"/>
  <c r="H364" i="4"/>
  <c r="O368" i="4"/>
  <c r="G368" i="4"/>
  <c r="N368" i="4"/>
  <c r="F368" i="4"/>
  <c r="M368" i="4"/>
  <c r="E368" i="4"/>
  <c r="L368" i="4"/>
  <c r="D368" i="4"/>
  <c r="S368" i="4"/>
  <c r="K368" i="4"/>
  <c r="R368" i="4"/>
  <c r="J368" i="4"/>
  <c r="H368" i="4"/>
  <c r="I368" i="4"/>
  <c r="Q368" i="4"/>
  <c r="O372" i="4"/>
  <c r="G372" i="4"/>
  <c r="N372" i="4"/>
  <c r="F372" i="4"/>
  <c r="M372" i="4"/>
  <c r="E372" i="4"/>
  <c r="L372" i="4"/>
  <c r="D372" i="4"/>
  <c r="S372" i="4"/>
  <c r="K372" i="4"/>
  <c r="R372" i="4"/>
  <c r="J372" i="4"/>
  <c r="I372" i="4"/>
  <c r="H372" i="4"/>
  <c r="P372" i="4"/>
  <c r="Q372" i="4"/>
  <c r="O376" i="4"/>
  <c r="G376" i="4"/>
  <c r="N376" i="4"/>
  <c r="F376" i="4"/>
  <c r="M376" i="4"/>
  <c r="E376" i="4"/>
  <c r="L376" i="4"/>
  <c r="D376" i="4"/>
  <c r="S376" i="4"/>
  <c r="K376" i="4"/>
  <c r="R376" i="4"/>
  <c r="J376" i="4"/>
  <c r="Q376" i="4"/>
  <c r="P376" i="4"/>
  <c r="I376" i="4"/>
  <c r="O380" i="4"/>
  <c r="G380" i="4"/>
  <c r="N380" i="4"/>
  <c r="F380" i="4"/>
  <c r="M380" i="4"/>
  <c r="E380" i="4"/>
  <c r="L380" i="4"/>
  <c r="D380" i="4"/>
  <c r="S380" i="4"/>
  <c r="K380" i="4"/>
  <c r="R380" i="4"/>
  <c r="J380" i="4"/>
  <c r="Q380" i="4"/>
  <c r="I380" i="4"/>
  <c r="H380" i="4"/>
  <c r="O384" i="4"/>
  <c r="G384" i="4"/>
  <c r="N384" i="4"/>
  <c r="F384" i="4"/>
  <c r="M384" i="4"/>
  <c r="E384" i="4"/>
  <c r="L384" i="4"/>
  <c r="D384" i="4"/>
  <c r="S384" i="4"/>
  <c r="K384" i="4"/>
  <c r="R384" i="4"/>
  <c r="J384" i="4"/>
  <c r="H384" i="4"/>
  <c r="Q384" i="4"/>
  <c r="P384" i="4"/>
  <c r="I384" i="4"/>
  <c r="O388" i="4"/>
  <c r="G388" i="4"/>
  <c r="N388" i="4"/>
  <c r="F388" i="4"/>
  <c r="M388" i="4"/>
  <c r="E388" i="4"/>
  <c r="L388" i="4"/>
  <c r="D388" i="4"/>
  <c r="S388" i="4"/>
  <c r="K388" i="4"/>
  <c r="R388" i="4"/>
  <c r="J388" i="4"/>
  <c r="I388" i="4"/>
  <c r="H388" i="4"/>
  <c r="P388" i="4"/>
  <c r="Q388" i="4"/>
  <c r="O392" i="4"/>
  <c r="G392" i="4"/>
  <c r="N392" i="4"/>
  <c r="F392" i="4"/>
  <c r="M392" i="4"/>
  <c r="E392" i="4"/>
  <c r="L392" i="4"/>
  <c r="D392" i="4"/>
  <c r="S392" i="4"/>
  <c r="K392" i="4"/>
  <c r="R392" i="4"/>
  <c r="J392" i="4"/>
  <c r="Q392" i="4"/>
  <c r="P392" i="4"/>
  <c r="I392" i="4"/>
  <c r="H392" i="4"/>
  <c r="O396" i="4"/>
  <c r="G396" i="4"/>
  <c r="N396" i="4"/>
  <c r="F396" i="4"/>
  <c r="M396" i="4"/>
  <c r="E396" i="4"/>
  <c r="L396" i="4"/>
  <c r="D396" i="4"/>
  <c r="S396" i="4"/>
  <c r="K396" i="4"/>
  <c r="R396" i="4"/>
  <c r="J396" i="4"/>
  <c r="Q396" i="4"/>
  <c r="P396" i="4"/>
  <c r="I396" i="4"/>
  <c r="H396" i="4"/>
  <c r="O400" i="4"/>
  <c r="G400" i="4"/>
  <c r="N400" i="4"/>
  <c r="F400" i="4"/>
  <c r="M400" i="4"/>
  <c r="E400" i="4"/>
  <c r="L400" i="4"/>
  <c r="D400" i="4"/>
  <c r="S400" i="4"/>
  <c r="K400" i="4"/>
  <c r="R400" i="4"/>
  <c r="J400" i="4"/>
  <c r="H400" i="4"/>
  <c r="Q400" i="4"/>
  <c r="P400" i="4"/>
  <c r="I400" i="4"/>
  <c r="O404" i="4"/>
  <c r="G404" i="4"/>
  <c r="N404" i="4"/>
  <c r="F404" i="4"/>
  <c r="M404" i="4"/>
  <c r="E404" i="4"/>
  <c r="L404" i="4"/>
  <c r="D404" i="4"/>
  <c r="S404" i="4"/>
  <c r="K404" i="4"/>
  <c r="R404" i="4"/>
  <c r="J404" i="4"/>
  <c r="I404" i="4"/>
  <c r="H404" i="4"/>
  <c r="P404" i="4"/>
  <c r="Q404" i="4"/>
  <c r="O408" i="4"/>
  <c r="G408" i="4"/>
  <c r="N408" i="4"/>
  <c r="F408" i="4"/>
  <c r="M408" i="4"/>
  <c r="E408" i="4"/>
  <c r="L408" i="4"/>
  <c r="D408" i="4"/>
  <c r="S408" i="4"/>
  <c r="K408" i="4"/>
  <c r="R408" i="4"/>
  <c r="J408" i="4"/>
  <c r="Q408" i="4"/>
  <c r="P408" i="4"/>
  <c r="I408" i="4"/>
  <c r="O412" i="4"/>
  <c r="G412" i="4"/>
  <c r="N412" i="4"/>
  <c r="F412" i="4"/>
  <c r="M412" i="4"/>
  <c r="E412" i="4"/>
  <c r="L412" i="4"/>
  <c r="D412" i="4"/>
  <c r="S412" i="4"/>
  <c r="K412" i="4"/>
  <c r="R412" i="4"/>
  <c r="J412" i="4"/>
  <c r="Q412" i="4"/>
  <c r="P412" i="4"/>
  <c r="I412" i="4"/>
  <c r="H412" i="4"/>
  <c r="O416" i="4"/>
  <c r="G416" i="4"/>
  <c r="N416" i="4"/>
  <c r="F416" i="4"/>
  <c r="M416" i="4"/>
  <c r="E416" i="4"/>
  <c r="L416" i="4"/>
  <c r="D416" i="4"/>
  <c r="S416" i="4"/>
  <c r="K416" i="4"/>
  <c r="R416" i="4"/>
  <c r="J416" i="4"/>
  <c r="Q416" i="4"/>
  <c r="H416" i="4"/>
  <c r="I416" i="4"/>
  <c r="O420" i="4"/>
  <c r="G420" i="4"/>
  <c r="N420" i="4"/>
  <c r="F420" i="4"/>
  <c r="M420" i="4"/>
  <c r="E420" i="4"/>
  <c r="L420" i="4"/>
  <c r="D420" i="4"/>
  <c r="S420" i="4"/>
  <c r="K420" i="4"/>
  <c r="R420" i="4"/>
  <c r="J420" i="4"/>
  <c r="I420" i="4"/>
  <c r="H420" i="4"/>
  <c r="P420" i="4"/>
  <c r="Q420" i="4"/>
  <c r="O424" i="4"/>
  <c r="G424" i="4"/>
  <c r="N424" i="4"/>
  <c r="F424" i="4"/>
  <c r="M424" i="4"/>
  <c r="E424" i="4"/>
  <c r="L424" i="4"/>
  <c r="D424" i="4"/>
  <c r="S424" i="4"/>
  <c r="K424" i="4"/>
  <c r="R424" i="4"/>
  <c r="J424" i="4"/>
  <c r="Q424" i="4"/>
  <c r="P424" i="4"/>
  <c r="I424" i="4"/>
  <c r="H424" i="4"/>
  <c r="O428" i="4"/>
  <c r="G428" i="4"/>
  <c r="N428" i="4"/>
  <c r="F428" i="4"/>
  <c r="M428" i="4"/>
  <c r="E428" i="4"/>
  <c r="L428" i="4"/>
  <c r="D428" i="4"/>
  <c r="S428" i="4"/>
  <c r="K428" i="4"/>
  <c r="R428" i="4"/>
  <c r="J428" i="4"/>
  <c r="Q428" i="4"/>
  <c r="P428" i="4"/>
  <c r="I428" i="4"/>
  <c r="H428" i="4"/>
  <c r="O432" i="4"/>
  <c r="G432" i="4"/>
  <c r="N432" i="4"/>
  <c r="F432" i="4"/>
  <c r="M432" i="4"/>
  <c r="E432" i="4"/>
  <c r="L432" i="4"/>
  <c r="D432" i="4"/>
  <c r="S432" i="4"/>
  <c r="K432" i="4"/>
  <c r="R432" i="4"/>
  <c r="J432" i="4"/>
  <c r="Q432" i="4"/>
  <c r="H432" i="4"/>
  <c r="P432" i="4"/>
  <c r="I432" i="4"/>
  <c r="O436" i="4"/>
  <c r="G436" i="4"/>
  <c r="N436" i="4"/>
  <c r="F436" i="4"/>
  <c r="M436" i="4"/>
  <c r="E436" i="4"/>
  <c r="L436" i="4"/>
  <c r="D436" i="4"/>
  <c r="S436" i="4"/>
  <c r="K436" i="4"/>
  <c r="R436" i="4"/>
  <c r="J436" i="4"/>
  <c r="I436" i="4"/>
  <c r="H436" i="4"/>
  <c r="P436" i="4"/>
  <c r="Q436" i="4"/>
  <c r="O440" i="4"/>
  <c r="G440" i="4"/>
  <c r="N440" i="4"/>
  <c r="F440" i="4"/>
  <c r="M440" i="4"/>
  <c r="E440" i="4"/>
  <c r="L440" i="4"/>
  <c r="D440" i="4"/>
  <c r="S440" i="4"/>
  <c r="K440" i="4"/>
  <c r="R440" i="4"/>
  <c r="J440" i="4"/>
  <c r="Q440" i="4"/>
  <c r="P440" i="4"/>
  <c r="I440" i="4"/>
  <c r="H440" i="4"/>
  <c r="O444" i="4"/>
  <c r="G444" i="4"/>
  <c r="N444" i="4"/>
  <c r="F444" i="4"/>
  <c r="M444" i="4"/>
  <c r="E444" i="4"/>
  <c r="L444" i="4"/>
  <c r="D444" i="4"/>
  <c r="S444" i="4"/>
  <c r="K444" i="4"/>
  <c r="R444" i="4"/>
  <c r="J444" i="4"/>
  <c r="Q444" i="4"/>
  <c r="P444" i="4"/>
  <c r="I444" i="4"/>
  <c r="H444" i="4"/>
  <c r="O448" i="4"/>
  <c r="G448" i="4"/>
  <c r="N448" i="4"/>
  <c r="F448" i="4"/>
  <c r="M448" i="4"/>
  <c r="E448" i="4"/>
  <c r="L448" i="4"/>
  <c r="D448" i="4"/>
  <c r="S448" i="4"/>
  <c r="K448" i="4"/>
  <c r="R448" i="4"/>
  <c r="J448" i="4"/>
  <c r="Q448" i="4"/>
  <c r="I448" i="4"/>
  <c r="H448" i="4"/>
  <c r="P448" i="4"/>
  <c r="O452" i="4"/>
  <c r="G452" i="4"/>
  <c r="N452" i="4"/>
  <c r="F452" i="4"/>
  <c r="M452" i="4"/>
  <c r="E452" i="4"/>
  <c r="L452" i="4"/>
  <c r="D452" i="4"/>
  <c r="S452" i="4"/>
  <c r="K452" i="4"/>
  <c r="R452" i="4"/>
  <c r="J452" i="4"/>
  <c r="I452" i="4"/>
  <c r="H452" i="4"/>
  <c r="Q452" i="4"/>
  <c r="P452" i="4"/>
  <c r="O456" i="4"/>
  <c r="G456" i="4"/>
  <c r="N456" i="4"/>
  <c r="F456" i="4"/>
  <c r="M456" i="4"/>
  <c r="E456" i="4"/>
  <c r="L456" i="4"/>
  <c r="D456" i="4"/>
  <c r="S456" i="4"/>
  <c r="K456" i="4"/>
  <c r="R456" i="4"/>
  <c r="J456" i="4"/>
  <c r="Q456" i="4"/>
  <c r="P456" i="4"/>
  <c r="I456" i="4"/>
  <c r="H456" i="4"/>
  <c r="O460" i="4"/>
  <c r="G460" i="4"/>
  <c r="N460" i="4"/>
  <c r="F460" i="4"/>
  <c r="M460" i="4"/>
  <c r="E460" i="4"/>
  <c r="L460" i="4"/>
  <c r="D460" i="4"/>
  <c r="S460" i="4"/>
  <c r="K460" i="4"/>
  <c r="R460" i="4"/>
  <c r="J460" i="4"/>
  <c r="Q460" i="4"/>
  <c r="P460" i="4"/>
  <c r="I460" i="4"/>
  <c r="H460" i="4"/>
  <c r="O464" i="4"/>
  <c r="G464" i="4"/>
  <c r="N464" i="4"/>
  <c r="F464" i="4"/>
  <c r="M464" i="4"/>
  <c r="E464" i="4"/>
  <c r="L464" i="4"/>
  <c r="D464" i="4"/>
  <c r="S464" i="4"/>
  <c r="K464" i="4"/>
  <c r="R464" i="4"/>
  <c r="J464" i="4"/>
  <c r="I464" i="4"/>
  <c r="P464" i="4"/>
  <c r="H464" i="4"/>
  <c r="Q464" i="4"/>
  <c r="O468" i="4"/>
  <c r="G468" i="4"/>
  <c r="N468" i="4"/>
  <c r="F468" i="4"/>
  <c r="M468" i="4"/>
  <c r="E468" i="4"/>
  <c r="L468" i="4"/>
  <c r="D468" i="4"/>
  <c r="S468" i="4"/>
  <c r="K468" i="4"/>
  <c r="R468" i="4"/>
  <c r="J468" i="4"/>
  <c r="I468" i="4"/>
  <c r="P468" i="4"/>
  <c r="H468" i="4"/>
  <c r="Q468" i="4"/>
  <c r="O472" i="4"/>
  <c r="G472" i="4"/>
  <c r="N472" i="4"/>
  <c r="F472" i="4"/>
  <c r="M472" i="4"/>
  <c r="E472" i="4"/>
  <c r="L472" i="4"/>
  <c r="D472" i="4"/>
  <c r="S472" i="4"/>
  <c r="K472" i="4"/>
  <c r="R472" i="4"/>
  <c r="J472" i="4"/>
  <c r="I472" i="4"/>
  <c r="Q472" i="4"/>
  <c r="P472" i="4"/>
  <c r="O476" i="4"/>
  <c r="G476" i="4"/>
  <c r="N476" i="4"/>
  <c r="F476" i="4"/>
  <c r="M476" i="4"/>
  <c r="E476" i="4"/>
  <c r="L476" i="4"/>
  <c r="D476" i="4"/>
  <c r="S476" i="4"/>
  <c r="K476" i="4"/>
  <c r="R476" i="4"/>
  <c r="J476" i="4"/>
  <c r="I476" i="4"/>
  <c r="Q476" i="4"/>
  <c r="P476" i="4"/>
  <c r="H476" i="4"/>
  <c r="O480" i="4"/>
  <c r="G480" i="4"/>
  <c r="N480" i="4"/>
  <c r="F480" i="4"/>
  <c r="M480" i="4"/>
  <c r="E480" i="4"/>
  <c r="L480" i="4"/>
  <c r="D480" i="4"/>
  <c r="S480" i="4"/>
  <c r="K480" i="4"/>
  <c r="R480" i="4"/>
  <c r="J480" i="4"/>
  <c r="I480" i="4"/>
  <c r="P480" i="4"/>
  <c r="H480" i="4"/>
  <c r="Q480" i="4"/>
  <c r="O484" i="4"/>
  <c r="G484" i="4"/>
  <c r="N484" i="4"/>
  <c r="F484" i="4"/>
  <c r="M484" i="4"/>
  <c r="E484" i="4"/>
  <c r="L484" i="4"/>
  <c r="D484" i="4"/>
  <c r="S484" i="4"/>
  <c r="K484" i="4"/>
  <c r="R484" i="4"/>
  <c r="J484" i="4"/>
  <c r="I484" i="4"/>
  <c r="P484" i="4"/>
  <c r="H484" i="4"/>
  <c r="Q484" i="4"/>
  <c r="O488" i="4"/>
  <c r="G488" i="4"/>
  <c r="N488" i="4"/>
  <c r="F488" i="4"/>
  <c r="M488" i="4"/>
  <c r="E488" i="4"/>
  <c r="L488" i="4"/>
  <c r="D488" i="4"/>
  <c r="S488" i="4"/>
  <c r="K488" i="4"/>
  <c r="R488" i="4"/>
  <c r="J488" i="4"/>
  <c r="I488" i="4"/>
  <c r="Q488" i="4"/>
  <c r="P488" i="4"/>
  <c r="H488" i="4"/>
  <c r="O492" i="4"/>
  <c r="G492" i="4"/>
  <c r="N492" i="4"/>
  <c r="F492" i="4"/>
  <c r="M492" i="4"/>
  <c r="E492" i="4"/>
  <c r="L492" i="4"/>
  <c r="D492" i="4"/>
  <c r="S492" i="4"/>
  <c r="K492" i="4"/>
  <c r="R492" i="4"/>
  <c r="J492" i="4"/>
  <c r="I492" i="4"/>
  <c r="Q492" i="4"/>
  <c r="P492" i="4"/>
  <c r="H492" i="4"/>
  <c r="O496" i="4"/>
  <c r="G496" i="4"/>
  <c r="N496" i="4"/>
  <c r="F496" i="4"/>
  <c r="M496" i="4"/>
  <c r="E496" i="4"/>
  <c r="L496" i="4"/>
  <c r="D496" i="4"/>
  <c r="S496" i="4"/>
  <c r="K496" i="4"/>
  <c r="R496" i="4"/>
  <c r="J496" i="4"/>
  <c r="I496" i="4"/>
  <c r="P496" i="4"/>
  <c r="H496" i="4"/>
  <c r="Q496" i="4"/>
  <c r="O500" i="4"/>
  <c r="G500" i="4"/>
  <c r="N500" i="4"/>
  <c r="F500" i="4"/>
  <c r="M500" i="4"/>
  <c r="E500" i="4"/>
  <c r="L500" i="4"/>
  <c r="D500" i="4"/>
  <c r="S500" i="4"/>
  <c r="K500" i="4"/>
  <c r="R500" i="4"/>
  <c r="J500" i="4"/>
  <c r="I500" i="4"/>
  <c r="P500" i="4"/>
  <c r="H500" i="4"/>
  <c r="Q500" i="4"/>
  <c r="O504" i="4"/>
  <c r="G504" i="4"/>
  <c r="N504" i="4"/>
  <c r="F504" i="4"/>
  <c r="M504" i="4"/>
  <c r="E504" i="4"/>
  <c r="L504" i="4"/>
  <c r="D504" i="4"/>
  <c r="S504" i="4"/>
  <c r="K504" i="4"/>
  <c r="R504" i="4"/>
  <c r="J504" i="4"/>
  <c r="Q504" i="4"/>
  <c r="I504" i="4"/>
  <c r="P504" i="4"/>
  <c r="H504" i="4"/>
  <c r="O508" i="4"/>
  <c r="G508" i="4"/>
  <c r="N508" i="4"/>
  <c r="F508" i="4"/>
  <c r="M508" i="4"/>
  <c r="E508" i="4"/>
  <c r="L508" i="4"/>
  <c r="D508" i="4"/>
  <c r="S508" i="4"/>
  <c r="K508" i="4"/>
  <c r="R508" i="4"/>
  <c r="J508" i="4"/>
  <c r="Q508" i="4"/>
  <c r="P508" i="4"/>
  <c r="I508" i="4"/>
  <c r="H508" i="4"/>
  <c r="O512" i="4"/>
  <c r="G512" i="4"/>
  <c r="N512" i="4"/>
  <c r="F512" i="4"/>
  <c r="M512" i="4"/>
  <c r="E512" i="4"/>
  <c r="L512" i="4"/>
  <c r="D512" i="4"/>
  <c r="S512" i="4"/>
  <c r="K512" i="4"/>
  <c r="R512" i="4"/>
  <c r="J512" i="4"/>
  <c r="Q512" i="4"/>
  <c r="P512" i="4"/>
  <c r="I512" i="4"/>
  <c r="H512" i="4"/>
  <c r="O516" i="4"/>
  <c r="G516" i="4"/>
  <c r="N516" i="4"/>
  <c r="F516" i="4"/>
  <c r="M516" i="4"/>
  <c r="E516" i="4"/>
  <c r="L516" i="4"/>
  <c r="D516" i="4"/>
  <c r="S516" i="4"/>
  <c r="K516" i="4"/>
  <c r="R516" i="4"/>
  <c r="J516" i="4"/>
  <c r="Q516" i="4"/>
  <c r="P516" i="4"/>
  <c r="I516" i="4"/>
  <c r="H516" i="4"/>
  <c r="O520" i="4"/>
  <c r="G520" i="4"/>
  <c r="N520" i="4"/>
  <c r="F520" i="4"/>
  <c r="M520" i="4"/>
  <c r="E520" i="4"/>
  <c r="L520" i="4"/>
  <c r="D520" i="4"/>
  <c r="S520" i="4"/>
  <c r="K520" i="4"/>
  <c r="R520" i="4"/>
  <c r="J520" i="4"/>
  <c r="Q520" i="4"/>
  <c r="P520" i="4"/>
  <c r="I520" i="4"/>
  <c r="H520" i="4"/>
  <c r="O524" i="4"/>
  <c r="G524" i="4"/>
  <c r="N524" i="4"/>
  <c r="F524" i="4"/>
  <c r="M524" i="4"/>
  <c r="E524" i="4"/>
  <c r="L524" i="4"/>
  <c r="D524" i="4"/>
  <c r="S524" i="4"/>
  <c r="K524" i="4"/>
  <c r="R524" i="4"/>
  <c r="J524" i="4"/>
  <c r="Q524" i="4"/>
  <c r="P524" i="4"/>
  <c r="I524" i="4"/>
  <c r="H524" i="4"/>
  <c r="O528" i="4"/>
  <c r="G528" i="4"/>
  <c r="N528" i="4"/>
  <c r="F528" i="4"/>
  <c r="M528" i="4"/>
  <c r="E528" i="4"/>
  <c r="L528" i="4"/>
  <c r="D528" i="4"/>
  <c r="S528" i="4"/>
  <c r="K528" i="4"/>
  <c r="R528" i="4"/>
  <c r="J528" i="4"/>
  <c r="Q528" i="4"/>
  <c r="P528" i="4"/>
  <c r="I528" i="4"/>
  <c r="H528" i="4"/>
  <c r="O532" i="4"/>
  <c r="G532" i="4"/>
  <c r="N532" i="4"/>
  <c r="F532" i="4"/>
  <c r="M532" i="4"/>
  <c r="E532" i="4"/>
  <c r="L532" i="4"/>
  <c r="D532" i="4"/>
  <c r="S532" i="4"/>
  <c r="K532" i="4"/>
  <c r="R532" i="4"/>
  <c r="J532" i="4"/>
  <c r="Q532" i="4"/>
  <c r="P532" i="4"/>
  <c r="I532" i="4"/>
  <c r="H532" i="4"/>
  <c r="O536" i="4"/>
  <c r="G536" i="4"/>
  <c r="N536" i="4"/>
  <c r="F536" i="4"/>
  <c r="M536" i="4"/>
  <c r="E536" i="4"/>
  <c r="L536" i="4"/>
  <c r="D536" i="4"/>
  <c r="S536" i="4"/>
  <c r="K536" i="4"/>
  <c r="R536" i="4"/>
  <c r="J536" i="4"/>
  <c r="Q536" i="4"/>
  <c r="P536" i="4"/>
  <c r="I536" i="4"/>
  <c r="H536" i="4"/>
  <c r="O540" i="4"/>
  <c r="G540" i="4"/>
  <c r="N540" i="4"/>
  <c r="F540" i="4"/>
  <c r="M540" i="4"/>
  <c r="E540" i="4"/>
  <c r="L540" i="4"/>
  <c r="D540" i="4"/>
  <c r="S540" i="4"/>
  <c r="K540" i="4"/>
  <c r="R540" i="4"/>
  <c r="J540" i="4"/>
  <c r="Q540" i="4"/>
  <c r="P540" i="4"/>
  <c r="I540" i="4"/>
  <c r="H540" i="4"/>
  <c r="O544" i="4"/>
  <c r="G544" i="4"/>
  <c r="N544" i="4"/>
  <c r="F544" i="4"/>
  <c r="M544" i="4"/>
  <c r="E544" i="4"/>
  <c r="L544" i="4"/>
  <c r="D544" i="4"/>
  <c r="S544" i="4"/>
  <c r="K544" i="4"/>
  <c r="R544" i="4"/>
  <c r="J544" i="4"/>
  <c r="Q544" i="4"/>
  <c r="P544" i="4"/>
  <c r="I544" i="4"/>
  <c r="H544" i="4"/>
  <c r="O548" i="4"/>
  <c r="G548" i="4"/>
  <c r="N548" i="4"/>
  <c r="F548" i="4"/>
  <c r="M548" i="4"/>
  <c r="E548" i="4"/>
  <c r="L548" i="4"/>
  <c r="D548" i="4"/>
  <c r="S548" i="4"/>
  <c r="K548" i="4"/>
  <c r="R548" i="4"/>
  <c r="J548" i="4"/>
  <c r="Q548" i="4"/>
  <c r="P548" i="4"/>
  <c r="I548" i="4"/>
  <c r="H548" i="4"/>
  <c r="O552" i="4"/>
  <c r="G552" i="4"/>
  <c r="N552" i="4"/>
  <c r="F552" i="4"/>
  <c r="M552" i="4"/>
  <c r="E552" i="4"/>
  <c r="L552" i="4"/>
  <c r="D552" i="4"/>
  <c r="S552" i="4"/>
  <c r="K552" i="4"/>
  <c r="R552" i="4"/>
  <c r="J552" i="4"/>
  <c r="Q552" i="4"/>
  <c r="P552" i="4"/>
  <c r="I552" i="4"/>
  <c r="H552" i="4"/>
  <c r="O556" i="4"/>
  <c r="G556" i="4"/>
  <c r="N556" i="4"/>
  <c r="F556" i="4"/>
  <c r="M556" i="4"/>
  <c r="E556" i="4"/>
  <c r="L556" i="4"/>
  <c r="D556" i="4"/>
  <c r="S556" i="4"/>
  <c r="K556" i="4"/>
  <c r="R556" i="4"/>
  <c r="J556" i="4"/>
  <c r="Q556" i="4"/>
  <c r="P556" i="4"/>
  <c r="I556" i="4"/>
  <c r="H556" i="4"/>
  <c r="O560" i="4"/>
  <c r="G560" i="4"/>
  <c r="N560" i="4"/>
  <c r="F560" i="4"/>
  <c r="M560" i="4"/>
  <c r="E560" i="4"/>
  <c r="L560" i="4"/>
  <c r="D560" i="4"/>
  <c r="S560" i="4"/>
  <c r="K560" i="4"/>
  <c r="R560" i="4"/>
  <c r="J560" i="4"/>
  <c r="Q560" i="4"/>
  <c r="P560" i="4"/>
  <c r="I560" i="4"/>
  <c r="H560" i="4"/>
  <c r="O564" i="4"/>
  <c r="G564" i="4"/>
  <c r="N564" i="4"/>
  <c r="F564" i="4"/>
  <c r="M564" i="4"/>
  <c r="E564" i="4"/>
  <c r="L564" i="4"/>
  <c r="D564" i="4"/>
  <c r="S564" i="4"/>
  <c r="K564" i="4"/>
  <c r="R564" i="4"/>
  <c r="J564" i="4"/>
  <c r="Q564" i="4"/>
  <c r="P564" i="4"/>
  <c r="I564" i="4"/>
  <c r="H564" i="4"/>
  <c r="O568" i="4"/>
  <c r="G568" i="4"/>
  <c r="N568" i="4"/>
  <c r="F568" i="4"/>
  <c r="M568" i="4"/>
  <c r="E568" i="4"/>
  <c r="L568" i="4"/>
  <c r="D568" i="4"/>
  <c r="S568" i="4"/>
  <c r="K568" i="4"/>
  <c r="R568" i="4"/>
  <c r="J568" i="4"/>
  <c r="Q568" i="4"/>
  <c r="P568" i="4"/>
  <c r="I568" i="4"/>
  <c r="H568" i="4"/>
  <c r="O572" i="4"/>
  <c r="G572" i="4"/>
  <c r="N572" i="4"/>
  <c r="F572" i="4"/>
  <c r="M572" i="4"/>
  <c r="E572" i="4"/>
  <c r="L572" i="4"/>
  <c r="D572" i="4"/>
  <c r="S572" i="4"/>
  <c r="K572" i="4"/>
  <c r="R572" i="4"/>
  <c r="J572" i="4"/>
  <c r="Q572" i="4"/>
  <c r="P572" i="4"/>
  <c r="I572" i="4"/>
  <c r="H572" i="4"/>
  <c r="O576" i="4"/>
  <c r="G576" i="4"/>
  <c r="N576" i="4"/>
  <c r="F576" i="4"/>
  <c r="M576" i="4"/>
  <c r="E576" i="4"/>
  <c r="L576" i="4"/>
  <c r="D576" i="4"/>
  <c r="S576" i="4"/>
  <c r="K576" i="4"/>
  <c r="R576" i="4"/>
  <c r="J576" i="4"/>
  <c r="Q576" i="4"/>
  <c r="P576" i="4"/>
  <c r="I576" i="4"/>
  <c r="H576" i="4"/>
  <c r="O580" i="4"/>
  <c r="G580" i="4"/>
  <c r="N580" i="4"/>
  <c r="F580" i="4"/>
  <c r="M580" i="4"/>
  <c r="E580" i="4"/>
  <c r="L580" i="4"/>
  <c r="D580" i="4"/>
  <c r="S580" i="4"/>
  <c r="K580" i="4"/>
  <c r="R580" i="4"/>
  <c r="J580" i="4"/>
  <c r="Q580" i="4"/>
  <c r="P580" i="4"/>
  <c r="I580" i="4"/>
  <c r="H580" i="4"/>
  <c r="O584" i="4"/>
  <c r="G584" i="4"/>
  <c r="N584" i="4"/>
  <c r="F584" i="4"/>
  <c r="M584" i="4"/>
  <c r="E584" i="4"/>
  <c r="L584" i="4"/>
  <c r="D584" i="4"/>
  <c r="S584" i="4"/>
  <c r="K584" i="4"/>
  <c r="R584" i="4"/>
  <c r="J584" i="4"/>
  <c r="Q584" i="4"/>
  <c r="P584" i="4"/>
  <c r="I584" i="4"/>
  <c r="H584" i="4"/>
  <c r="O588" i="4"/>
  <c r="G588" i="4"/>
  <c r="N588" i="4"/>
  <c r="F588" i="4"/>
  <c r="M588" i="4"/>
  <c r="E588" i="4"/>
  <c r="L588" i="4"/>
  <c r="D588" i="4"/>
  <c r="S588" i="4"/>
  <c r="K588" i="4"/>
  <c r="R588" i="4"/>
  <c r="J588" i="4"/>
  <c r="Q588" i="4"/>
  <c r="P588" i="4"/>
  <c r="I588" i="4"/>
  <c r="H588" i="4"/>
  <c r="O592" i="4"/>
  <c r="G592" i="4"/>
  <c r="N592" i="4"/>
  <c r="F592" i="4"/>
  <c r="M592" i="4"/>
  <c r="E592" i="4"/>
  <c r="L592" i="4"/>
  <c r="D592" i="4"/>
  <c r="S592" i="4"/>
  <c r="K592" i="4"/>
  <c r="R592" i="4"/>
  <c r="J592" i="4"/>
  <c r="Q592" i="4"/>
  <c r="P592" i="4"/>
  <c r="I592" i="4"/>
  <c r="H592" i="4"/>
  <c r="O596" i="4"/>
  <c r="G596" i="4"/>
  <c r="N596" i="4"/>
  <c r="F596" i="4"/>
  <c r="M596" i="4"/>
  <c r="E596" i="4"/>
  <c r="L596" i="4"/>
  <c r="D596" i="4"/>
  <c r="S596" i="4"/>
  <c r="K596" i="4"/>
  <c r="R596" i="4"/>
  <c r="J596" i="4"/>
  <c r="Q596" i="4"/>
  <c r="P596" i="4"/>
  <c r="I596" i="4"/>
  <c r="H596" i="4"/>
  <c r="O600" i="4"/>
  <c r="G600" i="4"/>
  <c r="N600" i="4"/>
  <c r="F600" i="4"/>
  <c r="M600" i="4"/>
  <c r="E600" i="4"/>
  <c r="L600" i="4"/>
  <c r="D600" i="4"/>
  <c r="S600" i="4"/>
  <c r="K600" i="4"/>
  <c r="R600" i="4"/>
  <c r="J600" i="4"/>
  <c r="Q600" i="4"/>
  <c r="P600" i="4"/>
  <c r="I600" i="4"/>
  <c r="H600" i="4"/>
  <c r="O604" i="4"/>
  <c r="G604" i="4"/>
  <c r="N604" i="4"/>
  <c r="F604" i="4"/>
  <c r="M604" i="4"/>
  <c r="E604" i="4"/>
  <c r="L604" i="4"/>
  <c r="D604" i="4"/>
  <c r="S604" i="4"/>
  <c r="K604" i="4"/>
  <c r="R604" i="4"/>
  <c r="J604" i="4"/>
  <c r="Q604" i="4"/>
  <c r="P604" i="4"/>
  <c r="I604" i="4"/>
  <c r="H604" i="4"/>
  <c r="O608" i="4"/>
  <c r="G608" i="4"/>
  <c r="N608" i="4"/>
  <c r="F608" i="4"/>
  <c r="M608" i="4"/>
  <c r="E608" i="4"/>
  <c r="L608" i="4"/>
  <c r="D608" i="4"/>
  <c r="S608" i="4"/>
  <c r="K608" i="4"/>
  <c r="R608" i="4"/>
  <c r="J608" i="4"/>
  <c r="Q608" i="4"/>
  <c r="P608" i="4"/>
  <c r="I608" i="4"/>
  <c r="H608" i="4"/>
  <c r="O612" i="4"/>
  <c r="G612" i="4"/>
  <c r="N612" i="4"/>
  <c r="F612" i="4"/>
  <c r="M612" i="4"/>
  <c r="E612" i="4"/>
  <c r="L612" i="4"/>
  <c r="D612" i="4"/>
  <c r="S612" i="4"/>
  <c r="K612" i="4"/>
  <c r="R612" i="4"/>
  <c r="J612" i="4"/>
  <c r="Q612" i="4"/>
  <c r="P612" i="4"/>
  <c r="I612" i="4"/>
  <c r="H612" i="4"/>
  <c r="O616" i="4"/>
  <c r="G616" i="4"/>
  <c r="N616" i="4"/>
  <c r="F616" i="4"/>
  <c r="M616" i="4"/>
  <c r="E616" i="4"/>
  <c r="L616" i="4"/>
  <c r="D616" i="4"/>
  <c r="S616" i="4"/>
  <c r="K616" i="4"/>
  <c r="R616" i="4"/>
  <c r="J616" i="4"/>
  <c r="Q616" i="4"/>
  <c r="P616" i="4"/>
  <c r="I616" i="4"/>
  <c r="H616" i="4"/>
  <c r="O620" i="4"/>
  <c r="G620" i="4"/>
  <c r="N620" i="4"/>
  <c r="F620" i="4"/>
  <c r="M620" i="4"/>
  <c r="E620" i="4"/>
  <c r="L620" i="4"/>
  <c r="D620" i="4"/>
  <c r="S620" i="4"/>
  <c r="K620" i="4"/>
  <c r="R620" i="4"/>
  <c r="J620" i="4"/>
  <c r="Q620" i="4"/>
  <c r="P620" i="4"/>
  <c r="I620" i="4"/>
  <c r="H620" i="4"/>
  <c r="O624" i="4"/>
  <c r="G624" i="4"/>
  <c r="N624" i="4"/>
  <c r="F624" i="4"/>
  <c r="M624" i="4"/>
  <c r="E624" i="4"/>
  <c r="L624" i="4"/>
  <c r="D624" i="4"/>
  <c r="S624" i="4"/>
  <c r="K624" i="4"/>
  <c r="R624" i="4"/>
  <c r="J624" i="4"/>
  <c r="Q624" i="4"/>
  <c r="P624" i="4"/>
  <c r="I624" i="4"/>
  <c r="H624" i="4"/>
  <c r="O628" i="4"/>
  <c r="G628" i="4"/>
  <c r="N628" i="4"/>
  <c r="F628" i="4"/>
  <c r="M628" i="4"/>
  <c r="E628" i="4"/>
  <c r="L628" i="4"/>
  <c r="D628" i="4"/>
  <c r="S628" i="4"/>
  <c r="K628" i="4"/>
  <c r="R628" i="4"/>
  <c r="J628" i="4"/>
  <c r="Q628" i="4"/>
  <c r="P628" i="4"/>
  <c r="I628" i="4"/>
  <c r="H628" i="4"/>
  <c r="O632" i="4"/>
  <c r="G632" i="4"/>
  <c r="N632" i="4"/>
  <c r="F632" i="4"/>
  <c r="M632" i="4"/>
  <c r="E632" i="4"/>
  <c r="L632" i="4"/>
  <c r="D632" i="4"/>
  <c r="S632" i="4"/>
  <c r="K632" i="4"/>
  <c r="R632" i="4"/>
  <c r="J632" i="4"/>
  <c r="Q632" i="4"/>
  <c r="P632" i="4"/>
  <c r="I632" i="4"/>
  <c r="H632" i="4"/>
  <c r="O636" i="4"/>
  <c r="G636" i="4"/>
  <c r="N636" i="4"/>
  <c r="F636" i="4"/>
  <c r="M636" i="4"/>
  <c r="E636" i="4"/>
  <c r="L636" i="4"/>
  <c r="D636" i="4"/>
  <c r="S636" i="4"/>
  <c r="K636" i="4"/>
  <c r="R636" i="4"/>
  <c r="J636" i="4"/>
  <c r="Q636" i="4"/>
  <c r="P636" i="4"/>
  <c r="I636" i="4"/>
  <c r="H636" i="4"/>
  <c r="O640" i="4"/>
  <c r="G640" i="4"/>
  <c r="N640" i="4"/>
  <c r="F640" i="4"/>
  <c r="M640" i="4"/>
  <c r="E640" i="4"/>
  <c r="L640" i="4"/>
  <c r="D640" i="4"/>
  <c r="S640" i="4"/>
  <c r="K640" i="4"/>
  <c r="R640" i="4"/>
  <c r="J640" i="4"/>
  <c r="Q640" i="4"/>
  <c r="P640" i="4"/>
  <c r="I640" i="4"/>
  <c r="H640" i="4"/>
  <c r="O644" i="4"/>
  <c r="G644" i="4"/>
  <c r="N644" i="4"/>
  <c r="F644" i="4"/>
  <c r="M644" i="4"/>
  <c r="E644" i="4"/>
  <c r="L644" i="4"/>
  <c r="D644" i="4"/>
  <c r="S644" i="4"/>
  <c r="K644" i="4"/>
  <c r="R644" i="4"/>
  <c r="J644" i="4"/>
  <c r="Q644" i="4"/>
  <c r="P644" i="4"/>
  <c r="I644" i="4"/>
  <c r="H644" i="4"/>
  <c r="O648" i="4"/>
  <c r="G648" i="4"/>
  <c r="N648" i="4"/>
  <c r="F648" i="4"/>
  <c r="M648" i="4"/>
  <c r="E648" i="4"/>
  <c r="L648" i="4"/>
  <c r="D648" i="4"/>
  <c r="S648" i="4"/>
  <c r="K648" i="4"/>
  <c r="R648" i="4"/>
  <c r="J648" i="4"/>
  <c r="Q648" i="4"/>
  <c r="P648" i="4"/>
  <c r="I648" i="4"/>
  <c r="H648" i="4"/>
  <c r="O652" i="4"/>
  <c r="G652" i="4"/>
  <c r="N652" i="4"/>
  <c r="F652" i="4"/>
  <c r="M652" i="4"/>
  <c r="E652" i="4"/>
  <c r="L652" i="4"/>
  <c r="D652" i="4"/>
  <c r="S652" i="4"/>
  <c r="K652" i="4"/>
  <c r="R652" i="4"/>
  <c r="J652" i="4"/>
  <c r="Q652" i="4"/>
  <c r="P652" i="4"/>
  <c r="I652" i="4"/>
  <c r="H652" i="4"/>
  <c r="O656" i="4"/>
  <c r="G656" i="4"/>
  <c r="N656" i="4"/>
  <c r="F656" i="4"/>
  <c r="M656" i="4"/>
  <c r="E656" i="4"/>
  <c r="L656" i="4"/>
  <c r="D656" i="4"/>
  <c r="S656" i="4"/>
  <c r="K656" i="4"/>
  <c r="R656" i="4"/>
  <c r="J656" i="4"/>
  <c r="Q656" i="4"/>
  <c r="P656" i="4"/>
  <c r="I656" i="4"/>
  <c r="H656" i="4"/>
  <c r="O660" i="4"/>
  <c r="G660" i="4"/>
  <c r="N660" i="4"/>
  <c r="F660" i="4"/>
  <c r="M660" i="4"/>
  <c r="E660" i="4"/>
  <c r="L660" i="4"/>
  <c r="D660" i="4"/>
  <c r="S660" i="4"/>
  <c r="K660" i="4"/>
  <c r="R660" i="4"/>
  <c r="J660" i="4"/>
  <c r="Q660" i="4"/>
  <c r="P660" i="4"/>
  <c r="I660" i="4"/>
  <c r="H660" i="4"/>
  <c r="O664" i="4"/>
  <c r="G664" i="4"/>
  <c r="N664" i="4"/>
  <c r="F664" i="4"/>
  <c r="M664" i="4"/>
  <c r="E664" i="4"/>
  <c r="L664" i="4"/>
  <c r="D664" i="4"/>
  <c r="S664" i="4"/>
  <c r="K664" i="4"/>
  <c r="R664" i="4"/>
  <c r="J664" i="4"/>
  <c r="Q664" i="4"/>
  <c r="P664" i="4"/>
  <c r="I664" i="4"/>
  <c r="H664" i="4"/>
  <c r="AF5" i="3" a="1"/>
  <c r="AF5" i="3" s="1"/>
  <c r="AJ5" i="3"/>
  <c r="AA5" i="3"/>
  <c r="S5" i="3"/>
  <c r="K5" i="3"/>
  <c r="AI5" i="3"/>
  <c r="Z5" i="3"/>
  <c r="R5" i="3"/>
  <c r="J5" i="3"/>
  <c r="AH5" i="3"/>
  <c r="Y5" i="3"/>
  <c r="Q5" i="3"/>
  <c r="I5" i="3"/>
  <c r="AG5" i="3"/>
  <c r="X5" i="3"/>
  <c r="P5" i="3"/>
  <c r="H5" i="3"/>
  <c r="AN5" i="3"/>
  <c r="AE5" i="3"/>
  <c r="W5" i="3"/>
  <c r="O5" i="3"/>
  <c r="G5" i="3"/>
  <c r="AM5" i="3"/>
  <c r="AD5" i="3"/>
  <c r="V5" i="3"/>
  <c r="N5" i="3"/>
  <c r="AL5" i="3"/>
  <c r="E5" i="3"/>
  <c r="AK5" i="3"/>
  <c r="D5" i="3"/>
  <c r="AC5" i="3"/>
  <c r="AB5" i="3"/>
  <c r="U5" i="3"/>
  <c r="T5" i="3"/>
  <c r="M5" i="3"/>
  <c r="L5" i="3"/>
  <c r="AF9" i="3" a="1"/>
  <c r="AF9" i="3" s="1"/>
  <c r="AA9" i="3"/>
  <c r="S9" i="3"/>
  <c r="K9" i="3"/>
  <c r="AI9" i="3"/>
  <c r="Z9" i="3"/>
  <c r="R9" i="3"/>
  <c r="AH9" i="3"/>
  <c r="Y9" i="3"/>
  <c r="Q9" i="3"/>
  <c r="I9" i="3"/>
  <c r="AG9" i="3"/>
  <c r="X9" i="3"/>
  <c r="P9" i="3"/>
  <c r="AN9" i="3"/>
  <c r="AE9" i="3"/>
  <c r="W9" i="3"/>
  <c r="O9" i="3"/>
  <c r="G9" i="3"/>
  <c r="AM9" i="3"/>
  <c r="AD9" i="3"/>
  <c r="V9" i="3"/>
  <c r="N9" i="3"/>
  <c r="F9" i="3"/>
  <c r="U9" i="3"/>
  <c r="T9" i="3"/>
  <c r="M9" i="3"/>
  <c r="L9" i="3"/>
  <c r="AL9" i="3"/>
  <c r="E9" i="3"/>
  <c r="D9" i="3"/>
  <c r="AC9" i="3"/>
  <c r="AB9" i="3"/>
  <c r="AF13" i="3" a="1"/>
  <c r="AF13" i="3" s="1"/>
  <c r="AJ13" i="3"/>
  <c r="AA13" i="3"/>
  <c r="S13" i="3"/>
  <c r="K13" i="3"/>
  <c r="AI13" i="3"/>
  <c r="Z13" i="3"/>
  <c r="R13" i="3"/>
  <c r="J13" i="3"/>
  <c r="AH13" i="3"/>
  <c r="Y13" i="3"/>
  <c r="Q13" i="3"/>
  <c r="I13" i="3"/>
  <c r="AG13" i="3"/>
  <c r="X13" i="3"/>
  <c r="P13" i="3"/>
  <c r="H13" i="3"/>
  <c r="AN13" i="3"/>
  <c r="AE13" i="3"/>
  <c r="W13" i="3"/>
  <c r="O13" i="3"/>
  <c r="G13" i="3"/>
  <c r="AM13" i="3"/>
  <c r="AD13" i="3"/>
  <c r="V13" i="3"/>
  <c r="N13" i="3"/>
  <c r="F13" i="3"/>
  <c r="AL13" i="3"/>
  <c r="E13" i="3"/>
  <c r="AK13" i="3"/>
  <c r="D13" i="3"/>
  <c r="AC13" i="3"/>
  <c r="AB13" i="3"/>
  <c r="U13" i="3"/>
  <c r="T13" i="3"/>
  <c r="M13" i="3"/>
  <c r="L13" i="3"/>
  <c r="AF17" i="3" a="1"/>
  <c r="AF17" i="3" s="1"/>
  <c r="AJ17" i="3"/>
  <c r="AA17" i="3"/>
  <c r="S17" i="3"/>
  <c r="K17" i="3"/>
  <c r="AI17" i="3"/>
  <c r="Z17" i="3"/>
  <c r="R17" i="3"/>
  <c r="J17" i="3"/>
  <c r="AH17" i="3"/>
  <c r="Y17" i="3"/>
  <c r="Q17" i="3"/>
  <c r="I17" i="3"/>
  <c r="AG17" i="3"/>
  <c r="X17" i="3"/>
  <c r="P17" i="3"/>
  <c r="AN17" i="3"/>
  <c r="AE17" i="3"/>
  <c r="W17" i="3"/>
  <c r="O17" i="3"/>
  <c r="AM17" i="3"/>
  <c r="AD17" i="3"/>
  <c r="V17" i="3"/>
  <c r="N17" i="3"/>
  <c r="U17" i="3"/>
  <c r="T17" i="3"/>
  <c r="M17" i="3"/>
  <c r="L17" i="3"/>
  <c r="AL17" i="3"/>
  <c r="E17" i="3"/>
  <c r="D17" i="3"/>
  <c r="AC17" i="3"/>
  <c r="AB17" i="3"/>
  <c r="AF21" i="3" a="1"/>
  <c r="AF21" i="3" s="1"/>
  <c r="AJ21" i="3"/>
  <c r="AA21" i="3"/>
  <c r="S21" i="3"/>
  <c r="K21" i="3"/>
  <c r="AI21" i="3"/>
  <c r="Z21" i="3"/>
  <c r="R21" i="3"/>
  <c r="J21" i="3"/>
  <c r="AH21" i="3"/>
  <c r="Y21" i="3"/>
  <c r="Q21" i="3"/>
  <c r="I21" i="3"/>
  <c r="AG21" i="3"/>
  <c r="X21" i="3"/>
  <c r="P21" i="3"/>
  <c r="H21" i="3"/>
  <c r="AN21" i="3"/>
  <c r="AE21" i="3"/>
  <c r="W21" i="3"/>
  <c r="O21" i="3"/>
  <c r="G21" i="3"/>
  <c r="AM21" i="3"/>
  <c r="AD21" i="3"/>
  <c r="V21" i="3"/>
  <c r="N21" i="3"/>
  <c r="AL21" i="3"/>
  <c r="E21" i="3"/>
  <c r="D21" i="3"/>
  <c r="AC21" i="3"/>
  <c r="AB21" i="3"/>
  <c r="U21" i="3"/>
  <c r="T21" i="3"/>
  <c r="M21" i="3"/>
  <c r="L21" i="3"/>
  <c r="AF25" i="3" a="1"/>
  <c r="AF25" i="3" s="1"/>
  <c r="AJ25" i="3"/>
  <c r="AA25" i="3"/>
  <c r="S25" i="3"/>
  <c r="K25" i="3"/>
  <c r="AI25" i="3"/>
  <c r="Z25" i="3"/>
  <c r="R25" i="3"/>
  <c r="J25" i="3"/>
  <c r="AH25" i="3"/>
  <c r="Y25" i="3"/>
  <c r="Q25" i="3"/>
  <c r="AG25" i="3"/>
  <c r="X25" i="3"/>
  <c r="H25" i="3"/>
  <c r="AN25" i="3"/>
  <c r="AE25" i="3"/>
  <c r="W25" i="3"/>
  <c r="O25" i="3"/>
  <c r="AM25" i="3"/>
  <c r="AD25" i="3"/>
  <c r="V25" i="3"/>
  <c r="N25" i="3"/>
  <c r="F25" i="3"/>
  <c r="U25" i="3"/>
  <c r="T25" i="3"/>
  <c r="M25" i="3"/>
  <c r="L25" i="3"/>
  <c r="AL25" i="3"/>
  <c r="E25" i="3"/>
  <c r="D25" i="3"/>
  <c r="AC25" i="3"/>
  <c r="AB25" i="3"/>
  <c r="AF29" i="3" a="1"/>
  <c r="AF29" i="3" s="1"/>
  <c r="AJ29" i="3"/>
  <c r="AA29" i="3"/>
  <c r="S29" i="3"/>
  <c r="K29" i="3"/>
  <c r="AI29" i="3"/>
  <c r="Z29" i="3"/>
  <c r="R29" i="3"/>
  <c r="J29" i="3"/>
  <c r="AH29" i="3"/>
  <c r="Y29" i="3"/>
  <c r="Q29" i="3"/>
  <c r="I29" i="3"/>
  <c r="AG29" i="3"/>
  <c r="X29" i="3"/>
  <c r="P29" i="3"/>
  <c r="H29" i="3"/>
  <c r="AN29" i="3"/>
  <c r="AE29" i="3"/>
  <c r="W29" i="3"/>
  <c r="O29" i="3"/>
  <c r="AM29" i="3"/>
  <c r="AD29" i="3"/>
  <c r="V29" i="3"/>
  <c r="N29" i="3"/>
  <c r="AL29" i="3"/>
  <c r="E29" i="3"/>
  <c r="AK29" i="3"/>
  <c r="D29" i="3"/>
  <c r="AC29" i="3"/>
  <c r="AB29" i="3"/>
  <c r="U29" i="3"/>
  <c r="T29" i="3"/>
  <c r="M29" i="3"/>
  <c r="AF33" i="3" a="1"/>
  <c r="AF33" i="3" s="1"/>
  <c r="AA33" i="3"/>
  <c r="S33" i="3"/>
  <c r="K33" i="3"/>
  <c r="AI33" i="3"/>
  <c r="Z33" i="3"/>
  <c r="R33" i="3"/>
  <c r="J33" i="3"/>
  <c r="AH33" i="3"/>
  <c r="Y33" i="3"/>
  <c r="Q33" i="3"/>
  <c r="I33" i="3"/>
  <c r="AG33" i="3"/>
  <c r="X33" i="3"/>
  <c r="P33" i="3"/>
  <c r="AN33" i="3"/>
  <c r="AE33" i="3"/>
  <c r="W33" i="3"/>
  <c r="O33" i="3"/>
  <c r="AM33" i="3"/>
  <c r="AD33" i="3"/>
  <c r="V33" i="3"/>
  <c r="N33" i="3"/>
  <c r="F33" i="3"/>
  <c r="U33" i="3"/>
  <c r="T33" i="3"/>
  <c r="M33" i="3"/>
  <c r="L33" i="3"/>
  <c r="AL33" i="3"/>
  <c r="E33" i="3"/>
  <c r="D33" i="3"/>
  <c r="AC33" i="3"/>
  <c r="AB33" i="3"/>
  <c r="AF37" i="3" a="1"/>
  <c r="AF37" i="3" s="1"/>
  <c r="AJ37" i="3"/>
  <c r="AA37" i="3"/>
  <c r="S37" i="3"/>
  <c r="K37" i="3"/>
  <c r="AI37" i="3"/>
  <c r="Z37" i="3"/>
  <c r="R37" i="3"/>
  <c r="J37" i="3"/>
  <c r="AH37" i="3"/>
  <c r="Y37" i="3"/>
  <c r="Q37" i="3"/>
  <c r="I37" i="3"/>
  <c r="AG37" i="3"/>
  <c r="X37" i="3"/>
  <c r="P37" i="3"/>
  <c r="H37" i="3"/>
  <c r="AN37" i="3"/>
  <c r="AE37" i="3"/>
  <c r="W37" i="3"/>
  <c r="O37" i="3"/>
  <c r="G37" i="3"/>
  <c r="AM37" i="3"/>
  <c r="AD37" i="3"/>
  <c r="V37" i="3"/>
  <c r="N37" i="3"/>
  <c r="F37" i="3"/>
  <c r="AL37" i="3"/>
  <c r="E37" i="3"/>
  <c r="AK37" i="3"/>
  <c r="D37" i="3"/>
  <c r="AC37" i="3"/>
  <c r="AB37" i="3"/>
  <c r="U37" i="3"/>
  <c r="T37" i="3"/>
  <c r="M37" i="3"/>
  <c r="L37" i="3"/>
  <c r="AF41" i="3" a="1"/>
  <c r="AF41" i="3" s="1"/>
  <c r="AJ41" i="3"/>
  <c r="AA41" i="3"/>
  <c r="S41" i="3"/>
  <c r="K41" i="3"/>
  <c r="AI41" i="3"/>
  <c r="Z41" i="3"/>
  <c r="R41" i="3"/>
  <c r="J41" i="3"/>
  <c r="AH41" i="3"/>
  <c r="Y41" i="3"/>
  <c r="Q41" i="3"/>
  <c r="I41" i="3"/>
  <c r="AG41" i="3"/>
  <c r="X41" i="3"/>
  <c r="P41" i="3"/>
  <c r="H41" i="3"/>
  <c r="AN41" i="3"/>
  <c r="AE41" i="3"/>
  <c r="W41" i="3"/>
  <c r="O41" i="3"/>
  <c r="G41" i="3"/>
  <c r="AM41" i="3"/>
  <c r="AD41" i="3"/>
  <c r="V41" i="3"/>
  <c r="N41" i="3"/>
  <c r="F41" i="3"/>
  <c r="U41" i="3"/>
  <c r="T41" i="3"/>
  <c r="M41" i="3"/>
  <c r="L41" i="3"/>
  <c r="AL41" i="3"/>
  <c r="E41" i="3"/>
  <c r="AK41" i="3"/>
  <c r="D41" i="3"/>
  <c r="AC41" i="3"/>
  <c r="AB41" i="3"/>
  <c r="AF45" i="3" a="1"/>
  <c r="AF45" i="3" s="1"/>
  <c r="AJ45" i="3"/>
  <c r="AA45" i="3"/>
  <c r="S45" i="3"/>
  <c r="K45" i="3"/>
  <c r="AI45" i="3"/>
  <c r="Z45" i="3"/>
  <c r="R45" i="3"/>
  <c r="J45" i="3"/>
  <c r="AH45" i="3"/>
  <c r="Y45" i="3"/>
  <c r="Q45" i="3"/>
  <c r="I45" i="3"/>
  <c r="AG45" i="3"/>
  <c r="X45" i="3"/>
  <c r="P45" i="3"/>
  <c r="H45" i="3"/>
  <c r="AN45" i="3"/>
  <c r="AE45" i="3"/>
  <c r="W45" i="3"/>
  <c r="O45" i="3"/>
  <c r="G45" i="3"/>
  <c r="AM45" i="3"/>
  <c r="AD45" i="3"/>
  <c r="V45" i="3"/>
  <c r="N45" i="3"/>
  <c r="F45" i="3"/>
  <c r="AL45" i="3"/>
  <c r="E45" i="3"/>
  <c r="AK45" i="3"/>
  <c r="D45" i="3"/>
  <c r="AC45" i="3"/>
  <c r="AB45" i="3"/>
  <c r="U45" i="3"/>
  <c r="T45" i="3"/>
  <c r="M45" i="3"/>
  <c r="L45" i="3"/>
  <c r="AF49" i="3" a="1"/>
  <c r="AF49" i="3" s="1"/>
  <c r="AJ49" i="3"/>
  <c r="AA49" i="3"/>
  <c r="S49" i="3"/>
  <c r="K49" i="3"/>
  <c r="AI49" i="3"/>
  <c r="Z49" i="3"/>
  <c r="R49" i="3"/>
  <c r="J49" i="3"/>
  <c r="AH49" i="3"/>
  <c r="Y49" i="3"/>
  <c r="Q49" i="3"/>
  <c r="I49" i="3"/>
  <c r="AG49" i="3"/>
  <c r="X49" i="3"/>
  <c r="P49" i="3"/>
  <c r="H49" i="3"/>
  <c r="AN49" i="3"/>
  <c r="AE49" i="3"/>
  <c r="W49" i="3"/>
  <c r="O49" i="3"/>
  <c r="G49" i="3"/>
  <c r="AM49" i="3"/>
  <c r="AD49" i="3"/>
  <c r="V49" i="3"/>
  <c r="N49" i="3"/>
  <c r="F49" i="3"/>
  <c r="U49" i="3"/>
  <c r="T49" i="3"/>
  <c r="M49" i="3"/>
  <c r="L49" i="3"/>
  <c r="AL49" i="3"/>
  <c r="E49" i="3"/>
  <c r="AK49" i="3"/>
  <c r="D49" i="3"/>
  <c r="AC49" i="3"/>
  <c r="AB49" i="3"/>
  <c r="AF53" i="3" a="1"/>
  <c r="AF53" i="3" s="1"/>
  <c r="AJ53" i="3"/>
  <c r="AA53" i="3"/>
  <c r="S53" i="3"/>
  <c r="K53" i="3"/>
  <c r="AI53" i="3"/>
  <c r="Z53" i="3"/>
  <c r="R53" i="3"/>
  <c r="J53" i="3"/>
  <c r="AH53" i="3"/>
  <c r="Y53" i="3"/>
  <c r="Q53" i="3"/>
  <c r="I53" i="3"/>
  <c r="AG53" i="3"/>
  <c r="X53" i="3"/>
  <c r="P53" i="3"/>
  <c r="H53" i="3"/>
  <c r="AN53" i="3"/>
  <c r="AE53" i="3"/>
  <c r="W53" i="3"/>
  <c r="O53" i="3"/>
  <c r="G53" i="3"/>
  <c r="AM53" i="3"/>
  <c r="AD53" i="3"/>
  <c r="V53" i="3"/>
  <c r="N53" i="3"/>
  <c r="F53" i="3"/>
  <c r="AL53" i="3"/>
  <c r="E53" i="3"/>
  <c r="AK53" i="3"/>
  <c r="D53" i="3"/>
  <c r="AC53" i="3"/>
  <c r="AB53" i="3"/>
  <c r="U53" i="3"/>
  <c r="T53" i="3"/>
  <c r="M53" i="3"/>
  <c r="L53" i="3"/>
  <c r="AF57" i="3" a="1"/>
  <c r="AF57" i="3" s="1"/>
  <c r="AJ57" i="3"/>
  <c r="AA57" i="3"/>
  <c r="S57" i="3"/>
  <c r="K57" i="3"/>
  <c r="AI57" i="3"/>
  <c r="Z57" i="3"/>
  <c r="R57" i="3"/>
  <c r="J57" i="3"/>
  <c r="AH57" i="3"/>
  <c r="Y57" i="3"/>
  <c r="Q57" i="3"/>
  <c r="I57" i="3"/>
  <c r="AG57" i="3"/>
  <c r="X57" i="3"/>
  <c r="P57" i="3"/>
  <c r="H57" i="3"/>
  <c r="AN57" i="3"/>
  <c r="AE57" i="3"/>
  <c r="W57" i="3"/>
  <c r="O57" i="3"/>
  <c r="G57" i="3"/>
  <c r="AM57" i="3"/>
  <c r="AD57" i="3"/>
  <c r="V57" i="3"/>
  <c r="N57" i="3"/>
  <c r="F57" i="3"/>
  <c r="U57" i="3"/>
  <c r="T57" i="3"/>
  <c r="M57" i="3"/>
  <c r="L57" i="3"/>
  <c r="AL57" i="3"/>
  <c r="E57" i="3"/>
  <c r="AK57" i="3"/>
  <c r="D57" i="3"/>
  <c r="AC57" i="3"/>
  <c r="AB57" i="3"/>
  <c r="AF61" i="3" a="1"/>
  <c r="AF61" i="3" s="1"/>
  <c r="AJ61" i="3"/>
  <c r="AA61" i="3"/>
  <c r="S61" i="3"/>
  <c r="K61" i="3"/>
  <c r="AI61" i="3"/>
  <c r="Z61" i="3"/>
  <c r="R61" i="3"/>
  <c r="J61" i="3"/>
  <c r="AH61" i="3"/>
  <c r="Y61" i="3"/>
  <c r="Q61" i="3"/>
  <c r="I61" i="3"/>
  <c r="AG61" i="3"/>
  <c r="X61" i="3"/>
  <c r="P61" i="3"/>
  <c r="H61" i="3"/>
  <c r="AN61" i="3"/>
  <c r="AE61" i="3"/>
  <c r="W61" i="3"/>
  <c r="O61" i="3"/>
  <c r="G61" i="3"/>
  <c r="AM61" i="3"/>
  <c r="AD61" i="3"/>
  <c r="V61" i="3"/>
  <c r="N61" i="3"/>
  <c r="F61" i="3"/>
  <c r="AL61" i="3"/>
  <c r="E61" i="3"/>
  <c r="AK61" i="3"/>
  <c r="D61" i="3"/>
  <c r="AC61" i="3"/>
  <c r="AB61" i="3"/>
  <c r="U61" i="3"/>
  <c r="T61" i="3"/>
  <c r="M61" i="3"/>
  <c r="L61" i="3"/>
  <c r="AF65" i="3" a="1"/>
  <c r="AF65" i="3" s="1"/>
  <c r="AJ65" i="3"/>
  <c r="AA65" i="3"/>
  <c r="S65" i="3"/>
  <c r="K65" i="3"/>
  <c r="AI65" i="3"/>
  <c r="Z65" i="3"/>
  <c r="R65" i="3"/>
  <c r="J65" i="3"/>
  <c r="AH65" i="3"/>
  <c r="Y65" i="3"/>
  <c r="Q65" i="3"/>
  <c r="I65" i="3"/>
  <c r="AG65" i="3"/>
  <c r="X65" i="3"/>
  <c r="P65" i="3"/>
  <c r="H65" i="3"/>
  <c r="AN65" i="3"/>
  <c r="AE65" i="3"/>
  <c r="W65" i="3"/>
  <c r="O65" i="3"/>
  <c r="G65" i="3"/>
  <c r="AM65" i="3"/>
  <c r="AD65" i="3"/>
  <c r="V65" i="3"/>
  <c r="N65" i="3"/>
  <c r="F65" i="3"/>
  <c r="U65" i="3"/>
  <c r="T65" i="3"/>
  <c r="M65" i="3"/>
  <c r="L65" i="3"/>
  <c r="AL65" i="3"/>
  <c r="E65" i="3"/>
  <c r="AK65" i="3"/>
  <c r="D65" i="3"/>
  <c r="AC65" i="3"/>
  <c r="AB65" i="3"/>
  <c r="AF69" i="3" a="1"/>
  <c r="AF69" i="3" s="1"/>
  <c r="AL69" i="3"/>
  <c r="AC69" i="3"/>
  <c r="U69" i="3"/>
  <c r="M69" i="3"/>
  <c r="E69" i="3"/>
  <c r="AJ69" i="3"/>
  <c r="Z69" i="3"/>
  <c r="Q69" i="3"/>
  <c r="H69" i="3"/>
  <c r="AI69" i="3"/>
  <c r="Y69" i="3"/>
  <c r="P69" i="3"/>
  <c r="G69" i="3"/>
  <c r="AH69" i="3"/>
  <c r="X69" i="3"/>
  <c r="O69" i="3"/>
  <c r="F69" i="3"/>
  <c r="AG69" i="3"/>
  <c r="W69" i="3"/>
  <c r="N69" i="3"/>
  <c r="D69" i="3"/>
  <c r="AE69" i="3"/>
  <c r="V69" i="3"/>
  <c r="L69" i="3"/>
  <c r="AN69" i="3"/>
  <c r="AD69" i="3"/>
  <c r="T69" i="3"/>
  <c r="K69" i="3"/>
  <c r="S69" i="3"/>
  <c r="R69" i="3"/>
  <c r="J69" i="3"/>
  <c r="I69" i="3"/>
  <c r="AM69" i="3"/>
  <c r="AK69" i="3"/>
  <c r="AB69" i="3"/>
  <c r="AA69" i="3"/>
  <c r="AF73" i="3" a="1"/>
  <c r="AF73" i="3" s="1"/>
  <c r="AL73" i="3"/>
  <c r="AC73" i="3"/>
  <c r="U73" i="3"/>
  <c r="M73" i="3"/>
  <c r="E73" i="3"/>
  <c r="AK73" i="3"/>
  <c r="AB73" i="3"/>
  <c r="T73" i="3"/>
  <c r="L73" i="3"/>
  <c r="D73" i="3"/>
  <c r="AJ73" i="3"/>
  <c r="AA73" i="3"/>
  <c r="S73" i="3"/>
  <c r="K73" i="3"/>
  <c r="AH73" i="3"/>
  <c r="Y73" i="3"/>
  <c r="Q73" i="3"/>
  <c r="I73" i="3"/>
  <c r="AG73" i="3"/>
  <c r="AN73" i="3"/>
  <c r="V73" i="3"/>
  <c r="F73" i="3"/>
  <c r="AM73" i="3"/>
  <c r="R73" i="3"/>
  <c r="AI73" i="3"/>
  <c r="P73" i="3"/>
  <c r="AE73" i="3"/>
  <c r="O73" i="3"/>
  <c r="AD73" i="3"/>
  <c r="N73" i="3"/>
  <c r="Z73" i="3"/>
  <c r="J73" i="3"/>
  <c r="X73" i="3"/>
  <c r="W73" i="3"/>
  <c r="H73" i="3"/>
  <c r="G73" i="3"/>
  <c r="AF77" i="3" a="1"/>
  <c r="AF77" i="3" s="1"/>
  <c r="AL77" i="3"/>
  <c r="AC77" i="3"/>
  <c r="U77" i="3"/>
  <c r="M77" i="3"/>
  <c r="E77" i="3"/>
  <c r="AK77" i="3"/>
  <c r="AB77" i="3"/>
  <c r="T77" i="3"/>
  <c r="L77" i="3"/>
  <c r="D77" i="3"/>
  <c r="AJ77" i="3"/>
  <c r="AA77" i="3"/>
  <c r="S77" i="3"/>
  <c r="K77" i="3"/>
  <c r="AI77" i="3"/>
  <c r="Z77" i="3"/>
  <c r="R77" i="3"/>
  <c r="J77" i="3"/>
  <c r="AH77" i="3"/>
  <c r="Y77" i="3"/>
  <c r="Q77" i="3"/>
  <c r="I77" i="3"/>
  <c r="AG77" i="3"/>
  <c r="X77" i="3"/>
  <c r="P77" i="3"/>
  <c r="H77" i="3"/>
  <c r="N77" i="3"/>
  <c r="AN77" i="3"/>
  <c r="G77" i="3"/>
  <c r="AM77" i="3"/>
  <c r="F77" i="3"/>
  <c r="AE77" i="3"/>
  <c r="AD77" i="3"/>
  <c r="W77" i="3"/>
  <c r="V77" i="3"/>
  <c r="O77" i="3"/>
  <c r="AF81" i="3" a="1"/>
  <c r="AF81" i="3" s="1"/>
  <c r="AL81" i="3"/>
  <c r="AC81" i="3"/>
  <c r="U81" i="3"/>
  <c r="M81" i="3"/>
  <c r="E81" i="3"/>
  <c r="AK81" i="3"/>
  <c r="AB81" i="3"/>
  <c r="T81" i="3"/>
  <c r="L81" i="3"/>
  <c r="D81" i="3"/>
  <c r="AJ81" i="3"/>
  <c r="AA81" i="3"/>
  <c r="S81" i="3"/>
  <c r="K81" i="3"/>
  <c r="AI81" i="3"/>
  <c r="Z81" i="3"/>
  <c r="R81" i="3"/>
  <c r="J81" i="3"/>
  <c r="AH81" i="3"/>
  <c r="Y81" i="3"/>
  <c r="Q81" i="3"/>
  <c r="I81" i="3"/>
  <c r="AG81" i="3"/>
  <c r="X81" i="3"/>
  <c r="P81" i="3"/>
  <c r="H81" i="3"/>
  <c r="AD81" i="3"/>
  <c r="W81" i="3"/>
  <c r="V81" i="3"/>
  <c r="O81" i="3"/>
  <c r="N81" i="3"/>
  <c r="AN81" i="3"/>
  <c r="G81" i="3"/>
  <c r="F81" i="3"/>
  <c r="AM81" i="3"/>
  <c r="AE81" i="3"/>
  <c r="AF85" i="3" a="1"/>
  <c r="AF85" i="3" s="1"/>
  <c r="AL85" i="3"/>
  <c r="AC85" i="3"/>
  <c r="U85" i="3"/>
  <c r="M85" i="3"/>
  <c r="E85" i="3"/>
  <c r="AK85" i="3"/>
  <c r="AB85" i="3"/>
  <c r="T85" i="3"/>
  <c r="L85" i="3"/>
  <c r="D85" i="3"/>
  <c r="AJ85" i="3"/>
  <c r="AA85" i="3"/>
  <c r="S85" i="3"/>
  <c r="K85" i="3"/>
  <c r="AI85" i="3"/>
  <c r="Z85" i="3"/>
  <c r="R85" i="3"/>
  <c r="J85" i="3"/>
  <c r="AH85" i="3"/>
  <c r="Y85" i="3"/>
  <c r="Q85" i="3"/>
  <c r="I85" i="3"/>
  <c r="AG85" i="3"/>
  <c r="X85" i="3"/>
  <c r="P85" i="3"/>
  <c r="H85" i="3"/>
  <c r="N85" i="3"/>
  <c r="AN85" i="3"/>
  <c r="G85" i="3"/>
  <c r="AM85" i="3"/>
  <c r="F85" i="3"/>
  <c r="AE85" i="3"/>
  <c r="AD85" i="3"/>
  <c r="W85" i="3"/>
  <c r="V85" i="3"/>
  <c r="O85" i="3"/>
  <c r="AF89" i="3" a="1"/>
  <c r="AF89" i="3" s="1"/>
  <c r="AL89" i="3"/>
  <c r="AC89" i="3"/>
  <c r="U89" i="3"/>
  <c r="M89" i="3"/>
  <c r="E89" i="3"/>
  <c r="AK89" i="3"/>
  <c r="AB89" i="3"/>
  <c r="T89" i="3"/>
  <c r="L89" i="3"/>
  <c r="D89" i="3"/>
  <c r="AJ89" i="3"/>
  <c r="AA89" i="3"/>
  <c r="S89" i="3"/>
  <c r="K89" i="3"/>
  <c r="AI89" i="3"/>
  <c r="Z89" i="3"/>
  <c r="R89" i="3"/>
  <c r="J89" i="3"/>
  <c r="AH89" i="3"/>
  <c r="Y89" i="3"/>
  <c r="Q89" i="3"/>
  <c r="I89" i="3"/>
  <c r="AG89" i="3"/>
  <c r="X89" i="3"/>
  <c r="P89" i="3"/>
  <c r="H89" i="3"/>
  <c r="AD89" i="3"/>
  <c r="W89" i="3"/>
  <c r="V89" i="3"/>
  <c r="O89" i="3"/>
  <c r="N89" i="3"/>
  <c r="AN89" i="3"/>
  <c r="G89" i="3"/>
  <c r="AM89" i="3"/>
  <c r="AE89" i="3"/>
  <c r="F89" i="3"/>
  <c r="AF93" i="3" a="1"/>
  <c r="AF93" i="3" s="1"/>
  <c r="AH93" i="3"/>
  <c r="Y93" i="3"/>
  <c r="Q93" i="3"/>
  <c r="I93" i="3"/>
  <c r="AG93" i="3"/>
  <c r="X93" i="3"/>
  <c r="P93" i="3"/>
  <c r="H93" i="3"/>
  <c r="AN93" i="3"/>
  <c r="AE93" i="3"/>
  <c r="W93" i="3"/>
  <c r="O93" i="3"/>
  <c r="G93" i="3"/>
  <c r="AM93" i="3"/>
  <c r="AD93" i="3"/>
  <c r="V93" i="3"/>
  <c r="N93" i="3"/>
  <c r="F93" i="3"/>
  <c r="AL93" i="3"/>
  <c r="AC93" i="3"/>
  <c r="U93" i="3"/>
  <c r="M93" i="3"/>
  <c r="E93" i="3"/>
  <c r="AK93" i="3"/>
  <c r="AB93" i="3"/>
  <c r="T93" i="3"/>
  <c r="L93" i="3"/>
  <c r="D93" i="3"/>
  <c r="AA93" i="3"/>
  <c r="Z93" i="3"/>
  <c r="S93" i="3"/>
  <c r="R93" i="3"/>
  <c r="K93" i="3"/>
  <c r="J93" i="3"/>
  <c r="AJ93" i="3"/>
  <c r="AI93" i="3"/>
  <c r="AF97" i="3" a="1"/>
  <c r="AF97" i="3" s="1"/>
  <c r="AH97" i="3"/>
  <c r="Y97" i="3"/>
  <c r="Q97" i="3"/>
  <c r="I97" i="3"/>
  <c r="AG97" i="3"/>
  <c r="X97" i="3"/>
  <c r="P97" i="3"/>
  <c r="H97" i="3"/>
  <c r="AN97" i="3"/>
  <c r="AE97" i="3"/>
  <c r="W97" i="3"/>
  <c r="O97" i="3"/>
  <c r="G97" i="3"/>
  <c r="AM97" i="3"/>
  <c r="AD97" i="3"/>
  <c r="V97" i="3"/>
  <c r="N97" i="3"/>
  <c r="F97" i="3"/>
  <c r="AL97" i="3"/>
  <c r="AC97" i="3"/>
  <c r="U97" i="3"/>
  <c r="M97" i="3"/>
  <c r="E97" i="3"/>
  <c r="AK97" i="3"/>
  <c r="AB97" i="3"/>
  <c r="T97" i="3"/>
  <c r="L97" i="3"/>
  <c r="D97" i="3"/>
  <c r="K97" i="3"/>
  <c r="J97" i="3"/>
  <c r="AJ97" i="3"/>
  <c r="AI97" i="3"/>
  <c r="AA97" i="3"/>
  <c r="Z97" i="3"/>
  <c r="S97" i="3"/>
  <c r="R97" i="3"/>
  <c r="AF101" i="3" a="1"/>
  <c r="AF101" i="3" s="1"/>
  <c r="AH101" i="3"/>
  <c r="Y101" i="3"/>
  <c r="Q101" i="3"/>
  <c r="I101" i="3"/>
  <c r="AG101" i="3"/>
  <c r="X101" i="3"/>
  <c r="P101" i="3"/>
  <c r="H101" i="3"/>
  <c r="AN101" i="3"/>
  <c r="AE101" i="3"/>
  <c r="W101" i="3"/>
  <c r="O101" i="3"/>
  <c r="G101" i="3"/>
  <c r="AM101" i="3"/>
  <c r="AD101" i="3"/>
  <c r="V101" i="3"/>
  <c r="N101" i="3"/>
  <c r="F101" i="3"/>
  <c r="AL101" i="3"/>
  <c r="AC101" i="3"/>
  <c r="U101" i="3"/>
  <c r="M101" i="3"/>
  <c r="E101" i="3"/>
  <c r="AK101" i="3"/>
  <c r="AB101" i="3"/>
  <c r="T101" i="3"/>
  <c r="L101" i="3"/>
  <c r="D101" i="3"/>
  <c r="AA101" i="3"/>
  <c r="Z101" i="3"/>
  <c r="S101" i="3"/>
  <c r="R101" i="3"/>
  <c r="K101" i="3"/>
  <c r="J101" i="3"/>
  <c r="AJ101" i="3"/>
  <c r="AI101" i="3"/>
  <c r="AF105" i="3" a="1"/>
  <c r="AF105" i="3" s="1"/>
  <c r="AH105" i="3"/>
  <c r="Y105" i="3"/>
  <c r="Q105" i="3"/>
  <c r="I105" i="3"/>
  <c r="AG105" i="3"/>
  <c r="X105" i="3"/>
  <c r="P105" i="3"/>
  <c r="H105" i="3"/>
  <c r="AN105" i="3"/>
  <c r="AE105" i="3"/>
  <c r="W105" i="3"/>
  <c r="O105" i="3"/>
  <c r="G105" i="3"/>
  <c r="AM105" i="3"/>
  <c r="AD105" i="3"/>
  <c r="V105" i="3"/>
  <c r="N105" i="3"/>
  <c r="F105" i="3"/>
  <c r="AL105" i="3"/>
  <c r="AC105" i="3"/>
  <c r="U105" i="3"/>
  <c r="M105" i="3"/>
  <c r="E105" i="3"/>
  <c r="AK105" i="3"/>
  <c r="AB105" i="3"/>
  <c r="T105" i="3"/>
  <c r="L105" i="3"/>
  <c r="D105" i="3"/>
  <c r="K105" i="3"/>
  <c r="J105" i="3"/>
  <c r="AJ105" i="3"/>
  <c r="AI105" i="3"/>
  <c r="AA105" i="3"/>
  <c r="Z105" i="3"/>
  <c r="S105" i="3"/>
  <c r="R105" i="3"/>
  <c r="AF109" i="3" a="1"/>
  <c r="AF109" i="3" s="1"/>
  <c r="AH109" i="3"/>
  <c r="Y109" i="3"/>
  <c r="Q109" i="3"/>
  <c r="I109" i="3"/>
  <c r="AG109" i="3"/>
  <c r="X109" i="3"/>
  <c r="P109" i="3"/>
  <c r="H109" i="3"/>
  <c r="AN109" i="3"/>
  <c r="AE109" i="3"/>
  <c r="W109" i="3"/>
  <c r="O109" i="3"/>
  <c r="G109" i="3"/>
  <c r="AM109" i="3"/>
  <c r="AD109" i="3"/>
  <c r="V109" i="3"/>
  <c r="N109" i="3"/>
  <c r="F109" i="3"/>
  <c r="AL109" i="3"/>
  <c r="AC109" i="3"/>
  <c r="U109" i="3"/>
  <c r="M109" i="3"/>
  <c r="E109" i="3"/>
  <c r="AK109" i="3"/>
  <c r="AB109" i="3"/>
  <c r="T109" i="3"/>
  <c r="L109" i="3"/>
  <c r="D109" i="3"/>
  <c r="AA109" i="3"/>
  <c r="Z109" i="3"/>
  <c r="S109" i="3"/>
  <c r="R109" i="3"/>
  <c r="K109" i="3"/>
  <c r="J109" i="3"/>
  <c r="AI109" i="3"/>
  <c r="AJ109" i="3"/>
  <c r="AF113" i="3" a="1"/>
  <c r="AF113" i="3" s="1"/>
  <c r="AH113" i="3"/>
  <c r="Y113" i="3"/>
  <c r="Q113" i="3"/>
  <c r="I113" i="3"/>
  <c r="AG113" i="3"/>
  <c r="X113" i="3"/>
  <c r="P113" i="3"/>
  <c r="H113" i="3"/>
  <c r="AN113" i="3"/>
  <c r="AE113" i="3"/>
  <c r="W113" i="3"/>
  <c r="O113" i="3"/>
  <c r="G113" i="3"/>
  <c r="AM113" i="3"/>
  <c r="AD113" i="3"/>
  <c r="V113" i="3"/>
  <c r="N113" i="3"/>
  <c r="F113" i="3"/>
  <c r="AL113" i="3"/>
  <c r="AC113" i="3"/>
  <c r="U113" i="3"/>
  <c r="M113" i="3"/>
  <c r="E113" i="3"/>
  <c r="AK113" i="3"/>
  <c r="AB113" i="3"/>
  <c r="T113" i="3"/>
  <c r="L113" i="3"/>
  <c r="D113" i="3"/>
  <c r="K113" i="3"/>
  <c r="J113" i="3"/>
  <c r="AJ113" i="3"/>
  <c r="AI113" i="3"/>
  <c r="AA113" i="3"/>
  <c r="Z113" i="3"/>
  <c r="R113" i="3"/>
  <c r="S113" i="3"/>
  <c r="AF117" i="3" a="1"/>
  <c r="AF117" i="3" s="1"/>
  <c r="AH117" i="3"/>
  <c r="Y117" i="3"/>
  <c r="Q117" i="3"/>
  <c r="I117" i="3"/>
  <c r="AG117" i="3"/>
  <c r="X117" i="3"/>
  <c r="P117" i="3"/>
  <c r="H117" i="3"/>
  <c r="AN117" i="3"/>
  <c r="AE117" i="3"/>
  <c r="W117" i="3"/>
  <c r="O117" i="3"/>
  <c r="G117" i="3"/>
  <c r="AM117" i="3"/>
  <c r="AD117" i="3"/>
  <c r="V117" i="3"/>
  <c r="N117" i="3"/>
  <c r="F117" i="3"/>
  <c r="AL117" i="3"/>
  <c r="AC117" i="3"/>
  <c r="U117" i="3"/>
  <c r="M117" i="3"/>
  <c r="E117" i="3"/>
  <c r="AK117" i="3"/>
  <c r="AB117" i="3"/>
  <c r="T117" i="3"/>
  <c r="L117" i="3"/>
  <c r="D117" i="3"/>
  <c r="AA117" i="3"/>
  <c r="Z117" i="3"/>
  <c r="S117" i="3"/>
  <c r="R117" i="3"/>
  <c r="K117" i="3"/>
  <c r="J117" i="3"/>
  <c r="AJ117" i="3"/>
  <c r="AI117" i="3"/>
  <c r="AF121" i="3" a="1"/>
  <c r="AF121" i="3" s="1"/>
  <c r="AH121" i="3"/>
  <c r="Y121" i="3"/>
  <c r="Q121" i="3"/>
  <c r="I121" i="3"/>
  <c r="AG121" i="3"/>
  <c r="X121" i="3"/>
  <c r="P121" i="3"/>
  <c r="H121" i="3"/>
  <c r="AN121" i="3"/>
  <c r="AE121" i="3"/>
  <c r="W121" i="3"/>
  <c r="O121" i="3"/>
  <c r="G121" i="3"/>
  <c r="AM121" i="3"/>
  <c r="AD121" i="3"/>
  <c r="V121" i="3"/>
  <c r="N121" i="3"/>
  <c r="F121" i="3"/>
  <c r="AL121" i="3"/>
  <c r="AC121" i="3"/>
  <c r="U121" i="3"/>
  <c r="M121" i="3"/>
  <c r="E121" i="3"/>
  <c r="AK121" i="3"/>
  <c r="AB121" i="3"/>
  <c r="T121" i="3"/>
  <c r="L121" i="3"/>
  <c r="D121" i="3"/>
  <c r="K121" i="3"/>
  <c r="J121" i="3"/>
  <c r="AJ121" i="3"/>
  <c r="AI121" i="3"/>
  <c r="AA121" i="3"/>
  <c r="Z121" i="3"/>
  <c r="S121" i="3"/>
  <c r="R121" i="3"/>
  <c r="AF125" i="3" a="1"/>
  <c r="AF125" i="3" s="1"/>
  <c r="AH125" i="3"/>
  <c r="Y125" i="3"/>
  <c r="Q125" i="3"/>
  <c r="I125" i="3"/>
  <c r="AG125" i="3"/>
  <c r="X125" i="3"/>
  <c r="P125" i="3"/>
  <c r="H125" i="3"/>
  <c r="AN125" i="3"/>
  <c r="AE125" i="3"/>
  <c r="W125" i="3"/>
  <c r="O125" i="3"/>
  <c r="G125" i="3"/>
  <c r="AM125" i="3"/>
  <c r="AD125" i="3"/>
  <c r="V125" i="3"/>
  <c r="N125" i="3"/>
  <c r="F125" i="3"/>
  <c r="AL125" i="3"/>
  <c r="AC125" i="3"/>
  <c r="U125" i="3"/>
  <c r="M125" i="3"/>
  <c r="E125" i="3"/>
  <c r="AK125" i="3"/>
  <c r="AB125" i="3"/>
  <c r="T125" i="3"/>
  <c r="L125" i="3"/>
  <c r="D125" i="3"/>
  <c r="AA125" i="3"/>
  <c r="Z125" i="3"/>
  <c r="S125" i="3"/>
  <c r="R125" i="3"/>
  <c r="K125" i="3"/>
  <c r="J125" i="3"/>
  <c r="AJ125" i="3"/>
  <c r="AI125" i="3"/>
  <c r="AF129" i="3" a="1"/>
  <c r="AF129" i="3" s="1"/>
  <c r="AH129" i="3"/>
  <c r="Y129" i="3"/>
  <c r="Q129" i="3"/>
  <c r="I129" i="3"/>
  <c r="AG129" i="3"/>
  <c r="X129" i="3"/>
  <c r="P129" i="3"/>
  <c r="H129" i="3"/>
  <c r="AN129" i="3"/>
  <c r="AE129" i="3"/>
  <c r="W129" i="3"/>
  <c r="O129" i="3"/>
  <c r="G129" i="3"/>
  <c r="AM129" i="3"/>
  <c r="AD129" i="3"/>
  <c r="V129" i="3"/>
  <c r="N129" i="3"/>
  <c r="F129" i="3"/>
  <c r="AL129" i="3"/>
  <c r="AC129" i="3"/>
  <c r="U129" i="3"/>
  <c r="M129" i="3"/>
  <c r="E129" i="3"/>
  <c r="AK129" i="3"/>
  <c r="AB129" i="3"/>
  <c r="T129" i="3"/>
  <c r="L129" i="3"/>
  <c r="D129" i="3"/>
  <c r="K129" i="3"/>
  <c r="J129" i="3"/>
  <c r="AJ129" i="3"/>
  <c r="AI129" i="3"/>
  <c r="AA129" i="3"/>
  <c r="Z129" i="3"/>
  <c r="S129" i="3"/>
  <c r="R129" i="3"/>
  <c r="AF133" i="3" a="1"/>
  <c r="AF133" i="3" s="1"/>
  <c r="AH133" i="3"/>
  <c r="Y133" i="3"/>
  <c r="Q133" i="3"/>
  <c r="I133" i="3"/>
  <c r="AG133" i="3"/>
  <c r="X133" i="3"/>
  <c r="P133" i="3"/>
  <c r="H133" i="3"/>
  <c r="AN133" i="3"/>
  <c r="AE133" i="3"/>
  <c r="W133" i="3"/>
  <c r="O133" i="3"/>
  <c r="G133" i="3"/>
  <c r="AM133" i="3"/>
  <c r="AD133" i="3"/>
  <c r="V133" i="3"/>
  <c r="N133" i="3"/>
  <c r="F133" i="3"/>
  <c r="AL133" i="3"/>
  <c r="AC133" i="3"/>
  <c r="U133" i="3"/>
  <c r="M133" i="3"/>
  <c r="E133" i="3"/>
  <c r="AK133" i="3"/>
  <c r="AB133" i="3"/>
  <c r="T133" i="3"/>
  <c r="L133" i="3"/>
  <c r="D133" i="3"/>
  <c r="AA133" i="3"/>
  <c r="Z133" i="3"/>
  <c r="S133" i="3"/>
  <c r="R133" i="3"/>
  <c r="K133" i="3"/>
  <c r="J133" i="3"/>
  <c r="AJ133" i="3"/>
  <c r="AI133" i="3"/>
  <c r="AF137" i="3" a="1"/>
  <c r="AF137" i="3" s="1"/>
  <c r="AH137" i="3"/>
  <c r="Y137" i="3"/>
  <c r="Q137" i="3"/>
  <c r="I137" i="3"/>
  <c r="AG137" i="3"/>
  <c r="X137" i="3"/>
  <c r="P137" i="3"/>
  <c r="H137" i="3"/>
  <c r="AN137" i="3"/>
  <c r="AE137" i="3"/>
  <c r="W137" i="3"/>
  <c r="O137" i="3"/>
  <c r="G137" i="3"/>
  <c r="AM137" i="3"/>
  <c r="AD137" i="3"/>
  <c r="V137" i="3"/>
  <c r="N137" i="3"/>
  <c r="F137" i="3"/>
  <c r="AL137" i="3"/>
  <c r="AC137" i="3"/>
  <c r="U137" i="3"/>
  <c r="M137" i="3"/>
  <c r="E137" i="3"/>
  <c r="AK137" i="3"/>
  <c r="AB137" i="3"/>
  <c r="T137" i="3"/>
  <c r="L137" i="3"/>
  <c r="D137" i="3"/>
  <c r="K137" i="3"/>
  <c r="J137" i="3"/>
  <c r="AJ137" i="3"/>
  <c r="AI137" i="3"/>
  <c r="AA137" i="3"/>
  <c r="Z137" i="3"/>
  <c r="S137" i="3"/>
  <c r="R137" i="3"/>
  <c r="AF141" i="3" a="1"/>
  <c r="AF141" i="3" s="1"/>
  <c r="AH141" i="3"/>
  <c r="Y141" i="3"/>
  <c r="Q141" i="3"/>
  <c r="I141" i="3"/>
  <c r="AG141" i="3"/>
  <c r="X141" i="3"/>
  <c r="P141" i="3"/>
  <c r="H141" i="3"/>
  <c r="AN141" i="3"/>
  <c r="AE141" i="3"/>
  <c r="W141" i="3"/>
  <c r="O141" i="3"/>
  <c r="G141" i="3"/>
  <c r="AM141" i="3"/>
  <c r="AD141" i="3"/>
  <c r="V141" i="3"/>
  <c r="N141" i="3"/>
  <c r="F141" i="3"/>
  <c r="AL141" i="3"/>
  <c r="AC141" i="3"/>
  <c r="U141" i="3"/>
  <c r="M141" i="3"/>
  <c r="E141" i="3"/>
  <c r="AK141" i="3"/>
  <c r="AB141" i="3"/>
  <c r="T141" i="3"/>
  <c r="L141" i="3"/>
  <c r="D141" i="3"/>
  <c r="AA141" i="3"/>
  <c r="Z141" i="3"/>
  <c r="S141" i="3"/>
  <c r="R141" i="3"/>
  <c r="K141" i="3"/>
  <c r="J141" i="3"/>
  <c r="AI141" i="3"/>
  <c r="AJ141" i="3"/>
  <c r="AF145" i="3" a="1"/>
  <c r="AF145" i="3" s="1"/>
  <c r="AH145" i="3"/>
  <c r="Y145" i="3"/>
  <c r="Q145" i="3"/>
  <c r="I145" i="3"/>
  <c r="AG145" i="3"/>
  <c r="X145" i="3"/>
  <c r="P145" i="3"/>
  <c r="H145" i="3"/>
  <c r="AN145" i="3"/>
  <c r="AE145" i="3"/>
  <c r="W145" i="3"/>
  <c r="O145" i="3"/>
  <c r="G145" i="3"/>
  <c r="AM145" i="3"/>
  <c r="AD145" i="3"/>
  <c r="V145" i="3"/>
  <c r="N145" i="3"/>
  <c r="F145" i="3"/>
  <c r="AL145" i="3"/>
  <c r="AC145" i="3"/>
  <c r="U145" i="3"/>
  <c r="M145" i="3"/>
  <c r="E145" i="3"/>
  <c r="AK145" i="3"/>
  <c r="AB145" i="3"/>
  <c r="T145" i="3"/>
  <c r="L145" i="3"/>
  <c r="D145" i="3"/>
  <c r="K145" i="3"/>
  <c r="J145" i="3"/>
  <c r="AJ145" i="3"/>
  <c r="AI145" i="3"/>
  <c r="AA145" i="3"/>
  <c r="Z145" i="3"/>
  <c r="R145" i="3"/>
  <c r="S145" i="3"/>
  <c r="AF149" i="3" a="1"/>
  <c r="AF149" i="3" s="1"/>
  <c r="AH149" i="3"/>
  <c r="Y149" i="3"/>
  <c r="Q149" i="3"/>
  <c r="I149" i="3"/>
  <c r="AG149" i="3"/>
  <c r="X149" i="3"/>
  <c r="P149" i="3"/>
  <c r="H149" i="3"/>
  <c r="AN149" i="3"/>
  <c r="AE149" i="3"/>
  <c r="W149" i="3"/>
  <c r="O149" i="3"/>
  <c r="G149" i="3"/>
  <c r="AM149" i="3"/>
  <c r="AD149" i="3"/>
  <c r="V149" i="3"/>
  <c r="N149" i="3"/>
  <c r="F149" i="3"/>
  <c r="AL149" i="3"/>
  <c r="AC149" i="3"/>
  <c r="U149" i="3"/>
  <c r="M149" i="3"/>
  <c r="E149" i="3"/>
  <c r="AK149" i="3"/>
  <c r="AB149" i="3"/>
  <c r="T149" i="3"/>
  <c r="L149" i="3"/>
  <c r="D149" i="3"/>
  <c r="AA149" i="3"/>
  <c r="Z149" i="3"/>
  <c r="S149" i="3"/>
  <c r="R149" i="3"/>
  <c r="K149" i="3"/>
  <c r="J149" i="3"/>
  <c r="AJ149" i="3"/>
  <c r="AI149" i="3"/>
  <c r="AF153" i="3" a="1"/>
  <c r="AF153" i="3" s="1"/>
  <c r="AH153" i="3"/>
  <c r="Y153" i="3"/>
  <c r="Q153" i="3"/>
  <c r="I153" i="3"/>
  <c r="AG153" i="3"/>
  <c r="X153" i="3"/>
  <c r="P153" i="3"/>
  <c r="H153" i="3"/>
  <c r="AN153" i="3"/>
  <c r="AE153" i="3"/>
  <c r="W153" i="3"/>
  <c r="O153" i="3"/>
  <c r="G153" i="3"/>
  <c r="AM153" i="3"/>
  <c r="AD153" i="3"/>
  <c r="V153" i="3"/>
  <c r="N153" i="3"/>
  <c r="F153" i="3"/>
  <c r="AL153" i="3"/>
  <c r="AC153" i="3"/>
  <c r="U153" i="3"/>
  <c r="M153" i="3"/>
  <c r="E153" i="3"/>
  <c r="AK153" i="3"/>
  <c r="AB153" i="3"/>
  <c r="T153" i="3"/>
  <c r="L153" i="3"/>
  <c r="D153" i="3"/>
  <c r="K153" i="3"/>
  <c r="J153" i="3"/>
  <c r="AJ153" i="3"/>
  <c r="AI153" i="3"/>
  <c r="AA153" i="3"/>
  <c r="Z153" i="3"/>
  <c r="S153" i="3"/>
  <c r="R153" i="3"/>
  <c r="AF157" i="3" a="1"/>
  <c r="AF157" i="3" s="1"/>
  <c r="AH157" i="3"/>
  <c r="Y157" i="3"/>
  <c r="Q157" i="3"/>
  <c r="I157" i="3"/>
  <c r="AG157" i="3"/>
  <c r="X157" i="3"/>
  <c r="P157" i="3"/>
  <c r="H157" i="3"/>
  <c r="AN157" i="3"/>
  <c r="AE157" i="3"/>
  <c r="W157" i="3"/>
  <c r="O157" i="3"/>
  <c r="G157" i="3"/>
  <c r="AM157" i="3"/>
  <c r="AD157" i="3"/>
  <c r="V157" i="3"/>
  <c r="N157" i="3"/>
  <c r="F157" i="3"/>
  <c r="AL157" i="3"/>
  <c r="AC157" i="3"/>
  <c r="U157" i="3"/>
  <c r="M157" i="3"/>
  <c r="E157" i="3"/>
  <c r="AK157" i="3"/>
  <c r="AB157" i="3"/>
  <c r="T157" i="3"/>
  <c r="L157" i="3"/>
  <c r="D157" i="3"/>
  <c r="AA157" i="3"/>
  <c r="Z157" i="3"/>
  <c r="S157" i="3"/>
  <c r="R157" i="3"/>
  <c r="K157" i="3"/>
  <c r="J157" i="3"/>
  <c r="AJ157" i="3"/>
  <c r="AI157" i="3"/>
  <c r="AF161" i="3" a="1"/>
  <c r="AF161" i="3" s="1"/>
  <c r="AH161" i="3"/>
  <c r="Y161" i="3"/>
  <c r="Q161" i="3"/>
  <c r="I161" i="3"/>
  <c r="AG161" i="3"/>
  <c r="X161" i="3"/>
  <c r="P161" i="3"/>
  <c r="H161" i="3"/>
  <c r="AN161" i="3"/>
  <c r="AE161" i="3"/>
  <c r="W161" i="3"/>
  <c r="O161" i="3"/>
  <c r="G161" i="3"/>
  <c r="AM161" i="3"/>
  <c r="AD161" i="3"/>
  <c r="V161" i="3"/>
  <c r="N161" i="3"/>
  <c r="F161" i="3"/>
  <c r="AL161" i="3"/>
  <c r="AC161" i="3"/>
  <c r="U161" i="3"/>
  <c r="M161" i="3"/>
  <c r="E161" i="3"/>
  <c r="AK161" i="3"/>
  <c r="AB161" i="3"/>
  <c r="T161" i="3"/>
  <c r="L161" i="3"/>
  <c r="D161" i="3"/>
  <c r="K161" i="3"/>
  <c r="J161" i="3"/>
  <c r="AJ161" i="3"/>
  <c r="AI161" i="3"/>
  <c r="AA161" i="3"/>
  <c r="Z161" i="3"/>
  <c r="S161" i="3"/>
  <c r="R161" i="3"/>
  <c r="AF165" i="3" a="1"/>
  <c r="AF165" i="3" s="1"/>
  <c r="AH165" i="3"/>
  <c r="Y165" i="3"/>
  <c r="Q165" i="3"/>
  <c r="I165" i="3"/>
  <c r="AG165" i="3"/>
  <c r="X165" i="3"/>
  <c r="P165" i="3"/>
  <c r="H165" i="3"/>
  <c r="AN165" i="3"/>
  <c r="AE165" i="3"/>
  <c r="W165" i="3"/>
  <c r="O165" i="3"/>
  <c r="G165" i="3"/>
  <c r="AM165" i="3"/>
  <c r="AD165" i="3"/>
  <c r="V165" i="3"/>
  <c r="N165" i="3"/>
  <c r="F165" i="3"/>
  <c r="AL165" i="3"/>
  <c r="AC165" i="3"/>
  <c r="U165" i="3"/>
  <c r="M165" i="3"/>
  <c r="E165" i="3"/>
  <c r="AK165" i="3"/>
  <c r="AB165" i="3"/>
  <c r="T165" i="3"/>
  <c r="L165" i="3"/>
  <c r="D165" i="3"/>
  <c r="AA165" i="3"/>
  <c r="Z165" i="3"/>
  <c r="S165" i="3"/>
  <c r="R165" i="3"/>
  <c r="K165" i="3"/>
  <c r="J165" i="3"/>
  <c r="AJ165" i="3"/>
  <c r="AI165" i="3"/>
  <c r="AF169" i="3" a="1"/>
  <c r="AF169" i="3" s="1"/>
  <c r="AH169" i="3"/>
  <c r="Y169" i="3"/>
  <c r="Q169" i="3"/>
  <c r="I169" i="3"/>
  <c r="AG169" i="3"/>
  <c r="X169" i="3"/>
  <c r="P169" i="3"/>
  <c r="H169" i="3"/>
  <c r="AN169" i="3"/>
  <c r="AE169" i="3"/>
  <c r="W169" i="3"/>
  <c r="O169" i="3"/>
  <c r="G169" i="3"/>
  <c r="AM169" i="3"/>
  <c r="AD169" i="3"/>
  <c r="V169" i="3"/>
  <c r="N169" i="3"/>
  <c r="F169" i="3"/>
  <c r="AL169" i="3"/>
  <c r="AC169" i="3"/>
  <c r="U169" i="3"/>
  <c r="M169" i="3"/>
  <c r="E169" i="3"/>
  <c r="AK169" i="3"/>
  <c r="AB169" i="3"/>
  <c r="T169" i="3"/>
  <c r="L169" i="3"/>
  <c r="D169" i="3"/>
  <c r="K169" i="3"/>
  <c r="J169" i="3"/>
  <c r="AJ169" i="3"/>
  <c r="AI169" i="3"/>
  <c r="AA169" i="3"/>
  <c r="Z169" i="3"/>
  <c r="S169" i="3"/>
  <c r="R169" i="3"/>
  <c r="AF173" i="3" a="1"/>
  <c r="AF173" i="3" s="1"/>
  <c r="AH173" i="3"/>
  <c r="Y173" i="3"/>
  <c r="Q173" i="3"/>
  <c r="I173" i="3"/>
  <c r="AG173" i="3"/>
  <c r="X173" i="3"/>
  <c r="P173" i="3"/>
  <c r="H173" i="3"/>
  <c r="AN173" i="3"/>
  <c r="AE173" i="3"/>
  <c r="W173" i="3"/>
  <c r="O173" i="3"/>
  <c r="G173" i="3"/>
  <c r="AM173" i="3"/>
  <c r="AD173" i="3"/>
  <c r="V173" i="3"/>
  <c r="N173" i="3"/>
  <c r="F173" i="3"/>
  <c r="AL173" i="3"/>
  <c r="AC173" i="3"/>
  <c r="U173" i="3"/>
  <c r="M173" i="3"/>
  <c r="E173" i="3"/>
  <c r="AK173" i="3"/>
  <c r="AB173" i="3"/>
  <c r="T173" i="3"/>
  <c r="L173" i="3"/>
  <c r="D173" i="3"/>
  <c r="AA173" i="3"/>
  <c r="Z173" i="3"/>
  <c r="S173" i="3"/>
  <c r="R173" i="3"/>
  <c r="K173" i="3"/>
  <c r="J173" i="3"/>
  <c r="AJ173" i="3"/>
  <c r="AI173" i="3"/>
  <c r="AF177" i="3" a="1"/>
  <c r="AF177" i="3" s="1"/>
  <c r="AH177" i="3"/>
  <c r="Y177" i="3"/>
  <c r="Q177" i="3"/>
  <c r="I177" i="3"/>
  <c r="AG177" i="3"/>
  <c r="X177" i="3"/>
  <c r="P177" i="3"/>
  <c r="H177" i="3"/>
  <c r="AN177" i="3"/>
  <c r="AE177" i="3"/>
  <c r="W177" i="3"/>
  <c r="O177" i="3"/>
  <c r="G177" i="3"/>
  <c r="AM177" i="3"/>
  <c r="AD177" i="3"/>
  <c r="V177" i="3"/>
  <c r="N177" i="3"/>
  <c r="F177" i="3"/>
  <c r="AL177" i="3"/>
  <c r="AC177" i="3"/>
  <c r="U177" i="3"/>
  <c r="M177" i="3"/>
  <c r="E177" i="3"/>
  <c r="AK177" i="3"/>
  <c r="AB177" i="3"/>
  <c r="T177" i="3"/>
  <c r="L177" i="3"/>
  <c r="D177" i="3"/>
  <c r="K177" i="3"/>
  <c r="J177" i="3"/>
  <c r="AJ177" i="3"/>
  <c r="AI177" i="3"/>
  <c r="AA177" i="3"/>
  <c r="Z177" i="3"/>
  <c r="S177" i="3"/>
  <c r="R177" i="3"/>
  <c r="AF181" i="3" a="1"/>
  <c r="AF181" i="3" s="1"/>
  <c r="AH181" i="3"/>
  <c r="Y181" i="3"/>
  <c r="Q181" i="3"/>
  <c r="I181" i="3"/>
  <c r="AG181" i="3"/>
  <c r="X181" i="3"/>
  <c r="P181" i="3"/>
  <c r="H181" i="3"/>
  <c r="AN181" i="3"/>
  <c r="AE181" i="3"/>
  <c r="W181" i="3"/>
  <c r="O181" i="3"/>
  <c r="G181" i="3"/>
  <c r="AM181" i="3"/>
  <c r="AD181" i="3"/>
  <c r="V181" i="3"/>
  <c r="N181" i="3"/>
  <c r="F181" i="3"/>
  <c r="AL181" i="3"/>
  <c r="AC181" i="3"/>
  <c r="U181" i="3"/>
  <c r="M181" i="3"/>
  <c r="E181" i="3"/>
  <c r="AK181" i="3"/>
  <c r="AB181" i="3"/>
  <c r="T181" i="3"/>
  <c r="L181" i="3"/>
  <c r="D181" i="3"/>
  <c r="AA181" i="3"/>
  <c r="Z181" i="3"/>
  <c r="S181" i="3"/>
  <c r="R181" i="3"/>
  <c r="K181" i="3"/>
  <c r="J181" i="3"/>
  <c r="AJ181" i="3"/>
  <c r="AI181" i="3"/>
  <c r="AF185" i="3" a="1"/>
  <c r="AF185" i="3" s="1"/>
  <c r="AH185" i="3"/>
  <c r="Y185" i="3"/>
  <c r="Q185" i="3"/>
  <c r="I185" i="3"/>
  <c r="AG185" i="3"/>
  <c r="X185" i="3"/>
  <c r="P185" i="3"/>
  <c r="H185" i="3"/>
  <c r="AN185" i="3"/>
  <c r="AE185" i="3"/>
  <c r="W185" i="3"/>
  <c r="O185" i="3"/>
  <c r="G185" i="3"/>
  <c r="AM185" i="3"/>
  <c r="AD185" i="3"/>
  <c r="V185" i="3"/>
  <c r="N185" i="3"/>
  <c r="F185" i="3"/>
  <c r="AL185" i="3"/>
  <c r="AC185" i="3"/>
  <c r="U185" i="3"/>
  <c r="M185" i="3"/>
  <c r="E185" i="3"/>
  <c r="AK185" i="3"/>
  <c r="AB185" i="3"/>
  <c r="T185" i="3"/>
  <c r="L185" i="3"/>
  <c r="D185" i="3"/>
  <c r="K185" i="3"/>
  <c r="J185" i="3"/>
  <c r="AJ185" i="3"/>
  <c r="AI185" i="3"/>
  <c r="AA185" i="3"/>
  <c r="Z185" i="3"/>
  <c r="S185" i="3"/>
  <c r="R185" i="3"/>
  <c r="AF189" i="3" a="1"/>
  <c r="AF189" i="3" s="1"/>
  <c r="AH189" i="3"/>
  <c r="Y189" i="3"/>
  <c r="Q189" i="3"/>
  <c r="I189" i="3"/>
  <c r="AG189" i="3"/>
  <c r="X189" i="3"/>
  <c r="P189" i="3"/>
  <c r="H189" i="3"/>
  <c r="AN189" i="3"/>
  <c r="AE189" i="3"/>
  <c r="W189" i="3"/>
  <c r="O189" i="3"/>
  <c r="G189" i="3"/>
  <c r="AM189" i="3"/>
  <c r="AD189" i="3"/>
  <c r="V189" i="3"/>
  <c r="N189" i="3"/>
  <c r="F189" i="3"/>
  <c r="AL189" i="3"/>
  <c r="AC189" i="3"/>
  <c r="U189" i="3"/>
  <c r="M189" i="3"/>
  <c r="E189" i="3"/>
  <c r="AK189" i="3"/>
  <c r="AB189" i="3"/>
  <c r="T189" i="3"/>
  <c r="L189" i="3"/>
  <c r="D189" i="3"/>
  <c r="AA189" i="3"/>
  <c r="Z189" i="3"/>
  <c r="S189" i="3"/>
  <c r="R189" i="3"/>
  <c r="K189" i="3"/>
  <c r="J189" i="3"/>
  <c r="AJ189" i="3"/>
  <c r="AI189" i="3"/>
  <c r="AF193" i="3" a="1"/>
  <c r="AF193" i="3" s="1"/>
  <c r="AH193" i="3"/>
  <c r="Y193" i="3"/>
  <c r="Q193" i="3"/>
  <c r="I193" i="3"/>
  <c r="AG193" i="3"/>
  <c r="X193" i="3"/>
  <c r="P193" i="3"/>
  <c r="H193" i="3"/>
  <c r="AN193" i="3"/>
  <c r="AE193" i="3"/>
  <c r="W193" i="3"/>
  <c r="O193" i="3"/>
  <c r="G193" i="3"/>
  <c r="AM193" i="3"/>
  <c r="AD193" i="3"/>
  <c r="V193" i="3"/>
  <c r="N193" i="3"/>
  <c r="F193" i="3"/>
  <c r="AL193" i="3"/>
  <c r="AC193" i="3"/>
  <c r="U193" i="3"/>
  <c r="M193" i="3"/>
  <c r="E193" i="3"/>
  <c r="AK193" i="3"/>
  <c r="AB193" i="3"/>
  <c r="T193" i="3"/>
  <c r="L193" i="3"/>
  <c r="D193" i="3"/>
  <c r="K193" i="3"/>
  <c r="J193" i="3"/>
  <c r="AJ193" i="3"/>
  <c r="AI193" i="3"/>
  <c r="AA193" i="3"/>
  <c r="Z193" i="3"/>
  <c r="S193" i="3"/>
  <c r="R193" i="3"/>
  <c r="AF197" i="3" a="1"/>
  <c r="AF197" i="3" s="1"/>
  <c r="AH197" i="3"/>
  <c r="Y197" i="3"/>
  <c r="Q197" i="3"/>
  <c r="I197" i="3"/>
  <c r="AG197" i="3"/>
  <c r="X197" i="3"/>
  <c r="P197" i="3"/>
  <c r="H197" i="3"/>
  <c r="AN197" i="3"/>
  <c r="AE197" i="3"/>
  <c r="W197" i="3"/>
  <c r="O197" i="3"/>
  <c r="G197" i="3"/>
  <c r="AM197" i="3"/>
  <c r="AD197" i="3"/>
  <c r="V197" i="3"/>
  <c r="N197" i="3"/>
  <c r="F197" i="3"/>
  <c r="AL197" i="3"/>
  <c r="AC197" i="3"/>
  <c r="U197" i="3"/>
  <c r="M197" i="3"/>
  <c r="E197" i="3"/>
  <c r="AK197" i="3"/>
  <c r="AB197" i="3"/>
  <c r="T197" i="3"/>
  <c r="L197" i="3"/>
  <c r="D197" i="3"/>
  <c r="AA197" i="3"/>
  <c r="Z197" i="3"/>
  <c r="S197" i="3"/>
  <c r="R197" i="3"/>
  <c r="K197" i="3"/>
  <c r="J197" i="3"/>
  <c r="AJ197" i="3"/>
  <c r="AI197" i="3"/>
  <c r="AF201" i="3" a="1"/>
  <c r="AF201" i="3" s="1"/>
  <c r="AH201" i="3"/>
  <c r="Y201" i="3"/>
  <c r="Q201" i="3"/>
  <c r="I201" i="3"/>
  <c r="AG201" i="3"/>
  <c r="X201" i="3"/>
  <c r="P201" i="3"/>
  <c r="H201" i="3"/>
  <c r="AN201" i="3"/>
  <c r="AE201" i="3"/>
  <c r="W201" i="3"/>
  <c r="O201" i="3"/>
  <c r="G201" i="3"/>
  <c r="AM201" i="3"/>
  <c r="AD201" i="3"/>
  <c r="V201" i="3"/>
  <c r="N201" i="3"/>
  <c r="F201" i="3"/>
  <c r="AL201" i="3"/>
  <c r="AC201" i="3"/>
  <c r="U201" i="3"/>
  <c r="M201" i="3"/>
  <c r="E201" i="3"/>
  <c r="AK201" i="3"/>
  <c r="AB201" i="3"/>
  <c r="T201" i="3"/>
  <c r="L201" i="3"/>
  <c r="D201" i="3"/>
  <c r="K201" i="3"/>
  <c r="J201" i="3"/>
  <c r="AJ201" i="3"/>
  <c r="AI201" i="3"/>
  <c r="AA201" i="3"/>
  <c r="Z201" i="3"/>
  <c r="S201" i="3"/>
  <c r="R201" i="3"/>
  <c r="AF205" i="3" a="1"/>
  <c r="AF205" i="3" s="1"/>
  <c r="AH205" i="3"/>
  <c r="Y205" i="3"/>
  <c r="Q205" i="3"/>
  <c r="I205" i="3"/>
  <c r="AG205" i="3"/>
  <c r="X205" i="3"/>
  <c r="P205" i="3"/>
  <c r="H205" i="3"/>
  <c r="AN205" i="3"/>
  <c r="AE205" i="3"/>
  <c r="W205" i="3"/>
  <c r="O205" i="3"/>
  <c r="G205" i="3"/>
  <c r="AM205" i="3"/>
  <c r="AD205" i="3"/>
  <c r="V205" i="3"/>
  <c r="N205" i="3"/>
  <c r="F205" i="3"/>
  <c r="AL205" i="3"/>
  <c r="AC205" i="3"/>
  <c r="U205" i="3"/>
  <c r="M205" i="3"/>
  <c r="E205" i="3"/>
  <c r="AK205" i="3"/>
  <c r="AB205" i="3"/>
  <c r="T205" i="3"/>
  <c r="L205" i="3"/>
  <c r="D205" i="3"/>
  <c r="AA205" i="3"/>
  <c r="Z205" i="3"/>
  <c r="S205" i="3"/>
  <c r="R205" i="3"/>
  <c r="K205" i="3"/>
  <c r="J205" i="3"/>
  <c r="AJ205" i="3"/>
  <c r="AI205" i="3"/>
  <c r="AF209" i="3" a="1"/>
  <c r="AF209" i="3" s="1"/>
  <c r="AH209" i="3"/>
  <c r="Y209" i="3"/>
  <c r="Q209" i="3"/>
  <c r="I209" i="3"/>
  <c r="AG209" i="3"/>
  <c r="X209" i="3"/>
  <c r="P209" i="3"/>
  <c r="H209" i="3"/>
  <c r="AN209" i="3"/>
  <c r="AE209" i="3"/>
  <c r="W209" i="3"/>
  <c r="O209" i="3"/>
  <c r="G209" i="3"/>
  <c r="AM209" i="3"/>
  <c r="AD209" i="3"/>
  <c r="V209" i="3"/>
  <c r="N209" i="3"/>
  <c r="F209" i="3"/>
  <c r="AL209" i="3"/>
  <c r="AC209" i="3"/>
  <c r="U209" i="3"/>
  <c r="M209" i="3"/>
  <c r="E209" i="3"/>
  <c r="AK209" i="3"/>
  <c r="AB209" i="3"/>
  <c r="T209" i="3"/>
  <c r="L209" i="3"/>
  <c r="D209" i="3"/>
  <c r="K209" i="3"/>
  <c r="J209" i="3"/>
  <c r="AJ209" i="3"/>
  <c r="AI209" i="3"/>
  <c r="AA209" i="3"/>
  <c r="Z209" i="3"/>
  <c r="S209" i="3"/>
  <c r="R209" i="3"/>
  <c r="AF213" i="3" a="1"/>
  <c r="AF213" i="3" s="1"/>
  <c r="AH213" i="3"/>
  <c r="Y213" i="3"/>
  <c r="Q213" i="3"/>
  <c r="I213" i="3"/>
  <c r="AG213" i="3"/>
  <c r="X213" i="3"/>
  <c r="P213" i="3"/>
  <c r="H213" i="3"/>
  <c r="AN213" i="3"/>
  <c r="AE213" i="3"/>
  <c r="W213" i="3"/>
  <c r="O213" i="3"/>
  <c r="G213" i="3"/>
  <c r="AM213" i="3"/>
  <c r="AD213" i="3"/>
  <c r="V213" i="3"/>
  <c r="N213" i="3"/>
  <c r="F213" i="3"/>
  <c r="AL213" i="3"/>
  <c r="AC213" i="3"/>
  <c r="U213" i="3"/>
  <c r="M213" i="3"/>
  <c r="E213" i="3"/>
  <c r="AK213" i="3"/>
  <c r="AB213" i="3"/>
  <c r="T213" i="3"/>
  <c r="L213" i="3"/>
  <c r="D213" i="3"/>
  <c r="AA213" i="3"/>
  <c r="Z213" i="3"/>
  <c r="S213" i="3"/>
  <c r="R213" i="3"/>
  <c r="K213" i="3"/>
  <c r="J213" i="3"/>
  <c r="AJ213" i="3"/>
  <c r="AI213" i="3"/>
  <c r="AF217" i="3" a="1"/>
  <c r="AF217" i="3" s="1"/>
  <c r="AH217" i="3"/>
  <c r="Y217" i="3"/>
  <c r="Q217" i="3"/>
  <c r="I217" i="3"/>
  <c r="AG217" i="3"/>
  <c r="X217" i="3"/>
  <c r="P217" i="3"/>
  <c r="H217" i="3"/>
  <c r="AN217" i="3"/>
  <c r="AE217" i="3"/>
  <c r="W217" i="3"/>
  <c r="O217" i="3"/>
  <c r="G217" i="3"/>
  <c r="AM217" i="3"/>
  <c r="AD217" i="3"/>
  <c r="V217" i="3"/>
  <c r="N217" i="3"/>
  <c r="F217" i="3"/>
  <c r="AL217" i="3"/>
  <c r="AC217" i="3"/>
  <c r="U217" i="3"/>
  <c r="M217" i="3"/>
  <c r="E217" i="3"/>
  <c r="AK217" i="3"/>
  <c r="AB217" i="3"/>
  <c r="T217" i="3"/>
  <c r="L217" i="3"/>
  <c r="D217" i="3"/>
  <c r="K217" i="3"/>
  <c r="J217" i="3"/>
  <c r="AJ217" i="3"/>
  <c r="AI217" i="3"/>
  <c r="AA217" i="3"/>
  <c r="Z217" i="3"/>
  <c r="S217" i="3"/>
  <c r="R217" i="3"/>
  <c r="AF221" i="3" a="1"/>
  <c r="AF221" i="3" s="1"/>
  <c r="AH221" i="3"/>
  <c r="Y221" i="3"/>
  <c r="Q221" i="3"/>
  <c r="I221" i="3"/>
  <c r="AG221" i="3"/>
  <c r="X221" i="3"/>
  <c r="P221" i="3"/>
  <c r="H221" i="3"/>
  <c r="AN221" i="3"/>
  <c r="AE221" i="3"/>
  <c r="W221" i="3"/>
  <c r="O221" i="3"/>
  <c r="G221" i="3"/>
  <c r="AM221" i="3"/>
  <c r="AD221" i="3"/>
  <c r="V221" i="3"/>
  <c r="N221" i="3"/>
  <c r="F221" i="3"/>
  <c r="AL221" i="3"/>
  <c r="AC221" i="3"/>
  <c r="U221" i="3"/>
  <c r="M221" i="3"/>
  <c r="E221" i="3"/>
  <c r="AK221" i="3"/>
  <c r="AB221" i="3"/>
  <c r="T221" i="3"/>
  <c r="L221" i="3"/>
  <c r="D221" i="3"/>
  <c r="AA221" i="3"/>
  <c r="Z221" i="3"/>
  <c r="S221" i="3"/>
  <c r="R221" i="3"/>
  <c r="K221" i="3"/>
  <c r="J221" i="3"/>
  <c r="AJ221" i="3"/>
  <c r="AI221" i="3"/>
  <c r="AF225" i="3" a="1"/>
  <c r="AF225" i="3" s="1"/>
  <c r="AH225" i="3"/>
  <c r="Y225" i="3"/>
  <c r="Q225" i="3"/>
  <c r="I225" i="3"/>
  <c r="AG225" i="3"/>
  <c r="X225" i="3"/>
  <c r="P225" i="3"/>
  <c r="H225" i="3"/>
  <c r="AN225" i="3"/>
  <c r="AE225" i="3"/>
  <c r="W225" i="3"/>
  <c r="O225" i="3"/>
  <c r="G225" i="3"/>
  <c r="AL225" i="3"/>
  <c r="AC225" i="3"/>
  <c r="U225" i="3"/>
  <c r="M225" i="3"/>
  <c r="E225" i="3"/>
  <c r="AK225" i="3"/>
  <c r="AB225" i="3"/>
  <c r="T225" i="3"/>
  <c r="L225" i="3"/>
  <c r="D225" i="3"/>
  <c r="AD225" i="3"/>
  <c r="J225" i="3"/>
  <c r="AA225" i="3"/>
  <c r="F225" i="3"/>
  <c r="Z225" i="3"/>
  <c r="V225" i="3"/>
  <c r="S225" i="3"/>
  <c r="AM225" i="3"/>
  <c r="R225" i="3"/>
  <c r="AJ225" i="3"/>
  <c r="AI225" i="3"/>
  <c r="N225" i="3"/>
  <c r="K225" i="3"/>
  <c r="AF229" i="3" a="1"/>
  <c r="AF229" i="3" s="1"/>
  <c r="AH229" i="3"/>
  <c r="Y229" i="3"/>
  <c r="Q229" i="3"/>
  <c r="I229" i="3"/>
  <c r="AG229" i="3"/>
  <c r="X229" i="3"/>
  <c r="P229" i="3"/>
  <c r="H229" i="3"/>
  <c r="AN229" i="3"/>
  <c r="AE229" i="3"/>
  <c r="W229" i="3"/>
  <c r="O229" i="3"/>
  <c r="G229" i="3"/>
  <c r="AM229" i="3"/>
  <c r="AD229" i="3"/>
  <c r="V229" i="3"/>
  <c r="N229" i="3"/>
  <c r="F229" i="3"/>
  <c r="AL229" i="3"/>
  <c r="AC229" i="3"/>
  <c r="U229" i="3"/>
  <c r="M229" i="3"/>
  <c r="E229" i="3"/>
  <c r="AK229" i="3"/>
  <c r="AB229" i="3"/>
  <c r="T229" i="3"/>
  <c r="L229" i="3"/>
  <c r="D229" i="3"/>
  <c r="AJ229" i="3"/>
  <c r="AI229" i="3"/>
  <c r="AA229" i="3"/>
  <c r="Z229" i="3"/>
  <c r="S229" i="3"/>
  <c r="R229" i="3"/>
  <c r="K229" i="3"/>
  <c r="J229" i="3"/>
  <c r="AF233" i="3" a="1"/>
  <c r="AF233" i="3" s="1"/>
  <c r="AH233" i="3"/>
  <c r="Y233" i="3"/>
  <c r="Q233" i="3"/>
  <c r="I233" i="3"/>
  <c r="AG233" i="3"/>
  <c r="X233" i="3"/>
  <c r="P233" i="3"/>
  <c r="H233" i="3"/>
  <c r="AN233" i="3"/>
  <c r="AE233" i="3"/>
  <c r="W233" i="3"/>
  <c r="O233" i="3"/>
  <c r="G233" i="3"/>
  <c r="AM233" i="3"/>
  <c r="AD233" i="3"/>
  <c r="V233" i="3"/>
  <c r="N233" i="3"/>
  <c r="F233" i="3"/>
  <c r="AL233" i="3"/>
  <c r="AC233" i="3"/>
  <c r="U233" i="3"/>
  <c r="M233" i="3"/>
  <c r="E233" i="3"/>
  <c r="AK233" i="3"/>
  <c r="AB233" i="3"/>
  <c r="T233" i="3"/>
  <c r="L233" i="3"/>
  <c r="D233" i="3"/>
  <c r="S233" i="3"/>
  <c r="R233" i="3"/>
  <c r="K233" i="3"/>
  <c r="J233" i="3"/>
  <c r="AJ233" i="3"/>
  <c r="AI233" i="3"/>
  <c r="AA233" i="3"/>
  <c r="Z233" i="3"/>
  <c r="AF237" i="3" a="1"/>
  <c r="AF237" i="3" s="1"/>
  <c r="AH237" i="3"/>
  <c r="Y237" i="3"/>
  <c r="Q237" i="3"/>
  <c r="I237" i="3"/>
  <c r="AG237" i="3"/>
  <c r="X237" i="3"/>
  <c r="P237" i="3"/>
  <c r="H237" i="3"/>
  <c r="AN237" i="3"/>
  <c r="AE237" i="3"/>
  <c r="W237" i="3"/>
  <c r="O237" i="3"/>
  <c r="G237" i="3"/>
  <c r="AM237" i="3"/>
  <c r="AD237" i="3"/>
  <c r="V237" i="3"/>
  <c r="N237" i="3"/>
  <c r="F237" i="3"/>
  <c r="AL237" i="3"/>
  <c r="AC237" i="3"/>
  <c r="U237" i="3"/>
  <c r="M237" i="3"/>
  <c r="E237" i="3"/>
  <c r="AK237" i="3"/>
  <c r="AB237" i="3"/>
  <c r="T237" i="3"/>
  <c r="L237" i="3"/>
  <c r="D237" i="3"/>
  <c r="AJ237" i="3"/>
  <c r="AI237" i="3"/>
  <c r="AA237" i="3"/>
  <c r="Z237" i="3"/>
  <c r="S237" i="3"/>
  <c r="R237" i="3"/>
  <c r="K237" i="3"/>
  <c r="J237" i="3"/>
  <c r="AF241" i="3" a="1"/>
  <c r="AF241" i="3" s="1"/>
  <c r="AH241" i="3"/>
  <c r="Y241" i="3"/>
  <c r="Q241" i="3"/>
  <c r="I241" i="3"/>
  <c r="AG241" i="3"/>
  <c r="X241" i="3"/>
  <c r="P241" i="3"/>
  <c r="H241" i="3"/>
  <c r="AN241" i="3"/>
  <c r="AE241" i="3"/>
  <c r="W241" i="3"/>
  <c r="O241" i="3"/>
  <c r="G241" i="3"/>
  <c r="AM241" i="3"/>
  <c r="AD241" i="3"/>
  <c r="V241" i="3"/>
  <c r="N241" i="3"/>
  <c r="F241" i="3"/>
  <c r="AL241" i="3"/>
  <c r="AC241" i="3"/>
  <c r="U241" i="3"/>
  <c r="M241" i="3"/>
  <c r="E241" i="3"/>
  <c r="AK241" i="3"/>
  <c r="AB241" i="3"/>
  <c r="T241" i="3"/>
  <c r="L241" i="3"/>
  <c r="D241" i="3"/>
  <c r="S241" i="3"/>
  <c r="R241" i="3"/>
  <c r="K241" i="3"/>
  <c r="J241" i="3"/>
  <c r="AJ241" i="3"/>
  <c r="AI241" i="3"/>
  <c r="AA241" i="3"/>
  <c r="Z241" i="3"/>
  <c r="AF245" i="3" a="1"/>
  <c r="AF245" i="3" s="1"/>
  <c r="AH245" i="3"/>
  <c r="Y245" i="3"/>
  <c r="Q245" i="3"/>
  <c r="I245" i="3"/>
  <c r="AG245" i="3"/>
  <c r="X245" i="3"/>
  <c r="P245" i="3"/>
  <c r="H245" i="3"/>
  <c r="AN245" i="3"/>
  <c r="AE245" i="3"/>
  <c r="W245" i="3"/>
  <c r="O245" i="3"/>
  <c r="G245" i="3"/>
  <c r="AM245" i="3"/>
  <c r="AD245" i="3"/>
  <c r="V245" i="3"/>
  <c r="N245" i="3"/>
  <c r="F245" i="3"/>
  <c r="AL245" i="3"/>
  <c r="AC245" i="3"/>
  <c r="U245" i="3"/>
  <c r="M245" i="3"/>
  <c r="E245" i="3"/>
  <c r="AK245" i="3"/>
  <c r="AB245" i="3"/>
  <c r="T245" i="3"/>
  <c r="L245" i="3"/>
  <c r="D245" i="3"/>
  <c r="AJ245" i="3"/>
  <c r="AI245" i="3"/>
  <c r="AA245" i="3"/>
  <c r="Z245" i="3"/>
  <c r="S245" i="3"/>
  <c r="R245" i="3"/>
  <c r="K245" i="3"/>
  <c r="J245" i="3"/>
  <c r="AF249" i="3" a="1"/>
  <c r="AF249" i="3" s="1"/>
  <c r="AH249" i="3"/>
  <c r="Y249" i="3"/>
  <c r="Q249" i="3"/>
  <c r="I249" i="3"/>
  <c r="AG249" i="3"/>
  <c r="X249" i="3"/>
  <c r="P249" i="3"/>
  <c r="H249" i="3"/>
  <c r="AN249" i="3"/>
  <c r="AE249" i="3"/>
  <c r="W249" i="3"/>
  <c r="O249" i="3"/>
  <c r="G249" i="3"/>
  <c r="AM249" i="3"/>
  <c r="AD249" i="3"/>
  <c r="V249" i="3"/>
  <c r="N249" i="3"/>
  <c r="F249" i="3"/>
  <c r="AL249" i="3"/>
  <c r="AC249" i="3"/>
  <c r="U249" i="3"/>
  <c r="M249" i="3"/>
  <c r="E249" i="3"/>
  <c r="AK249" i="3"/>
  <c r="AB249" i="3"/>
  <c r="T249" i="3"/>
  <c r="L249" i="3"/>
  <c r="D249" i="3"/>
  <c r="S249" i="3"/>
  <c r="R249" i="3"/>
  <c r="K249" i="3"/>
  <c r="J249" i="3"/>
  <c r="AJ249" i="3"/>
  <c r="AI249" i="3"/>
  <c r="AA249" i="3"/>
  <c r="Z249" i="3"/>
  <c r="AF253" i="3" a="1"/>
  <c r="AF253" i="3" s="1"/>
  <c r="AH253" i="3"/>
  <c r="Y253" i="3"/>
  <c r="Q253" i="3"/>
  <c r="I253" i="3"/>
  <c r="AG253" i="3"/>
  <c r="X253" i="3"/>
  <c r="P253" i="3"/>
  <c r="H253" i="3"/>
  <c r="AN253" i="3"/>
  <c r="AE253" i="3"/>
  <c r="W253" i="3"/>
  <c r="O253" i="3"/>
  <c r="G253" i="3"/>
  <c r="AM253" i="3"/>
  <c r="AD253" i="3"/>
  <c r="V253" i="3"/>
  <c r="N253" i="3"/>
  <c r="F253" i="3"/>
  <c r="AL253" i="3"/>
  <c r="AC253" i="3"/>
  <c r="U253" i="3"/>
  <c r="M253" i="3"/>
  <c r="E253" i="3"/>
  <c r="AK253" i="3"/>
  <c r="AB253" i="3"/>
  <c r="T253" i="3"/>
  <c r="L253" i="3"/>
  <c r="D253" i="3"/>
  <c r="AJ253" i="3"/>
  <c r="AI253" i="3"/>
  <c r="AA253" i="3"/>
  <c r="Z253" i="3"/>
  <c r="S253" i="3"/>
  <c r="R253" i="3"/>
  <c r="K253" i="3"/>
  <c r="J253" i="3"/>
  <c r="AF257" i="3" a="1"/>
  <c r="AF257" i="3" s="1"/>
  <c r="AH257" i="3"/>
  <c r="Y257" i="3"/>
  <c r="Q257" i="3"/>
  <c r="I257" i="3"/>
  <c r="AG257" i="3"/>
  <c r="X257" i="3"/>
  <c r="P257" i="3"/>
  <c r="H257" i="3"/>
  <c r="AN257" i="3"/>
  <c r="AE257" i="3"/>
  <c r="W257" i="3"/>
  <c r="O257" i="3"/>
  <c r="G257" i="3"/>
  <c r="AM257" i="3"/>
  <c r="AD257" i="3"/>
  <c r="V257" i="3"/>
  <c r="N257" i="3"/>
  <c r="F257" i="3"/>
  <c r="AL257" i="3"/>
  <c r="AC257" i="3"/>
  <c r="U257" i="3"/>
  <c r="M257" i="3"/>
  <c r="E257" i="3"/>
  <c r="AK257" i="3"/>
  <c r="AB257" i="3"/>
  <c r="T257" i="3"/>
  <c r="L257" i="3"/>
  <c r="D257" i="3"/>
  <c r="S257" i="3"/>
  <c r="R257" i="3"/>
  <c r="K257" i="3"/>
  <c r="J257" i="3"/>
  <c r="AJ257" i="3"/>
  <c r="AI257" i="3"/>
  <c r="AA257" i="3"/>
  <c r="Z257" i="3"/>
  <c r="AF261" i="3" a="1"/>
  <c r="AF261" i="3" s="1"/>
  <c r="AH261" i="3"/>
  <c r="Y261" i="3"/>
  <c r="Q261" i="3"/>
  <c r="I261" i="3"/>
  <c r="AG261" i="3"/>
  <c r="X261" i="3"/>
  <c r="P261" i="3"/>
  <c r="H261" i="3"/>
  <c r="AN261" i="3"/>
  <c r="AE261" i="3"/>
  <c r="W261" i="3"/>
  <c r="O261" i="3"/>
  <c r="G261" i="3"/>
  <c r="AM261" i="3"/>
  <c r="AD261" i="3"/>
  <c r="V261" i="3"/>
  <c r="N261" i="3"/>
  <c r="F261" i="3"/>
  <c r="AL261" i="3"/>
  <c r="AC261" i="3"/>
  <c r="U261" i="3"/>
  <c r="M261" i="3"/>
  <c r="E261" i="3"/>
  <c r="AK261" i="3"/>
  <c r="AB261" i="3"/>
  <c r="T261" i="3"/>
  <c r="L261" i="3"/>
  <c r="D261" i="3"/>
  <c r="AJ261" i="3"/>
  <c r="AI261" i="3"/>
  <c r="AA261" i="3"/>
  <c r="Z261" i="3"/>
  <c r="S261" i="3"/>
  <c r="R261" i="3"/>
  <c r="K261" i="3"/>
  <c r="J261" i="3"/>
  <c r="AF265" i="3" a="1"/>
  <c r="AF265" i="3" s="1"/>
  <c r="AH265" i="3"/>
  <c r="Y265" i="3"/>
  <c r="Q265" i="3"/>
  <c r="I265" i="3"/>
  <c r="AG265" i="3"/>
  <c r="X265" i="3"/>
  <c r="P265" i="3"/>
  <c r="H265" i="3"/>
  <c r="AN265" i="3"/>
  <c r="AE265" i="3"/>
  <c r="W265" i="3"/>
  <c r="O265" i="3"/>
  <c r="G265" i="3"/>
  <c r="AM265" i="3"/>
  <c r="AD265" i="3"/>
  <c r="V265" i="3"/>
  <c r="N265" i="3"/>
  <c r="F265" i="3"/>
  <c r="AL265" i="3"/>
  <c r="AC265" i="3"/>
  <c r="U265" i="3"/>
  <c r="M265" i="3"/>
  <c r="E265" i="3"/>
  <c r="AK265" i="3"/>
  <c r="AB265" i="3"/>
  <c r="T265" i="3"/>
  <c r="L265" i="3"/>
  <c r="D265" i="3"/>
  <c r="S265" i="3"/>
  <c r="R265" i="3"/>
  <c r="K265" i="3"/>
  <c r="J265" i="3"/>
  <c r="AJ265" i="3"/>
  <c r="AI265" i="3"/>
  <c r="AA265" i="3"/>
  <c r="Z265" i="3"/>
  <c r="AF269" i="3" a="1"/>
  <c r="AF269" i="3" s="1"/>
  <c r="AH269" i="3"/>
  <c r="Y269" i="3"/>
  <c r="Q269" i="3"/>
  <c r="I269" i="3"/>
  <c r="AG269" i="3"/>
  <c r="X269" i="3"/>
  <c r="P269" i="3"/>
  <c r="H269" i="3"/>
  <c r="AN269" i="3"/>
  <c r="AE269" i="3"/>
  <c r="W269" i="3"/>
  <c r="O269" i="3"/>
  <c r="G269" i="3"/>
  <c r="AM269" i="3"/>
  <c r="AD269" i="3"/>
  <c r="V269" i="3"/>
  <c r="N269" i="3"/>
  <c r="F269" i="3"/>
  <c r="AL269" i="3"/>
  <c r="AC269" i="3"/>
  <c r="U269" i="3"/>
  <c r="M269" i="3"/>
  <c r="E269" i="3"/>
  <c r="AK269" i="3"/>
  <c r="AB269" i="3"/>
  <c r="T269" i="3"/>
  <c r="L269" i="3"/>
  <c r="D269" i="3"/>
  <c r="AJ269" i="3"/>
  <c r="AI269" i="3"/>
  <c r="AA269" i="3"/>
  <c r="Z269" i="3"/>
  <c r="S269" i="3"/>
  <c r="R269" i="3"/>
  <c r="K269" i="3"/>
  <c r="J269" i="3"/>
  <c r="AF273" i="3" a="1"/>
  <c r="AF273" i="3" s="1"/>
  <c r="AH273" i="3"/>
  <c r="Y273" i="3"/>
  <c r="Q273" i="3"/>
  <c r="I273" i="3"/>
  <c r="AG273" i="3"/>
  <c r="X273" i="3"/>
  <c r="P273" i="3"/>
  <c r="H273" i="3"/>
  <c r="AN273" i="3"/>
  <c r="AE273" i="3"/>
  <c r="W273" i="3"/>
  <c r="O273" i="3"/>
  <c r="G273" i="3"/>
  <c r="AM273" i="3"/>
  <c r="AD273" i="3"/>
  <c r="V273" i="3"/>
  <c r="N273" i="3"/>
  <c r="F273" i="3"/>
  <c r="AL273" i="3"/>
  <c r="AC273" i="3"/>
  <c r="U273" i="3"/>
  <c r="M273" i="3"/>
  <c r="E273" i="3"/>
  <c r="AK273" i="3"/>
  <c r="AB273" i="3"/>
  <c r="T273" i="3"/>
  <c r="L273" i="3"/>
  <c r="D273" i="3"/>
  <c r="S273" i="3"/>
  <c r="R273" i="3"/>
  <c r="K273" i="3"/>
  <c r="J273" i="3"/>
  <c r="AJ273" i="3"/>
  <c r="AI273" i="3"/>
  <c r="AA273" i="3"/>
  <c r="Z273" i="3"/>
  <c r="AF277" i="3" a="1"/>
  <c r="AF277" i="3" s="1"/>
  <c r="AM277" i="3"/>
  <c r="AD277" i="3"/>
  <c r="V277" i="3"/>
  <c r="N277" i="3"/>
  <c r="F277" i="3"/>
  <c r="AL277" i="3"/>
  <c r="AC277" i="3"/>
  <c r="U277" i="3"/>
  <c r="M277" i="3"/>
  <c r="E277" i="3"/>
  <c r="AK277" i="3"/>
  <c r="AB277" i="3"/>
  <c r="T277" i="3"/>
  <c r="L277" i="3"/>
  <c r="D277" i="3"/>
  <c r="AI277" i="3"/>
  <c r="Z277" i="3"/>
  <c r="R277" i="3"/>
  <c r="J277" i="3"/>
  <c r="AH277" i="3"/>
  <c r="Y277" i="3"/>
  <c r="Q277" i="3"/>
  <c r="I277" i="3"/>
  <c r="AE277" i="3"/>
  <c r="H277" i="3"/>
  <c r="AA277" i="3"/>
  <c r="G277" i="3"/>
  <c r="X277" i="3"/>
  <c r="W277" i="3"/>
  <c r="S277" i="3"/>
  <c r="AN277" i="3"/>
  <c r="P277" i="3"/>
  <c r="O277" i="3"/>
  <c r="K277" i="3"/>
  <c r="AJ277" i="3"/>
  <c r="AG277" i="3"/>
  <c r="AF281" i="3" a="1"/>
  <c r="AF281" i="3" s="1"/>
  <c r="AM281" i="3"/>
  <c r="AD281" i="3"/>
  <c r="V281" i="3"/>
  <c r="N281" i="3"/>
  <c r="F281" i="3"/>
  <c r="AL281" i="3"/>
  <c r="AC281" i="3"/>
  <c r="U281" i="3"/>
  <c r="M281" i="3"/>
  <c r="E281" i="3"/>
  <c r="AK281" i="3"/>
  <c r="AB281" i="3"/>
  <c r="T281" i="3"/>
  <c r="L281" i="3"/>
  <c r="D281" i="3"/>
  <c r="AI281" i="3"/>
  <c r="Z281" i="3"/>
  <c r="R281" i="3"/>
  <c r="J281" i="3"/>
  <c r="AH281" i="3"/>
  <c r="Y281" i="3"/>
  <c r="Q281" i="3"/>
  <c r="I281" i="3"/>
  <c r="AJ281" i="3"/>
  <c r="O281" i="3"/>
  <c r="AG281" i="3"/>
  <c r="K281" i="3"/>
  <c r="AE281" i="3"/>
  <c r="H281" i="3"/>
  <c r="AA281" i="3"/>
  <c r="G281" i="3"/>
  <c r="X281" i="3"/>
  <c r="W281" i="3"/>
  <c r="AN281" i="3"/>
  <c r="S281" i="3"/>
  <c r="P281" i="3"/>
  <c r="AF285" i="3" a="1"/>
  <c r="AF285" i="3" s="1"/>
  <c r="AM285" i="3"/>
  <c r="AD285" i="3"/>
  <c r="V285" i="3"/>
  <c r="N285" i="3"/>
  <c r="F285" i="3"/>
  <c r="AL285" i="3"/>
  <c r="AC285" i="3"/>
  <c r="U285" i="3"/>
  <c r="M285" i="3"/>
  <c r="E285" i="3"/>
  <c r="AK285" i="3"/>
  <c r="AB285" i="3"/>
  <c r="T285" i="3"/>
  <c r="L285" i="3"/>
  <c r="D285" i="3"/>
  <c r="AI285" i="3"/>
  <c r="Z285" i="3"/>
  <c r="R285" i="3"/>
  <c r="J285" i="3"/>
  <c r="AH285" i="3"/>
  <c r="Y285" i="3"/>
  <c r="Q285" i="3"/>
  <c r="I285" i="3"/>
  <c r="S285" i="3"/>
  <c r="AN285" i="3"/>
  <c r="P285" i="3"/>
  <c r="AJ285" i="3"/>
  <c r="O285" i="3"/>
  <c r="AG285" i="3"/>
  <c r="K285" i="3"/>
  <c r="AE285" i="3"/>
  <c r="H285" i="3"/>
  <c r="AA285" i="3"/>
  <c r="G285" i="3"/>
  <c r="X285" i="3"/>
  <c r="W285" i="3"/>
  <c r="AF289" i="3" a="1"/>
  <c r="AF289" i="3" s="1"/>
  <c r="AM289" i="3"/>
  <c r="AD289" i="3"/>
  <c r="V289" i="3"/>
  <c r="N289" i="3"/>
  <c r="F289" i="3"/>
  <c r="AL289" i="3"/>
  <c r="AC289" i="3"/>
  <c r="U289" i="3"/>
  <c r="M289" i="3"/>
  <c r="E289" i="3"/>
  <c r="AK289" i="3"/>
  <c r="AB289" i="3"/>
  <c r="T289" i="3"/>
  <c r="L289" i="3"/>
  <c r="D289" i="3"/>
  <c r="AI289" i="3"/>
  <c r="Z289" i="3"/>
  <c r="R289" i="3"/>
  <c r="J289" i="3"/>
  <c r="AH289" i="3"/>
  <c r="Y289" i="3"/>
  <c r="Q289" i="3"/>
  <c r="I289" i="3"/>
  <c r="X289" i="3"/>
  <c r="W289" i="3"/>
  <c r="S289" i="3"/>
  <c r="AN289" i="3"/>
  <c r="P289" i="3"/>
  <c r="AJ289" i="3"/>
  <c r="O289" i="3"/>
  <c r="AG289" i="3"/>
  <c r="K289" i="3"/>
  <c r="H289" i="3"/>
  <c r="G289" i="3"/>
  <c r="AE289" i="3"/>
  <c r="AA289" i="3"/>
  <c r="AF293" i="3" a="1"/>
  <c r="AF293" i="3" s="1"/>
  <c r="AM293" i="3"/>
  <c r="AD293" i="3"/>
  <c r="V293" i="3"/>
  <c r="N293" i="3"/>
  <c r="F293" i="3"/>
  <c r="AL293" i="3"/>
  <c r="AC293" i="3"/>
  <c r="U293" i="3"/>
  <c r="M293" i="3"/>
  <c r="E293" i="3"/>
  <c r="AK293" i="3"/>
  <c r="AB293" i="3"/>
  <c r="T293" i="3"/>
  <c r="L293" i="3"/>
  <c r="D293" i="3"/>
  <c r="AI293" i="3"/>
  <c r="Z293" i="3"/>
  <c r="R293" i="3"/>
  <c r="J293" i="3"/>
  <c r="AH293" i="3"/>
  <c r="Y293" i="3"/>
  <c r="Q293" i="3"/>
  <c r="I293" i="3"/>
  <c r="AE293" i="3"/>
  <c r="H293" i="3"/>
  <c r="AA293" i="3"/>
  <c r="G293" i="3"/>
  <c r="X293" i="3"/>
  <c r="W293" i="3"/>
  <c r="S293" i="3"/>
  <c r="AN293" i="3"/>
  <c r="P293" i="3"/>
  <c r="AJ293" i="3"/>
  <c r="AG293" i="3"/>
  <c r="O293" i="3"/>
  <c r="K293" i="3"/>
  <c r="AF297" i="3" a="1"/>
  <c r="AF297" i="3" s="1"/>
  <c r="AM297" i="3"/>
  <c r="AD297" i="3"/>
  <c r="V297" i="3"/>
  <c r="N297" i="3"/>
  <c r="F297" i="3"/>
  <c r="AL297" i="3"/>
  <c r="AC297" i="3"/>
  <c r="U297" i="3"/>
  <c r="M297" i="3"/>
  <c r="E297" i="3"/>
  <c r="AK297" i="3"/>
  <c r="AB297" i="3"/>
  <c r="T297" i="3"/>
  <c r="L297" i="3"/>
  <c r="D297" i="3"/>
  <c r="AI297" i="3"/>
  <c r="Z297" i="3"/>
  <c r="R297" i="3"/>
  <c r="J297" i="3"/>
  <c r="AH297" i="3"/>
  <c r="Y297" i="3"/>
  <c r="Q297" i="3"/>
  <c r="I297" i="3"/>
  <c r="AJ297" i="3"/>
  <c r="O297" i="3"/>
  <c r="AG297" i="3"/>
  <c r="K297" i="3"/>
  <c r="AE297" i="3"/>
  <c r="H297" i="3"/>
  <c r="AA297" i="3"/>
  <c r="G297" i="3"/>
  <c r="X297" i="3"/>
  <c r="W297" i="3"/>
  <c r="AN297" i="3"/>
  <c r="S297" i="3"/>
  <c r="P297" i="3"/>
  <c r="AF301" i="3" a="1"/>
  <c r="AF301" i="3" s="1"/>
  <c r="AM301" i="3"/>
  <c r="AD301" i="3"/>
  <c r="V301" i="3"/>
  <c r="N301" i="3"/>
  <c r="F301" i="3"/>
  <c r="AL301" i="3"/>
  <c r="AC301" i="3"/>
  <c r="U301" i="3"/>
  <c r="M301" i="3"/>
  <c r="E301" i="3"/>
  <c r="AK301" i="3"/>
  <c r="AB301" i="3"/>
  <c r="T301" i="3"/>
  <c r="L301" i="3"/>
  <c r="D301" i="3"/>
  <c r="AI301" i="3"/>
  <c r="Z301" i="3"/>
  <c r="R301" i="3"/>
  <c r="J301" i="3"/>
  <c r="AH301" i="3"/>
  <c r="Y301" i="3"/>
  <c r="Q301" i="3"/>
  <c r="I301" i="3"/>
  <c r="S301" i="3"/>
  <c r="AN301" i="3"/>
  <c r="P301" i="3"/>
  <c r="AJ301" i="3"/>
  <c r="O301" i="3"/>
  <c r="AG301" i="3"/>
  <c r="K301" i="3"/>
  <c r="AE301" i="3"/>
  <c r="H301" i="3"/>
  <c r="AA301" i="3"/>
  <c r="G301" i="3"/>
  <c r="X301" i="3"/>
  <c r="W301" i="3"/>
  <c r="AF305" i="3" a="1"/>
  <c r="AF305" i="3" s="1"/>
  <c r="AM305" i="3"/>
  <c r="AD305" i="3"/>
  <c r="V305" i="3"/>
  <c r="N305" i="3"/>
  <c r="F305" i="3"/>
  <c r="AL305" i="3"/>
  <c r="AC305" i="3"/>
  <c r="U305" i="3"/>
  <c r="M305" i="3"/>
  <c r="E305" i="3"/>
  <c r="AK305" i="3"/>
  <c r="AB305" i="3"/>
  <c r="T305" i="3"/>
  <c r="L305" i="3"/>
  <c r="D305" i="3"/>
  <c r="AI305" i="3"/>
  <c r="Z305" i="3"/>
  <c r="R305" i="3"/>
  <c r="J305" i="3"/>
  <c r="AH305" i="3"/>
  <c r="Y305" i="3"/>
  <c r="Q305" i="3"/>
  <c r="I305" i="3"/>
  <c r="X305" i="3"/>
  <c r="W305" i="3"/>
  <c r="S305" i="3"/>
  <c r="AN305" i="3"/>
  <c r="P305" i="3"/>
  <c r="AJ305" i="3"/>
  <c r="O305" i="3"/>
  <c r="AG305" i="3"/>
  <c r="K305" i="3"/>
  <c r="AE305" i="3"/>
  <c r="AA305" i="3"/>
  <c r="H305" i="3"/>
  <c r="G305" i="3"/>
  <c r="AF309" i="3" a="1"/>
  <c r="AF309" i="3" s="1"/>
  <c r="AM309" i="3"/>
  <c r="AD309" i="3"/>
  <c r="V309" i="3"/>
  <c r="N309" i="3"/>
  <c r="F309" i="3"/>
  <c r="AL309" i="3"/>
  <c r="AC309" i="3"/>
  <c r="U309" i="3"/>
  <c r="M309" i="3"/>
  <c r="E309" i="3"/>
  <c r="AK309" i="3"/>
  <c r="AB309" i="3"/>
  <c r="T309" i="3"/>
  <c r="L309" i="3"/>
  <c r="D309" i="3"/>
  <c r="AI309" i="3"/>
  <c r="Z309" i="3"/>
  <c r="R309" i="3"/>
  <c r="J309" i="3"/>
  <c r="AH309" i="3"/>
  <c r="Y309" i="3"/>
  <c r="Q309" i="3"/>
  <c r="I309" i="3"/>
  <c r="AE309" i="3"/>
  <c r="H309" i="3"/>
  <c r="AA309" i="3"/>
  <c r="G309" i="3"/>
  <c r="X309" i="3"/>
  <c r="W309" i="3"/>
  <c r="S309" i="3"/>
  <c r="AN309" i="3"/>
  <c r="P309" i="3"/>
  <c r="AJ309" i="3"/>
  <c r="AG309" i="3"/>
  <c r="O309" i="3"/>
  <c r="K309" i="3"/>
  <c r="AF313" i="3" a="1"/>
  <c r="AF313" i="3" s="1"/>
  <c r="AM313" i="3"/>
  <c r="AD313" i="3"/>
  <c r="V313" i="3"/>
  <c r="N313" i="3"/>
  <c r="F313" i="3"/>
  <c r="AL313" i="3"/>
  <c r="AC313" i="3"/>
  <c r="U313" i="3"/>
  <c r="M313" i="3"/>
  <c r="E313" i="3"/>
  <c r="AK313" i="3"/>
  <c r="AB313" i="3"/>
  <c r="T313" i="3"/>
  <c r="L313" i="3"/>
  <c r="D313" i="3"/>
  <c r="AI313" i="3"/>
  <c r="Z313" i="3"/>
  <c r="R313" i="3"/>
  <c r="J313" i="3"/>
  <c r="AH313" i="3"/>
  <c r="Y313" i="3"/>
  <c r="Q313" i="3"/>
  <c r="I313" i="3"/>
  <c r="AJ313" i="3"/>
  <c r="O313" i="3"/>
  <c r="AG313" i="3"/>
  <c r="K313" i="3"/>
  <c r="AE313" i="3"/>
  <c r="H313" i="3"/>
  <c r="AA313" i="3"/>
  <c r="G313" i="3"/>
  <c r="X313" i="3"/>
  <c r="W313" i="3"/>
  <c r="AN313" i="3"/>
  <c r="S313" i="3"/>
  <c r="P313" i="3"/>
  <c r="AF317" i="3" a="1"/>
  <c r="AF317" i="3" s="1"/>
  <c r="AM317" i="3"/>
  <c r="AD317" i="3"/>
  <c r="V317" i="3"/>
  <c r="N317" i="3"/>
  <c r="F317" i="3"/>
  <c r="AL317" i="3"/>
  <c r="AC317" i="3"/>
  <c r="U317" i="3"/>
  <c r="M317" i="3"/>
  <c r="E317" i="3"/>
  <c r="AK317" i="3"/>
  <c r="AB317" i="3"/>
  <c r="T317" i="3"/>
  <c r="L317" i="3"/>
  <c r="D317" i="3"/>
  <c r="AI317" i="3"/>
  <c r="Z317" i="3"/>
  <c r="R317" i="3"/>
  <c r="J317" i="3"/>
  <c r="AH317" i="3"/>
  <c r="Y317" i="3"/>
  <c r="Q317" i="3"/>
  <c r="I317" i="3"/>
  <c r="S317" i="3"/>
  <c r="AN317" i="3"/>
  <c r="P317" i="3"/>
  <c r="AJ317" i="3"/>
  <c r="O317" i="3"/>
  <c r="AG317" i="3"/>
  <c r="K317" i="3"/>
  <c r="AE317" i="3"/>
  <c r="H317" i="3"/>
  <c r="AA317" i="3"/>
  <c r="G317" i="3"/>
  <c r="X317" i="3"/>
  <c r="W317" i="3"/>
  <c r="AF321" i="3" a="1"/>
  <c r="AF321" i="3" s="1"/>
  <c r="AL321" i="3"/>
  <c r="AC321" i="3"/>
  <c r="U321" i="3"/>
  <c r="M321" i="3"/>
  <c r="E321" i="3"/>
  <c r="AK321" i="3"/>
  <c r="AB321" i="3"/>
  <c r="T321" i="3"/>
  <c r="L321" i="3"/>
  <c r="D321" i="3"/>
  <c r="AJ321" i="3"/>
  <c r="AA321" i="3"/>
  <c r="S321" i="3"/>
  <c r="K321" i="3"/>
  <c r="AH321" i="3"/>
  <c r="Y321" i="3"/>
  <c r="Q321" i="3"/>
  <c r="I321" i="3"/>
  <c r="AE321" i="3"/>
  <c r="O321" i="3"/>
  <c r="AD321" i="3"/>
  <c r="N321" i="3"/>
  <c r="Z321" i="3"/>
  <c r="J321" i="3"/>
  <c r="AN321" i="3"/>
  <c r="W321" i="3"/>
  <c r="G321" i="3"/>
  <c r="AM321" i="3"/>
  <c r="V321" i="3"/>
  <c r="F321" i="3"/>
  <c r="AI321" i="3"/>
  <c r="AG321" i="3"/>
  <c r="X321" i="3"/>
  <c r="R321" i="3"/>
  <c r="P321" i="3"/>
  <c r="H321" i="3"/>
  <c r="AF325" i="3" a="1"/>
  <c r="AF325" i="3" s="1"/>
  <c r="AL325" i="3"/>
  <c r="AC325" i="3"/>
  <c r="U325" i="3"/>
  <c r="M325" i="3"/>
  <c r="E325" i="3"/>
  <c r="AK325" i="3"/>
  <c r="AB325" i="3"/>
  <c r="T325" i="3"/>
  <c r="L325" i="3"/>
  <c r="D325" i="3"/>
  <c r="AJ325" i="3"/>
  <c r="AA325" i="3"/>
  <c r="S325" i="3"/>
  <c r="K325" i="3"/>
  <c r="AH325" i="3"/>
  <c r="Y325" i="3"/>
  <c r="Q325" i="3"/>
  <c r="I325" i="3"/>
  <c r="AE325" i="3"/>
  <c r="O325" i="3"/>
  <c r="AD325" i="3"/>
  <c r="N325" i="3"/>
  <c r="Z325" i="3"/>
  <c r="J325" i="3"/>
  <c r="AN325" i="3"/>
  <c r="W325" i="3"/>
  <c r="G325" i="3"/>
  <c r="AM325" i="3"/>
  <c r="V325" i="3"/>
  <c r="F325" i="3"/>
  <c r="X325" i="3"/>
  <c r="R325" i="3"/>
  <c r="P325" i="3"/>
  <c r="H325" i="3"/>
  <c r="AI325" i="3"/>
  <c r="AG325" i="3"/>
  <c r="AF329" i="3" a="1"/>
  <c r="AF329" i="3" s="1"/>
  <c r="AL329" i="3"/>
  <c r="AC329" i="3"/>
  <c r="U329" i="3"/>
  <c r="M329" i="3"/>
  <c r="E329" i="3"/>
  <c r="AK329" i="3"/>
  <c r="AB329" i="3"/>
  <c r="T329" i="3"/>
  <c r="L329" i="3"/>
  <c r="D329" i="3"/>
  <c r="AJ329" i="3"/>
  <c r="AA329" i="3"/>
  <c r="S329" i="3"/>
  <c r="K329" i="3"/>
  <c r="AH329" i="3"/>
  <c r="Y329" i="3"/>
  <c r="Q329" i="3"/>
  <c r="I329" i="3"/>
  <c r="AE329" i="3"/>
  <c r="O329" i="3"/>
  <c r="AD329" i="3"/>
  <c r="N329" i="3"/>
  <c r="Z329" i="3"/>
  <c r="J329" i="3"/>
  <c r="AN329" i="3"/>
  <c r="W329" i="3"/>
  <c r="G329" i="3"/>
  <c r="AM329" i="3"/>
  <c r="V329" i="3"/>
  <c r="F329" i="3"/>
  <c r="H329" i="3"/>
  <c r="AI329" i="3"/>
  <c r="AG329" i="3"/>
  <c r="X329" i="3"/>
  <c r="R329" i="3"/>
  <c r="P329" i="3"/>
  <c r="AF333" i="3" a="1"/>
  <c r="AF333" i="3" s="1"/>
  <c r="AL333" i="3"/>
  <c r="AC333" i="3"/>
  <c r="U333" i="3"/>
  <c r="M333" i="3"/>
  <c r="E333" i="3"/>
  <c r="AK333" i="3"/>
  <c r="AB333" i="3"/>
  <c r="T333" i="3"/>
  <c r="L333" i="3"/>
  <c r="D333" i="3"/>
  <c r="AJ333" i="3"/>
  <c r="AA333" i="3"/>
  <c r="S333" i="3"/>
  <c r="K333" i="3"/>
  <c r="AH333" i="3"/>
  <c r="Y333" i="3"/>
  <c r="Q333" i="3"/>
  <c r="I333" i="3"/>
  <c r="AE333" i="3"/>
  <c r="O333" i="3"/>
  <c r="AD333" i="3"/>
  <c r="N333" i="3"/>
  <c r="Z333" i="3"/>
  <c r="J333" i="3"/>
  <c r="AN333" i="3"/>
  <c r="W333" i="3"/>
  <c r="G333" i="3"/>
  <c r="AM333" i="3"/>
  <c r="V333" i="3"/>
  <c r="F333" i="3"/>
  <c r="AI333" i="3"/>
  <c r="AG333" i="3"/>
  <c r="X333" i="3"/>
  <c r="R333" i="3"/>
  <c r="P333" i="3"/>
  <c r="H333" i="3"/>
  <c r="AF337" i="3" a="1"/>
  <c r="AF337" i="3" s="1"/>
  <c r="AL337" i="3"/>
  <c r="AC337" i="3"/>
  <c r="U337" i="3"/>
  <c r="M337" i="3"/>
  <c r="E337" i="3"/>
  <c r="AK337" i="3"/>
  <c r="AB337" i="3"/>
  <c r="T337" i="3"/>
  <c r="L337" i="3"/>
  <c r="D337" i="3"/>
  <c r="AJ337" i="3"/>
  <c r="AA337" i="3"/>
  <c r="S337" i="3"/>
  <c r="K337" i="3"/>
  <c r="AH337" i="3"/>
  <c r="Y337" i="3"/>
  <c r="Q337" i="3"/>
  <c r="I337" i="3"/>
  <c r="AE337" i="3"/>
  <c r="O337" i="3"/>
  <c r="AD337" i="3"/>
  <c r="N337" i="3"/>
  <c r="Z337" i="3"/>
  <c r="J337" i="3"/>
  <c r="AN337" i="3"/>
  <c r="W337" i="3"/>
  <c r="G337" i="3"/>
  <c r="AM337" i="3"/>
  <c r="V337" i="3"/>
  <c r="F337" i="3"/>
  <c r="R337" i="3"/>
  <c r="P337" i="3"/>
  <c r="H337" i="3"/>
  <c r="AI337" i="3"/>
  <c r="AG337" i="3"/>
  <c r="X337" i="3"/>
  <c r="AF341" i="3" a="1"/>
  <c r="AF341" i="3" s="1"/>
  <c r="AL341" i="3"/>
  <c r="AC341" i="3"/>
  <c r="U341" i="3"/>
  <c r="M341" i="3"/>
  <c r="E341" i="3"/>
  <c r="AK341" i="3"/>
  <c r="AB341" i="3"/>
  <c r="T341" i="3"/>
  <c r="L341" i="3"/>
  <c r="D341" i="3"/>
  <c r="AJ341" i="3"/>
  <c r="AA341" i="3"/>
  <c r="S341" i="3"/>
  <c r="K341" i="3"/>
  <c r="AH341" i="3"/>
  <c r="Y341" i="3"/>
  <c r="Q341" i="3"/>
  <c r="I341" i="3"/>
  <c r="AE341" i="3"/>
  <c r="O341" i="3"/>
  <c r="AD341" i="3"/>
  <c r="N341" i="3"/>
  <c r="Z341" i="3"/>
  <c r="J341" i="3"/>
  <c r="AN341" i="3"/>
  <c r="W341" i="3"/>
  <c r="G341" i="3"/>
  <c r="AM341" i="3"/>
  <c r="V341" i="3"/>
  <c r="F341" i="3"/>
  <c r="AI341" i="3"/>
  <c r="AG341" i="3"/>
  <c r="X341" i="3"/>
  <c r="R341" i="3"/>
  <c r="P341" i="3"/>
  <c r="H341" i="3"/>
  <c r="AF345" i="3" a="1"/>
  <c r="AF345" i="3" s="1"/>
  <c r="AL345" i="3"/>
  <c r="AC345" i="3"/>
  <c r="U345" i="3"/>
  <c r="M345" i="3"/>
  <c r="E345" i="3"/>
  <c r="AK345" i="3"/>
  <c r="AB345" i="3"/>
  <c r="T345" i="3"/>
  <c r="L345" i="3"/>
  <c r="D345" i="3"/>
  <c r="AJ345" i="3"/>
  <c r="AA345" i="3"/>
  <c r="S345" i="3"/>
  <c r="K345" i="3"/>
  <c r="AI345" i="3"/>
  <c r="Z345" i="3"/>
  <c r="R345" i="3"/>
  <c r="J345" i="3"/>
  <c r="AH345" i="3"/>
  <c r="Y345" i="3"/>
  <c r="Q345" i="3"/>
  <c r="I345" i="3"/>
  <c r="AG345" i="3"/>
  <c r="N345" i="3"/>
  <c r="AE345" i="3"/>
  <c r="H345" i="3"/>
  <c r="AD345" i="3"/>
  <c r="G345" i="3"/>
  <c r="W345" i="3"/>
  <c r="V345" i="3"/>
  <c r="AN345" i="3"/>
  <c r="AM345" i="3"/>
  <c r="X345" i="3"/>
  <c r="P345" i="3"/>
  <c r="O345" i="3"/>
  <c r="F345" i="3"/>
  <c r="AF349" i="3" a="1"/>
  <c r="AF349" i="3" s="1"/>
  <c r="AL349" i="3"/>
  <c r="AC349" i="3"/>
  <c r="U349" i="3"/>
  <c r="M349" i="3"/>
  <c r="E349" i="3"/>
  <c r="AK349" i="3"/>
  <c r="AB349" i="3"/>
  <c r="T349" i="3"/>
  <c r="L349" i="3"/>
  <c r="D349" i="3"/>
  <c r="AJ349" i="3"/>
  <c r="AA349" i="3"/>
  <c r="S349" i="3"/>
  <c r="K349" i="3"/>
  <c r="AI349" i="3"/>
  <c r="Z349" i="3"/>
  <c r="R349" i="3"/>
  <c r="J349" i="3"/>
  <c r="AH349" i="3"/>
  <c r="Y349" i="3"/>
  <c r="Q349" i="3"/>
  <c r="I349" i="3"/>
  <c r="AN349" i="3"/>
  <c r="P349" i="3"/>
  <c r="AM349" i="3"/>
  <c r="O349" i="3"/>
  <c r="AG349" i="3"/>
  <c r="N349" i="3"/>
  <c r="AD349" i="3"/>
  <c r="G349" i="3"/>
  <c r="X349" i="3"/>
  <c r="F349" i="3"/>
  <c r="W349" i="3"/>
  <c r="V349" i="3"/>
  <c r="H349" i="3"/>
  <c r="AE349" i="3"/>
  <c r="AF353" i="3" a="1"/>
  <c r="AF353" i="3" s="1"/>
  <c r="AL353" i="3"/>
  <c r="AC353" i="3"/>
  <c r="U353" i="3"/>
  <c r="M353" i="3"/>
  <c r="E353" i="3"/>
  <c r="AK353" i="3"/>
  <c r="AB353" i="3"/>
  <c r="T353" i="3"/>
  <c r="L353" i="3"/>
  <c r="D353" i="3"/>
  <c r="AJ353" i="3"/>
  <c r="AA353" i="3"/>
  <c r="S353" i="3"/>
  <c r="K353" i="3"/>
  <c r="AI353" i="3"/>
  <c r="Z353" i="3"/>
  <c r="R353" i="3"/>
  <c r="J353" i="3"/>
  <c r="AH353" i="3"/>
  <c r="Y353" i="3"/>
  <c r="Q353" i="3"/>
  <c r="I353" i="3"/>
  <c r="W353" i="3"/>
  <c r="V353" i="3"/>
  <c r="AN353" i="3"/>
  <c r="P353" i="3"/>
  <c r="AG353" i="3"/>
  <c r="N353" i="3"/>
  <c r="AE353" i="3"/>
  <c r="H353" i="3"/>
  <c r="AM353" i="3"/>
  <c r="AD353" i="3"/>
  <c r="X353" i="3"/>
  <c r="O353" i="3"/>
  <c r="G353" i="3"/>
  <c r="F353" i="3"/>
  <c r="AF357" i="3" a="1"/>
  <c r="AF357" i="3" s="1"/>
  <c r="AL357" i="3"/>
  <c r="AC357" i="3"/>
  <c r="U357" i="3"/>
  <c r="M357" i="3"/>
  <c r="E357" i="3"/>
  <c r="AK357" i="3"/>
  <c r="AB357" i="3"/>
  <c r="T357" i="3"/>
  <c r="L357" i="3"/>
  <c r="D357" i="3"/>
  <c r="AJ357" i="3"/>
  <c r="AA357" i="3"/>
  <c r="S357" i="3"/>
  <c r="K357" i="3"/>
  <c r="AI357" i="3"/>
  <c r="Z357" i="3"/>
  <c r="R357" i="3"/>
  <c r="J357" i="3"/>
  <c r="AH357" i="3"/>
  <c r="Y357" i="3"/>
  <c r="Q357" i="3"/>
  <c r="I357" i="3"/>
  <c r="AD357" i="3"/>
  <c r="G357" i="3"/>
  <c r="X357" i="3"/>
  <c r="F357" i="3"/>
  <c r="W357" i="3"/>
  <c r="AN357" i="3"/>
  <c r="P357" i="3"/>
  <c r="AM357" i="3"/>
  <c r="O357" i="3"/>
  <c r="V357" i="3"/>
  <c r="N357" i="3"/>
  <c r="H357" i="3"/>
  <c r="AG357" i="3"/>
  <c r="AE357" i="3"/>
  <c r="AF361" i="3" a="1"/>
  <c r="AF361" i="3" s="1"/>
  <c r="AL361" i="3"/>
  <c r="AC361" i="3"/>
  <c r="U361" i="3"/>
  <c r="M361" i="3"/>
  <c r="E361" i="3"/>
  <c r="AK361" i="3"/>
  <c r="AB361" i="3"/>
  <c r="T361" i="3"/>
  <c r="L361" i="3"/>
  <c r="D361" i="3"/>
  <c r="AJ361" i="3"/>
  <c r="AA361" i="3"/>
  <c r="S361" i="3"/>
  <c r="K361" i="3"/>
  <c r="AI361" i="3"/>
  <c r="Z361" i="3"/>
  <c r="R361" i="3"/>
  <c r="J361" i="3"/>
  <c r="AH361" i="3"/>
  <c r="Y361" i="3"/>
  <c r="Q361" i="3"/>
  <c r="I361" i="3"/>
  <c r="AG361" i="3"/>
  <c r="N361" i="3"/>
  <c r="AE361" i="3"/>
  <c r="H361" i="3"/>
  <c r="AD361" i="3"/>
  <c r="G361" i="3"/>
  <c r="W361" i="3"/>
  <c r="V361" i="3"/>
  <c r="AN361" i="3"/>
  <c r="AM361" i="3"/>
  <c r="X361" i="3"/>
  <c r="P361" i="3"/>
  <c r="O361" i="3"/>
  <c r="F361" i="3"/>
  <c r="AF365" i="3" a="1"/>
  <c r="AF365" i="3" s="1"/>
  <c r="AL365" i="3"/>
  <c r="AC365" i="3"/>
  <c r="U365" i="3"/>
  <c r="M365" i="3"/>
  <c r="E365" i="3"/>
  <c r="AK365" i="3"/>
  <c r="AB365" i="3"/>
  <c r="T365" i="3"/>
  <c r="L365" i="3"/>
  <c r="D365" i="3"/>
  <c r="AJ365" i="3"/>
  <c r="AA365" i="3"/>
  <c r="S365" i="3"/>
  <c r="K365" i="3"/>
  <c r="AI365" i="3"/>
  <c r="Z365" i="3"/>
  <c r="R365" i="3"/>
  <c r="J365" i="3"/>
  <c r="AH365" i="3"/>
  <c r="Y365" i="3"/>
  <c r="Q365" i="3"/>
  <c r="I365" i="3"/>
  <c r="AN365" i="3"/>
  <c r="P365" i="3"/>
  <c r="AM365" i="3"/>
  <c r="O365" i="3"/>
  <c r="AG365" i="3"/>
  <c r="N365" i="3"/>
  <c r="AD365" i="3"/>
  <c r="G365" i="3"/>
  <c r="X365" i="3"/>
  <c r="F365" i="3"/>
  <c r="V365" i="3"/>
  <c r="H365" i="3"/>
  <c r="AE365" i="3"/>
  <c r="W365" i="3"/>
  <c r="AF369" i="3" a="1"/>
  <c r="AF369" i="3" s="1"/>
  <c r="AL369" i="3"/>
  <c r="AC369" i="3"/>
  <c r="U369" i="3"/>
  <c r="M369" i="3"/>
  <c r="E369" i="3"/>
  <c r="AK369" i="3"/>
  <c r="AB369" i="3"/>
  <c r="T369" i="3"/>
  <c r="L369" i="3"/>
  <c r="D369" i="3"/>
  <c r="AJ369" i="3"/>
  <c r="AA369" i="3"/>
  <c r="S369" i="3"/>
  <c r="K369" i="3"/>
  <c r="AI369" i="3"/>
  <c r="Z369" i="3"/>
  <c r="R369" i="3"/>
  <c r="J369" i="3"/>
  <c r="AH369" i="3"/>
  <c r="Y369" i="3"/>
  <c r="Q369" i="3"/>
  <c r="I369" i="3"/>
  <c r="W369" i="3"/>
  <c r="V369" i="3"/>
  <c r="AN369" i="3"/>
  <c r="P369" i="3"/>
  <c r="AG369" i="3"/>
  <c r="N369" i="3"/>
  <c r="AE369" i="3"/>
  <c r="H369" i="3"/>
  <c r="AM369" i="3"/>
  <c r="AD369" i="3"/>
  <c r="X369" i="3"/>
  <c r="O369" i="3"/>
  <c r="G369" i="3"/>
  <c r="F369" i="3"/>
  <c r="AF373" i="3" a="1"/>
  <c r="AF373" i="3" s="1"/>
  <c r="AL373" i="3"/>
  <c r="AC373" i="3"/>
  <c r="U373" i="3"/>
  <c r="M373" i="3"/>
  <c r="E373" i="3"/>
  <c r="AK373" i="3"/>
  <c r="AB373" i="3"/>
  <c r="T373" i="3"/>
  <c r="L373" i="3"/>
  <c r="D373" i="3"/>
  <c r="AJ373" i="3"/>
  <c r="AA373" i="3"/>
  <c r="S373" i="3"/>
  <c r="K373" i="3"/>
  <c r="AI373" i="3"/>
  <c r="Z373" i="3"/>
  <c r="R373" i="3"/>
  <c r="J373" i="3"/>
  <c r="AH373" i="3"/>
  <c r="Y373" i="3"/>
  <c r="Q373" i="3"/>
  <c r="I373" i="3"/>
  <c r="AD373" i="3"/>
  <c r="G373" i="3"/>
  <c r="X373" i="3"/>
  <c r="F373" i="3"/>
  <c r="W373" i="3"/>
  <c r="AN373" i="3"/>
  <c r="P373" i="3"/>
  <c r="AM373" i="3"/>
  <c r="O373" i="3"/>
  <c r="N373" i="3"/>
  <c r="H373" i="3"/>
  <c r="AG373" i="3"/>
  <c r="AE373" i="3"/>
  <c r="V373" i="3"/>
  <c r="AF377" i="3" a="1"/>
  <c r="AF377" i="3" s="1"/>
  <c r="AL377" i="3"/>
  <c r="AC377" i="3"/>
  <c r="U377" i="3"/>
  <c r="M377" i="3"/>
  <c r="E377" i="3"/>
  <c r="AK377" i="3"/>
  <c r="AB377" i="3"/>
  <c r="T377" i="3"/>
  <c r="L377" i="3"/>
  <c r="D377" i="3"/>
  <c r="AJ377" i="3"/>
  <c r="AA377" i="3"/>
  <c r="S377" i="3"/>
  <c r="K377" i="3"/>
  <c r="AI377" i="3"/>
  <c r="Z377" i="3"/>
  <c r="R377" i="3"/>
  <c r="J377" i="3"/>
  <c r="AH377" i="3"/>
  <c r="Y377" i="3"/>
  <c r="Q377" i="3"/>
  <c r="I377" i="3"/>
  <c r="AG377" i="3"/>
  <c r="X377" i="3"/>
  <c r="P377" i="3"/>
  <c r="H377" i="3"/>
  <c r="AE377" i="3"/>
  <c r="AD377" i="3"/>
  <c r="W377" i="3"/>
  <c r="V377" i="3"/>
  <c r="O377" i="3"/>
  <c r="AN377" i="3"/>
  <c r="N377" i="3"/>
  <c r="G377" i="3"/>
  <c r="AM377" i="3"/>
  <c r="F377" i="3"/>
  <c r="AF381" i="3" a="1"/>
  <c r="AF381" i="3" s="1"/>
  <c r="AL381" i="3"/>
  <c r="AC381" i="3"/>
  <c r="U381" i="3"/>
  <c r="M381" i="3"/>
  <c r="E381" i="3"/>
  <c r="AK381" i="3"/>
  <c r="AB381" i="3"/>
  <c r="T381" i="3"/>
  <c r="L381" i="3"/>
  <c r="D381" i="3"/>
  <c r="AJ381" i="3"/>
  <c r="AA381" i="3"/>
  <c r="S381" i="3"/>
  <c r="K381" i="3"/>
  <c r="AI381" i="3"/>
  <c r="Z381" i="3"/>
  <c r="R381" i="3"/>
  <c r="J381" i="3"/>
  <c r="AH381" i="3"/>
  <c r="Y381" i="3"/>
  <c r="Q381" i="3"/>
  <c r="I381" i="3"/>
  <c r="AG381" i="3"/>
  <c r="X381" i="3"/>
  <c r="P381" i="3"/>
  <c r="H381" i="3"/>
  <c r="O381" i="3"/>
  <c r="N381" i="3"/>
  <c r="AN381" i="3"/>
  <c r="G381" i="3"/>
  <c r="AM381" i="3"/>
  <c r="F381" i="3"/>
  <c r="AE381" i="3"/>
  <c r="AD381" i="3"/>
  <c r="W381" i="3"/>
  <c r="V381" i="3"/>
  <c r="AF385" i="3" a="1"/>
  <c r="AF385" i="3" s="1"/>
  <c r="AL385" i="3"/>
  <c r="AC385" i="3"/>
  <c r="U385" i="3"/>
  <c r="M385" i="3"/>
  <c r="E385" i="3"/>
  <c r="AK385" i="3"/>
  <c r="AB385" i="3"/>
  <c r="T385" i="3"/>
  <c r="L385" i="3"/>
  <c r="D385" i="3"/>
  <c r="AJ385" i="3"/>
  <c r="AA385" i="3"/>
  <c r="S385" i="3"/>
  <c r="K385" i="3"/>
  <c r="AI385" i="3"/>
  <c r="Z385" i="3"/>
  <c r="R385" i="3"/>
  <c r="J385" i="3"/>
  <c r="AH385" i="3"/>
  <c r="Y385" i="3"/>
  <c r="Q385" i="3"/>
  <c r="I385" i="3"/>
  <c r="AG385" i="3"/>
  <c r="X385" i="3"/>
  <c r="P385" i="3"/>
  <c r="H385" i="3"/>
  <c r="AE385" i="3"/>
  <c r="AD385" i="3"/>
  <c r="W385" i="3"/>
  <c r="V385" i="3"/>
  <c r="O385" i="3"/>
  <c r="AM385" i="3"/>
  <c r="N385" i="3"/>
  <c r="G385" i="3"/>
  <c r="AN385" i="3"/>
  <c r="F385" i="3"/>
  <c r="AF389" i="3" a="1"/>
  <c r="AF389" i="3" s="1"/>
  <c r="AL389" i="3"/>
  <c r="AC389" i="3"/>
  <c r="U389" i="3"/>
  <c r="M389" i="3"/>
  <c r="E389" i="3"/>
  <c r="AK389" i="3"/>
  <c r="AB389" i="3"/>
  <c r="T389" i="3"/>
  <c r="L389" i="3"/>
  <c r="D389" i="3"/>
  <c r="AJ389" i="3"/>
  <c r="AA389" i="3"/>
  <c r="S389" i="3"/>
  <c r="K389" i="3"/>
  <c r="AI389" i="3"/>
  <c r="Z389" i="3"/>
  <c r="R389" i="3"/>
  <c r="J389" i="3"/>
  <c r="AH389" i="3"/>
  <c r="Y389" i="3"/>
  <c r="Q389" i="3"/>
  <c r="I389" i="3"/>
  <c r="AG389" i="3"/>
  <c r="X389" i="3"/>
  <c r="P389" i="3"/>
  <c r="H389" i="3"/>
  <c r="O389" i="3"/>
  <c r="N389" i="3"/>
  <c r="AN389" i="3"/>
  <c r="G389" i="3"/>
  <c r="AM389" i="3"/>
  <c r="F389" i="3"/>
  <c r="AE389" i="3"/>
  <c r="AD389" i="3"/>
  <c r="V389" i="3"/>
  <c r="W389" i="3"/>
  <c r="AF393" i="3" a="1"/>
  <c r="AF393" i="3" s="1"/>
  <c r="AL393" i="3"/>
  <c r="AC393" i="3"/>
  <c r="U393" i="3"/>
  <c r="M393" i="3"/>
  <c r="E393" i="3"/>
  <c r="AK393" i="3"/>
  <c r="AB393" i="3"/>
  <c r="T393" i="3"/>
  <c r="L393" i="3"/>
  <c r="D393" i="3"/>
  <c r="AJ393" i="3"/>
  <c r="AA393" i="3"/>
  <c r="S393" i="3"/>
  <c r="K393" i="3"/>
  <c r="AI393" i="3"/>
  <c r="Z393" i="3"/>
  <c r="R393" i="3"/>
  <c r="J393" i="3"/>
  <c r="AH393" i="3"/>
  <c r="Y393" i="3"/>
  <c r="Q393" i="3"/>
  <c r="I393" i="3"/>
  <c r="AG393" i="3"/>
  <c r="X393" i="3"/>
  <c r="P393" i="3"/>
  <c r="H393" i="3"/>
  <c r="AE393" i="3"/>
  <c r="AD393" i="3"/>
  <c r="W393" i="3"/>
  <c r="V393" i="3"/>
  <c r="O393" i="3"/>
  <c r="F393" i="3"/>
  <c r="AN393" i="3"/>
  <c r="AM393" i="3"/>
  <c r="N393" i="3"/>
  <c r="G393" i="3"/>
  <c r="AF397" i="3" a="1"/>
  <c r="AF397" i="3" s="1"/>
  <c r="AL397" i="3"/>
  <c r="AC397" i="3"/>
  <c r="U397" i="3"/>
  <c r="M397" i="3"/>
  <c r="E397" i="3"/>
  <c r="AK397" i="3"/>
  <c r="AB397" i="3"/>
  <c r="T397" i="3"/>
  <c r="L397" i="3"/>
  <c r="D397" i="3"/>
  <c r="AJ397" i="3"/>
  <c r="AA397" i="3"/>
  <c r="S397" i="3"/>
  <c r="K397" i="3"/>
  <c r="AI397" i="3"/>
  <c r="Z397" i="3"/>
  <c r="R397" i="3"/>
  <c r="J397" i="3"/>
  <c r="AH397" i="3"/>
  <c r="Y397" i="3"/>
  <c r="Q397" i="3"/>
  <c r="I397" i="3"/>
  <c r="AG397" i="3"/>
  <c r="X397" i="3"/>
  <c r="P397" i="3"/>
  <c r="H397" i="3"/>
  <c r="O397" i="3"/>
  <c r="N397" i="3"/>
  <c r="AN397" i="3"/>
  <c r="G397" i="3"/>
  <c r="AM397" i="3"/>
  <c r="F397" i="3"/>
  <c r="AE397" i="3"/>
  <c r="W397" i="3"/>
  <c r="V397" i="3"/>
  <c r="AD397" i="3"/>
  <c r="AF401" i="3" a="1"/>
  <c r="AF401" i="3" s="1"/>
  <c r="AL401" i="3"/>
  <c r="AC401" i="3"/>
  <c r="U401" i="3"/>
  <c r="M401" i="3"/>
  <c r="E401" i="3"/>
  <c r="AK401" i="3"/>
  <c r="AB401" i="3"/>
  <c r="T401" i="3"/>
  <c r="L401" i="3"/>
  <c r="D401" i="3"/>
  <c r="AJ401" i="3"/>
  <c r="AA401" i="3"/>
  <c r="S401" i="3"/>
  <c r="K401" i="3"/>
  <c r="AI401" i="3"/>
  <c r="Z401" i="3"/>
  <c r="R401" i="3"/>
  <c r="J401" i="3"/>
  <c r="AH401" i="3"/>
  <c r="Y401" i="3"/>
  <c r="Q401" i="3"/>
  <c r="I401" i="3"/>
  <c r="AG401" i="3"/>
  <c r="X401" i="3"/>
  <c r="P401" i="3"/>
  <c r="H401" i="3"/>
  <c r="AE401" i="3"/>
  <c r="AD401" i="3"/>
  <c r="W401" i="3"/>
  <c r="V401" i="3"/>
  <c r="O401" i="3"/>
  <c r="AN401" i="3"/>
  <c r="AM401" i="3"/>
  <c r="G401" i="3"/>
  <c r="F401" i="3"/>
  <c r="N401" i="3"/>
  <c r="AF405" i="3" a="1"/>
  <c r="AF405" i="3" s="1"/>
  <c r="AL405" i="3"/>
  <c r="AC405" i="3"/>
  <c r="U405" i="3"/>
  <c r="M405" i="3"/>
  <c r="E405" i="3"/>
  <c r="AK405" i="3"/>
  <c r="AB405" i="3"/>
  <c r="T405" i="3"/>
  <c r="L405" i="3"/>
  <c r="D405" i="3"/>
  <c r="AJ405" i="3"/>
  <c r="AA405" i="3"/>
  <c r="S405" i="3"/>
  <c r="K405" i="3"/>
  <c r="AI405" i="3"/>
  <c r="Z405" i="3"/>
  <c r="R405" i="3"/>
  <c r="J405" i="3"/>
  <c r="AH405" i="3"/>
  <c r="Y405" i="3"/>
  <c r="Q405" i="3"/>
  <c r="I405" i="3"/>
  <c r="AG405" i="3"/>
  <c r="X405" i="3"/>
  <c r="P405" i="3"/>
  <c r="H405" i="3"/>
  <c r="O405" i="3"/>
  <c r="N405" i="3"/>
  <c r="AN405" i="3"/>
  <c r="G405" i="3"/>
  <c r="AM405" i="3"/>
  <c r="F405" i="3"/>
  <c r="AE405" i="3"/>
  <c r="AD405" i="3"/>
  <c r="W405" i="3"/>
  <c r="V405" i="3"/>
  <c r="AF409" i="3" a="1"/>
  <c r="AF409" i="3" s="1"/>
  <c r="AL409" i="3"/>
  <c r="AC409" i="3"/>
  <c r="U409" i="3"/>
  <c r="M409" i="3"/>
  <c r="E409" i="3"/>
  <c r="AK409" i="3"/>
  <c r="AB409" i="3"/>
  <c r="T409" i="3"/>
  <c r="L409" i="3"/>
  <c r="D409" i="3"/>
  <c r="AJ409" i="3"/>
  <c r="AA409" i="3"/>
  <c r="S409" i="3"/>
  <c r="K409" i="3"/>
  <c r="AI409" i="3"/>
  <c r="Z409" i="3"/>
  <c r="R409" i="3"/>
  <c r="J409" i="3"/>
  <c r="AH409" i="3"/>
  <c r="Y409" i="3"/>
  <c r="Q409" i="3"/>
  <c r="I409" i="3"/>
  <c r="AG409" i="3"/>
  <c r="X409" i="3"/>
  <c r="P409" i="3"/>
  <c r="H409" i="3"/>
  <c r="AE409" i="3"/>
  <c r="AD409" i="3"/>
  <c r="W409" i="3"/>
  <c r="V409" i="3"/>
  <c r="O409" i="3"/>
  <c r="N409" i="3"/>
  <c r="G409" i="3"/>
  <c r="F409" i="3"/>
  <c r="AN409" i="3"/>
  <c r="AM409" i="3"/>
  <c r="AF413" i="3" a="1"/>
  <c r="AF413" i="3" s="1"/>
  <c r="AL413" i="3"/>
  <c r="AC413" i="3"/>
  <c r="U413" i="3"/>
  <c r="M413" i="3"/>
  <c r="E413" i="3"/>
  <c r="AK413" i="3"/>
  <c r="AB413" i="3"/>
  <c r="T413" i="3"/>
  <c r="L413" i="3"/>
  <c r="D413" i="3"/>
  <c r="AJ413" i="3"/>
  <c r="AA413" i="3"/>
  <c r="S413" i="3"/>
  <c r="K413" i="3"/>
  <c r="AI413" i="3"/>
  <c r="Z413" i="3"/>
  <c r="R413" i="3"/>
  <c r="J413" i="3"/>
  <c r="AH413" i="3"/>
  <c r="Y413" i="3"/>
  <c r="Q413" i="3"/>
  <c r="I413" i="3"/>
  <c r="AG413" i="3"/>
  <c r="X413" i="3"/>
  <c r="P413" i="3"/>
  <c r="H413" i="3"/>
  <c r="O413" i="3"/>
  <c r="N413" i="3"/>
  <c r="AN413" i="3"/>
  <c r="G413" i="3"/>
  <c r="AM413" i="3"/>
  <c r="F413" i="3"/>
  <c r="AE413" i="3"/>
  <c r="AD413" i="3"/>
  <c r="W413" i="3"/>
  <c r="V413" i="3"/>
  <c r="AF417" i="3" a="1"/>
  <c r="AF417" i="3" s="1"/>
  <c r="AL417" i="3"/>
  <c r="AC417" i="3"/>
  <c r="U417" i="3"/>
  <c r="M417" i="3"/>
  <c r="E417" i="3"/>
  <c r="AK417" i="3"/>
  <c r="AB417" i="3"/>
  <c r="T417" i="3"/>
  <c r="L417" i="3"/>
  <c r="D417" i="3"/>
  <c r="AJ417" i="3"/>
  <c r="AA417" i="3"/>
  <c r="S417" i="3"/>
  <c r="K417" i="3"/>
  <c r="AI417" i="3"/>
  <c r="Z417" i="3"/>
  <c r="R417" i="3"/>
  <c r="J417" i="3"/>
  <c r="AH417" i="3"/>
  <c r="Y417" i="3"/>
  <c r="Q417" i="3"/>
  <c r="I417" i="3"/>
  <c r="AG417" i="3"/>
  <c r="X417" i="3"/>
  <c r="P417" i="3"/>
  <c r="H417" i="3"/>
  <c r="AE417" i="3"/>
  <c r="AD417" i="3"/>
  <c r="W417" i="3"/>
  <c r="V417" i="3"/>
  <c r="O417" i="3"/>
  <c r="AM417" i="3"/>
  <c r="N417" i="3"/>
  <c r="AN417" i="3"/>
  <c r="G417" i="3"/>
  <c r="F417" i="3"/>
  <c r="AF421" i="3" a="1"/>
  <c r="AF421" i="3" s="1"/>
  <c r="AL421" i="3"/>
  <c r="AC421" i="3"/>
  <c r="U421" i="3"/>
  <c r="M421" i="3"/>
  <c r="E421" i="3"/>
  <c r="AK421" i="3"/>
  <c r="AB421" i="3"/>
  <c r="T421" i="3"/>
  <c r="L421" i="3"/>
  <c r="D421" i="3"/>
  <c r="AJ421" i="3"/>
  <c r="AA421" i="3"/>
  <c r="S421" i="3"/>
  <c r="K421" i="3"/>
  <c r="AI421" i="3"/>
  <c r="Z421" i="3"/>
  <c r="R421" i="3"/>
  <c r="J421" i="3"/>
  <c r="AH421" i="3"/>
  <c r="Y421" i="3"/>
  <c r="Q421" i="3"/>
  <c r="I421" i="3"/>
  <c r="AG421" i="3"/>
  <c r="X421" i="3"/>
  <c r="P421" i="3"/>
  <c r="H421" i="3"/>
  <c r="O421" i="3"/>
  <c r="N421" i="3"/>
  <c r="AN421" i="3"/>
  <c r="G421" i="3"/>
  <c r="AM421" i="3"/>
  <c r="F421" i="3"/>
  <c r="AE421" i="3"/>
  <c r="V421" i="3"/>
  <c r="AD421" i="3"/>
  <c r="W421" i="3"/>
  <c r="AF425" i="3" a="1"/>
  <c r="AF425" i="3" s="1"/>
  <c r="AL425" i="3"/>
  <c r="AC425" i="3"/>
  <c r="U425" i="3"/>
  <c r="M425" i="3"/>
  <c r="E425" i="3"/>
  <c r="AK425" i="3"/>
  <c r="AB425" i="3"/>
  <c r="T425" i="3"/>
  <c r="L425" i="3"/>
  <c r="D425" i="3"/>
  <c r="AJ425" i="3"/>
  <c r="AA425" i="3"/>
  <c r="S425" i="3"/>
  <c r="K425" i="3"/>
  <c r="AI425" i="3"/>
  <c r="Z425" i="3"/>
  <c r="R425" i="3"/>
  <c r="J425" i="3"/>
  <c r="AH425" i="3"/>
  <c r="Y425" i="3"/>
  <c r="Q425" i="3"/>
  <c r="I425" i="3"/>
  <c r="AG425" i="3"/>
  <c r="X425" i="3"/>
  <c r="P425" i="3"/>
  <c r="H425" i="3"/>
  <c r="AE425" i="3"/>
  <c r="AD425" i="3"/>
  <c r="W425" i="3"/>
  <c r="V425" i="3"/>
  <c r="O425" i="3"/>
  <c r="AN425" i="3"/>
  <c r="AM425" i="3"/>
  <c r="N425" i="3"/>
  <c r="F425" i="3"/>
  <c r="G425" i="3"/>
  <c r="AF429" i="3" a="1"/>
  <c r="AF429" i="3" s="1"/>
  <c r="AL429" i="3"/>
  <c r="AC429" i="3"/>
  <c r="U429" i="3"/>
  <c r="M429" i="3"/>
  <c r="E429" i="3"/>
  <c r="AK429" i="3"/>
  <c r="AB429" i="3"/>
  <c r="T429" i="3"/>
  <c r="L429" i="3"/>
  <c r="D429" i="3"/>
  <c r="AJ429" i="3"/>
  <c r="AA429" i="3"/>
  <c r="S429" i="3"/>
  <c r="K429" i="3"/>
  <c r="AI429" i="3"/>
  <c r="Z429" i="3"/>
  <c r="R429" i="3"/>
  <c r="J429" i="3"/>
  <c r="AH429" i="3"/>
  <c r="Y429" i="3"/>
  <c r="Q429" i="3"/>
  <c r="I429" i="3"/>
  <c r="AG429" i="3"/>
  <c r="X429" i="3"/>
  <c r="P429" i="3"/>
  <c r="H429" i="3"/>
  <c r="O429" i="3"/>
  <c r="N429" i="3"/>
  <c r="AN429" i="3"/>
  <c r="G429" i="3"/>
  <c r="AM429" i="3"/>
  <c r="F429" i="3"/>
  <c r="AE429" i="3"/>
  <c r="W429" i="3"/>
  <c r="V429" i="3"/>
  <c r="AD429" i="3"/>
  <c r="AF433" i="3" a="1"/>
  <c r="AF433" i="3" s="1"/>
  <c r="AI433" i="3"/>
  <c r="Z433" i="3"/>
  <c r="R433" i="3"/>
  <c r="J433" i="3"/>
  <c r="AH433" i="3"/>
  <c r="Y433" i="3"/>
  <c r="Q433" i="3"/>
  <c r="I433" i="3"/>
  <c r="AG433" i="3"/>
  <c r="X433" i="3"/>
  <c r="P433" i="3"/>
  <c r="H433" i="3"/>
  <c r="AM433" i="3"/>
  <c r="AD433" i="3"/>
  <c r="V433" i="3"/>
  <c r="N433" i="3"/>
  <c r="F433" i="3"/>
  <c r="AL433" i="3"/>
  <c r="AC433" i="3"/>
  <c r="U433" i="3"/>
  <c r="M433" i="3"/>
  <c r="E433" i="3"/>
  <c r="AB433" i="3"/>
  <c r="G433" i="3"/>
  <c r="AA433" i="3"/>
  <c r="D433" i="3"/>
  <c r="W433" i="3"/>
  <c r="T433" i="3"/>
  <c r="AN433" i="3"/>
  <c r="S433" i="3"/>
  <c r="AK433" i="3"/>
  <c r="O433" i="3"/>
  <c r="L433" i="3"/>
  <c r="K433" i="3"/>
  <c r="AE433" i="3"/>
  <c r="AJ433" i="3"/>
  <c r="AF437" i="3" a="1"/>
  <c r="AF437" i="3" s="1"/>
  <c r="AI437" i="3"/>
  <c r="Z437" i="3"/>
  <c r="R437" i="3"/>
  <c r="J437" i="3"/>
  <c r="AH437" i="3"/>
  <c r="Y437" i="3"/>
  <c r="Q437" i="3"/>
  <c r="I437" i="3"/>
  <c r="AG437" i="3"/>
  <c r="X437" i="3"/>
  <c r="P437" i="3"/>
  <c r="H437" i="3"/>
  <c r="AM437" i="3"/>
  <c r="AD437" i="3"/>
  <c r="V437" i="3"/>
  <c r="N437" i="3"/>
  <c r="F437" i="3"/>
  <c r="AL437" i="3"/>
  <c r="AC437" i="3"/>
  <c r="U437" i="3"/>
  <c r="M437" i="3"/>
  <c r="E437" i="3"/>
  <c r="AJ437" i="3"/>
  <c r="L437" i="3"/>
  <c r="AE437" i="3"/>
  <c r="K437" i="3"/>
  <c r="AB437" i="3"/>
  <c r="G437" i="3"/>
  <c r="AA437" i="3"/>
  <c r="D437" i="3"/>
  <c r="W437" i="3"/>
  <c r="T437" i="3"/>
  <c r="AN437" i="3"/>
  <c r="AK437" i="3"/>
  <c r="S437" i="3"/>
  <c r="O437" i="3"/>
  <c r="AF441" i="3" a="1"/>
  <c r="AF441" i="3" s="1"/>
  <c r="AI441" i="3"/>
  <c r="Z441" i="3"/>
  <c r="R441" i="3"/>
  <c r="J441" i="3"/>
  <c r="AH441" i="3"/>
  <c r="Y441" i="3"/>
  <c r="Q441" i="3"/>
  <c r="I441" i="3"/>
  <c r="AG441" i="3"/>
  <c r="X441" i="3"/>
  <c r="P441" i="3"/>
  <c r="H441" i="3"/>
  <c r="AM441" i="3"/>
  <c r="AD441" i="3"/>
  <c r="V441" i="3"/>
  <c r="N441" i="3"/>
  <c r="F441" i="3"/>
  <c r="AL441" i="3"/>
  <c r="AC441" i="3"/>
  <c r="U441" i="3"/>
  <c r="M441" i="3"/>
  <c r="E441" i="3"/>
  <c r="AN441" i="3"/>
  <c r="S441" i="3"/>
  <c r="AK441" i="3"/>
  <c r="O441" i="3"/>
  <c r="AJ441" i="3"/>
  <c r="L441" i="3"/>
  <c r="AE441" i="3"/>
  <c r="K441" i="3"/>
  <c r="AB441" i="3"/>
  <c r="G441" i="3"/>
  <c r="AA441" i="3"/>
  <c r="D441" i="3"/>
  <c r="W441" i="3"/>
  <c r="T441" i="3"/>
  <c r="AF445" i="3" a="1"/>
  <c r="AF445" i="3" s="1"/>
  <c r="AI445" i="3"/>
  <c r="Z445" i="3"/>
  <c r="R445" i="3"/>
  <c r="J445" i="3"/>
  <c r="AH445" i="3"/>
  <c r="Y445" i="3"/>
  <c r="Q445" i="3"/>
  <c r="I445" i="3"/>
  <c r="AG445" i="3"/>
  <c r="X445" i="3"/>
  <c r="P445" i="3"/>
  <c r="H445" i="3"/>
  <c r="AM445" i="3"/>
  <c r="AD445" i="3"/>
  <c r="V445" i="3"/>
  <c r="N445" i="3"/>
  <c r="F445" i="3"/>
  <c r="AL445" i="3"/>
  <c r="AC445" i="3"/>
  <c r="U445" i="3"/>
  <c r="M445" i="3"/>
  <c r="E445" i="3"/>
  <c r="W445" i="3"/>
  <c r="T445" i="3"/>
  <c r="AN445" i="3"/>
  <c r="S445" i="3"/>
  <c r="AK445" i="3"/>
  <c r="O445" i="3"/>
  <c r="AJ445" i="3"/>
  <c r="L445" i="3"/>
  <c r="AE445" i="3"/>
  <c r="K445" i="3"/>
  <c r="G445" i="3"/>
  <c r="D445" i="3"/>
  <c r="AB445" i="3"/>
  <c r="AA445" i="3"/>
  <c r="AF449" i="3" a="1"/>
  <c r="AF449" i="3" s="1"/>
  <c r="AI449" i="3"/>
  <c r="Z449" i="3"/>
  <c r="R449" i="3"/>
  <c r="J449" i="3"/>
  <c r="AH449" i="3"/>
  <c r="Y449" i="3"/>
  <c r="Q449" i="3"/>
  <c r="I449" i="3"/>
  <c r="AG449" i="3"/>
  <c r="X449" i="3"/>
  <c r="P449" i="3"/>
  <c r="H449" i="3"/>
  <c r="AM449" i="3"/>
  <c r="AD449" i="3"/>
  <c r="V449" i="3"/>
  <c r="N449" i="3"/>
  <c r="F449" i="3"/>
  <c r="AL449" i="3"/>
  <c r="AC449" i="3"/>
  <c r="U449" i="3"/>
  <c r="M449" i="3"/>
  <c r="E449" i="3"/>
  <c r="AB449" i="3"/>
  <c r="G449" i="3"/>
  <c r="AA449" i="3"/>
  <c r="D449" i="3"/>
  <c r="W449" i="3"/>
  <c r="T449" i="3"/>
  <c r="AN449" i="3"/>
  <c r="S449" i="3"/>
  <c r="AK449" i="3"/>
  <c r="O449" i="3"/>
  <c r="AJ449" i="3"/>
  <c r="AE449" i="3"/>
  <c r="L449" i="3"/>
  <c r="K449" i="3"/>
  <c r="AF453" i="3" a="1"/>
  <c r="AF453" i="3" s="1"/>
  <c r="AI453" i="3"/>
  <c r="Z453" i="3"/>
  <c r="R453" i="3"/>
  <c r="J453" i="3"/>
  <c r="AH453" i="3"/>
  <c r="Y453" i="3"/>
  <c r="Q453" i="3"/>
  <c r="I453" i="3"/>
  <c r="AG453" i="3"/>
  <c r="X453" i="3"/>
  <c r="P453" i="3"/>
  <c r="H453" i="3"/>
  <c r="AN453" i="3"/>
  <c r="AE453" i="3"/>
  <c r="W453" i="3"/>
  <c r="O453" i="3"/>
  <c r="G453" i="3"/>
  <c r="AM453" i="3"/>
  <c r="AD453" i="3"/>
  <c r="V453" i="3"/>
  <c r="N453" i="3"/>
  <c r="F453" i="3"/>
  <c r="AL453" i="3"/>
  <c r="AC453" i="3"/>
  <c r="U453" i="3"/>
  <c r="M453" i="3"/>
  <c r="E453" i="3"/>
  <c r="T453" i="3"/>
  <c r="S453" i="3"/>
  <c r="L453" i="3"/>
  <c r="K453" i="3"/>
  <c r="AK453" i="3"/>
  <c r="D453" i="3"/>
  <c r="AJ453" i="3"/>
  <c r="AA453" i="3"/>
  <c r="AB453" i="3"/>
  <c r="AF457" i="3" a="1"/>
  <c r="AF457" i="3" s="1"/>
  <c r="AI457" i="3"/>
  <c r="Z457" i="3"/>
  <c r="R457" i="3"/>
  <c r="J457" i="3"/>
  <c r="AH457" i="3"/>
  <c r="Y457" i="3"/>
  <c r="Q457" i="3"/>
  <c r="I457" i="3"/>
  <c r="AG457" i="3"/>
  <c r="X457" i="3"/>
  <c r="P457" i="3"/>
  <c r="H457" i="3"/>
  <c r="AN457" i="3"/>
  <c r="AE457" i="3"/>
  <c r="W457" i="3"/>
  <c r="O457" i="3"/>
  <c r="G457" i="3"/>
  <c r="AM457" i="3"/>
  <c r="AD457" i="3"/>
  <c r="V457" i="3"/>
  <c r="N457" i="3"/>
  <c r="F457" i="3"/>
  <c r="AL457" i="3"/>
  <c r="AC457" i="3"/>
  <c r="U457" i="3"/>
  <c r="M457" i="3"/>
  <c r="E457" i="3"/>
  <c r="AK457" i="3"/>
  <c r="D457" i="3"/>
  <c r="AJ457" i="3"/>
  <c r="AB457" i="3"/>
  <c r="AA457" i="3"/>
  <c r="T457" i="3"/>
  <c r="S457" i="3"/>
  <c r="L457" i="3"/>
  <c r="K457" i="3"/>
  <c r="AF461" i="3" a="1"/>
  <c r="AF461" i="3" s="1"/>
  <c r="AI461" i="3"/>
  <c r="Z461" i="3"/>
  <c r="R461" i="3"/>
  <c r="J461" i="3"/>
  <c r="AH461" i="3"/>
  <c r="Y461" i="3"/>
  <c r="Q461" i="3"/>
  <c r="I461" i="3"/>
  <c r="AG461" i="3"/>
  <c r="X461" i="3"/>
  <c r="P461" i="3"/>
  <c r="H461" i="3"/>
  <c r="AN461" i="3"/>
  <c r="AE461" i="3"/>
  <c r="W461" i="3"/>
  <c r="O461" i="3"/>
  <c r="G461" i="3"/>
  <c r="AM461" i="3"/>
  <c r="AD461" i="3"/>
  <c r="V461" i="3"/>
  <c r="N461" i="3"/>
  <c r="F461" i="3"/>
  <c r="AL461" i="3"/>
  <c r="AC461" i="3"/>
  <c r="U461" i="3"/>
  <c r="M461" i="3"/>
  <c r="E461" i="3"/>
  <c r="T461" i="3"/>
  <c r="S461" i="3"/>
  <c r="L461" i="3"/>
  <c r="K461" i="3"/>
  <c r="AK461" i="3"/>
  <c r="D461" i="3"/>
  <c r="AJ461" i="3"/>
  <c r="AB461" i="3"/>
  <c r="AA461" i="3"/>
  <c r="AF465" i="3" a="1"/>
  <c r="AF465" i="3" s="1"/>
  <c r="AI465" i="3"/>
  <c r="Z465" i="3"/>
  <c r="R465" i="3"/>
  <c r="J465" i="3"/>
  <c r="AH465" i="3"/>
  <c r="Y465" i="3"/>
  <c r="Q465" i="3"/>
  <c r="I465" i="3"/>
  <c r="AG465" i="3"/>
  <c r="X465" i="3"/>
  <c r="P465" i="3"/>
  <c r="H465" i="3"/>
  <c r="AN465" i="3"/>
  <c r="AE465" i="3"/>
  <c r="W465" i="3"/>
  <c r="O465" i="3"/>
  <c r="G465" i="3"/>
  <c r="AM465" i="3"/>
  <c r="AD465" i="3"/>
  <c r="V465" i="3"/>
  <c r="N465" i="3"/>
  <c r="F465" i="3"/>
  <c r="AL465" i="3"/>
  <c r="AC465" i="3"/>
  <c r="U465" i="3"/>
  <c r="M465" i="3"/>
  <c r="E465" i="3"/>
  <c r="AK465" i="3"/>
  <c r="D465" i="3"/>
  <c r="AJ465" i="3"/>
  <c r="AB465" i="3"/>
  <c r="AA465" i="3"/>
  <c r="T465" i="3"/>
  <c r="S465" i="3"/>
  <c r="L465" i="3"/>
  <c r="K465" i="3"/>
  <c r="AF469" i="3" a="1"/>
  <c r="AF469" i="3" s="1"/>
  <c r="AI469" i="3"/>
  <c r="Z469" i="3"/>
  <c r="R469" i="3"/>
  <c r="J469" i="3"/>
  <c r="AH469" i="3"/>
  <c r="Y469" i="3"/>
  <c r="Q469" i="3"/>
  <c r="I469" i="3"/>
  <c r="AG469" i="3"/>
  <c r="X469" i="3"/>
  <c r="P469" i="3"/>
  <c r="H469" i="3"/>
  <c r="AN469" i="3"/>
  <c r="AE469" i="3"/>
  <c r="W469" i="3"/>
  <c r="O469" i="3"/>
  <c r="G469" i="3"/>
  <c r="AM469" i="3"/>
  <c r="AD469" i="3"/>
  <c r="V469" i="3"/>
  <c r="N469" i="3"/>
  <c r="F469" i="3"/>
  <c r="AL469" i="3"/>
  <c r="AC469" i="3"/>
  <c r="U469" i="3"/>
  <c r="M469" i="3"/>
  <c r="E469" i="3"/>
  <c r="T469" i="3"/>
  <c r="S469" i="3"/>
  <c r="L469" i="3"/>
  <c r="K469" i="3"/>
  <c r="AK469" i="3"/>
  <c r="D469" i="3"/>
  <c r="AJ469" i="3"/>
  <c r="AB469" i="3"/>
  <c r="AA469" i="3"/>
  <c r="AF473" i="3" a="1"/>
  <c r="AF473" i="3" s="1"/>
  <c r="AI473" i="3"/>
  <c r="Z473" i="3"/>
  <c r="R473" i="3"/>
  <c r="J473" i="3"/>
  <c r="AH473" i="3"/>
  <c r="Y473" i="3"/>
  <c r="Q473" i="3"/>
  <c r="I473" i="3"/>
  <c r="AG473" i="3"/>
  <c r="X473" i="3"/>
  <c r="P473" i="3"/>
  <c r="H473" i="3"/>
  <c r="AN473" i="3"/>
  <c r="AE473" i="3"/>
  <c r="W473" i="3"/>
  <c r="O473" i="3"/>
  <c r="G473" i="3"/>
  <c r="AM473" i="3"/>
  <c r="AD473" i="3"/>
  <c r="V473" i="3"/>
  <c r="N473" i="3"/>
  <c r="F473" i="3"/>
  <c r="AL473" i="3"/>
  <c r="AC473" i="3"/>
  <c r="U473" i="3"/>
  <c r="M473" i="3"/>
  <c r="E473" i="3"/>
  <c r="AK473" i="3"/>
  <c r="D473" i="3"/>
  <c r="AJ473" i="3"/>
  <c r="AB473" i="3"/>
  <c r="AA473" i="3"/>
  <c r="T473" i="3"/>
  <c r="S473" i="3"/>
  <c r="L473" i="3"/>
  <c r="K473" i="3"/>
  <c r="AF477" i="3" a="1"/>
  <c r="AF477" i="3" s="1"/>
  <c r="AI477" i="3"/>
  <c r="Z477" i="3"/>
  <c r="R477" i="3"/>
  <c r="J477" i="3"/>
  <c r="AH477" i="3"/>
  <c r="Y477" i="3"/>
  <c r="Q477" i="3"/>
  <c r="I477" i="3"/>
  <c r="AG477" i="3"/>
  <c r="X477" i="3"/>
  <c r="P477" i="3"/>
  <c r="H477" i="3"/>
  <c r="AN477" i="3"/>
  <c r="AE477" i="3"/>
  <c r="W477" i="3"/>
  <c r="O477" i="3"/>
  <c r="G477" i="3"/>
  <c r="AM477" i="3"/>
  <c r="AD477" i="3"/>
  <c r="V477" i="3"/>
  <c r="N477" i="3"/>
  <c r="F477" i="3"/>
  <c r="AL477" i="3"/>
  <c r="AC477" i="3"/>
  <c r="U477" i="3"/>
  <c r="M477" i="3"/>
  <c r="E477" i="3"/>
  <c r="T477" i="3"/>
  <c r="S477" i="3"/>
  <c r="L477" i="3"/>
  <c r="K477" i="3"/>
  <c r="AK477" i="3"/>
  <c r="D477" i="3"/>
  <c r="AJ477" i="3"/>
  <c r="AB477" i="3"/>
  <c r="AA477" i="3"/>
  <c r="AF481" i="3" a="1"/>
  <c r="AF481" i="3" s="1"/>
  <c r="AI481" i="3"/>
  <c r="Z481" i="3"/>
  <c r="R481" i="3"/>
  <c r="J481" i="3"/>
  <c r="AH481" i="3"/>
  <c r="Y481" i="3"/>
  <c r="Q481" i="3"/>
  <c r="I481" i="3"/>
  <c r="AG481" i="3"/>
  <c r="X481" i="3"/>
  <c r="P481" i="3"/>
  <c r="H481" i="3"/>
  <c r="AN481" i="3"/>
  <c r="AE481" i="3"/>
  <c r="W481" i="3"/>
  <c r="O481" i="3"/>
  <c r="G481" i="3"/>
  <c r="AM481" i="3"/>
  <c r="AD481" i="3"/>
  <c r="V481" i="3"/>
  <c r="N481" i="3"/>
  <c r="F481" i="3"/>
  <c r="AL481" i="3"/>
  <c r="AC481" i="3"/>
  <c r="U481" i="3"/>
  <c r="M481" i="3"/>
  <c r="E481" i="3"/>
  <c r="AK481" i="3"/>
  <c r="D481" i="3"/>
  <c r="AJ481" i="3"/>
  <c r="AB481" i="3"/>
  <c r="AA481" i="3"/>
  <c r="T481" i="3"/>
  <c r="S481" i="3"/>
  <c r="L481" i="3"/>
  <c r="K481" i="3"/>
  <c r="AF485" i="3" a="1"/>
  <c r="AF485" i="3" s="1"/>
  <c r="AI485" i="3"/>
  <c r="Z485" i="3"/>
  <c r="R485" i="3"/>
  <c r="J485" i="3"/>
  <c r="AH485" i="3"/>
  <c r="Y485" i="3"/>
  <c r="Q485" i="3"/>
  <c r="I485" i="3"/>
  <c r="AG485" i="3"/>
  <c r="X485" i="3"/>
  <c r="P485" i="3"/>
  <c r="H485" i="3"/>
  <c r="AN485" i="3"/>
  <c r="AE485" i="3"/>
  <c r="W485" i="3"/>
  <c r="O485" i="3"/>
  <c r="G485" i="3"/>
  <c r="AM485" i="3"/>
  <c r="AD485" i="3"/>
  <c r="V485" i="3"/>
  <c r="N485" i="3"/>
  <c r="F485" i="3"/>
  <c r="AL485" i="3"/>
  <c r="AC485" i="3"/>
  <c r="U485" i="3"/>
  <c r="M485" i="3"/>
  <c r="E485" i="3"/>
  <c r="T485" i="3"/>
  <c r="S485" i="3"/>
  <c r="L485" i="3"/>
  <c r="K485" i="3"/>
  <c r="AK485" i="3"/>
  <c r="D485" i="3"/>
  <c r="AJ485" i="3"/>
  <c r="AB485" i="3"/>
  <c r="AA485" i="3"/>
  <c r="AF489" i="3" a="1"/>
  <c r="AF489" i="3" s="1"/>
  <c r="AI489" i="3"/>
  <c r="Z489" i="3"/>
  <c r="R489" i="3"/>
  <c r="J489" i="3"/>
  <c r="AH489" i="3"/>
  <c r="Y489" i="3"/>
  <c r="Q489" i="3"/>
  <c r="I489" i="3"/>
  <c r="AG489" i="3"/>
  <c r="X489" i="3"/>
  <c r="P489" i="3"/>
  <c r="H489" i="3"/>
  <c r="AN489" i="3"/>
  <c r="AE489" i="3"/>
  <c r="W489" i="3"/>
  <c r="O489" i="3"/>
  <c r="G489" i="3"/>
  <c r="AM489" i="3"/>
  <c r="AD489" i="3"/>
  <c r="V489" i="3"/>
  <c r="N489" i="3"/>
  <c r="F489" i="3"/>
  <c r="AL489" i="3"/>
  <c r="AC489" i="3"/>
  <c r="U489" i="3"/>
  <c r="M489" i="3"/>
  <c r="E489" i="3"/>
  <c r="AK489" i="3"/>
  <c r="D489" i="3"/>
  <c r="AJ489" i="3"/>
  <c r="AB489" i="3"/>
  <c r="AA489" i="3"/>
  <c r="T489" i="3"/>
  <c r="S489" i="3"/>
  <c r="L489" i="3"/>
  <c r="K489" i="3"/>
  <c r="AF493" i="3" a="1"/>
  <c r="AF493" i="3" s="1"/>
  <c r="AI493" i="3"/>
  <c r="AG493" i="3"/>
  <c r="AM493" i="3"/>
  <c r="AK493" i="3"/>
  <c r="Z493" i="3"/>
  <c r="R493" i="3"/>
  <c r="J493" i="3"/>
  <c r="AJ493" i="3"/>
  <c r="Y493" i="3"/>
  <c r="Q493" i="3"/>
  <c r="I493" i="3"/>
  <c r="AH493" i="3"/>
  <c r="X493" i="3"/>
  <c r="P493" i="3"/>
  <c r="H493" i="3"/>
  <c r="AE493" i="3"/>
  <c r="W493" i="3"/>
  <c r="O493" i="3"/>
  <c r="G493" i="3"/>
  <c r="AD493" i="3"/>
  <c r="V493" i="3"/>
  <c r="N493" i="3"/>
  <c r="F493" i="3"/>
  <c r="AC493" i="3"/>
  <c r="U493" i="3"/>
  <c r="M493" i="3"/>
  <c r="E493" i="3"/>
  <c r="T493" i="3"/>
  <c r="S493" i="3"/>
  <c r="L493" i="3"/>
  <c r="K493" i="3"/>
  <c r="AN493" i="3"/>
  <c r="D493" i="3"/>
  <c r="AL493" i="3"/>
  <c r="AB493" i="3"/>
  <c r="AA493" i="3"/>
  <c r="AF497" i="3" a="1"/>
  <c r="AF497" i="3" s="1"/>
  <c r="AI497" i="3"/>
  <c r="Z497" i="3"/>
  <c r="R497" i="3"/>
  <c r="J497" i="3"/>
  <c r="AH497" i="3"/>
  <c r="Y497" i="3"/>
  <c r="Q497" i="3"/>
  <c r="I497" i="3"/>
  <c r="AG497" i="3"/>
  <c r="X497" i="3"/>
  <c r="P497" i="3"/>
  <c r="H497" i="3"/>
  <c r="AM497" i="3"/>
  <c r="AD497" i="3"/>
  <c r="V497" i="3"/>
  <c r="N497" i="3"/>
  <c r="F497" i="3"/>
  <c r="AL497" i="3"/>
  <c r="AC497" i="3"/>
  <c r="U497" i="3"/>
  <c r="M497" i="3"/>
  <c r="E497" i="3"/>
  <c r="AE497" i="3"/>
  <c r="K497" i="3"/>
  <c r="AB497" i="3"/>
  <c r="G497" i="3"/>
  <c r="AA497" i="3"/>
  <c r="D497" i="3"/>
  <c r="W497" i="3"/>
  <c r="T497" i="3"/>
  <c r="AN497" i="3"/>
  <c r="S497" i="3"/>
  <c r="O497" i="3"/>
  <c r="L497" i="3"/>
  <c r="AK497" i="3"/>
  <c r="AJ497" i="3"/>
  <c r="AF501" i="3" a="1"/>
  <c r="AF501" i="3" s="1"/>
  <c r="AI501" i="3"/>
  <c r="Z501" i="3"/>
  <c r="R501" i="3"/>
  <c r="J501" i="3"/>
  <c r="AH501" i="3"/>
  <c r="Y501" i="3"/>
  <c r="Q501" i="3"/>
  <c r="I501" i="3"/>
  <c r="AG501" i="3"/>
  <c r="X501" i="3"/>
  <c r="P501" i="3"/>
  <c r="H501" i="3"/>
  <c r="AM501" i="3"/>
  <c r="AD501" i="3"/>
  <c r="V501" i="3"/>
  <c r="N501" i="3"/>
  <c r="F501" i="3"/>
  <c r="AL501" i="3"/>
  <c r="AC501" i="3"/>
  <c r="U501" i="3"/>
  <c r="M501" i="3"/>
  <c r="E501" i="3"/>
  <c r="AK501" i="3"/>
  <c r="O501" i="3"/>
  <c r="AJ501" i="3"/>
  <c r="L501" i="3"/>
  <c r="AE501" i="3"/>
  <c r="K501" i="3"/>
  <c r="AB501" i="3"/>
  <c r="G501" i="3"/>
  <c r="AA501" i="3"/>
  <c r="D501" i="3"/>
  <c r="W501" i="3"/>
  <c r="AN501" i="3"/>
  <c r="T501" i="3"/>
  <c r="S501" i="3"/>
  <c r="AF505" i="3" a="1"/>
  <c r="AF505" i="3" s="1"/>
  <c r="AI505" i="3"/>
  <c r="Z505" i="3"/>
  <c r="R505" i="3"/>
  <c r="J505" i="3"/>
  <c r="AH505" i="3"/>
  <c r="Y505" i="3"/>
  <c r="Q505" i="3"/>
  <c r="I505" i="3"/>
  <c r="AG505" i="3"/>
  <c r="X505" i="3"/>
  <c r="P505" i="3"/>
  <c r="H505" i="3"/>
  <c r="AM505" i="3"/>
  <c r="AD505" i="3"/>
  <c r="V505" i="3"/>
  <c r="N505" i="3"/>
  <c r="F505" i="3"/>
  <c r="AL505" i="3"/>
  <c r="AC505" i="3"/>
  <c r="U505" i="3"/>
  <c r="M505" i="3"/>
  <c r="E505" i="3"/>
  <c r="T505" i="3"/>
  <c r="AN505" i="3"/>
  <c r="S505" i="3"/>
  <c r="AK505" i="3"/>
  <c r="O505" i="3"/>
  <c r="AJ505" i="3"/>
  <c r="L505" i="3"/>
  <c r="AE505" i="3"/>
  <c r="K505" i="3"/>
  <c r="AB505" i="3"/>
  <c r="G505" i="3"/>
  <c r="AA505" i="3"/>
  <c r="W505" i="3"/>
  <c r="D505" i="3"/>
  <c r="AF509" i="3" a="1"/>
  <c r="AF509" i="3" s="1"/>
  <c r="AI509" i="3"/>
  <c r="Z509" i="3"/>
  <c r="R509" i="3"/>
  <c r="J509" i="3"/>
  <c r="AH509" i="3"/>
  <c r="Y509" i="3"/>
  <c r="Q509" i="3"/>
  <c r="I509" i="3"/>
  <c r="AG509" i="3"/>
  <c r="X509" i="3"/>
  <c r="P509" i="3"/>
  <c r="H509" i="3"/>
  <c r="AM509" i="3"/>
  <c r="AD509" i="3"/>
  <c r="V509" i="3"/>
  <c r="N509" i="3"/>
  <c r="F509" i="3"/>
  <c r="AL509" i="3"/>
  <c r="AC509" i="3"/>
  <c r="U509" i="3"/>
  <c r="M509" i="3"/>
  <c r="E509" i="3"/>
  <c r="AA509" i="3"/>
  <c r="D509" i="3"/>
  <c r="W509" i="3"/>
  <c r="T509" i="3"/>
  <c r="AN509" i="3"/>
  <c r="S509" i="3"/>
  <c r="AK509" i="3"/>
  <c r="O509" i="3"/>
  <c r="AJ509" i="3"/>
  <c r="L509" i="3"/>
  <c r="K509" i="3"/>
  <c r="G509" i="3"/>
  <c r="AE509" i="3"/>
  <c r="AB509" i="3"/>
  <c r="AF513" i="3" a="1"/>
  <c r="AF513" i="3" s="1"/>
  <c r="AI513" i="3"/>
  <c r="Z513" i="3"/>
  <c r="R513" i="3"/>
  <c r="J513" i="3"/>
  <c r="AH513" i="3"/>
  <c r="Y513" i="3"/>
  <c r="Q513" i="3"/>
  <c r="I513" i="3"/>
  <c r="AG513" i="3"/>
  <c r="X513" i="3"/>
  <c r="P513" i="3"/>
  <c r="H513" i="3"/>
  <c r="AM513" i="3"/>
  <c r="AD513" i="3"/>
  <c r="V513" i="3"/>
  <c r="N513" i="3"/>
  <c r="F513" i="3"/>
  <c r="AL513" i="3"/>
  <c r="AC513" i="3"/>
  <c r="U513" i="3"/>
  <c r="M513" i="3"/>
  <c r="E513" i="3"/>
  <c r="AE513" i="3"/>
  <c r="K513" i="3"/>
  <c r="AB513" i="3"/>
  <c r="G513" i="3"/>
  <c r="AA513" i="3"/>
  <c r="D513" i="3"/>
  <c r="W513" i="3"/>
  <c r="T513" i="3"/>
  <c r="AN513" i="3"/>
  <c r="S513" i="3"/>
  <c r="AK513" i="3"/>
  <c r="AJ513" i="3"/>
  <c r="O513" i="3"/>
  <c r="L513" i="3"/>
  <c r="AF517" i="3" a="1"/>
  <c r="AF517" i="3" s="1"/>
  <c r="AI517" i="3"/>
  <c r="Z517" i="3"/>
  <c r="R517" i="3"/>
  <c r="J517" i="3"/>
  <c r="AH517" i="3"/>
  <c r="Y517" i="3"/>
  <c r="Q517" i="3"/>
  <c r="I517" i="3"/>
  <c r="AG517" i="3"/>
  <c r="X517" i="3"/>
  <c r="P517" i="3"/>
  <c r="H517" i="3"/>
  <c r="AM517" i="3"/>
  <c r="AD517" i="3"/>
  <c r="V517" i="3"/>
  <c r="N517" i="3"/>
  <c r="F517" i="3"/>
  <c r="AL517" i="3"/>
  <c r="AC517" i="3"/>
  <c r="U517" i="3"/>
  <c r="M517" i="3"/>
  <c r="E517" i="3"/>
  <c r="AK517" i="3"/>
  <c r="O517" i="3"/>
  <c r="AJ517" i="3"/>
  <c r="L517" i="3"/>
  <c r="AE517" i="3"/>
  <c r="K517" i="3"/>
  <c r="AB517" i="3"/>
  <c r="G517" i="3"/>
  <c r="AA517" i="3"/>
  <c r="D517" i="3"/>
  <c r="W517" i="3"/>
  <c r="AN517" i="3"/>
  <c r="T517" i="3"/>
  <c r="S517" i="3"/>
  <c r="AF521" i="3" a="1"/>
  <c r="AF521" i="3" s="1"/>
  <c r="AI521" i="3"/>
  <c r="Z521" i="3"/>
  <c r="R521" i="3"/>
  <c r="J521" i="3"/>
  <c r="AH521" i="3"/>
  <c r="Y521" i="3"/>
  <c r="Q521" i="3"/>
  <c r="I521" i="3"/>
  <c r="AG521" i="3"/>
  <c r="X521" i="3"/>
  <c r="P521" i="3"/>
  <c r="H521" i="3"/>
  <c r="AN521" i="3"/>
  <c r="AE521" i="3"/>
  <c r="W521" i="3"/>
  <c r="O521" i="3"/>
  <c r="G521" i="3"/>
  <c r="AM521" i="3"/>
  <c r="AD521" i="3"/>
  <c r="V521" i="3"/>
  <c r="N521" i="3"/>
  <c r="F521" i="3"/>
  <c r="AL521" i="3"/>
  <c r="AC521" i="3"/>
  <c r="U521" i="3"/>
  <c r="M521" i="3"/>
  <c r="E521" i="3"/>
  <c r="AB521" i="3"/>
  <c r="AA521" i="3"/>
  <c r="T521" i="3"/>
  <c r="S521" i="3"/>
  <c r="L521" i="3"/>
  <c r="K521" i="3"/>
  <c r="D521" i="3"/>
  <c r="AK521" i="3"/>
  <c r="AJ521" i="3"/>
  <c r="AF525" i="3" a="1"/>
  <c r="AF525" i="3" s="1"/>
  <c r="AM525" i="3"/>
  <c r="AD525" i="3"/>
  <c r="V525" i="3"/>
  <c r="N525" i="3"/>
  <c r="F525" i="3"/>
  <c r="AL525" i="3"/>
  <c r="AC525" i="3"/>
  <c r="U525" i="3"/>
  <c r="M525" i="3"/>
  <c r="E525" i="3"/>
  <c r="AK525" i="3"/>
  <c r="AB525" i="3"/>
  <c r="T525" i="3"/>
  <c r="L525" i="3"/>
  <c r="D525" i="3"/>
  <c r="AJ525" i="3"/>
  <c r="AA525" i="3"/>
  <c r="S525" i="3"/>
  <c r="K525" i="3"/>
  <c r="AI525" i="3"/>
  <c r="Z525" i="3"/>
  <c r="R525" i="3"/>
  <c r="J525" i="3"/>
  <c r="AH525" i="3"/>
  <c r="Y525" i="3"/>
  <c r="Q525" i="3"/>
  <c r="I525" i="3"/>
  <c r="H525" i="3"/>
  <c r="AN525" i="3"/>
  <c r="G525" i="3"/>
  <c r="AG525" i="3"/>
  <c r="AE525" i="3"/>
  <c r="X525" i="3"/>
  <c r="W525" i="3"/>
  <c r="P525" i="3"/>
  <c r="O525" i="3"/>
  <c r="AF529" i="3" a="1"/>
  <c r="AF529" i="3" s="1"/>
  <c r="AM529" i="3"/>
  <c r="AD529" i="3"/>
  <c r="V529" i="3"/>
  <c r="N529" i="3"/>
  <c r="F529" i="3"/>
  <c r="AL529" i="3"/>
  <c r="AC529" i="3"/>
  <c r="U529" i="3"/>
  <c r="M529" i="3"/>
  <c r="E529" i="3"/>
  <c r="AK529" i="3"/>
  <c r="AB529" i="3"/>
  <c r="T529" i="3"/>
  <c r="L529" i="3"/>
  <c r="D529" i="3"/>
  <c r="AJ529" i="3"/>
  <c r="AA529" i="3"/>
  <c r="S529" i="3"/>
  <c r="K529" i="3"/>
  <c r="AI529" i="3"/>
  <c r="Z529" i="3"/>
  <c r="R529" i="3"/>
  <c r="J529" i="3"/>
  <c r="AH529" i="3"/>
  <c r="Y529" i="3"/>
  <c r="Q529" i="3"/>
  <c r="I529" i="3"/>
  <c r="X529" i="3"/>
  <c r="W529" i="3"/>
  <c r="P529" i="3"/>
  <c r="O529" i="3"/>
  <c r="H529" i="3"/>
  <c r="AN529" i="3"/>
  <c r="G529" i="3"/>
  <c r="AG529" i="3"/>
  <c r="AE529" i="3"/>
  <c r="AF533" i="3" a="1"/>
  <c r="AF533" i="3" s="1"/>
  <c r="AM533" i="3"/>
  <c r="AD533" i="3"/>
  <c r="V533" i="3"/>
  <c r="N533" i="3"/>
  <c r="F533" i="3"/>
  <c r="AL533" i="3"/>
  <c r="AC533" i="3"/>
  <c r="U533" i="3"/>
  <c r="M533" i="3"/>
  <c r="E533" i="3"/>
  <c r="AK533" i="3"/>
  <c r="AB533" i="3"/>
  <c r="T533" i="3"/>
  <c r="L533" i="3"/>
  <c r="D533" i="3"/>
  <c r="AJ533" i="3"/>
  <c r="AA533" i="3"/>
  <c r="S533" i="3"/>
  <c r="K533" i="3"/>
  <c r="AI533" i="3"/>
  <c r="Z533" i="3"/>
  <c r="R533" i="3"/>
  <c r="J533" i="3"/>
  <c r="AH533" i="3"/>
  <c r="Y533" i="3"/>
  <c r="Q533" i="3"/>
  <c r="I533" i="3"/>
  <c r="H533" i="3"/>
  <c r="AN533" i="3"/>
  <c r="G533" i="3"/>
  <c r="AG533" i="3"/>
  <c r="AE533" i="3"/>
  <c r="X533" i="3"/>
  <c r="W533" i="3"/>
  <c r="P533" i="3"/>
  <c r="O533" i="3"/>
  <c r="AF537" i="3" a="1"/>
  <c r="AF537" i="3" s="1"/>
  <c r="AM537" i="3"/>
  <c r="AD537" i="3"/>
  <c r="V537" i="3"/>
  <c r="N537" i="3"/>
  <c r="F537" i="3"/>
  <c r="AL537" i="3"/>
  <c r="AC537" i="3"/>
  <c r="U537" i="3"/>
  <c r="M537" i="3"/>
  <c r="E537" i="3"/>
  <c r="AK537" i="3"/>
  <c r="AB537" i="3"/>
  <c r="T537" i="3"/>
  <c r="L537" i="3"/>
  <c r="D537" i="3"/>
  <c r="AJ537" i="3"/>
  <c r="AA537" i="3"/>
  <c r="S537" i="3"/>
  <c r="K537" i="3"/>
  <c r="AI537" i="3"/>
  <c r="Z537" i="3"/>
  <c r="R537" i="3"/>
  <c r="J537" i="3"/>
  <c r="AH537" i="3"/>
  <c r="Y537" i="3"/>
  <c r="Q537" i="3"/>
  <c r="I537" i="3"/>
  <c r="X537" i="3"/>
  <c r="W537" i="3"/>
  <c r="P537" i="3"/>
  <c r="O537" i="3"/>
  <c r="H537" i="3"/>
  <c r="AN537" i="3"/>
  <c r="G537" i="3"/>
  <c r="AG537" i="3"/>
  <c r="AE537" i="3"/>
  <c r="AF541" i="3" a="1"/>
  <c r="AF541" i="3" s="1"/>
  <c r="AM541" i="3"/>
  <c r="AD541" i="3"/>
  <c r="V541" i="3"/>
  <c r="N541" i="3"/>
  <c r="F541" i="3"/>
  <c r="AL541" i="3"/>
  <c r="AC541" i="3"/>
  <c r="U541" i="3"/>
  <c r="M541" i="3"/>
  <c r="E541" i="3"/>
  <c r="AK541" i="3"/>
  <c r="AB541" i="3"/>
  <c r="T541" i="3"/>
  <c r="L541" i="3"/>
  <c r="D541" i="3"/>
  <c r="AJ541" i="3"/>
  <c r="AA541" i="3"/>
  <c r="S541" i="3"/>
  <c r="K541" i="3"/>
  <c r="AI541" i="3"/>
  <c r="Z541" i="3"/>
  <c r="R541" i="3"/>
  <c r="J541" i="3"/>
  <c r="AH541" i="3"/>
  <c r="Y541" i="3"/>
  <c r="Q541" i="3"/>
  <c r="I541" i="3"/>
  <c r="H541" i="3"/>
  <c r="AN541" i="3"/>
  <c r="G541" i="3"/>
  <c r="AG541" i="3"/>
  <c r="AE541" i="3"/>
  <c r="X541" i="3"/>
  <c r="W541" i="3"/>
  <c r="P541" i="3"/>
  <c r="O541" i="3"/>
  <c r="AF545" i="3" a="1"/>
  <c r="AF545" i="3" s="1"/>
  <c r="AI545" i="3"/>
  <c r="Z545" i="3"/>
  <c r="R545" i="3"/>
  <c r="J545" i="3"/>
  <c r="AH545" i="3"/>
  <c r="Y545" i="3"/>
  <c r="Q545" i="3"/>
  <c r="I545" i="3"/>
  <c r="AM545" i="3"/>
  <c r="AD545" i="3"/>
  <c r="V545" i="3"/>
  <c r="N545" i="3"/>
  <c r="F545" i="3"/>
  <c r="AL545" i="3"/>
  <c r="AC545" i="3"/>
  <c r="U545" i="3"/>
  <c r="M545" i="3"/>
  <c r="E545" i="3"/>
  <c r="AG545" i="3"/>
  <c r="P545" i="3"/>
  <c r="AE545" i="3"/>
  <c r="O545" i="3"/>
  <c r="AB545" i="3"/>
  <c r="L545" i="3"/>
  <c r="AA545" i="3"/>
  <c r="K545" i="3"/>
  <c r="X545" i="3"/>
  <c r="H545" i="3"/>
  <c r="AN545" i="3"/>
  <c r="W545" i="3"/>
  <c r="G545" i="3"/>
  <c r="D545" i="3"/>
  <c r="AK545" i="3"/>
  <c r="AJ545" i="3"/>
  <c r="T545" i="3"/>
  <c r="S545" i="3"/>
  <c r="AF549" i="3" a="1"/>
  <c r="AF549" i="3" s="1"/>
  <c r="AI549" i="3"/>
  <c r="Z549" i="3"/>
  <c r="R549" i="3"/>
  <c r="J549" i="3"/>
  <c r="AH549" i="3"/>
  <c r="Y549" i="3"/>
  <c r="Q549" i="3"/>
  <c r="I549" i="3"/>
  <c r="AM549" i="3"/>
  <c r="AD549" i="3"/>
  <c r="V549" i="3"/>
  <c r="N549" i="3"/>
  <c r="F549" i="3"/>
  <c r="AL549" i="3"/>
  <c r="AC549" i="3"/>
  <c r="U549" i="3"/>
  <c r="M549" i="3"/>
  <c r="E549" i="3"/>
  <c r="AG549" i="3"/>
  <c r="P549" i="3"/>
  <c r="AE549" i="3"/>
  <c r="O549" i="3"/>
  <c r="AB549" i="3"/>
  <c r="L549" i="3"/>
  <c r="AA549" i="3"/>
  <c r="K549" i="3"/>
  <c r="X549" i="3"/>
  <c r="H549" i="3"/>
  <c r="AN549" i="3"/>
  <c r="W549" i="3"/>
  <c r="G549" i="3"/>
  <c r="AK549" i="3"/>
  <c r="AJ549" i="3"/>
  <c r="T549" i="3"/>
  <c r="S549" i="3"/>
  <c r="D549" i="3"/>
  <c r="AF553" i="3" a="1"/>
  <c r="AF553" i="3" s="1"/>
  <c r="AI553" i="3"/>
  <c r="Z553" i="3"/>
  <c r="R553" i="3"/>
  <c r="J553" i="3"/>
  <c r="AH553" i="3"/>
  <c r="Y553" i="3"/>
  <c r="Q553" i="3"/>
  <c r="I553" i="3"/>
  <c r="AM553" i="3"/>
  <c r="AD553" i="3"/>
  <c r="V553" i="3"/>
  <c r="N553" i="3"/>
  <c r="F553" i="3"/>
  <c r="AL553" i="3"/>
  <c r="AC553" i="3"/>
  <c r="U553" i="3"/>
  <c r="M553" i="3"/>
  <c r="E553" i="3"/>
  <c r="AG553" i="3"/>
  <c r="P553" i="3"/>
  <c r="AE553" i="3"/>
  <c r="O553" i="3"/>
  <c r="AB553" i="3"/>
  <c r="L553" i="3"/>
  <c r="AA553" i="3"/>
  <c r="K553" i="3"/>
  <c r="X553" i="3"/>
  <c r="H553" i="3"/>
  <c r="AN553" i="3"/>
  <c r="W553" i="3"/>
  <c r="G553" i="3"/>
  <c r="AK553" i="3"/>
  <c r="AJ553" i="3"/>
  <c r="T553" i="3"/>
  <c r="S553" i="3"/>
  <c r="D553" i="3"/>
  <c r="AF557" i="3" a="1"/>
  <c r="AF557" i="3" s="1"/>
  <c r="AI557" i="3"/>
  <c r="Z557" i="3"/>
  <c r="R557" i="3"/>
  <c r="J557" i="3"/>
  <c r="AH557" i="3"/>
  <c r="Y557" i="3"/>
  <c r="Q557" i="3"/>
  <c r="I557" i="3"/>
  <c r="AM557" i="3"/>
  <c r="AD557" i="3"/>
  <c r="V557" i="3"/>
  <c r="N557" i="3"/>
  <c r="F557" i="3"/>
  <c r="AL557" i="3"/>
  <c r="AC557" i="3"/>
  <c r="U557" i="3"/>
  <c r="M557" i="3"/>
  <c r="E557" i="3"/>
  <c r="AG557" i="3"/>
  <c r="P557" i="3"/>
  <c r="AE557" i="3"/>
  <c r="O557" i="3"/>
  <c r="AB557" i="3"/>
  <c r="L557" i="3"/>
  <c r="AA557" i="3"/>
  <c r="K557" i="3"/>
  <c r="X557" i="3"/>
  <c r="H557" i="3"/>
  <c r="AN557" i="3"/>
  <c r="W557" i="3"/>
  <c r="G557" i="3"/>
  <c r="T557" i="3"/>
  <c r="S557" i="3"/>
  <c r="D557" i="3"/>
  <c r="AK557" i="3"/>
  <c r="AJ557" i="3"/>
  <c r="AF561" i="3" a="1"/>
  <c r="AF561" i="3" s="1"/>
  <c r="AI561" i="3"/>
  <c r="Z561" i="3"/>
  <c r="R561" i="3"/>
  <c r="J561" i="3"/>
  <c r="AH561" i="3"/>
  <c r="Y561" i="3"/>
  <c r="Q561" i="3"/>
  <c r="I561" i="3"/>
  <c r="AM561" i="3"/>
  <c r="AD561" i="3"/>
  <c r="V561" i="3"/>
  <c r="N561" i="3"/>
  <c r="F561" i="3"/>
  <c r="AL561" i="3"/>
  <c r="AC561" i="3"/>
  <c r="U561" i="3"/>
  <c r="M561" i="3"/>
  <c r="E561" i="3"/>
  <c r="AG561" i="3"/>
  <c r="P561" i="3"/>
  <c r="AE561" i="3"/>
  <c r="O561" i="3"/>
  <c r="AB561" i="3"/>
  <c r="L561" i="3"/>
  <c r="AA561" i="3"/>
  <c r="K561" i="3"/>
  <c r="X561" i="3"/>
  <c r="H561" i="3"/>
  <c r="AN561" i="3"/>
  <c r="W561" i="3"/>
  <c r="G561" i="3"/>
  <c r="D561" i="3"/>
  <c r="AK561" i="3"/>
  <c r="AJ561" i="3"/>
  <c r="T561" i="3"/>
  <c r="S561" i="3"/>
  <c r="AF565" i="3" a="1"/>
  <c r="AF565" i="3" s="1"/>
  <c r="AL565" i="3"/>
  <c r="AC565" i="3"/>
  <c r="U565" i="3"/>
  <c r="AK565" i="3"/>
  <c r="AB565" i="3"/>
  <c r="T565" i="3"/>
  <c r="AI565" i="3"/>
  <c r="Z565" i="3"/>
  <c r="AE565" i="3"/>
  <c r="R565" i="3"/>
  <c r="J565" i="3"/>
  <c r="AD565" i="3"/>
  <c r="Q565" i="3"/>
  <c r="I565" i="3"/>
  <c r="AA565" i="3"/>
  <c r="P565" i="3"/>
  <c r="H565" i="3"/>
  <c r="AM565" i="3"/>
  <c r="X565" i="3"/>
  <c r="N565" i="3"/>
  <c r="F565" i="3"/>
  <c r="AJ565" i="3"/>
  <c r="W565" i="3"/>
  <c r="M565" i="3"/>
  <c r="E565" i="3"/>
  <c r="S565" i="3"/>
  <c r="O565" i="3"/>
  <c r="L565" i="3"/>
  <c r="AN565" i="3"/>
  <c r="K565" i="3"/>
  <c r="AH565" i="3"/>
  <c r="G565" i="3"/>
  <c r="AG565" i="3"/>
  <c r="D565" i="3"/>
  <c r="Y565" i="3"/>
  <c r="V565" i="3"/>
  <c r="AF569" i="3" a="1"/>
  <c r="AF569" i="3" s="1"/>
  <c r="AL569" i="3"/>
  <c r="AC569" i="3"/>
  <c r="U569" i="3"/>
  <c r="M569" i="3"/>
  <c r="E569" i="3"/>
  <c r="AK569" i="3"/>
  <c r="AB569" i="3"/>
  <c r="T569" i="3"/>
  <c r="L569" i="3"/>
  <c r="D569" i="3"/>
  <c r="AI569" i="3"/>
  <c r="Z569" i="3"/>
  <c r="R569" i="3"/>
  <c r="J569" i="3"/>
  <c r="AA569" i="3"/>
  <c r="O569" i="3"/>
  <c r="AN569" i="3"/>
  <c r="Y569" i="3"/>
  <c r="N569" i="3"/>
  <c r="AM569" i="3"/>
  <c r="X569" i="3"/>
  <c r="K569" i="3"/>
  <c r="AH569" i="3"/>
  <c r="V569" i="3"/>
  <c r="H569" i="3"/>
  <c r="AG569" i="3"/>
  <c r="S569" i="3"/>
  <c r="G569" i="3"/>
  <c r="I569" i="3"/>
  <c r="F569" i="3"/>
  <c r="AJ569" i="3"/>
  <c r="AE569" i="3"/>
  <c r="AD569" i="3"/>
  <c r="W569" i="3"/>
  <c r="Q569" i="3"/>
  <c r="P569" i="3"/>
  <c r="AF573" i="3" a="1"/>
  <c r="AF573" i="3" s="1"/>
  <c r="AM573" i="3"/>
  <c r="AD573" i="3"/>
  <c r="V573" i="3"/>
  <c r="N573" i="3"/>
  <c r="F573" i="3"/>
  <c r="AL573" i="3"/>
  <c r="AC573" i="3"/>
  <c r="U573" i="3"/>
  <c r="M573" i="3"/>
  <c r="E573" i="3"/>
  <c r="AK573" i="3"/>
  <c r="AB573" i="3"/>
  <c r="T573" i="3"/>
  <c r="L573" i="3"/>
  <c r="D573" i="3"/>
  <c r="AI573" i="3"/>
  <c r="Z573" i="3"/>
  <c r="R573" i="3"/>
  <c r="J573" i="3"/>
  <c r="AG573" i="3"/>
  <c r="P573" i="3"/>
  <c r="AE573" i="3"/>
  <c r="O573" i="3"/>
  <c r="AA573" i="3"/>
  <c r="K573" i="3"/>
  <c r="X573" i="3"/>
  <c r="H573" i="3"/>
  <c r="AN573" i="3"/>
  <c r="W573" i="3"/>
  <c r="G573" i="3"/>
  <c r="AJ573" i="3"/>
  <c r="AH573" i="3"/>
  <c r="Y573" i="3"/>
  <c r="S573" i="3"/>
  <c r="Q573" i="3"/>
  <c r="I573" i="3"/>
  <c r="AF577" i="3" a="1"/>
  <c r="AF577" i="3" s="1"/>
  <c r="AM577" i="3"/>
  <c r="AD577" i="3"/>
  <c r="V577" i="3"/>
  <c r="N577" i="3"/>
  <c r="F577" i="3"/>
  <c r="AL577" i="3"/>
  <c r="AC577" i="3"/>
  <c r="U577" i="3"/>
  <c r="M577" i="3"/>
  <c r="E577" i="3"/>
  <c r="AK577" i="3"/>
  <c r="AB577" i="3"/>
  <c r="T577" i="3"/>
  <c r="L577" i="3"/>
  <c r="D577" i="3"/>
  <c r="AI577" i="3"/>
  <c r="Z577" i="3"/>
  <c r="R577" i="3"/>
  <c r="J577" i="3"/>
  <c r="AG577" i="3"/>
  <c r="P577" i="3"/>
  <c r="AE577" i="3"/>
  <c r="O577" i="3"/>
  <c r="AA577" i="3"/>
  <c r="K577" i="3"/>
  <c r="X577" i="3"/>
  <c r="H577" i="3"/>
  <c r="AN577" i="3"/>
  <c r="W577" i="3"/>
  <c r="G577" i="3"/>
  <c r="AH577" i="3"/>
  <c r="Y577" i="3"/>
  <c r="S577" i="3"/>
  <c r="Q577" i="3"/>
  <c r="I577" i="3"/>
  <c r="AJ577" i="3"/>
  <c r="AF581" i="3" a="1"/>
  <c r="AF581" i="3" s="1"/>
  <c r="AM581" i="3"/>
  <c r="AD581" i="3"/>
  <c r="V581" i="3"/>
  <c r="N581" i="3"/>
  <c r="F581" i="3"/>
  <c r="AL581" i="3"/>
  <c r="AC581" i="3"/>
  <c r="U581" i="3"/>
  <c r="M581" i="3"/>
  <c r="E581" i="3"/>
  <c r="AK581" i="3"/>
  <c r="AB581" i="3"/>
  <c r="T581" i="3"/>
  <c r="L581" i="3"/>
  <c r="D581" i="3"/>
  <c r="AJ581" i="3"/>
  <c r="AA581" i="3"/>
  <c r="S581" i="3"/>
  <c r="K581" i="3"/>
  <c r="AI581" i="3"/>
  <c r="Z581" i="3"/>
  <c r="R581" i="3"/>
  <c r="J581" i="3"/>
  <c r="AH581" i="3"/>
  <c r="O581" i="3"/>
  <c r="AG581" i="3"/>
  <c r="I581" i="3"/>
  <c r="AE581" i="3"/>
  <c r="H581" i="3"/>
  <c r="X581" i="3"/>
  <c r="W581" i="3"/>
  <c r="AN581" i="3"/>
  <c r="Y581" i="3"/>
  <c r="Q581" i="3"/>
  <c r="P581" i="3"/>
  <c r="G581" i="3"/>
  <c r="AF585" i="3" a="1"/>
  <c r="AF585" i="3" s="1"/>
  <c r="AM585" i="3"/>
  <c r="AD585" i="3"/>
  <c r="V585" i="3"/>
  <c r="N585" i="3"/>
  <c r="F585" i="3"/>
  <c r="AL585" i="3"/>
  <c r="AC585" i="3"/>
  <c r="U585" i="3"/>
  <c r="M585" i="3"/>
  <c r="E585" i="3"/>
  <c r="AK585" i="3"/>
  <c r="AB585" i="3"/>
  <c r="T585" i="3"/>
  <c r="L585" i="3"/>
  <c r="D585" i="3"/>
  <c r="AJ585" i="3"/>
  <c r="AA585" i="3"/>
  <c r="S585" i="3"/>
  <c r="K585" i="3"/>
  <c r="AI585" i="3"/>
  <c r="Z585" i="3"/>
  <c r="R585" i="3"/>
  <c r="J585" i="3"/>
  <c r="Q585" i="3"/>
  <c r="AN585" i="3"/>
  <c r="P585" i="3"/>
  <c r="AH585" i="3"/>
  <c r="O585" i="3"/>
  <c r="AE585" i="3"/>
  <c r="H585" i="3"/>
  <c r="Y585" i="3"/>
  <c r="G585" i="3"/>
  <c r="AG585" i="3"/>
  <c r="X585" i="3"/>
  <c r="W585" i="3"/>
  <c r="I585" i="3"/>
  <c r="AF589" i="3" a="1"/>
  <c r="AF589" i="3" s="1"/>
  <c r="AM589" i="3"/>
  <c r="AD589" i="3"/>
  <c r="V589" i="3"/>
  <c r="N589" i="3"/>
  <c r="F589" i="3"/>
  <c r="AL589" i="3"/>
  <c r="AC589" i="3"/>
  <c r="U589" i="3"/>
  <c r="M589" i="3"/>
  <c r="E589" i="3"/>
  <c r="AK589" i="3"/>
  <c r="AB589" i="3"/>
  <c r="T589" i="3"/>
  <c r="L589" i="3"/>
  <c r="D589" i="3"/>
  <c r="AJ589" i="3"/>
  <c r="AA589" i="3"/>
  <c r="S589" i="3"/>
  <c r="K589" i="3"/>
  <c r="AI589" i="3"/>
  <c r="Z589" i="3"/>
  <c r="R589" i="3"/>
  <c r="J589" i="3"/>
  <c r="X589" i="3"/>
  <c r="W589" i="3"/>
  <c r="Q589" i="3"/>
  <c r="AH589" i="3"/>
  <c r="O589" i="3"/>
  <c r="AG589" i="3"/>
  <c r="I589" i="3"/>
  <c r="AE589" i="3"/>
  <c r="Y589" i="3"/>
  <c r="P589" i="3"/>
  <c r="H589" i="3"/>
  <c r="G589" i="3"/>
  <c r="AN589" i="3"/>
  <c r="AF593" i="3" a="1"/>
  <c r="AF593" i="3" s="1"/>
  <c r="AK593" i="3"/>
  <c r="AB593" i="3"/>
  <c r="T593" i="3"/>
  <c r="L593" i="3"/>
  <c r="D593" i="3"/>
  <c r="AJ593" i="3"/>
  <c r="AA593" i="3"/>
  <c r="S593" i="3"/>
  <c r="K593" i="3"/>
  <c r="AH593" i="3"/>
  <c r="Y593" i="3"/>
  <c r="Q593" i="3"/>
  <c r="I593" i="3"/>
  <c r="AG593" i="3"/>
  <c r="X593" i="3"/>
  <c r="P593" i="3"/>
  <c r="H593" i="3"/>
  <c r="AE593" i="3"/>
  <c r="O593" i="3"/>
  <c r="AD593" i="3"/>
  <c r="N593" i="3"/>
  <c r="AC593" i="3"/>
  <c r="M593" i="3"/>
  <c r="Z593" i="3"/>
  <c r="J593" i="3"/>
  <c r="AN593" i="3"/>
  <c r="W593" i="3"/>
  <c r="G593" i="3"/>
  <c r="R593" i="3"/>
  <c r="F593" i="3"/>
  <c r="E593" i="3"/>
  <c r="AL593" i="3"/>
  <c r="AI593" i="3"/>
  <c r="AM593" i="3"/>
  <c r="V593" i="3"/>
  <c r="U593" i="3"/>
  <c r="AF597" i="3" a="1"/>
  <c r="AF597" i="3" s="1"/>
  <c r="AL597" i="3"/>
  <c r="AC597" i="3"/>
  <c r="U597" i="3"/>
  <c r="M597" i="3"/>
  <c r="AK597" i="3"/>
  <c r="AB597" i="3"/>
  <c r="T597" i="3"/>
  <c r="L597" i="3"/>
  <c r="D597" i="3"/>
  <c r="AJ597" i="3"/>
  <c r="AA597" i="3"/>
  <c r="S597" i="3"/>
  <c r="K597" i="3"/>
  <c r="AH597" i="3"/>
  <c r="Y597" i="3"/>
  <c r="Q597" i="3"/>
  <c r="I597" i="3"/>
  <c r="AG597" i="3"/>
  <c r="X597" i="3"/>
  <c r="P597" i="3"/>
  <c r="H597" i="3"/>
  <c r="AN597" i="3"/>
  <c r="R597" i="3"/>
  <c r="AM597" i="3"/>
  <c r="O597" i="3"/>
  <c r="AI597" i="3"/>
  <c r="N597" i="3"/>
  <c r="AE597" i="3"/>
  <c r="J597" i="3"/>
  <c r="AD597" i="3"/>
  <c r="G597" i="3"/>
  <c r="W597" i="3"/>
  <c r="V597" i="3"/>
  <c r="Z597" i="3"/>
  <c r="F597" i="3"/>
  <c r="E597" i="3"/>
  <c r="AF601" i="3" a="1"/>
  <c r="AF601" i="3" s="1"/>
  <c r="AL601" i="3"/>
  <c r="AC601" i="3"/>
  <c r="U601" i="3"/>
  <c r="M601" i="3"/>
  <c r="E601" i="3"/>
  <c r="AK601" i="3"/>
  <c r="AB601" i="3"/>
  <c r="T601" i="3"/>
  <c r="L601" i="3"/>
  <c r="D601" i="3"/>
  <c r="AJ601" i="3"/>
  <c r="AA601" i="3"/>
  <c r="S601" i="3"/>
  <c r="K601" i="3"/>
  <c r="AH601" i="3"/>
  <c r="Y601" i="3"/>
  <c r="Q601" i="3"/>
  <c r="I601" i="3"/>
  <c r="AG601" i="3"/>
  <c r="X601" i="3"/>
  <c r="P601" i="3"/>
  <c r="H601" i="3"/>
  <c r="W601" i="3"/>
  <c r="V601" i="3"/>
  <c r="AN601" i="3"/>
  <c r="R601" i="3"/>
  <c r="AM601" i="3"/>
  <c r="O601" i="3"/>
  <c r="AI601" i="3"/>
  <c r="N601" i="3"/>
  <c r="Z601" i="3"/>
  <c r="J601" i="3"/>
  <c r="G601" i="3"/>
  <c r="AE601" i="3"/>
  <c r="AD601" i="3"/>
  <c r="F601" i="3"/>
  <c r="AF605" i="3" a="1"/>
  <c r="AF605" i="3" s="1"/>
  <c r="AL605" i="3"/>
  <c r="AC605" i="3"/>
  <c r="U605" i="3"/>
  <c r="M605" i="3"/>
  <c r="E605" i="3"/>
  <c r="AK605" i="3"/>
  <c r="AB605" i="3"/>
  <c r="T605" i="3"/>
  <c r="L605" i="3"/>
  <c r="D605" i="3"/>
  <c r="AJ605" i="3"/>
  <c r="AA605" i="3"/>
  <c r="S605" i="3"/>
  <c r="K605" i="3"/>
  <c r="AH605" i="3"/>
  <c r="Y605" i="3"/>
  <c r="Q605" i="3"/>
  <c r="I605" i="3"/>
  <c r="AG605" i="3"/>
  <c r="X605" i="3"/>
  <c r="P605" i="3"/>
  <c r="H605" i="3"/>
  <c r="AD605" i="3"/>
  <c r="G605" i="3"/>
  <c r="Z605" i="3"/>
  <c r="F605" i="3"/>
  <c r="W605" i="3"/>
  <c r="V605" i="3"/>
  <c r="AN605" i="3"/>
  <c r="R605" i="3"/>
  <c r="AM605" i="3"/>
  <c r="AI605" i="3"/>
  <c r="O605" i="3"/>
  <c r="N605" i="3"/>
  <c r="AE605" i="3"/>
  <c r="J605" i="3"/>
  <c r="AF609" i="3" a="1"/>
  <c r="AF609" i="3" s="1"/>
  <c r="AL609" i="3"/>
  <c r="AC609" i="3"/>
  <c r="U609" i="3"/>
  <c r="M609" i="3"/>
  <c r="E609" i="3"/>
  <c r="AK609" i="3"/>
  <c r="AB609" i="3"/>
  <c r="T609" i="3"/>
  <c r="L609" i="3"/>
  <c r="D609" i="3"/>
  <c r="AJ609" i="3"/>
  <c r="AA609" i="3"/>
  <c r="S609" i="3"/>
  <c r="K609" i="3"/>
  <c r="AH609" i="3"/>
  <c r="Y609" i="3"/>
  <c r="Q609" i="3"/>
  <c r="I609" i="3"/>
  <c r="AG609" i="3"/>
  <c r="X609" i="3"/>
  <c r="P609" i="3"/>
  <c r="H609" i="3"/>
  <c r="AI609" i="3"/>
  <c r="N609" i="3"/>
  <c r="AE609" i="3"/>
  <c r="J609" i="3"/>
  <c r="AD609" i="3"/>
  <c r="G609" i="3"/>
  <c r="Z609" i="3"/>
  <c r="F609" i="3"/>
  <c r="W609" i="3"/>
  <c r="R609" i="3"/>
  <c r="O609" i="3"/>
  <c r="AN609" i="3"/>
  <c r="AM609" i="3"/>
  <c r="V609" i="3"/>
  <c r="AF613" i="3" a="1"/>
  <c r="AF613" i="3" s="1"/>
  <c r="AL613" i="3"/>
  <c r="AC613" i="3"/>
  <c r="U613" i="3"/>
  <c r="M613" i="3"/>
  <c r="E613" i="3"/>
  <c r="AK613" i="3"/>
  <c r="AB613" i="3"/>
  <c r="T613" i="3"/>
  <c r="L613" i="3"/>
  <c r="D613" i="3"/>
  <c r="AJ613" i="3"/>
  <c r="AA613" i="3"/>
  <c r="S613" i="3"/>
  <c r="K613" i="3"/>
  <c r="AI613" i="3"/>
  <c r="Z613" i="3"/>
  <c r="R613" i="3"/>
  <c r="J613" i="3"/>
  <c r="AH613" i="3"/>
  <c r="Y613" i="3"/>
  <c r="Q613" i="3"/>
  <c r="I613" i="3"/>
  <c r="AG613" i="3"/>
  <c r="X613" i="3"/>
  <c r="P613" i="3"/>
  <c r="H613" i="3"/>
  <c r="AN613" i="3"/>
  <c r="G613" i="3"/>
  <c r="AM613" i="3"/>
  <c r="F613" i="3"/>
  <c r="AE613" i="3"/>
  <c r="AD613" i="3"/>
  <c r="W613" i="3"/>
  <c r="V613" i="3"/>
  <c r="O613" i="3"/>
  <c r="N613" i="3"/>
  <c r="AF617" i="3" a="1"/>
  <c r="AF617" i="3" s="1"/>
  <c r="AK617" i="3"/>
  <c r="AB617" i="3"/>
  <c r="T617" i="3"/>
  <c r="L617" i="3"/>
  <c r="D617" i="3"/>
  <c r="AJ617" i="3"/>
  <c r="AA617" i="3"/>
  <c r="S617" i="3"/>
  <c r="K617" i="3"/>
  <c r="AI617" i="3"/>
  <c r="Z617" i="3"/>
  <c r="R617" i="3"/>
  <c r="J617" i="3"/>
  <c r="AH617" i="3"/>
  <c r="Y617" i="3"/>
  <c r="Q617" i="3"/>
  <c r="I617" i="3"/>
  <c r="AC617" i="3"/>
  <c r="M617" i="3"/>
  <c r="X617" i="3"/>
  <c r="H617" i="3"/>
  <c r="AN617" i="3"/>
  <c r="W617" i="3"/>
  <c r="G617" i="3"/>
  <c r="AM617" i="3"/>
  <c r="V617" i="3"/>
  <c r="F617" i="3"/>
  <c r="AL617" i="3"/>
  <c r="U617" i="3"/>
  <c r="E617" i="3"/>
  <c r="AG617" i="3"/>
  <c r="P617" i="3"/>
  <c r="AE617" i="3"/>
  <c r="AD617" i="3"/>
  <c r="O617" i="3"/>
  <c r="N617" i="3"/>
  <c r="AF621" i="3" a="1"/>
  <c r="AF621" i="3" s="1"/>
  <c r="AK621" i="3"/>
  <c r="AB621" i="3"/>
  <c r="T621" i="3"/>
  <c r="L621" i="3"/>
  <c r="D621" i="3"/>
  <c r="AJ621" i="3"/>
  <c r="AA621" i="3"/>
  <c r="S621" i="3"/>
  <c r="K621" i="3"/>
  <c r="AI621" i="3"/>
  <c r="Z621" i="3"/>
  <c r="R621" i="3"/>
  <c r="J621" i="3"/>
  <c r="AH621" i="3"/>
  <c r="Y621" i="3"/>
  <c r="Q621" i="3"/>
  <c r="I621" i="3"/>
  <c r="AC621" i="3"/>
  <c r="M621" i="3"/>
  <c r="X621" i="3"/>
  <c r="H621" i="3"/>
  <c r="AN621" i="3"/>
  <c r="W621" i="3"/>
  <c r="G621" i="3"/>
  <c r="AM621" i="3"/>
  <c r="V621" i="3"/>
  <c r="F621" i="3"/>
  <c r="AL621" i="3"/>
  <c r="U621" i="3"/>
  <c r="E621" i="3"/>
  <c r="AG621" i="3"/>
  <c r="P621" i="3"/>
  <c r="O621" i="3"/>
  <c r="N621" i="3"/>
  <c r="AD621" i="3"/>
  <c r="AE621" i="3"/>
  <c r="AF625" i="3" a="1"/>
  <c r="AF625" i="3" s="1"/>
  <c r="AK625" i="3"/>
  <c r="AB625" i="3"/>
  <c r="T625" i="3"/>
  <c r="L625" i="3"/>
  <c r="D625" i="3"/>
  <c r="AJ625" i="3"/>
  <c r="AA625" i="3"/>
  <c r="S625" i="3"/>
  <c r="K625" i="3"/>
  <c r="AI625" i="3"/>
  <c r="Z625" i="3"/>
  <c r="R625" i="3"/>
  <c r="J625" i="3"/>
  <c r="AH625" i="3"/>
  <c r="Y625" i="3"/>
  <c r="Q625" i="3"/>
  <c r="I625" i="3"/>
  <c r="AC625" i="3"/>
  <c r="M625" i="3"/>
  <c r="X625" i="3"/>
  <c r="H625" i="3"/>
  <c r="AN625" i="3"/>
  <c r="W625" i="3"/>
  <c r="G625" i="3"/>
  <c r="AM625" i="3"/>
  <c r="V625" i="3"/>
  <c r="F625" i="3"/>
  <c r="AL625" i="3"/>
  <c r="U625" i="3"/>
  <c r="E625" i="3"/>
  <c r="AG625" i="3"/>
  <c r="P625" i="3"/>
  <c r="AE625" i="3"/>
  <c r="AD625" i="3"/>
  <c r="O625" i="3"/>
  <c r="N625" i="3"/>
  <c r="AF629" i="3" a="1"/>
  <c r="AF629" i="3" s="1"/>
  <c r="AM629" i="3"/>
  <c r="AD629" i="3"/>
  <c r="AL629" i="3"/>
  <c r="AK629" i="3"/>
  <c r="AB629" i="3"/>
  <c r="T629" i="3"/>
  <c r="L629" i="3"/>
  <c r="D629" i="3"/>
  <c r="AJ629" i="3"/>
  <c r="AA629" i="3"/>
  <c r="S629" i="3"/>
  <c r="K629" i="3"/>
  <c r="AI629" i="3"/>
  <c r="Z629" i="3"/>
  <c r="R629" i="3"/>
  <c r="J629" i="3"/>
  <c r="AH629" i="3"/>
  <c r="Y629" i="3"/>
  <c r="Q629" i="3"/>
  <c r="I629" i="3"/>
  <c r="AC629" i="3"/>
  <c r="M629" i="3"/>
  <c r="X629" i="3"/>
  <c r="H629" i="3"/>
  <c r="W629" i="3"/>
  <c r="G629" i="3"/>
  <c r="V629" i="3"/>
  <c r="F629" i="3"/>
  <c r="U629" i="3"/>
  <c r="E629" i="3"/>
  <c r="AN629" i="3"/>
  <c r="P629" i="3"/>
  <c r="AG629" i="3"/>
  <c r="AE629" i="3"/>
  <c r="O629" i="3"/>
  <c r="N629" i="3"/>
  <c r="AF633" i="3" a="1"/>
  <c r="AF633" i="3" s="1"/>
  <c r="AM633" i="3"/>
  <c r="AD633" i="3"/>
  <c r="V633" i="3"/>
  <c r="N633" i="3"/>
  <c r="F633" i="3"/>
  <c r="AL633" i="3"/>
  <c r="AC633" i="3"/>
  <c r="U633" i="3"/>
  <c r="M633" i="3"/>
  <c r="E633" i="3"/>
  <c r="AK633" i="3"/>
  <c r="AB633" i="3"/>
  <c r="T633" i="3"/>
  <c r="L633" i="3"/>
  <c r="D633" i="3"/>
  <c r="AJ633" i="3"/>
  <c r="AA633" i="3"/>
  <c r="S633" i="3"/>
  <c r="K633" i="3"/>
  <c r="AI633" i="3"/>
  <c r="Z633" i="3"/>
  <c r="R633" i="3"/>
  <c r="J633" i="3"/>
  <c r="AH633" i="3"/>
  <c r="Y633" i="3"/>
  <c r="Q633" i="3"/>
  <c r="I633" i="3"/>
  <c r="H633" i="3"/>
  <c r="AN633" i="3"/>
  <c r="G633" i="3"/>
  <c r="AG633" i="3"/>
  <c r="AE633" i="3"/>
  <c r="X633" i="3"/>
  <c r="W633" i="3"/>
  <c r="P633" i="3"/>
  <c r="O633" i="3"/>
  <c r="AF637" i="3" a="1"/>
  <c r="AF637" i="3" s="1"/>
  <c r="AM637" i="3"/>
  <c r="AD637" i="3"/>
  <c r="V637" i="3"/>
  <c r="N637" i="3"/>
  <c r="F637" i="3"/>
  <c r="AL637" i="3"/>
  <c r="AC637" i="3"/>
  <c r="U637" i="3"/>
  <c r="M637" i="3"/>
  <c r="E637" i="3"/>
  <c r="AK637" i="3"/>
  <c r="AB637" i="3"/>
  <c r="T637" i="3"/>
  <c r="L637" i="3"/>
  <c r="D637" i="3"/>
  <c r="AJ637" i="3"/>
  <c r="AA637" i="3"/>
  <c r="S637" i="3"/>
  <c r="K637" i="3"/>
  <c r="AI637" i="3"/>
  <c r="Z637" i="3"/>
  <c r="R637" i="3"/>
  <c r="J637" i="3"/>
  <c r="AH637" i="3"/>
  <c r="Y637" i="3"/>
  <c r="Q637" i="3"/>
  <c r="I637" i="3"/>
  <c r="X637" i="3"/>
  <c r="W637" i="3"/>
  <c r="P637" i="3"/>
  <c r="O637" i="3"/>
  <c r="H637" i="3"/>
  <c r="AN637" i="3"/>
  <c r="G637" i="3"/>
  <c r="AG637" i="3"/>
  <c r="AE637" i="3"/>
  <c r="AF641" i="3" a="1"/>
  <c r="AF641" i="3" s="1"/>
  <c r="AM641" i="3"/>
  <c r="AD641" i="3"/>
  <c r="V641" i="3"/>
  <c r="N641" i="3"/>
  <c r="F641" i="3"/>
  <c r="AL641" i="3"/>
  <c r="AC641" i="3"/>
  <c r="U641" i="3"/>
  <c r="M641" i="3"/>
  <c r="E641" i="3"/>
  <c r="AK641" i="3"/>
  <c r="AB641" i="3"/>
  <c r="T641" i="3"/>
  <c r="L641" i="3"/>
  <c r="D641" i="3"/>
  <c r="AJ641" i="3"/>
  <c r="AA641" i="3"/>
  <c r="S641" i="3"/>
  <c r="K641" i="3"/>
  <c r="AI641" i="3"/>
  <c r="Z641" i="3"/>
  <c r="R641" i="3"/>
  <c r="J641" i="3"/>
  <c r="AH641" i="3"/>
  <c r="Y641" i="3"/>
  <c r="Q641" i="3"/>
  <c r="I641" i="3"/>
  <c r="H641" i="3"/>
  <c r="AN641" i="3"/>
  <c r="G641" i="3"/>
  <c r="AG641" i="3"/>
  <c r="AE641" i="3"/>
  <c r="X641" i="3"/>
  <c r="W641" i="3"/>
  <c r="P641" i="3"/>
  <c r="O641" i="3"/>
  <c r="AL645" i="3"/>
  <c r="AN645" i="3"/>
  <c r="AD645" i="3"/>
  <c r="V645" i="3"/>
  <c r="N645" i="3"/>
  <c r="F645" i="3"/>
  <c r="AF645" i="3" a="1"/>
  <c r="AF645" i="3" s="1"/>
  <c r="AM645" i="3"/>
  <c r="AC645" i="3"/>
  <c r="U645" i="3"/>
  <c r="M645" i="3"/>
  <c r="E645" i="3"/>
  <c r="AK645" i="3"/>
  <c r="AB645" i="3"/>
  <c r="T645" i="3"/>
  <c r="L645" i="3"/>
  <c r="D645" i="3"/>
  <c r="AJ645" i="3"/>
  <c r="AA645" i="3"/>
  <c r="S645" i="3"/>
  <c r="K645" i="3"/>
  <c r="AI645" i="3"/>
  <c r="Z645" i="3"/>
  <c r="R645" i="3"/>
  <c r="J645" i="3"/>
  <c r="AH645" i="3"/>
  <c r="Y645" i="3"/>
  <c r="Q645" i="3"/>
  <c r="I645" i="3"/>
  <c r="X645" i="3"/>
  <c r="W645" i="3"/>
  <c r="P645" i="3"/>
  <c r="O645" i="3"/>
  <c r="H645" i="3"/>
  <c r="G645" i="3"/>
  <c r="AG645" i="3"/>
  <c r="AE645" i="3"/>
  <c r="AM649" i="3"/>
  <c r="AD649" i="3"/>
  <c r="V649" i="3"/>
  <c r="N649" i="3"/>
  <c r="F649" i="3"/>
  <c r="AL649" i="3"/>
  <c r="AC649" i="3"/>
  <c r="U649" i="3"/>
  <c r="M649" i="3"/>
  <c r="E649" i="3"/>
  <c r="AJ649" i="3"/>
  <c r="AA649" i="3"/>
  <c r="S649" i="3"/>
  <c r="K649" i="3"/>
  <c r="AI649" i="3"/>
  <c r="Z649" i="3"/>
  <c r="R649" i="3"/>
  <c r="J649" i="3"/>
  <c r="AF649" i="3" a="1"/>
  <c r="AF649" i="3" s="1"/>
  <c r="AH649" i="3"/>
  <c r="Q649" i="3"/>
  <c r="AG649" i="3"/>
  <c r="P649" i="3"/>
  <c r="AE649" i="3"/>
  <c r="O649" i="3"/>
  <c r="AB649" i="3"/>
  <c r="L649" i="3"/>
  <c r="Y649" i="3"/>
  <c r="I649" i="3"/>
  <c r="X649" i="3"/>
  <c r="H649" i="3"/>
  <c r="AN649" i="3"/>
  <c r="AK649" i="3"/>
  <c r="W649" i="3"/>
  <c r="T649" i="3"/>
  <c r="G649" i="3"/>
  <c r="D649" i="3"/>
  <c r="AF653" i="3" a="1"/>
  <c r="AF653" i="3" s="1"/>
  <c r="AN653" i="3"/>
  <c r="AE653" i="3"/>
  <c r="W653" i="3"/>
  <c r="O653" i="3"/>
  <c r="G653" i="3"/>
  <c r="AM653" i="3"/>
  <c r="AD653" i="3"/>
  <c r="V653" i="3"/>
  <c r="N653" i="3"/>
  <c r="F653" i="3"/>
  <c r="AL653" i="3"/>
  <c r="AC653" i="3"/>
  <c r="U653" i="3"/>
  <c r="M653" i="3"/>
  <c r="E653" i="3"/>
  <c r="AJ653" i="3"/>
  <c r="AA653" i="3"/>
  <c r="S653" i="3"/>
  <c r="K653" i="3"/>
  <c r="AI653" i="3"/>
  <c r="Z653" i="3"/>
  <c r="R653" i="3"/>
  <c r="J653" i="3"/>
  <c r="AB653" i="3"/>
  <c r="H653" i="3"/>
  <c r="Y653" i="3"/>
  <c r="D653" i="3"/>
  <c r="X653" i="3"/>
  <c r="T653" i="3"/>
  <c r="Q653" i="3"/>
  <c r="AK653" i="3"/>
  <c r="P653" i="3"/>
  <c r="AH653" i="3"/>
  <c r="AG653" i="3"/>
  <c r="L653" i="3"/>
  <c r="I653" i="3"/>
  <c r="AN657" i="3"/>
  <c r="AE657" i="3"/>
  <c r="W657" i="3"/>
  <c r="O657" i="3"/>
  <c r="G657" i="3"/>
  <c r="AM657" i="3"/>
  <c r="AD657" i="3"/>
  <c r="V657" i="3"/>
  <c r="N657" i="3"/>
  <c r="F657" i="3"/>
  <c r="AL657" i="3"/>
  <c r="AC657" i="3"/>
  <c r="U657" i="3"/>
  <c r="M657" i="3"/>
  <c r="E657" i="3"/>
  <c r="AK657" i="3"/>
  <c r="AF657" i="3" a="1"/>
  <c r="AF657" i="3" s="1"/>
  <c r="AJ657" i="3"/>
  <c r="AA657" i="3"/>
  <c r="S657" i="3"/>
  <c r="K657" i="3"/>
  <c r="AI657" i="3"/>
  <c r="Z657" i="3"/>
  <c r="R657" i="3"/>
  <c r="J657" i="3"/>
  <c r="AH657" i="3"/>
  <c r="L657" i="3"/>
  <c r="AG657" i="3"/>
  <c r="I657" i="3"/>
  <c r="AB657" i="3"/>
  <c r="H657" i="3"/>
  <c r="Y657" i="3"/>
  <c r="D657" i="3"/>
  <c r="X657" i="3"/>
  <c r="T657" i="3"/>
  <c r="Q657" i="3"/>
  <c r="P657" i="3"/>
  <c r="AM661" i="3"/>
  <c r="AD661" i="3"/>
  <c r="V661" i="3"/>
  <c r="N661" i="3"/>
  <c r="F661" i="3"/>
  <c r="AK661" i="3"/>
  <c r="AB661" i="3"/>
  <c r="T661" i="3"/>
  <c r="L661" i="3"/>
  <c r="D661" i="3"/>
  <c r="AJ661" i="3"/>
  <c r="AA661" i="3"/>
  <c r="S661" i="3"/>
  <c r="K661" i="3"/>
  <c r="AI661" i="3"/>
  <c r="Z661" i="3"/>
  <c r="R661" i="3"/>
  <c r="J661" i="3"/>
  <c r="AG661" i="3"/>
  <c r="X661" i="3"/>
  <c r="P661" i="3"/>
  <c r="H661" i="3"/>
  <c r="W661" i="3"/>
  <c r="U661" i="3"/>
  <c r="AN661" i="3"/>
  <c r="Q661" i="3"/>
  <c r="AL661" i="3"/>
  <c r="O661" i="3"/>
  <c r="AH661" i="3"/>
  <c r="M661" i="3"/>
  <c r="AE661" i="3"/>
  <c r="I661" i="3"/>
  <c r="AC661" i="3"/>
  <c r="Y661" i="3"/>
  <c r="G661" i="3"/>
  <c r="E661" i="3"/>
  <c r="AF661" i="3" a="1"/>
  <c r="AF661" i="3" s="1"/>
  <c r="AM665" i="3"/>
  <c r="AD665" i="3"/>
  <c r="V665" i="3"/>
  <c r="N665" i="3"/>
  <c r="F665" i="3"/>
  <c r="AF665" i="3" a="1"/>
  <c r="AF665" i="3" s="1"/>
  <c r="AK665" i="3"/>
  <c r="AB665" i="3"/>
  <c r="T665" i="3"/>
  <c r="L665" i="3"/>
  <c r="D665" i="3"/>
  <c r="AJ665" i="3"/>
  <c r="AA665" i="3"/>
  <c r="S665" i="3"/>
  <c r="K665" i="3"/>
  <c r="AI665" i="3"/>
  <c r="Z665" i="3"/>
  <c r="R665" i="3"/>
  <c r="J665" i="3"/>
  <c r="AG665" i="3"/>
  <c r="X665" i="3"/>
  <c r="P665" i="3"/>
  <c r="H665" i="3"/>
  <c r="AC665" i="3"/>
  <c r="G665" i="3"/>
  <c r="Y665" i="3"/>
  <c r="E665" i="3"/>
  <c r="W665" i="3"/>
  <c r="U665" i="3"/>
  <c r="AN665" i="3"/>
  <c r="Q665" i="3"/>
  <c r="AL665" i="3"/>
  <c r="O665" i="3"/>
  <c r="AH665" i="3"/>
  <c r="AE665" i="3"/>
  <c r="M665" i="3"/>
  <c r="I665" i="3"/>
  <c r="H4" i="4"/>
  <c r="P4" i="4"/>
  <c r="H5" i="4"/>
  <c r="P5" i="4"/>
  <c r="P6" i="4"/>
  <c r="P7" i="4"/>
  <c r="H8" i="4"/>
  <c r="H9" i="4"/>
  <c r="P9" i="4"/>
  <c r="H10" i="4"/>
  <c r="P10" i="4"/>
  <c r="H11" i="4"/>
  <c r="P11" i="4"/>
  <c r="H12" i="4"/>
  <c r="P12" i="4"/>
  <c r="H13" i="4"/>
  <c r="P13" i="4"/>
  <c r="H15" i="4"/>
  <c r="H17" i="4"/>
  <c r="P17" i="4"/>
  <c r="H18" i="4"/>
  <c r="P18" i="4"/>
  <c r="H19" i="4"/>
  <c r="P19" i="4"/>
  <c r="H20" i="4"/>
  <c r="P20" i="4"/>
  <c r="H21" i="4"/>
  <c r="P21" i="4"/>
  <c r="P22" i="4"/>
  <c r="P23" i="4"/>
  <c r="H24" i="4"/>
  <c r="P24" i="4"/>
  <c r="P25" i="4"/>
  <c r="P26" i="4"/>
  <c r="H27" i="4"/>
  <c r="P27" i="4"/>
  <c r="H28" i="4"/>
  <c r="P28" i="4"/>
  <c r="H29" i="4"/>
  <c r="P31" i="4"/>
  <c r="H32" i="4"/>
  <c r="P32" i="4"/>
  <c r="H33" i="4"/>
  <c r="P33" i="4"/>
  <c r="H34" i="4"/>
  <c r="P34" i="4"/>
  <c r="H35" i="4"/>
  <c r="P35" i="4"/>
  <c r="H36" i="4"/>
  <c r="P36" i="4"/>
  <c r="H37" i="4"/>
  <c r="P37" i="4"/>
  <c r="H38" i="4"/>
  <c r="P38" i="4"/>
  <c r="H39" i="4"/>
  <c r="P39" i="4"/>
  <c r="H40" i="4"/>
  <c r="P40" i="4"/>
  <c r="I41" i="4"/>
  <c r="R41" i="4"/>
  <c r="L42" i="4"/>
  <c r="G43" i="4"/>
  <c r="L44" i="4"/>
  <c r="G45" i="4"/>
  <c r="Q45" i="4"/>
  <c r="L46" i="4"/>
  <c r="G47" i="4"/>
  <c r="Q47" i="4"/>
  <c r="L48" i="4"/>
  <c r="G49" i="4"/>
  <c r="Q49" i="4"/>
  <c r="F51" i="4"/>
  <c r="F59" i="4"/>
  <c r="F63" i="4"/>
  <c r="F71" i="4"/>
  <c r="F75" i="4"/>
  <c r="F83" i="4"/>
  <c r="F87" i="4"/>
  <c r="F95" i="4"/>
  <c r="F99" i="4"/>
  <c r="F103" i="4"/>
  <c r="F107" i="4"/>
  <c r="F115" i="4"/>
  <c r="F119" i="4"/>
  <c r="F123" i="4"/>
  <c r="F131" i="4"/>
  <c r="F135" i="4"/>
  <c r="F143" i="4"/>
  <c r="F147" i="4"/>
  <c r="F155" i="4"/>
  <c r="F159" i="4"/>
  <c r="P172" i="4"/>
  <c r="P188" i="4"/>
  <c r="P204" i="4"/>
  <c r="P220" i="4"/>
  <c r="P236" i="4"/>
  <c r="P252" i="4"/>
  <c r="P268" i="4"/>
  <c r="P284" i="4"/>
  <c r="I320" i="4"/>
  <c r="M43" i="4"/>
  <c r="E43" i="4"/>
  <c r="S43" i="4"/>
  <c r="K43" i="4"/>
  <c r="M55" i="4"/>
  <c r="E55" i="4"/>
  <c r="L55" i="4"/>
  <c r="D55" i="4"/>
  <c r="S55" i="4"/>
  <c r="K55" i="4"/>
  <c r="R55" i="4"/>
  <c r="J55" i="4"/>
  <c r="Q55" i="4"/>
  <c r="I55" i="4"/>
  <c r="P55" i="4"/>
  <c r="H55" i="4"/>
  <c r="O55" i="4"/>
  <c r="G55" i="4"/>
  <c r="M67" i="4"/>
  <c r="E67" i="4"/>
  <c r="L67" i="4"/>
  <c r="D67" i="4"/>
  <c r="S67" i="4"/>
  <c r="K67" i="4"/>
  <c r="R67" i="4"/>
  <c r="J67" i="4"/>
  <c r="Q67" i="4"/>
  <c r="I67" i="4"/>
  <c r="P67" i="4"/>
  <c r="H67" i="4"/>
  <c r="O67" i="4"/>
  <c r="G67" i="4"/>
  <c r="M79" i="4"/>
  <c r="E79" i="4"/>
  <c r="L79" i="4"/>
  <c r="D79" i="4"/>
  <c r="S79" i="4"/>
  <c r="K79" i="4"/>
  <c r="R79" i="4"/>
  <c r="J79" i="4"/>
  <c r="Q79" i="4"/>
  <c r="I79" i="4"/>
  <c r="P79" i="4"/>
  <c r="H79" i="4"/>
  <c r="O79" i="4"/>
  <c r="G79" i="4"/>
  <c r="M91" i="4"/>
  <c r="E91" i="4"/>
  <c r="L91" i="4"/>
  <c r="D91" i="4"/>
  <c r="S91" i="4"/>
  <c r="K91" i="4"/>
  <c r="R91" i="4"/>
  <c r="J91" i="4"/>
  <c r="Q91" i="4"/>
  <c r="I91" i="4"/>
  <c r="P91" i="4"/>
  <c r="H91" i="4"/>
  <c r="O91" i="4"/>
  <c r="G91" i="4"/>
  <c r="M111" i="4"/>
  <c r="E111" i="4"/>
  <c r="L111" i="4"/>
  <c r="D111" i="4"/>
  <c r="S111" i="4"/>
  <c r="K111" i="4"/>
  <c r="R111" i="4"/>
  <c r="J111" i="4"/>
  <c r="Q111" i="4"/>
  <c r="I111" i="4"/>
  <c r="P111" i="4"/>
  <c r="H111" i="4"/>
  <c r="O111" i="4"/>
  <c r="G111" i="4"/>
  <c r="M127" i="4"/>
  <c r="E127" i="4"/>
  <c r="L127" i="4"/>
  <c r="D127" i="4"/>
  <c r="S127" i="4"/>
  <c r="K127" i="4"/>
  <c r="R127" i="4"/>
  <c r="J127" i="4"/>
  <c r="Q127" i="4"/>
  <c r="I127" i="4"/>
  <c r="P127" i="4"/>
  <c r="H127" i="4"/>
  <c r="O127" i="4"/>
  <c r="G127" i="4"/>
  <c r="M139" i="4"/>
  <c r="E139" i="4"/>
  <c r="L139" i="4"/>
  <c r="D139" i="4"/>
  <c r="S139" i="4"/>
  <c r="K139" i="4"/>
  <c r="R139" i="4"/>
  <c r="J139" i="4"/>
  <c r="Q139" i="4"/>
  <c r="I139" i="4"/>
  <c r="P139" i="4"/>
  <c r="H139" i="4"/>
  <c r="O139" i="4"/>
  <c r="G139" i="4"/>
  <c r="M151" i="4"/>
  <c r="E151" i="4"/>
  <c r="L151" i="4"/>
  <c r="D151" i="4"/>
  <c r="S151" i="4"/>
  <c r="K151" i="4"/>
  <c r="R151" i="4"/>
  <c r="J151" i="4"/>
  <c r="Q151" i="4"/>
  <c r="I151" i="4"/>
  <c r="P151" i="4"/>
  <c r="H151" i="4"/>
  <c r="O151" i="4"/>
  <c r="G151" i="4"/>
  <c r="M163" i="4"/>
  <c r="E163" i="4"/>
  <c r="L163" i="4"/>
  <c r="D163" i="4"/>
  <c r="S163" i="4"/>
  <c r="K163" i="4"/>
  <c r="R163" i="4"/>
  <c r="J163" i="4"/>
  <c r="Q163" i="4"/>
  <c r="I163" i="4"/>
  <c r="P163" i="4"/>
  <c r="H163" i="4"/>
  <c r="O163" i="4"/>
  <c r="G163" i="4"/>
  <c r="O175" i="4"/>
  <c r="G175" i="4"/>
  <c r="N175" i="4"/>
  <c r="F175" i="4"/>
  <c r="M175" i="4"/>
  <c r="E175" i="4"/>
  <c r="L175" i="4"/>
  <c r="D175" i="4"/>
  <c r="S175" i="4"/>
  <c r="K175" i="4"/>
  <c r="R175" i="4"/>
  <c r="J175" i="4"/>
  <c r="Q175" i="4"/>
  <c r="P175" i="4"/>
  <c r="I175" i="4"/>
  <c r="H175" i="4"/>
  <c r="O191" i="4"/>
  <c r="G191" i="4"/>
  <c r="N191" i="4"/>
  <c r="F191" i="4"/>
  <c r="M191" i="4"/>
  <c r="E191" i="4"/>
  <c r="L191" i="4"/>
  <c r="D191" i="4"/>
  <c r="S191" i="4"/>
  <c r="K191" i="4"/>
  <c r="R191" i="4"/>
  <c r="J191" i="4"/>
  <c r="Q191" i="4"/>
  <c r="P191" i="4"/>
  <c r="I191" i="4"/>
  <c r="H191" i="4"/>
  <c r="O203" i="4"/>
  <c r="G203" i="4"/>
  <c r="N203" i="4"/>
  <c r="F203" i="4"/>
  <c r="M203" i="4"/>
  <c r="E203" i="4"/>
  <c r="L203" i="4"/>
  <c r="D203" i="4"/>
  <c r="S203" i="4"/>
  <c r="K203" i="4"/>
  <c r="R203" i="4"/>
  <c r="J203" i="4"/>
  <c r="Q203" i="4"/>
  <c r="P203" i="4"/>
  <c r="I203" i="4"/>
  <c r="H203" i="4"/>
  <c r="O219" i="4"/>
  <c r="G219" i="4"/>
  <c r="N219" i="4"/>
  <c r="F219" i="4"/>
  <c r="M219" i="4"/>
  <c r="E219" i="4"/>
  <c r="L219" i="4"/>
  <c r="D219" i="4"/>
  <c r="S219" i="4"/>
  <c r="K219" i="4"/>
  <c r="R219" i="4"/>
  <c r="J219" i="4"/>
  <c r="Q219" i="4"/>
  <c r="P219" i="4"/>
  <c r="I219" i="4"/>
  <c r="H219" i="4"/>
  <c r="O235" i="4"/>
  <c r="G235" i="4"/>
  <c r="N235" i="4"/>
  <c r="F235" i="4"/>
  <c r="M235" i="4"/>
  <c r="E235" i="4"/>
  <c r="L235" i="4"/>
  <c r="D235" i="4"/>
  <c r="S235" i="4"/>
  <c r="K235" i="4"/>
  <c r="R235" i="4"/>
  <c r="J235" i="4"/>
  <c r="Q235" i="4"/>
  <c r="P235" i="4"/>
  <c r="I235" i="4"/>
  <c r="H235" i="4"/>
  <c r="O247" i="4"/>
  <c r="G247" i="4"/>
  <c r="N247" i="4"/>
  <c r="F247" i="4"/>
  <c r="M247" i="4"/>
  <c r="E247" i="4"/>
  <c r="L247" i="4"/>
  <c r="D247" i="4"/>
  <c r="S247" i="4"/>
  <c r="K247" i="4"/>
  <c r="R247" i="4"/>
  <c r="J247" i="4"/>
  <c r="Q247" i="4"/>
  <c r="P247" i="4"/>
  <c r="I247" i="4"/>
  <c r="H247" i="4"/>
  <c r="O259" i="4"/>
  <c r="G259" i="4"/>
  <c r="N259" i="4"/>
  <c r="F259" i="4"/>
  <c r="M259" i="4"/>
  <c r="E259" i="4"/>
  <c r="L259" i="4"/>
  <c r="D259" i="4"/>
  <c r="S259" i="4"/>
  <c r="K259" i="4"/>
  <c r="R259" i="4"/>
  <c r="J259" i="4"/>
  <c r="Q259" i="4"/>
  <c r="P259" i="4"/>
  <c r="I259" i="4"/>
  <c r="H259" i="4"/>
  <c r="O279" i="4"/>
  <c r="G279" i="4"/>
  <c r="N279" i="4"/>
  <c r="F279" i="4"/>
  <c r="M279" i="4"/>
  <c r="E279" i="4"/>
  <c r="L279" i="4"/>
  <c r="D279" i="4"/>
  <c r="S279" i="4"/>
  <c r="K279" i="4"/>
  <c r="R279" i="4"/>
  <c r="J279" i="4"/>
  <c r="Q279" i="4"/>
  <c r="P279" i="4"/>
  <c r="I279" i="4"/>
  <c r="H279" i="4"/>
  <c r="O295" i="4"/>
  <c r="G295" i="4"/>
  <c r="N295" i="4"/>
  <c r="F295" i="4"/>
  <c r="M295" i="4"/>
  <c r="E295" i="4"/>
  <c r="L295" i="4"/>
  <c r="D295" i="4"/>
  <c r="S295" i="4"/>
  <c r="K295" i="4"/>
  <c r="R295" i="4"/>
  <c r="J295" i="4"/>
  <c r="I295" i="4"/>
  <c r="Q295" i="4"/>
  <c r="P295" i="4"/>
  <c r="O315" i="4"/>
  <c r="G315" i="4"/>
  <c r="N315" i="4"/>
  <c r="F315" i="4"/>
  <c r="M315" i="4"/>
  <c r="E315" i="4"/>
  <c r="L315" i="4"/>
  <c r="D315" i="4"/>
  <c r="S315" i="4"/>
  <c r="K315" i="4"/>
  <c r="R315" i="4"/>
  <c r="J315" i="4"/>
  <c r="I315" i="4"/>
  <c r="P315" i="4"/>
  <c r="H315" i="4"/>
  <c r="O327" i="4"/>
  <c r="G327" i="4"/>
  <c r="N327" i="4"/>
  <c r="F327" i="4"/>
  <c r="M327" i="4"/>
  <c r="E327" i="4"/>
  <c r="L327" i="4"/>
  <c r="D327" i="4"/>
  <c r="S327" i="4"/>
  <c r="K327" i="4"/>
  <c r="R327" i="4"/>
  <c r="J327" i="4"/>
  <c r="I327" i="4"/>
  <c r="Q327" i="4"/>
  <c r="P327" i="4"/>
  <c r="O343" i="4"/>
  <c r="G343" i="4"/>
  <c r="N343" i="4"/>
  <c r="F343" i="4"/>
  <c r="M343" i="4"/>
  <c r="E343" i="4"/>
  <c r="L343" i="4"/>
  <c r="D343" i="4"/>
  <c r="S343" i="4"/>
  <c r="K343" i="4"/>
  <c r="R343" i="4"/>
  <c r="J343" i="4"/>
  <c r="I343" i="4"/>
  <c r="Q343" i="4"/>
  <c r="P343" i="4"/>
  <c r="O359" i="4"/>
  <c r="G359" i="4"/>
  <c r="N359" i="4"/>
  <c r="F359" i="4"/>
  <c r="M359" i="4"/>
  <c r="E359" i="4"/>
  <c r="L359" i="4"/>
  <c r="D359" i="4"/>
  <c r="S359" i="4"/>
  <c r="K359" i="4"/>
  <c r="R359" i="4"/>
  <c r="J359" i="4"/>
  <c r="I359" i="4"/>
  <c r="H359" i="4"/>
  <c r="Q359" i="4"/>
  <c r="O371" i="4"/>
  <c r="G371" i="4"/>
  <c r="N371" i="4"/>
  <c r="F371" i="4"/>
  <c r="M371" i="4"/>
  <c r="E371" i="4"/>
  <c r="L371" i="4"/>
  <c r="D371" i="4"/>
  <c r="S371" i="4"/>
  <c r="K371" i="4"/>
  <c r="R371" i="4"/>
  <c r="J371" i="4"/>
  <c r="I371" i="4"/>
  <c r="Q371" i="4"/>
  <c r="H371" i="4"/>
  <c r="O383" i="4"/>
  <c r="G383" i="4"/>
  <c r="N383" i="4"/>
  <c r="F383" i="4"/>
  <c r="M383" i="4"/>
  <c r="E383" i="4"/>
  <c r="L383" i="4"/>
  <c r="D383" i="4"/>
  <c r="S383" i="4"/>
  <c r="K383" i="4"/>
  <c r="R383" i="4"/>
  <c r="J383" i="4"/>
  <c r="I383" i="4"/>
  <c r="Q383" i="4"/>
  <c r="P383" i="4"/>
  <c r="H383" i="4"/>
  <c r="O399" i="4"/>
  <c r="G399" i="4"/>
  <c r="N399" i="4"/>
  <c r="F399" i="4"/>
  <c r="M399" i="4"/>
  <c r="E399" i="4"/>
  <c r="L399" i="4"/>
  <c r="D399" i="4"/>
  <c r="S399" i="4"/>
  <c r="K399" i="4"/>
  <c r="R399" i="4"/>
  <c r="J399" i="4"/>
  <c r="I399" i="4"/>
  <c r="Q399" i="4"/>
  <c r="P399" i="4"/>
  <c r="H399" i="4"/>
  <c r="O415" i="4"/>
  <c r="G415" i="4"/>
  <c r="N415" i="4"/>
  <c r="F415" i="4"/>
  <c r="M415" i="4"/>
  <c r="E415" i="4"/>
  <c r="L415" i="4"/>
  <c r="D415" i="4"/>
  <c r="S415" i="4"/>
  <c r="K415" i="4"/>
  <c r="R415" i="4"/>
  <c r="J415" i="4"/>
  <c r="I415" i="4"/>
  <c r="Q415" i="4"/>
  <c r="P415" i="4"/>
  <c r="H415" i="4"/>
  <c r="O435" i="4"/>
  <c r="G435" i="4"/>
  <c r="N435" i="4"/>
  <c r="F435" i="4"/>
  <c r="M435" i="4"/>
  <c r="E435" i="4"/>
  <c r="L435" i="4"/>
  <c r="D435" i="4"/>
  <c r="S435" i="4"/>
  <c r="K435" i="4"/>
  <c r="R435" i="4"/>
  <c r="J435" i="4"/>
  <c r="I435" i="4"/>
  <c r="Q435" i="4"/>
  <c r="P435" i="4"/>
  <c r="H435" i="4"/>
  <c r="O447" i="4"/>
  <c r="G447" i="4"/>
  <c r="N447" i="4"/>
  <c r="F447" i="4"/>
  <c r="M447" i="4"/>
  <c r="E447" i="4"/>
  <c r="L447" i="4"/>
  <c r="D447" i="4"/>
  <c r="S447" i="4"/>
  <c r="K447" i="4"/>
  <c r="R447" i="4"/>
  <c r="J447" i="4"/>
  <c r="I447" i="4"/>
  <c r="Q447" i="4"/>
  <c r="P447" i="4"/>
  <c r="H447" i="4"/>
  <c r="O459" i="4"/>
  <c r="G459" i="4"/>
  <c r="N459" i="4"/>
  <c r="F459" i="4"/>
  <c r="M459" i="4"/>
  <c r="E459" i="4"/>
  <c r="L459" i="4"/>
  <c r="D459" i="4"/>
  <c r="S459" i="4"/>
  <c r="K459" i="4"/>
  <c r="R459" i="4"/>
  <c r="J459" i="4"/>
  <c r="I459" i="4"/>
  <c r="H459" i="4"/>
  <c r="Q459" i="4"/>
  <c r="P459" i="4"/>
  <c r="O479" i="4"/>
  <c r="G479" i="4"/>
  <c r="N479" i="4"/>
  <c r="F479" i="4"/>
  <c r="M479" i="4"/>
  <c r="E479" i="4"/>
  <c r="L479" i="4"/>
  <c r="D479" i="4"/>
  <c r="S479" i="4"/>
  <c r="K479" i="4"/>
  <c r="R479" i="4"/>
  <c r="J479" i="4"/>
  <c r="I479" i="4"/>
  <c r="H479" i="4"/>
  <c r="Q479" i="4"/>
  <c r="P479" i="4"/>
  <c r="O495" i="4"/>
  <c r="G495" i="4"/>
  <c r="N495" i="4"/>
  <c r="F495" i="4"/>
  <c r="M495" i="4"/>
  <c r="E495" i="4"/>
  <c r="L495" i="4"/>
  <c r="D495" i="4"/>
  <c r="S495" i="4"/>
  <c r="K495" i="4"/>
  <c r="R495" i="4"/>
  <c r="J495" i="4"/>
  <c r="I495" i="4"/>
  <c r="H495" i="4"/>
  <c r="Q495" i="4"/>
  <c r="P495" i="4"/>
  <c r="O511" i="4"/>
  <c r="G511" i="4"/>
  <c r="N511" i="4"/>
  <c r="F511" i="4"/>
  <c r="M511" i="4"/>
  <c r="E511" i="4"/>
  <c r="L511" i="4"/>
  <c r="D511" i="4"/>
  <c r="S511" i="4"/>
  <c r="K511" i="4"/>
  <c r="R511" i="4"/>
  <c r="J511" i="4"/>
  <c r="I511" i="4"/>
  <c r="H511" i="4"/>
  <c r="Q511" i="4"/>
  <c r="P511" i="4"/>
  <c r="O523" i="4"/>
  <c r="G523" i="4"/>
  <c r="N523" i="4"/>
  <c r="F523" i="4"/>
  <c r="M523" i="4"/>
  <c r="E523" i="4"/>
  <c r="L523" i="4"/>
  <c r="D523" i="4"/>
  <c r="S523" i="4"/>
  <c r="K523" i="4"/>
  <c r="R523" i="4"/>
  <c r="J523" i="4"/>
  <c r="I523" i="4"/>
  <c r="H523" i="4"/>
  <c r="Q523" i="4"/>
  <c r="P523" i="4"/>
  <c r="O539" i="4"/>
  <c r="G539" i="4"/>
  <c r="N539" i="4"/>
  <c r="F539" i="4"/>
  <c r="M539" i="4"/>
  <c r="E539" i="4"/>
  <c r="L539" i="4"/>
  <c r="D539" i="4"/>
  <c r="S539" i="4"/>
  <c r="K539" i="4"/>
  <c r="R539" i="4"/>
  <c r="J539" i="4"/>
  <c r="I539" i="4"/>
  <c r="H539" i="4"/>
  <c r="Q539" i="4"/>
  <c r="P539" i="4"/>
  <c r="O563" i="4"/>
  <c r="G563" i="4"/>
  <c r="N563" i="4"/>
  <c r="F563" i="4"/>
  <c r="M563" i="4"/>
  <c r="E563" i="4"/>
  <c r="L563" i="4"/>
  <c r="D563" i="4"/>
  <c r="S563" i="4"/>
  <c r="K563" i="4"/>
  <c r="R563" i="4"/>
  <c r="J563" i="4"/>
  <c r="I563" i="4"/>
  <c r="H563" i="4"/>
  <c r="Q563" i="4"/>
  <c r="P563" i="4"/>
  <c r="O583" i="4"/>
  <c r="G583" i="4"/>
  <c r="N583" i="4"/>
  <c r="F583" i="4"/>
  <c r="M583" i="4"/>
  <c r="E583" i="4"/>
  <c r="L583" i="4"/>
  <c r="D583" i="4"/>
  <c r="S583" i="4"/>
  <c r="K583" i="4"/>
  <c r="R583" i="4"/>
  <c r="J583" i="4"/>
  <c r="I583" i="4"/>
  <c r="H583" i="4"/>
  <c r="Q583" i="4"/>
  <c r="P583" i="4"/>
  <c r="O603" i="4"/>
  <c r="G603" i="4"/>
  <c r="N603" i="4"/>
  <c r="F603" i="4"/>
  <c r="M603" i="4"/>
  <c r="E603" i="4"/>
  <c r="L603" i="4"/>
  <c r="D603" i="4"/>
  <c r="S603" i="4"/>
  <c r="K603" i="4"/>
  <c r="R603" i="4"/>
  <c r="J603" i="4"/>
  <c r="I603" i="4"/>
  <c r="H603" i="4"/>
  <c r="Q603" i="4"/>
  <c r="P603" i="4"/>
  <c r="O623" i="4"/>
  <c r="G623" i="4"/>
  <c r="N623" i="4"/>
  <c r="F623" i="4"/>
  <c r="M623" i="4"/>
  <c r="E623" i="4"/>
  <c r="L623" i="4"/>
  <c r="D623" i="4"/>
  <c r="S623" i="4"/>
  <c r="K623" i="4"/>
  <c r="R623" i="4"/>
  <c r="J623" i="4"/>
  <c r="I623" i="4"/>
  <c r="H623" i="4"/>
  <c r="Q623" i="4"/>
  <c r="P623" i="4"/>
  <c r="O659" i="4"/>
  <c r="G659" i="4"/>
  <c r="N659" i="4"/>
  <c r="F659" i="4"/>
  <c r="M659" i="4"/>
  <c r="E659" i="4"/>
  <c r="L659" i="4"/>
  <c r="D659" i="4"/>
  <c r="S659" i="4"/>
  <c r="K659" i="4"/>
  <c r="R659" i="4"/>
  <c r="J659" i="4"/>
  <c r="I659" i="4"/>
  <c r="H659" i="4"/>
  <c r="Q659" i="4"/>
  <c r="P659" i="4"/>
  <c r="AF20" i="3" a="1"/>
  <c r="AF20" i="3" s="1"/>
  <c r="AN20" i="3"/>
  <c r="AE20" i="3"/>
  <c r="W20" i="3"/>
  <c r="O20" i="3"/>
  <c r="G20" i="3"/>
  <c r="AM20" i="3"/>
  <c r="AD20" i="3"/>
  <c r="V20" i="3"/>
  <c r="N20" i="3"/>
  <c r="F20" i="3"/>
  <c r="AL20" i="3"/>
  <c r="AC20" i="3"/>
  <c r="U20" i="3"/>
  <c r="M20" i="3"/>
  <c r="E20" i="3"/>
  <c r="AK20" i="3"/>
  <c r="AB20" i="3"/>
  <c r="T20" i="3"/>
  <c r="L20" i="3"/>
  <c r="D20" i="3"/>
  <c r="AJ20" i="3"/>
  <c r="AA20" i="3"/>
  <c r="S20" i="3"/>
  <c r="K20" i="3"/>
  <c r="AI20" i="3"/>
  <c r="Z20" i="3"/>
  <c r="R20" i="3"/>
  <c r="J20" i="3"/>
  <c r="I20" i="3"/>
  <c r="AH20" i="3"/>
  <c r="AG20" i="3"/>
  <c r="Y20" i="3"/>
  <c r="X20" i="3"/>
  <c r="Q20" i="3"/>
  <c r="P20" i="3"/>
  <c r="AF48" i="3" a="1"/>
  <c r="AF48" i="3" s="1"/>
  <c r="AN48" i="3"/>
  <c r="AE48" i="3"/>
  <c r="W48" i="3"/>
  <c r="O48" i="3"/>
  <c r="G48" i="3"/>
  <c r="AM48" i="3"/>
  <c r="AD48" i="3"/>
  <c r="V48" i="3"/>
  <c r="N48" i="3"/>
  <c r="F48" i="3"/>
  <c r="AL48" i="3"/>
  <c r="AC48" i="3"/>
  <c r="U48" i="3"/>
  <c r="M48" i="3"/>
  <c r="E48" i="3"/>
  <c r="AK48" i="3"/>
  <c r="AB48" i="3"/>
  <c r="T48" i="3"/>
  <c r="L48" i="3"/>
  <c r="D48" i="3"/>
  <c r="AJ48" i="3"/>
  <c r="AA48" i="3"/>
  <c r="S48" i="3"/>
  <c r="K48" i="3"/>
  <c r="AI48" i="3"/>
  <c r="Z48" i="3"/>
  <c r="R48" i="3"/>
  <c r="J48" i="3"/>
  <c r="Y48" i="3"/>
  <c r="X48" i="3"/>
  <c r="Q48" i="3"/>
  <c r="P48" i="3"/>
  <c r="I48" i="3"/>
  <c r="H48" i="3"/>
  <c r="AH48" i="3"/>
  <c r="AG48" i="3"/>
  <c r="AF68" i="3" a="1"/>
  <c r="AF68" i="3" s="1"/>
  <c r="AH68" i="3"/>
  <c r="Y68" i="3"/>
  <c r="Q68" i="3"/>
  <c r="I68" i="3"/>
  <c r="AJ68" i="3"/>
  <c r="Z68" i="3"/>
  <c r="P68" i="3"/>
  <c r="G68" i="3"/>
  <c r="AI68" i="3"/>
  <c r="X68" i="3"/>
  <c r="O68" i="3"/>
  <c r="F68" i="3"/>
  <c r="AG68" i="3"/>
  <c r="W68" i="3"/>
  <c r="N68" i="3"/>
  <c r="E68" i="3"/>
  <c r="AE68" i="3"/>
  <c r="V68" i="3"/>
  <c r="M68" i="3"/>
  <c r="D68" i="3"/>
  <c r="AN68" i="3"/>
  <c r="AD68" i="3"/>
  <c r="U68" i="3"/>
  <c r="L68" i="3"/>
  <c r="AM68" i="3"/>
  <c r="AC68" i="3"/>
  <c r="T68" i="3"/>
  <c r="K68" i="3"/>
  <c r="S68" i="3"/>
  <c r="R68" i="3"/>
  <c r="J68" i="3"/>
  <c r="H68" i="3"/>
  <c r="AL68" i="3"/>
  <c r="AK68" i="3"/>
  <c r="AB68" i="3"/>
  <c r="AA68" i="3"/>
  <c r="AF88" i="3" a="1"/>
  <c r="AF88" i="3" s="1"/>
  <c r="AH88" i="3"/>
  <c r="Y88" i="3"/>
  <c r="Q88" i="3"/>
  <c r="I88" i="3"/>
  <c r="AG88" i="3"/>
  <c r="X88" i="3"/>
  <c r="P88" i="3"/>
  <c r="H88" i="3"/>
  <c r="AN88" i="3"/>
  <c r="AE88" i="3"/>
  <c r="W88" i="3"/>
  <c r="O88" i="3"/>
  <c r="G88" i="3"/>
  <c r="AM88" i="3"/>
  <c r="AD88" i="3"/>
  <c r="V88" i="3"/>
  <c r="N88" i="3"/>
  <c r="F88" i="3"/>
  <c r="AL88" i="3"/>
  <c r="AC88" i="3"/>
  <c r="U88" i="3"/>
  <c r="M88" i="3"/>
  <c r="E88" i="3"/>
  <c r="AK88" i="3"/>
  <c r="AB88" i="3"/>
  <c r="T88" i="3"/>
  <c r="L88" i="3"/>
  <c r="D88" i="3"/>
  <c r="AI88" i="3"/>
  <c r="AA88" i="3"/>
  <c r="Z88" i="3"/>
  <c r="S88" i="3"/>
  <c r="R88" i="3"/>
  <c r="K88" i="3"/>
  <c r="J88" i="3"/>
  <c r="AJ88" i="3"/>
  <c r="AF112" i="3" a="1"/>
  <c r="AF112" i="3" s="1"/>
  <c r="AL112" i="3"/>
  <c r="AC112" i="3"/>
  <c r="U112" i="3"/>
  <c r="M112" i="3"/>
  <c r="E112" i="3"/>
  <c r="AK112" i="3"/>
  <c r="AB112" i="3"/>
  <c r="T112" i="3"/>
  <c r="L112" i="3"/>
  <c r="D112" i="3"/>
  <c r="AJ112" i="3"/>
  <c r="AA112" i="3"/>
  <c r="S112" i="3"/>
  <c r="K112" i="3"/>
  <c r="AI112" i="3"/>
  <c r="Z112" i="3"/>
  <c r="R112" i="3"/>
  <c r="J112" i="3"/>
  <c r="AH112" i="3"/>
  <c r="Y112" i="3"/>
  <c r="Q112" i="3"/>
  <c r="I112" i="3"/>
  <c r="AG112" i="3"/>
  <c r="X112" i="3"/>
  <c r="P112" i="3"/>
  <c r="H112" i="3"/>
  <c r="O112" i="3"/>
  <c r="N112" i="3"/>
  <c r="AN112" i="3"/>
  <c r="G112" i="3"/>
  <c r="AM112" i="3"/>
  <c r="F112" i="3"/>
  <c r="AE112" i="3"/>
  <c r="AD112" i="3"/>
  <c r="W112" i="3"/>
  <c r="V112" i="3"/>
  <c r="AF136" i="3" a="1"/>
  <c r="AF136" i="3" s="1"/>
  <c r="AL136" i="3"/>
  <c r="AC136" i="3"/>
  <c r="U136" i="3"/>
  <c r="M136" i="3"/>
  <c r="E136" i="3"/>
  <c r="AK136" i="3"/>
  <c r="AB136" i="3"/>
  <c r="T136" i="3"/>
  <c r="L136" i="3"/>
  <c r="D136" i="3"/>
  <c r="AJ136" i="3"/>
  <c r="AA136" i="3"/>
  <c r="S136" i="3"/>
  <c r="K136" i="3"/>
  <c r="AI136" i="3"/>
  <c r="Z136" i="3"/>
  <c r="R136" i="3"/>
  <c r="J136" i="3"/>
  <c r="AH136" i="3"/>
  <c r="Y136" i="3"/>
  <c r="Q136" i="3"/>
  <c r="I136" i="3"/>
  <c r="AG136" i="3"/>
  <c r="X136" i="3"/>
  <c r="P136" i="3"/>
  <c r="H136" i="3"/>
  <c r="O136" i="3"/>
  <c r="N136" i="3"/>
  <c r="AN136" i="3"/>
  <c r="G136" i="3"/>
  <c r="AM136" i="3"/>
  <c r="F136" i="3"/>
  <c r="AE136" i="3"/>
  <c r="AD136" i="3"/>
  <c r="W136" i="3"/>
  <c r="V136" i="3"/>
  <c r="AF152" i="3" a="1"/>
  <c r="AF152" i="3" s="1"/>
  <c r="AL152" i="3"/>
  <c r="AC152" i="3"/>
  <c r="U152" i="3"/>
  <c r="M152" i="3"/>
  <c r="E152" i="3"/>
  <c r="AK152" i="3"/>
  <c r="AB152" i="3"/>
  <c r="T152" i="3"/>
  <c r="L152" i="3"/>
  <c r="D152" i="3"/>
  <c r="AJ152" i="3"/>
  <c r="AA152" i="3"/>
  <c r="S152" i="3"/>
  <c r="K152" i="3"/>
  <c r="AI152" i="3"/>
  <c r="Z152" i="3"/>
  <c r="R152" i="3"/>
  <c r="J152" i="3"/>
  <c r="AH152" i="3"/>
  <c r="Y152" i="3"/>
  <c r="Q152" i="3"/>
  <c r="I152" i="3"/>
  <c r="AG152" i="3"/>
  <c r="X152" i="3"/>
  <c r="P152" i="3"/>
  <c r="H152" i="3"/>
  <c r="O152" i="3"/>
  <c r="N152" i="3"/>
  <c r="AN152" i="3"/>
  <c r="G152" i="3"/>
  <c r="AM152" i="3"/>
  <c r="F152" i="3"/>
  <c r="AE152" i="3"/>
  <c r="AD152" i="3"/>
  <c r="V152" i="3"/>
  <c r="W152" i="3"/>
  <c r="AF168" i="3" a="1"/>
  <c r="AF168" i="3" s="1"/>
  <c r="AL168" i="3"/>
  <c r="AC168" i="3"/>
  <c r="U168" i="3"/>
  <c r="M168" i="3"/>
  <c r="E168" i="3"/>
  <c r="AK168" i="3"/>
  <c r="AB168" i="3"/>
  <c r="T168" i="3"/>
  <c r="L168" i="3"/>
  <c r="D168" i="3"/>
  <c r="AJ168" i="3"/>
  <c r="AA168" i="3"/>
  <c r="S168" i="3"/>
  <c r="K168" i="3"/>
  <c r="AI168" i="3"/>
  <c r="Z168" i="3"/>
  <c r="R168" i="3"/>
  <c r="J168" i="3"/>
  <c r="AH168" i="3"/>
  <c r="Y168" i="3"/>
  <c r="Q168" i="3"/>
  <c r="I168" i="3"/>
  <c r="AG168" i="3"/>
  <c r="X168" i="3"/>
  <c r="P168" i="3"/>
  <c r="H168" i="3"/>
  <c r="O168" i="3"/>
  <c r="N168" i="3"/>
  <c r="AN168" i="3"/>
  <c r="G168" i="3"/>
  <c r="AM168" i="3"/>
  <c r="F168" i="3"/>
  <c r="AE168" i="3"/>
  <c r="AD168" i="3"/>
  <c r="W168" i="3"/>
  <c r="V168" i="3"/>
  <c r="AF188" i="3" a="1"/>
  <c r="AF188" i="3" s="1"/>
  <c r="AL188" i="3"/>
  <c r="AC188" i="3"/>
  <c r="U188" i="3"/>
  <c r="M188" i="3"/>
  <c r="E188" i="3"/>
  <c r="AK188" i="3"/>
  <c r="AB188" i="3"/>
  <c r="T188" i="3"/>
  <c r="L188" i="3"/>
  <c r="D188" i="3"/>
  <c r="AJ188" i="3"/>
  <c r="AA188" i="3"/>
  <c r="S188" i="3"/>
  <c r="K188" i="3"/>
  <c r="AI188" i="3"/>
  <c r="Z188" i="3"/>
  <c r="R188" i="3"/>
  <c r="J188" i="3"/>
  <c r="AH188" i="3"/>
  <c r="Y188" i="3"/>
  <c r="Q188" i="3"/>
  <c r="I188" i="3"/>
  <c r="AG188" i="3"/>
  <c r="X188" i="3"/>
  <c r="P188" i="3"/>
  <c r="H188" i="3"/>
  <c r="AE188" i="3"/>
  <c r="AD188" i="3"/>
  <c r="W188" i="3"/>
  <c r="V188" i="3"/>
  <c r="O188" i="3"/>
  <c r="N188" i="3"/>
  <c r="AN188" i="3"/>
  <c r="G188" i="3"/>
  <c r="AM188" i="3"/>
  <c r="F188" i="3"/>
  <c r="AF204" i="3" a="1"/>
  <c r="AF204" i="3" s="1"/>
  <c r="AL204" i="3"/>
  <c r="AC204" i="3"/>
  <c r="U204" i="3"/>
  <c r="M204" i="3"/>
  <c r="E204" i="3"/>
  <c r="AK204" i="3"/>
  <c r="AB204" i="3"/>
  <c r="T204" i="3"/>
  <c r="L204" i="3"/>
  <c r="D204" i="3"/>
  <c r="AJ204" i="3"/>
  <c r="AA204" i="3"/>
  <c r="S204" i="3"/>
  <c r="K204" i="3"/>
  <c r="AI204" i="3"/>
  <c r="Z204" i="3"/>
  <c r="R204" i="3"/>
  <c r="J204" i="3"/>
  <c r="AH204" i="3"/>
  <c r="Y204" i="3"/>
  <c r="Q204" i="3"/>
  <c r="I204" i="3"/>
  <c r="AG204" i="3"/>
  <c r="X204" i="3"/>
  <c r="P204" i="3"/>
  <c r="H204" i="3"/>
  <c r="AE204" i="3"/>
  <c r="AD204" i="3"/>
  <c r="W204" i="3"/>
  <c r="V204" i="3"/>
  <c r="O204" i="3"/>
  <c r="N204" i="3"/>
  <c r="AN204" i="3"/>
  <c r="G204" i="3"/>
  <c r="AM204" i="3"/>
  <c r="F204" i="3"/>
  <c r="AF224" i="3" a="1"/>
  <c r="AF224" i="3" s="1"/>
  <c r="AL224" i="3"/>
  <c r="AC224" i="3"/>
  <c r="U224" i="3"/>
  <c r="M224" i="3"/>
  <c r="E224" i="3"/>
  <c r="AK224" i="3"/>
  <c r="AB224" i="3"/>
  <c r="T224" i="3"/>
  <c r="L224" i="3"/>
  <c r="D224" i="3"/>
  <c r="AJ224" i="3"/>
  <c r="AA224" i="3"/>
  <c r="S224" i="3"/>
  <c r="K224" i="3"/>
  <c r="AH224" i="3"/>
  <c r="Y224" i="3"/>
  <c r="Q224" i="3"/>
  <c r="I224" i="3"/>
  <c r="AG224" i="3"/>
  <c r="X224" i="3"/>
  <c r="P224" i="3"/>
  <c r="H224" i="3"/>
  <c r="W224" i="3"/>
  <c r="V224" i="3"/>
  <c r="AN224" i="3"/>
  <c r="R224" i="3"/>
  <c r="AM224" i="3"/>
  <c r="O224" i="3"/>
  <c r="AI224" i="3"/>
  <c r="N224" i="3"/>
  <c r="AE224" i="3"/>
  <c r="J224" i="3"/>
  <c r="AD224" i="3"/>
  <c r="Z224" i="3"/>
  <c r="G224" i="3"/>
  <c r="F224" i="3"/>
  <c r="AF240" i="3" a="1"/>
  <c r="AF240" i="3" s="1"/>
  <c r="AL240" i="3"/>
  <c r="AC240" i="3"/>
  <c r="U240" i="3"/>
  <c r="M240" i="3"/>
  <c r="E240" i="3"/>
  <c r="AK240" i="3"/>
  <c r="AB240" i="3"/>
  <c r="T240" i="3"/>
  <c r="L240" i="3"/>
  <c r="D240" i="3"/>
  <c r="AJ240" i="3"/>
  <c r="AA240" i="3"/>
  <c r="S240" i="3"/>
  <c r="K240" i="3"/>
  <c r="AI240" i="3"/>
  <c r="Z240" i="3"/>
  <c r="R240" i="3"/>
  <c r="J240" i="3"/>
  <c r="AH240" i="3"/>
  <c r="Y240" i="3"/>
  <c r="Q240" i="3"/>
  <c r="I240" i="3"/>
  <c r="AG240" i="3"/>
  <c r="X240" i="3"/>
  <c r="P240" i="3"/>
  <c r="H240" i="3"/>
  <c r="W240" i="3"/>
  <c r="V240" i="3"/>
  <c r="O240" i="3"/>
  <c r="N240" i="3"/>
  <c r="AN240" i="3"/>
  <c r="G240" i="3"/>
  <c r="AM240" i="3"/>
  <c r="F240" i="3"/>
  <c r="AE240" i="3"/>
  <c r="AD240" i="3"/>
  <c r="AF260" i="3" a="1"/>
  <c r="AF260" i="3" s="1"/>
  <c r="AL260" i="3"/>
  <c r="AC260" i="3"/>
  <c r="U260" i="3"/>
  <c r="M260" i="3"/>
  <c r="E260" i="3"/>
  <c r="AK260" i="3"/>
  <c r="AB260" i="3"/>
  <c r="T260" i="3"/>
  <c r="L260" i="3"/>
  <c r="D260" i="3"/>
  <c r="AJ260" i="3"/>
  <c r="AA260" i="3"/>
  <c r="S260" i="3"/>
  <c r="K260" i="3"/>
  <c r="AI260" i="3"/>
  <c r="Z260" i="3"/>
  <c r="R260" i="3"/>
  <c r="J260" i="3"/>
  <c r="AH260" i="3"/>
  <c r="Y260" i="3"/>
  <c r="Q260" i="3"/>
  <c r="I260" i="3"/>
  <c r="AG260" i="3"/>
  <c r="X260" i="3"/>
  <c r="P260" i="3"/>
  <c r="H260" i="3"/>
  <c r="AN260" i="3"/>
  <c r="G260" i="3"/>
  <c r="AM260" i="3"/>
  <c r="F260" i="3"/>
  <c r="AE260" i="3"/>
  <c r="AD260" i="3"/>
  <c r="W260" i="3"/>
  <c r="V260" i="3"/>
  <c r="O260" i="3"/>
  <c r="N260" i="3"/>
  <c r="AF280" i="3" a="1"/>
  <c r="AF280" i="3" s="1"/>
  <c r="AI280" i="3"/>
  <c r="Z280" i="3"/>
  <c r="R280" i="3"/>
  <c r="J280" i="3"/>
  <c r="AH280" i="3"/>
  <c r="Y280" i="3"/>
  <c r="Q280" i="3"/>
  <c r="I280" i="3"/>
  <c r="AG280" i="3"/>
  <c r="X280" i="3"/>
  <c r="P280" i="3"/>
  <c r="H280" i="3"/>
  <c r="AM280" i="3"/>
  <c r="AD280" i="3"/>
  <c r="V280" i="3"/>
  <c r="N280" i="3"/>
  <c r="F280" i="3"/>
  <c r="AL280" i="3"/>
  <c r="AC280" i="3"/>
  <c r="U280" i="3"/>
  <c r="M280" i="3"/>
  <c r="E280" i="3"/>
  <c r="AB280" i="3"/>
  <c r="G280" i="3"/>
  <c r="AA280" i="3"/>
  <c r="D280" i="3"/>
  <c r="W280" i="3"/>
  <c r="T280" i="3"/>
  <c r="AN280" i="3"/>
  <c r="S280" i="3"/>
  <c r="AK280" i="3"/>
  <c r="O280" i="3"/>
  <c r="AJ280" i="3"/>
  <c r="AE280" i="3"/>
  <c r="L280" i="3"/>
  <c r="K280" i="3"/>
  <c r="AF296" i="3" a="1"/>
  <c r="AF296" i="3" s="1"/>
  <c r="AI296" i="3"/>
  <c r="Z296" i="3"/>
  <c r="R296" i="3"/>
  <c r="J296" i="3"/>
  <c r="AH296" i="3"/>
  <c r="Y296" i="3"/>
  <c r="Q296" i="3"/>
  <c r="I296" i="3"/>
  <c r="AG296" i="3"/>
  <c r="X296" i="3"/>
  <c r="P296" i="3"/>
  <c r="H296" i="3"/>
  <c r="AM296" i="3"/>
  <c r="AD296" i="3"/>
  <c r="V296" i="3"/>
  <c r="N296" i="3"/>
  <c r="F296" i="3"/>
  <c r="AL296" i="3"/>
  <c r="AC296" i="3"/>
  <c r="U296" i="3"/>
  <c r="M296" i="3"/>
  <c r="E296" i="3"/>
  <c r="AB296" i="3"/>
  <c r="G296" i="3"/>
  <c r="AA296" i="3"/>
  <c r="D296" i="3"/>
  <c r="W296" i="3"/>
  <c r="T296" i="3"/>
  <c r="AN296" i="3"/>
  <c r="S296" i="3"/>
  <c r="AK296" i="3"/>
  <c r="O296" i="3"/>
  <c r="L296" i="3"/>
  <c r="K296" i="3"/>
  <c r="AJ296" i="3"/>
  <c r="AE296" i="3"/>
  <c r="AF316" i="3" a="1"/>
  <c r="AF316" i="3" s="1"/>
  <c r="AI316" i="3"/>
  <c r="Z316" i="3"/>
  <c r="R316" i="3"/>
  <c r="J316" i="3"/>
  <c r="AH316" i="3"/>
  <c r="Y316" i="3"/>
  <c r="Q316" i="3"/>
  <c r="I316" i="3"/>
  <c r="AG316" i="3"/>
  <c r="X316" i="3"/>
  <c r="P316" i="3"/>
  <c r="H316" i="3"/>
  <c r="AM316" i="3"/>
  <c r="AD316" i="3"/>
  <c r="V316" i="3"/>
  <c r="N316" i="3"/>
  <c r="F316" i="3"/>
  <c r="AL316" i="3"/>
  <c r="AC316" i="3"/>
  <c r="U316" i="3"/>
  <c r="M316" i="3"/>
  <c r="E316" i="3"/>
  <c r="AJ316" i="3"/>
  <c r="L316" i="3"/>
  <c r="AE316" i="3"/>
  <c r="K316" i="3"/>
  <c r="AB316" i="3"/>
  <c r="G316" i="3"/>
  <c r="AA316" i="3"/>
  <c r="D316" i="3"/>
  <c r="W316" i="3"/>
  <c r="T316" i="3"/>
  <c r="AN316" i="3"/>
  <c r="AK316" i="3"/>
  <c r="S316" i="3"/>
  <c r="O316" i="3"/>
  <c r="AF336" i="3" a="1"/>
  <c r="AF336" i="3" s="1"/>
  <c r="AH336" i="3"/>
  <c r="Y336" i="3"/>
  <c r="Q336" i="3"/>
  <c r="I336" i="3"/>
  <c r="AG336" i="3"/>
  <c r="X336" i="3"/>
  <c r="P336" i="3"/>
  <c r="H336" i="3"/>
  <c r="AN336" i="3"/>
  <c r="AE336" i="3"/>
  <c r="W336" i="3"/>
  <c r="O336" i="3"/>
  <c r="G336" i="3"/>
  <c r="AL336" i="3"/>
  <c r="AC336" i="3"/>
  <c r="U336" i="3"/>
  <c r="M336" i="3"/>
  <c r="E336" i="3"/>
  <c r="AJ336" i="3"/>
  <c r="S336" i="3"/>
  <c r="AI336" i="3"/>
  <c r="R336" i="3"/>
  <c r="AD336" i="3"/>
  <c r="N336" i="3"/>
  <c r="AA336" i="3"/>
  <c r="K336" i="3"/>
  <c r="Z336" i="3"/>
  <c r="J336" i="3"/>
  <c r="L336" i="3"/>
  <c r="F336" i="3"/>
  <c r="D336" i="3"/>
  <c r="AM336" i="3"/>
  <c r="AK336" i="3"/>
  <c r="AB336" i="3"/>
  <c r="V336" i="3"/>
  <c r="T336" i="3"/>
  <c r="AF352" i="3" a="1"/>
  <c r="AF352" i="3" s="1"/>
  <c r="AH352" i="3"/>
  <c r="Y352" i="3"/>
  <c r="Q352" i="3"/>
  <c r="I352" i="3"/>
  <c r="AG352" i="3"/>
  <c r="X352" i="3"/>
  <c r="P352" i="3"/>
  <c r="H352" i="3"/>
  <c r="AN352" i="3"/>
  <c r="AE352" i="3"/>
  <c r="W352" i="3"/>
  <c r="O352" i="3"/>
  <c r="G352" i="3"/>
  <c r="AM352" i="3"/>
  <c r="AD352" i="3"/>
  <c r="V352" i="3"/>
  <c r="N352" i="3"/>
  <c r="F352" i="3"/>
  <c r="AL352" i="3"/>
  <c r="AC352" i="3"/>
  <c r="U352" i="3"/>
  <c r="M352" i="3"/>
  <c r="E352" i="3"/>
  <c r="AK352" i="3"/>
  <c r="R352" i="3"/>
  <c r="AJ352" i="3"/>
  <c r="L352" i="3"/>
  <c r="AI352" i="3"/>
  <c r="K352" i="3"/>
  <c r="AA352" i="3"/>
  <c r="D352" i="3"/>
  <c r="Z352" i="3"/>
  <c r="AB352" i="3"/>
  <c r="T352" i="3"/>
  <c r="S352" i="3"/>
  <c r="J352" i="3"/>
  <c r="AF372" i="3" a="1"/>
  <c r="AF372" i="3" s="1"/>
  <c r="AH372" i="3"/>
  <c r="Y372" i="3"/>
  <c r="Q372" i="3"/>
  <c r="I372" i="3"/>
  <c r="AG372" i="3"/>
  <c r="X372" i="3"/>
  <c r="P372" i="3"/>
  <c r="H372" i="3"/>
  <c r="AN372" i="3"/>
  <c r="AE372" i="3"/>
  <c r="W372" i="3"/>
  <c r="O372" i="3"/>
  <c r="G372" i="3"/>
  <c r="AM372" i="3"/>
  <c r="AD372" i="3"/>
  <c r="V372" i="3"/>
  <c r="N372" i="3"/>
  <c r="F372" i="3"/>
  <c r="AL372" i="3"/>
  <c r="AC372" i="3"/>
  <c r="U372" i="3"/>
  <c r="M372" i="3"/>
  <c r="E372" i="3"/>
  <c r="T372" i="3"/>
  <c r="S372" i="3"/>
  <c r="AK372" i="3"/>
  <c r="R372" i="3"/>
  <c r="AI372" i="3"/>
  <c r="K372" i="3"/>
  <c r="AB372" i="3"/>
  <c r="J372" i="3"/>
  <c r="AJ372" i="3"/>
  <c r="AA372" i="3"/>
  <c r="Z372" i="3"/>
  <c r="L372" i="3"/>
  <c r="D372" i="3"/>
  <c r="AF392" i="3" a="1"/>
  <c r="AF392" i="3" s="1"/>
  <c r="AH392" i="3"/>
  <c r="Y392" i="3"/>
  <c r="Q392" i="3"/>
  <c r="I392" i="3"/>
  <c r="AG392" i="3"/>
  <c r="X392" i="3"/>
  <c r="P392" i="3"/>
  <c r="H392" i="3"/>
  <c r="AN392" i="3"/>
  <c r="AE392" i="3"/>
  <c r="W392" i="3"/>
  <c r="O392" i="3"/>
  <c r="G392" i="3"/>
  <c r="AM392" i="3"/>
  <c r="AD392" i="3"/>
  <c r="V392" i="3"/>
  <c r="N392" i="3"/>
  <c r="F392" i="3"/>
  <c r="AL392" i="3"/>
  <c r="AC392" i="3"/>
  <c r="U392" i="3"/>
  <c r="M392" i="3"/>
  <c r="E392" i="3"/>
  <c r="AK392" i="3"/>
  <c r="AB392" i="3"/>
  <c r="T392" i="3"/>
  <c r="L392" i="3"/>
  <c r="D392" i="3"/>
  <c r="AJ392" i="3"/>
  <c r="AI392" i="3"/>
  <c r="AA392" i="3"/>
  <c r="Z392" i="3"/>
  <c r="S392" i="3"/>
  <c r="R392" i="3"/>
  <c r="K392" i="3"/>
  <c r="J392" i="3"/>
  <c r="AF404" i="3" a="1"/>
  <c r="AF404" i="3" s="1"/>
  <c r="AH404" i="3"/>
  <c r="Y404" i="3"/>
  <c r="Q404" i="3"/>
  <c r="I404" i="3"/>
  <c r="AG404" i="3"/>
  <c r="X404" i="3"/>
  <c r="P404" i="3"/>
  <c r="H404" i="3"/>
  <c r="AN404" i="3"/>
  <c r="AE404" i="3"/>
  <c r="W404" i="3"/>
  <c r="O404" i="3"/>
  <c r="G404" i="3"/>
  <c r="AM404" i="3"/>
  <c r="AD404" i="3"/>
  <c r="V404" i="3"/>
  <c r="N404" i="3"/>
  <c r="F404" i="3"/>
  <c r="AL404" i="3"/>
  <c r="AC404" i="3"/>
  <c r="U404" i="3"/>
  <c r="M404" i="3"/>
  <c r="E404" i="3"/>
  <c r="AK404" i="3"/>
  <c r="AB404" i="3"/>
  <c r="T404" i="3"/>
  <c r="L404" i="3"/>
  <c r="D404" i="3"/>
  <c r="S404" i="3"/>
  <c r="R404" i="3"/>
  <c r="K404" i="3"/>
  <c r="J404" i="3"/>
  <c r="AJ404" i="3"/>
  <c r="AA404" i="3"/>
  <c r="Z404" i="3"/>
  <c r="AI404" i="3"/>
  <c r="AF420" i="3" a="1"/>
  <c r="AF420" i="3" s="1"/>
  <c r="AH420" i="3"/>
  <c r="Y420" i="3"/>
  <c r="Q420" i="3"/>
  <c r="I420" i="3"/>
  <c r="AG420" i="3"/>
  <c r="X420" i="3"/>
  <c r="P420" i="3"/>
  <c r="H420" i="3"/>
  <c r="AN420" i="3"/>
  <c r="AE420" i="3"/>
  <c r="W420" i="3"/>
  <c r="O420" i="3"/>
  <c r="G420" i="3"/>
  <c r="AM420" i="3"/>
  <c r="AD420" i="3"/>
  <c r="V420" i="3"/>
  <c r="N420" i="3"/>
  <c r="F420" i="3"/>
  <c r="AL420" i="3"/>
  <c r="AC420" i="3"/>
  <c r="U420" i="3"/>
  <c r="M420" i="3"/>
  <c r="E420" i="3"/>
  <c r="AK420" i="3"/>
  <c r="AB420" i="3"/>
  <c r="T420" i="3"/>
  <c r="L420" i="3"/>
  <c r="D420" i="3"/>
  <c r="S420" i="3"/>
  <c r="R420" i="3"/>
  <c r="K420" i="3"/>
  <c r="J420" i="3"/>
  <c r="AJ420" i="3"/>
  <c r="AI420" i="3"/>
  <c r="AA420" i="3"/>
  <c r="Z420" i="3"/>
  <c r="AF440" i="3" a="1"/>
  <c r="AF440" i="3" s="1"/>
  <c r="AM440" i="3"/>
  <c r="AD440" i="3"/>
  <c r="V440" i="3"/>
  <c r="N440" i="3"/>
  <c r="F440" i="3"/>
  <c r="AL440" i="3"/>
  <c r="AC440" i="3"/>
  <c r="U440" i="3"/>
  <c r="M440" i="3"/>
  <c r="E440" i="3"/>
  <c r="AK440" i="3"/>
  <c r="AB440" i="3"/>
  <c r="T440" i="3"/>
  <c r="L440" i="3"/>
  <c r="D440" i="3"/>
  <c r="AI440" i="3"/>
  <c r="Z440" i="3"/>
  <c r="R440" i="3"/>
  <c r="J440" i="3"/>
  <c r="AH440" i="3"/>
  <c r="Y440" i="3"/>
  <c r="Q440" i="3"/>
  <c r="I440" i="3"/>
  <c r="AG440" i="3"/>
  <c r="K440" i="3"/>
  <c r="AE440" i="3"/>
  <c r="H440" i="3"/>
  <c r="AA440" i="3"/>
  <c r="G440" i="3"/>
  <c r="X440" i="3"/>
  <c r="W440" i="3"/>
  <c r="S440" i="3"/>
  <c r="P440" i="3"/>
  <c r="O440" i="3"/>
  <c r="AN440" i="3"/>
  <c r="AJ440" i="3"/>
  <c r="AF460" i="3" a="1"/>
  <c r="AF460" i="3" s="1"/>
  <c r="AM460" i="3"/>
  <c r="AD460" i="3"/>
  <c r="V460" i="3"/>
  <c r="N460" i="3"/>
  <c r="F460" i="3"/>
  <c r="AL460" i="3"/>
  <c r="AC460" i="3"/>
  <c r="U460" i="3"/>
  <c r="M460" i="3"/>
  <c r="E460" i="3"/>
  <c r="AK460" i="3"/>
  <c r="AB460" i="3"/>
  <c r="T460" i="3"/>
  <c r="L460" i="3"/>
  <c r="D460" i="3"/>
  <c r="AJ460" i="3"/>
  <c r="AA460" i="3"/>
  <c r="S460" i="3"/>
  <c r="K460" i="3"/>
  <c r="AI460" i="3"/>
  <c r="Z460" i="3"/>
  <c r="R460" i="3"/>
  <c r="J460" i="3"/>
  <c r="AH460" i="3"/>
  <c r="Y460" i="3"/>
  <c r="Q460" i="3"/>
  <c r="I460" i="3"/>
  <c r="X460" i="3"/>
  <c r="W460" i="3"/>
  <c r="P460" i="3"/>
  <c r="O460" i="3"/>
  <c r="H460" i="3"/>
  <c r="AN460" i="3"/>
  <c r="G460" i="3"/>
  <c r="AG460" i="3"/>
  <c r="AE460" i="3"/>
  <c r="AF472" i="3" a="1"/>
  <c r="AF472" i="3" s="1"/>
  <c r="AM472" i="3"/>
  <c r="AD472" i="3"/>
  <c r="V472" i="3"/>
  <c r="N472" i="3"/>
  <c r="F472" i="3"/>
  <c r="AL472" i="3"/>
  <c r="AC472" i="3"/>
  <c r="U472" i="3"/>
  <c r="M472" i="3"/>
  <c r="E472" i="3"/>
  <c r="AK472" i="3"/>
  <c r="AB472" i="3"/>
  <c r="T472" i="3"/>
  <c r="L472" i="3"/>
  <c r="D472" i="3"/>
  <c r="AJ472" i="3"/>
  <c r="AA472" i="3"/>
  <c r="S472" i="3"/>
  <c r="K472" i="3"/>
  <c r="AI472" i="3"/>
  <c r="Z472" i="3"/>
  <c r="R472" i="3"/>
  <c r="J472" i="3"/>
  <c r="AH472" i="3"/>
  <c r="Y472" i="3"/>
  <c r="Q472" i="3"/>
  <c r="I472" i="3"/>
  <c r="H472" i="3"/>
  <c r="AN472" i="3"/>
  <c r="G472" i="3"/>
  <c r="AG472" i="3"/>
  <c r="AE472" i="3"/>
  <c r="X472" i="3"/>
  <c r="W472" i="3"/>
  <c r="P472" i="3"/>
  <c r="O472" i="3"/>
  <c r="AF488" i="3" a="1"/>
  <c r="AF488" i="3" s="1"/>
  <c r="AM488" i="3"/>
  <c r="AD488" i="3"/>
  <c r="V488" i="3"/>
  <c r="N488" i="3"/>
  <c r="F488" i="3"/>
  <c r="AL488" i="3"/>
  <c r="AC488" i="3"/>
  <c r="U488" i="3"/>
  <c r="M488" i="3"/>
  <c r="E488" i="3"/>
  <c r="AK488" i="3"/>
  <c r="AB488" i="3"/>
  <c r="T488" i="3"/>
  <c r="L488" i="3"/>
  <c r="D488" i="3"/>
  <c r="AJ488" i="3"/>
  <c r="AA488" i="3"/>
  <c r="S488" i="3"/>
  <c r="K488" i="3"/>
  <c r="AI488" i="3"/>
  <c r="Z488" i="3"/>
  <c r="R488" i="3"/>
  <c r="J488" i="3"/>
  <c r="AH488" i="3"/>
  <c r="Y488" i="3"/>
  <c r="Q488" i="3"/>
  <c r="I488" i="3"/>
  <c r="H488" i="3"/>
  <c r="AN488" i="3"/>
  <c r="G488" i="3"/>
  <c r="AG488" i="3"/>
  <c r="AE488" i="3"/>
  <c r="X488" i="3"/>
  <c r="W488" i="3"/>
  <c r="P488" i="3"/>
  <c r="O488" i="3"/>
  <c r="AF512" i="3" a="1"/>
  <c r="AF512" i="3" s="1"/>
  <c r="AM512" i="3"/>
  <c r="AD512" i="3"/>
  <c r="V512" i="3"/>
  <c r="N512" i="3"/>
  <c r="F512" i="3"/>
  <c r="AL512" i="3"/>
  <c r="AC512" i="3"/>
  <c r="U512" i="3"/>
  <c r="M512" i="3"/>
  <c r="E512" i="3"/>
  <c r="AK512" i="3"/>
  <c r="AB512" i="3"/>
  <c r="T512" i="3"/>
  <c r="L512" i="3"/>
  <c r="D512" i="3"/>
  <c r="AI512" i="3"/>
  <c r="Z512" i="3"/>
  <c r="R512" i="3"/>
  <c r="J512" i="3"/>
  <c r="AH512" i="3"/>
  <c r="Y512" i="3"/>
  <c r="Q512" i="3"/>
  <c r="I512" i="3"/>
  <c r="X512" i="3"/>
  <c r="W512" i="3"/>
  <c r="S512" i="3"/>
  <c r="AN512" i="3"/>
  <c r="P512" i="3"/>
  <c r="AJ512" i="3"/>
  <c r="O512" i="3"/>
  <c r="AG512" i="3"/>
  <c r="K512" i="3"/>
  <c r="AE512" i="3"/>
  <c r="AA512" i="3"/>
  <c r="H512" i="3"/>
  <c r="G512" i="3"/>
  <c r="AF536" i="3" a="1"/>
  <c r="AF536" i="3" s="1"/>
  <c r="AI536" i="3"/>
  <c r="Z536" i="3"/>
  <c r="R536" i="3"/>
  <c r="J536" i="3"/>
  <c r="AH536" i="3"/>
  <c r="Y536" i="3"/>
  <c r="Q536" i="3"/>
  <c r="I536" i="3"/>
  <c r="AG536" i="3"/>
  <c r="X536" i="3"/>
  <c r="P536" i="3"/>
  <c r="H536" i="3"/>
  <c r="AN536" i="3"/>
  <c r="AE536" i="3"/>
  <c r="W536" i="3"/>
  <c r="O536" i="3"/>
  <c r="G536" i="3"/>
  <c r="AM536" i="3"/>
  <c r="AD536" i="3"/>
  <c r="V536" i="3"/>
  <c r="N536" i="3"/>
  <c r="F536" i="3"/>
  <c r="AL536" i="3"/>
  <c r="AC536" i="3"/>
  <c r="U536" i="3"/>
  <c r="M536" i="3"/>
  <c r="E536" i="3"/>
  <c r="AB536" i="3"/>
  <c r="AA536" i="3"/>
  <c r="T536" i="3"/>
  <c r="S536" i="3"/>
  <c r="L536" i="3"/>
  <c r="K536" i="3"/>
  <c r="AK536" i="3"/>
  <c r="AJ536" i="3"/>
  <c r="D536" i="3"/>
  <c r="AF568" i="3" a="1"/>
  <c r="AF568" i="3" s="1"/>
  <c r="AH568" i="3"/>
  <c r="Y568" i="3"/>
  <c r="Q568" i="3"/>
  <c r="I568" i="3"/>
  <c r="AG568" i="3"/>
  <c r="X568" i="3"/>
  <c r="P568" i="3"/>
  <c r="H568" i="3"/>
  <c r="AM568" i="3"/>
  <c r="AD568" i="3"/>
  <c r="V568" i="3"/>
  <c r="N568" i="3"/>
  <c r="F568" i="3"/>
  <c r="AL568" i="3"/>
  <c r="Z568" i="3"/>
  <c r="L568" i="3"/>
  <c r="AK568" i="3"/>
  <c r="W568" i="3"/>
  <c r="K568" i="3"/>
  <c r="AJ568" i="3"/>
  <c r="U568" i="3"/>
  <c r="J568" i="3"/>
  <c r="AE568" i="3"/>
  <c r="S568" i="3"/>
  <c r="E568" i="3"/>
  <c r="AC568" i="3"/>
  <c r="R568" i="3"/>
  <c r="D568" i="3"/>
  <c r="M568" i="3"/>
  <c r="G568" i="3"/>
  <c r="AN568" i="3"/>
  <c r="AI568" i="3"/>
  <c r="AB568" i="3"/>
  <c r="AA568" i="3"/>
  <c r="T568" i="3"/>
  <c r="O568" i="3"/>
  <c r="AF592" i="3" a="1"/>
  <c r="AF592" i="3" s="1"/>
  <c r="AG592" i="3"/>
  <c r="X592" i="3"/>
  <c r="P592" i="3"/>
  <c r="H592" i="3"/>
  <c r="AN592" i="3"/>
  <c r="AE592" i="3"/>
  <c r="W592" i="3"/>
  <c r="O592" i="3"/>
  <c r="G592" i="3"/>
  <c r="AL592" i="3"/>
  <c r="AC592" i="3"/>
  <c r="U592" i="3"/>
  <c r="M592" i="3"/>
  <c r="E592" i="3"/>
  <c r="AK592" i="3"/>
  <c r="AB592" i="3"/>
  <c r="T592" i="3"/>
  <c r="L592" i="3"/>
  <c r="D592" i="3"/>
  <c r="AJ592" i="3"/>
  <c r="S592" i="3"/>
  <c r="AI592" i="3"/>
  <c r="R592" i="3"/>
  <c r="AH592" i="3"/>
  <c r="Q592" i="3"/>
  <c r="AD592" i="3"/>
  <c r="N592" i="3"/>
  <c r="AA592" i="3"/>
  <c r="K592" i="3"/>
  <c r="I592" i="3"/>
  <c r="F592" i="3"/>
  <c r="Z592" i="3"/>
  <c r="Y592" i="3"/>
  <c r="J592" i="3"/>
  <c r="AM592" i="3"/>
  <c r="V592" i="3"/>
  <c r="AF620" i="3" a="1"/>
  <c r="AF620" i="3" s="1"/>
  <c r="AG620" i="3"/>
  <c r="X620" i="3"/>
  <c r="P620" i="3"/>
  <c r="H620" i="3"/>
  <c r="AN620" i="3"/>
  <c r="AE620" i="3"/>
  <c r="W620" i="3"/>
  <c r="O620" i="3"/>
  <c r="G620" i="3"/>
  <c r="AM620" i="3"/>
  <c r="AD620" i="3"/>
  <c r="V620" i="3"/>
  <c r="N620" i="3"/>
  <c r="F620" i="3"/>
  <c r="AL620" i="3"/>
  <c r="AC620" i="3"/>
  <c r="U620" i="3"/>
  <c r="M620" i="3"/>
  <c r="E620" i="3"/>
  <c r="AH620" i="3"/>
  <c r="Q620" i="3"/>
  <c r="AB620" i="3"/>
  <c r="L620" i="3"/>
  <c r="AA620" i="3"/>
  <c r="K620" i="3"/>
  <c r="Z620" i="3"/>
  <c r="J620" i="3"/>
  <c r="Y620" i="3"/>
  <c r="I620" i="3"/>
  <c r="AK620" i="3"/>
  <c r="T620" i="3"/>
  <c r="D620" i="3"/>
  <c r="AJ620" i="3"/>
  <c r="AI620" i="3"/>
  <c r="S620" i="3"/>
  <c r="R620" i="3"/>
  <c r="AF644" i="3" a="1"/>
  <c r="AF644" i="3" s="1"/>
  <c r="AI644" i="3"/>
  <c r="Z644" i="3"/>
  <c r="R644" i="3"/>
  <c r="J644" i="3"/>
  <c r="AH644" i="3"/>
  <c r="Y644" i="3"/>
  <c r="Q644" i="3"/>
  <c r="I644" i="3"/>
  <c r="AG644" i="3"/>
  <c r="X644" i="3"/>
  <c r="P644" i="3"/>
  <c r="H644" i="3"/>
  <c r="AN644" i="3"/>
  <c r="AE644" i="3"/>
  <c r="W644" i="3"/>
  <c r="O644" i="3"/>
  <c r="G644" i="3"/>
  <c r="AM644" i="3"/>
  <c r="AD644" i="3"/>
  <c r="V644" i="3"/>
  <c r="N644" i="3"/>
  <c r="F644" i="3"/>
  <c r="AL644" i="3"/>
  <c r="AC644" i="3"/>
  <c r="U644" i="3"/>
  <c r="M644" i="3"/>
  <c r="E644" i="3"/>
  <c r="AB644" i="3"/>
  <c r="AA644" i="3"/>
  <c r="T644" i="3"/>
  <c r="S644" i="3"/>
  <c r="L644" i="3"/>
  <c r="K644" i="3"/>
  <c r="AK644" i="3"/>
  <c r="AJ644" i="3"/>
  <c r="D644" i="3"/>
  <c r="D47" i="4"/>
  <c r="I4" i="4"/>
  <c r="Q4" i="4"/>
  <c r="I5" i="4"/>
  <c r="Q5" i="4"/>
  <c r="I6" i="4"/>
  <c r="Q6" i="4"/>
  <c r="I7" i="4"/>
  <c r="Q7" i="4"/>
  <c r="I8" i="4"/>
  <c r="Q8" i="4"/>
  <c r="I9" i="4"/>
  <c r="Q9" i="4"/>
  <c r="I10" i="4"/>
  <c r="Q10" i="4"/>
  <c r="I11" i="4"/>
  <c r="Q11" i="4"/>
  <c r="I12" i="4"/>
  <c r="Q12" i="4"/>
  <c r="I13" i="4"/>
  <c r="Q13" i="4"/>
  <c r="I14" i="4"/>
  <c r="Q14" i="4"/>
  <c r="I15" i="4"/>
  <c r="Q15" i="4"/>
  <c r="I16" i="4"/>
  <c r="Q16" i="4"/>
  <c r="I17" i="4"/>
  <c r="Q17" i="4"/>
  <c r="I18" i="4"/>
  <c r="Q18" i="4"/>
  <c r="I19" i="4"/>
  <c r="Q19" i="4"/>
  <c r="I20" i="4"/>
  <c r="Q20" i="4"/>
  <c r="I21" i="4"/>
  <c r="Q21" i="4"/>
  <c r="I22" i="4"/>
  <c r="Q22" i="4"/>
  <c r="I23" i="4"/>
  <c r="Q23" i="4"/>
  <c r="I24" i="4"/>
  <c r="Q24" i="4"/>
  <c r="I25" i="4"/>
  <c r="Q25" i="4"/>
  <c r="I26" i="4"/>
  <c r="Q26" i="4"/>
  <c r="I27" i="4"/>
  <c r="Q27" i="4"/>
  <c r="I28" i="4"/>
  <c r="Q28" i="4"/>
  <c r="I29" i="4"/>
  <c r="Q29" i="4"/>
  <c r="I30" i="4"/>
  <c r="Q30" i="4"/>
  <c r="I31" i="4"/>
  <c r="Q31" i="4"/>
  <c r="I32" i="4"/>
  <c r="Q32" i="4"/>
  <c r="I33" i="4"/>
  <c r="Q33" i="4"/>
  <c r="I34" i="4"/>
  <c r="Q34" i="4"/>
  <c r="I35" i="4"/>
  <c r="Q35" i="4"/>
  <c r="I36" i="4"/>
  <c r="Q36" i="4"/>
  <c r="I37" i="4"/>
  <c r="Q37" i="4"/>
  <c r="I38" i="4"/>
  <c r="Q38" i="4"/>
  <c r="I39" i="4"/>
  <c r="Q39" i="4"/>
  <c r="I40" i="4"/>
  <c r="Q40" i="4"/>
  <c r="D42" i="4"/>
  <c r="N42" i="4"/>
  <c r="H43" i="4"/>
  <c r="R43" i="4"/>
  <c r="N44" i="4"/>
  <c r="H45" i="4"/>
  <c r="N46" i="4"/>
  <c r="H47" i="4"/>
  <c r="R47" i="4"/>
  <c r="N48" i="4"/>
  <c r="H49" i="4"/>
  <c r="N51" i="4"/>
  <c r="N55" i="4"/>
  <c r="N67" i="4"/>
  <c r="N75" i="4"/>
  <c r="N79" i="4"/>
  <c r="N91" i="4"/>
  <c r="N95" i="4"/>
  <c r="N99" i="4"/>
  <c r="N111" i="4"/>
  <c r="N123" i="4"/>
  <c r="N127" i="4"/>
  <c r="N139" i="4"/>
  <c r="N147" i="4"/>
  <c r="N151" i="4"/>
  <c r="N163" i="4"/>
  <c r="I304" i="4"/>
  <c r="Q340" i="4"/>
  <c r="H472" i="4"/>
  <c r="M59" i="4"/>
  <c r="E59" i="4"/>
  <c r="L59" i="4"/>
  <c r="D59" i="4"/>
  <c r="S59" i="4"/>
  <c r="K59" i="4"/>
  <c r="R59" i="4"/>
  <c r="J59" i="4"/>
  <c r="Q59" i="4"/>
  <c r="I59" i="4"/>
  <c r="P59" i="4"/>
  <c r="H59" i="4"/>
  <c r="O59" i="4"/>
  <c r="G59" i="4"/>
  <c r="M83" i="4"/>
  <c r="E83" i="4"/>
  <c r="L83" i="4"/>
  <c r="D83" i="4"/>
  <c r="S83" i="4"/>
  <c r="K83" i="4"/>
  <c r="R83" i="4"/>
  <c r="J83" i="4"/>
  <c r="Q83" i="4"/>
  <c r="I83" i="4"/>
  <c r="P83" i="4"/>
  <c r="H83" i="4"/>
  <c r="O83" i="4"/>
  <c r="G83" i="4"/>
  <c r="M107" i="4"/>
  <c r="E107" i="4"/>
  <c r="L107" i="4"/>
  <c r="D107" i="4"/>
  <c r="S107" i="4"/>
  <c r="K107" i="4"/>
  <c r="R107" i="4"/>
  <c r="J107" i="4"/>
  <c r="Q107" i="4"/>
  <c r="I107" i="4"/>
  <c r="P107" i="4"/>
  <c r="H107" i="4"/>
  <c r="O107" i="4"/>
  <c r="G107" i="4"/>
  <c r="M135" i="4"/>
  <c r="E135" i="4"/>
  <c r="L135" i="4"/>
  <c r="D135" i="4"/>
  <c r="S135" i="4"/>
  <c r="K135" i="4"/>
  <c r="R135" i="4"/>
  <c r="J135" i="4"/>
  <c r="Q135" i="4"/>
  <c r="I135" i="4"/>
  <c r="P135" i="4"/>
  <c r="H135" i="4"/>
  <c r="O135" i="4"/>
  <c r="G135" i="4"/>
  <c r="M155" i="4"/>
  <c r="E155" i="4"/>
  <c r="L155" i="4"/>
  <c r="D155" i="4"/>
  <c r="S155" i="4"/>
  <c r="K155" i="4"/>
  <c r="R155" i="4"/>
  <c r="J155" i="4"/>
  <c r="Q155" i="4"/>
  <c r="I155" i="4"/>
  <c r="P155" i="4"/>
  <c r="H155" i="4"/>
  <c r="O155" i="4"/>
  <c r="G155" i="4"/>
  <c r="O179" i="4"/>
  <c r="G179" i="4"/>
  <c r="N179" i="4"/>
  <c r="F179" i="4"/>
  <c r="M179" i="4"/>
  <c r="E179" i="4"/>
  <c r="L179" i="4"/>
  <c r="D179" i="4"/>
  <c r="S179" i="4"/>
  <c r="K179" i="4"/>
  <c r="R179" i="4"/>
  <c r="J179" i="4"/>
  <c r="Q179" i="4"/>
  <c r="P179" i="4"/>
  <c r="I179" i="4"/>
  <c r="H179" i="4"/>
  <c r="O207" i="4"/>
  <c r="G207" i="4"/>
  <c r="N207" i="4"/>
  <c r="F207" i="4"/>
  <c r="M207" i="4"/>
  <c r="E207" i="4"/>
  <c r="L207" i="4"/>
  <c r="D207" i="4"/>
  <c r="S207" i="4"/>
  <c r="K207" i="4"/>
  <c r="R207" i="4"/>
  <c r="J207" i="4"/>
  <c r="Q207" i="4"/>
  <c r="P207" i="4"/>
  <c r="I207" i="4"/>
  <c r="H207" i="4"/>
  <c r="O231" i="4"/>
  <c r="G231" i="4"/>
  <c r="N231" i="4"/>
  <c r="F231" i="4"/>
  <c r="M231" i="4"/>
  <c r="E231" i="4"/>
  <c r="L231" i="4"/>
  <c r="D231" i="4"/>
  <c r="S231" i="4"/>
  <c r="K231" i="4"/>
  <c r="R231" i="4"/>
  <c r="J231" i="4"/>
  <c r="Q231" i="4"/>
  <c r="P231" i="4"/>
  <c r="I231" i="4"/>
  <c r="H231" i="4"/>
  <c r="O251" i="4"/>
  <c r="G251" i="4"/>
  <c r="N251" i="4"/>
  <c r="F251" i="4"/>
  <c r="M251" i="4"/>
  <c r="E251" i="4"/>
  <c r="L251" i="4"/>
  <c r="D251" i="4"/>
  <c r="S251" i="4"/>
  <c r="K251" i="4"/>
  <c r="R251" i="4"/>
  <c r="J251" i="4"/>
  <c r="Q251" i="4"/>
  <c r="P251" i="4"/>
  <c r="I251" i="4"/>
  <c r="H251" i="4"/>
  <c r="O267" i="4"/>
  <c r="G267" i="4"/>
  <c r="N267" i="4"/>
  <c r="F267" i="4"/>
  <c r="M267" i="4"/>
  <c r="E267" i="4"/>
  <c r="L267" i="4"/>
  <c r="D267" i="4"/>
  <c r="S267" i="4"/>
  <c r="K267" i="4"/>
  <c r="R267" i="4"/>
  <c r="J267" i="4"/>
  <c r="Q267" i="4"/>
  <c r="P267" i="4"/>
  <c r="I267" i="4"/>
  <c r="H267" i="4"/>
  <c r="O287" i="4"/>
  <c r="G287" i="4"/>
  <c r="N287" i="4"/>
  <c r="F287" i="4"/>
  <c r="M287" i="4"/>
  <c r="E287" i="4"/>
  <c r="L287" i="4"/>
  <c r="D287" i="4"/>
  <c r="S287" i="4"/>
  <c r="K287" i="4"/>
  <c r="R287" i="4"/>
  <c r="J287" i="4"/>
  <c r="Q287" i="4"/>
  <c r="P287" i="4"/>
  <c r="I287" i="4"/>
  <c r="H287" i="4"/>
  <c r="O307" i="4"/>
  <c r="G307" i="4"/>
  <c r="N307" i="4"/>
  <c r="F307" i="4"/>
  <c r="M307" i="4"/>
  <c r="E307" i="4"/>
  <c r="L307" i="4"/>
  <c r="D307" i="4"/>
  <c r="S307" i="4"/>
  <c r="K307" i="4"/>
  <c r="R307" i="4"/>
  <c r="J307" i="4"/>
  <c r="I307" i="4"/>
  <c r="Q307" i="4"/>
  <c r="P307" i="4"/>
  <c r="H307" i="4"/>
  <c r="O331" i="4"/>
  <c r="G331" i="4"/>
  <c r="N331" i="4"/>
  <c r="F331" i="4"/>
  <c r="M331" i="4"/>
  <c r="E331" i="4"/>
  <c r="L331" i="4"/>
  <c r="D331" i="4"/>
  <c r="S331" i="4"/>
  <c r="K331" i="4"/>
  <c r="R331" i="4"/>
  <c r="J331" i="4"/>
  <c r="I331" i="4"/>
  <c r="P331" i="4"/>
  <c r="H331" i="4"/>
  <c r="O355" i="4"/>
  <c r="G355" i="4"/>
  <c r="N355" i="4"/>
  <c r="F355" i="4"/>
  <c r="M355" i="4"/>
  <c r="E355" i="4"/>
  <c r="L355" i="4"/>
  <c r="D355" i="4"/>
  <c r="S355" i="4"/>
  <c r="K355" i="4"/>
  <c r="R355" i="4"/>
  <c r="J355" i="4"/>
  <c r="I355" i="4"/>
  <c r="Q355" i="4"/>
  <c r="P355" i="4"/>
  <c r="H355" i="4"/>
  <c r="O375" i="4"/>
  <c r="G375" i="4"/>
  <c r="N375" i="4"/>
  <c r="F375" i="4"/>
  <c r="M375" i="4"/>
  <c r="E375" i="4"/>
  <c r="L375" i="4"/>
  <c r="D375" i="4"/>
  <c r="S375" i="4"/>
  <c r="K375" i="4"/>
  <c r="R375" i="4"/>
  <c r="J375" i="4"/>
  <c r="I375" i="4"/>
  <c r="Q375" i="4"/>
  <c r="P375" i="4"/>
  <c r="H375" i="4"/>
  <c r="O403" i="4"/>
  <c r="G403" i="4"/>
  <c r="N403" i="4"/>
  <c r="F403" i="4"/>
  <c r="M403" i="4"/>
  <c r="E403" i="4"/>
  <c r="L403" i="4"/>
  <c r="D403" i="4"/>
  <c r="S403" i="4"/>
  <c r="K403" i="4"/>
  <c r="R403" i="4"/>
  <c r="J403" i="4"/>
  <c r="I403" i="4"/>
  <c r="Q403" i="4"/>
  <c r="H403" i="4"/>
  <c r="O423" i="4"/>
  <c r="G423" i="4"/>
  <c r="N423" i="4"/>
  <c r="F423" i="4"/>
  <c r="M423" i="4"/>
  <c r="E423" i="4"/>
  <c r="L423" i="4"/>
  <c r="D423" i="4"/>
  <c r="S423" i="4"/>
  <c r="K423" i="4"/>
  <c r="R423" i="4"/>
  <c r="J423" i="4"/>
  <c r="I423" i="4"/>
  <c r="Q423" i="4"/>
  <c r="P423" i="4"/>
  <c r="H423" i="4"/>
  <c r="O443" i="4"/>
  <c r="G443" i="4"/>
  <c r="N443" i="4"/>
  <c r="F443" i="4"/>
  <c r="M443" i="4"/>
  <c r="E443" i="4"/>
  <c r="L443" i="4"/>
  <c r="D443" i="4"/>
  <c r="S443" i="4"/>
  <c r="K443" i="4"/>
  <c r="R443" i="4"/>
  <c r="J443" i="4"/>
  <c r="I443" i="4"/>
  <c r="H443" i="4"/>
  <c r="Q443" i="4"/>
  <c r="P443" i="4"/>
  <c r="O463" i="4"/>
  <c r="G463" i="4"/>
  <c r="N463" i="4"/>
  <c r="F463" i="4"/>
  <c r="M463" i="4"/>
  <c r="E463" i="4"/>
  <c r="L463" i="4"/>
  <c r="D463" i="4"/>
  <c r="S463" i="4"/>
  <c r="K463" i="4"/>
  <c r="R463" i="4"/>
  <c r="J463" i="4"/>
  <c r="I463" i="4"/>
  <c r="H463" i="4"/>
  <c r="Q463" i="4"/>
  <c r="P463" i="4"/>
  <c r="O487" i="4"/>
  <c r="G487" i="4"/>
  <c r="N487" i="4"/>
  <c r="F487" i="4"/>
  <c r="M487" i="4"/>
  <c r="E487" i="4"/>
  <c r="L487" i="4"/>
  <c r="D487" i="4"/>
  <c r="S487" i="4"/>
  <c r="K487" i="4"/>
  <c r="R487" i="4"/>
  <c r="J487" i="4"/>
  <c r="I487" i="4"/>
  <c r="H487" i="4"/>
  <c r="Q487" i="4"/>
  <c r="P487" i="4"/>
  <c r="O507" i="4"/>
  <c r="G507" i="4"/>
  <c r="N507" i="4"/>
  <c r="F507" i="4"/>
  <c r="M507" i="4"/>
  <c r="E507" i="4"/>
  <c r="L507" i="4"/>
  <c r="D507" i="4"/>
  <c r="S507" i="4"/>
  <c r="K507" i="4"/>
  <c r="R507" i="4"/>
  <c r="J507" i="4"/>
  <c r="I507" i="4"/>
  <c r="H507" i="4"/>
  <c r="Q507" i="4"/>
  <c r="P507" i="4"/>
  <c r="O531" i="4"/>
  <c r="G531" i="4"/>
  <c r="N531" i="4"/>
  <c r="F531" i="4"/>
  <c r="M531" i="4"/>
  <c r="E531" i="4"/>
  <c r="L531" i="4"/>
  <c r="D531" i="4"/>
  <c r="S531" i="4"/>
  <c r="K531" i="4"/>
  <c r="R531" i="4"/>
  <c r="J531" i="4"/>
  <c r="I531" i="4"/>
  <c r="H531" i="4"/>
  <c r="Q531" i="4"/>
  <c r="P531" i="4"/>
  <c r="O547" i="4"/>
  <c r="G547" i="4"/>
  <c r="N547" i="4"/>
  <c r="F547" i="4"/>
  <c r="M547" i="4"/>
  <c r="E547" i="4"/>
  <c r="L547" i="4"/>
  <c r="D547" i="4"/>
  <c r="S547" i="4"/>
  <c r="K547" i="4"/>
  <c r="R547" i="4"/>
  <c r="J547" i="4"/>
  <c r="I547" i="4"/>
  <c r="H547" i="4"/>
  <c r="Q547" i="4"/>
  <c r="P547" i="4"/>
  <c r="O567" i="4"/>
  <c r="G567" i="4"/>
  <c r="N567" i="4"/>
  <c r="F567" i="4"/>
  <c r="M567" i="4"/>
  <c r="E567" i="4"/>
  <c r="L567" i="4"/>
  <c r="D567" i="4"/>
  <c r="S567" i="4"/>
  <c r="K567" i="4"/>
  <c r="R567" i="4"/>
  <c r="J567" i="4"/>
  <c r="I567" i="4"/>
  <c r="H567" i="4"/>
  <c r="Q567" i="4"/>
  <c r="P567" i="4"/>
  <c r="O587" i="4"/>
  <c r="G587" i="4"/>
  <c r="N587" i="4"/>
  <c r="F587" i="4"/>
  <c r="M587" i="4"/>
  <c r="E587" i="4"/>
  <c r="L587" i="4"/>
  <c r="D587" i="4"/>
  <c r="S587" i="4"/>
  <c r="K587" i="4"/>
  <c r="R587" i="4"/>
  <c r="J587" i="4"/>
  <c r="I587" i="4"/>
  <c r="H587" i="4"/>
  <c r="Q587" i="4"/>
  <c r="P587" i="4"/>
  <c r="O599" i="4"/>
  <c r="G599" i="4"/>
  <c r="N599" i="4"/>
  <c r="F599" i="4"/>
  <c r="M599" i="4"/>
  <c r="E599" i="4"/>
  <c r="L599" i="4"/>
  <c r="D599" i="4"/>
  <c r="S599" i="4"/>
  <c r="K599" i="4"/>
  <c r="R599" i="4"/>
  <c r="J599" i="4"/>
  <c r="I599" i="4"/>
  <c r="H599" i="4"/>
  <c r="Q599" i="4"/>
  <c r="P599" i="4"/>
  <c r="O611" i="4"/>
  <c r="G611" i="4"/>
  <c r="N611" i="4"/>
  <c r="F611" i="4"/>
  <c r="M611" i="4"/>
  <c r="E611" i="4"/>
  <c r="L611" i="4"/>
  <c r="D611" i="4"/>
  <c r="S611" i="4"/>
  <c r="K611" i="4"/>
  <c r="R611" i="4"/>
  <c r="J611" i="4"/>
  <c r="I611" i="4"/>
  <c r="H611" i="4"/>
  <c r="Q611" i="4"/>
  <c r="P611" i="4"/>
  <c r="O631" i="4"/>
  <c r="G631" i="4"/>
  <c r="N631" i="4"/>
  <c r="F631" i="4"/>
  <c r="M631" i="4"/>
  <c r="E631" i="4"/>
  <c r="L631" i="4"/>
  <c r="D631" i="4"/>
  <c r="S631" i="4"/>
  <c r="K631" i="4"/>
  <c r="R631" i="4"/>
  <c r="J631" i="4"/>
  <c r="I631" i="4"/>
  <c r="H631" i="4"/>
  <c r="Q631" i="4"/>
  <c r="P631" i="4"/>
  <c r="O643" i="4"/>
  <c r="G643" i="4"/>
  <c r="N643" i="4"/>
  <c r="F643" i="4"/>
  <c r="M643" i="4"/>
  <c r="E643" i="4"/>
  <c r="L643" i="4"/>
  <c r="D643" i="4"/>
  <c r="S643" i="4"/>
  <c r="K643" i="4"/>
  <c r="R643" i="4"/>
  <c r="J643" i="4"/>
  <c r="I643" i="4"/>
  <c r="H643" i="4"/>
  <c r="Q643" i="4"/>
  <c r="P643" i="4"/>
  <c r="O647" i="4"/>
  <c r="G647" i="4"/>
  <c r="N647" i="4"/>
  <c r="F647" i="4"/>
  <c r="M647" i="4"/>
  <c r="E647" i="4"/>
  <c r="L647" i="4"/>
  <c r="D647" i="4"/>
  <c r="S647" i="4"/>
  <c r="K647" i="4"/>
  <c r="R647" i="4"/>
  <c r="J647" i="4"/>
  <c r="I647" i="4"/>
  <c r="H647" i="4"/>
  <c r="Q647" i="4"/>
  <c r="P647" i="4"/>
  <c r="O655" i="4"/>
  <c r="G655" i="4"/>
  <c r="N655" i="4"/>
  <c r="F655" i="4"/>
  <c r="M655" i="4"/>
  <c r="E655" i="4"/>
  <c r="L655" i="4"/>
  <c r="D655" i="4"/>
  <c r="S655" i="4"/>
  <c r="K655" i="4"/>
  <c r="R655" i="4"/>
  <c r="J655" i="4"/>
  <c r="I655" i="4"/>
  <c r="H655" i="4"/>
  <c r="Q655" i="4"/>
  <c r="P655" i="4"/>
  <c r="AF8" i="3" a="1"/>
  <c r="AF8" i="3" s="1"/>
  <c r="AN8" i="3"/>
  <c r="AE8" i="3"/>
  <c r="W8" i="3"/>
  <c r="O8" i="3"/>
  <c r="G8" i="3"/>
  <c r="AM8" i="3"/>
  <c r="AD8" i="3"/>
  <c r="V8" i="3"/>
  <c r="N8" i="3"/>
  <c r="F8" i="3"/>
  <c r="AL8" i="3"/>
  <c r="AC8" i="3"/>
  <c r="U8" i="3"/>
  <c r="M8" i="3"/>
  <c r="E8" i="3"/>
  <c r="AB8" i="3"/>
  <c r="T8" i="3"/>
  <c r="L8" i="3"/>
  <c r="D8" i="3"/>
  <c r="AJ8" i="3"/>
  <c r="AA8" i="3"/>
  <c r="S8" i="3"/>
  <c r="K8" i="3"/>
  <c r="AI8" i="3"/>
  <c r="Z8" i="3"/>
  <c r="R8" i="3"/>
  <c r="J8" i="3"/>
  <c r="Y8" i="3"/>
  <c r="X8" i="3"/>
  <c r="Q8" i="3"/>
  <c r="P8" i="3"/>
  <c r="I8" i="3"/>
  <c r="H8" i="3"/>
  <c r="AH8" i="3"/>
  <c r="AG8" i="3"/>
  <c r="AF16" i="3" a="1"/>
  <c r="AF16" i="3" s="1"/>
  <c r="AN16" i="3"/>
  <c r="AE16" i="3"/>
  <c r="W16" i="3"/>
  <c r="O16" i="3"/>
  <c r="G16" i="3"/>
  <c r="AM16" i="3"/>
  <c r="AD16" i="3"/>
  <c r="V16" i="3"/>
  <c r="N16" i="3"/>
  <c r="F16" i="3"/>
  <c r="AL16" i="3"/>
  <c r="AC16" i="3"/>
  <c r="U16" i="3"/>
  <c r="M16" i="3"/>
  <c r="E16" i="3"/>
  <c r="AB16" i="3"/>
  <c r="T16" i="3"/>
  <c r="L16" i="3"/>
  <c r="D16" i="3"/>
  <c r="AJ16" i="3"/>
  <c r="AA16" i="3"/>
  <c r="S16" i="3"/>
  <c r="K16" i="3"/>
  <c r="AI16" i="3"/>
  <c r="Z16" i="3"/>
  <c r="R16" i="3"/>
  <c r="J16" i="3"/>
  <c r="Y16" i="3"/>
  <c r="X16" i="3"/>
  <c r="Q16" i="3"/>
  <c r="AH16" i="3"/>
  <c r="AG16" i="3"/>
  <c r="AF40" i="3" a="1"/>
  <c r="AF40" i="3" s="1"/>
  <c r="AN40" i="3"/>
  <c r="AE40" i="3"/>
  <c r="W40" i="3"/>
  <c r="O40" i="3"/>
  <c r="G40" i="3"/>
  <c r="AM40" i="3"/>
  <c r="AD40" i="3"/>
  <c r="V40" i="3"/>
  <c r="N40" i="3"/>
  <c r="F40" i="3"/>
  <c r="AL40" i="3"/>
  <c r="AC40" i="3"/>
  <c r="U40" i="3"/>
  <c r="M40" i="3"/>
  <c r="E40" i="3"/>
  <c r="AK40" i="3"/>
  <c r="AB40" i="3"/>
  <c r="T40" i="3"/>
  <c r="L40" i="3"/>
  <c r="D40" i="3"/>
  <c r="AJ40" i="3"/>
  <c r="AA40" i="3"/>
  <c r="S40" i="3"/>
  <c r="K40" i="3"/>
  <c r="AI40" i="3"/>
  <c r="Z40" i="3"/>
  <c r="R40" i="3"/>
  <c r="J40" i="3"/>
  <c r="Y40" i="3"/>
  <c r="X40" i="3"/>
  <c r="Q40" i="3"/>
  <c r="P40" i="3"/>
  <c r="I40" i="3"/>
  <c r="H40" i="3"/>
  <c r="AH40" i="3"/>
  <c r="AG40" i="3"/>
  <c r="AF56" i="3" a="1"/>
  <c r="AF56" i="3" s="1"/>
  <c r="AN56" i="3"/>
  <c r="AE56" i="3"/>
  <c r="W56" i="3"/>
  <c r="O56" i="3"/>
  <c r="G56" i="3"/>
  <c r="AM56" i="3"/>
  <c r="AD56" i="3"/>
  <c r="V56" i="3"/>
  <c r="N56" i="3"/>
  <c r="F56" i="3"/>
  <c r="AL56" i="3"/>
  <c r="AC56" i="3"/>
  <c r="U56" i="3"/>
  <c r="M56" i="3"/>
  <c r="E56" i="3"/>
  <c r="AK56" i="3"/>
  <c r="AB56" i="3"/>
  <c r="T56" i="3"/>
  <c r="L56" i="3"/>
  <c r="D56" i="3"/>
  <c r="AJ56" i="3"/>
  <c r="AA56" i="3"/>
  <c r="S56" i="3"/>
  <c r="K56" i="3"/>
  <c r="AI56" i="3"/>
  <c r="Z56" i="3"/>
  <c r="R56" i="3"/>
  <c r="J56" i="3"/>
  <c r="Y56" i="3"/>
  <c r="X56" i="3"/>
  <c r="Q56" i="3"/>
  <c r="P56" i="3"/>
  <c r="I56" i="3"/>
  <c r="H56" i="3"/>
  <c r="AH56" i="3"/>
  <c r="AG56" i="3"/>
  <c r="AF64" i="3" a="1"/>
  <c r="AF64" i="3" s="1"/>
  <c r="AN64" i="3"/>
  <c r="AE64" i="3"/>
  <c r="W64" i="3"/>
  <c r="O64" i="3"/>
  <c r="G64" i="3"/>
  <c r="AM64" i="3"/>
  <c r="AD64" i="3"/>
  <c r="V64" i="3"/>
  <c r="N64" i="3"/>
  <c r="F64" i="3"/>
  <c r="AL64" i="3"/>
  <c r="AC64" i="3"/>
  <c r="U64" i="3"/>
  <c r="M64" i="3"/>
  <c r="E64" i="3"/>
  <c r="AK64" i="3"/>
  <c r="AB64" i="3"/>
  <c r="T64" i="3"/>
  <c r="L64" i="3"/>
  <c r="D64" i="3"/>
  <c r="AJ64" i="3"/>
  <c r="AA64" i="3"/>
  <c r="S64" i="3"/>
  <c r="K64" i="3"/>
  <c r="AI64" i="3"/>
  <c r="Z64" i="3"/>
  <c r="R64" i="3"/>
  <c r="J64" i="3"/>
  <c r="Y64" i="3"/>
  <c r="X64" i="3"/>
  <c r="Q64" i="3"/>
  <c r="P64" i="3"/>
  <c r="I64" i="3"/>
  <c r="H64" i="3"/>
  <c r="AH64" i="3"/>
  <c r="AG64" i="3"/>
  <c r="AF80" i="3" a="1"/>
  <c r="AF80" i="3" s="1"/>
  <c r="AH80" i="3"/>
  <c r="Y80" i="3"/>
  <c r="Q80" i="3"/>
  <c r="I80" i="3"/>
  <c r="AG80" i="3"/>
  <c r="X80" i="3"/>
  <c r="P80" i="3"/>
  <c r="H80" i="3"/>
  <c r="AN80" i="3"/>
  <c r="AE80" i="3"/>
  <c r="W80" i="3"/>
  <c r="O80" i="3"/>
  <c r="G80" i="3"/>
  <c r="AM80" i="3"/>
  <c r="AD80" i="3"/>
  <c r="V80" i="3"/>
  <c r="N80" i="3"/>
  <c r="F80" i="3"/>
  <c r="AL80" i="3"/>
  <c r="AC80" i="3"/>
  <c r="U80" i="3"/>
  <c r="M80" i="3"/>
  <c r="E80" i="3"/>
  <c r="AK80" i="3"/>
  <c r="AB80" i="3"/>
  <c r="T80" i="3"/>
  <c r="L80" i="3"/>
  <c r="D80" i="3"/>
  <c r="AI80" i="3"/>
  <c r="AA80" i="3"/>
  <c r="Z80" i="3"/>
  <c r="S80" i="3"/>
  <c r="R80" i="3"/>
  <c r="K80" i="3"/>
  <c r="AJ80" i="3"/>
  <c r="J80" i="3"/>
  <c r="AF96" i="3" a="1"/>
  <c r="AF96" i="3" s="1"/>
  <c r="AL96" i="3"/>
  <c r="AC96" i="3"/>
  <c r="U96" i="3"/>
  <c r="M96" i="3"/>
  <c r="E96" i="3"/>
  <c r="AK96" i="3"/>
  <c r="AB96" i="3"/>
  <c r="T96" i="3"/>
  <c r="L96" i="3"/>
  <c r="D96" i="3"/>
  <c r="AJ96" i="3"/>
  <c r="AA96" i="3"/>
  <c r="S96" i="3"/>
  <c r="K96" i="3"/>
  <c r="AI96" i="3"/>
  <c r="Z96" i="3"/>
  <c r="R96" i="3"/>
  <c r="J96" i="3"/>
  <c r="AH96" i="3"/>
  <c r="Y96" i="3"/>
  <c r="Q96" i="3"/>
  <c r="I96" i="3"/>
  <c r="AG96" i="3"/>
  <c r="X96" i="3"/>
  <c r="P96" i="3"/>
  <c r="H96" i="3"/>
  <c r="O96" i="3"/>
  <c r="N96" i="3"/>
  <c r="AN96" i="3"/>
  <c r="G96" i="3"/>
  <c r="AM96" i="3"/>
  <c r="F96" i="3"/>
  <c r="AE96" i="3"/>
  <c r="AD96" i="3"/>
  <c r="W96" i="3"/>
  <c r="V96" i="3"/>
  <c r="AF108" i="3" a="1"/>
  <c r="AF108" i="3" s="1"/>
  <c r="AL108" i="3"/>
  <c r="AC108" i="3"/>
  <c r="U108" i="3"/>
  <c r="M108" i="3"/>
  <c r="E108" i="3"/>
  <c r="AK108" i="3"/>
  <c r="AB108" i="3"/>
  <c r="T108" i="3"/>
  <c r="L108" i="3"/>
  <c r="D108" i="3"/>
  <c r="AJ108" i="3"/>
  <c r="AA108" i="3"/>
  <c r="S108" i="3"/>
  <c r="K108" i="3"/>
  <c r="AI108" i="3"/>
  <c r="Z108" i="3"/>
  <c r="R108" i="3"/>
  <c r="J108" i="3"/>
  <c r="AH108" i="3"/>
  <c r="Y108" i="3"/>
  <c r="Q108" i="3"/>
  <c r="I108" i="3"/>
  <c r="AG108" i="3"/>
  <c r="X108" i="3"/>
  <c r="P108" i="3"/>
  <c r="H108" i="3"/>
  <c r="AE108" i="3"/>
  <c r="AD108" i="3"/>
  <c r="W108" i="3"/>
  <c r="V108" i="3"/>
  <c r="O108" i="3"/>
  <c r="N108" i="3"/>
  <c r="AN108" i="3"/>
  <c r="AM108" i="3"/>
  <c r="G108" i="3"/>
  <c r="F108" i="3"/>
  <c r="AF128" i="3" a="1"/>
  <c r="AF128" i="3" s="1"/>
  <c r="AL128" i="3"/>
  <c r="AC128" i="3"/>
  <c r="U128" i="3"/>
  <c r="M128" i="3"/>
  <c r="E128" i="3"/>
  <c r="AK128" i="3"/>
  <c r="AB128" i="3"/>
  <c r="T128" i="3"/>
  <c r="L128" i="3"/>
  <c r="D128" i="3"/>
  <c r="AJ128" i="3"/>
  <c r="AA128" i="3"/>
  <c r="S128" i="3"/>
  <c r="K128" i="3"/>
  <c r="AI128" i="3"/>
  <c r="Z128" i="3"/>
  <c r="R128" i="3"/>
  <c r="J128" i="3"/>
  <c r="AH128" i="3"/>
  <c r="Y128" i="3"/>
  <c r="Q128" i="3"/>
  <c r="I128" i="3"/>
  <c r="AG128" i="3"/>
  <c r="X128" i="3"/>
  <c r="P128" i="3"/>
  <c r="H128" i="3"/>
  <c r="O128" i="3"/>
  <c r="N128" i="3"/>
  <c r="AN128" i="3"/>
  <c r="G128" i="3"/>
  <c r="AM128" i="3"/>
  <c r="F128" i="3"/>
  <c r="AE128" i="3"/>
  <c r="AD128" i="3"/>
  <c r="W128" i="3"/>
  <c r="V128" i="3"/>
  <c r="AF144" i="3" a="1"/>
  <c r="AF144" i="3" s="1"/>
  <c r="AL144" i="3"/>
  <c r="AC144" i="3"/>
  <c r="U144" i="3"/>
  <c r="M144" i="3"/>
  <c r="E144" i="3"/>
  <c r="AK144" i="3"/>
  <c r="AB144" i="3"/>
  <c r="T144" i="3"/>
  <c r="L144" i="3"/>
  <c r="D144" i="3"/>
  <c r="AJ144" i="3"/>
  <c r="AA144" i="3"/>
  <c r="S144" i="3"/>
  <c r="K144" i="3"/>
  <c r="AI144" i="3"/>
  <c r="Z144" i="3"/>
  <c r="R144" i="3"/>
  <c r="J144" i="3"/>
  <c r="AH144" i="3"/>
  <c r="Y144" i="3"/>
  <c r="Q144" i="3"/>
  <c r="I144" i="3"/>
  <c r="AG144" i="3"/>
  <c r="X144" i="3"/>
  <c r="P144" i="3"/>
  <c r="H144" i="3"/>
  <c r="O144" i="3"/>
  <c r="N144" i="3"/>
  <c r="AN144" i="3"/>
  <c r="G144" i="3"/>
  <c r="AM144" i="3"/>
  <c r="F144" i="3"/>
  <c r="AE144" i="3"/>
  <c r="AD144" i="3"/>
  <c r="W144" i="3"/>
  <c r="V144" i="3"/>
  <c r="AF160" i="3" a="1"/>
  <c r="AF160" i="3" s="1"/>
  <c r="AL160" i="3"/>
  <c r="AC160" i="3"/>
  <c r="U160" i="3"/>
  <c r="M160" i="3"/>
  <c r="E160" i="3"/>
  <c r="AK160" i="3"/>
  <c r="AB160" i="3"/>
  <c r="T160" i="3"/>
  <c r="L160" i="3"/>
  <c r="D160" i="3"/>
  <c r="AJ160" i="3"/>
  <c r="AA160" i="3"/>
  <c r="S160" i="3"/>
  <c r="K160" i="3"/>
  <c r="AI160" i="3"/>
  <c r="Z160" i="3"/>
  <c r="R160" i="3"/>
  <c r="J160" i="3"/>
  <c r="AH160" i="3"/>
  <c r="Y160" i="3"/>
  <c r="Q160" i="3"/>
  <c r="I160" i="3"/>
  <c r="AG160" i="3"/>
  <c r="X160" i="3"/>
  <c r="P160" i="3"/>
  <c r="H160" i="3"/>
  <c r="O160" i="3"/>
  <c r="N160" i="3"/>
  <c r="AN160" i="3"/>
  <c r="G160" i="3"/>
  <c r="AM160" i="3"/>
  <c r="F160" i="3"/>
  <c r="AE160" i="3"/>
  <c r="AD160" i="3"/>
  <c r="W160" i="3"/>
  <c r="V160" i="3"/>
  <c r="AF176" i="3" a="1"/>
  <c r="AF176" i="3" s="1"/>
  <c r="AL176" i="3"/>
  <c r="AC176" i="3"/>
  <c r="U176" i="3"/>
  <c r="M176" i="3"/>
  <c r="E176" i="3"/>
  <c r="AK176" i="3"/>
  <c r="AB176" i="3"/>
  <c r="T176" i="3"/>
  <c r="L176" i="3"/>
  <c r="D176" i="3"/>
  <c r="AJ176" i="3"/>
  <c r="AA176" i="3"/>
  <c r="S176" i="3"/>
  <c r="K176" i="3"/>
  <c r="AI176" i="3"/>
  <c r="Z176" i="3"/>
  <c r="R176" i="3"/>
  <c r="J176" i="3"/>
  <c r="AH176" i="3"/>
  <c r="Y176" i="3"/>
  <c r="Q176" i="3"/>
  <c r="I176" i="3"/>
  <c r="AG176" i="3"/>
  <c r="X176" i="3"/>
  <c r="P176" i="3"/>
  <c r="H176" i="3"/>
  <c r="O176" i="3"/>
  <c r="N176" i="3"/>
  <c r="AN176" i="3"/>
  <c r="G176" i="3"/>
  <c r="AM176" i="3"/>
  <c r="F176" i="3"/>
  <c r="AE176" i="3"/>
  <c r="AD176" i="3"/>
  <c r="W176" i="3"/>
  <c r="V176" i="3"/>
  <c r="AF196" i="3" a="1"/>
  <c r="AF196" i="3" s="1"/>
  <c r="AL196" i="3"/>
  <c r="AC196" i="3"/>
  <c r="U196" i="3"/>
  <c r="M196" i="3"/>
  <c r="E196" i="3"/>
  <c r="AK196" i="3"/>
  <c r="AB196" i="3"/>
  <c r="T196" i="3"/>
  <c r="L196" i="3"/>
  <c r="D196" i="3"/>
  <c r="AJ196" i="3"/>
  <c r="AA196" i="3"/>
  <c r="S196" i="3"/>
  <c r="K196" i="3"/>
  <c r="AI196" i="3"/>
  <c r="Z196" i="3"/>
  <c r="R196" i="3"/>
  <c r="J196" i="3"/>
  <c r="AH196" i="3"/>
  <c r="Y196" i="3"/>
  <c r="Q196" i="3"/>
  <c r="I196" i="3"/>
  <c r="AG196" i="3"/>
  <c r="X196" i="3"/>
  <c r="P196" i="3"/>
  <c r="H196" i="3"/>
  <c r="AE196" i="3"/>
  <c r="AD196" i="3"/>
  <c r="W196" i="3"/>
  <c r="V196" i="3"/>
  <c r="O196" i="3"/>
  <c r="N196" i="3"/>
  <c r="AN196" i="3"/>
  <c r="G196" i="3"/>
  <c r="AM196" i="3"/>
  <c r="F196" i="3"/>
  <c r="AF216" i="3" a="1"/>
  <c r="AF216" i="3" s="1"/>
  <c r="AL216" i="3"/>
  <c r="AC216" i="3"/>
  <c r="U216" i="3"/>
  <c r="M216" i="3"/>
  <c r="E216" i="3"/>
  <c r="AK216" i="3"/>
  <c r="AB216" i="3"/>
  <c r="T216" i="3"/>
  <c r="L216" i="3"/>
  <c r="D216" i="3"/>
  <c r="AJ216" i="3"/>
  <c r="AA216" i="3"/>
  <c r="S216" i="3"/>
  <c r="K216" i="3"/>
  <c r="AI216" i="3"/>
  <c r="Z216" i="3"/>
  <c r="R216" i="3"/>
  <c r="J216" i="3"/>
  <c r="AH216" i="3"/>
  <c r="Y216" i="3"/>
  <c r="Q216" i="3"/>
  <c r="I216" i="3"/>
  <c r="AG216" i="3"/>
  <c r="X216" i="3"/>
  <c r="P216" i="3"/>
  <c r="H216" i="3"/>
  <c r="O216" i="3"/>
  <c r="N216" i="3"/>
  <c r="AN216" i="3"/>
  <c r="G216" i="3"/>
  <c r="AM216" i="3"/>
  <c r="F216" i="3"/>
  <c r="AE216" i="3"/>
  <c r="AD216" i="3"/>
  <c r="W216" i="3"/>
  <c r="V216" i="3"/>
  <c r="AF232" i="3" a="1"/>
  <c r="AF232" i="3" s="1"/>
  <c r="AL232" i="3"/>
  <c r="AC232" i="3"/>
  <c r="U232" i="3"/>
  <c r="M232" i="3"/>
  <c r="E232" i="3"/>
  <c r="AK232" i="3"/>
  <c r="AB232" i="3"/>
  <c r="T232" i="3"/>
  <c r="L232" i="3"/>
  <c r="D232" i="3"/>
  <c r="AJ232" i="3"/>
  <c r="AA232" i="3"/>
  <c r="S232" i="3"/>
  <c r="K232" i="3"/>
  <c r="AI232" i="3"/>
  <c r="Z232" i="3"/>
  <c r="R232" i="3"/>
  <c r="J232" i="3"/>
  <c r="AH232" i="3"/>
  <c r="Y232" i="3"/>
  <c r="Q232" i="3"/>
  <c r="I232" i="3"/>
  <c r="AG232" i="3"/>
  <c r="X232" i="3"/>
  <c r="P232" i="3"/>
  <c r="H232" i="3"/>
  <c r="W232" i="3"/>
  <c r="V232" i="3"/>
  <c r="O232" i="3"/>
  <c r="N232" i="3"/>
  <c r="AN232" i="3"/>
  <c r="G232" i="3"/>
  <c r="AM232" i="3"/>
  <c r="F232" i="3"/>
  <c r="AE232" i="3"/>
  <c r="AD232" i="3"/>
  <c r="AF256" i="3" a="1"/>
  <c r="AF256" i="3" s="1"/>
  <c r="AL256" i="3"/>
  <c r="AC256" i="3"/>
  <c r="U256" i="3"/>
  <c r="M256" i="3"/>
  <c r="E256" i="3"/>
  <c r="AK256" i="3"/>
  <c r="AB256" i="3"/>
  <c r="T256" i="3"/>
  <c r="L256" i="3"/>
  <c r="D256" i="3"/>
  <c r="AJ256" i="3"/>
  <c r="AA256" i="3"/>
  <c r="S256" i="3"/>
  <c r="K256" i="3"/>
  <c r="AI256" i="3"/>
  <c r="Z256" i="3"/>
  <c r="R256" i="3"/>
  <c r="J256" i="3"/>
  <c r="AH256" i="3"/>
  <c r="Y256" i="3"/>
  <c r="Q256" i="3"/>
  <c r="I256" i="3"/>
  <c r="AG256" i="3"/>
  <c r="X256" i="3"/>
  <c r="P256" i="3"/>
  <c r="H256" i="3"/>
  <c r="W256" i="3"/>
  <c r="V256" i="3"/>
  <c r="O256" i="3"/>
  <c r="N256" i="3"/>
  <c r="AN256" i="3"/>
  <c r="G256" i="3"/>
  <c r="AM256" i="3"/>
  <c r="F256" i="3"/>
  <c r="AE256" i="3"/>
  <c r="AD256" i="3"/>
  <c r="AF272" i="3" a="1"/>
  <c r="AF272" i="3" s="1"/>
  <c r="AL272" i="3"/>
  <c r="AC272" i="3"/>
  <c r="U272" i="3"/>
  <c r="M272" i="3"/>
  <c r="E272" i="3"/>
  <c r="AK272" i="3"/>
  <c r="AB272" i="3"/>
  <c r="T272" i="3"/>
  <c r="L272" i="3"/>
  <c r="D272" i="3"/>
  <c r="AJ272" i="3"/>
  <c r="AA272" i="3"/>
  <c r="S272" i="3"/>
  <c r="K272" i="3"/>
  <c r="AI272" i="3"/>
  <c r="Z272" i="3"/>
  <c r="R272" i="3"/>
  <c r="J272" i="3"/>
  <c r="AH272" i="3"/>
  <c r="Y272" i="3"/>
  <c r="Q272" i="3"/>
  <c r="I272" i="3"/>
  <c r="AG272" i="3"/>
  <c r="X272" i="3"/>
  <c r="P272" i="3"/>
  <c r="H272" i="3"/>
  <c r="W272" i="3"/>
  <c r="V272" i="3"/>
  <c r="O272" i="3"/>
  <c r="N272" i="3"/>
  <c r="AN272" i="3"/>
  <c r="G272" i="3"/>
  <c r="AM272" i="3"/>
  <c r="F272" i="3"/>
  <c r="AE272" i="3"/>
  <c r="AD272" i="3"/>
  <c r="AF292" i="3" a="1"/>
  <c r="AF292" i="3" s="1"/>
  <c r="AI292" i="3"/>
  <c r="Z292" i="3"/>
  <c r="R292" i="3"/>
  <c r="J292" i="3"/>
  <c r="AH292" i="3"/>
  <c r="Y292" i="3"/>
  <c r="Q292" i="3"/>
  <c r="I292" i="3"/>
  <c r="AG292" i="3"/>
  <c r="X292" i="3"/>
  <c r="P292" i="3"/>
  <c r="H292" i="3"/>
  <c r="AM292" i="3"/>
  <c r="AD292" i="3"/>
  <c r="V292" i="3"/>
  <c r="N292" i="3"/>
  <c r="F292" i="3"/>
  <c r="AL292" i="3"/>
  <c r="AC292" i="3"/>
  <c r="U292" i="3"/>
  <c r="M292" i="3"/>
  <c r="E292" i="3"/>
  <c r="W292" i="3"/>
  <c r="T292" i="3"/>
  <c r="AN292" i="3"/>
  <c r="S292" i="3"/>
  <c r="AK292" i="3"/>
  <c r="O292" i="3"/>
  <c r="AJ292" i="3"/>
  <c r="L292" i="3"/>
  <c r="AE292" i="3"/>
  <c r="K292" i="3"/>
  <c r="AB292" i="3"/>
  <c r="AA292" i="3"/>
  <c r="G292" i="3"/>
  <c r="D292" i="3"/>
  <c r="AF308" i="3" a="1"/>
  <c r="AF308" i="3" s="1"/>
  <c r="AI308" i="3"/>
  <c r="Z308" i="3"/>
  <c r="R308" i="3"/>
  <c r="J308" i="3"/>
  <c r="AH308" i="3"/>
  <c r="Y308" i="3"/>
  <c r="Q308" i="3"/>
  <c r="I308" i="3"/>
  <c r="AG308" i="3"/>
  <c r="X308" i="3"/>
  <c r="P308" i="3"/>
  <c r="H308" i="3"/>
  <c r="AM308" i="3"/>
  <c r="AD308" i="3"/>
  <c r="V308" i="3"/>
  <c r="N308" i="3"/>
  <c r="F308" i="3"/>
  <c r="AL308" i="3"/>
  <c r="AC308" i="3"/>
  <c r="U308" i="3"/>
  <c r="M308" i="3"/>
  <c r="E308" i="3"/>
  <c r="W308" i="3"/>
  <c r="T308" i="3"/>
  <c r="AN308" i="3"/>
  <c r="S308" i="3"/>
  <c r="AK308" i="3"/>
  <c r="O308" i="3"/>
  <c r="AJ308" i="3"/>
  <c r="L308" i="3"/>
  <c r="AE308" i="3"/>
  <c r="K308" i="3"/>
  <c r="G308" i="3"/>
  <c r="D308" i="3"/>
  <c r="AB308" i="3"/>
  <c r="AA308" i="3"/>
  <c r="AF324" i="3" a="1"/>
  <c r="AF324" i="3" s="1"/>
  <c r="AH324" i="3"/>
  <c r="Y324" i="3"/>
  <c r="Q324" i="3"/>
  <c r="I324" i="3"/>
  <c r="AG324" i="3"/>
  <c r="X324" i="3"/>
  <c r="P324" i="3"/>
  <c r="H324" i="3"/>
  <c r="AN324" i="3"/>
  <c r="AE324" i="3"/>
  <c r="W324" i="3"/>
  <c r="O324" i="3"/>
  <c r="G324" i="3"/>
  <c r="AL324" i="3"/>
  <c r="AC324" i="3"/>
  <c r="U324" i="3"/>
  <c r="M324" i="3"/>
  <c r="E324" i="3"/>
  <c r="AJ324" i="3"/>
  <c r="S324" i="3"/>
  <c r="AI324" i="3"/>
  <c r="R324" i="3"/>
  <c r="AD324" i="3"/>
  <c r="N324" i="3"/>
  <c r="AA324" i="3"/>
  <c r="K324" i="3"/>
  <c r="Z324" i="3"/>
  <c r="J324" i="3"/>
  <c r="T324" i="3"/>
  <c r="L324" i="3"/>
  <c r="F324" i="3"/>
  <c r="D324" i="3"/>
  <c r="AM324" i="3"/>
  <c r="AK324" i="3"/>
  <c r="AB324" i="3"/>
  <c r="V324" i="3"/>
  <c r="AF340" i="3" a="1"/>
  <c r="AF340" i="3" s="1"/>
  <c r="AH340" i="3"/>
  <c r="Y340" i="3"/>
  <c r="Q340" i="3"/>
  <c r="I340" i="3"/>
  <c r="AG340" i="3"/>
  <c r="X340" i="3"/>
  <c r="P340" i="3"/>
  <c r="H340" i="3"/>
  <c r="AN340" i="3"/>
  <c r="AE340" i="3"/>
  <c r="W340" i="3"/>
  <c r="O340" i="3"/>
  <c r="G340" i="3"/>
  <c r="AL340" i="3"/>
  <c r="AC340" i="3"/>
  <c r="U340" i="3"/>
  <c r="M340" i="3"/>
  <c r="E340" i="3"/>
  <c r="AJ340" i="3"/>
  <c r="S340" i="3"/>
  <c r="AI340" i="3"/>
  <c r="R340" i="3"/>
  <c r="AD340" i="3"/>
  <c r="N340" i="3"/>
  <c r="AA340" i="3"/>
  <c r="K340" i="3"/>
  <c r="Z340" i="3"/>
  <c r="J340" i="3"/>
  <c r="AM340" i="3"/>
  <c r="AK340" i="3"/>
  <c r="AB340" i="3"/>
  <c r="V340" i="3"/>
  <c r="T340" i="3"/>
  <c r="L340" i="3"/>
  <c r="F340" i="3"/>
  <c r="D340" i="3"/>
  <c r="AF356" i="3" a="1"/>
  <c r="AF356" i="3" s="1"/>
  <c r="AH356" i="3"/>
  <c r="Y356" i="3"/>
  <c r="Q356" i="3"/>
  <c r="I356" i="3"/>
  <c r="AG356" i="3"/>
  <c r="X356" i="3"/>
  <c r="P356" i="3"/>
  <c r="H356" i="3"/>
  <c r="AN356" i="3"/>
  <c r="AE356" i="3"/>
  <c r="W356" i="3"/>
  <c r="O356" i="3"/>
  <c r="G356" i="3"/>
  <c r="AM356" i="3"/>
  <c r="AD356" i="3"/>
  <c r="V356" i="3"/>
  <c r="N356" i="3"/>
  <c r="F356" i="3"/>
  <c r="AL356" i="3"/>
  <c r="AC356" i="3"/>
  <c r="U356" i="3"/>
  <c r="M356" i="3"/>
  <c r="E356" i="3"/>
  <c r="T356" i="3"/>
  <c r="S356" i="3"/>
  <c r="AK356" i="3"/>
  <c r="R356" i="3"/>
  <c r="AI356" i="3"/>
  <c r="K356" i="3"/>
  <c r="AB356" i="3"/>
  <c r="J356" i="3"/>
  <c r="AJ356" i="3"/>
  <c r="AA356" i="3"/>
  <c r="Z356" i="3"/>
  <c r="L356" i="3"/>
  <c r="D356" i="3"/>
  <c r="AF376" i="3" a="1"/>
  <c r="AF376" i="3" s="1"/>
  <c r="AH376" i="3"/>
  <c r="AG376" i="3"/>
  <c r="AN376" i="3"/>
  <c r="AM376" i="3"/>
  <c r="AL376" i="3"/>
  <c r="AK376" i="3"/>
  <c r="AJ376" i="3"/>
  <c r="Y376" i="3"/>
  <c r="Q376" i="3"/>
  <c r="I376" i="3"/>
  <c r="AI376" i="3"/>
  <c r="X376" i="3"/>
  <c r="P376" i="3"/>
  <c r="H376" i="3"/>
  <c r="AE376" i="3"/>
  <c r="W376" i="3"/>
  <c r="O376" i="3"/>
  <c r="G376" i="3"/>
  <c r="AD376" i="3"/>
  <c r="V376" i="3"/>
  <c r="N376" i="3"/>
  <c r="F376" i="3"/>
  <c r="AC376" i="3"/>
  <c r="U376" i="3"/>
  <c r="M376" i="3"/>
  <c r="E376" i="3"/>
  <c r="AA376" i="3"/>
  <c r="D376" i="3"/>
  <c r="Z376" i="3"/>
  <c r="T376" i="3"/>
  <c r="R376" i="3"/>
  <c r="L376" i="3"/>
  <c r="S376" i="3"/>
  <c r="K376" i="3"/>
  <c r="J376" i="3"/>
  <c r="AB376" i="3"/>
  <c r="AF400" i="3" a="1"/>
  <c r="AF400" i="3" s="1"/>
  <c r="AH400" i="3"/>
  <c r="Y400" i="3"/>
  <c r="Q400" i="3"/>
  <c r="I400" i="3"/>
  <c r="AG400" i="3"/>
  <c r="X400" i="3"/>
  <c r="P400" i="3"/>
  <c r="H400" i="3"/>
  <c r="AN400" i="3"/>
  <c r="AE400" i="3"/>
  <c r="W400" i="3"/>
  <c r="O400" i="3"/>
  <c r="G400" i="3"/>
  <c r="AM400" i="3"/>
  <c r="AD400" i="3"/>
  <c r="V400" i="3"/>
  <c r="N400" i="3"/>
  <c r="F400" i="3"/>
  <c r="AL400" i="3"/>
  <c r="AC400" i="3"/>
  <c r="U400" i="3"/>
  <c r="M400" i="3"/>
  <c r="E400" i="3"/>
  <c r="AK400" i="3"/>
  <c r="AB400" i="3"/>
  <c r="T400" i="3"/>
  <c r="L400" i="3"/>
  <c r="D400" i="3"/>
  <c r="AJ400" i="3"/>
  <c r="AI400" i="3"/>
  <c r="AA400" i="3"/>
  <c r="Z400" i="3"/>
  <c r="S400" i="3"/>
  <c r="J400" i="3"/>
  <c r="R400" i="3"/>
  <c r="K400" i="3"/>
  <c r="AF416" i="3" a="1"/>
  <c r="AF416" i="3" s="1"/>
  <c r="AH416" i="3"/>
  <c r="Y416" i="3"/>
  <c r="Q416" i="3"/>
  <c r="I416" i="3"/>
  <c r="AG416" i="3"/>
  <c r="X416" i="3"/>
  <c r="P416" i="3"/>
  <c r="H416" i="3"/>
  <c r="AN416" i="3"/>
  <c r="AE416" i="3"/>
  <c r="W416" i="3"/>
  <c r="O416" i="3"/>
  <c r="G416" i="3"/>
  <c r="AM416" i="3"/>
  <c r="AD416" i="3"/>
  <c r="V416" i="3"/>
  <c r="N416" i="3"/>
  <c r="F416" i="3"/>
  <c r="AL416" i="3"/>
  <c r="AC416" i="3"/>
  <c r="U416" i="3"/>
  <c r="M416" i="3"/>
  <c r="E416" i="3"/>
  <c r="AK416" i="3"/>
  <c r="AB416" i="3"/>
  <c r="T416" i="3"/>
  <c r="L416" i="3"/>
  <c r="D416" i="3"/>
  <c r="AJ416" i="3"/>
  <c r="AI416" i="3"/>
  <c r="AA416" i="3"/>
  <c r="Z416" i="3"/>
  <c r="S416" i="3"/>
  <c r="R416" i="3"/>
  <c r="K416" i="3"/>
  <c r="J416" i="3"/>
  <c r="AF432" i="3" a="1"/>
  <c r="AF432" i="3" s="1"/>
  <c r="AM432" i="3"/>
  <c r="AD432" i="3"/>
  <c r="V432" i="3"/>
  <c r="N432" i="3"/>
  <c r="F432" i="3"/>
  <c r="AL432" i="3"/>
  <c r="AC432" i="3"/>
  <c r="U432" i="3"/>
  <c r="M432" i="3"/>
  <c r="E432" i="3"/>
  <c r="AK432" i="3"/>
  <c r="AB432" i="3"/>
  <c r="T432" i="3"/>
  <c r="L432" i="3"/>
  <c r="D432" i="3"/>
  <c r="AI432" i="3"/>
  <c r="Z432" i="3"/>
  <c r="R432" i="3"/>
  <c r="J432" i="3"/>
  <c r="AH432" i="3"/>
  <c r="Y432" i="3"/>
  <c r="Q432" i="3"/>
  <c r="I432" i="3"/>
  <c r="W432" i="3"/>
  <c r="S432" i="3"/>
  <c r="AN432" i="3"/>
  <c r="P432" i="3"/>
  <c r="AJ432" i="3"/>
  <c r="O432" i="3"/>
  <c r="AG432" i="3"/>
  <c r="K432" i="3"/>
  <c r="AE432" i="3"/>
  <c r="H432" i="3"/>
  <c r="AA432" i="3"/>
  <c r="X432" i="3"/>
  <c r="G432" i="3"/>
  <c r="AF456" i="3" a="1"/>
  <c r="AF456" i="3" s="1"/>
  <c r="AM456" i="3"/>
  <c r="AD456" i="3"/>
  <c r="V456" i="3"/>
  <c r="N456" i="3"/>
  <c r="F456" i="3"/>
  <c r="AL456" i="3"/>
  <c r="AC456" i="3"/>
  <c r="U456" i="3"/>
  <c r="M456" i="3"/>
  <c r="E456" i="3"/>
  <c r="AK456" i="3"/>
  <c r="AB456" i="3"/>
  <c r="T456" i="3"/>
  <c r="L456" i="3"/>
  <c r="D456" i="3"/>
  <c r="AJ456" i="3"/>
  <c r="AA456" i="3"/>
  <c r="S456" i="3"/>
  <c r="K456" i="3"/>
  <c r="AI456" i="3"/>
  <c r="Z456" i="3"/>
  <c r="R456" i="3"/>
  <c r="J456" i="3"/>
  <c r="AH456" i="3"/>
  <c r="Y456" i="3"/>
  <c r="Q456" i="3"/>
  <c r="I456" i="3"/>
  <c r="H456" i="3"/>
  <c r="AN456" i="3"/>
  <c r="G456" i="3"/>
  <c r="AG456" i="3"/>
  <c r="AE456" i="3"/>
  <c r="X456" i="3"/>
  <c r="W456" i="3"/>
  <c r="P456" i="3"/>
  <c r="O456" i="3"/>
  <c r="AF476" i="3" a="1"/>
  <c r="AF476" i="3" s="1"/>
  <c r="AM476" i="3"/>
  <c r="AD476" i="3"/>
  <c r="V476" i="3"/>
  <c r="N476" i="3"/>
  <c r="F476" i="3"/>
  <c r="AL476" i="3"/>
  <c r="AC476" i="3"/>
  <c r="U476" i="3"/>
  <c r="M476" i="3"/>
  <c r="E476" i="3"/>
  <c r="AK476" i="3"/>
  <c r="AB476" i="3"/>
  <c r="T476" i="3"/>
  <c r="L476" i="3"/>
  <c r="D476" i="3"/>
  <c r="AJ476" i="3"/>
  <c r="AA476" i="3"/>
  <c r="S476" i="3"/>
  <c r="K476" i="3"/>
  <c r="AI476" i="3"/>
  <c r="Z476" i="3"/>
  <c r="R476" i="3"/>
  <c r="J476" i="3"/>
  <c r="AH476" i="3"/>
  <c r="Y476" i="3"/>
  <c r="Q476" i="3"/>
  <c r="I476" i="3"/>
  <c r="X476" i="3"/>
  <c r="W476" i="3"/>
  <c r="P476" i="3"/>
  <c r="O476" i="3"/>
  <c r="H476" i="3"/>
  <c r="AN476" i="3"/>
  <c r="G476" i="3"/>
  <c r="AG476" i="3"/>
  <c r="AE476" i="3"/>
  <c r="AF492" i="3" a="1"/>
  <c r="AF492" i="3" s="1"/>
  <c r="AM492" i="3"/>
  <c r="AD492" i="3"/>
  <c r="V492" i="3"/>
  <c r="N492" i="3"/>
  <c r="F492" i="3"/>
  <c r="AL492" i="3"/>
  <c r="AC492" i="3"/>
  <c r="U492" i="3"/>
  <c r="M492" i="3"/>
  <c r="E492" i="3"/>
  <c r="AK492" i="3"/>
  <c r="AB492" i="3"/>
  <c r="T492" i="3"/>
  <c r="L492" i="3"/>
  <c r="D492" i="3"/>
  <c r="AJ492" i="3"/>
  <c r="AA492" i="3"/>
  <c r="S492" i="3"/>
  <c r="K492" i="3"/>
  <c r="AI492" i="3"/>
  <c r="Z492" i="3"/>
  <c r="R492" i="3"/>
  <c r="J492" i="3"/>
  <c r="AH492" i="3"/>
  <c r="Y492" i="3"/>
  <c r="Q492" i="3"/>
  <c r="I492" i="3"/>
  <c r="X492" i="3"/>
  <c r="W492" i="3"/>
  <c r="P492" i="3"/>
  <c r="O492" i="3"/>
  <c r="H492" i="3"/>
  <c r="AN492" i="3"/>
  <c r="G492" i="3"/>
  <c r="AG492" i="3"/>
  <c r="AE492" i="3"/>
  <c r="AF508" i="3" a="1"/>
  <c r="AF508" i="3" s="1"/>
  <c r="AM508" i="3"/>
  <c r="AD508" i="3"/>
  <c r="V508" i="3"/>
  <c r="N508" i="3"/>
  <c r="F508" i="3"/>
  <c r="AL508" i="3"/>
  <c r="AC508" i="3"/>
  <c r="U508" i="3"/>
  <c r="M508" i="3"/>
  <c r="E508" i="3"/>
  <c r="AK508" i="3"/>
  <c r="AB508" i="3"/>
  <c r="T508" i="3"/>
  <c r="L508" i="3"/>
  <c r="D508" i="3"/>
  <c r="AI508" i="3"/>
  <c r="Z508" i="3"/>
  <c r="R508" i="3"/>
  <c r="J508" i="3"/>
  <c r="AH508" i="3"/>
  <c r="Y508" i="3"/>
  <c r="Q508" i="3"/>
  <c r="I508" i="3"/>
  <c r="S508" i="3"/>
  <c r="AN508" i="3"/>
  <c r="P508" i="3"/>
  <c r="AJ508" i="3"/>
  <c r="O508" i="3"/>
  <c r="AG508" i="3"/>
  <c r="K508" i="3"/>
  <c r="AE508" i="3"/>
  <c r="H508" i="3"/>
  <c r="AA508" i="3"/>
  <c r="G508" i="3"/>
  <c r="X508" i="3"/>
  <c r="W508" i="3"/>
  <c r="AF528" i="3" a="1"/>
  <c r="AF528" i="3" s="1"/>
  <c r="AI528" i="3"/>
  <c r="Z528" i="3"/>
  <c r="R528" i="3"/>
  <c r="J528" i="3"/>
  <c r="AH528" i="3"/>
  <c r="Y528" i="3"/>
  <c r="Q528" i="3"/>
  <c r="I528" i="3"/>
  <c r="AG528" i="3"/>
  <c r="X528" i="3"/>
  <c r="P528" i="3"/>
  <c r="H528" i="3"/>
  <c r="AN528" i="3"/>
  <c r="AE528" i="3"/>
  <c r="W528" i="3"/>
  <c r="O528" i="3"/>
  <c r="G528" i="3"/>
  <c r="AM528" i="3"/>
  <c r="AD528" i="3"/>
  <c r="V528" i="3"/>
  <c r="N528" i="3"/>
  <c r="F528" i="3"/>
  <c r="AL528" i="3"/>
  <c r="AC528" i="3"/>
  <c r="U528" i="3"/>
  <c r="M528" i="3"/>
  <c r="E528" i="3"/>
  <c r="AB528" i="3"/>
  <c r="AA528" i="3"/>
  <c r="T528" i="3"/>
  <c r="S528" i="3"/>
  <c r="L528" i="3"/>
  <c r="K528" i="3"/>
  <c r="D528" i="3"/>
  <c r="AK528" i="3"/>
  <c r="AJ528" i="3"/>
  <c r="AF540" i="3" a="1"/>
  <c r="AF540" i="3" s="1"/>
  <c r="AI540" i="3"/>
  <c r="Z540" i="3"/>
  <c r="R540" i="3"/>
  <c r="J540" i="3"/>
  <c r="AH540" i="3"/>
  <c r="Y540" i="3"/>
  <c r="Q540" i="3"/>
  <c r="I540" i="3"/>
  <c r="AG540" i="3"/>
  <c r="X540" i="3"/>
  <c r="P540" i="3"/>
  <c r="H540" i="3"/>
  <c r="AN540" i="3"/>
  <c r="AE540" i="3"/>
  <c r="W540" i="3"/>
  <c r="O540" i="3"/>
  <c r="G540" i="3"/>
  <c r="AM540" i="3"/>
  <c r="AD540" i="3"/>
  <c r="V540" i="3"/>
  <c r="N540" i="3"/>
  <c r="F540" i="3"/>
  <c r="AL540" i="3"/>
  <c r="AC540" i="3"/>
  <c r="U540" i="3"/>
  <c r="M540" i="3"/>
  <c r="E540" i="3"/>
  <c r="L540" i="3"/>
  <c r="K540" i="3"/>
  <c r="AK540" i="3"/>
  <c r="D540" i="3"/>
  <c r="AJ540" i="3"/>
  <c r="AB540" i="3"/>
  <c r="AA540" i="3"/>
  <c r="T540" i="3"/>
  <c r="S540" i="3"/>
  <c r="AF560" i="3" a="1"/>
  <c r="AF560" i="3" s="1"/>
  <c r="AM560" i="3"/>
  <c r="AD560" i="3"/>
  <c r="V560" i="3"/>
  <c r="N560" i="3"/>
  <c r="F560" i="3"/>
  <c r="AL560" i="3"/>
  <c r="AC560" i="3"/>
  <c r="U560" i="3"/>
  <c r="M560" i="3"/>
  <c r="E560" i="3"/>
  <c r="AI560" i="3"/>
  <c r="Z560" i="3"/>
  <c r="R560" i="3"/>
  <c r="J560" i="3"/>
  <c r="AH560" i="3"/>
  <c r="Y560" i="3"/>
  <c r="Q560" i="3"/>
  <c r="I560" i="3"/>
  <c r="AK560" i="3"/>
  <c r="T560" i="3"/>
  <c r="D560" i="3"/>
  <c r="AJ560" i="3"/>
  <c r="S560" i="3"/>
  <c r="AG560" i="3"/>
  <c r="P560" i="3"/>
  <c r="AE560" i="3"/>
  <c r="O560" i="3"/>
  <c r="AB560" i="3"/>
  <c r="L560" i="3"/>
  <c r="AA560" i="3"/>
  <c r="K560" i="3"/>
  <c r="AN560" i="3"/>
  <c r="X560" i="3"/>
  <c r="W560" i="3"/>
  <c r="H560" i="3"/>
  <c r="G560" i="3"/>
  <c r="AF576" i="3" a="1"/>
  <c r="AF576" i="3" s="1"/>
  <c r="AI576" i="3"/>
  <c r="Z576" i="3"/>
  <c r="R576" i="3"/>
  <c r="J576" i="3"/>
  <c r="AH576" i="3"/>
  <c r="Y576" i="3"/>
  <c r="Q576" i="3"/>
  <c r="I576" i="3"/>
  <c r="AG576" i="3"/>
  <c r="X576" i="3"/>
  <c r="P576" i="3"/>
  <c r="H576" i="3"/>
  <c r="AM576" i="3"/>
  <c r="AD576" i="3"/>
  <c r="V576" i="3"/>
  <c r="N576" i="3"/>
  <c r="F576" i="3"/>
  <c r="AK576" i="3"/>
  <c r="T576" i="3"/>
  <c r="D576" i="3"/>
  <c r="AJ576" i="3"/>
  <c r="S576" i="3"/>
  <c r="AE576" i="3"/>
  <c r="O576" i="3"/>
  <c r="AB576" i="3"/>
  <c r="L576" i="3"/>
  <c r="AA576" i="3"/>
  <c r="K576" i="3"/>
  <c r="W576" i="3"/>
  <c r="U576" i="3"/>
  <c r="M576" i="3"/>
  <c r="G576" i="3"/>
  <c r="E576" i="3"/>
  <c r="AN576" i="3"/>
  <c r="AL576" i="3"/>
  <c r="AC576" i="3"/>
  <c r="AF588" i="3" a="1"/>
  <c r="AF588" i="3" s="1"/>
  <c r="AI588" i="3"/>
  <c r="Z588" i="3"/>
  <c r="R588" i="3"/>
  <c r="J588" i="3"/>
  <c r="AH588" i="3"/>
  <c r="Y588" i="3"/>
  <c r="Q588" i="3"/>
  <c r="I588" i="3"/>
  <c r="AG588" i="3"/>
  <c r="X588" i="3"/>
  <c r="P588" i="3"/>
  <c r="H588" i="3"/>
  <c r="AN588" i="3"/>
  <c r="AE588" i="3"/>
  <c r="W588" i="3"/>
  <c r="O588" i="3"/>
  <c r="G588" i="3"/>
  <c r="AM588" i="3"/>
  <c r="AD588" i="3"/>
  <c r="V588" i="3"/>
  <c r="N588" i="3"/>
  <c r="F588" i="3"/>
  <c r="AL588" i="3"/>
  <c r="S588" i="3"/>
  <c r="AK588" i="3"/>
  <c r="M588" i="3"/>
  <c r="AJ588" i="3"/>
  <c r="L588" i="3"/>
  <c r="AB588" i="3"/>
  <c r="E588" i="3"/>
  <c r="AA588" i="3"/>
  <c r="D588" i="3"/>
  <c r="K588" i="3"/>
  <c r="AC588" i="3"/>
  <c r="U588" i="3"/>
  <c r="T588" i="3"/>
  <c r="AF600" i="3" a="1"/>
  <c r="AF600" i="3" s="1"/>
  <c r="AH600" i="3"/>
  <c r="Y600" i="3"/>
  <c r="Q600" i="3"/>
  <c r="I600" i="3"/>
  <c r="AG600" i="3"/>
  <c r="X600" i="3"/>
  <c r="P600" i="3"/>
  <c r="H600" i="3"/>
  <c r="AN600" i="3"/>
  <c r="AE600" i="3"/>
  <c r="W600" i="3"/>
  <c r="O600" i="3"/>
  <c r="G600" i="3"/>
  <c r="AL600" i="3"/>
  <c r="AC600" i="3"/>
  <c r="U600" i="3"/>
  <c r="M600" i="3"/>
  <c r="E600" i="3"/>
  <c r="AK600" i="3"/>
  <c r="AB600" i="3"/>
  <c r="T600" i="3"/>
  <c r="L600" i="3"/>
  <c r="D600" i="3"/>
  <c r="AM600" i="3"/>
  <c r="R600" i="3"/>
  <c r="AJ600" i="3"/>
  <c r="N600" i="3"/>
  <c r="AI600" i="3"/>
  <c r="K600" i="3"/>
  <c r="AD600" i="3"/>
  <c r="J600" i="3"/>
  <c r="AA600" i="3"/>
  <c r="F600" i="3"/>
  <c r="Z600" i="3"/>
  <c r="V600" i="3"/>
  <c r="S600" i="3"/>
  <c r="AF616" i="3" a="1"/>
  <c r="AF616" i="3" s="1"/>
  <c r="AG616" i="3"/>
  <c r="X616" i="3"/>
  <c r="P616" i="3"/>
  <c r="H616" i="3"/>
  <c r="AN616" i="3"/>
  <c r="AE616" i="3"/>
  <c r="W616" i="3"/>
  <c r="O616" i="3"/>
  <c r="G616" i="3"/>
  <c r="AM616" i="3"/>
  <c r="AD616" i="3"/>
  <c r="V616" i="3"/>
  <c r="N616" i="3"/>
  <c r="F616" i="3"/>
  <c r="AL616" i="3"/>
  <c r="AC616" i="3"/>
  <c r="U616" i="3"/>
  <c r="M616" i="3"/>
  <c r="E616" i="3"/>
  <c r="AH616" i="3"/>
  <c r="Q616" i="3"/>
  <c r="AB616" i="3"/>
  <c r="L616" i="3"/>
  <c r="AA616" i="3"/>
  <c r="K616" i="3"/>
  <c r="Z616" i="3"/>
  <c r="J616" i="3"/>
  <c r="Y616" i="3"/>
  <c r="I616" i="3"/>
  <c r="AK616" i="3"/>
  <c r="T616" i="3"/>
  <c r="D616" i="3"/>
  <c r="AJ616" i="3"/>
  <c r="S616" i="3"/>
  <c r="R616" i="3"/>
  <c r="AI616" i="3"/>
  <c r="AG624" i="3"/>
  <c r="X624" i="3"/>
  <c r="P624" i="3"/>
  <c r="H624" i="3"/>
  <c r="AN624" i="3"/>
  <c r="AE624" i="3"/>
  <c r="W624" i="3"/>
  <c r="O624" i="3"/>
  <c r="G624" i="3"/>
  <c r="AM624" i="3"/>
  <c r="AD624" i="3"/>
  <c r="V624" i="3"/>
  <c r="N624" i="3"/>
  <c r="F624" i="3"/>
  <c r="AL624" i="3"/>
  <c r="AC624" i="3"/>
  <c r="U624" i="3"/>
  <c r="M624" i="3"/>
  <c r="E624" i="3"/>
  <c r="AH624" i="3"/>
  <c r="Q624" i="3"/>
  <c r="AB624" i="3"/>
  <c r="L624" i="3"/>
  <c r="AF624" i="3" a="1"/>
  <c r="AF624" i="3" s="1"/>
  <c r="AA624" i="3"/>
  <c r="K624" i="3"/>
  <c r="Z624" i="3"/>
  <c r="J624" i="3"/>
  <c r="Y624" i="3"/>
  <c r="I624" i="3"/>
  <c r="AK624" i="3"/>
  <c r="T624" i="3"/>
  <c r="D624" i="3"/>
  <c r="AJ624" i="3"/>
  <c r="AI624" i="3"/>
  <c r="S624" i="3"/>
  <c r="R624" i="3"/>
  <c r="AF632" i="3" a="1"/>
  <c r="AF632" i="3" s="1"/>
  <c r="AI632" i="3"/>
  <c r="Z632" i="3"/>
  <c r="R632" i="3"/>
  <c r="J632" i="3"/>
  <c r="AH632" i="3"/>
  <c r="Y632" i="3"/>
  <c r="Q632" i="3"/>
  <c r="I632" i="3"/>
  <c r="AG632" i="3"/>
  <c r="X632" i="3"/>
  <c r="P632" i="3"/>
  <c r="H632" i="3"/>
  <c r="AN632" i="3"/>
  <c r="AE632" i="3"/>
  <c r="W632" i="3"/>
  <c r="O632" i="3"/>
  <c r="G632" i="3"/>
  <c r="AM632" i="3"/>
  <c r="AD632" i="3"/>
  <c r="V632" i="3"/>
  <c r="N632" i="3"/>
  <c r="F632" i="3"/>
  <c r="AL632" i="3"/>
  <c r="AC632" i="3"/>
  <c r="U632" i="3"/>
  <c r="M632" i="3"/>
  <c r="E632" i="3"/>
  <c r="L632" i="3"/>
  <c r="K632" i="3"/>
  <c r="AK632" i="3"/>
  <c r="D632" i="3"/>
  <c r="AJ632" i="3"/>
  <c r="AB632" i="3"/>
  <c r="AA632" i="3"/>
  <c r="T632" i="3"/>
  <c r="S632" i="3"/>
  <c r="AF636" i="3" a="1"/>
  <c r="AF636" i="3" s="1"/>
  <c r="AI636" i="3"/>
  <c r="Z636" i="3"/>
  <c r="R636" i="3"/>
  <c r="J636" i="3"/>
  <c r="AH636" i="3"/>
  <c r="Y636" i="3"/>
  <c r="Q636" i="3"/>
  <c r="I636" i="3"/>
  <c r="AG636" i="3"/>
  <c r="X636" i="3"/>
  <c r="P636" i="3"/>
  <c r="H636" i="3"/>
  <c r="AN636" i="3"/>
  <c r="AE636" i="3"/>
  <c r="W636" i="3"/>
  <c r="O636" i="3"/>
  <c r="G636" i="3"/>
  <c r="AM636" i="3"/>
  <c r="AD636" i="3"/>
  <c r="V636" i="3"/>
  <c r="N636" i="3"/>
  <c r="F636" i="3"/>
  <c r="AL636" i="3"/>
  <c r="AC636" i="3"/>
  <c r="U636" i="3"/>
  <c r="M636" i="3"/>
  <c r="E636" i="3"/>
  <c r="AB636" i="3"/>
  <c r="AA636" i="3"/>
  <c r="T636" i="3"/>
  <c r="S636" i="3"/>
  <c r="L636" i="3"/>
  <c r="K636" i="3"/>
  <c r="AK636" i="3"/>
  <c r="AJ636" i="3"/>
  <c r="D636" i="3"/>
  <c r="AI640" i="3"/>
  <c r="Z640" i="3"/>
  <c r="R640" i="3"/>
  <c r="J640" i="3"/>
  <c r="AH640" i="3"/>
  <c r="Y640" i="3"/>
  <c r="Q640" i="3"/>
  <c r="I640" i="3"/>
  <c r="AG640" i="3"/>
  <c r="X640" i="3"/>
  <c r="P640" i="3"/>
  <c r="H640" i="3"/>
  <c r="AN640" i="3"/>
  <c r="AE640" i="3"/>
  <c r="W640" i="3"/>
  <c r="O640" i="3"/>
  <c r="G640" i="3"/>
  <c r="AM640" i="3"/>
  <c r="AD640" i="3"/>
  <c r="V640" i="3"/>
  <c r="N640" i="3"/>
  <c r="F640" i="3"/>
  <c r="AF640" i="3" a="1"/>
  <c r="AF640" i="3" s="1"/>
  <c r="AL640" i="3"/>
  <c r="AC640" i="3"/>
  <c r="U640" i="3"/>
  <c r="M640" i="3"/>
  <c r="E640" i="3"/>
  <c r="L640" i="3"/>
  <c r="K640" i="3"/>
  <c r="AK640" i="3"/>
  <c r="D640" i="3"/>
  <c r="AJ640" i="3"/>
  <c r="AB640" i="3"/>
  <c r="AA640" i="3"/>
  <c r="T640" i="3"/>
  <c r="S640" i="3"/>
  <c r="AI664" i="3"/>
  <c r="Z664" i="3"/>
  <c r="R664" i="3"/>
  <c r="J664" i="3"/>
  <c r="AG664" i="3"/>
  <c r="X664" i="3"/>
  <c r="P664" i="3"/>
  <c r="H664" i="3"/>
  <c r="AN664" i="3"/>
  <c r="AE664" i="3"/>
  <c r="W664" i="3"/>
  <c r="O664" i="3"/>
  <c r="G664" i="3"/>
  <c r="AM664" i="3"/>
  <c r="AD664" i="3"/>
  <c r="V664" i="3"/>
  <c r="N664" i="3"/>
  <c r="F664" i="3"/>
  <c r="AK664" i="3"/>
  <c r="AB664" i="3"/>
  <c r="T664" i="3"/>
  <c r="L664" i="3"/>
  <c r="D664" i="3"/>
  <c r="U664" i="3"/>
  <c r="S664" i="3"/>
  <c r="AL664" i="3"/>
  <c r="Q664" i="3"/>
  <c r="AJ664" i="3"/>
  <c r="M664" i="3"/>
  <c r="AH664" i="3"/>
  <c r="K664" i="3"/>
  <c r="AC664" i="3"/>
  <c r="I664" i="3"/>
  <c r="AA664" i="3"/>
  <c r="Y664" i="3"/>
  <c r="E664" i="3"/>
  <c r="AF664" i="3" a="1"/>
  <c r="AF664" i="3" s="1"/>
  <c r="F7" i="4"/>
  <c r="N7" i="4"/>
  <c r="N11" i="4"/>
  <c r="N15" i="4"/>
  <c r="O47" i="4"/>
  <c r="S41" i="4"/>
  <c r="K41" i="4"/>
  <c r="M45" i="4"/>
  <c r="E45" i="4"/>
  <c r="S45" i="4"/>
  <c r="K45" i="4"/>
  <c r="M49" i="4"/>
  <c r="E49" i="4"/>
  <c r="S49" i="4"/>
  <c r="K49" i="4"/>
  <c r="M53" i="4"/>
  <c r="E53" i="4"/>
  <c r="L53" i="4"/>
  <c r="D53" i="4"/>
  <c r="S53" i="4"/>
  <c r="K53" i="4"/>
  <c r="R53" i="4"/>
  <c r="J53" i="4"/>
  <c r="Q53" i="4"/>
  <c r="I53" i="4"/>
  <c r="P53" i="4"/>
  <c r="H53" i="4"/>
  <c r="O53" i="4"/>
  <c r="G53" i="4"/>
  <c r="M57" i="4"/>
  <c r="E57" i="4"/>
  <c r="L57" i="4"/>
  <c r="D57" i="4"/>
  <c r="S57" i="4"/>
  <c r="K57" i="4"/>
  <c r="R57" i="4"/>
  <c r="J57" i="4"/>
  <c r="Q57" i="4"/>
  <c r="I57" i="4"/>
  <c r="P57" i="4"/>
  <c r="H57" i="4"/>
  <c r="O57" i="4"/>
  <c r="G57" i="4"/>
  <c r="M61" i="4"/>
  <c r="E61" i="4"/>
  <c r="L61" i="4"/>
  <c r="D61" i="4"/>
  <c r="S61" i="4"/>
  <c r="K61" i="4"/>
  <c r="R61" i="4"/>
  <c r="J61" i="4"/>
  <c r="Q61" i="4"/>
  <c r="I61" i="4"/>
  <c r="P61" i="4"/>
  <c r="H61" i="4"/>
  <c r="O61" i="4"/>
  <c r="G61" i="4"/>
  <c r="M65" i="4"/>
  <c r="E65" i="4"/>
  <c r="L65" i="4"/>
  <c r="D65" i="4"/>
  <c r="S65" i="4"/>
  <c r="K65" i="4"/>
  <c r="R65" i="4"/>
  <c r="J65" i="4"/>
  <c r="Q65" i="4"/>
  <c r="I65" i="4"/>
  <c r="P65" i="4"/>
  <c r="H65" i="4"/>
  <c r="O65" i="4"/>
  <c r="G65" i="4"/>
  <c r="M69" i="4"/>
  <c r="E69" i="4"/>
  <c r="L69" i="4"/>
  <c r="D69" i="4"/>
  <c r="S69" i="4"/>
  <c r="K69" i="4"/>
  <c r="R69" i="4"/>
  <c r="J69" i="4"/>
  <c r="Q69" i="4"/>
  <c r="I69" i="4"/>
  <c r="P69" i="4"/>
  <c r="H69" i="4"/>
  <c r="O69" i="4"/>
  <c r="G69" i="4"/>
  <c r="M73" i="4"/>
  <c r="E73" i="4"/>
  <c r="L73" i="4"/>
  <c r="D73" i="4"/>
  <c r="S73" i="4"/>
  <c r="K73" i="4"/>
  <c r="R73" i="4"/>
  <c r="J73" i="4"/>
  <c r="Q73" i="4"/>
  <c r="I73" i="4"/>
  <c r="P73" i="4"/>
  <c r="H73" i="4"/>
  <c r="O73" i="4"/>
  <c r="G73" i="4"/>
  <c r="M77" i="4"/>
  <c r="E77" i="4"/>
  <c r="L77" i="4"/>
  <c r="D77" i="4"/>
  <c r="S77" i="4"/>
  <c r="K77" i="4"/>
  <c r="R77" i="4"/>
  <c r="J77" i="4"/>
  <c r="Q77" i="4"/>
  <c r="I77" i="4"/>
  <c r="P77" i="4"/>
  <c r="H77" i="4"/>
  <c r="O77" i="4"/>
  <c r="G77" i="4"/>
  <c r="M81" i="4"/>
  <c r="E81" i="4"/>
  <c r="L81" i="4"/>
  <c r="D81" i="4"/>
  <c r="S81" i="4"/>
  <c r="K81" i="4"/>
  <c r="R81" i="4"/>
  <c r="J81" i="4"/>
  <c r="Q81" i="4"/>
  <c r="I81" i="4"/>
  <c r="P81" i="4"/>
  <c r="H81" i="4"/>
  <c r="O81" i="4"/>
  <c r="G81" i="4"/>
  <c r="M85" i="4"/>
  <c r="E85" i="4"/>
  <c r="L85" i="4"/>
  <c r="D85" i="4"/>
  <c r="S85" i="4"/>
  <c r="K85" i="4"/>
  <c r="R85" i="4"/>
  <c r="J85" i="4"/>
  <c r="Q85" i="4"/>
  <c r="I85" i="4"/>
  <c r="P85" i="4"/>
  <c r="H85" i="4"/>
  <c r="O85" i="4"/>
  <c r="G85" i="4"/>
  <c r="M89" i="4"/>
  <c r="E89" i="4"/>
  <c r="L89" i="4"/>
  <c r="D89" i="4"/>
  <c r="S89" i="4"/>
  <c r="K89" i="4"/>
  <c r="R89" i="4"/>
  <c r="J89" i="4"/>
  <c r="Q89" i="4"/>
  <c r="I89" i="4"/>
  <c r="P89" i="4"/>
  <c r="H89" i="4"/>
  <c r="O89" i="4"/>
  <c r="G89" i="4"/>
  <c r="M93" i="4"/>
  <c r="E93" i="4"/>
  <c r="L93" i="4"/>
  <c r="D93" i="4"/>
  <c r="S93" i="4"/>
  <c r="K93" i="4"/>
  <c r="R93" i="4"/>
  <c r="J93" i="4"/>
  <c r="Q93" i="4"/>
  <c r="I93" i="4"/>
  <c r="P93" i="4"/>
  <c r="H93" i="4"/>
  <c r="O93" i="4"/>
  <c r="G93" i="4"/>
  <c r="M97" i="4"/>
  <c r="E97" i="4"/>
  <c r="L97" i="4"/>
  <c r="D97" i="4"/>
  <c r="S97" i="4"/>
  <c r="K97" i="4"/>
  <c r="R97" i="4"/>
  <c r="J97" i="4"/>
  <c r="Q97" i="4"/>
  <c r="I97" i="4"/>
  <c r="P97" i="4"/>
  <c r="H97" i="4"/>
  <c r="O97" i="4"/>
  <c r="G97" i="4"/>
  <c r="M101" i="4"/>
  <c r="E101" i="4"/>
  <c r="L101" i="4"/>
  <c r="D101" i="4"/>
  <c r="S101" i="4"/>
  <c r="K101" i="4"/>
  <c r="R101" i="4"/>
  <c r="J101" i="4"/>
  <c r="Q101" i="4"/>
  <c r="I101" i="4"/>
  <c r="P101" i="4"/>
  <c r="H101" i="4"/>
  <c r="O101" i="4"/>
  <c r="G101" i="4"/>
  <c r="M105" i="4"/>
  <c r="E105" i="4"/>
  <c r="L105" i="4"/>
  <c r="D105" i="4"/>
  <c r="S105" i="4"/>
  <c r="K105" i="4"/>
  <c r="R105" i="4"/>
  <c r="J105" i="4"/>
  <c r="Q105" i="4"/>
  <c r="I105" i="4"/>
  <c r="P105" i="4"/>
  <c r="H105" i="4"/>
  <c r="O105" i="4"/>
  <c r="G105" i="4"/>
  <c r="M109" i="4"/>
  <c r="E109" i="4"/>
  <c r="L109" i="4"/>
  <c r="D109" i="4"/>
  <c r="S109" i="4"/>
  <c r="K109" i="4"/>
  <c r="R109" i="4"/>
  <c r="J109" i="4"/>
  <c r="Q109" i="4"/>
  <c r="I109" i="4"/>
  <c r="P109" i="4"/>
  <c r="H109" i="4"/>
  <c r="O109" i="4"/>
  <c r="G109" i="4"/>
  <c r="M113" i="4"/>
  <c r="E113" i="4"/>
  <c r="L113" i="4"/>
  <c r="D113" i="4"/>
  <c r="S113" i="4"/>
  <c r="K113" i="4"/>
  <c r="R113" i="4"/>
  <c r="J113" i="4"/>
  <c r="Q113" i="4"/>
  <c r="I113" i="4"/>
  <c r="P113" i="4"/>
  <c r="H113" i="4"/>
  <c r="O113" i="4"/>
  <c r="G113" i="4"/>
  <c r="M117" i="4"/>
  <c r="E117" i="4"/>
  <c r="L117" i="4"/>
  <c r="D117" i="4"/>
  <c r="S117" i="4"/>
  <c r="K117" i="4"/>
  <c r="R117" i="4"/>
  <c r="J117" i="4"/>
  <c r="Q117" i="4"/>
  <c r="I117" i="4"/>
  <c r="P117" i="4"/>
  <c r="H117" i="4"/>
  <c r="O117" i="4"/>
  <c r="G117" i="4"/>
  <c r="M121" i="4"/>
  <c r="E121" i="4"/>
  <c r="L121" i="4"/>
  <c r="D121" i="4"/>
  <c r="S121" i="4"/>
  <c r="K121" i="4"/>
  <c r="R121" i="4"/>
  <c r="J121" i="4"/>
  <c r="Q121" i="4"/>
  <c r="I121" i="4"/>
  <c r="P121" i="4"/>
  <c r="H121" i="4"/>
  <c r="O121" i="4"/>
  <c r="G121" i="4"/>
  <c r="M125" i="4"/>
  <c r="E125" i="4"/>
  <c r="L125" i="4"/>
  <c r="D125" i="4"/>
  <c r="S125" i="4"/>
  <c r="K125" i="4"/>
  <c r="R125" i="4"/>
  <c r="J125" i="4"/>
  <c r="Q125" i="4"/>
  <c r="I125" i="4"/>
  <c r="P125" i="4"/>
  <c r="H125" i="4"/>
  <c r="O125" i="4"/>
  <c r="G125" i="4"/>
  <c r="M129" i="4"/>
  <c r="E129" i="4"/>
  <c r="L129" i="4"/>
  <c r="D129" i="4"/>
  <c r="S129" i="4"/>
  <c r="K129" i="4"/>
  <c r="R129" i="4"/>
  <c r="J129" i="4"/>
  <c r="Q129" i="4"/>
  <c r="I129" i="4"/>
  <c r="P129" i="4"/>
  <c r="H129" i="4"/>
  <c r="O129" i="4"/>
  <c r="G129" i="4"/>
  <c r="M133" i="4"/>
  <c r="E133" i="4"/>
  <c r="L133" i="4"/>
  <c r="D133" i="4"/>
  <c r="S133" i="4"/>
  <c r="K133" i="4"/>
  <c r="R133" i="4"/>
  <c r="J133" i="4"/>
  <c r="Q133" i="4"/>
  <c r="I133" i="4"/>
  <c r="P133" i="4"/>
  <c r="H133" i="4"/>
  <c r="O133" i="4"/>
  <c r="G133" i="4"/>
  <c r="M137" i="4"/>
  <c r="E137" i="4"/>
  <c r="L137" i="4"/>
  <c r="D137" i="4"/>
  <c r="S137" i="4"/>
  <c r="K137" i="4"/>
  <c r="R137" i="4"/>
  <c r="J137" i="4"/>
  <c r="Q137" i="4"/>
  <c r="I137" i="4"/>
  <c r="P137" i="4"/>
  <c r="H137" i="4"/>
  <c r="O137" i="4"/>
  <c r="G137" i="4"/>
  <c r="M141" i="4"/>
  <c r="E141" i="4"/>
  <c r="L141" i="4"/>
  <c r="D141" i="4"/>
  <c r="S141" i="4"/>
  <c r="K141" i="4"/>
  <c r="R141" i="4"/>
  <c r="J141" i="4"/>
  <c r="Q141" i="4"/>
  <c r="I141" i="4"/>
  <c r="P141" i="4"/>
  <c r="H141" i="4"/>
  <c r="O141" i="4"/>
  <c r="G141" i="4"/>
  <c r="M145" i="4"/>
  <c r="E145" i="4"/>
  <c r="L145" i="4"/>
  <c r="D145" i="4"/>
  <c r="S145" i="4"/>
  <c r="K145" i="4"/>
  <c r="R145" i="4"/>
  <c r="J145" i="4"/>
  <c r="Q145" i="4"/>
  <c r="I145" i="4"/>
  <c r="P145" i="4"/>
  <c r="H145" i="4"/>
  <c r="O145" i="4"/>
  <c r="G145" i="4"/>
  <c r="M149" i="4"/>
  <c r="E149" i="4"/>
  <c r="L149" i="4"/>
  <c r="D149" i="4"/>
  <c r="S149" i="4"/>
  <c r="K149" i="4"/>
  <c r="R149" i="4"/>
  <c r="J149" i="4"/>
  <c r="Q149" i="4"/>
  <c r="I149" i="4"/>
  <c r="P149" i="4"/>
  <c r="H149" i="4"/>
  <c r="O149" i="4"/>
  <c r="G149" i="4"/>
  <c r="M153" i="4"/>
  <c r="E153" i="4"/>
  <c r="L153" i="4"/>
  <c r="D153" i="4"/>
  <c r="S153" i="4"/>
  <c r="K153" i="4"/>
  <c r="R153" i="4"/>
  <c r="J153" i="4"/>
  <c r="Q153" i="4"/>
  <c r="I153" i="4"/>
  <c r="P153" i="4"/>
  <c r="H153" i="4"/>
  <c r="O153" i="4"/>
  <c r="G153" i="4"/>
  <c r="M157" i="4"/>
  <c r="E157" i="4"/>
  <c r="L157" i="4"/>
  <c r="D157" i="4"/>
  <c r="S157" i="4"/>
  <c r="K157" i="4"/>
  <c r="R157" i="4"/>
  <c r="J157" i="4"/>
  <c r="Q157" i="4"/>
  <c r="I157" i="4"/>
  <c r="P157" i="4"/>
  <c r="H157" i="4"/>
  <c r="O157" i="4"/>
  <c r="G157" i="4"/>
  <c r="M161" i="4"/>
  <c r="E161" i="4"/>
  <c r="L161" i="4"/>
  <c r="D161" i="4"/>
  <c r="S161" i="4"/>
  <c r="K161" i="4"/>
  <c r="R161" i="4"/>
  <c r="J161" i="4"/>
  <c r="Q161" i="4"/>
  <c r="I161" i="4"/>
  <c r="P161" i="4"/>
  <c r="H161" i="4"/>
  <c r="O161" i="4"/>
  <c r="G161" i="4"/>
  <c r="O165" i="4"/>
  <c r="N165" i="4"/>
  <c r="M165" i="4"/>
  <c r="L165" i="4"/>
  <c r="S165" i="4"/>
  <c r="K165" i="4"/>
  <c r="R165" i="4"/>
  <c r="J165" i="4"/>
  <c r="E165" i="4"/>
  <c r="D165" i="4"/>
  <c r="Q165" i="4"/>
  <c r="P165" i="4"/>
  <c r="I165" i="4"/>
  <c r="H165" i="4"/>
  <c r="G165" i="4"/>
  <c r="O169" i="4"/>
  <c r="G169" i="4"/>
  <c r="N169" i="4"/>
  <c r="F169" i="4"/>
  <c r="M169" i="4"/>
  <c r="E169" i="4"/>
  <c r="L169" i="4"/>
  <c r="D169" i="4"/>
  <c r="S169" i="4"/>
  <c r="K169" i="4"/>
  <c r="R169" i="4"/>
  <c r="J169" i="4"/>
  <c r="Q169" i="4"/>
  <c r="P169" i="4"/>
  <c r="I169" i="4"/>
  <c r="H169" i="4"/>
  <c r="O173" i="4"/>
  <c r="G173" i="4"/>
  <c r="N173" i="4"/>
  <c r="F173" i="4"/>
  <c r="M173" i="4"/>
  <c r="E173" i="4"/>
  <c r="L173" i="4"/>
  <c r="D173" i="4"/>
  <c r="S173" i="4"/>
  <c r="K173" i="4"/>
  <c r="R173" i="4"/>
  <c r="J173" i="4"/>
  <c r="Q173" i="4"/>
  <c r="P173" i="4"/>
  <c r="I173" i="4"/>
  <c r="H173" i="4"/>
  <c r="O177" i="4"/>
  <c r="G177" i="4"/>
  <c r="N177" i="4"/>
  <c r="F177" i="4"/>
  <c r="M177" i="4"/>
  <c r="E177" i="4"/>
  <c r="L177" i="4"/>
  <c r="D177" i="4"/>
  <c r="S177" i="4"/>
  <c r="K177" i="4"/>
  <c r="R177" i="4"/>
  <c r="J177" i="4"/>
  <c r="Q177" i="4"/>
  <c r="P177" i="4"/>
  <c r="I177" i="4"/>
  <c r="H177" i="4"/>
  <c r="O181" i="4"/>
  <c r="G181" i="4"/>
  <c r="N181" i="4"/>
  <c r="F181" i="4"/>
  <c r="M181" i="4"/>
  <c r="E181" i="4"/>
  <c r="L181" i="4"/>
  <c r="D181" i="4"/>
  <c r="S181" i="4"/>
  <c r="K181" i="4"/>
  <c r="R181" i="4"/>
  <c r="J181" i="4"/>
  <c r="Q181" i="4"/>
  <c r="P181" i="4"/>
  <c r="I181" i="4"/>
  <c r="H181" i="4"/>
  <c r="O185" i="4"/>
  <c r="G185" i="4"/>
  <c r="N185" i="4"/>
  <c r="F185" i="4"/>
  <c r="M185" i="4"/>
  <c r="E185" i="4"/>
  <c r="L185" i="4"/>
  <c r="D185" i="4"/>
  <c r="S185" i="4"/>
  <c r="K185" i="4"/>
  <c r="R185" i="4"/>
  <c r="J185" i="4"/>
  <c r="Q185" i="4"/>
  <c r="P185" i="4"/>
  <c r="I185" i="4"/>
  <c r="H185" i="4"/>
  <c r="O189" i="4"/>
  <c r="G189" i="4"/>
  <c r="N189" i="4"/>
  <c r="F189" i="4"/>
  <c r="M189" i="4"/>
  <c r="E189" i="4"/>
  <c r="L189" i="4"/>
  <c r="D189" i="4"/>
  <c r="S189" i="4"/>
  <c r="K189" i="4"/>
  <c r="R189" i="4"/>
  <c r="J189" i="4"/>
  <c r="Q189" i="4"/>
  <c r="P189" i="4"/>
  <c r="I189" i="4"/>
  <c r="H189" i="4"/>
  <c r="O193" i="4"/>
  <c r="G193" i="4"/>
  <c r="N193" i="4"/>
  <c r="F193" i="4"/>
  <c r="M193" i="4"/>
  <c r="E193" i="4"/>
  <c r="L193" i="4"/>
  <c r="D193" i="4"/>
  <c r="S193" i="4"/>
  <c r="K193" i="4"/>
  <c r="R193" i="4"/>
  <c r="J193" i="4"/>
  <c r="Q193" i="4"/>
  <c r="P193" i="4"/>
  <c r="I193" i="4"/>
  <c r="H193" i="4"/>
  <c r="O197" i="4"/>
  <c r="G197" i="4"/>
  <c r="N197" i="4"/>
  <c r="F197" i="4"/>
  <c r="M197" i="4"/>
  <c r="E197" i="4"/>
  <c r="L197" i="4"/>
  <c r="D197" i="4"/>
  <c r="S197" i="4"/>
  <c r="K197" i="4"/>
  <c r="R197" i="4"/>
  <c r="J197" i="4"/>
  <c r="Q197" i="4"/>
  <c r="P197" i="4"/>
  <c r="I197" i="4"/>
  <c r="H197" i="4"/>
  <c r="O201" i="4"/>
  <c r="G201" i="4"/>
  <c r="N201" i="4"/>
  <c r="F201" i="4"/>
  <c r="M201" i="4"/>
  <c r="E201" i="4"/>
  <c r="L201" i="4"/>
  <c r="D201" i="4"/>
  <c r="S201" i="4"/>
  <c r="K201" i="4"/>
  <c r="R201" i="4"/>
  <c r="J201" i="4"/>
  <c r="Q201" i="4"/>
  <c r="P201" i="4"/>
  <c r="I201" i="4"/>
  <c r="H201" i="4"/>
  <c r="O205" i="4"/>
  <c r="G205" i="4"/>
  <c r="N205" i="4"/>
  <c r="F205" i="4"/>
  <c r="M205" i="4"/>
  <c r="E205" i="4"/>
  <c r="L205" i="4"/>
  <c r="D205" i="4"/>
  <c r="S205" i="4"/>
  <c r="K205" i="4"/>
  <c r="R205" i="4"/>
  <c r="J205" i="4"/>
  <c r="Q205" i="4"/>
  <c r="P205" i="4"/>
  <c r="I205" i="4"/>
  <c r="H205" i="4"/>
  <c r="O209" i="4"/>
  <c r="G209" i="4"/>
  <c r="N209" i="4"/>
  <c r="F209" i="4"/>
  <c r="M209" i="4"/>
  <c r="E209" i="4"/>
  <c r="L209" i="4"/>
  <c r="D209" i="4"/>
  <c r="S209" i="4"/>
  <c r="K209" i="4"/>
  <c r="R209" i="4"/>
  <c r="J209" i="4"/>
  <c r="Q209" i="4"/>
  <c r="P209" i="4"/>
  <c r="I209" i="4"/>
  <c r="H209" i="4"/>
  <c r="O213" i="4"/>
  <c r="G213" i="4"/>
  <c r="N213" i="4"/>
  <c r="F213" i="4"/>
  <c r="M213" i="4"/>
  <c r="E213" i="4"/>
  <c r="L213" i="4"/>
  <c r="D213" i="4"/>
  <c r="S213" i="4"/>
  <c r="K213" i="4"/>
  <c r="R213" i="4"/>
  <c r="J213" i="4"/>
  <c r="Q213" i="4"/>
  <c r="P213" i="4"/>
  <c r="I213" i="4"/>
  <c r="H213" i="4"/>
  <c r="O217" i="4"/>
  <c r="G217" i="4"/>
  <c r="N217" i="4"/>
  <c r="F217" i="4"/>
  <c r="M217" i="4"/>
  <c r="E217" i="4"/>
  <c r="L217" i="4"/>
  <c r="D217" i="4"/>
  <c r="S217" i="4"/>
  <c r="K217" i="4"/>
  <c r="R217" i="4"/>
  <c r="J217" i="4"/>
  <c r="Q217" i="4"/>
  <c r="P217" i="4"/>
  <c r="I217" i="4"/>
  <c r="H217" i="4"/>
  <c r="O221" i="4"/>
  <c r="G221" i="4"/>
  <c r="N221" i="4"/>
  <c r="F221" i="4"/>
  <c r="M221" i="4"/>
  <c r="E221" i="4"/>
  <c r="L221" i="4"/>
  <c r="D221" i="4"/>
  <c r="S221" i="4"/>
  <c r="K221" i="4"/>
  <c r="R221" i="4"/>
  <c r="J221" i="4"/>
  <c r="Q221" i="4"/>
  <c r="P221" i="4"/>
  <c r="I221" i="4"/>
  <c r="H221" i="4"/>
  <c r="O225" i="4"/>
  <c r="G225" i="4"/>
  <c r="N225" i="4"/>
  <c r="F225" i="4"/>
  <c r="M225" i="4"/>
  <c r="E225" i="4"/>
  <c r="L225" i="4"/>
  <c r="D225" i="4"/>
  <c r="S225" i="4"/>
  <c r="K225" i="4"/>
  <c r="R225" i="4"/>
  <c r="J225" i="4"/>
  <c r="Q225" i="4"/>
  <c r="P225" i="4"/>
  <c r="I225" i="4"/>
  <c r="H225" i="4"/>
  <c r="O229" i="4"/>
  <c r="G229" i="4"/>
  <c r="N229" i="4"/>
  <c r="F229" i="4"/>
  <c r="M229" i="4"/>
  <c r="E229" i="4"/>
  <c r="L229" i="4"/>
  <c r="D229" i="4"/>
  <c r="S229" i="4"/>
  <c r="K229" i="4"/>
  <c r="R229" i="4"/>
  <c r="J229" i="4"/>
  <c r="Q229" i="4"/>
  <c r="P229" i="4"/>
  <c r="I229" i="4"/>
  <c r="H229" i="4"/>
  <c r="O233" i="4"/>
  <c r="G233" i="4"/>
  <c r="N233" i="4"/>
  <c r="F233" i="4"/>
  <c r="M233" i="4"/>
  <c r="E233" i="4"/>
  <c r="L233" i="4"/>
  <c r="D233" i="4"/>
  <c r="S233" i="4"/>
  <c r="K233" i="4"/>
  <c r="R233" i="4"/>
  <c r="J233" i="4"/>
  <c r="Q233" i="4"/>
  <c r="P233" i="4"/>
  <c r="I233" i="4"/>
  <c r="H233" i="4"/>
  <c r="O237" i="4"/>
  <c r="G237" i="4"/>
  <c r="N237" i="4"/>
  <c r="F237" i="4"/>
  <c r="M237" i="4"/>
  <c r="E237" i="4"/>
  <c r="L237" i="4"/>
  <c r="D237" i="4"/>
  <c r="S237" i="4"/>
  <c r="K237" i="4"/>
  <c r="R237" i="4"/>
  <c r="J237" i="4"/>
  <c r="Q237" i="4"/>
  <c r="P237" i="4"/>
  <c r="I237" i="4"/>
  <c r="H237" i="4"/>
  <c r="O241" i="4"/>
  <c r="G241" i="4"/>
  <c r="N241" i="4"/>
  <c r="F241" i="4"/>
  <c r="M241" i="4"/>
  <c r="E241" i="4"/>
  <c r="L241" i="4"/>
  <c r="D241" i="4"/>
  <c r="S241" i="4"/>
  <c r="K241" i="4"/>
  <c r="R241" i="4"/>
  <c r="J241" i="4"/>
  <c r="Q241" i="4"/>
  <c r="P241" i="4"/>
  <c r="I241" i="4"/>
  <c r="H241" i="4"/>
  <c r="O245" i="4"/>
  <c r="G245" i="4"/>
  <c r="N245" i="4"/>
  <c r="F245" i="4"/>
  <c r="M245" i="4"/>
  <c r="E245" i="4"/>
  <c r="L245" i="4"/>
  <c r="D245" i="4"/>
  <c r="S245" i="4"/>
  <c r="K245" i="4"/>
  <c r="R245" i="4"/>
  <c r="J245" i="4"/>
  <c r="Q245" i="4"/>
  <c r="P245" i="4"/>
  <c r="I245" i="4"/>
  <c r="H245" i="4"/>
  <c r="O249" i="4"/>
  <c r="G249" i="4"/>
  <c r="N249" i="4"/>
  <c r="F249" i="4"/>
  <c r="M249" i="4"/>
  <c r="E249" i="4"/>
  <c r="L249" i="4"/>
  <c r="D249" i="4"/>
  <c r="S249" i="4"/>
  <c r="K249" i="4"/>
  <c r="R249" i="4"/>
  <c r="J249" i="4"/>
  <c r="Q249" i="4"/>
  <c r="P249" i="4"/>
  <c r="I249" i="4"/>
  <c r="H249" i="4"/>
  <c r="O253" i="4"/>
  <c r="G253" i="4"/>
  <c r="N253" i="4"/>
  <c r="F253" i="4"/>
  <c r="M253" i="4"/>
  <c r="E253" i="4"/>
  <c r="L253" i="4"/>
  <c r="D253" i="4"/>
  <c r="S253" i="4"/>
  <c r="K253" i="4"/>
  <c r="R253" i="4"/>
  <c r="J253" i="4"/>
  <c r="Q253" i="4"/>
  <c r="P253" i="4"/>
  <c r="I253" i="4"/>
  <c r="H253" i="4"/>
  <c r="O257" i="4"/>
  <c r="G257" i="4"/>
  <c r="N257" i="4"/>
  <c r="F257" i="4"/>
  <c r="M257" i="4"/>
  <c r="E257" i="4"/>
  <c r="L257" i="4"/>
  <c r="D257" i="4"/>
  <c r="S257" i="4"/>
  <c r="K257" i="4"/>
  <c r="R257" i="4"/>
  <c r="J257" i="4"/>
  <c r="Q257" i="4"/>
  <c r="P257" i="4"/>
  <c r="I257" i="4"/>
  <c r="H257" i="4"/>
  <c r="O261" i="4"/>
  <c r="G261" i="4"/>
  <c r="N261" i="4"/>
  <c r="F261" i="4"/>
  <c r="M261" i="4"/>
  <c r="E261" i="4"/>
  <c r="L261" i="4"/>
  <c r="D261" i="4"/>
  <c r="S261" i="4"/>
  <c r="K261" i="4"/>
  <c r="R261" i="4"/>
  <c r="J261" i="4"/>
  <c r="Q261" i="4"/>
  <c r="P261" i="4"/>
  <c r="I261" i="4"/>
  <c r="H261" i="4"/>
  <c r="O265" i="4"/>
  <c r="G265" i="4"/>
  <c r="N265" i="4"/>
  <c r="F265" i="4"/>
  <c r="M265" i="4"/>
  <c r="E265" i="4"/>
  <c r="L265" i="4"/>
  <c r="D265" i="4"/>
  <c r="S265" i="4"/>
  <c r="K265" i="4"/>
  <c r="R265" i="4"/>
  <c r="J265" i="4"/>
  <c r="Q265" i="4"/>
  <c r="P265" i="4"/>
  <c r="I265" i="4"/>
  <c r="H265" i="4"/>
  <c r="O269" i="4"/>
  <c r="G269" i="4"/>
  <c r="N269" i="4"/>
  <c r="F269" i="4"/>
  <c r="M269" i="4"/>
  <c r="E269" i="4"/>
  <c r="L269" i="4"/>
  <c r="D269" i="4"/>
  <c r="S269" i="4"/>
  <c r="K269" i="4"/>
  <c r="R269" i="4"/>
  <c r="J269" i="4"/>
  <c r="Q269" i="4"/>
  <c r="P269" i="4"/>
  <c r="I269" i="4"/>
  <c r="H269" i="4"/>
  <c r="O273" i="4"/>
  <c r="G273" i="4"/>
  <c r="N273" i="4"/>
  <c r="F273" i="4"/>
  <c r="M273" i="4"/>
  <c r="E273" i="4"/>
  <c r="L273" i="4"/>
  <c r="D273" i="4"/>
  <c r="S273" i="4"/>
  <c r="K273" i="4"/>
  <c r="R273" i="4"/>
  <c r="J273" i="4"/>
  <c r="Q273" i="4"/>
  <c r="P273" i="4"/>
  <c r="I273" i="4"/>
  <c r="H273" i="4"/>
  <c r="O277" i="4"/>
  <c r="G277" i="4"/>
  <c r="N277" i="4"/>
  <c r="F277" i="4"/>
  <c r="M277" i="4"/>
  <c r="E277" i="4"/>
  <c r="L277" i="4"/>
  <c r="D277" i="4"/>
  <c r="S277" i="4"/>
  <c r="K277" i="4"/>
  <c r="R277" i="4"/>
  <c r="J277" i="4"/>
  <c r="Q277" i="4"/>
  <c r="P277" i="4"/>
  <c r="I277" i="4"/>
  <c r="H277" i="4"/>
  <c r="O281" i="4"/>
  <c r="G281" i="4"/>
  <c r="N281" i="4"/>
  <c r="F281" i="4"/>
  <c r="M281" i="4"/>
  <c r="E281" i="4"/>
  <c r="L281" i="4"/>
  <c r="D281" i="4"/>
  <c r="S281" i="4"/>
  <c r="K281" i="4"/>
  <c r="R281" i="4"/>
  <c r="J281" i="4"/>
  <c r="Q281" i="4"/>
  <c r="P281" i="4"/>
  <c r="I281" i="4"/>
  <c r="H281" i="4"/>
  <c r="O285" i="4"/>
  <c r="G285" i="4"/>
  <c r="N285" i="4"/>
  <c r="F285" i="4"/>
  <c r="M285" i="4"/>
  <c r="E285" i="4"/>
  <c r="L285" i="4"/>
  <c r="D285" i="4"/>
  <c r="S285" i="4"/>
  <c r="K285" i="4"/>
  <c r="R285" i="4"/>
  <c r="J285" i="4"/>
  <c r="Q285" i="4"/>
  <c r="P285" i="4"/>
  <c r="I285" i="4"/>
  <c r="H285" i="4"/>
  <c r="O289" i="4"/>
  <c r="G289" i="4"/>
  <c r="N289" i="4"/>
  <c r="F289" i="4"/>
  <c r="M289" i="4"/>
  <c r="E289" i="4"/>
  <c r="L289" i="4"/>
  <c r="D289" i="4"/>
  <c r="S289" i="4"/>
  <c r="K289" i="4"/>
  <c r="R289" i="4"/>
  <c r="J289" i="4"/>
  <c r="Q289" i="4"/>
  <c r="P289" i="4"/>
  <c r="I289" i="4"/>
  <c r="H289" i="4"/>
  <c r="O293" i="4"/>
  <c r="G293" i="4"/>
  <c r="N293" i="4"/>
  <c r="F293" i="4"/>
  <c r="M293" i="4"/>
  <c r="E293" i="4"/>
  <c r="L293" i="4"/>
  <c r="D293" i="4"/>
  <c r="S293" i="4"/>
  <c r="K293" i="4"/>
  <c r="R293" i="4"/>
  <c r="J293" i="4"/>
  <c r="I293" i="4"/>
  <c r="Q293" i="4"/>
  <c r="P293" i="4"/>
  <c r="H293" i="4"/>
  <c r="O297" i="4"/>
  <c r="G297" i="4"/>
  <c r="N297" i="4"/>
  <c r="F297" i="4"/>
  <c r="M297" i="4"/>
  <c r="E297" i="4"/>
  <c r="L297" i="4"/>
  <c r="D297" i="4"/>
  <c r="S297" i="4"/>
  <c r="K297" i="4"/>
  <c r="R297" i="4"/>
  <c r="J297" i="4"/>
  <c r="I297" i="4"/>
  <c r="H297" i="4"/>
  <c r="Q297" i="4"/>
  <c r="O301" i="4"/>
  <c r="G301" i="4"/>
  <c r="N301" i="4"/>
  <c r="F301" i="4"/>
  <c r="M301" i="4"/>
  <c r="E301" i="4"/>
  <c r="L301" i="4"/>
  <c r="D301" i="4"/>
  <c r="S301" i="4"/>
  <c r="K301" i="4"/>
  <c r="R301" i="4"/>
  <c r="J301" i="4"/>
  <c r="I301" i="4"/>
  <c r="Q301" i="4"/>
  <c r="P301" i="4"/>
  <c r="H301" i="4"/>
  <c r="O305" i="4"/>
  <c r="G305" i="4"/>
  <c r="N305" i="4"/>
  <c r="F305" i="4"/>
  <c r="M305" i="4"/>
  <c r="E305" i="4"/>
  <c r="L305" i="4"/>
  <c r="D305" i="4"/>
  <c r="S305" i="4"/>
  <c r="K305" i="4"/>
  <c r="R305" i="4"/>
  <c r="J305" i="4"/>
  <c r="I305" i="4"/>
  <c r="Q305" i="4"/>
  <c r="P305" i="4"/>
  <c r="H305" i="4"/>
  <c r="O309" i="4"/>
  <c r="G309" i="4"/>
  <c r="N309" i="4"/>
  <c r="F309" i="4"/>
  <c r="M309" i="4"/>
  <c r="E309" i="4"/>
  <c r="L309" i="4"/>
  <c r="D309" i="4"/>
  <c r="S309" i="4"/>
  <c r="K309" i="4"/>
  <c r="R309" i="4"/>
  <c r="J309" i="4"/>
  <c r="I309" i="4"/>
  <c r="Q309" i="4"/>
  <c r="P309" i="4"/>
  <c r="H309" i="4"/>
  <c r="O313" i="4"/>
  <c r="G313" i="4"/>
  <c r="N313" i="4"/>
  <c r="F313" i="4"/>
  <c r="M313" i="4"/>
  <c r="E313" i="4"/>
  <c r="L313" i="4"/>
  <c r="D313" i="4"/>
  <c r="S313" i="4"/>
  <c r="K313" i="4"/>
  <c r="R313" i="4"/>
  <c r="J313" i="4"/>
  <c r="I313" i="4"/>
  <c r="H313" i="4"/>
  <c r="Q313" i="4"/>
  <c r="O317" i="4"/>
  <c r="G317" i="4"/>
  <c r="N317" i="4"/>
  <c r="F317" i="4"/>
  <c r="M317" i="4"/>
  <c r="E317" i="4"/>
  <c r="L317" i="4"/>
  <c r="D317" i="4"/>
  <c r="S317" i="4"/>
  <c r="K317" i="4"/>
  <c r="R317" i="4"/>
  <c r="J317" i="4"/>
  <c r="I317" i="4"/>
  <c r="Q317" i="4"/>
  <c r="P317" i="4"/>
  <c r="H317" i="4"/>
  <c r="O321" i="4"/>
  <c r="G321" i="4"/>
  <c r="N321" i="4"/>
  <c r="F321" i="4"/>
  <c r="M321" i="4"/>
  <c r="E321" i="4"/>
  <c r="L321" i="4"/>
  <c r="D321" i="4"/>
  <c r="S321" i="4"/>
  <c r="K321" i="4"/>
  <c r="R321" i="4"/>
  <c r="J321" i="4"/>
  <c r="I321" i="4"/>
  <c r="Q321" i="4"/>
  <c r="P321" i="4"/>
  <c r="H321" i="4"/>
  <c r="O325" i="4"/>
  <c r="G325" i="4"/>
  <c r="N325" i="4"/>
  <c r="F325" i="4"/>
  <c r="M325" i="4"/>
  <c r="E325" i="4"/>
  <c r="L325" i="4"/>
  <c r="D325" i="4"/>
  <c r="S325" i="4"/>
  <c r="K325" i="4"/>
  <c r="R325" i="4"/>
  <c r="J325" i="4"/>
  <c r="I325" i="4"/>
  <c r="Q325" i="4"/>
  <c r="P325" i="4"/>
  <c r="H325" i="4"/>
  <c r="O329" i="4"/>
  <c r="G329" i="4"/>
  <c r="N329" i="4"/>
  <c r="F329" i="4"/>
  <c r="M329" i="4"/>
  <c r="E329" i="4"/>
  <c r="L329" i="4"/>
  <c r="D329" i="4"/>
  <c r="S329" i="4"/>
  <c r="K329" i="4"/>
  <c r="R329" i="4"/>
  <c r="J329" i="4"/>
  <c r="I329" i="4"/>
  <c r="H329" i="4"/>
  <c r="Q329" i="4"/>
  <c r="O333" i="4"/>
  <c r="G333" i="4"/>
  <c r="N333" i="4"/>
  <c r="F333" i="4"/>
  <c r="M333" i="4"/>
  <c r="E333" i="4"/>
  <c r="L333" i="4"/>
  <c r="D333" i="4"/>
  <c r="S333" i="4"/>
  <c r="K333" i="4"/>
  <c r="R333" i="4"/>
  <c r="J333" i="4"/>
  <c r="I333" i="4"/>
  <c r="Q333" i="4"/>
  <c r="P333" i="4"/>
  <c r="H333" i="4"/>
  <c r="O337" i="4"/>
  <c r="G337" i="4"/>
  <c r="N337" i="4"/>
  <c r="F337" i="4"/>
  <c r="M337" i="4"/>
  <c r="E337" i="4"/>
  <c r="L337" i="4"/>
  <c r="D337" i="4"/>
  <c r="S337" i="4"/>
  <c r="K337" i="4"/>
  <c r="R337" i="4"/>
  <c r="J337" i="4"/>
  <c r="I337" i="4"/>
  <c r="Q337" i="4"/>
  <c r="P337" i="4"/>
  <c r="H337" i="4"/>
  <c r="O341" i="4"/>
  <c r="G341" i="4"/>
  <c r="N341" i="4"/>
  <c r="F341" i="4"/>
  <c r="M341" i="4"/>
  <c r="E341" i="4"/>
  <c r="L341" i="4"/>
  <c r="D341" i="4"/>
  <c r="S341" i="4"/>
  <c r="K341" i="4"/>
  <c r="R341" i="4"/>
  <c r="J341" i="4"/>
  <c r="I341" i="4"/>
  <c r="Q341" i="4"/>
  <c r="P341" i="4"/>
  <c r="H341" i="4"/>
  <c r="O345" i="4"/>
  <c r="G345" i="4"/>
  <c r="N345" i="4"/>
  <c r="F345" i="4"/>
  <c r="M345" i="4"/>
  <c r="E345" i="4"/>
  <c r="L345" i="4"/>
  <c r="D345" i="4"/>
  <c r="S345" i="4"/>
  <c r="K345" i="4"/>
  <c r="R345" i="4"/>
  <c r="J345" i="4"/>
  <c r="I345" i="4"/>
  <c r="H345" i="4"/>
  <c r="Q345" i="4"/>
  <c r="O349" i="4"/>
  <c r="G349" i="4"/>
  <c r="N349" i="4"/>
  <c r="F349" i="4"/>
  <c r="M349" i="4"/>
  <c r="E349" i="4"/>
  <c r="L349" i="4"/>
  <c r="D349" i="4"/>
  <c r="S349" i="4"/>
  <c r="K349" i="4"/>
  <c r="R349" i="4"/>
  <c r="J349" i="4"/>
  <c r="I349" i="4"/>
  <c r="Q349" i="4"/>
  <c r="P349" i="4"/>
  <c r="H349" i="4"/>
  <c r="O353" i="4"/>
  <c r="G353" i="4"/>
  <c r="N353" i="4"/>
  <c r="F353" i="4"/>
  <c r="M353" i="4"/>
  <c r="E353" i="4"/>
  <c r="L353" i="4"/>
  <c r="D353" i="4"/>
  <c r="S353" i="4"/>
  <c r="K353" i="4"/>
  <c r="R353" i="4"/>
  <c r="J353" i="4"/>
  <c r="I353" i="4"/>
  <c r="P353" i="4"/>
  <c r="Q353" i="4"/>
  <c r="O357" i="4"/>
  <c r="G357" i="4"/>
  <c r="N357" i="4"/>
  <c r="F357" i="4"/>
  <c r="M357" i="4"/>
  <c r="E357" i="4"/>
  <c r="L357" i="4"/>
  <c r="D357" i="4"/>
  <c r="S357" i="4"/>
  <c r="K357" i="4"/>
  <c r="R357" i="4"/>
  <c r="J357" i="4"/>
  <c r="I357" i="4"/>
  <c r="Q357" i="4"/>
  <c r="P357" i="4"/>
  <c r="H357" i="4"/>
  <c r="O361" i="4"/>
  <c r="G361" i="4"/>
  <c r="N361" i="4"/>
  <c r="F361" i="4"/>
  <c r="M361" i="4"/>
  <c r="E361" i="4"/>
  <c r="L361" i="4"/>
  <c r="D361" i="4"/>
  <c r="S361" i="4"/>
  <c r="K361" i="4"/>
  <c r="R361" i="4"/>
  <c r="J361" i="4"/>
  <c r="I361" i="4"/>
  <c r="H361" i="4"/>
  <c r="Q361" i="4"/>
  <c r="P361" i="4"/>
  <c r="O365" i="4"/>
  <c r="G365" i="4"/>
  <c r="N365" i="4"/>
  <c r="F365" i="4"/>
  <c r="M365" i="4"/>
  <c r="E365" i="4"/>
  <c r="L365" i="4"/>
  <c r="D365" i="4"/>
  <c r="S365" i="4"/>
  <c r="K365" i="4"/>
  <c r="R365" i="4"/>
  <c r="J365" i="4"/>
  <c r="I365" i="4"/>
  <c r="Q365" i="4"/>
  <c r="H365" i="4"/>
  <c r="O369" i="4"/>
  <c r="G369" i="4"/>
  <c r="N369" i="4"/>
  <c r="F369" i="4"/>
  <c r="M369" i="4"/>
  <c r="E369" i="4"/>
  <c r="L369" i="4"/>
  <c r="D369" i="4"/>
  <c r="S369" i="4"/>
  <c r="K369" i="4"/>
  <c r="R369" i="4"/>
  <c r="J369" i="4"/>
  <c r="I369" i="4"/>
  <c r="P369" i="4"/>
  <c r="Q369" i="4"/>
  <c r="H369" i="4"/>
  <c r="O373" i="4"/>
  <c r="G373" i="4"/>
  <c r="N373" i="4"/>
  <c r="F373" i="4"/>
  <c r="M373" i="4"/>
  <c r="E373" i="4"/>
  <c r="L373" i="4"/>
  <c r="D373" i="4"/>
  <c r="S373" i="4"/>
  <c r="K373" i="4"/>
  <c r="R373" i="4"/>
  <c r="J373" i="4"/>
  <c r="I373" i="4"/>
  <c r="Q373" i="4"/>
  <c r="P373" i="4"/>
  <c r="H373" i="4"/>
  <c r="O377" i="4"/>
  <c r="G377" i="4"/>
  <c r="N377" i="4"/>
  <c r="F377" i="4"/>
  <c r="M377" i="4"/>
  <c r="E377" i="4"/>
  <c r="L377" i="4"/>
  <c r="D377" i="4"/>
  <c r="S377" i="4"/>
  <c r="K377" i="4"/>
  <c r="R377" i="4"/>
  <c r="J377" i="4"/>
  <c r="I377" i="4"/>
  <c r="H377" i="4"/>
  <c r="Q377" i="4"/>
  <c r="P377" i="4"/>
  <c r="O381" i="4"/>
  <c r="G381" i="4"/>
  <c r="N381" i="4"/>
  <c r="F381" i="4"/>
  <c r="M381" i="4"/>
  <c r="E381" i="4"/>
  <c r="L381" i="4"/>
  <c r="D381" i="4"/>
  <c r="S381" i="4"/>
  <c r="K381" i="4"/>
  <c r="R381" i="4"/>
  <c r="J381" i="4"/>
  <c r="I381" i="4"/>
  <c r="P381" i="4"/>
  <c r="H381" i="4"/>
  <c r="Q381" i="4"/>
  <c r="O385" i="4"/>
  <c r="G385" i="4"/>
  <c r="N385" i="4"/>
  <c r="F385" i="4"/>
  <c r="M385" i="4"/>
  <c r="E385" i="4"/>
  <c r="L385" i="4"/>
  <c r="D385" i="4"/>
  <c r="S385" i="4"/>
  <c r="K385" i="4"/>
  <c r="R385" i="4"/>
  <c r="J385" i="4"/>
  <c r="I385" i="4"/>
  <c r="Q385" i="4"/>
  <c r="P385" i="4"/>
  <c r="O389" i="4"/>
  <c r="G389" i="4"/>
  <c r="N389" i="4"/>
  <c r="F389" i="4"/>
  <c r="M389" i="4"/>
  <c r="E389" i="4"/>
  <c r="L389" i="4"/>
  <c r="D389" i="4"/>
  <c r="S389" i="4"/>
  <c r="K389" i="4"/>
  <c r="R389" i="4"/>
  <c r="J389" i="4"/>
  <c r="I389" i="4"/>
  <c r="P389" i="4"/>
  <c r="H389" i="4"/>
  <c r="O393" i="4"/>
  <c r="G393" i="4"/>
  <c r="N393" i="4"/>
  <c r="F393" i="4"/>
  <c r="M393" i="4"/>
  <c r="E393" i="4"/>
  <c r="L393" i="4"/>
  <c r="D393" i="4"/>
  <c r="S393" i="4"/>
  <c r="K393" i="4"/>
  <c r="R393" i="4"/>
  <c r="J393" i="4"/>
  <c r="I393" i="4"/>
  <c r="H393" i="4"/>
  <c r="Q393" i="4"/>
  <c r="P393" i="4"/>
  <c r="O397" i="4"/>
  <c r="G397" i="4"/>
  <c r="N397" i="4"/>
  <c r="F397" i="4"/>
  <c r="M397" i="4"/>
  <c r="E397" i="4"/>
  <c r="L397" i="4"/>
  <c r="D397" i="4"/>
  <c r="S397" i="4"/>
  <c r="K397" i="4"/>
  <c r="R397" i="4"/>
  <c r="J397" i="4"/>
  <c r="I397" i="4"/>
  <c r="P397" i="4"/>
  <c r="H397" i="4"/>
  <c r="Q397" i="4"/>
  <c r="O401" i="4"/>
  <c r="G401" i="4"/>
  <c r="N401" i="4"/>
  <c r="F401" i="4"/>
  <c r="M401" i="4"/>
  <c r="E401" i="4"/>
  <c r="L401" i="4"/>
  <c r="D401" i="4"/>
  <c r="S401" i="4"/>
  <c r="K401" i="4"/>
  <c r="R401" i="4"/>
  <c r="J401" i="4"/>
  <c r="I401" i="4"/>
  <c r="Q401" i="4"/>
  <c r="P401" i="4"/>
  <c r="H401" i="4"/>
  <c r="O405" i="4"/>
  <c r="G405" i="4"/>
  <c r="N405" i="4"/>
  <c r="F405" i="4"/>
  <c r="M405" i="4"/>
  <c r="E405" i="4"/>
  <c r="L405" i="4"/>
  <c r="D405" i="4"/>
  <c r="S405" i="4"/>
  <c r="K405" i="4"/>
  <c r="R405" i="4"/>
  <c r="J405" i="4"/>
  <c r="I405" i="4"/>
  <c r="Q405" i="4"/>
  <c r="P405" i="4"/>
  <c r="H405" i="4"/>
  <c r="O409" i="4"/>
  <c r="G409" i="4"/>
  <c r="N409" i="4"/>
  <c r="F409" i="4"/>
  <c r="M409" i="4"/>
  <c r="E409" i="4"/>
  <c r="L409" i="4"/>
  <c r="D409" i="4"/>
  <c r="S409" i="4"/>
  <c r="K409" i="4"/>
  <c r="R409" i="4"/>
  <c r="J409" i="4"/>
  <c r="I409" i="4"/>
  <c r="H409" i="4"/>
  <c r="Q409" i="4"/>
  <c r="P409" i="4"/>
  <c r="O413" i="4"/>
  <c r="G413" i="4"/>
  <c r="N413" i="4"/>
  <c r="F413" i="4"/>
  <c r="M413" i="4"/>
  <c r="E413" i="4"/>
  <c r="L413" i="4"/>
  <c r="D413" i="4"/>
  <c r="S413" i="4"/>
  <c r="K413" i="4"/>
  <c r="R413" i="4"/>
  <c r="J413" i="4"/>
  <c r="I413" i="4"/>
  <c r="P413" i="4"/>
  <c r="H413" i="4"/>
  <c r="Q413" i="4"/>
  <c r="O417" i="4"/>
  <c r="G417" i="4"/>
  <c r="N417" i="4"/>
  <c r="F417" i="4"/>
  <c r="M417" i="4"/>
  <c r="E417" i="4"/>
  <c r="L417" i="4"/>
  <c r="D417" i="4"/>
  <c r="S417" i="4"/>
  <c r="K417" i="4"/>
  <c r="R417" i="4"/>
  <c r="J417" i="4"/>
  <c r="I417" i="4"/>
  <c r="Q417" i="4"/>
  <c r="P417" i="4"/>
  <c r="H417" i="4"/>
  <c r="O421" i="4"/>
  <c r="G421" i="4"/>
  <c r="N421" i="4"/>
  <c r="F421" i="4"/>
  <c r="M421" i="4"/>
  <c r="E421" i="4"/>
  <c r="L421" i="4"/>
  <c r="D421" i="4"/>
  <c r="S421" i="4"/>
  <c r="K421" i="4"/>
  <c r="R421" i="4"/>
  <c r="J421" i="4"/>
  <c r="I421" i="4"/>
  <c r="Q421" i="4"/>
  <c r="P421" i="4"/>
  <c r="H421" i="4"/>
  <c r="O425" i="4"/>
  <c r="G425" i="4"/>
  <c r="N425" i="4"/>
  <c r="F425" i="4"/>
  <c r="M425" i="4"/>
  <c r="E425" i="4"/>
  <c r="L425" i="4"/>
  <c r="D425" i="4"/>
  <c r="S425" i="4"/>
  <c r="K425" i="4"/>
  <c r="R425" i="4"/>
  <c r="J425" i="4"/>
  <c r="I425" i="4"/>
  <c r="H425" i="4"/>
  <c r="P425" i="4"/>
  <c r="O429" i="4"/>
  <c r="G429" i="4"/>
  <c r="N429" i="4"/>
  <c r="F429" i="4"/>
  <c r="M429" i="4"/>
  <c r="E429" i="4"/>
  <c r="L429" i="4"/>
  <c r="D429" i="4"/>
  <c r="S429" i="4"/>
  <c r="K429" i="4"/>
  <c r="R429" i="4"/>
  <c r="J429" i="4"/>
  <c r="I429" i="4"/>
  <c r="P429" i="4"/>
  <c r="H429" i="4"/>
  <c r="Q429" i="4"/>
  <c r="O433" i="4"/>
  <c r="G433" i="4"/>
  <c r="N433" i="4"/>
  <c r="F433" i="4"/>
  <c r="M433" i="4"/>
  <c r="E433" i="4"/>
  <c r="L433" i="4"/>
  <c r="D433" i="4"/>
  <c r="S433" i="4"/>
  <c r="K433" i="4"/>
  <c r="R433" i="4"/>
  <c r="J433" i="4"/>
  <c r="I433" i="4"/>
  <c r="Q433" i="4"/>
  <c r="P433" i="4"/>
  <c r="H433" i="4"/>
  <c r="O437" i="4"/>
  <c r="G437" i="4"/>
  <c r="N437" i="4"/>
  <c r="F437" i="4"/>
  <c r="M437" i="4"/>
  <c r="E437" i="4"/>
  <c r="L437" i="4"/>
  <c r="D437" i="4"/>
  <c r="S437" i="4"/>
  <c r="K437" i="4"/>
  <c r="R437" i="4"/>
  <c r="J437" i="4"/>
  <c r="I437" i="4"/>
  <c r="Q437" i="4"/>
  <c r="P437" i="4"/>
  <c r="H437" i="4"/>
  <c r="O441" i="4"/>
  <c r="G441" i="4"/>
  <c r="N441" i="4"/>
  <c r="F441" i="4"/>
  <c r="M441" i="4"/>
  <c r="E441" i="4"/>
  <c r="L441" i="4"/>
  <c r="D441" i="4"/>
  <c r="S441" i="4"/>
  <c r="K441" i="4"/>
  <c r="R441" i="4"/>
  <c r="J441" i="4"/>
  <c r="I441" i="4"/>
  <c r="P441" i="4"/>
  <c r="H441" i="4"/>
  <c r="Q441" i="4"/>
  <c r="O445" i="4"/>
  <c r="G445" i="4"/>
  <c r="N445" i="4"/>
  <c r="F445" i="4"/>
  <c r="M445" i="4"/>
  <c r="E445" i="4"/>
  <c r="L445" i="4"/>
  <c r="D445" i="4"/>
  <c r="S445" i="4"/>
  <c r="K445" i="4"/>
  <c r="R445" i="4"/>
  <c r="J445" i="4"/>
  <c r="I445" i="4"/>
  <c r="P445" i="4"/>
  <c r="H445" i="4"/>
  <c r="Q445" i="4"/>
  <c r="O449" i="4"/>
  <c r="G449" i="4"/>
  <c r="N449" i="4"/>
  <c r="F449" i="4"/>
  <c r="M449" i="4"/>
  <c r="E449" i="4"/>
  <c r="L449" i="4"/>
  <c r="D449" i="4"/>
  <c r="S449" i="4"/>
  <c r="K449" i="4"/>
  <c r="R449" i="4"/>
  <c r="J449" i="4"/>
  <c r="I449" i="4"/>
  <c r="Q449" i="4"/>
  <c r="P449" i="4"/>
  <c r="H449" i="4"/>
  <c r="O453" i="4"/>
  <c r="G453" i="4"/>
  <c r="N453" i="4"/>
  <c r="F453" i="4"/>
  <c r="M453" i="4"/>
  <c r="E453" i="4"/>
  <c r="L453" i="4"/>
  <c r="D453" i="4"/>
  <c r="S453" i="4"/>
  <c r="K453" i="4"/>
  <c r="R453" i="4"/>
  <c r="J453" i="4"/>
  <c r="I453" i="4"/>
  <c r="Q453" i="4"/>
  <c r="P453" i="4"/>
  <c r="H453" i="4"/>
  <c r="O457" i="4"/>
  <c r="G457" i="4"/>
  <c r="N457" i="4"/>
  <c r="F457" i="4"/>
  <c r="M457" i="4"/>
  <c r="E457" i="4"/>
  <c r="L457" i="4"/>
  <c r="D457" i="4"/>
  <c r="S457" i="4"/>
  <c r="K457" i="4"/>
  <c r="R457" i="4"/>
  <c r="J457" i="4"/>
  <c r="I457" i="4"/>
  <c r="P457" i="4"/>
  <c r="H457" i="4"/>
  <c r="Q457" i="4"/>
  <c r="O461" i="4"/>
  <c r="G461" i="4"/>
  <c r="N461" i="4"/>
  <c r="F461" i="4"/>
  <c r="M461" i="4"/>
  <c r="E461" i="4"/>
  <c r="L461" i="4"/>
  <c r="D461" i="4"/>
  <c r="S461" i="4"/>
  <c r="K461" i="4"/>
  <c r="R461" i="4"/>
  <c r="J461" i="4"/>
  <c r="I461" i="4"/>
  <c r="P461" i="4"/>
  <c r="H461" i="4"/>
  <c r="Q461" i="4"/>
  <c r="O465" i="4"/>
  <c r="G465" i="4"/>
  <c r="N465" i="4"/>
  <c r="F465" i="4"/>
  <c r="M465" i="4"/>
  <c r="E465" i="4"/>
  <c r="L465" i="4"/>
  <c r="D465" i="4"/>
  <c r="S465" i="4"/>
  <c r="K465" i="4"/>
  <c r="R465" i="4"/>
  <c r="J465" i="4"/>
  <c r="I465" i="4"/>
  <c r="H465" i="4"/>
  <c r="P465" i="4"/>
  <c r="Q465" i="4"/>
  <c r="O469" i="4"/>
  <c r="G469" i="4"/>
  <c r="N469" i="4"/>
  <c r="F469" i="4"/>
  <c r="M469" i="4"/>
  <c r="E469" i="4"/>
  <c r="L469" i="4"/>
  <c r="D469" i="4"/>
  <c r="S469" i="4"/>
  <c r="K469" i="4"/>
  <c r="R469" i="4"/>
  <c r="J469" i="4"/>
  <c r="I469" i="4"/>
  <c r="H469" i="4"/>
  <c r="Q469" i="4"/>
  <c r="P469" i="4"/>
  <c r="O473" i="4"/>
  <c r="G473" i="4"/>
  <c r="N473" i="4"/>
  <c r="F473" i="4"/>
  <c r="M473" i="4"/>
  <c r="E473" i="4"/>
  <c r="L473" i="4"/>
  <c r="D473" i="4"/>
  <c r="S473" i="4"/>
  <c r="K473" i="4"/>
  <c r="R473" i="4"/>
  <c r="J473" i="4"/>
  <c r="I473" i="4"/>
  <c r="H473" i="4"/>
  <c r="Q473" i="4"/>
  <c r="P473" i="4"/>
  <c r="O477" i="4"/>
  <c r="G477" i="4"/>
  <c r="N477" i="4"/>
  <c r="F477" i="4"/>
  <c r="M477" i="4"/>
  <c r="E477" i="4"/>
  <c r="L477" i="4"/>
  <c r="D477" i="4"/>
  <c r="S477" i="4"/>
  <c r="K477" i="4"/>
  <c r="R477" i="4"/>
  <c r="J477" i="4"/>
  <c r="I477" i="4"/>
  <c r="H477" i="4"/>
  <c r="P477" i="4"/>
  <c r="Q477" i="4"/>
  <c r="O481" i="4"/>
  <c r="G481" i="4"/>
  <c r="N481" i="4"/>
  <c r="F481" i="4"/>
  <c r="M481" i="4"/>
  <c r="E481" i="4"/>
  <c r="L481" i="4"/>
  <c r="D481" i="4"/>
  <c r="S481" i="4"/>
  <c r="K481" i="4"/>
  <c r="R481" i="4"/>
  <c r="J481" i="4"/>
  <c r="I481" i="4"/>
  <c r="H481" i="4"/>
  <c r="P481" i="4"/>
  <c r="Q481" i="4"/>
  <c r="O485" i="4"/>
  <c r="G485" i="4"/>
  <c r="N485" i="4"/>
  <c r="F485" i="4"/>
  <c r="M485" i="4"/>
  <c r="E485" i="4"/>
  <c r="L485" i="4"/>
  <c r="D485" i="4"/>
  <c r="S485" i="4"/>
  <c r="K485" i="4"/>
  <c r="R485" i="4"/>
  <c r="J485" i="4"/>
  <c r="I485" i="4"/>
  <c r="H485" i="4"/>
  <c r="Q485" i="4"/>
  <c r="P485" i="4"/>
  <c r="O489" i="4"/>
  <c r="G489" i="4"/>
  <c r="N489" i="4"/>
  <c r="F489" i="4"/>
  <c r="M489" i="4"/>
  <c r="E489" i="4"/>
  <c r="L489" i="4"/>
  <c r="D489" i="4"/>
  <c r="S489" i="4"/>
  <c r="K489" i="4"/>
  <c r="R489" i="4"/>
  <c r="J489" i="4"/>
  <c r="I489" i="4"/>
  <c r="H489" i="4"/>
  <c r="Q489" i="4"/>
  <c r="P489" i="4"/>
  <c r="O493" i="4"/>
  <c r="G493" i="4"/>
  <c r="N493" i="4"/>
  <c r="F493" i="4"/>
  <c r="M493" i="4"/>
  <c r="E493" i="4"/>
  <c r="L493" i="4"/>
  <c r="D493" i="4"/>
  <c r="S493" i="4"/>
  <c r="K493" i="4"/>
  <c r="R493" i="4"/>
  <c r="J493" i="4"/>
  <c r="I493" i="4"/>
  <c r="H493" i="4"/>
  <c r="P493" i="4"/>
  <c r="Q493" i="4"/>
  <c r="O497" i="4"/>
  <c r="G497" i="4"/>
  <c r="N497" i="4"/>
  <c r="F497" i="4"/>
  <c r="M497" i="4"/>
  <c r="E497" i="4"/>
  <c r="L497" i="4"/>
  <c r="D497" i="4"/>
  <c r="S497" i="4"/>
  <c r="K497" i="4"/>
  <c r="R497" i="4"/>
  <c r="J497" i="4"/>
  <c r="I497" i="4"/>
  <c r="H497" i="4"/>
  <c r="P497" i="4"/>
  <c r="O501" i="4"/>
  <c r="G501" i="4"/>
  <c r="N501" i="4"/>
  <c r="F501" i="4"/>
  <c r="M501" i="4"/>
  <c r="E501" i="4"/>
  <c r="L501" i="4"/>
  <c r="D501" i="4"/>
  <c r="S501" i="4"/>
  <c r="K501" i="4"/>
  <c r="R501" i="4"/>
  <c r="J501" i="4"/>
  <c r="I501" i="4"/>
  <c r="H501" i="4"/>
  <c r="Q501" i="4"/>
  <c r="P501" i="4"/>
  <c r="O505" i="4"/>
  <c r="G505" i="4"/>
  <c r="N505" i="4"/>
  <c r="F505" i="4"/>
  <c r="M505" i="4"/>
  <c r="E505" i="4"/>
  <c r="L505" i="4"/>
  <c r="D505" i="4"/>
  <c r="S505" i="4"/>
  <c r="K505" i="4"/>
  <c r="R505" i="4"/>
  <c r="J505" i="4"/>
  <c r="I505" i="4"/>
  <c r="H505" i="4"/>
  <c r="Q505" i="4"/>
  <c r="P505" i="4"/>
  <c r="O509" i="4"/>
  <c r="G509" i="4"/>
  <c r="N509" i="4"/>
  <c r="F509" i="4"/>
  <c r="M509" i="4"/>
  <c r="E509" i="4"/>
  <c r="L509" i="4"/>
  <c r="D509" i="4"/>
  <c r="S509" i="4"/>
  <c r="K509" i="4"/>
  <c r="R509" i="4"/>
  <c r="J509" i="4"/>
  <c r="I509" i="4"/>
  <c r="H509" i="4"/>
  <c r="Q509" i="4"/>
  <c r="P509" i="4"/>
  <c r="O513" i="4"/>
  <c r="G513" i="4"/>
  <c r="N513" i="4"/>
  <c r="F513" i="4"/>
  <c r="M513" i="4"/>
  <c r="E513" i="4"/>
  <c r="L513" i="4"/>
  <c r="D513" i="4"/>
  <c r="S513" i="4"/>
  <c r="K513" i="4"/>
  <c r="R513" i="4"/>
  <c r="J513" i="4"/>
  <c r="I513" i="4"/>
  <c r="H513" i="4"/>
  <c r="Q513" i="4"/>
  <c r="P513" i="4"/>
  <c r="O517" i="4"/>
  <c r="G517" i="4"/>
  <c r="N517" i="4"/>
  <c r="F517" i="4"/>
  <c r="M517" i="4"/>
  <c r="E517" i="4"/>
  <c r="L517" i="4"/>
  <c r="D517" i="4"/>
  <c r="S517" i="4"/>
  <c r="K517" i="4"/>
  <c r="R517" i="4"/>
  <c r="J517" i="4"/>
  <c r="I517" i="4"/>
  <c r="H517" i="4"/>
  <c r="Q517" i="4"/>
  <c r="P517" i="4"/>
  <c r="O521" i="4"/>
  <c r="G521" i="4"/>
  <c r="N521" i="4"/>
  <c r="F521" i="4"/>
  <c r="M521" i="4"/>
  <c r="E521" i="4"/>
  <c r="L521" i="4"/>
  <c r="D521" i="4"/>
  <c r="S521" i="4"/>
  <c r="K521" i="4"/>
  <c r="R521" i="4"/>
  <c r="J521" i="4"/>
  <c r="I521" i="4"/>
  <c r="H521" i="4"/>
  <c r="Q521" i="4"/>
  <c r="P521" i="4"/>
  <c r="O525" i="4"/>
  <c r="G525" i="4"/>
  <c r="N525" i="4"/>
  <c r="F525" i="4"/>
  <c r="M525" i="4"/>
  <c r="E525" i="4"/>
  <c r="L525" i="4"/>
  <c r="D525" i="4"/>
  <c r="S525" i="4"/>
  <c r="K525" i="4"/>
  <c r="R525" i="4"/>
  <c r="J525" i="4"/>
  <c r="I525" i="4"/>
  <c r="H525" i="4"/>
  <c r="Q525" i="4"/>
  <c r="P525" i="4"/>
  <c r="O529" i="4"/>
  <c r="G529" i="4"/>
  <c r="N529" i="4"/>
  <c r="F529" i="4"/>
  <c r="M529" i="4"/>
  <c r="E529" i="4"/>
  <c r="L529" i="4"/>
  <c r="D529" i="4"/>
  <c r="S529" i="4"/>
  <c r="K529" i="4"/>
  <c r="R529" i="4"/>
  <c r="J529" i="4"/>
  <c r="I529" i="4"/>
  <c r="H529" i="4"/>
  <c r="Q529" i="4"/>
  <c r="P529" i="4"/>
  <c r="O533" i="4"/>
  <c r="G533" i="4"/>
  <c r="N533" i="4"/>
  <c r="F533" i="4"/>
  <c r="M533" i="4"/>
  <c r="E533" i="4"/>
  <c r="L533" i="4"/>
  <c r="D533" i="4"/>
  <c r="S533" i="4"/>
  <c r="K533" i="4"/>
  <c r="R533" i="4"/>
  <c r="J533" i="4"/>
  <c r="I533" i="4"/>
  <c r="H533" i="4"/>
  <c r="Q533" i="4"/>
  <c r="P533" i="4"/>
  <c r="O537" i="4"/>
  <c r="G537" i="4"/>
  <c r="N537" i="4"/>
  <c r="F537" i="4"/>
  <c r="M537" i="4"/>
  <c r="E537" i="4"/>
  <c r="L537" i="4"/>
  <c r="D537" i="4"/>
  <c r="S537" i="4"/>
  <c r="K537" i="4"/>
  <c r="R537" i="4"/>
  <c r="J537" i="4"/>
  <c r="I537" i="4"/>
  <c r="H537" i="4"/>
  <c r="Q537" i="4"/>
  <c r="P537" i="4"/>
  <c r="O541" i="4"/>
  <c r="G541" i="4"/>
  <c r="N541" i="4"/>
  <c r="F541" i="4"/>
  <c r="M541" i="4"/>
  <c r="E541" i="4"/>
  <c r="L541" i="4"/>
  <c r="D541" i="4"/>
  <c r="S541" i="4"/>
  <c r="K541" i="4"/>
  <c r="R541" i="4"/>
  <c r="J541" i="4"/>
  <c r="I541" i="4"/>
  <c r="H541" i="4"/>
  <c r="Q541" i="4"/>
  <c r="P541" i="4"/>
  <c r="O545" i="4"/>
  <c r="G545" i="4"/>
  <c r="N545" i="4"/>
  <c r="F545" i="4"/>
  <c r="M545" i="4"/>
  <c r="E545" i="4"/>
  <c r="L545" i="4"/>
  <c r="D545" i="4"/>
  <c r="S545" i="4"/>
  <c r="K545" i="4"/>
  <c r="R545" i="4"/>
  <c r="J545" i="4"/>
  <c r="I545" i="4"/>
  <c r="H545" i="4"/>
  <c r="Q545" i="4"/>
  <c r="P545" i="4"/>
  <c r="O549" i="4"/>
  <c r="G549" i="4"/>
  <c r="N549" i="4"/>
  <c r="F549" i="4"/>
  <c r="M549" i="4"/>
  <c r="E549" i="4"/>
  <c r="L549" i="4"/>
  <c r="D549" i="4"/>
  <c r="S549" i="4"/>
  <c r="K549" i="4"/>
  <c r="R549" i="4"/>
  <c r="J549" i="4"/>
  <c r="I549" i="4"/>
  <c r="H549" i="4"/>
  <c r="Q549" i="4"/>
  <c r="P549" i="4"/>
  <c r="O553" i="4"/>
  <c r="G553" i="4"/>
  <c r="N553" i="4"/>
  <c r="F553" i="4"/>
  <c r="M553" i="4"/>
  <c r="E553" i="4"/>
  <c r="L553" i="4"/>
  <c r="D553" i="4"/>
  <c r="S553" i="4"/>
  <c r="K553" i="4"/>
  <c r="R553" i="4"/>
  <c r="J553" i="4"/>
  <c r="I553" i="4"/>
  <c r="H553" i="4"/>
  <c r="Q553" i="4"/>
  <c r="P553" i="4"/>
  <c r="O557" i="4"/>
  <c r="G557" i="4"/>
  <c r="N557" i="4"/>
  <c r="F557" i="4"/>
  <c r="M557" i="4"/>
  <c r="E557" i="4"/>
  <c r="L557" i="4"/>
  <c r="D557" i="4"/>
  <c r="S557" i="4"/>
  <c r="K557" i="4"/>
  <c r="R557" i="4"/>
  <c r="J557" i="4"/>
  <c r="I557" i="4"/>
  <c r="H557" i="4"/>
  <c r="Q557" i="4"/>
  <c r="P557" i="4"/>
  <c r="O561" i="4"/>
  <c r="G561" i="4"/>
  <c r="N561" i="4"/>
  <c r="F561" i="4"/>
  <c r="M561" i="4"/>
  <c r="E561" i="4"/>
  <c r="L561" i="4"/>
  <c r="D561" i="4"/>
  <c r="S561" i="4"/>
  <c r="K561" i="4"/>
  <c r="R561" i="4"/>
  <c r="J561" i="4"/>
  <c r="I561" i="4"/>
  <c r="H561" i="4"/>
  <c r="Q561" i="4"/>
  <c r="P561" i="4"/>
  <c r="O565" i="4"/>
  <c r="G565" i="4"/>
  <c r="N565" i="4"/>
  <c r="F565" i="4"/>
  <c r="M565" i="4"/>
  <c r="E565" i="4"/>
  <c r="L565" i="4"/>
  <c r="D565" i="4"/>
  <c r="S565" i="4"/>
  <c r="K565" i="4"/>
  <c r="R565" i="4"/>
  <c r="J565" i="4"/>
  <c r="I565" i="4"/>
  <c r="H565" i="4"/>
  <c r="Q565" i="4"/>
  <c r="P565" i="4"/>
  <c r="O569" i="4"/>
  <c r="G569" i="4"/>
  <c r="N569" i="4"/>
  <c r="F569" i="4"/>
  <c r="M569" i="4"/>
  <c r="E569" i="4"/>
  <c r="L569" i="4"/>
  <c r="D569" i="4"/>
  <c r="S569" i="4"/>
  <c r="K569" i="4"/>
  <c r="R569" i="4"/>
  <c r="J569" i="4"/>
  <c r="I569" i="4"/>
  <c r="H569" i="4"/>
  <c r="Q569" i="4"/>
  <c r="P569" i="4"/>
  <c r="O573" i="4"/>
  <c r="G573" i="4"/>
  <c r="N573" i="4"/>
  <c r="F573" i="4"/>
  <c r="M573" i="4"/>
  <c r="E573" i="4"/>
  <c r="L573" i="4"/>
  <c r="D573" i="4"/>
  <c r="S573" i="4"/>
  <c r="K573" i="4"/>
  <c r="R573" i="4"/>
  <c r="J573" i="4"/>
  <c r="I573" i="4"/>
  <c r="H573" i="4"/>
  <c r="Q573" i="4"/>
  <c r="P573" i="4"/>
  <c r="O577" i="4"/>
  <c r="G577" i="4"/>
  <c r="N577" i="4"/>
  <c r="F577" i="4"/>
  <c r="M577" i="4"/>
  <c r="E577" i="4"/>
  <c r="L577" i="4"/>
  <c r="D577" i="4"/>
  <c r="S577" i="4"/>
  <c r="K577" i="4"/>
  <c r="R577" i="4"/>
  <c r="J577" i="4"/>
  <c r="I577" i="4"/>
  <c r="H577" i="4"/>
  <c r="Q577" i="4"/>
  <c r="P577" i="4"/>
  <c r="O581" i="4"/>
  <c r="G581" i="4"/>
  <c r="N581" i="4"/>
  <c r="F581" i="4"/>
  <c r="M581" i="4"/>
  <c r="E581" i="4"/>
  <c r="L581" i="4"/>
  <c r="D581" i="4"/>
  <c r="S581" i="4"/>
  <c r="K581" i="4"/>
  <c r="R581" i="4"/>
  <c r="J581" i="4"/>
  <c r="I581" i="4"/>
  <c r="H581" i="4"/>
  <c r="Q581" i="4"/>
  <c r="P581" i="4"/>
  <c r="O585" i="4"/>
  <c r="G585" i="4"/>
  <c r="N585" i="4"/>
  <c r="F585" i="4"/>
  <c r="M585" i="4"/>
  <c r="E585" i="4"/>
  <c r="L585" i="4"/>
  <c r="D585" i="4"/>
  <c r="S585" i="4"/>
  <c r="K585" i="4"/>
  <c r="R585" i="4"/>
  <c r="J585" i="4"/>
  <c r="I585" i="4"/>
  <c r="H585" i="4"/>
  <c r="Q585" i="4"/>
  <c r="P585" i="4"/>
  <c r="O589" i="4"/>
  <c r="G589" i="4"/>
  <c r="N589" i="4"/>
  <c r="F589" i="4"/>
  <c r="M589" i="4"/>
  <c r="E589" i="4"/>
  <c r="L589" i="4"/>
  <c r="D589" i="4"/>
  <c r="S589" i="4"/>
  <c r="K589" i="4"/>
  <c r="R589" i="4"/>
  <c r="J589" i="4"/>
  <c r="I589" i="4"/>
  <c r="H589" i="4"/>
  <c r="Q589" i="4"/>
  <c r="P589" i="4"/>
  <c r="O593" i="4"/>
  <c r="G593" i="4"/>
  <c r="N593" i="4"/>
  <c r="F593" i="4"/>
  <c r="M593" i="4"/>
  <c r="E593" i="4"/>
  <c r="L593" i="4"/>
  <c r="D593" i="4"/>
  <c r="S593" i="4"/>
  <c r="K593" i="4"/>
  <c r="R593" i="4"/>
  <c r="J593" i="4"/>
  <c r="I593" i="4"/>
  <c r="H593" i="4"/>
  <c r="Q593" i="4"/>
  <c r="P593" i="4"/>
  <c r="O597" i="4"/>
  <c r="G597" i="4"/>
  <c r="N597" i="4"/>
  <c r="F597" i="4"/>
  <c r="M597" i="4"/>
  <c r="E597" i="4"/>
  <c r="L597" i="4"/>
  <c r="D597" i="4"/>
  <c r="S597" i="4"/>
  <c r="K597" i="4"/>
  <c r="R597" i="4"/>
  <c r="J597" i="4"/>
  <c r="I597" i="4"/>
  <c r="H597" i="4"/>
  <c r="Q597" i="4"/>
  <c r="P597" i="4"/>
  <c r="O601" i="4"/>
  <c r="G601" i="4"/>
  <c r="N601" i="4"/>
  <c r="F601" i="4"/>
  <c r="M601" i="4"/>
  <c r="E601" i="4"/>
  <c r="L601" i="4"/>
  <c r="D601" i="4"/>
  <c r="S601" i="4"/>
  <c r="K601" i="4"/>
  <c r="R601" i="4"/>
  <c r="J601" i="4"/>
  <c r="I601" i="4"/>
  <c r="H601" i="4"/>
  <c r="Q601" i="4"/>
  <c r="P601" i="4"/>
  <c r="O605" i="4"/>
  <c r="G605" i="4"/>
  <c r="N605" i="4"/>
  <c r="F605" i="4"/>
  <c r="M605" i="4"/>
  <c r="E605" i="4"/>
  <c r="L605" i="4"/>
  <c r="D605" i="4"/>
  <c r="S605" i="4"/>
  <c r="K605" i="4"/>
  <c r="R605" i="4"/>
  <c r="J605" i="4"/>
  <c r="I605" i="4"/>
  <c r="H605" i="4"/>
  <c r="Q605" i="4"/>
  <c r="P605" i="4"/>
  <c r="O609" i="4"/>
  <c r="G609" i="4"/>
  <c r="N609" i="4"/>
  <c r="F609" i="4"/>
  <c r="M609" i="4"/>
  <c r="E609" i="4"/>
  <c r="L609" i="4"/>
  <c r="D609" i="4"/>
  <c r="S609" i="4"/>
  <c r="K609" i="4"/>
  <c r="R609" i="4"/>
  <c r="J609" i="4"/>
  <c r="I609" i="4"/>
  <c r="H609" i="4"/>
  <c r="Q609" i="4"/>
  <c r="P609" i="4"/>
  <c r="O613" i="4"/>
  <c r="G613" i="4"/>
  <c r="N613" i="4"/>
  <c r="F613" i="4"/>
  <c r="M613" i="4"/>
  <c r="E613" i="4"/>
  <c r="L613" i="4"/>
  <c r="D613" i="4"/>
  <c r="S613" i="4"/>
  <c r="K613" i="4"/>
  <c r="R613" i="4"/>
  <c r="J613" i="4"/>
  <c r="I613" i="4"/>
  <c r="H613" i="4"/>
  <c r="Q613" i="4"/>
  <c r="P613" i="4"/>
  <c r="O617" i="4"/>
  <c r="G617" i="4"/>
  <c r="N617" i="4"/>
  <c r="F617" i="4"/>
  <c r="M617" i="4"/>
  <c r="E617" i="4"/>
  <c r="L617" i="4"/>
  <c r="D617" i="4"/>
  <c r="S617" i="4"/>
  <c r="K617" i="4"/>
  <c r="R617" i="4"/>
  <c r="J617" i="4"/>
  <c r="I617" i="4"/>
  <c r="H617" i="4"/>
  <c r="Q617" i="4"/>
  <c r="P617" i="4"/>
  <c r="O621" i="4"/>
  <c r="G621" i="4"/>
  <c r="N621" i="4"/>
  <c r="F621" i="4"/>
  <c r="M621" i="4"/>
  <c r="E621" i="4"/>
  <c r="L621" i="4"/>
  <c r="D621" i="4"/>
  <c r="S621" i="4"/>
  <c r="K621" i="4"/>
  <c r="R621" i="4"/>
  <c r="J621" i="4"/>
  <c r="I621" i="4"/>
  <c r="H621" i="4"/>
  <c r="Q621" i="4"/>
  <c r="P621" i="4"/>
  <c r="O625" i="4"/>
  <c r="G625" i="4"/>
  <c r="N625" i="4"/>
  <c r="F625" i="4"/>
  <c r="M625" i="4"/>
  <c r="E625" i="4"/>
  <c r="L625" i="4"/>
  <c r="D625" i="4"/>
  <c r="S625" i="4"/>
  <c r="K625" i="4"/>
  <c r="R625" i="4"/>
  <c r="J625" i="4"/>
  <c r="I625" i="4"/>
  <c r="H625" i="4"/>
  <c r="Q625" i="4"/>
  <c r="P625" i="4"/>
  <c r="O629" i="4"/>
  <c r="G629" i="4"/>
  <c r="N629" i="4"/>
  <c r="F629" i="4"/>
  <c r="M629" i="4"/>
  <c r="E629" i="4"/>
  <c r="L629" i="4"/>
  <c r="D629" i="4"/>
  <c r="S629" i="4"/>
  <c r="K629" i="4"/>
  <c r="R629" i="4"/>
  <c r="J629" i="4"/>
  <c r="I629" i="4"/>
  <c r="H629" i="4"/>
  <c r="Q629" i="4"/>
  <c r="P629" i="4"/>
  <c r="O633" i="4"/>
  <c r="G633" i="4"/>
  <c r="N633" i="4"/>
  <c r="F633" i="4"/>
  <c r="M633" i="4"/>
  <c r="E633" i="4"/>
  <c r="L633" i="4"/>
  <c r="D633" i="4"/>
  <c r="S633" i="4"/>
  <c r="K633" i="4"/>
  <c r="R633" i="4"/>
  <c r="J633" i="4"/>
  <c r="I633" i="4"/>
  <c r="H633" i="4"/>
  <c r="Q633" i="4"/>
  <c r="P633" i="4"/>
  <c r="O637" i="4"/>
  <c r="G637" i="4"/>
  <c r="N637" i="4"/>
  <c r="F637" i="4"/>
  <c r="M637" i="4"/>
  <c r="E637" i="4"/>
  <c r="L637" i="4"/>
  <c r="D637" i="4"/>
  <c r="S637" i="4"/>
  <c r="K637" i="4"/>
  <c r="R637" i="4"/>
  <c r="J637" i="4"/>
  <c r="I637" i="4"/>
  <c r="H637" i="4"/>
  <c r="Q637" i="4"/>
  <c r="P637" i="4"/>
  <c r="O641" i="4"/>
  <c r="G641" i="4"/>
  <c r="N641" i="4"/>
  <c r="F641" i="4"/>
  <c r="M641" i="4"/>
  <c r="E641" i="4"/>
  <c r="L641" i="4"/>
  <c r="D641" i="4"/>
  <c r="S641" i="4"/>
  <c r="K641" i="4"/>
  <c r="R641" i="4"/>
  <c r="J641" i="4"/>
  <c r="I641" i="4"/>
  <c r="H641" i="4"/>
  <c r="Q641" i="4"/>
  <c r="P641" i="4"/>
  <c r="O645" i="4"/>
  <c r="G645" i="4"/>
  <c r="N645" i="4"/>
  <c r="F645" i="4"/>
  <c r="M645" i="4"/>
  <c r="E645" i="4"/>
  <c r="L645" i="4"/>
  <c r="D645" i="4"/>
  <c r="S645" i="4"/>
  <c r="K645" i="4"/>
  <c r="R645" i="4"/>
  <c r="J645" i="4"/>
  <c r="I645" i="4"/>
  <c r="H645" i="4"/>
  <c r="Q645" i="4"/>
  <c r="P645" i="4"/>
  <c r="O649" i="4"/>
  <c r="G649" i="4"/>
  <c r="N649" i="4"/>
  <c r="F649" i="4"/>
  <c r="M649" i="4"/>
  <c r="E649" i="4"/>
  <c r="L649" i="4"/>
  <c r="D649" i="4"/>
  <c r="S649" i="4"/>
  <c r="K649" i="4"/>
  <c r="R649" i="4"/>
  <c r="J649" i="4"/>
  <c r="I649" i="4"/>
  <c r="H649" i="4"/>
  <c r="Q649" i="4"/>
  <c r="P649" i="4"/>
  <c r="O653" i="4"/>
  <c r="G653" i="4"/>
  <c r="N653" i="4"/>
  <c r="F653" i="4"/>
  <c r="M653" i="4"/>
  <c r="E653" i="4"/>
  <c r="L653" i="4"/>
  <c r="D653" i="4"/>
  <c r="S653" i="4"/>
  <c r="K653" i="4"/>
  <c r="R653" i="4"/>
  <c r="J653" i="4"/>
  <c r="I653" i="4"/>
  <c r="H653" i="4"/>
  <c r="Q653" i="4"/>
  <c r="P653" i="4"/>
  <c r="O657" i="4"/>
  <c r="G657" i="4"/>
  <c r="N657" i="4"/>
  <c r="F657" i="4"/>
  <c r="M657" i="4"/>
  <c r="E657" i="4"/>
  <c r="L657" i="4"/>
  <c r="D657" i="4"/>
  <c r="S657" i="4"/>
  <c r="K657" i="4"/>
  <c r="R657" i="4"/>
  <c r="J657" i="4"/>
  <c r="I657" i="4"/>
  <c r="H657" i="4"/>
  <c r="Q657" i="4"/>
  <c r="P657" i="4"/>
  <c r="O661" i="4"/>
  <c r="G661" i="4"/>
  <c r="N661" i="4"/>
  <c r="F661" i="4"/>
  <c r="M661" i="4"/>
  <c r="E661" i="4"/>
  <c r="L661" i="4"/>
  <c r="D661" i="4"/>
  <c r="S661" i="4"/>
  <c r="K661" i="4"/>
  <c r="R661" i="4"/>
  <c r="J661" i="4"/>
  <c r="I661" i="4"/>
  <c r="H661" i="4"/>
  <c r="Q661" i="4"/>
  <c r="P661" i="4"/>
  <c r="O665" i="4"/>
  <c r="G665" i="4"/>
  <c r="N665" i="4"/>
  <c r="F665" i="4"/>
  <c r="M665" i="4"/>
  <c r="E665" i="4"/>
  <c r="L665" i="4"/>
  <c r="D665" i="4"/>
  <c r="S665" i="4"/>
  <c r="K665" i="4"/>
  <c r="R665" i="4"/>
  <c r="J665" i="4"/>
  <c r="I665" i="4"/>
  <c r="H665" i="4"/>
  <c r="Q665" i="4"/>
  <c r="P665" i="4"/>
  <c r="AF6" i="3" a="1"/>
  <c r="AF6" i="3" s="1"/>
  <c r="AN6" i="3"/>
  <c r="AE6" i="3"/>
  <c r="W6" i="3"/>
  <c r="O6" i="3"/>
  <c r="AM6" i="3"/>
  <c r="AD6" i="3"/>
  <c r="V6" i="3"/>
  <c r="N6" i="3"/>
  <c r="F6" i="3"/>
  <c r="AL6" i="3"/>
  <c r="AC6" i="3"/>
  <c r="U6" i="3"/>
  <c r="M6" i="3"/>
  <c r="E6" i="3"/>
  <c r="AK6" i="3"/>
  <c r="AB6" i="3"/>
  <c r="T6" i="3"/>
  <c r="L6" i="3"/>
  <c r="D6" i="3"/>
  <c r="AJ6" i="3"/>
  <c r="AA6" i="3"/>
  <c r="S6" i="3"/>
  <c r="K6" i="3"/>
  <c r="AI6" i="3"/>
  <c r="Z6" i="3"/>
  <c r="R6" i="3"/>
  <c r="AH6" i="3"/>
  <c r="AG6" i="3"/>
  <c r="Y6" i="3"/>
  <c r="X6" i="3"/>
  <c r="Q6" i="3"/>
  <c r="P6" i="3"/>
  <c r="H6" i="3"/>
  <c r="AF10" i="3" a="1"/>
  <c r="AF10" i="3" s="1"/>
  <c r="AN10" i="3"/>
  <c r="AE10" i="3"/>
  <c r="W10" i="3"/>
  <c r="O10" i="3"/>
  <c r="G10" i="3"/>
  <c r="AM10" i="3"/>
  <c r="AD10" i="3"/>
  <c r="V10" i="3"/>
  <c r="N10" i="3"/>
  <c r="F10" i="3"/>
  <c r="AL10" i="3"/>
  <c r="AC10" i="3"/>
  <c r="U10" i="3"/>
  <c r="M10" i="3"/>
  <c r="E10" i="3"/>
  <c r="AK10" i="3"/>
  <c r="AB10" i="3"/>
  <c r="T10" i="3"/>
  <c r="L10" i="3"/>
  <c r="D10" i="3"/>
  <c r="AJ10" i="3"/>
  <c r="AA10" i="3"/>
  <c r="S10" i="3"/>
  <c r="K10" i="3"/>
  <c r="AI10" i="3"/>
  <c r="Z10" i="3"/>
  <c r="R10" i="3"/>
  <c r="J10" i="3"/>
  <c r="Q10" i="3"/>
  <c r="P10" i="3"/>
  <c r="I10" i="3"/>
  <c r="H10" i="3"/>
  <c r="AH10" i="3"/>
  <c r="AG10" i="3"/>
  <c r="Y10" i="3"/>
  <c r="X10" i="3"/>
  <c r="AF14" i="3" a="1"/>
  <c r="AF14" i="3" s="1"/>
  <c r="AN14" i="3"/>
  <c r="AE14" i="3"/>
  <c r="W14" i="3"/>
  <c r="O14" i="3"/>
  <c r="AM14" i="3"/>
  <c r="AD14" i="3"/>
  <c r="V14" i="3"/>
  <c r="N14" i="3"/>
  <c r="AL14" i="3"/>
  <c r="AC14" i="3"/>
  <c r="U14" i="3"/>
  <c r="M14" i="3"/>
  <c r="E14" i="3"/>
  <c r="AK14" i="3"/>
  <c r="AB14" i="3"/>
  <c r="T14" i="3"/>
  <c r="L14" i="3"/>
  <c r="D14" i="3"/>
  <c r="AJ14" i="3"/>
  <c r="AA14" i="3"/>
  <c r="S14" i="3"/>
  <c r="K14" i="3"/>
  <c r="AI14" i="3"/>
  <c r="Z14" i="3"/>
  <c r="R14" i="3"/>
  <c r="AH14" i="3"/>
  <c r="AG14" i="3"/>
  <c r="Y14" i="3"/>
  <c r="X14" i="3"/>
  <c r="Q14" i="3"/>
  <c r="P14" i="3"/>
  <c r="H14" i="3"/>
  <c r="AF18" i="3" a="1"/>
  <c r="AF18" i="3" s="1"/>
  <c r="AN18" i="3"/>
  <c r="AE18" i="3"/>
  <c r="W18" i="3"/>
  <c r="O18" i="3"/>
  <c r="G18" i="3"/>
  <c r="AM18" i="3"/>
  <c r="AD18" i="3"/>
  <c r="V18" i="3"/>
  <c r="N18" i="3"/>
  <c r="F18" i="3"/>
  <c r="AL18" i="3"/>
  <c r="AC18" i="3"/>
  <c r="U18" i="3"/>
  <c r="M18" i="3"/>
  <c r="E18" i="3"/>
  <c r="AK18" i="3"/>
  <c r="AB18" i="3"/>
  <c r="T18" i="3"/>
  <c r="L18" i="3"/>
  <c r="D18" i="3"/>
  <c r="AJ18" i="3"/>
  <c r="AA18" i="3"/>
  <c r="S18" i="3"/>
  <c r="K18" i="3"/>
  <c r="AI18" i="3"/>
  <c r="Z18" i="3"/>
  <c r="R18" i="3"/>
  <c r="J18" i="3"/>
  <c r="Q18" i="3"/>
  <c r="P18" i="3"/>
  <c r="I18" i="3"/>
  <c r="H18" i="3"/>
  <c r="AH18" i="3"/>
  <c r="AG18" i="3"/>
  <c r="Y18" i="3"/>
  <c r="X18" i="3"/>
  <c r="AF22" i="3" a="1"/>
  <c r="AF22" i="3" s="1"/>
  <c r="AN22" i="3"/>
  <c r="AE22" i="3"/>
  <c r="W22" i="3"/>
  <c r="O22" i="3"/>
  <c r="G22" i="3"/>
  <c r="AM22" i="3"/>
  <c r="AD22" i="3"/>
  <c r="V22" i="3"/>
  <c r="N22" i="3"/>
  <c r="AL22" i="3"/>
  <c r="AC22" i="3"/>
  <c r="U22" i="3"/>
  <c r="M22" i="3"/>
  <c r="E22" i="3"/>
  <c r="AK22" i="3"/>
  <c r="AB22" i="3"/>
  <c r="T22" i="3"/>
  <c r="L22" i="3"/>
  <c r="D22" i="3"/>
  <c r="AJ22" i="3"/>
  <c r="AA22" i="3"/>
  <c r="S22" i="3"/>
  <c r="K22" i="3"/>
  <c r="AI22" i="3"/>
  <c r="Z22" i="3"/>
  <c r="R22" i="3"/>
  <c r="AH22" i="3"/>
  <c r="AG22" i="3"/>
  <c r="Y22" i="3"/>
  <c r="X22" i="3"/>
  <c r="Q22" i="3"/>
  <c r="P22" i="3"/>
  <c r="I22" i="3"/>
  <c r="AF26" i="3" a="1"/>
  <c r="AF26" i="3" s="1"/>
  <c r="AN26" i="3"/>
  <c r="AE26" i="3"/>
  <c r="W26" i="3"/>
  <c r="O26" i="3"/>
  <c r="AM26" i="3"/>
  <c r="AD26" i="3"/>
  <c r="V26" i="3"/>
  <c r="F26" i="3"/>
  <c r="AL26" i="3"/>
  <c r="AC26" i="3"/>
  <c r="U26" i="3"/>
  <c r="M26" i="3"/>
  <c r="E26" i="3"/>
  <c r="AK26" i="3"/>
  <c r="AB26" i="3"/>
  <c r="T26" i="3"/>
  <c r="L26" i="3"/>
  <c r="D26" i="3"/>
  <c r="AJ26" i="3"/>
  <c r="AA26" i="3"/>
  <c r="S26" i="3"/>
  <c r="K26" i="3"/>
  <c r="AI26" i="3"/>
  <c r="Z26" i="3"/>
  <c r="R26" i="3"/>
  <c r="Q26" i="3"/>
  <c r="AH26" i="3"/>
  <c r="AG26" i="3"/>
  <c r="Y26" i="3"/>
  <c r="X26" i="3"/>
  <c r="AF30" i="3" a="1"/>
  <c r="AF30" i="3" s="1"/>
  <c r="AN30" i="3"/>
  <c r="AE30" i="3"/>
  <c r="W30" i="3"/>
  <c r="O30" i="3"/>
  <c r="G30" i="3"/>
  <c r="AM30" i="3"/>
  <c r="AD30" i="3"/>
  <c r="V30" i="3"/>
  <c r="F30" i="3"/>
  <c r="AL30" i="3"/>
  <c r="AC30" i="3"/>
  <c r="U30" i="3"/>
  <c r="M30" i="3"/>
  <c r="E30" i="3"/>
  <c r="AK30" i="3"/>
  <c r="AB30" i="3"/>
  <c r="T30" i="3"/>
  <c r="L30" i="3"/>
  <c r="D30" i="3"/>
  <c r="AJ30" i="3"/>
  <c r="AA30" i="3"/>
  <c r="S30" i="3"/>
  <c r="K30" i="3"/>
  <c r="AI30" i="3"/>
  <c r="Z30" i="3"/>
  <c r="R30" i="3"/>
  <c r="AH30" i="3"/>
  <c r="AG30" i="3"/>
  <c r="Y30" i="3"/>
  <c r="X30" i="3"/>
  <c r="Q30" i="3"/>
  <c r="P30" i="3"/>
  <c r="I30" i="3"/>
  <c r="H30" i="3"/>
  <c r="AF34" i="3" a="1"/>
  <c r="AF34" i="3" s="1"/>
  <c r="AN34" i="3"/>
  <c r="AE34" i="3"/>
  <c r="W34" i="3"/>
  <c r="O34" i="3"/>
  <c r="G34" i="3"/>
  <c r="AM34" i="3"/>
  <c r="AD34" i="3"/>
  <c r="V34" i="3"/>
  <c r="N34" i="3"/>
  <c r="F34" i="3"/>
  <c r="AL34" i="3"/>
  <c r="AC34" i="3"/>
  <c r="U34" i="3"/>
  <c r="M34" i="3"/>
  <c r="E34" i="3"/>
  <c r="AK34" i="3"/>
  <c r="AB34" i="3"/>
  <c r="T34" i="3"/>
  <c r="L34" i="3"/>
  <c r="D34" i="3"/>
  <c r="AJ34" i="3"/>
  <c r="AA34" i="3"/>
  <c r="S34" i="3"/>
  <c r="K34" i="3"/>
  <c r="AI34" i="3"/>
  <c r="Z34" i="3"/>
  <c r="R34" i="3"/>
  <c r="J34" i="3"/>
  <c r="Q34" i="3"/>
  <c r="P34" i="3"/>
  <c r="I34" i="3"/>
  <c r="H34" i="3"/>
  <c r="AH34" i="3"/>
  <c r="AG34" i="3"/>
  <c r="Y34" i="3"/>
  <c r="X34" i="3"/>
  <c r="AF38" i="3" a="1"/>
  <c r="AF38" i="3" s="1"/>
  <c r="AN38" i="3"/>
  <c r="AE38" i="3"/>
  <c r="W38" i="3"/>
  <c r="O38" i="3"/>
  <c r="G38" i="3"/>
  <c r="AM38" i="3"/>
  <c r="AD38" i="3"/>
  <c r="V38" i="3"/>
  <c r="N38" i="3"/>
  <c r="F38" i="3"/>
  <c r="AL38" i="3"/>
  <c r="AC38" i="3"/>
  <c r="U38" i="3"/>
  <c r="M38" i="3"/>
  <c r="E38" i="3"/>
  <c r="AK38" i="3"/>
  <c r="AB38" i="3"/>
  <c r="T38" i="3"/>
  <c r="L38" i="3"/>
  <c r="D38" i="3"/>
  <c r="AJ38" i="3"/>
  <c r="AA38" i="3"/>
  <c r="S38" i="3"/>
  <c r="K38" i="3"/>
  <c r="AI38" i="3"/>
  <c r="Z38" i="3"/>
  <c r="R38" i="3"/>
  <c r="J38" i="3"/>
  <c r="AH38" i="3"/>
  <c r="AG38" i="3"/>
  <c r="Y38" i="3"/>
  <c r="X38" i="3"/>
  <c r="Q38" i="3"/>
  <c r="P38" i="3"/>
  <c r="I38" i="3"/>
  <c r="H38" i="3"/>
  <c r="AF42" i="3" a="1"/>
  <c r="AF42" i="3" s="1"/>
  <c r="AN42" i="3"/>
  <c r="AE42" i="3"/>
  <c r="W42" i="3"/>
  <c r="O42" i="3"/>
  <c r="G42" i="3"/>
  <c r="AM42" i="3"/>
  <c r="AD42" i="3"/>
  <c r="V42" i="3"/>
  <c r="N42" i="3"/>
  <c r="F42" i="3"/>
  <c r="AL42" i="3"/>
  <c r="AC42" i="3"/>
  <c r="U42" i="3"/>
  <c r="M42" i="3"/>
  <c r="E42" i="3"/>
  <c r="AK42" i="3"/>
  <c r="AB42" i="3"/>
  <c r="T42" i="3"/>
  <c r="L42" i="3"/>
  <c r="D42" i="3"/>
  <c r="AJ42" i="3"/>
  <c r="AA42" i="3"/>
  <c r="S42" i="3"/>
  <c r="K42" i="3"/>
  <c r="AI42" i="3"/>
  <c r="Z42" i="3"/>
  <c r="R42" i="3"/>
  <c r="J42" i="3"/>
  <c r="Q42" i="3"/>
  <c r="P42" i="3"/>
  <c r="I42" i="3"/>
  <c r="H42" i="3"/>
  <c r="AH42" i="3"/>
  <c r="AG42" i="3"/>
  <c r="Y42" i="3"/>
  <c r="X42" i="3"/>
  <c r="AF46" i="3" a="1"/>
  <c r="AF46" i="3" s="1"/>
  <c r="AN46" i="3"/>
  <c r="AE46" i="3"/>
  <c r="W46" i="3"/>
  <c r="O46" i="3"/>
  <c r="G46" i="3"/>
  <c r="AM46" i="3"/>
  <c r="AD46" i="3"/>
  <c r="V46" i="3"/>
  <c r="N46" i="3"/>
  <c r="F46" i="3"/>
  <c r="AL46" i="3"/>
  <c r="AC46" i="3"/>
  <c r="U46" i="3"/>
  <c r="M46" i="3"/>
  <c r="E46" i="3"/>
  <c r="AK46" i="3"/>
  <c r="AB46" i="3"/>
  <c r="T46" i="3"/>
  <c r="L46" i="3"/>
  <c r="D46" i="3"/>
  <c r="AJ46" i="3"/>
  <c r="AA46" i="3"/>
  <c r="S46" i="3"/>
  <c r="K46" i="3"/>
  <c r="AI46" i="3"/>
  <c r="Z46" i="3"/>
  <c r="R46" i="3"/>
  <c r="J46" i="3"/>
  <c r="AH46" i="3"/>
  <c r="AG46" i="3"/>
  <c r="Y46" i="3"/>
  <c r="X46" i="3"/>
  <c r="Q46" i="3"/>
  <c r="P46" i="3"/>
  <c r="I46" i="3"/>
  <c r="H46" i="3"/>
  <c r="AF50" i="3" a="1"/>
  <c r="AF50" i="3" s="1"/>
  <c r="AN50" i="3"/>
  <c r="AE50" i="3"/>
  <c r="W50" i="3"/>
  <c r="O50" i="3"/>
  <c r="G50" i="3"/>
  <c r="AM50" i="3"/>
  <c r="AD50" i="3"/>
  <c r="V50" i="3"/>
  <c r="N50" i="3"/>
  <c r="F50" i="3"/>
  <c r="AL50" i="3"/>
  <c r="AC50" i="3"/>
  <c r="U50" i="3"/>
  <c r="M50" i="3"/>
  <c r="E50" i="3"/>
  <c r="AK50" i="3"/>
  <c r="AB50" i="3"/>
  <c r="T50" i="3"/>
  <c r="L50" i="3"/>
  <c r="D50" i="3"/>
  <c r="AJ50" i="3"/>
  <c r="AA50" i="3"/>
  <c r="S50" i="3"/>
  <c r="K50" i="3"/>
  <c r="AI50" i="3"/>
  <c r="Z50" i="3"/>
  <c r="R50" i="3"/>
  <c r="J50" i="3"/>
  <c r="Q50" i="3"/>
  <c r="P50" i="3"/>
  <c r="I50" i="3"/>
  <c r="H50" i="3"/>
  <c r="AH50" i="3"/>
  <c r="AG50" i="3"/>
  <c r="Y50" i="3"/>
  <c r="X50" i="3"/>
  <c r="AF54" i="3" a="1"/>
  <c r="AF54" i="3" s="1"/>
  <c r="AN54" i="3"/>
  <c r="AE54" i="3"/>
  <c r="W54" i="3"/>
  <c r="O54" i="3"/>
  <c r="G54" i="3"/>
  <c r="AM54" i="3"/>
  <c r="AD54" i="3"/>
  <c r="V54" i="3"/>
  <c r="N54" i="3"/>
  <c r="F54" i="3"/>
  <c r="AL54" i="3"/>
  <c r="AC54" i="3"/>
  <c r="U54" i="3"/>
  <c r="M54" i="3"/>
  <c r="E54" i="3"/>
  <c r="AK54" i="3"/>
  <c r="AB54" i="3"/>
  <c r="T54" i="3"/>
  <c r="L54" i="3"/>
  <c r="D54" i="3"/>
  <c r="AJ54" i="3"/>
  <c r="AA54" i="3"/>
  <c r="S54" i="3"/>
  <c r="K54" i="3"/>
  <c r="AI54" i="3"/>
  <c r="Z54" i="3"/>
  <c r="R54" i="3"/>
  <c r="J54" i="3"/>
  <c r="AH54" i="3"/>
  <c r="AG54" i="3"/>
  <c r="Y54" i="3"/>
  <c r="X54" i="3"/>
  <c r="Q54" i="3"/>
  <c r="P54" i="3"/>
  <c r="I54" i="3"/>
  <c r="H54" i="3"/>
  <c r="AF58" i="3" a="1"/>
  <c r="AF58" i="3" s="1"/>
  <c r="AN58" i="3"/>
  <c r="AE58" i="3"/>
  <c r="W58" i="3"/>
  <c r="O58" i="3"/>
  <c r="G58" i="3"/>
  <c r="AM58" i="3"/>
  <c r="AD58" i="3"/>
  <c r="V58" i="3"/>
  <c r="N58" i="3"/>
  <c r="F58" i="3"/>
  <c r="AL58" i="3"/>
  <c r="AC58" i="3"/>
  <c r="U58" i="3"/>
  <c r="M58" i="3"/>
  <c r="E58" i="3"/>
  <c r="AK58" i="3"/>
  <c r="AB58" i="3"/>
  <c r="T58" i="3"/>
  <c r="L58" i="3"/>
  <c r="D58" i="3"/>
  <c r="AJ58" i="3"/>
  <c r="AA58" i="3"/>
  <c r="S58" i="3"/>
  <c r="K58" i="3"/>
  <c r="AI58" i="3"/>
  <c r="Z58" i="3"/>
  <c r="R58" i="3"/>
  <c r="J58" i="3"/>
  <c r="Q58" i="3"/>
  <c r="P58" i="3"/>
  <c r="I58" i="3"/>
  <c r="H58" i="3"/>
  <c r="AH58" i="3"/>
  <c r="AG58" i="3"/>
  <c r="Y58" i="3"/>
  <c r="X58" i="3"/>
  <c r="AF62" i="3" a="1"/>
  <c r="AF62" i="3" s="1"/>
  <c r="AN62" i="3"/>
  <c r="AE62" i="3"/>
  <c r="W62" i="3"/>
  <c r="O62" i="3"/>
  <c r="G62" i="3"/>
  <c r="AM62" i="3"/>
  <c r="AD62" i="3"/>
  <c r="V62" i="3"/>
  <c r="N62" i="3"/>
  <c r="F62" i="3"/>
  <c r="AL62" i="3"/>
  <c r="AC62" i="3"/>
  <c r="U62" i="3"/>
  <c r="M62" i="3"/>
  <c r="E62" i="3"/>
  <c r="AK62" i="3"/>
  <c r="AB62" i="3"/>
  <c r="T62" i="3"/>
  <c r="L62" i="3"/>
  <c r="D62" i="3"/>
  <c r="AJ62" i="3"/>
  <c r="AA62" i="3"/>
  <c r="S62" i="3"/>
  <c r="K62" i="3"/>
  <c r="AI62" i="3"/>
  <c r="Z62" i="3"/>
  <c r="R62" i="3"/>
  <c r="J62" i="3"/>
  <c r="AH62" i="3"/>
  <c r="AG62" i="3"/>
  <c r="Y62" i="3"/>
  <c r="X62" i="3"/>
  <c r="Q62" i="3"/>
  <c r="P62" i="3"/>
  <c r="I62" i="3"/>
  <c r="H62" i="3"/>
  <c r="AF66" i="3" a="1"/>
  <c r="AF66" i="3" s="1"/>
  <c r="AH66" i="3"/>
  <c r="Y66" i="3"/>
  <c r="Q66" i="3"/>
  <c r="AI66" i="3"/>
  <c r="X66" i="3"/>
  <c r="O66" i="3"/>
  <c r="G66" i="3"/>
  <c r="AG66" i="3"/>
  <c r="W66" i="3"/>
  <c r="N66" i="3"/>
  <c r="F66" i="3"/>
  <c r="AE66" i="3"/>
  <c r="V66" i="3"/>
  <c r="M66" i="3"/>
  <c r="E66" i="3"/>
  <c r="AN66" i="3"/>
  <c r="AD66" i="3"/>
  <c r="U66" i="3"/>
  <c r="L66" i="3"/>
  <c r="D66" i="3"/>
  <c r="AM66" i="3"/>
  <c r="AC66" i="3"/>
  <c r="T66" i="3"/>
  <c r="K66" i="3"/>
  <c r="AL66" i="3"/>
  <c r="AB66" i="3"/>
  <c r="S66" i="3"/>
  <c r="J66" i="3"/>
  <c r="R66" i="3"/>
  <c r="P66" i="3"/>
  <c r="I66" i="3"/>
  <c r="H66" i="3"/>
  <c r="AK66" i="3"/>
  <c r="AJ66" i="3"/>
  <c r="AA66" i="3"/>
  <c r="Z66" i="3"/>
  <c r="AF70" i="3" a="1"/>
  <c r="AF70" i="3" s="1"/>
  <c r="AH70" i="3"/>
  <c r="Y70" i="3"/>
  <c r="Q70" i="3"/>
  <c r="I70" i="3"/>
  <c r="AK70" i="3"/>
  <c r="AA70" i="3"/>
  <c r="R70" i="3"/>
  <c r="H70" i="3"/>
  <c r="AJ70" i="3"/>
  <c r="Z70" i="3"/>
  <c r="P70" i="3"/>
  <c r="G70" i="3"/>
  <c r="AI70" i="3"/>
  <c r="X70" i="3"/>
  <c r="O70" i="3"/>
  <c r="F70" i="3"/>
  <c r="AG70" i="3"/>
  <c r="W70" i="3"/>
  <c r="N70" i="3"/>
  <c r="E70" i="3"/>
  <c r="AE70" i="3"/>
  <c r="V70" i="3"/>
  <c r="M70" i="3"/>
  <c r="D70" i="3"/>
  <c r="AN70" i="3"/>
  <c r="AD70" i="3"/>
  <c r="U70" i="3"/>
  <c r="L70" i="3"/>
  <c r="T70" i="3"/>
  <c r="S70" i="3"/>
  <c r="K70" i="3"/>
  <c r="J70" i="3"/>
  <c r="AM70" i="3"/>
  <c r="AL70" i="3"/>
  <c r="AC70" i="3"/>
  <c r="AB70" i="3"/>
  <c r="AF74" i="3" a="1"/>
  <c r="AF74" i="3" s="1"/>
  <c r="AH74" i="3"/>
  <c r="Y74" i="3"/>
  <c r="Q74" i="3"/>
  <c r="I74" i="3"/>
  <c r="AG74" i="3"/>
  <c r="X74" i="3"/>
  <c r="P74" i="3"/>
  <c r="H74" i="3"/>
  <c r="AN74" i="3"/>
  <c r="AE74" i="3"/>
  <c r="W74" i="3"/>
  <c r="O74" i="3"/>
  <c r="G74" i="3"/>
  <c r="AM74" i="3"/>
  <c r="AD74" i="3"/>
  <c r="AL74" i="3"/>
  <c r="AC74" i="3"/>
  <c r="U74" i="3"/>
  <c r="M74" i="3"/>
  <c r="E74" i="3"/>
  <c r="AK74" i="3"/>
  <c r="AB74" i="3"/>
  <c r="T74" i="3"/>
  <c r="L74" i="3"/>
  <c r="D74" i="3"/>
  <c r="Z74" i="3"/>
  <c r="V74" i="3"/>
  <c r="S74" i="3"/>
  <c r="R74" i="3"/>
  <c r="N74" i="3"/>
  <c r="AJ74" i="3"/>
  <c r="K74" i="3"/>
  <c r="J74" i="3"/>
  <c r="F74" i="3"/>
  <c r="AI74" i="3"/>
  <c r="AA74" i="3"/>
  <c r="AF78" i="3" a="1"/>
  <c r="AF78" i="3" s="1"/>
  <c r="AH78" i="3"/>
  <c r="Y78" i="3"/>
  <c r="Q78" i="3"/>
  <c r="I78" i="3"/>
  <c r="AG78" i="3"/>
  <c r="X78" i="3"/>
  <c r="P78" i="3"/>
  <c r="H78" i="3"/>
  <c r="AN78" i="3"/>
  <c r="AE78" i="3"/>
  <c r="W78" i="3"/>
  <c r="O78" i="3"/>
  <c r="G78" i="3"/>
  <c r="AM78" i="3"/>
  <c r="AD78" i="3"/>
  <c r="V78" i="3"/>
  <c r="N78" i="3"/>
  <c r="F78" i="3"/>
  <c r="AL78" i="3"/>
  <c r="AC78" i="3"/>
  <c r="U78" i="3"/>
  <c r="M78" i="3"/>
  <c r="E78" i="3"/>
  <c r="AK78" i="3"/>
  <c r="AB78" i="3"/>
  <c r="T78" i="3"/>
  <c r="L78" i="3"/>
  <c r="D78" i="3"/>
  <c r="J78" i="3"/>
  <c r="AJ78" i="3"/>
  <c r="AI78" i="3"/>
  <c r="AA78" i="3"/>
  <c r="Z78" i="3"/>
  <c r="S78" i="3"/>
  <c r="R78" i="3"/>
  <c r="K78" i="3"/>
  <c r="AF82" i="3" a="1"/>
  <c r="AF82" i="3" s="1"/>
  <c r="AH82" i="3"/>
  <c r="Y82" i="3"/>
  <c r="Q82" i="3"/>
  <c r="I82" i="3"/>
  <c r="AG82" i="3"/>
  <c r="X82" i="3"/>
  <c r="P82" i="3"/>
  <c r="H82" i="3"/>
  <c r="AN82" i="3"/>
  <c r="AE82" i="3"/>
  <c r="W82" i="3"/>
  <c r="O82" i="3"/>
  <c r="G82" i="3"/>
  <c r="AM82" i="3"/>
  <c r="AD82" i="3"/>
  <c r="V82" i="3"/>
  <c r="N82" i="3"/>
  <c r="F82" i="3"/>
  <c r="AL82" i="3"/>
  <c r="AC82" i="3"/>
  <c r="U82" i="3"/>
  <c r="M82" i="3"/>
  <c r="E82" i="3"/>
  <c r="AK82" i="3"/>
  <c r="AB82" i="3"/>
  <c r="T82" i="3"/>
  <c r="L82" i="3"/>
  <c r="D82" i="3"/>
  <c r="Z82" i="3"/>
  <c r="S82" i="3"/>
  <c r="R82" i="3"/>
  <c r="K82" i="3"/>
  <c r="J82" i="3"/>
  <c r="AJ82" i="3"/>
  <c r="AI82" i="3"/>
  <c r="AA82" i="3"/>
  <c r="AF86" i="3" a="1"/>
  <c r="AF86" i="3" s="1"/>
  <c r="AH86" i="3"/>
  <c r="Y86" i="3"/>
  <c r="Q86" i="3"/>
  <c r="I86" i="3"/>
  <c r="AG86" i="3"/>
  <c r="X86" i="3"/>
  <c r="P86" i="3"/>
  <c r="H86" i="3"/>
  <c r="AN86" i="3"/>
  <c r="AE86" i="3"/>
  <c r="W86" i="3"/>
  <c r="O86" i="3"/>
  <c r="G86" i="3"/>
  <c r="AM86" i="3"/>
  <c r="AD86" i="3"/>
  <c r="V86" i="3"/>
  <c r="N86" i="3"/>
  <c r="F86" i="3"/>
  <c r="AL86" i="3"/>
  <c r="AC86" i="3"/>
  <c r="U86" i="3"/>
  <c r="M86" i="3"/>
  <c r="E86" i="3"/>
  <c r="AK86" i="3"/>
  <c r="AB86" i="3"/>
  <c r="T86" i="3"/>
  <c r="L86" i="3"/>
  <c r="D86" i="3"/>
  <c r="J86" i="3"/>
  <c r="AJ86" i="3"/>
  <c r="AI86" i="3"/>
  <c r="AA86" i="3"/>
  <c r="Z86" i="3"/>
  <c r="S86" i="3"/>
  <c r="R86" i="3"/>
  <c r="K86" i="3"/>
  <c r="AF90" i="3" a="1"/>
  <c r="AF90" i="3" s="1"/>
  <c r="AH90" i="3"/>
  <c r="Y90" i="3"/>
  <c r="Q90" i="3"/>
  <c r="I90" i="3"/>
  <c r="AG90" i="3"/>
  <c r="X90" i="3"/>
  <c r="P90" i="3"/>
  <c r="H90" i="3"/>
  <c r="AN90" i="3"/>
  <c r="AE90" i="3"/>
  <c r="W90" i="3"/>
  <c r="O90" i="3"/>
  <c r="G90" i="3"/>
  <c r="AM90" i="3"/>
  <c r="AD90" i="3"/>
  <c r="V90" i="3"/>
  <c r="N90" i="3"/>
  <c r="F90" i="3"/>
  <c r="AL90" i="3"/>
  <c r="AC90" i="3"/>
  <c r="U90" i="3"/>
  <c r="M90" i="3"/>
  <c r="E90" i="3"/>
  <c r="AK90" i="3"/>
  <c r="AB90" i="3"/>
  <c r="T90" i="3"/>
  <c r="L90" i="3"/>
  <c r="D90" i="3"/>
  <c r="Z90" i="3"/>
  <c r="S90" i="3"/>
  <c r="R90" i="3"/>
  <c r="K90" i="3"/>
  <c r="J90" i="3"/>
  <c r="AJ90" i="3"/>
  <c r="AI90" i="3"/>
  <c r="AA90" i="3"/>
  <c r="AF94" i="3" a="1"/>
  <c r="AF94" i="3" s="1"/>
  <c r="AL94" i="3"/>
  <c r="AC94" i="3"/>
  <c r="U94" i="3"/>
  <c r="M94" i="3"/>
  <c r="E94" i="3"/>
  <c r="AK94" i="3"/>
  <c r="AB94" i="3"/>
  <c r="T94" i="3"/>
  <c r="L94" i="3"/>
  <c r="D94" i="3"/>
  <c r="AJ94" i="3"/>
  <c r="AA94" i="3"/>
  <c r="S94" i="3"/>
  <c r="K94" i="3"/>
  <c r="AI94" i="3"/>
  <c r="Z94" i="3"/>
  <c r="R94" i="3"/>
  <c r="J94" i="3"/>
  <c r="AH94" i="3"/>
  <c r="Y94" i="3"/>
  <c r="Q94" i="3"/>
  <c r="I94" i="3"/>
  <c r="AG94" i="3"/>
  <c r="X94" i="3"/>
  <c r="P94" i="3"/>
  <c r="H94" i="3"/>
  <c r="W94" i="3"/>
  <c r="V94" i="3"/>
  <c r="O94" i="3"/>
  <c r="N94" i="3"/>
  <c r="AN94" i="3"/>
  <c r="G94" i="3"/>
  <c r="AM94" i="3"/>
  <c r="F94" i="3"/>
  <c r="AE94" i="3"/>
  <c r="AD94" i="3"/>
  <c r="AF98" i="3" a="1"/>
  <c r="AF98" i="3" s="1"/>
  <c r="AL98" i="3"/>
  <c r="AC98" i="3"/>
  <c r="U98" i="3"/>
  <c r="M98" i="3"/>
  <c r="E98" i="3"/>
  <c r="AK98" i="3"/>
  <c r="AB98" i="3"/>
  <c r="T98" i="3"/>
  <c r="L98" i="3"/>
  <c r="D98" i="3"/>
  <c r="AJ98" i="3"/>
  <c r="AA98" i="3"/>
  <c r="S98" i="3"/>
  <c r="K98" i="3"/>
  <c r="AI98" i="3"/>
  <c r="Z98" i="3"/>
  <c r="R98" i="3"/>
  <c r="J98" i="3"/>
  <c r="AH98" i="3"/>
  <c r="Y98" i="3"/>
  <c r="Q98" i="3"/>
  <c r="I98" i="3"/>
  <c r="AG98" i="3"/>
  <c r="X98" i="3"/>
  <c r="P98" i="3"/>
  <c r="H98" i="3"/>
  <c r="AN98" i="3"/>
  <c r="G98" i="3"/>
  <c r="AM98" i="3"/>
  <c r="F98" i="3"/>
  <c r="AE98" i="3"/>
  <c r="AD98" i="3"/>
  <c r="W98" i="3"/>
  <c r="V98" i="3"/>
  <c r="O98" i="3"/>
  <c r="N98" i="3"/>
  <c r="AF102" i="3" a="1"/>
  <c r="AF102" i="3" s="1"/>
  <c r="AL102" i="3"/>
  <c r="AC102" i="3"/>
  <c r="U102" i="3"/>
  <c r="M102" i="3"/>
  <c r="E102" i="3"/>
  <c r="AK102" i="3"/>
  <c r="AB102" i="3"/>
  <c r="T102" i="3"/>
  <c r="L102" i="3"/>
  <c r="D102" i="3"/>
  <c r="AJ102" i="3"/>
  <c r="AA102" i="3"/>
  <c r="S102" i="3"/>
  <c r="K102" i="3"/>
  <c r="AI102" i="3"/>
  <c r="Z102" i="3"/>
  <c r="R102" i="3"/>
  <c r="J102" i="3"/>
  <c r="AH102" i="3"/>
  <c r="Y102" i="3"/>
  <c r="Q102" i="3"/>
  <c r="I102" i="3"/>
  <c r="AG102" i="3"/>
  <c r="X102" i="3"/>
  <c r="P102" i="3"/>
  <c r="H102" i="3"/>
  <c r="W102" i="3"/>
  <c r="V102" i="3"/>
  <c r="O102" i="3"/>
  <c r="N102" i="3"/>
  <c r="AN102" i="3"/>
  <c r="G102" i="3"/>
  <c r="AM102" i="3"/>
  <c r="F102" i="3"/>
  <c r="AD102" i="3"/>
  <c r="AE102" i="3"/>
  <c r="AF106" i="3" a="1"/>
  <c r="AF106" i="3" s="1"/>
  <c r="AL106" i="3"/>
  <c r="AC106" i="3"/>
  <c r="U106" i="3"/>
  <c r="M106" i="3"/>
  <c r="E106" i="3"/>
  <c r="AK106" i="3"/>
  <c r="AB106" i="3"/>
  <c r="T106" i="3"/>
  <c r="L106" i="3"/>
  <c r="D106" i="3"/>
  <c r="AJ106" i="3"/>
  <c r="AA106" i="3"/>
  <c r="S106" i="3"/>
  <c r="K106" i="3"/>
  <c r="AI106" i="3"/>
  <c r="Z106" i="3"/>
  <c r="R106" i="3"/>
  <c r="J106" i="3"/>
  <c r="AH106" i="3"/>
  <c r="Y106" i="3"/>
  <c r="Q106" i="3"/>
  <c r="I106" i="3"/>
  <c r="AG106" i="3"/>
  <c r="X106" i="3"/>
  <c r="P106" i="3"/>
  <c r="H106" i="3"/>
  <c r="AN106" i="3"/>
  <c r="G106" i="3"/>
  <c r="AM106" i="3"/>
  <c r="F106" i="3"/>
  <c r="AE106" i="3"/>
  <c r="AD106" i="3"/>
  <c r="W106" i="3"/>
  <c r="V106" i="3"/>
  <c r="N106" i="3"/>
  <c r="O106" i="3"/>
  <c r="AF110" i="3" a="1"/>
  <c r="AF110" i="3" s="1"/>
  <c r="AL110" i="3"/>
  <c r="AC110" i="3"/>
  <c r="U110" i="3"/>
  <c r="M110" i="3"/>
  <c r="E110" i="3"/>
  <c r="AK110" i="3"/>
  <c r="AB110" i="3"/>
  <c r="T110" i="3"/>
  <c r="L110" i="3"/>
  <c r="D110" i="3"/>
  <c r="AJ110" i="3"/>
  <c r="AA110" i="3"/>
  <c r="S110" i="3"/>
  <c r="K110" i="3"/>
  <c r="AI110" i="3"/>
  <c r="Z110" i="3"/>
  <c r="R110" i="3"/>
  <c r="J110" i="3"/>
  <c r="AH110" i="3"/>
  <c r="Y110" i="3"/>
  <c r="Q110" i="3"/>
  <c r="I110" i="3"/>
  <c r="AG110" i="3"/>
  <c r="X110" i="3"/>
  <c r="P110" i="3"/>
  <c r="H110" i="3"/>
  <c r="W110" i="3"/>
  <c r="V110" i="3"/>
  <c r="O110" i="3"/>
  <c r="N110" i="3"/>
  <c r="AN110" i="3"/>
  <c r="G110" i="3"/>
  <c r="AM110" i="3"/>
  <c r="F110" i="3"/>
  <c r="AE110" i="3"/>
  <c r="AD110" i="3"/>
  <c r="AF114" i="3" a="1"/>
  <c r="AF114" i="3" s="1"/>
  <c r="AL114" i="3"/>
  <c r="AC114" i="3"/>
  <c r="U114" i="3"/>
  <c r="M114" i="3"/>
  <c r="E114" i="3"/>
  <c r="AK114" i="3"/>
  <c r="AB114" i="3"/>
  <c r="T114" i="3"/>
  <c r="L114" i="3"/>
  <c r="D114" i="3"/>
  <c r="AJ114" i="3"/>
  <c r="AA114" i="3"/>
  <c r="S114" i="3"/>
  <c r="K114" i="3"/>
  <c r="AI114" i="3"/>
  <c r="Z114" i="3"/>
  <c r="R114" i="3"/>
  <c r="J114" i="3"/>
  <c r="AH114" i="3"/>
  <c r="Y114" i="3"/>
  <c r="Q114" i="3"/>
  <c r="I114" i="3"/>
  <c r="AG114" i="3"/>
  <c r="X114" i="3"/>
  <c r="P114" i="3"/>
  <c r="H114" i="3"/>
  <c r="AN114" i="3"/>
  <c r="G114" i="3"/>
  <c r="AM114" i="3"/>
  <c r="F114" i="3"/>
  <c r="AE114" i="3"/>
  <c r="AD114" i="3"/>
  <c r="W114" i="3"/>
  <c r="V114" i="3"/>
  <c r="O114" i="3"/>
  <c r="N114" i="3"/>
  <c r="AF118" i="3" a="1"/>
  <c r="AF118" i="3" s="1"/>
  <c r="AL118" i="3"/>
  <c r="AC118" i="3"/>
  <c r="U118" i="3"/>
  <c r="M118" i="3"/>
  <c r="E118" i="3"/>
  <c r="AK118" i="3"/>
  <c r="AB118" i="3"/>
  <c r="T118" i="3"/>
  <c r="L118" i="3"/>
  <c r="D118" i="3"/>
  <c r="AJ118" i="3"/>
  <c r="AA118" i="3"/>
  <c r="S118" i="3"/>
  <c r="K118" i="3"/>
  <c r="AI118" i="3"/>
  <c r="Z118" i="3"/>
  <c r="R118" i="3"/>
  <c r="J118" i="3"/>
  <c r="AH118" i="3"/>
  <c r="Y118" i="3"/>
  <c r="Q118" i="3"/>
  <c r="I118" i="3"/>
  <c r="AG118" i="3"/>
  <c r="X118" i="3"/>
  <c r="P118" i="3"/>
  <c r="H118" i="3"/>
  <c r="W118" i="3"/>
  <c r="V118" i="3"/>
  <c r="O118" i="3"/>
  <c r="N118" i="3"/>
  <c r="AN118" i="3"/>
  <c r="G118" i="3"/>
  <c r="AM118" i="3"/>
  <c r="F118" i="3"/>
  <c r="AE118" i="3"/>
  <c r="AD118" i="3"/>
  <c r="AF122" i="3" a="1"/>
  <c r="AF122" i="3" s="1"/>
  <c r="AL122" i="3"/>
  <c r="AC122" i="3"/>
  <c r="U122" i="3"/>
  <c r="M122" i="3"/>
  <c r="E122" i="3"/>
  <c r="AK122" i="3"/>
  <c r="AB122" i="3"/>
  <c r="T122" i="3"/>
  <c r="L122" i="3"/>
  <c r="D122" i="3"/>
  <c r="AJ122" i="3"/>
  <c r="AA122" i="3"/>
  <c r="S122" i="3"/>
  <c r="K122" i="3"/>
  <c r="AI122" i="3"/>
  <c r="Z122" i="3"/>
  <c r="R122" i="3"/>
  <c r="J122" i="3"/>
  <c r="AH122" i="3"/>
  <c r="Y122" i="3"/>
  <c r="Q122" i="3"/>
  <c r="I122" i="3"/>
  <c r="AG122" i="3"/>
  <c r="X122" i="3"/>
  <c r="P122" i="3"/>
  <c r="H122" i="3"/>
  <c r="AN122" i="3"/>
  <c r="G122" i="3"/>
  <c r="AM122" i="3"/>
  <c r="F122" i="3"/>
  <c r="AE122" i="3"/>
  <c r="AD122" i="3"/>
  <c r="W122" i="3"/>
  <c r="V122" i="3"/>
  <c r="O122" i="3"/>
  <c r="N122" i="3"/>
  <c r="AF126" i="3" a="1"/>
  <c r="AF126" i="3" s="1"/>
  <c r="AL126" i="3"/>
  <c r="AC126" i="3"/>
  <c r="U126" i="3"/>
  <c r="M126" i="3"/>
  <c r="E126" i="3"/>
  <c r="AK126" i="3"/>
  <c r="AB126" i="3"/>
  <c r="T126" i="3"/>
  <c r="L126" i="3"/>
  <c r="D126" i="3"/>
  <c r="AJ126" i="3"/>
  <c r="AA126" i="3"/>
  <c r="S126" i="3"/>
  <c r="K126" i="3"/>
  <c r="AI126" i="3"/>
  <c r="Z126" i="3"/>
  <c r="R126" i="3"/>
  <c r="J126" i="3"/>
  <c r="AH126" i="3"/>
  <c r="Y126" i="3"/>
  <c r="Q126" i="3"/>
  <c r="I126" i="3"/>
  <c r="AG126" i="3"/>
  <c r="X126" i="3"/>
  <c r="P126" i="3"/>
  <c r="H126" i="3"/>
  <c r="W126" i="3"/>
  <c r="V126" i="3"/>
  <c r="O126" i="3"/>
  <c r="N126" i="3"/>
  <c r="AN126" i="3"/>
  <c r="G126" i="3"/>
  <c r="AM126" i="3"/>
  <c r="F126" i="3"/>
  <c r="AE126" i="3"/>
  <c r="AD126" i="3"/>
  <c r="AF130" i="3" a="1"/>
  <c r="AF130" i="3" s="1"/>
  <c r="AL130" i="3"/>
  <c r="AC130" i="3"/>
  <c r="U130" i="3"/>
  <c r="M130" i="3"/>
  <c r="E130" i="3"/>
  <c r="AK130" i="3"/>
  <c r="AB130" i="3"/>
  <c r="T130" i="3"/>
  <c r="L130" i="3"/>
  <c r="D130" i="3"/>
  <c r="AJ130" i="3"/>
  <c r="AA130" i="3"/>
  <c r="S130" i="3"/>
  <c r="K130" i="3"/>
  <c r="AI130" i="3"/>
  <c r="Z130" i="3"/>
  <c r="R130" i="3"/>
  <c r="J130" i="3"/>
  <c r="AH130" i="3"/>
  <c r="Y130" i="3"/>
  <c r="Q130" i="3"/>
  <c r="I130" i="3"/>
  <c r="AG130" i="3"/>
  <c r="X130" i="3"/>
  <c r="P130" i="3"/>
  <c r="H130" i="3"/>
  <c r="AN130" i="3"/>
  <c r="G130" i="3"/>
  <c r="AM130" i="3"/>
  <c r="F130" i="3"/>
  <c r="AE130" i="3"/>
  <c r="AD130" i="3"/>
  <c r="W130" i="3"/>
  <c r="V130" i="3"/>
  <c r="O130" i="3"/>
  <c r="N130" i="3"/>
  <c r="AF134" i="3" a="1"/>
  <c r="AF134" i="3" s="1"/>
  <c r="AL134" i="3"/>
  <c r="AC134" i="3"/>
  <c r="U134" i="3"/>
  <c r="M134" i="3"/>
  <c r="E134" i="3"/>
  <c r="AK134" i="3"/>
  <c r="AB134" i="3"/>
  <c r="T134" i="3"/>
  <c r="L134" i="3"/>
  <c r="D134" i="3"/>
  <c r="AJ134" i="3"/>
  <c r="AA134" i="3"/>
  <c r="S134" i="3"/>
  <c r="K134" i="3"/>
  <c r="AI134" i="3"/>
  <c r="Z134" i="3"/>
  <c r="R134" i="3"/>
  <c r="J134" i="3"/>
  <c r="AH134" i="3"/>
  <c r="Y134" i="3"/>
  <c r="Q134" i="3"/>
  <c r="I134" i="3"/>
  <c r="AG134" i="3"/>
  <c r="X134" i="3"/>
  <c r="P134" i="3"/>
  <c r="H134" i="3"/>
  <c r="W134" i="3"/>
  <c r="V134" i="3"/>
  <c r="O134" i="3"/>
  <c r="N134" i="3"/>
  <c r="AN134" i="3"/>
  <c r="G134" i="3"/>
  <c r="AM134" i="3"/>
  <c r="F134" i="3"/>
  <c r="AD134" i="3"/>
  <c r="AE134" i="3"/>
  <c r="AF138" i="3" a="1"/>
  <c r="AF138" i="3" s="1"/>
  <c r="AL138" i="3"/>
  <c r="AC138" i="3"/>
  <c r="U138" i="3"/>
  <c r="M138" i="3"/>
  <c r="E138" i="3"/>
  <c r="AK138" i="3"/>
  <c r="AB138" i="3"/>
  <c r="T138" i="3"/>
  <c r="L138" i="3"/>
  <c r="D138" i="3"/>
  <c r="AJ138" i="3"/>
  <c r="AA138" i="3"/>
  <c r="S138" i="3"/>
  <c r="K138" i="3"/>
  <c r="AI138" i="3"/>
  <c r="Z138" i="3"/>
  <c r="R138" i="3"/>
  <c r="J138" i="3"/>
  <c r="AH138" i="3"/>
  <c r="Y138" i="3"/>
  <c r="Q138" i="3"/>
  <c r="I138" i="3"/>
  <c r="AG138" i="3"/>
  <c r="X138" i="3"/>
  <c r="P138" i="3"/>
  <c r="H138" i="3"/>
  <c r="AN138" i="3"/>
  <c r="G138" i="3"/>
  <c r="AM138" i="3"/>
  <c r="F138" i="3"/>
  <c r="AE138" i="3"/>
  <c r="AD138" i="3"/>
  <c r="W138" i="3"/>
  <c r="V138" i="3"/>
  <c r="N138" i="3"/>
  <c r="O138" i="3"/>
  <c r="AF142" i="3" a="1"/>
  <c r="AF142" i="3" s="1"/>
  <c r="AL142" i="3"/>
  <c r="AC142" i="3"/>
  <c r="U142" i="3"/>
  <c r="M142" i="3"/>
  <c r="E142" i="3"/>
  <c r="AK142" i="3"/>
  <c r="AB142" i="3"/>
  <c r="T142" i="3"/>
  <c r="L142" i="3"/>
  <c r="D142" i="3"/>
  <c r="AJ142" i="3"/>
  <c r="AA142" i="3"/>
  <c r="S142" i="3"/>
  <c r="K142" i="3"/>
  <c r="AI142" i="3"/>
  <c r="Z142" i="3"/>
  <c r="R142" i="3"/>
  <c r="J142" i="3"/>
  <c r="AH142" i="3"/>
  <c r="Y142" i="3"/>
  <c r="Q142" i="3"/>
  <c r="I142" i="3"/>
  <c r="AG142" i="3"/>
  <c r="X142" i="3"/>
  <c r="P142" i="3"/>
  <c r="H142" i="3"/>
  <c r="W142" i="3"/>
  <c r="V142" i="3"/>
  <c r="O142" i="3"/>
  <c r="N142" i="3"/>
  <c r="AN142" i="3"/>
  <c r="G142" i="3"/>
  <c r="AM142" i="3"/>
  <c r="F142" i="3"/>
  <c r="AE142" i="3"/>
  <c r="AD142" i="3"/>
  <c r="AF146" i="3" a="1"/>
  <c r="AF146" i="3" s="1"/>
  <c r="AL146" i="3"/>
  <c r="AC146" i="3"/>
  <c r="U146" i="3"/>
  <c r="M146" i="3"/>
  <c r="E146" i="3"/>
  <c r="AK146" i="3"/>
  <c r="AB146" i="3"/>
  <c r="T146" i="3"/>
  <c r="L146" i="3"/>
  <c r="D146" i="3"/>
  <c r="AJ146" i="3"/>
  <c r="AA146" i="3"/>
  <c r="S146" i="3"/>
  <c r="K146" i="3"/>
  <c r="AI146" i="3"/>
  <c r="Z146" i="3"/>
  <c r="R146" i="3"/>
  <c r="J146" i="3"/>
  <c r="AH146" i="3"/>
  <c r="Y146" i="3"/>
  <c r="Q146" i="3"/>
  <c r="I146" i="3"/>
  <c r="AG146" i="3"/>
  <c r="X146" i="3"/>
  <c r="P146" i="3"/>
  <c r="H146" i="3"/>
  <c r="AN146" i="3"/>
  <c r="G146" i="3"/>
  <c r="AM146" i="3"/>
  <c r="F146" i="3"/>
  <c r="AE146" i="3"/>
  <c r="AD146" i="3"/>
  <c r="W146" i="3"/>
  <c r="V146" i="3"/>
  <c r="O146" i="3"/>
  <c r="N146" i="3"/>
  <c r="AF150" i="3" a="1"/>
  <c r="AF150" i="3" s="1"/>
  <c r="AL150" i="3"/>
  <c r="AC150" i="3"/>
  <c r="U150" i="3"/>
  <c r="M150" i="3"/>
  <c r="E150" i="3"/>
  <c r="AK150" i="3"/>
  <c r="AB150" i="3"/>
  <c r="T150" i="3"/>
  <c r="L150" i="3"/>
  <c r="D150" i="3"/>
  <c r="AJ150" i="3"/>
  <c r="AA150" i="3"/>
  <c r="S150" i="3"/>
  <c r="K150" i="3"/>
  <c r="AI150" i="3"/>
  <c r="Z150" i="3"/>
  <c r="R150" i="3"/>
  <c r="J150" i="3"/>
  <c r="AH150" i="3"/>
  <c r="Y150" i="3"/>
  <c r="Q150" i="3"/>
  <c r="I150" i="3"/>
  <c r="AG150" i="3"/>
  <c r="X150" i="3"/>
  <c r="P150" i="3"/>
  <c r="H150" i="3"/>
  <c r="W150" i="3"/>
  <c r="V150" i="3"/>
  <c r="O150" i="3"/>
  <c r="N150" i="3"/>
  <c r="AN150" i="3"/>
  <c r="G150" i="3"/>
  <c r="AM150" i="3"/>
  <c r="F150" i="3"/>
  <c r="AE150" i="3"/>
  <c r="AD150" i="3"/>
  <c r="AF154" i="3" a="1"/>
  <c r="AF154" i="3" s="1"/>
  <c r="AL154" i="3"/>
  <c r="AC154" i="3"/>
  <c r="U154" i="3"/>
  <c r="M154" i="3"/>
  <c r="E154" i="3"/>
  <c r="AK154" i="3"/>
  <c r="AB154" i="3"/>
  <c r="T154" i="3"/>
  <c r="L154" i="3"/>
  <c r="D154" i="3"/>
  <c r="AJ154" i="3"/>
  <c r="AA154" i="3"/>
  <c r="S154" i="3"/>
  <c r="K154" i="3"/>
  <c r="AI154" i="3"/>
  <c r="Z154" i="3"/>
  <c r="R154" i="3"/>
  <c r="J154" i="3"/>
  <c r="AH154" i="3"/>
  <c r="Y154" i="3"/>
  <c r="Q154" i="3"/>
  <c r="I154" i="3"/>
  <c r="AG154" i="3"/>
  <c r="X154" i="3"/>
  <c r="P154" i="3"/>
  <c r="H154" i="3"/>
  <c r="AN154" i="3"/>
  <c r="G154" i="3"/>
  <c r="AM154" i="3"/>
  <c r="F154" i="3"/>
  <c r="AE154" i="3"/>
  <c r="AD154" i="3"/>
  <c r="W154" i="3"/>
  <c r="V154" i="3"/>
  <c r="O154" i="3"/>
  <c r="N154" i="3"/>
  <c r="AF158" i="3" a="1"/>
  <c r="AF158" i="3" s="1"/>
  <c r="AL158" i="3"/>
  <c r="AC158" i="3"/>
  <c r="U158" i="3"/>
  <c r="M158" i="3"/>
  <c r="E158" i="3"/>
  <c r="AK158" i="3"/>
  <c r="AB158" i="3"/>
  <c r="T158" i="3"/>
  <c r="L158" i="3"/>
  <c r="D158" i="3"/>
  <c r="AJ158" i="3"/>
  <c r="AA158" i="3"/>
  <c r="S158" i="3"/>
  <c r="K158" i="3"/>
  <c r="AI158" i="3"/>
  <c r="Z158" i="3"/>
  <c r="R158" i="3"/>
  <c r="J158" i="3"/>
  <c r="AH158" i="3"/>
  <c r="Y158" i="3"/>
  <c r="Q158" i="3"/>
  <c r="I158" i="3"/>
  <c r="AG158" i="3"/>
  <c r="X158" i="3"/>
  <c r="P158" i="3"/>
  <c r="H158" i="3"/>
  <c r="W158" i="3"/>
  <c r="V158" i="3"/>
  <c r="O158" i="3"/>
  <c r="N158" i="3"/>
  <c r="AN158" i="3"/>
  <c r="G158" i="3"/>
  <c r="AM158" i="3"/>
  <c r="F158" i="3"/>
  <c r="AE158" i="3"/>
  <c r="AD158" i="3"/>
  <c r="AF162" i="3" a="1"/>
  <c r="AF162" i="3" s="1"/>
  <c r="AL162" i="3"/>
  <c r="AC162" i="3"/>
  <c r="U162" i="3"/>
  <c r="M162" i="3"/>
  <c r="E162" i="3"/>
  <c r="AK162" i="3"/>
  <c r="AB162" i="3"/>
  <c r="T162" i="3"/>
  <c r="L162" i="3"/>
  <c r="D162" i="3"/>
  <c r="AJ162" i="3"/>
  <c r="AA162" i="3"/>
  <c r="S162" i="3"/>
  <c r="K162" i="3"/>
  <c r="AI162" i="3"/>
  <c r="Z162" i="3"/>
  <c r="R162" i="3"/>
  <c r="J162" i="3"/>
  <c r="AH162" i="3"/>
  <c r="Y162" i="3"/>
  <c r="Q162" i="3"/>
  <c r="I162" i="3"/>
  <c r="AG162" i="3"/>
  <c r="X162" i="3"/>
  <c r="P162" i="3"/>
  <c r="H162" i="3"/>
  <c r="AN162" i="3"/>
  <c r="G162" i="3"/>
  <c r="AM162" i="3"/>
  <c r="F162" i="3"/>
  <c r="AE162" i="3"/>
  <c r="AD162" i="3"/>
  <c r="W162" i="3"/>
  <c r="V162" i="3"/>
  <c r="O162" i="3"/>
  <c r="N162" i="3"/>
  <c r="AF166" i="3" a="1"/>
  <c r="AF166" i="3" s="1"/>
  <c r="AL166" i="3"/>
  <c r="AC166" i="3"/>
  <c r="U166" i="3"/>
  <c r="M166" i="3"/>
  <c r="E166" i="3"/>
  <c r="AK166" i="3"/>
  <c r="AB166" i="3"/>
  <c r="T166" i="3"/>
  <c r="L166" i="3"/>
  <c r="D166" i="3"/>
  <c r="AJ166" i="3"/>
  <c r="AA166" i="3"/>
  <c r="S166" i="3"/>
  <c r="K166" i="3"/>
  <c r="AI166" i="3"/>
  <c r="Z166" i="3"/>
  <c r="R166" i="3"/>
  <c r="J166" i="3"/>
  <c r="AH166" i="3"/>
  <c r="Y166" i="3"/>
  <c r="Q166" i="3"/>
  <c r="I166" i="3"/>
  <c r="AG166" i="3"/>
  <c r="X166" i="3"/>
  <c r="P166" i="3"/>
  <c r="H166" i="3"/>
  <c r="W166" i="3"/>
  <c r="V166" i="3"/>
  <c r="O166" i="3"/>
  <c r="N166" i="3"/>
  <c r="AN166" i="3"/>
  <c r="G166" i="3"/>
  <c r="AM166" i="3"/>
  <c r="F166" i="3"/>
  <c r="AD166" i="3"/>
  <c r="AE166" i="3"/>
  <c r="AF170" i="3" a="1"/>
  <c r="AF170" i="3" s="1"/>
  <c r="AL170" i="3"/>
  <c r="AC170" i="3"/>
  <c r="U170" i="3"/>
  <c r="M170" i="3"/>
  <c r="E170" i="3"/>
  <c r="AK170" i="3"/>
  <c r="AB170" i="3"/>
  <c r="T170" i="3"/>
  <c r="L170" i="3"/>
  <c r="D170" i="3"/>
  <c r="AJ170" i="3"/>
  <c r="AA170" i="3"/>
  <c r="S170" i="3"/>
  <c r="K170" i="3"/>
  <c r="AI170" i="3"/>
  <c r="Z170" i="3"/>
  <c r="R170" i="3"/>
  <c r="J170" i="3"/>
  <c r="AH170" i="3"/>
  <c r="Y170" i="3"/>
  <c r="Q170" i="3"/>
  <c r="I170" i="3"/>
  <c r="AG170" i="3"/>
  <c r="X170" i="3"/>
  <c r="P170" i="3"/>
  <c r="H170" i="3"/>
  <c r="AN170" i="3"/>
  <c r="G170" i="3"/>
  <c r="AM170" i="3"/>
  <c r="F170" i="3"/>
  <c r="AE170" i="3"/>
  <c r="AD170" i="3"/>
  <c r="W170" i="3"/>
  <c r="V170" i="3"/>
  <c r="O170" i="3"/>
  <c r="N170" i="3"/>
  <c r="AF174" i="3" a="1"/>
  <c r="AF174" i="3" s="1"/>
  <c r="AL174" i="3"/>
  <c r="AC174" i="3"/>
  <c r="U174" i="3"/>
  <c r="M174" i="3"/>
  <c r="E174" i="3"/>
  <c r="AK174" i="3"/>
  <c r="AB174" i="3"/>
  <c r="T174" i="3"/>
  <c r="L174" i="3"/>
  <c r="D174" i="3"/>
  <c r="AJ174" i="3"/>
  <c r="AA174" i="3"/>
  <c r="S174" i="3"/>
  <c r="K174" i="3"/>
  <c r="AI174" i="3"/>
  <c r="Z174" i="3"/>
  <c r="R174" i="3"/>
  <c r="J174" i="3"/>
  <c r="AH174" i="3"/>
  <c r="Y174" i="3"/>
  <c r="Q174" i="3"/>
  <c r="I174" i="3"/>
  <c r="AG174" i="3"/>
  <c r="X174" i="3"/>
  <c r="P174" i="3"/>
  <c r="H174" i="3"/>
  <c r="W174" i="3"/>
  <c r="V174" i="3"/>
  <c r="O174" i="3"/>
  <c r="N174" i="3"/>
  <c r="AN174" i="3"/>
  <c r="G174" i="3"/>
  <c r="AM174" i="3"/>
  <c r="F174" i="3"/>
  <c r="AE174" i="3"/>
  <c r="AD174" i="3"/>
  <c r="AF178" i="3" a="1"/>
  <c r="AF178" i="3" s="1"/>
  <c r="AL178" i="3"/>
  <c r="AC178" i="3"/>
  <c r="U178" i="3"/>
  <c r="M178" i="3"/>
  <c r="E178" i="3"/>
  <c r="AK178" i="3"/>
  <c r="AB178" i="3"/>
  <c r="T178" i="3"/>
  <c r="L178" i="3"/>
  <c r="D178" i="3"/>
  <c r="AJ178" i="3"/>
  <c r="AA178" i="3"/>
  <c r="S178" i="3"/>
  <c r="K178" i="3"/>
  <c r="AI178" i="3"/>
  <c r="Z178" i="3"/>
  <c r="R178" i="3"/>
  <c r="J178" i="3"/>
  <c r="AH178" i="3"/>
  <c r="Y178" i="3"/>
  <c r="Q178" i="3"/>
  <c r="I178" i="3"/>
  <c r="AG178" i="3"/>
  <c r="X178" i="3"/>
  <c r="P178" i="3"/>
  <c r="H178" i="3"/>
  <c r="AN178" i="3"/>
  <c r="G178" i="3"/>
  <c r="AM178" i="3"/>
  <c r="F178" i="3"/>
  <c r="AE178" i="3"/>
  <c r="AD178" i="3"/>
  <c r="W178" i="3"/>
  <c r="V178" i="3"/>
  <c r="O178" i="3"/>
  <c r="N178" i="3"/>
  <c r="AF182" i="3" a="1"/>
  <c r="AF182" i="3" s="1"/>
  <c r="AL182" i="3"/>
  <c r="AC182" i="3"/>
  <c r="U182" i="3"/>
  <c r="M182" i="3"/>
  <c r="E182" i="3"/>
  <c r="AK182" i="3"/>
  <c r="AB182" i="3"/>
  <c r="T182" i="3"/>
  <c r="L182" i="3"/>
  <c r="D182" i="3"/>
  <c r="AJ182" i="3"/>
  <c r="AA182" i="3"/>
  <c r="S182" i="3"/>
  <c r="K182" i="3"/>
  <c r="AI182" i="3"/>
  <c r="Z182" i="3"/>
  <c r="R182" i="3"/>
  <c r="J182" i="3"/>
  <c r="AH182" i="3"/>
  <c r="Y182" i="3"/>
  <c r="Q182" i="3"/>
  <c r="I182" i="3"/>
  <c r="AG182" i="3"/>
  <c r="X182" i="3"/>
  <c r="P182" i="3"/>
  <c r="H182" i="3"/>
  <c r="W182" i="3"/>
  <c r="V182" i="3"/>
  <c r="O182" i="3"/>
  <c r="N182" i="3"/>
  <c r="AN182" i="3"/>
  <c r="G182" i="3"/>
  <c r="AM182" i="3"/>
  <c r="F182" i="3"/>
  <c r="AE182" i="3"/>
  <c r="AD182" i="3"/>
  <c r="AF186" i="3" a="1"/>
  <c r="AF186" i="3" s="1"/>
  <c r="AL186" i="3"/>
  <c r="AC186" i="3"/>
  <c r="U186" i="3"/>
  <c r="M186" i="3"/>
  <c r="E186" i="3"/>
  <c r="AK186" i="3"/>
  <c r="AB186" i="3"/>
  <c r="T186" i="3"/>
  <c r="L186" i="3"/>
  <c r="D186" i="3"/>
  <c r="AJ186" i="3"/>
  <c r="AA186" i="3"/>
  <c r="S186" i="3"/>
  <c r="K186" i="3"/>
  <c r="AI186" i="3"/>
  <c r="Z186" i="3"/>
  <c r="R186" i="3"/>
  <c r="J186" i="3"/>
  <c r="AH186" i="3"/>
  <c r="Y186" i="3"/>
  <c r="Q186" i="3"/>
  <c r="I186" i="3"/>
  <c r="AG186" i="3"/>
  <c r="X186" i="3"/>
  <c r="P186" i="3"/>
  <c r="H186" i="3"/>
  <c r="AN186" i="3"/>
  <c r="G186" i="3"/>
  <c r="AM186" i="3"/>
  <c r="F186" i="3"/>
  <c r="AE186" i="3"/>
  <c r="AD186" i="3"/>
  <c r="W186" i="3"/>
  <c r="V186" i="3"/>
  <c r="O186" i="3"/>
  <c r="N186" i="3"/>
  <c r="AF190" i="3" a="1"/>
  <c r="AF190" i="3" s="1"/>
  <c r="AL190" i="3"/>
  <c r="AC190" i="3"/>
  <c r="U190" i="3"/>
  <c r="M190" i="3"/>
  <c r="E190" i="3"/>
  <c r="AK190" i="3"/>
  <c r="AB190" i="3"/>
  <c r="T190" i="3"/>
  <c r="L190" i="3"/>
  <c r="D190" i="3"/>
  <c r="AJ190" i="3"/>
  <c r="AA190" i="3"/>
  <c r="S190" i="3"/>
  <c r="K190" i="3"/>
  <c r="AI190" i="3"/>
  <c r="Z190" i="3"/>
  <c r="R190" i="3"/>
  <c r="J190" i="3"/>
  <c r="AH190" i="3"/>
  <c r="Y190" i="3"/>
  <c r="Q190" i="3"/>
  <c r="I190" i="3"/>
  <c r="AG190" i="3"/>
  <c r="X190" i="3"/>
  <c r="P190" i="3"/>
  <c r="H190" i="3"/>
  <c r="W190" i="3"/>
  <c r="V190" i="3"/>
  <c r="O190" i="3"/>
  <c r="N190" i="3"/>
  <c r="AN190" i="3"/>
  <c r="G190" i="3"/>
  <c r="AM190" i="3"/>
  <c r="F190" i="3"/>
  <c r="AE190" i="3"/>
  <c r="AD190" i="3"/>
  <c r="AF194" i="3" a="1"/>
  <c r="AF194" i="3" s="1"/>
  <c r="AL194" i="3"/>
  <c r="AC194" i="3"/>
  <c r="U194" i="3"/>
  <c r="M194" i="3"/>
  <c r="E194" i="3"/>
  <c r="AK194" i="3"/>
  <c r="AB194" i="3"/>
  <c r="T194" i="3"/>
  <c r="L194" i="3"/>
  <c r="D194" i="3"/>
  <c r="AJ194" i="3"/>
  <c r="AA194" i="3"/>
  <c r="S194" i="3"/>
  <c r="K194" i="3"/>
  <c r="AI194" i="3"/>
  <c r="Z194" i="3"/>
  <c r="R194" i="3"/>
  <c r="J194" i="3"/>
  <c r="AH194" i="3"/>
  <c r="Y194" i="3"/>
  <c r="Q194" i="3"/>
  <c r="I194" i="3"/>
  <c r="AG194" i="3"/>
  <c r="X194" i="3"/>
  <c r="P194" i="3"/>
  <c r="H194" i="3"/>
  <c r="AN194" i="3"/>
  <c r="G194" i="3"/>
  <c r="AM194" i="3"/>
  <c r="F194" i="3"/>
  <c r="AE194" i="3"/>
  <c r="AD194" i="3"/>
  <c r="W194" i="3"/>
  <c r="V194" i="3"/>
  <c r="O194" i="3"/>
  <c r="N194" i="3"/>
  <c r="AF198" i="3" a="1"/>
  <c r="AF198" i="3" s="1"/>
  <c r="AL198" i="3"/>
  <c r="AC198" i="3"/>
  <c r="U198" i="3"/>
  <c r="M198" i="3"/>
  <c r="E198" i="3"/>
  <c r="AK198" i="3"/>
  <c r="AB198" i="3"/>
  <c r="T198" i="3"/>
  <c r="L198" i="3"/>
  <c r="D198" i="3"/>
  <c r="AJ198" i="3"/>
  <c r="AA198" i="3"/>
  <c r="S198" i="3"/>
  <c r="K198" i="3"/>
  <c r="AI198" i="3"/>
  <c r="Z198" i="3"/>
  <c r="R198" i="3"/>
  <c r="J198" i="3"/>
  <c r="AH198" i="3"/>
  <c r="Y198" i="3"/>
  <c r="Q198" i="3"/>
  <c r="I198" i="3"/>
  <c r="AG198" i="3"/>
  <c r="X198" i="3"/>
  <c r="P198" i="3"/>
  <c r="H198" i="3"/>
  <c r="W198" i="3"/>
  <c r="V198" i="3"/>
  <c r="O198" i="3"/>
  <c r="N198" i="3"/>
  <c r="AN198" i="3"/>
  <c r="G198" i="3"/>
  <c r="AM198" i="3"/>
  <c r="F198" i="3"/>
  <c r="AE198" i="3"/>
  <c r="AD198" i="3"/>
  <c r="AF202" i="3" a="1"/>
  <c r="AF202" i="3" s="1"/>
  <c r="AL202" i="3"/>
  <c r="AC202" i="3"/>
  <c r="U202" i="3"/>
  <c r="M202" i="3"/>
  <c r="E202" i="3"/>
  <c r="AK202" i="3"/>
  <c r="AB202" i="3"/>
  <c r="T202" i="3"/>
  <c r="L202" i="3"/>
  <c r="D202" i="3"/>
  <c r="AJ202" i="3"/>
  <c r="AA202" i="3"/>
  <c r="S202" i="3"/>
  <c r="K202" i="3"/>
  <c r="AI202" i="3"/>
  <c r="Z202" i="3"/>
  <c r="R202" i="3"/>
  <c r="J202" i="3"/>
  <c r="AH202" i="3"/>
  <c r="Y202" i="3"/>
  <c r="Q202" i="3"/>
  <c r="I202" i="3"/>
  <c r="AG202" i="3"/>
  <c r="X202" i="3"/>
  <c r="P202" i="3"/>
  <c r="H202" i="3"/>
  <c r="AN202" i="3"/>
  <c r="G202" i="3"/>
  <c r="AM202" i="3"/>
  <c r="F202" i="3"/>
  <c r="AE202" i="3"/>
  <c r="AD202" i="3"/>
  <c r="W202" i="3"/>
  <c r="V202" i="3"/>
  <c r="O202" i="3"/>
  <c r="N202" i="3"/>
  <c r="AF206" i="3" a="1"/>
  <c r="AF206" i="3" s="1"/>
  <c r="AL206" i="3"/>
  <c r="AC206" i="3"/>
  <c r="U206" i="3"/>
  <c r="M206" i="3"/>
  <c r="E206" i="3"/>
  <c r="AK206" i="3"/>
  <c r="AB206" i="3"/>
  <c r="T206" i="3"/>
  <c r="L206" i="3"/>
  <c r="D206" i="3"/>
  <c r="AJ206" i="3"/>
  <c r="AA206" i="3"/>
  <c r="S206" i="3"/>
  <c r="K206" i="3"/>
  <c r="AI206" i="3"/>
  <c r="Z206" i="3"/>
  <c r="R206" i="3"/>
  <c r="J206" i="3"/>
  <c r="AH206" i="3"/>
  <c r="Y206" i="3"/>
  <c r="Q206" i="3"/>
  <c r="I206" i="3"/>
  <c r="AG206" i="3"/>
  <c r="X206" i="3"/>
  <c r="P206" i="3"/>
  <c r="H206" i="3"/>
  <c r="W206" i="3"/>
  <c r="V206" i="3"/>
  <c r="O206" i="3"/>
  <c r="N206" i="3"/>
  <c r="AN206" i="3"/>
  <c r="G206" i="3"/>
  <c r="AM206" i="3"/>
  <c r="F206" i="3"/>
  <c r="AE206" i="3"/>
  <c r="AD206" i="3"/>
  <c r="AF210" i="3" a="1"/>
  <c r="AF210" i="3" s="1"/>
  <c r="AL210" i="3"/>
  <c r="AC210" i="3"/>
  <c r="U210" i="3"/>
  <c r="M210" i="3"/>
  <c r="E210" i="3"/>
  <c r="AK210" i="3"/>
  <c r="AB210" i="3"/>
  <c r="T210" i="3"/>
  <c r="L210" i="3"/>
  <c r="D210" i="3"/>
  <c r="AJ210" i="3"/>
  <c r="AA210" i="3"/>
  <c r="S210" i="3"/>
  <c r="K210" i="3"/>
  <c r="AI210" i="3"/>
  <c r="Z210" i="3"/>
  <c r="R210" i="3"/>
  <c r="J210" i="3"/>
  <c r="AH210" i="3"/>
  <c r="Y210" i="3"/>
  <c r="Q210" i="3"/>
  <c r="I210" i="3"/>
  <c r="AG210" i="3"/>
  <c r="X210" i="3"/>
  <c r="P210" i="3"/>
  <c r="H210" i="3"/>
  <c r="AN210" i="3"/>
  <c r="G210" i="3"/>
  <c r="AM210" i="3"/>
  <c r="F210" i="3"/>
  <c r="AE210" i="3"/>
  <c r="AD210" i="3"/>
  <c r="W210" i="3"/>
  <c r="V210" i="3"/>
  <c r="O210" i="3"/>
  <c r="N210" i="3"/>
  <c r="AF214" i="3" a="1"/>
  <c r="AF214" i="3" s="1"/>
  <c r="AL214" i="3"/>
  <c r="AC214" i="3"/>
  <c r="U214" i="3"/>
  <c r="M214" i="3"/>
  <c r="E214" i="3"/>
  <c r="AK214" i="3"/>
  <c r="AB214" i="3"/>
  <c r="T214" i="3"/>
  <c r="L214" i="3"/>
  <c r="D214" i="3"/>
  <c r="AJ214" i="3"/>
  <c r="AA214" i="3"/>
  <c r="S214" i="3"/>
  <c r="K214" i="3"/>
  <c r="AI214" i="3"/>
  <c r="Z214" i="3"/>
  <c r="R214" i="3"/>
  <c r="J214" i="3"/>
  <c r="AH214" i="3"/>
  <c r="Y214" i="3"/>
  <c r="Q214" i="3"/>
  <c r="I214" i="3"/>
  <c r="AG214" i="3"/>
  <c r="X214" i="3"/>
  <c r="P214" i="3"/>
  <c r="H214" i="3"/>
  <c r="W214" i="3"/>
  <c r="V214" i="3"/>
  <c r="O214" i="3"/>
  <c r="N214" i="3"/>
  <c r="AN214" i="3"/>
  <c r="G214" i="3"/>
  <c r="AM214" i="3"/>
  <c r="F214" i="3"/>
  <c r="AE214" i="3"/>
  <c r="AD214" i="3"/>
  <c r="AF218" i="3" a="1"/>
  <c r="AF218" i="3" s="1"/>
  <c r="AL218" i="3"/>
  <c r="AC218" i="3"/>
  <c r="U218" i="3"/>
  <c r="M218" i="3"/>
  <c r="E218" i="3"/>
  <c r="AK218" i="3"/>
  <c r="AB218" i="3"/>
  <c r="T218" i="3"/>
  <c r="L218" i="3"/>
  <c r="D218" i="3"/>
  <c r="AJ218" i="3"/>
  <c r="AA218" i="3"/>
  <c r="S218" i="3"/>
  <c r="K218" i="3"/>
  <c r="AI218" i="3"/>
  <c r="Z218" i="3"/>
  <c r="R218" i="3"/>
  <c r="J218" i="3"/>
  <c r="AH218" i="3"/>
  <c r="Y218" i="3"/>
  <c r="Q218" i="3"/>
  <c r="I218" i="3"/>
  <c r="AG218" i="3"/>
  <c r="X218" i="3"/>
  <c r="P218" i="3"/>
  <c r="H218" i="3"/>
  <c r="AN218" i="3"/>
  <c r="G218" i="3"/>
  <c r="AM218" i="3"/>
  <c r="F218" i="3"/>
  <c r="AE218" i="3"/>
  <c r="AD218" i="3"/>
  <c r="W218" i="3"/>
  <c r="V218" i="3"/>
  <c r="O218" i="3"/>
  <c r="N218" i="3"/>
  <c r="AF222" i="3" a="1"/>
  <c r="AF222" i="3" s="1"/>
  <c r="AL222" i="3"/>
  <c r="AC222" i="3"/>
  <c r="U222" i="3"/>
  <c r="M222" i="3"/>
  <c r="E222" i="3"/>
  <c r="AK222" i="3"/>
  <c r="AB222" i="3"/>
  <c r="T222" i="3"/>
  <c r="L222" i="3"/>
  <c r="D222" i="3"/>
  <c r="AJ222" i="3"/>
  <c r="AA222" i="3"/>
  <c r="S222" i="3"/>
  <c r="K222" i="3"/>
  <c r="AI222" i="3"/>
  <c r="Z222" i="3"/>
  <c r="R222" i="3"/>
  <c r="J222" i="3"/>
  <c r="AH222" i="3"/>
  <c r="Y222" i="3"/>
  <c r="Q222" i="3"/>
  <c r="I222" i="3"/>
  <c r="AG222" i="3"/>
  <c r="X222" i="3"/>
  <c r="P222" i="3"/>
  <c r="H222" i="3"/>
  <c r="W222" i="3"/>
  <c r="V222" i="3"/>
  <c r="O222" i="3"/>
  <c r="N222" i="3"/>
  <c r="AN222" i="3"/>
  <c r="G222" i="3"/>
  <c r="AM222" i="3"/>
  <c r="F222" i="3"/>
  <c r="AE222" i="3"/>
  <c r="AD222" i="3"/>
  <c r="AF226" i="3" a="1"/>
  <c r="AF226" i="3" s="1"/>
  <c r="AL226" i="3"/>
  <c r="AC226" i="3"/>
  <c r="U226" i="3"/>
  <c r="M226" i="3"/>
  <c r="E226" i="3"/>
  <c r="AK226" i="3"/>
  <c r="AB226" i="3"/>
  <c r="T226" i="3"/>
  <c r="L226" i="3"/>
  <c r="D226" i="3"/>
  <c r="AJ226" i="3"/>
  <c r="AA226" i="3"/>
  <c r="S226" i="3"/>
  <c r="K226" i="3"/>
  <c r="AH226" i="3"/>
  <c r="Y226" i="3"/>
  <c r="Q226" i="3"/>
  <c r="I226" i="3"/>
  <c r="AG226" i="3"/>
  <c r="X226" i="3"/>
  <c r="P226" i="3"/>
  <c r="H226" i="3"/>
  <c r="AM226" i="3"/>
  <c r="O226" i="3"/>
  <c r="AI226" i="3"/>
  <c r="N226" i="3"/>
  <c r="AE226" i="3"/>
  <c r="J226" i="3"/>
  <c r="AD226" i="3"/>
  <c r="G226" i="3"/>
  <c r="Z226" i="3"/>
  <c r="F226" i="3"/>
  <c r="W226" i="3"/>
  <c r="AN226" i="3"/>
  <c r="V226" i="3"/>
  <c r="R226" i="3"/>
  <c r="AF230" i="3" a="1"/>
  <c r="AF230" i="3" s="1"/>
  <c r="AL230" i="3"/>
  <c r="AC230" i="3"/>
  <c r="U230" i="3"/>
  <c r="M230" i="3"/>
  <c r="E230" i="3"/>
  <c r="AK230" i="3"/>
  <c r="AB230" i="3"/>
  <c r="T230" i="3"/>
  <c r="L230" i="3"/>
  <c r="D230" i="3"/>
  <c r="AJ230" i="3"/>
  <c r="AA230" i="3"/>
  <c r="S230" i="3"/>
  <c r="K230" i="3"/>
  <c r="AI230" i="3"/>
  <c r="Z230" i="3"/>
  <c r="R230" i="3"/>
  <c r="J230" i="3"/>
  <c r="AH230" i="3"/>
  <c r="Y230" i="3"/>
  <c r="Q230" i="3"/>
  <c r="I230" i="3"/>
  <c r="AG230" i="3"/>
  <c r="X230" i="3"/>
  <c r="P230" i="3"/>
  <c r="H230" i="3"/>
  <c r="AE230" i="3"/>
  <c r="AD230" i="3"/>
  <c r="W230" i="3"/>
  <c r="V230" i="3"/>
  <c r="O230" i="3"/>
  <c r="N230" i="3"/>
  <c r="AN230" i="3"/>
  <c r="AM230" i="3"/>
  <c r="G230" i="3"/>
  <c r="F230" i="3"/>
  <c r="AF234" i="3" a="1"/>
  <c r="AF234" i="3" s="1"/>
  <c r="AL234" i="3"/>
  <c r="AC234" i="3"/>
  <c r="U234" i="3"/>
  <c r="M234" i="3"/>
  <c r="E234" i="3"/>
  <c r="AK234" i="3"/>
  <c r="AB234" i="3"/>
  <c r="T234" i="3"/>
  <c r="L234" i="3"/>
  <c r="D234" i="3"/>
  <c r="AJ234" i="3"/>
  <c r="AA234" i="3"/>
  <c r="S234" i="3"/>
  <c r="K234" i="3"/>
  <c r="AI234" i="3"/>
  <c r="Z234" i="3"/>
  <c r="R234" i="3"/>
  <c r="J234" i="3"/>
  <c r="AH234" i="3"/>
  <c r="Y234" i="3"/>
  <c r="Q234" i="3"/>
  <c r="I234" i="3"/>
  <c r="AG234" i="3"/>
  <c r="X234" i="3"/>
  <c r="P234" i="3"/>
  <c r="H234" i="3"/>
  <c r="O234" i="3"/>
  <c r="N234" i="3"/>
  <c r="AN234" i="3"/>
  <c r="G234" i="3"/>
  <c r="AM234" i="3"/>
  <c r="F234" i="3"/>
  <c r="AE234" i="3"/>
  <c r="AD234" i="3"/>
  <c r="W234" i="3"/>
  <c r="V234" i="3"/>
  <c r="AF238" i="3" a="1"/>
  <c r="AF238" i="3" s="1"/>
  <c r="AL238" i="3"/>
  <c r="AC238" i="3"/>
  <c r="U238" i="3"/>
  <c r="M238" i="3"/>
  <c r="E238" i="3"/>
  <c r="AK238" i="3"/>
  <c r="AB238" i="3"/>
  <c r="T238" i="3"/>
  <c r="L238" i="3"/>
  <c r="D238" i="3"/>
  <c r="AJ238" i="3"/>
  <c r="AA238" i="3"/>
  <c r="S238" i="3"/>
  <c r="K238" i="3"/>
  <c r="AI238" i="3"/>
  <c r="Z238" i="3"/>
  <c r="R238" i="3"/>
  <c r="J238" i="3"/>
  <c r="AH238" i="3"/>
  <c r="Y238" i="3"/>
  <c r="Q238" i="3"/>
  <c r="I238" i="3"/>
  <c r="AG238" i="3"/>
  <c r="X238" i="3"/>
  <c r="P238" i="3"/>
  <c r="H238" i="3"/>
  <c r="AE238" i="3"/>
  <c r="AD238" i="3"/>
  <c r="W238" i="3"/>
  <c r="V238" i="3"/>
  <c r="O238" i="3"/>
  <c r="N238" i="3"/>
  <c r="AN238" i="3"/>
  <c r="AM238" i="3"/>
  <c r="G238" i="3"/>
  <c r="F238" i="3"/>
  <c r="AF242" i="3" a="1"/>
  <c r="AF242" i="3" s="1"/>
  <c r="AL242" i="3"/>
  <c r="AC242" i="3"/>
  <c r="U242" i="3"/>
  <c r="M242" i="3"/>
  <c r="E242" i="3"/>
  <c r="AK242" i="3"/>
  <c r="AB242" i="3"/>
  <c r="T242" i="3"/>
  <c r="L242" i="3"/>
  <c r="D242" i="3"/>
  <c r="AJ242" i="3"/>
  <c r="AA242" i="3"/>
  <c r="S242" i="3"/>
  <c r="K242" i="3"/>
  <c r="AI242" i="3"/>
  <c r="Z242" i="3"/>
  <c r="R242" i="3"/>
  <c r="J242" i="3"/>
  <c r="AH242" i="3"/>
  <c r="Y242" i="3"/>
  <c r="Q242" i="3"/>
  <c r="I242" i="3"/>
  <c r="AG242" i="3"/>
  <c r="X242" i="3"/>
  <c r="P242" i="3"/>
  <c r="H242" i="3"/>
  <c r="O242" i="3"/>
  <c r="N242" i="3"/>
  <c r="AN242" i="3"/>
  <c r="G242" i="3"/>
  <c r="AM242" i="3"/>
  <c r="F242" i="3"/>
  <c r="AE242" i="3"/>
  <c r="AD242" i="3"/>
  <c r="W242" i="3"/>
  <c r="V242" i="3"/>
  <c r="AF246" i="3" a="1"/>
  <c r="AF246" i="3" s="1"/>
  <c r="AL246" i="3"/>
  <c r="AC246" i="3"/>
  <c r="U246" i="3"/>
  <c r="M246" i="3"/>
  <c r="E246" i="3"/>
  <c r="AK246" i="3"/>
  <c r="AB246" i="3"/>
  <c r="T246" i="3"/>
  <c r="L246" i="3"/>
  <c r="D246" i="3"/>
  <c r="AJ246" i="3"/>
  <c r="AA246" i="3"/>
  <c r="S246" i="3"/>
  <c r="K246" i="3"/>
  <c r="AI246" i="3"/>
  <c r="Z246" i="3"/>
  <c r="R246" i="3"/>
  <c r="J246" i="3"/>
  <c r="AH246" i="3"/>
  <c r="Y246" i="3"/>
  <c r="Q246" i="3"/>
  <c r="I246" i="3"/>
  <c r="AG246" i="3"/>
  <c r="X246" i="3"/>
  <c r="P246" i="3"/>
  <c r="H246" i="3"/>
  <c r="AE246" i="3"/>
  <c r="AD246" i="3"/>
  <c r="W246" i="3"/>
  <c r="V246" i="3"/>
  <c r="O246" i="3"/>
  <c r="N246" i="3"/>
  <c r="G246" i="3"/>
  <c r="F246" i="3"/>
  <c r="AN246" i="3"/>
  <c r="AM246" i="3"/>
  <c r="AF250" i="3" a="1"/>
  <c r="AF250" i="3" s="1"/>
  <c r="AL250" i="3"/>
  <c r="AC250" i="3"/>
  <c r="U250" i="3"/>
  <c r="M250" i="3"/>
  <c r="E250" i="3"/>
  <c r="AK250" i="3"/>
  <c r="AB250" i="3"/>
  <c r="T250" i="3"/>
  <c r="L250" i="3"/>
  <c r="D250" i="3"/>
  <c r="AJ250" i="3"/>
  <c r="AA250" i="3"/>
  <c r="S250" i="3"/>
  <c r="K250" i="3"/>
  <c r="AI250" i="3"/>
  <c r="Z250" i="3"/>
  <c r="R250" i="3"/>
  <c r="J250" i="3"/>
  <c r="AH250" i="3"/>
  <c r="Y250" i="3"/>
  <c r="Q250" i="3"/>
  <c r="I250" i="3"/>
  <c r="AG250" i="3"/>
  <c r="X250" i="3"/>
  <c r="P250" i="3"/>
  <c r="H250" i="3"/>
  <c r="O250" i="3"/>
  <c r="N250" i="3"/>
  <c r="AN250" i="3"/>
  <c r="G250" i="3"/>
  <c r="AM250" i="3"/>
  <c r="F250" i="3"/>
  <c r="AE250" i="3"/>
  <c r="AD250" i="3"/>
  <c r="W250" i="3"/>
  <c r="V250" i="3"/>
  <c r="AF254" i="3" a="1"/>
  <c r="AF254" i="3" s="1"/>
  <c r="AL254" i="3"/>
  <c r="AC254" i="3"/>
  <c r="U254" i="3"/>
  <c r="M254" i="3"/>
  <c r="E254" i="3"/>
  <c r="AK254" i="3"/>
  <c r="AB254" i="3"/>
  <c r="T254" i="3"/>
  <c r="L254" i="3"/>
  <c r="D254" i="3"/>
  <c r="AJ254" i="3"/>
  <c r="AA254" i="3"/>
  <c r="S254" i="3"/>
  <c r="K254" i="3"/>
  <c r="AI254" i="3"/>
  <c r="Z254" i="3"/>
  <c r="R254" i="3"/>
  <c r="J254" i="3"/>
  <c r="AH254" i="3"/>
  <c r="Y254" i="3"/>
  <c r="Q254" i="3"/>
  <c r="I254" i="3"/>
  <c r="AG254" i="3"/>
  <c r="X254" i="3"/>
  <c r="P254" i="3"/>
  <c r="H254" i="3"/>
  <c r="AE254" i="3"/>
  <c r="AD254" i="3"/>
  <c r="W254" i="3"/>
  <c r="V254" i="3"/>
  <c r="O254" i="3"/>
  <c r="N254" i="3"/>
  <c r="AN254" i="3"/>
  <c r="AM254" i="3"/>
  <c r="G254" i="3"/>
  <c r="F254" i="3"/>
  <c r="AF258" i="3" a="1"/>
  <c r="AF258" i="3" s="1"/>
  <c r="AL258" i="3"/>
  <c r="AC258" i="3"/>
  <c r="U258" i="3"/>
  <c r="M258" i="3"/>
  <c r="E258" i="3"/>
  <c r="AK258" i="3"/>
  <c r="AB258" i="3"/>
  <c r="T258" i="3"/>
  <c r="L258" i="3"/>
  <c r="D258" i="3"/>
  <c r="AJ258" i="3"/>
  <c r="AA258" i="3"/>
  <c r="S258" i="3"/>
  <c r="K258" i="3"/>
  <c r="AI258" i="3"/>
  <c r="Z258" i="3"/>
  <c r="R258" i="3"/>
  <c r="J258" i="3"/>
  <c r="AH258" i="3"/>
  <c r="Y258" i="3"/>
  <c r="Q258" i="3"/>
  <c r="I258" i="3"/>
  <c r="AG258" i="3"/>
  <c r="X258" i="3"/>
  <c r="P258" i="3"/>
  <c r="H258" i="3"/>
  <c r="O258" i="3"/>
  <c r="N258" i="3"/>
  <c r="AN258" i="3"/>
  <c r="G258" i="3"/>
  <c r="AM258" i="3"/>
  <c r="F258" i="3"/>
  <c r="AE258" i="3"/>
  <c r="AD258" i="3"/>
  <c r="W258" i="3"/>
  <c r="V258" i="3"/>
  <c r="AF262" i="3" a="1"/>
  <c r="AF262" i="3" s="1"/>
  <c r="AL262" i="3"/>
  <c r="AC262" i="3"/>
  <c r="U262" i="3"/>
  <c r="M262" i="3"/>
  <c r="E262" i="3"/>
  <c r="AK262" i="3"/>
  <c r="AB262" i="3"/>
  <c r="T262" i="3"/>
  <c r="L262" i="3"/>
  <c r="D262" i="3"/>
  <c r="AJ262" i="3"/>
  <c r="AA262" i="3"/>
  <c r="S262" i="3"/>
  <c r="K262" i="3"/>
  <c r="AI262" i="3"/>
  <c r="Z262" i="3"/>
  <c r="R262" i="3"/>
  <c r="J262" i="3"/>
  <c r="AH262" i="3"/>
  <c r="Y262" i="3"/>
  <c r="Q262" i="3"/>
  <c r="I262" i="3"/>
  <c r="AG262" i="3"/>
  <c r="X262" i="3"/>
  <c r="P262" i="3"/>
  <c r="H262" i="3"/>
  <c r="AE262" i="3"/>
  <c r="AD262" i="3"/>
  <c r="W262" i="3"/>
  <c r="V262" i="3"/>
  <c r="O262" i="3"/>
  <c r="N262" i="3"/>
  <c r="AN262" i="3"/>
  <c r="AM262" i="3"/>
  <c r="G262" i="3"/>
  <c r="F262" i="3"/>
  <c r="AF266" i="3" a="1"/>
  <c r="AF266" i="3" s="1"/>
  <c r="AL266" i="3"/>
  <c r="AC266" i="3"/>
  <c r="U266" i="3"/>
  <c r="M266" i="3"/>
  <c r="E266" i="3"/>
  <c r="AK266" i="3"/>
  <c r="AB266" i="3"/>
  <c r="T266" i="3"/>
  <c r="L266" i="3"/>
  <c r="D266" i="3"/>
  <c r="AJ266" i="3"/>
  <c r="AA266" i="3"/>
  <c r="S266" i="3"/>
  <c r="K266" i="3"/>
  <c r="AI266" i="3"/>
  <c r="Z266" i="3"/>
  <c r="R266" i="3"/>
  <c r="J266" i="3"/>
  <c r="AH266" i="3"/>
  <c r="Y266" i="3"/>
  <c r="Q266" i="3"/>
  <c r="I266" i="3"/>
  <c r="AG266" i="3"/>
  <c r="X266" i="3"/>
  <c r="P266" i="3"/>
  <c r="H266" i="3"/>
  <c r="O266" i="3"/>
  <c r="N266" i="3"/>
  <c r="AN266" i="3"/>
  <c r="G266" i="3"/>
  <c r="AM266" i="3"/>
  <c r="F266" i="3"/>
  <c r="AE266" i="3"/>
  <c r="AD266" i="3"/>
  <c r="W266" i="3"/>
  <c r="V266" i="3"/>
  <c r="AF270" i="3" a="1"/>
  <c r="AF270" i="3" s="1"/>
  <c r="AL270" i="3"/>
  <c r="AC270" i="3"/>
  <c r="U270" i="3"/>
  <c r="M270" i="3"/>
  <c r="E270" i="3"/>
  <c r="AK270" i="3"/>
  <c r="AB270" i="3"/>
  <c r="T270" i="3"/>
  <c r="L270" i="3"/>
  <c r="D270" i="3"/>
  <c r="AJ270" i="3"/>
  <c r="AA270" i="3"/>
  <c r="S270" i="3"/>
  <c r="K270" i="3"/>
  <c r="AI270" i="3"/>
  <c r="Z270" i="3"/>
  <c r="R270" i="3"/>
  <c r="J270" i="3"/>
  <c r="AH270" i="3"/>
  <c r="Y270" i="3"/>
  <c r="Q270" i="3"/>
  <c r="I270" i="3"/>
  <c r="AG270" i="3"/>
  <c r="X270" i="3"/>
  <c r="P270" i="3"/>
  <c r="H270" i="3"/>
  <c r="AE270" i="3"/>
  <c r="AD270" i="3"/>
  <c r="W270" i="3"/>
  <c r="V270" i="3"/>
  <c r="O270" i="3"/>
  <c r="N270" i="3"/>
  <c r="AN270" i="3"/>
  <c r="AM270" i="3"/>
  <c r="G270" i="3"/>
  <c r="F270" i="3"/>
  <c r="AF274" i="3" a="1"/>
  <c r="AF274" i="3" s="1"/>
  <c r="AL274" i="3"/>
  <c r="AC274" i="3"/>
  <c r="U274" i="3"/>
  <c r="M274" i="3"/>
  <c r="E274" i="3"/>
  <c r="AK274" i="3"/>
  <c r="AB274" i="3"/>
  <c r="T274" i="3"/>
  <c r="L274" i="3"/>
  <c r="D274" i="3"/>
  <c r="AJ274" i="3"/>
  <c r="AA274" i="3"/>
  <c r="S274" i="3"/>
  <c r="K274" i="3"/>
  <c r="AI274" i="3"/>
  <c r="Z274" i="3"/>
  <c r="R274" i="3"/>
  <c r="J274" i="3"/>
  <c r="AH274" i="3"/>
  <c r="Y274" i="3"/>
  <c r="Q274" i="3"/>
  <c r="I274" i="3"/>
  <c r="AG274" i="3"/>
  <c r="X274" i="3"/>
  <c r="P274" i="3"/>
  <c r="H274" i="3"/>
  <c r="O274" i="3"/>
  <c r="N274" i="3"/>
  <c r="AN274" i="3"/>
  <c r="G274" i="3"/>
  <c r="AM274" i="3"/>
  <c r="F274" i="3"/>
  <c r="AE274" i="3"/>
  <c r="AD274" i="3"/>
  <c r="W274" i="3"/>
  <c r="V274" i="3"/>
  <c r="AF278" i="3" a="1"/>
  <c r="AF278" i="3" s="1"/>
  <c r="AI278" i="3"/>
  <c r="Z278" i="3"/>
  <c r="R278" i="3"/>
  <c r="J278" i="3"/>
  <c r="AH278" i="3"/>
  <c r="Y278" i="3"/>
  <c r="Q278" i="3"/>
  <c r="I278" i="3"/>
  <c r="AG278" i="3"/>
  <c r="X278" i="3"/>
  <c r="P278" i="3"/>
  <c r="H278" i="3"/>
  <c r="AM278" i="3"/>
  <c r="AD278" i="3"/>
  <c r="V278" i="3"/>
  <c r="N278" i="3"/>
  <c r="F278" i="3"/>
  <c r="AL278" i="3"/>
  <c r="AC278" i="3"/>
  <c r="U278" i="3"/>
  <c r="M278" i="3"/>
  <c r="E278" i="3"/>
  <c r="AK278" i="3"/>
  <c r="O278" i="3"/>
  <c r="AJ278" i="3"/>
  <c r="L278" i="3"/>
  <c r="AE278" i="3"/>
  <c r="K278" i="3"/>
  <c r="AB278" i="3"/>
  <c r="G278" i="3"/>
  <c r="AA278" i="3"/>
  <c r="D278" i="3"/>
  <c r="W278" i="3"/>
  <c r="AN278" i="3"/>
  <c r="T278" i="3"/>
  <c r="S278" i="3"/>
  <c r="AF282" i="3" a="1"/>
  <c r="AF282" i="3" s="1"/>
  <c r="AI282" i="3"/>
  <c r="Z282" i="3"/>
  <c r="R282" i="3"/>
  <c r="J282" i="3"/>
  <c r="AH282" i="3"/>
  <c r="Y282" i="3"/>
  <c r="Q282" i="3"/>
  <c r="I282" i="3"/>
  <c r="AG282" i="3"/>
  <c r="X282" i="3"/>
  <c r="P282" i="3"/>
  <c r="H282" i="3"/>
  <c r="AM282" i="3"/>
  <c r="AD282" i="3"/>
  <c r="V282" i="3"/>
  <c r="N282" i="3"/>
  <c r="F282" i="3"/>
  <c r="AL282" i="3"/>
  <c r="AC282" i="3"/>
  <c r="U282" i="3"/>
  <c r="M282" i="3"/>
  <c r="E282" i="3"/>
  <c r="T282" i="3"/>
  <c r="AN282" i="3"/>
  <c r="S282" i="3"/>
  <c r="AK282" i="3"/>
  <c r="O282" i="3"/>
  <c r="AJ282" i="3"/>
  <c r="L282" i="3"/>
  <c r="AE282" i="3"/>
  <c r="K282" i="3"/>
  <c r="AB282" i="3"/>
  <c r="G282" i="3"/>
  <c r="D282" i="3"/>
  <c r="AA282" i="3"/>
  <c r="W282" i="3"/>
  <c r="AF286" i="3" a="1"/>
  <c r="AF286" i="3" s="1"/>
  <c r="AI286" i="3"/>
  <c r="Z286" i="3"/>
  <c r="R286" i="3"/>
  <c r="J286" i="3"/>
  <c r="AH286" i="3"/>
  <c r="Y286" i="3"/>
  <c r="Q286" i="3"/>
  <c r="I286" i="3"/>
  <c r="AG286" i="3"/>
  <c r="X286" i="3"/>
  <c r="P286" i="3"/>
  <c r="H286" i="3"/>
  <c r="AM286" i="3"/>
  <c r="AD286" i="3"/>
  <c r="V286" i="3"/>
  <c r="N286" i="3"/>
  <c r="F286" i="3"/>
  <c r="AL286" i="3"/>
  <c r="AC286" i="3"/>
  <c r="U286" i="3"/>
  <c r="M286" i="3"/>
  <c r="E286" i="3"/>
  <c r="AA286" i="3"/>
  <c r="D286" i="3"/>
  <c r="W286" i="3"/>
  <c r="T286" i="3"/>
  <c r="AN286" i="3"/>
  <c r="S286" i="3"/>
  <c r="AK286" i="3"/>
  <c r="O286" i="3"/>
  <c r="AJ286" i="3"/>
  <c r="L286" i="3"/>
  <c r="AE286" i="3"/>
  <c r="AB286" i="3"/>
  <c r="K286" i="3"/>
  <c r="G286" i="3"/>
  <c r="AF290" i="3" a="1"/>
  <c r="AF290" i="3" s="1"/>
  <c r="AI290" i="3"/>
  <c r="Z290" i="3"/>
  <c r="R290" i="3"/>
  <c r="J290" i="3"/>
  <c r="AH290" i="3"/>
  <c r="Y290" i="3"/>
  <c r="Q290" i="3"/>
  <c r="I290" i="3"/>
  <c r="AG290" i="3"/>
  <c r="X290" i="3"/>
  <c r="P290" i="3"/>
  <c r="H290" i="3"/>
  <c r="AM290" i="3"/>
  <c r="AD290" i="3"/>
  <c r="V290" i="3"/>
  <c r="N290" i="3"/>
  <c r="F290" i="3"/>
  <c r="AL290" i="3"/>
  <c r="AC290" i="3"/>
  <c r="U290" i="3"/>
  <c r="M290" i="3"/>
  <c r="E290" i="3"/>
  <c r="AE290" i="3"/>
  <c r="K290" i="3"/>
  <c r="AB290" i="3"/>
  <c r="G290" i="3"/>
  <c r="AA290" i="3"/>
  <c r="D290" i="3"/>
  <c r="W290" i="3"/>
  <c r="T290" i="3"/>
  <c r="AN290" i="3"/>
  <c r="S290" i="3"/>
  <c r="AK290" i="3"/>
  <c r="AJ290" i="3"/>
  <c r="O290" i="3"/>
  <c r="L290" i="3"/>
  <c r="AF294" i="3" a="1"/>
  <c r="AF294" i="3" s="1"/>
  <c r="AI294" i="3"/>
  <c r="Z294" i="3"/>
  <c r="R294" i="3"/>
  <c r="J294" i="3"/>
  <c r="AH294" i="3"/>
  <c r="Y294" i="3"/>
  <c r="Q294" i="3"/>
  <c r="I294" i="3"/>
  <c r="AG294" i="3"/>
  <c r="X294" i="3"/>
  <c r="P294" i="3"/>
  <c r="H294" i="3"/>
  <c r="AM294" i="3"/>
  <c r="AD294" i="3"/>
  <c r="V294" i="3"/>
  <c r="N294" i="3"/>
  <c r="F294" i="3"/>
  <c r="AL294" i="3"/>
  <c r="AC294" i="3"/>
  <c r="U294" i="3"/>
  <c r="M294" i="3"/>
  <c r="E294" i="3"/>
  <c r="AK294" i="3"/>
  <c r="O294" i="3"/>
  <c r="AJ294" i="3"/>
  <c r="L294" i="3"/>
  <c r="AE294" i="3"/>
  <c r="K294" i="3"/>
  <c r="AB294" i="3"/>
  <c r="G294" i="3"/>
  <c r="AA294" i="3"/>
  <c r="D294" i="3"/>
  <c r="W294" i="3"/>
  <c r="AN294" i="3"/>
  <c r="T294" i="3"/>
  <c r="S294" i="3"/>
  <c r="AF298" i="3" a="1"/>
  <c r="AF298" i="3" s="1"/>
  <c r="AI298" i="3"/>
  <c r="Z298" i="3"/>
  <c r="R298" i="3"/>
  <c r="J298" i="3"/>
  <c r="AH298" i="3"/>
  <c r="Y298" i="3"/>
  <c r="Q298" i="3"/>
  <c r="I298" i="3"/>
  <c r="AG298" i="3"/>
  <c r="X298" i="3"/>
  <c r="P298" i="3"/>
  <c r="H298" i="3"/>
  <c r="AM298" i="3"/>
  <c r="AD298" i="3"/>
  <c r="V298" i="3"/>
  <c r="N298" i="3"/>
  <c r="F298" i="3"/>
  <c r="AL298" i="3"/>
  <c r="AC298" i="3"/>
  <c r="U298" i="3"/>
  <c r="M298" i="3"/>
  <c r="E298" i="3"/>
  <c r="T298" i="3"/>
  <c r="AN298" i="3"/>
  <c r="S298" i="3"/>
  <c r="AK298" i="3"/>
  <c r="O298" i="3"/>
  <c r="AJ298" i="3"/>
  <c r="L298" i="3"/>
  <c r="AE298" i="3"/>
  <c r="K298" i="3"/>
  <c r="AB298" i="3"/>
  <c r="G298" i="3"/>
  <c r="AA298" i="3"/>
  <c r="W298" i="3"/>
  <c r="D298" i="3"/>
  <c r="AF302" i="3" a="1"/>
  <c r="AF302" i="3" s="1"/>
  <c r="AI302" i="3"/>
  <c r="Z302" i="3"/>
  <c r="R302" i="3"/>
  <c r="J302" i="3"/>
  <c r="AH302" i="3"/>
  <c r="Y302" i="3"/>
  <c r="Q302" i="3"/>
  <c r="I302" i="3"/>
  <c r="AG302" i="3"/>
  <c r="X302" i="3"/>
  <c r="P302" i="3"/>
  <c r="H302" i="3"/>
  <c r="AM302" i="3"/>
  <c r="AD302" i="3"/>
  <c r="V302" i="3"/>
  <c r="N302" i="3"/>
  <c r="F302" i="3"/>
  <c r="AL302" i="3"/>
  <c r="AC302" i="3"/>
  <c r="U302" i="3"/>
  <c r="M302" i="3"/>
  <c r="E302" i="3"/>
  <c r="AA302" i="3"/>
  <c r="D302" i="3"/>
  <c r="W302" i="3"/>
  <c r="T302" i="3"/>
  <c r="AN302" i="3"/>
  <c r="S302" i="3"/>
  <c r="AK302" i="3"/>
  <c r="O302" i="3"/>
  <c r="AJ302" i="3"/>
  <c r="L302" i="3"/>
  <c r="AE302" i="3"/>
  <c r="AB302" i="3"/>
  <c r="K302" i="3"/>
  <c r="G302" i="3"/>
  <c r="AF306" i="3" a="1"/>
  <c r="AF306" i="3" s="1"/>
  <c r="AI306" i="3"/>
  <c r="Z306" i="3"/>
  <c r="R306" i="3"/>
  <c r="J306" i="3"/>
  <c r="AH306" i="3"/>
  <c r="Y306" i="3"/>
  <c r="Q306" i="3"/>
  <c r="I306" i="3"/>
  <c r="AG306" i="3"/>
  <c r="X306" i="3"/>
  <c r="P306" i="3"/>
  <c r="H306" i="3"/>
  <c r="AM306" i="3"/>
  <c r="AD306" i="3"/>
  <c r="V306" i="3"/>
  <c r="N306" i="3"/>
  <c r="F306" i="3"/>
  <c r="AL306" i="3"/>
  <c r="AC306" i="3"/>
  <c r="U306" i="3"/>
  <c r="M306" i="3"/>
  <c r="E306" i="3"/>
  <c r="AE306" i="3"/>
  <c r="K306" i="3"/>
  <c r="AB306" i="3"/>
  <c r="G306" i="3"/>
  <c r="AA306" i="3"/>
  <c r="D306" i="3"/>
  <c r="W306" i="3"/>
  <c r="T306" i="3"/>
  <c r="AN306" i="3"/>
  <c r="S306" i="3"/>
  <c r="AK306" i="3"/>
  <c r="AJ306" i="3"/>
  <c r="O306" i="3"/>
  <c r="L306" i="3"/>
  <c r="AF310" i="3" a="1"/>
  <c r="AF310" i="3" s="1"/>
  <c r="AI310" i="3"/>
  <c r="Z310" i="3"/>
  <c r="R310" i="3"/>
  <c r="J310" i="3"/>
  <c r="AH310" i="3"/>
  <c r="Y310" i="3"/>
  <c r="Q310" i="3"/>
  <c r="I310" i="3"/>
  <c r="AG310" i="3"/>
  <c r="X310" i="3"/>
  <c r="P310" i="3"/>
  <c r="H310" i="3"/>
  <c r="AM310" i="3"/>
  <c r="AD310" i="3"/>
  <c r="V310" i="3"/>
  <c r="N310" i="3"/>
  <c r="F310" i="3"/>
  <c r="AL310" i="3"/>
  <c r="AC310" i="3"/>
  <c r="U310" i="3"/>
  <c r="M310" i="3"/>
  <c r="E310" i="3"/>
  <c r="AK310" i="3"/>
  <c r="O310" i="3"/>
  <c r="AJ310" i="3"/>
  <c r="L310" i="3"/>
  <c r="AE310" i="3"/>
  <c r="K310" i="3"/>
  <c r="AB310" i="3"/>
  <c r="G310" i="3"/>
  <c r="AA310" i="3"/>
  <c r="D310" i="3"/>
  <c r="W310" i="3"/>
  <c r="T310" i="3"/>
  <c r="S310" i="3"/>
  <c r="AN310" i="3"/>
  <c r="AF314" i="3" a="1"/>
  <c r="AF314" i="3" s="1"/>
  <c r="AI314" i="3"/>
  <c r="Z314" i="3"/>
  <c r="R314" i="3"/>
  <c r="J314" i="3"/>
  <c r="AH314" i="3"/>
  <c r="Y314" i="3"/>
  <c r="Q314" i="3"/>
  <c r="I314" i="3"/>
  <c r="AG314" i="3"/>
  <c r="X314" i="3"/>
  <c r="P314" i="3"/>
  <c r="H314" i="3"/>
  <c r="AM314" i="3"/>
  <c r="AD314" i="3"/>
  <c r="V314" i="3"/>
  <c r="N314" i="3"/>
  <c r="F314" i="3"/>
  <c r="AL314" i="3"/>
  <c r="AC314" i="3"/>
  <c r="U314" i="3"/>
  <c r="M314" i="3"/>
  <c r="E314" i="3"/>
  <c r="T314" i="3"/>
  <c r="AN314" i="3"/>
  <c r="S314" i="3"/>
  <c r="AK314" i="3"/>
  <c r="O314" i="3"/>
  <c r="AJ314" i="3"/>
  <c r="L314" i="3"/>
  <c r="AE314" i="3"/>
  <c r="K314" i="3"/>
  <c r="AB314" i="3"/>
  <c r="G314" i="3"/>
  <c r="AA314" i="3"/>
  <c r="W314" i="3"/>
  <c r="D314" i="3"/>
  <c r="AF318" i="3" a="1"/>
  <c r="AF318" i="3" s="1"/>
  <c r="AI318" i="3"/>
  <c r="Z318" i="3"/>
  <c r="R318" i="3"/>
  <c r="J318" i="3"/>
  <c r="AH318" i="3"/>
  <c r="Y318" i="3"/>
  <c r="Q318" i="3"/>
  <c r="I318" i="3"/>
  <c r="AG318" i="3"/>
  <c r="X318" i="3"/>
  <c r="P318" i="3"/>
  <c r="H318" i="3"/>
  <c r="AM318" i="3"/>
  <c r="AD318" i="3"/>
  <c r="V318" i="3"/>
  <c r="N318" i="3"/>
  <c r="F318" i="3"/>
  <c r="AL318" i="3"/>
  <c r="AC318" i="3"/>
  <c r="U318" i="3"/>
  <c r="M318" i="3"/>
  <c r="E318" i="3"/>
  <c r="AA318" i="3"/>
  <c r="D318" i="3"/>
  <c r="W318" i="3"/>
  <c r="T318" i="3"/>
  <c r="AN318" i="3"/>
  <c r="S318" i="3"/>
  <c r="AK318" i="3"/>
  <c r="O318" i="3"/>
  <c r="AJ318" i="3"/>
  <c r="L318" i="3"/>
  <c r="AE318" i="3"/>
  <c r="AB318" i="3"/>
  <c r="K318" i="3"/>
  <c r="G318" i="3"/>
  <c r="AF322" i="3" a="1"/>
  <c r="AF322" i="3" s="1"/>
  <c r="AH322" i="3"/>
  <c r="Y322" i="3"/>
  <c r="Q322" i="3"/>
  <c r="I322" i="3"/>
  <c r="AG322" i="3"/>
  <c r="X322" i="3"/>
  <c r="P322" i="3"/>
  <c r="H322" i="3"/>
  <c r="AN322" i="3"/>
  <c r="AE322" i="3"/>
  <c r="W322" i="3"/>
  <c r="O322" i="3"/>
  <c r="G322" i="3"/>
  <c r="AL322" i="3"/>
  <c r="AC322" i="3"/>
  <c r="U322" i="3"/>
  <c r="M322" i="3"/>
  <c r="E322" i="3"/>
  <c r="AA322" i="3"/>
  <c r="K322" i="3"/>
  <c r="Z322" i="3"/>
  <c r="J322" i="3"/>
  <c r="AM322" i="3"/>
  <c r="V322" i="3"/>
  <c r="F322" i="3"/>
  <c r="AJ322" i="3"/>
  <c r="S322" i="3"/>
  <c r="AI322" i="3"/>
  <c r="R322" i="3"/>
  <c r="D322" i="3"/>
  <c r="AK322" i="3"/>
  <c r="AD322" i="3"/>
  <c r="AB322" i="3"/>
  <c r="T322" i="3"/>
  <c r="N322" i="3"/>
  <c r="L322" i="3"/>
  <c r="AF326" i="3" a="1"/>
  <c r="AF326" i="3" s="1"/>
  <c r="AH326" i="3"/>
  <c r="Y326" i="3"/>
  <c r="Q326" i="3"/>
  <c r="I326" i="3"/>
  <c r="AG326" i="3"/>
  <c r="X326" i="3"/>
  <c r="P326" i="3"/>
  <c r="H326" i="3"/>
  <c r="AN326" i="3"/>
  <c r="AE326" i="3"/>
  <c r="W326" i="3"/>
  <c r="O326" i="3"/>
  <c r="G326" i="3"/>
  <c r="AL326" i="3"/>
  <c r="AC326" i="3"/>
  <c r="U326" i="3"/>
  <c r="M326" i="3"/>
  <c r="E326" i="3"/>
  <c r="AA326" i="3"/>
  <c r="K326" i="3"/>
  <c r="Z326" i="3"/>
  <c r="J326" i="3"/>
  <c r="AM326" i="3"/>
  <c r="V326" i="3"/>
  <c r="F326" i="3"/>
  <c r="AJ326" i="3"/>
  <c r="S326" i="3"/>
  <c r="AI326" i="3"/>
  <c r="R326" i="3"/>
  <c r="AD326" i="3"/>
  <c r="AB326" i="3"/>
  <c r="T326" i="3"/>
  <c r="N326" i="3"/>
  <c r="L326" i="3"/>
  <c r="D326" i="3"/>
  <c r="AK326" i="3"/>
  <c r="AF330" i="3" a="1"/>
  <c r="AF330" i="3" s="1"/>
  <c r="AH330" i="3"/>
  <c r="Y330" i="3"/>
  <c r="Q330" i="3"/>
  <c r="I330" i="3"/>
  <c r="AG330" i="3"/>
  <c r="X330" i="3"/>
  <c r="P330" i="3"/>
  <c r="H330" i="3"/>
  <c r="AN330" i="3"/>
  <c r="AE330" i="3"/>
  <c r="W330" i="3"/>
  <c r="O330" i="3"/>
  <c r="G330" i="3"/>
  <c r="AL330" i="3"/>
  <c r="AC330" i="3"/>
  <c r="U330" i="3"/>
  <c r="M330" i="3"/>
  <c r="E330" i="3"/>
  <c r="AA330" i="3"/>
  <c r="K330" i="3"/>
  <c r="Z330" i="3"/>
  <c r="J330" i="3"/>
  <c r="AM330" i="3"/>
  <c r="V330" i="3"/>
  <c r="F330" i="3"/>
  <c r="AJ330" i="3"/>
  <c r="S330" i="3"/>
  <c r="AI330" i="3"/>
  <c r="R330" i="3"/>
  <c r="N330" i="3"/>
  <c r="L330" i="3"/>
  <c r="D330" i="3"/>
  <c r="AK330" i="3"/>
  <c r="AD330" i="3"/>
  <c r="AB330" i="3"/>
  <c r="T330" i="3"/>
  <c r="AF334" i="3" a="1"/>
  <c r="AF334" i="3" s="1"/>
  <c r="AH334" i="3"/>
  <c r="Y334" i="3"/>
  <c r="Q334" i="3"/>
  <c r="I334" i="3"/>
  <c r="AG334" i="3"/>
  <c r="X334" i="3"/>
  <c r="P334" i="3"/>
  <c r="H334" i="3"/>
  <c r="AN334" i="3"/>
  <c r="AE334" i="3"/>
  <c r="W334" i="3"/>
  <c r="O334" i="3"/>
  <c r="G334" i="3"/>
  <c r="AL334" i="3"/>
  <c r="AC334" i="3"/>
  <c r="U334" i="3"/>
  <c r="M334" i="3"/>
  <c r="E334" i="3"/>
  <c r="AA334" i="3"/>
  <c r="K334" i="3"/>
  <c r="Z334" i="3"/>
  <c r="J334" i="3"/>
  <c r="AM334" i="3"/>
  <c r="V334" i="3"/>
  <c r="F334" i="3"/>
  <c r="AJ334" i="3"/>
  <c r="S334" i="3"/>
  <c r="AI334" i="3"/>
  <c r="R334" i="3"/>
  <c r="AK334" i="3"/>
  <c r="AD334" i="3"/>
  <c r="AB334" i="3"/>
  <c r="T334" i="3"/>
  <c r="N334" i="3"/>
  <c r="L334" i="3"/>
  <c r="D334" i="3"/>
  <c r="AF338" i="3" a="1"/>
  <c r="AF338" i="3" s="1"/>
  <c r="AH338" i="3"/>
  <c r="Y338" i="3"/>
  <c r="Q338" i="3"/>
  <c r="I338" i="3"/>
  <c r="AG338" i="3"/>
  <c r="X338" i="3"/>
  <c r="P338" i="3"/>
  <c r="H338" i="3"/>
  <c r="AN338" i="3"/>
  <c r="AE338" i="3"/>
  <c r="W338" i="3"/>
  <c r="O338" i="3"/>
  <c r="G338" i="3"/>
  <c r="AL338" i="3"/>
  <c r="AC338" i="3"/>
  <c r="U338" i="3"/>
  <c r="M338" i="3"/>
  <c r="E338" i="3"/>
  <c r="AA338" i="3"/>
  <c r="K338" i="3"/>
  <c r="Z338" i="3"/>
  <c r="J338" i="3"/>
  <c r="AM338" i="3"/>
  <c r="V338" i="3"/>
  <c r="F338" i="3"/>
  <c r="AJ338" i="3"/>
  <c r="S338" i="3"/>
  <c r="AI338" i="3"/>
  <c r="R338" i="3"/>
  <c r="AB338" i="3"/>
  <c r="T338" i="3"/>
  <c r="N338" i="3"/>
  <c r="L338" i="3"/>
  <c r="D338" i="3"/>
  <c r="AK338" i="3"/>
  <c r="AD338" i="3"/>
  <c r="AF342" i="3" a="1"/>
  <c r="AF342" i="3" s="1"/>
  <c r="AH342" i="3"/>
  <c r="Y342" i="3"/>
  <c r="Q342" i="3"/>
  <c r="I342" i="3"/>
  <c r="AG342" i="3"/>
  <c r="X342" i="3"/>
  <c r="P342" i="3"/>
  <c r="H342" i="3"/>
  <c r="AN342" i="3"/>
  <c r="AE342" i="3"/>
  <c r="W342" i="3"/>
  <c r="O342" i="3"/>
  <c r="G342" i="3"/>
  <c r="AL342" i="3"/>
  <c r="AC342" i="3"/>
  <c r="U342" i="3"/>
  <c r="M342" i="3"/>
  <c r="E342" i="3"/>
  <c r="AA342" i="3"/>
  <c r="K342" i="3"/>
  <c r="Z342" i="3"/>
  <c r="J342" i="3"/>
  <c r="AM342" i="3"/>
  <c r="V342" i="3"/>
  <c r="F342" i="3"/>
  <c r="AJ342" i="3"/>
  <c r="S342" i="3"/>
  <c r="AI342" i="3"/>
  <c r="R342" i="3"/>
  <c r="L342" i="3"/>
  <c r="D342" i="3"/>
  <c r="AK342" i="3"/>
  <c r="AD342" i="3"/>
  <c r="AB342" i="3"/>
  <c r="T342" i="3"/>
  <c r="N342" i="3"/>
  <c r="AF346" i="3" a="1"/>
  <c r="AF346" i="3" s="1"/>
  <c r="AH346" i="3"/>
  <c r="Y346" i="3"/>
  <c r="Q346" i="3"/>
  <c r="I346" i="3"/>
  <c r="AG346" i="3"/>
  <c r="X346" i="3"/>
  <c r="P346" i="3"/>
  <c r="H346" i="3"/>
  <c r="AN346" i="3"/>
  <c r="AE346" i="3"/>
  <c r="W346" i="3"/>
  <c r="O346" i="3"/>
  <c r="G346" i="3"/>
  <c r="AM346" i="3"/>
  <c r="AD346" i="3"/>
  <c r="V346" i="3"/>
  <c r="N346" i="3"/>
  <c r="F346" i="3"/>
  <c r="AL346" i="3"/>
  <c r="AC346" i="3"/>
  <c r="U346" i="3"/>
  <c r="M346" i="3"/>
  <c r="E346" i="3"/>
  <c r="S346" i="3"/>
  <c r="AK346" i="3"/>
  <c r="R346" i="3"/>
  <c r="AJ346" i="3"/>
  <c r="L346" i="3"/>
  <c r="AB346" i="3"/>
  <c r="J346" i="3"/>
  <c r="AA346" i="3"/>
  <c r="D346" i="3"/>
  <c r="T346" i="3"/>
  <c r="K346" i="3"/>
  <c r="AI346" i="3"/>
  <c r="Z346" i="3"/>
  <c r="AF350" i="3" a="1"/>
  <c r="AF350" i="3" s="1"/>
  <c r="AH350" i="3"/>
  <c r="Y350" i="3"/>
  <c r="Q350" i="3"/>
  <c r="I350" i="3"/>
  <c r="AG350" i="3"/>
  <c r="X350" i="3"/>
  <c r="P350" i="3"/>
  <c r="H350" i="3"/>
  <c r="AN350" i="3"/>
  <c r="AE350" i="3"/>
  <c r="W350" i="3"/>
  <c r="O350" i="3"/>
  <c r="G350" i="3"/>
  <c r="AM350" i="3"/>
  <c r="AD350" i="3"/>
  <c r="V350" i="3"/>
  <c r="N350" i="3"/>
  <c r="F350" i="3"/>
  <c r="AL350" i="3"/>
  <c r="AC350" i="3"/>
  <c r="U350" i="3"/>
  <c r="M350" i="3"/>
  <c r="E350" i="3"/>
  <c r="Z350" i="3"/>
  <c r="T350" i="3"/>
  <c r="S350" i="3"/>
  <c r="AJ350" i="3"/>
  <c r="L350" i="3"/>
  <c r="AI350" i="3"/>
  <c r="K350" i="3"/>
  <c r="AK350" i="3"/>
  <c r="AB350" i="3"/>
  <c r="AA350" i="3"/>
  <c r="R350" i="3"/>
  <c r="J350" i="3"/>
  <c r="D350" i="3"/>
  <c r="AF354" i="3" a="1"/>
  <c r="AF354" i="3" s="1"/>
  <c r="AH354" i="3"/>
  <c r="Y354" i="3"/>
  <c r="Q354" i="3"/>
  <c r="I354" i="3"/>
  <c r="AG354" i="3"/>
  <c r="X354" i="3"/>
  <c r="P354" i="3"/>
  <c r="H354" i="3"/>
  <c r="AN354" i="3"/>
  <c r="AE354" i="3"/>
  <c r="W354" i="3"/>
  <c r="O354" i="3"/>
  <c r="G354" i="3"/>
  <c r="AM354" i="3"/>
  <c r="AD354" i="3"/>
  <c r="V354" i="3"/>
  <c r="N354" i="3"/>
  <c r="F354" i="3"/>
  <c r="AL354" i="3"/>
  <c r="AC354" i="3"/>
  <c r="U354" i="3"/>
  <c r="M354" i="3"/>
  <c r="E354" i="3"/>
  <c r="AB354" i="3"/>
  <c r="J354" i="3"/>
  <c r="AA354" i="3"/>
  <c r="D354" i="3"/>
  <c r="Z354" i="3"/>
  <c r="S354" i="3"/>
  <c r="AK354" i="3"/>
  <c r="R354" i="3"/>
  <c r="L354" i="3"/>
  <c r="K354" i="3"/>
  <c r="AJ354" i="3"/>
  <c r="AI354" i="3"/>
  <c r="T354" i="3"/>
  <c r="AF358" i="3" a="1"/>
  <c r="AF358" i="3" s="1"/>
  <c r="AH358" i="3"/>
  <c r="Y358" i="3"/>
  <c r="Q358" i="3"/>
  <c r="I358" i="3"/>
  <c r="AG358" i="3"/>
  <c r="X358" i="3"/>
  <c r="P358" i="3"/>
  <c r="H358" i="3"/>
  <c r="AN358" i="3"/>
  <c r="AE358" i="3"/>
  <c r="W358" i="3"/>
  <c r="O358" i="3"/>
  <c r="G358" i="3"/>
  <c r="AM358" i="3"/>
  <c r="AD358" i="3"/>
  <c r="V358" i="3"/>
  <c r="N358" i="3"/>
  <c r="F358" i="3"/>
  <c r="AL358" i="3"/>
  <c r="AC358" i="3"/>
  <c r="U358" i="3"/>
  <c r="M358" i="3"/>
  <c r="E358" i="3"/>
  <c r="AJ358" i="3"/>
  <c r="L358" i="3"/>
  <c r="AI358" i="3"/>
  <c r="K358" i="3"/>
  <c r="AB358" i="3"/>
  <c r="J358" i="3"/>
  <c r="Z358" i="3"/>
  <c r="T358" i="3"/>
  <c r="AK358" i="3"/>
  <c r="AA358" i="3"/>
  <c r="S358" i="3"/>
  <c r="R358" i="3"/>
  <c r="D358" i="3"/>
  <c r="AF362" i="3" a="1"/>
  <c r="AF362" i="3" s="1"/>
  <c r="AH362" i="3"/>
  <c r="Y362" i="3"/>
  <c r="Q362" i="3"/>
  <c r="I362" i="3"/>
  <c r="AG362" i="3"/>
  <c r="X362" i="3"/>
  <c r="P362" i="3"/>
  <c r="H362" i="3"/>
  <c r="AN362" i="3"/>
  <c r="AE362" i="3"/>
  <c r="W362" i="3"/>
  <c r="O362" i="3"/>
  <c r="G362" i="3"/>
  <c r="AM362" i="3"/>
  <c r="AD362" i="3"/>
  <c r="V362" i="3"/>
  <c r="N362" i="3"/>
  <c r="F362" i="3"/>
  <c r="AL362" i="3"/>
  <c r="AC362" i="3"/>
  <c r="U362" i="3"/>
  <c r="M362" i="3"/>
  <c r="E362" i="3"/>
  <c r="S362" i="3"/>
  <c r="AK362" i="3"/>
  <c r="R362" i="3"/>
  <c r="AJ362" i="3"/>
  <c r="L362" i="3"/>
  <c r="AB362" i="3"/>
  <c r="J362" i="3"/>
  <c r="AA362" i="3"/>
  <c r="D362" i="3"/>
  <c r="K362" i="3"/>
  <c r="AI362" i="3"/>
  <c r="Z362" i="3"/>
  <c r="T362" i="3"/>
  <c r="AF366" i="3" a="1"/>
  <c r="AF366" i="3" s="1"/>
  <c r="AH366" i="3"/>
  <c r="Y366" i="3"/>
  <c r="Q366" i="3"/>
  <c r="I366" i="3"/>
  <c r="AG366" i="3"/>
  <c r="X366" i="3"/>
  <c r="P366" i="3"/>
  <c r="H366" i="3"/>
  <c r="AN366" i="3"/>
  <c r="AE366" i="3"/>
  <c r="W366" i="3"/>
  <c r="O366" i="3"/>
  <c r="G366" i="3"/>
  <c r="AM366" i="3"/>
  <c r="AD366" i="3"/>
  <c r="V366" i="3"/>
  <c r="N366" i="3"/>
  <c r="F366" i="3"/>
  <c r="AL366" i="3"/>
  <c r="AC366" i="3"/>
  <c r="U366" i="3"/>
  <c r="M366" i="3"/>
  <c r="E366" i="3"/>
  <c r="Z366" i="3"/>
  <c r="T366" i="3"/>
  <c r="S366" i="3"/>
  <c r="AJ366" i="3"/>
  <c r="L366" i="3"/>
  <c r="AI366" i="3"/>
  <c r="K366" i="3"/>
  <c r="AK366" i="3"/>
  <c r="AB366" i="3"/>
  <c r="AA366" i="3"/>
  <c r="R366" i="3"/>
  <c r="J366" i="3"/>
  <c r="D366" i="3"/>
  <c r="AF370" i="3" a="1"/>
  <c r="AF370" i="3" s="1"/>
  <c r="AH370" i="3"/>
  <c r="Y370" i="3"/>
  <c r="Q370" i="3"/>
  <c r="I370" i="3"/>
  <c r="AG370" i="3"/>
  <c r="X370" i="3"/>
  <c r="P370" i="3"/>
  <c r="H370" i="3"/>
  <c r="AN370" i="3"/>
  <c r="AE370" i="3"/>
  <c r="W370" i="3"/>
  <c r="O370" i="3"/>
  <c r="G370" i="3"/>
  <c r="AM370" i="3"/>
  <c r="AD370" i="3"/>
  <c r="V370" i="3"/>
  <c r="N370" i="3"/>
  <c r="F370" i="3"/>
  <c r="AL370" i="3"/>
  <c r="AC370" i="3"/>
  <c r="U370" i="3"/>
  <c r="M370" i="3"/>
  <c r="E370" i="3"/>
  <c r="AB370" i="3"/>
  <c r="J370" i="3"/>
  <c r="AA370" i="3"/>
  <c r="D370" i="3"/>
  <c r="Z370" i="3"/>
  <c r="S370" i="3"/>
  <c r="AK370" i="3"/>
  <c r="R370" i="3"/>
  <c r="K370" i="3"/>
  <c r="AJ370" i="3"/>
  <c r="AI370" i="3"/>
  <c r="T370" i="3"/>
  <c r="L370" i="3"/>
  <c r="AF374" i="3" a="1"/>
  <c r="AF374" i="3" s="1"/>
  <c r="AH374" i="3"/>
  <c r="Y374" i="3"/>
  <c r="Q374" i="3"/>
  <c r="I374" i="3"/>
  <c r="AG374" i="3"/>
  <c r="X374" i="3"/>
  <c r="P374" i="3"/>
  <c r="H374" i="3"/>
  <c r="AN374" i="3"/>
  <c r="AE374" i="3"/>
  <c r="W374" i="3"/>
  <c r="O374" i="3"/>
  <c r="G374" i="3"/>
  <c r="AM374" i="3"/>
  <c r="AD374" i="3"/>
  <c r="V374" i="3"/>
  <c r="N374" i="3"/>
  <c r="F374" i="3"/>
  <c r="AL374" i="3"/>
  <c r="AC374" i="3"/>
  <c r="U374" i="3"/>
  <c r="M374" i="3"/>
  <c r="E374" i="3"/>
  <c r="AJ374" i="3"/>
  <c r="L374" i="3"/>
  <c r="AI374" i="3"/>
  <c r="K374" i="3"/>
  <c r="AB374" i="3"/>
  <c r="J374" i="3"/>
  <c r="Z374" i="3"/>
  <c r="T374" i="3"/>
  <c r="AK374" i="3"/>
  <c r="AA374" i="3"/>
  <c r="S374" i="3"/>
  <c r="R374" i="3"/>
  <c r="D374" i="3"/>
  <c r="AF378" i="3" a="1"/>
  <c r="AF378" i="3" s="1"/>
  <c r="AH378" i="3"/>
  <c r="Y378" i="3"/>
  <c r="Q378" i="3"/>
  <c r="I378" i="3"/>
  <c r="AG378" i="3"/>
  <c r="X378" i="3"/>
  <c r="P378" i="3"/>
  <c r="H378" i="3"/>
  <c r="AN378" i="3"/>
  <c r="AE378" i="3"/>
  <c r="W378" i="3"/>
  <c r="O378" i="3"/>
  <c r="G378" i="3"/>
  <c r="AM378" i="3"/>
  <c r="AD378" i="3"/>
  <c r="V378" i="3"/>
  <c r="N378" i="3"/>
  <c r="F378" i="3"/>
  <c r="AL378" i="3"/>
  <c r="AC378" i="3"/>
  <c r="U378" i="3"/>
  <c r="M378" i="3"/>
  <c r="E378" i="3"/>
  <c r="AK378" i="3"/>
  <c r="AB378" i="3"/>
  <c r="T378" i="3"/>
  <c r="L378" i="3"/>
  <c r="D378" i="3"/>
  <c r="AA378" i="3"/>
  <c r="Z378" i="3"/>
  <c r="S378" i="3"/>
  <c r="R378" i="3"/>
  <c r="K378" i="3"/>
  <c r="AI378" i="3"/>
  <c r="J378" i="3"/>
  <c r="AJ378" i="3"/>
  <c r="AF382" i="3" a="1"/>
  <c r="AF382" i="3" s="1"/>
  <c r="AH382" i="3"/>
  <c r="Y382" i="3"/>
  <c r="Q382" i="3"/>
  <c r="I382" i="3"/>
  <c r="AG382" i="3"/>
  <c r="X382" i="3"/>
  <c r="P382" i="3"/>
  <c r="H382" i="3"/>
  <c r="AN382" i="3"/>
  <c r="AE382" i="3"/>
  <c r="W382" i="3"/>
  <c r="O382" i="3"/>
  <c r="G382" i="3"/>
  <c r="AM382" i="3"/>
  <c r="AD382" i="3"/>
  <c r="V382" i="3"/>
  <c r="N382" i="3"/>
  <c r="F382" i="3"/>
  <c r="AL382" i="3"/>
  <c r="AC382" i="3"/>
  <c r="U382" i="3"/>
  <c r="M382" i="3"/>
  <c r="E382" i="3"/>
  <c r="AK382" i="3"/>
  <c r="AB382" i="3"/>
  <c r="T382" i="3"/>
  <c r="L382" i="3"/>
  <c r="D382" i="3"/>
  <c r="K382" i="3"/>
  <c r="J382" i="3"/>
  <c r="AJ382" i="3"/>
  <c r="AI382" i="3"/>
  <c r="AA382" i="3"/>
  <c r="Z382" i="3"/>
  <c r="R382" i="3"/>
  <c r="S382" i="3"/>
  <c r="AF386" i="3" a="1"/>
  <c r="AF386" i="3" s="1"/>
  <c r="AH386" i="3"/>
  <c r="Y386" i="3"/>
  <c r="Q386" i="3"/>
  <c r="I386" i="3"/>
  <c r="AG386" i="3"/>
  <c r="X386" i="3"/>
  <c r="P386" i="3"/>
  <c r="H386" i="3"/>
  <c r="AN386" i="3"/>
  <c r="AE386" i="3"/>
  <c r="W386" i="3"/>
  <c r="O386" i="3"/>
  <c r="G386" i="3"/>
  <c r="AM386" i="3"/>
  <c r="AD386" i="3"/>
  <c r="V386" i="3"/>
  <c r="N386" i="3"/>
  <c r="F386" i="3"/>
  <c r="AL386" i="3"/>
  <c r="AC386" i="3"/>
  <c r="U386" i="3"/>
  <c r="M386" i="3"/>
  <c r="E386" i="3"/>
  <c r="AK386" i="3"/>
  <c r="AB386" i="3"/>
  <c r="T386" i="3"/>
  <c r="L386" i="3"/>
  <c r="D386" i="3"/>
  <c r="AA386" i="3"/>
  <c r="Z386" i="3"/>
  <c r="S386" i="3"/>
  <c r="R386" i="3"/>
  <c r="K386" i="3"/>
  <c r="AJ386" i="3"/>
  <c r="AI386" i="3"/>
  <c r="J386" i="3"/>
  <c r="AF390" i="3" a="1"/>
  <c r="AF390" i="3" s="1"/>
  <c r="AH390" i="3"/>
  <c r="Y390" i="3"/>
  <c r="Q390" i="3"/>
  <c r="I390" i="3"/>
  <c r="AG390" i="3"/>
  <c r="X390" i="3"/>
  <c r="P390" i="3"/>
  <c r="H390" i="3"/>
  <c r="AN390" i="3"/>
  <c r="AE390" i="3"/>
  <c r="W390" i="3"/>
  <c r="O390" i="3"/>
  <c r="G390" i="3"/>
  <c r="AM390" i="3"/>
  <c r="AD390" i="3"/>
  <c r="V390" i="3"/>
  <c r="N390" i="3"/>
  <c r="F390" i="3"/>
  <c r="AL390" i="3"/>
  <c r="AC390" i="3"/>
  <c r="U390" i="3"/>
  <c r="M390" i="3"/>
  <c r="E390" i="3"/>
  <c r="AK390" i="3"/>
  <c r="AB390" i="3"/>
  <c r="T390" i="3"/>
  <c r="L390" i="3"/>
  <c r="D390" i="3"/>
  <c r="K390" i="3"/>
  <c r="J390" i="3"/>
  <c r="AJ390" i="3"/>
  <c r="AI390" i="3"/>
  <c r="AA390" i="3"/>
  <c r="S390" i="3"/>
  <c r="R390" i="3"/>
  <c r="Z390" i="3"/>
  <c r="AF394" i="3" a="1"/>
  <c r="AF394" i="3" s="1"/>
  <c r="AH394" i="3"/>
  <c r="Y394" i="3"/>
  <c r="Q394" i="3"/>
  <c r="I394" i="3"/>
  <c r="AG394" i="3"/>
  <c r="X394" i="3"/>
  <c r="P394" i="3"/>
  <c r="H394" i="3"/>
  <c r="AN394" i="3"/>
  <c r="AE394" i="3"/>
  <c r="W394" i="3"/>
  <c r="O394" i="3"/>
  <c r="G394" i="3"/>
  <c r="AM394" i="3"/>
  <c r="AD394" i="3"/>
  <c r="V394" i="3"/>
  <c r="N394" i="3"/>
  <c r="F394" i="3"/>
  <c r="AL394" i="3"/>
  <c r="AC394" i="3"/>
  <c r="U394" i="3"/>
  <c r="M394" i="3"/>
  <c r="E394" i="3"/>
  <c r="AK394" i="3"/>
  <c r="AB394" i="3"/>
  <c r="T394" i="3"/>
  <c r="L394" i="3"/>
  <c r="D394" i="3"/>
  <c r="AA394" i="3"/>
  <c r="Z394" i="3"/>
  <c r="S394" i="3"/>
  <c r="R394" i="3"/>
  <c r="K394" i="3"/>
  <c r="AJ394" i="3"/>
  <c r="AI394" i="3"/>
  <c r="J394" i="3"/>
  <c r="AF398" i="3" a="1"/>
  <c r="AF398" i="3" s="1"/>
  <c r="AH398" i="3"/>
  <c r="Y398" i="3"/>
  <c r="Q398" i="3"/>
  <c r="I398" i="3"/>
  <c r="AG398" i="3"/>
  <c r="X398" i="3"/>
  <c r="P398" i="3"/>
  <c r="H398" i="3"/>
  <c r="AN398" i="3"/>
  <c r="AE398" i="3"/>
  <c r="W398" i="3"/>
  <c r="O398" i="3"/>
  <c r="G398" i="3"/>
  <c r="AM398" i="3"/>
  <c r="AD398" i="3"/>
  <c r="V398" i="3"/>
  <c r="N398" i="3"/>
  <c r="F398" i="3"/>
  <c r="AL398" i="3"/>
  <c r="AC398" i="3"/>
  <c r="U398" i="3"/>
  <c r="M398" i="3"/>
  <c r="E398" i="3"/>
  <c r="AK398" i="3"/>
  <c r="AB398" i="3"/>
  <c r="T398" i="3"/>
  <c r="L398" i="3"/>
  <c r="D398" i="3"/>
  <c r="K398" i="3"/>
  <c r="J398" i="3"/>
  <c r="AJ398" i="3"/>
  <c r="AI398" i="3"/>
  <c r="AA398" i="3"/>
  <c r="Z398" i="3"/>
  <c r="S398" i="3"/>
  <c r="R398" i="3"/>
  <c r="AF402" i="3" a="1"/>
  <c r="AF402" i="3" s="1"/>
  <c r="AH402" i="3"/>
  <c r="Y402" i="3"/>
  <c r="Q402" i="3"/>
  <c r="I402" i="3"/>
  <c r="AG402" i="3"/>
  <c r="X402" i="3"/>
  <c r="P402" i="3"/>
  <c r="H402" i="3"/>
  <c r="AN402" i="3"/>
  <c r="AE402" i="3"/>
  <c r="W402" i="3"/>
  <c r="O402" i="3"/>
  <c r="G402" i="3"/>
  <c r="AM402" i="3"/>
  <c r="AD402" i="3"/>
  <c r="V402" i="3"/>
  <c r="N402" i="3"/>
  <c r="F402" i="3"/>
  <c r="AL402" i="3"/>
  <c r="AC402" i="3"/>
  <c r="U402" i="3"/>
  <c r="M402" i="3"/>
  <c r="E402" i="3"/>
  <c r="AK402" i="3"/>
  <c r="AB402" i="3"/>
  <c r="T402" i="3"/>
  <c r="L402" i="3"/>
  <c r="D402" i="3"/>
  <c r="AA402" i="3"/>
  <c r="Z402" i="3"/>
  <c r="S402" i="3"/>
  <c r="R402" i="3"/>
  <c r="K402" i="3"/>
  <c r="J402" i="3"/>
  <c r="AJ402" i="3"/>
  <c r="AI402" i="3"/>
  <c r="AF406" i="3" a="1"/>
  <c r="AF406" i="3" s="1"/>
  <c r="AH406" i="3"/>
  <c r="Y406" i="3"/>
  <c r="Q406" i="3"/>
  <c r="I406" i="3"/>
  <c r="AG406" i="3"/>
  <c r="X406" i="3"/>
  <c r="P406" i="3"/>
  <c r="H406" i="3"/>
  <c r="AN406" i="3"/>
  <c r="AE406" i="3"/>
  <c r="W406" i="3"/>
  <c r="O406" i="3"/>
  <c r="G406" i="3"/>
  <c r="AM406" i="3"/>
  <c r="AD406" i="3"/>
  <c r="V406" i="3"/>
  <c r="N406" i="3"/>
  <c r="F406" i="3"/>
  <c r="AL406" i="3"/>
  <c r="AC406" i="3"/>
  <c r="U406" i="3"/>
  <c r="M406" i="3"/>
  <c r="E406" i="3"/>
  <c r="AK406" i="3"/>
  <c r="AB406" i="3"/>
  <c r="T406" i="3"/>
  <c r="L406" i="3"/>
  <c r="D406" i="3"/>
  <c r="K406" i="3"/>
  <c r="J406" i="3"/>
  <c r="AJ406" i="3"/>
  <c r="AI406" i="3"/>
  <c r="AA406" i="3"/>
  <c r="Z406" i="3"/>
  <c r="S406" i="3"/>
  <c r="R406" i="3"/>
  <c r="AF410" i="3" a="1"/>
  <c r="AF410" i="3" s="1"/>
  <c r="AH410" i="3"/>
  <c r="Y410" i="3"/>
  <c r="Q410" i="3"/>
  <c r="I410" i="3"/>
  <c r="AG410" i="3"/>
  <c r="X410" i="3"/>
  <c r="P410" i="3"/>
  <c r="H410" i="3"/>
  <c r="AN410" i="3"/>
  <c r="AE410" i="3"/>
  <c r="W410" i="3"/>
  <c r="O410" i="3"/>
  <c r="G410" i="3"/>
  <c r="AM410" i="3"/>
  <c r="AD410" i="3"/>
  <c r="V410" i="3"/>
  <c r="N410" i="3"/>
  <c r="F410" i="3"/>
  <c r="AL410" i="3"/>
  <c r="AC410" i="3"/>
  <c r="U410" i="3"/>
  <c r="M410" i="3"/>
  <c r="E410" i="3"/>
  <c r="AK410" i="3"/>
  <c r="AB410" i="3"/>
  <c r="T410" i="3"/>
  <c r="L410" i="3"/>
  <c r="D410" i="3"/>
  <c r="AA410" i="3"/>
  <c r="Z410" i="3"/>
  <c r="S410" i="3"/>
  <c r="R410" i="3"/>
  <c r="K410" i="3"/>
  <c r="AI410" i="3"/>
  <c r="J410" i="3"/>
  <c r="AJ410" i="3"/>
  <c r="AF414" i="3" a="1"/>
  <c r="AF414" i="3" s="1"/>
  <c r="AH414" i="3"/>
  <c r="Y414" i="3"/>
  <c r="Q414" i="3"/>
  <c r="I414" i="3"/>
  <c r="AG414" i="3"/>
  <c r="X414" i="3"/>
  <c r="P414" i="3"/>
  <c r="H414" i="3"/>
  <c r="AN414" i="3"/>
  <c r="AE414" i="3"/>
  <c r="W414" i="3"/>
  <c r="O414" i="3"/>
  <c r="G414" i="3"/>
  <c r="AM414" i="3"/>
  <c r="AD414" i="3"/>
  <c r="V414" i="3"/>
  <c r="N414" i="3"/>
  <c r="F414" i="3"/>
  <c r="AL414" i="3"/>
  <c r="AC414" i="3"/>
  <c r="U414" i="3"/>
  <c r="M414" i="3"/>
  <c r="E414" i="3"/>
  <c r="AK414" i="3"/>
  <c r="AB414" i="3"/>
  <c r="T414" i="3"/>
  <c r="L414" i="3"/>
  <c r="D414" i="3"/>
  <c r="K414" i="3"/>
  <c r="J414" i="3"/>
  <c r="AJ414" i="3"/>
  <c r="AI414" i="3"/>
  <c r="AA414" i="3"/>
  <c r="R414" i="3"/>
  <c r="Z414" i="3"/>
  <c r="S414" i="3"/>
  <c r="AF418" i="3" a="1"/>
  <c r="AF418" i="3" s="1"/>
  <c r="AH418" i="3"/>
  <c r="Y418" i="3"/>
  <c r="Q418" i="3"/>
  <c r="I418" i="3"/>
  <c r="AG418" i="3"/>
  <c r="X418" i="3"/>
  <c r="P418" i="3"/>
  <c r="H418" i="3"/>
  <c r="AN418" i="3"/>
  <c r="AE418" i="3"/>
  <c r="W418" i="3"/>
  <c r="O418" i="3"/>
  <c r="G418" i="3"/>
  <c r="AM418" i="3"/>
  <c r="AD418" i="3"/>
  <c r="V418" i="3"/>
  <c r="N418" i="3"/>
  <c r="F418" i="3"/>
  <c r="AL418" i="3"/>
  <c r="AC418" i="3"/>
  <c r="U418" i="3"/>
  <c r="M418" i="3"/>
  <c r="E418" i="3"/>
  <c r="AK418" i="3"/>
  <c r="AB418" i="3"/>
  <c r="T418" i="3"/>
  <c r="L418" i="3"/>
  <c r="D418" i="3"/>
  <c r="AA418" i="3"/>
  <c r="Z418" i="3"/>
  <c r="S418" i="3"/>
  <c r="R418" i="3"/>
  <c r="K418" i="3"/>
  <c r="AJ418" i="3"/>
  <c r="AI418" i="3"/>
  <c r="J418" i="3"/>
  <c r="AF422" i="3" a="1"/>
  <c r="AF422" i="3" s="1"/>
  <c r="AH422" i="3"/>
  <c r="Y422" i="3"/>
  <c r="Q422" i="3"/>
  <c r="I422" i="3"/>
  <c r="AG422" i="3"/>
  <c r="X422" i="3"/>
  <c r="P422" i="3"/>
  <c r="H422" i="3"/>
  <c r="AN422" i="3"/>
  <c r="AE422" i="3"/>
  <c r="W422" i="3"/>
  <c r="O422" i="3"/>
  <c r="G422" i="3"/>
  <c r="AM422" i="3"/>
  <c r="AD422" i="3"/>
  <c r="V422" i="3"/>
  <c r="N422" i="3"/>
  <c r="F422" i="3"/>
  <c r="AL422" i="3"/>
  <c r="AC422" i="3"/>
  <c r="U422" i="3"/>
  <c r="M422" i="3"/>
  <c r="E422" i="3"/>
  <c r="AK422" i="3"/>
  <c r="AB422" i="3"/>
  <c r="T422" i="3"/>
  <c r="L422" i="3"/>
  <c r="D422" i="3"/>
  <c r="K422" i="3"/>
  <c r="J422" i="3"/>
  <c r="AJ422" i="3"/>
  <c r="AI422" i="3"/>
  <c r="AA422" i="3"/>
  <c r="S422" i="3"/>
  <c r="R422" i="3"/>
  <c r="Z422" i="3"/>
  <c r="AF426" i="3" a="1"/>
  <c r="AF426" i="3" s="1"/>
  <c r="AH426" i="3"/>
  <c r="Y426" i="3"/>
  <c r="Q426" i="3"/>
  <c r="I426" i="3"/>
  <c r="AG426" i="3"/>
  <c r="X426" i="3"/>
  <c r="P426" i="3"/>
  <c r="H426" i="3"/>
  <c r="AN426" i="3"/>
  <c r="AE426" i="3"/>
  <c r="W426" i="3"/>
  <c r="O426" i="3"/>
  <c r="G426" i="3"/>
  <c r="AM426" i="3"/>
  <c r="AD426" i="3"/>
  <c r="V426" i="3"/>
  <c r="N426" i="3"/>
  <c r="F426" i="3"/>
  <c r="AL426" i="3"/>
  <c r="AC426" i="3"/>
  <c r="U426" i="3"/>
  <c r="M426" i="3"/>
  <c r="E426" i="3"/>
  <c r="AK426" i="3"/>
  <c r="AB426" i="3"/>
  <c r="T426" i="3"/>
  <c r="L426" i="3"/>
  <c r="D426" i="3"/>
  <c r="AA426" i="3"/>
  <c r="Z426" i="3"/>
  <c r="S426" i="3"/>
  <c r="R426" i="3"/>
  <c r="K426" i="3"/>
  <c r="AJ426" i="3"/>
  <c r="J426" i="3"/>
  <c r="AI426" i="3"/>
  <c r="AF430" i="3" a="1"/>
  <c r="AF430" i="3" s="1"/>
  <c r="AH430" i="3"/>
  <c r="Y430" i="3"/>
  <c r="Q430" i="3"/>
  <c r="I430" i="3"/>
  <c r="AG430" i="3"/>
  <c r="X430" i="3"/>
  <c r="P430" i="3"/>
  <c r="H430" i="3"/>
  <c r="AN430" i="3"/>
  <c r="AE430" i="3"/>
  <c r="W430" i="3"/>
  <c r="O430" i="3"/>
  <c r="G430" i="3"/>
  <c r="AM430" i="3"/>
  <c r="AD430" i="3"/>
  <c r="V430" i="3"/>
  <c r="N430" i="3"/>
  <c r="F430" i="3"/>
  <c r="AL430" i="3"/>
  <c r="AC430" i="3"/>
  <c r="U430" i="3"/>
  <c r="M430" i="3"/>
  <c r="E430" i="3"/>
  <c r="AK430" i="3"/>
  <c r="AB430" i="3"/>
  <c r="T430" i="3"/>
  <c r="L430" i="3"/>
  <c r="D430" i="3"/>
  <c r="K430" i="3"/>
  <c r="J430" i="3"/>
  <c r="AJ430" i="3"/>
  <c r="AI430" i="3"/>
  <c r="AA430" i="3"/>
  <c r="Z430" i="3"/>
  <c r="S430" i="3"/>
  <c r="R430" i="3"/>
  <c r="AF434" i="3" a="1"/>
  <c r="AF434" i="3" s="1"/>
  <c r="AM434" i="3"/>
  <c r="AD434" i="3"/>
  <c r="V434" i="3"/>
  <c r="N434" i="3"/>
  <c r="F434" i="3"/>
  <c r="AL434" i="3"/>
  <c r="AC434" i="3"/>
  <c r="U434" i="3"/>
  <c r="M434" i="3"/>
  <c r="E434" i="3"/>
  <c r="AK434" i="3"/>
  <c r="AB434" i="3"/>
  <c r="T434" i="3"/>
  <c r="L434" i="3"/>
  <c r="D434" i="3"/>
  <c r="AI434" i="3"/>
  <c r="Z434" i="3"/>
  <c r="R434" i="3"/>
  <c r="J434" i="3"/>
  <c r="AH434" i="3"/>
  <c r="Y434" i="3"/>
  <c r="Q434" i="3"/>
  <c r="I434" i="3"/>
  <c r="AJ434" i="3"/>
  <c r="O434" i="3"/>
  <c r="AG434" i="3"/>
  <c r="K434" i="3"/>
  <c r="AE434" i="3"/>
  <c r="H434" i="3"/>
  <c r="AA434" i="3"/>
  <c r="G434" i="3"/>
  <c r="X434" i="3"/>
  <c r="W434" i="3"/>
  <c r="AN434" i="3"/>
  <c r="S434" i="3"/>
  <c r="P434" i="3"/>
  <c r="AF438" i="3" a="1"/>
  <c r="AF438" i="3" s="1"/>
  <c r="AM438" i="3"/>
  <c r="AD438" i="3"/>
  <c r="V438" i="3"/>
  <c r="N438" i="3"/>
  <c r="F438" i="3"/>
  <c r="AL438" i="3"/>
  <c r="AC438" i="3"/>
  <c r="U438" i="3"/>
  <c r="M438" i="3"/>
  <c r="E438" i="3"/>
  <c r="AK438" i="3"/>
  <c r="AB438" i="3"/>
  <c r="T438" i="3"/>
  <c r="L438" i="3"/>
  <c r="D438" i="3"/>
  <c r="AI438" i="3"/>
  <c r="Z438" i="3"/>
  <c r="R438" i="3"/>
  <c r="J438" i="3"/>
  <c r="AH438" i="3"/>
  <c r="Y438" i="3"/>
  <c r="Q438" i="3"/>
  <c r="I438" i="3"/>
  <c r="S438" i="3"/>
  <c r="AN438" i="3"/>
  <c r="P438" i="3"/>
  <c r="AJ438" i="3"/>
  <c r="O438" i="3"/>
  <c r="AG438" i="3"/>
  <c r="K438" i="3"/>
  <c r="AE438" i="3"/>
  <c r="H438" i="3"/>
  <c r="AA438" i="3"/>
  <c r="G438" i="3"/>
  <c r="X438" i="3"/>
  <c r="W438" i="3"/>
  <c r="AF442" i="3" a="1"/>
  <c r="AF442" i="3" s="1"/>
  <c r="AM442" i="3"/>
  <c r="AD442" i="3"/>
  <c r="V442" i="3"/>
  <c r="N442" i="3"/>
  <c r="F442" i="3"/>
  <c r="AL442" i="3"/>
  <c r="AC442" i="3"/>
  <c r="U442" i="3"/>
  <c r="M442" i="3"/>
  <c r="E442" i="3"/>
  <c r="AK442" i="3"/>
  <c r="AB442" i="3"/>
  <c r="T442" i="3"/>
  <c r="L442" i="3"/>
  <c r="D442" i="3"/>
  <c r="AI442" i="3"/>
  <c r="Z442" i="3"/>
  <c r="R442" i="3"/>
  <c r="J442" i="3"/>
  <c r="AH442" i="3"/>
  <c r="Y442" i="3"/>
  <c r="Q442" i="3"/>
  <c r="I442" i="3"/>
  <c r="X442" i="3"/>
  <c r="W442" i="3"/>
  <c r="S442" i="3"/>
  <c r="AN442" i="3"/>
  <c r="P442" i="3"/>
  <c r="AJ442" i="3"/>
  <c r="O442" i="3"/>
  <c r="AG442" i="3"/>
  <c r="K442" i="3"/>
  <c r="AE442" i="3"/>
  <c r="AA442" i="3"/>
  <c r="H442" i="3"/>
  <c r="G442" i="3"/>
  <c r="AF446" i="3" a="1"/>
  <c r="AF446" i="3" s="1"/>
  <c r="AM446" i="3"/>
  <c r="AD446" i="3"/>
  <c r="V446" i="3"/>
  <c r="N446" i="3"/>
  <c r="F446" i="3"/>
  <c r="AL446" i="3"/>
  <c r="AC446" i="3"/>
  <c r="U446" i="3"/>
  <c r="M446" i="3"/>
  <c r="E446" i="3"/>
  <c r="AK446" i="3"/>
  <c r="AB446" i="3"/>
  <c r="T446" i="3"/>
  <c r="L446" i="3"/>
  <c r="D446" i="3"/>
  <c r="AI446" i="3"/>
  <c r="Z446" i="3"/>
  <c r="R446" i="3"/>
  <c r="J446" i="3"/>
  <c r="AH446" i="3"/>
  <c r="Y446" i="3"/>
  <c r="Q446" i="3"/>
  <c r="I446" i="3"/>
  <c r="AE446" i="3"/>
  <c r="H446" i="3"/>
  <c r="AA446" i="3"/>
  <c r="G446" i="3"/>
  <c r="X446" i="3"/>
  <c r="W446" i="3"/>
  <c r="S446" i="3"/>
  <c r="AN446" i="3"/>
  <c r="P446" i="3"/>
  <c r="AJ446" i="3"/>
  <c r="AG446" i="3"/>
  <c r="O446" i="3"/>
  <c r="K446" i="3"/>
  <c r="AF450" i="3" a="1"/>
  <c r="AF450" i="3" s="1"/>
  <c r="AM450" i="3"/>
  <c r="AD450" i="3"/>
  <c r="V450" i="3"/>
  <c r="N450" i="3"/>
  <c r="F450" i="3"/>
  <c r="AL450" i="3"/>
  <c r="AC450" i="3"/>
  <c r="U450" i="3"/>
  <c r="M450" i="3"/>
  <c r="E450" i="3"/>
  <c r="AK450" i="3"/>
  <c r="AB450" i="3"/>
  <c r="T450" i="3"/>
  <c r="L450" i="3"/>
  <c r="D450" i="3"/>
  <c r="AI450" i="3"/>
  <c r="Z450" i="3"/>
  <c r="R450" i="3"/>
  <c r="J450" i="3"/>
  <c r="AH450" i="3"/>
  <c r="Y450" i="3"/>
  <c r="Q450" i="3"/>
  <c r="I450" i="3"/>
  <c r="AJ450" i="3"/>
  <c r="O450" i="3"/>
  <c r="AG450" i="3"/>
  <c r="K450" i="3"/>
  <c r="AE450" i="3"/>
  <c r="H450" i="3"/>
  <c r="AA450" i="3"/>
  <c r="G450" i="3"/>
  <c r="X450" i="3"/>
  <c r="W450" i="3"/>
  <c r="AN450" i="3"/>
  <c r="S450" i="3"/>
  <c r="P450" i="3"/>
  <c r="AF454" i="3" a="1"/>
  <c r="AF454" i="3" s="1"/>
  <c r="AM454" i="3"/>
  <c r="AD454" i="3"/>
  <c r="V454" i="3"/>
  <c r="N454" i="3"/>
  <c r="F454" i="3"/>
  <c r="AL454" i="3"/>
  <c r="AC454" i="3"/>
  <c r="U454" i="3"/>
  <c r="M454" i="3"/>
  <c r="E454" i="3"/>
  <c r="AK454" i="3"/>
  <c r="AB454" i="3"/>
  <c r="T454" i="3"/>
  <c r="L454" i="3"/>
  <c r="D454" i="3"/>
  <c r="AJ454" i="3"/>
  <c r="AA454" i="3"/>
  <c r="S454" i="3"/>
  <c r="K454" i="3"/>
  <c r="AI454" i="3"/>
  <c r="Z454" i="3"/>
  <c r="R454" i="3"/>
  <c r="J454" i="3"/>
  <c r="AH454" i="3"/>
  <c r="Y454" i="3"/>
  <c r="Q454" i="3"/>
  <c r="I454" i="3"/>
  <c r="P454" i="3"/>
  <c r="O454" i="3"/>
  <c r="H454" i="3"/>
  <c r="AN454" i="3"/>
  <c r="G454" i="3"/>
  <c r="AG454" i="3"/>
  <c r="AE454" i="3"/>
  <c r="X454" i="3"/>
  <c r="W454" i="3"/>
  <c r="AF458" i="3" a="1"/>
  <c r="AF458" i="3" s="1"/>
  <c r="AM458" i="3"/>
  <c r="AD458" i="3"/>
  <c r="V458" i="3"/>
  <c r="N458" i="3"/>
  <c r="F458" i="3"/>
  <c r="AL458" i="3"/>
  <c r="AC458" i="3"/>
  <c r="U458" i="3"/>
  <c r="M458" i="3"/>
  <c r="E458" i="3"/>
  <c r="AK458" i="3"/>
  <c r="AB458" i="3"/>
  <c r="T458" i="3"/>
  <c r="L458" i="3"/>
  <c r="D458" i="3"/>
  <c r="AJ458" i="3"/>
  <c r="AA458" i="3"/>
  <c r="S458" i="3"/>
  <c r="K458" i="3"/>
  <c r="AI458" i="3"/>
  <c r="Z458" i="3"/>
  <c r="R458" i="3"/>
  <c r="J458" i="3"/>
  <c r="AH458" i="3"/>
  <c r="Y458" i="3"/>
  <c r="Q458" i="3"/>
  <c r="I458" i="3"/>
  <c r="AG458" i="3"/>
  <c r="AE458" i="3"/>
  <c r="X458" i="3"/>
  <c r="W458" i="3"/>
  <c r="P458" i="3"/>
  <c r="O458" i="3"/>
  <c r="AN458" i="3"/>
  <c r="H458" i="3"/>
  <c r="G458" i="3"/>
  <c r="AF462" i="3" a="1"/>
  <c r="AF462" i="3" s="1"/>
  <c r="AM462" i="3"/>
  <c r="AD462" i="3"/>
  <c r="V462" i="3"/>
  <c r="N462" i="3"/>
  <c r="F462" i="3"/>
  <c r="AL462" i="3"/>
  <c r="AC462" i="3"/>
  <c r="U462" i="3"/>
  <c r="M462" i="3"/>
  <c r="E462" i="3"/>
  <c r="AK462" i="3"/>
  <c r="AB462" i="3"/>
  <c r="T462" i="3"/>
  <c r="L462" i="3"/>
  <c r="D462" i="3"/>
  <c r="AJ462" i="3"/>
  <c r="AA462" i="3"/>
  <c r="S462" i="3"/>
  <c r="K462" i="3"/>
  <c r="AI462" i="3"/>
  <c r="Z462" i="3"/>
  <c r="R462" i="3"/>
  <c r="J462" i="3"/>
  <c r="AH462" i="3"/>
  <c r="Y462" i="3"/>
  <c r="Q462" i="3"/>
  <c r="I462" i="3"/>
  <c r="P462" i="3"/>
  <c r="O462" i="3"/>
  <c r="H462" i="3"/>
  <c r="AN462" i="3"/>
  <c r="G462" i="3"/>
  <c r="AG462" i="3"/>
  <c r="AE462" i="3"/>
  <c r="X462" i="3"/>
  <c r="W462" i="3"/>
  <c r="AF466" i="3" a="1"/>
  <c r="AF466" i="3" s="1"/>
  <c r="AM466" i="3"/>
  <c r="AD466" i="3"/>
  <c r="V466" i="3"/>
  <c r="N466" i="3"/>
  <c r="F466" i="3"/>
  <c r="AL466" i="3"/>
  <c r="AC466" i="3"/>
  <c r="U466" i="3"/>
  <c r="M466" i="3"/>
  <c r="E466" i="3"/>
  <c r="AK466" i="3"/>
  <c r="AB466" i="3"/>
  <c r="T466" i="3"/>
  <c r="L466" i="3"/>
  <c r="D466" i="3"/>
  <c r="AJ466" i="3"/>
  <c r="AA466" i="3"/>
  <c r="S466" i="3"/>
  <c r="K466" i="3"/>
  <c r="AI466" i="3"/>
  <c r="Z466" i="3"/>
  <c r="R466" i="3"/>
  <c r="J466" i="3"/>
  <c r="AH466" i="3"/>
  <c r="Y466" i="3"/>
  <c r="Q466" i="3"/>
  <c r="I466" i="3"/>
  <c r="AG466" i="3"/>
  <c r="AE466" i="3"/>
  <c r="X466" i="3"/>
  <c r="W466" i="3"/>
  <c r="P466" i="3"/>
  <c r="O466" i="3"/>
  <c r="AN466" i="3"/>
  <c r="H466" i="3"/>
  <c r="G466" i="3"/>
  <c r="AF470" i="3" a="1"/>
  <c r="AF470" i="3" s="1"/>
  <c r="AM470" i="3"/>
  <c r="AD470" i="3"/>
  <c r="V470" i="3"/>
  <c r="N470" i="3"/>
  <c r="F470" i="3"/>
  <c r="AL470" i="3"/>
  <c r="AC470" i="3"/>
  <c r="U470" i="3"/>
  <c r="M470" i="3"/>
  <c r="E470" i="3"/>
  <c r="AK470" i="3"/>
  <c r="AB470" i="3"/>
  <c r="T470" i="3"/>
  <c r="L470" i="3"/>
  <c r="D470" i="3"/>
  <c r="AJ470" i="3"/>
  <c r="AA470" i="3"/>
  <c r="S470" i="3"/>
  <c r="K470" i="3"/>
  <c r="AI470" i="3"/>
  <c r="Z470" i="3"/>
  <c r="R470" i="3"/>
  <c r="J470" i="3"/>
  <c r="AH470" i="3"/>
  <c r="Y470" i="3"/>
  <c r="Q470" i="3"/>
  <c r="I470" i="3"/>
  <c r="P470" i="3"/>
  <c r="O470" i="3"/>
  <c r="H470" i="3"/>
  <c r="AN470" i="3"/>
  <c r="G470" i="3"/>
  <c r="AG470" i="3"/>
  <c r="AE470" i="3"/>
  <c r="X470" i="3"/>
  <c r="W470" i="3"/>
  <c r="AF474" i="3" a="1"/>
  <c r="AF474" i="3" s="1"/>
  <c r="AM474" i="3"/>
  <c r="AD474" i="3"/>
  <c r="V474" i="3"/>
  <c r="N474" i="3"/>
  <c r="F474" i="3"/>
  <c r="AL474" i="3"/>
  <c r="AC474" i="3"/>
  <c r="U474" i="3"/>
  <c r="M474" i="3"/>
  <c r="E474" i="3"/>
  <c r="AK474" i="3"/>
  <c r="AB474" i="3"/>
  <c r="T474" i="3"/>
  <c r="L474" i="3"/>
  <c r="D474" i="3"/>
  <c r="AJ474" i="3"/>
  <c r="AA474" i="3"/>
  <c r="S474" i="3"/>
  <c r="K474" i="3"/>
  <c r="AI474" i="3"/>
  <c r="Z474" i="3"/>
  <c r="R474" i="3"/>
  <c r="J474" i="3"/>
  <c r="AH474" i="3"/>
  <c r="Y474" i="3"/>
  <c r="Q474" i="3"/>
  <c r="I474" i="3"/>
  <c r="AG474" i="3"/>
  <c r="AE474" i="3"/>
  <c r="X474" i="3"/>
  <c r="W474" i="3"/>
  <c r="P474" i="3"/>
  <c r="O474" i="3"/>
  <c r="H474" i="3"/>
  <c r="G474" i="3"/>
  <c r="AN474" i="3"/>
  <c r="AF478" i="3" a="1"/>
  <c r="AF478" i="3" s="1"/>
  <c r="AM478" i="3"/>
  <c r="AD478" i="3"/>
  <c r="V478" i="3"/>
  <c r="N478" i="3"/>
  <c r="F478" i="3"/>
  <c r="AL478" i="3"/>
  <c r="AC478" i="3"/>
  <c r="U478" i="3"/>
  <c r="M478" i="3"/>
  <c r="E478" i="3"/>
  <c r="AK478" i="3"/>
  <c r="AB478" i="3"/>
  <c r="T478" i="3"/>
  <c r="L478" i="3"/>
  <c r="D478" i="3"/>
  <c r="AJ478" i="3"/>
  <c r="AA478" i="3"/>
  <c r="S478" i="3"/>
  <c r="K478" i="3"/>
  <c r="AI478" i="3"/>
  <c r="Z478" i="3"/>
  <c r="R478" i="3"/>
  <c r="J478" i="3"/>
  <c r="AH478" i="3"/>
  <c r="Y478" i="3"/>
  <c r="Q478" i="3"/>
  <c r="I478" i="3"/>
  <c r="P478" i="3"/>
  <c r="O478" i="3"/>
  <c r="H478" i="3"/>
  <c r="AN478" i="3"/>
  <c r="G478" i="3"/>
  <c r="AG478" i="3"/>
  <c r="AE478" i="3"/>
  <c r="W478" i="3"/>
  <c r="X478" i="3"/>
  <c r="AF482" i="3" a="1"/>
  <c r="AF482" i="3" s="1"/>
  <c r="AM482" i="3"/>
  <c r="AD482" i="3"/>
  <c r="V482" i="3"/>
  <c r="N482" i="3"/>
  <c r="F482" i="3"/>
  <c r="AL482" i="3"/>
  <c r="AC482" i="3"/>
  <c r="U482" i="3"/>
  <c r="M482" i="3"/>
  <c r="E482" i="3"/>
  <c r="AK482" i="3"/>
  <c r="AB482" i="3"/>
  <c r="T482" i="3"/>
  <c r="L482" i="3"/>
  <c r="D482" i="3"/>
  <c r="AJ482" i="3"/>
  <c r="AA482" i="3"/>
  <c r="S482" i="3"/>
  <c r="K482" i="3"/>
  <c r="AI482" i="3"/>
  <c r="Z482" i="3"/>
  <c r="R482" i="3"/>
  <c r="J482" i="3"/>
  <c r="AH482" i="3"/>
  <c r="Y482" i="3"/>
  <c r="Q482" i="3"/>
  <c r="I482" i="3"/>
  <c r="AG482" i="3"/>
  <c r="AE482" i="3"/>
  <c r="X482" i="3"/>
  <c r="W482" i="3"/>
  <c r="P482" i="3"/>
  <c r="O482" i="3"/>
  <c r="AN482" i="3"/>
  <c r="G482" i="3"/>
  <c r="H482" i="3"/>
  <c r="AF486" i="3" a="1"/>
  <c r="AF486" i="3" s="1"/>
  <c r="AM486" i="3"/>
  <c r="AD486" i="3"/>
  <c r="V486" i="3"/>
  <c r="N486" i="3"/>
  <c r="F486" i="3"/>
  <c r="AL486" i="3"/>
  <c r="AC486" i="3"/>
  <c r="U486" i="3"/>
  <c r="M486" i="3"/>
  <c r="E486" i="3"/>
  <c r="AK486" i="3"/>
  <c r="AB486" i="3"/>
  <c r="T486" i="3"/>
  <c r="L486" i="3"/>
  <c r="D486" i="3"/>
  <c r="AJ486" i="3"/>
  <c r="AA486" i="3"/>
  <c r="S486" i="3"/>
  <c r="K486" i="3"/>
  <c r="AI486" i="3"/>
  <c r="Z486" i="3"/>
  <c r="R486" i="3"/>
  <c r="J486" i="3"/>
  <c r="AH486" i="3"/>
  <c r="Y486" i="3"/>
  <c r="Q486" i="3"/>
  <c r="I486" i="3"/>
  <c r="P486" i="3"/>
  <c r="O486" i="3"/>
  <c r="H486" i="3"/>
  <c r="AN486" i="3"/>
  <c r="G486" i="3"/>
  <c r="AG486" i="3"/>
  <c r="AE486" i="3"/>
  <c r="X486" i="3"/>
  <c r="W486" i="3"/>
  <c r="AF490" i="3" a="1"/>
  <c r="AF490" i="3" s="1"/>
  <c r="AM490" i="3"/>
  <c r="AD490" i="3"/>
  <c r="V490" i="3"/>
  <c r="N490" i="3"/>
  <c r="F490" i="3"/>
  <c r="AL490" i="3"/>
  <c r="AC490" i="3"/>
  <c r="U490" i="3"/>
  <c r="M490" i="3"/>
  <c r="E490" i="3"/>
  <c r="AK490" i="3"/>
  <c r="AB490" i="3"/>
  <c r="T490" i="3"/>
  <c r="L490" i="3"/>
  <c r="D490" i="3"/>
  <c r="AJ490" i="3"/>
  <c r="AA490" i="3"/>
  <c r="S490" i="3"/>
  <c r="K490" i="3"/>
  <c r="AI490" i="3"/>
  <c r="Z490" i="3"/>
  <c r="R490" i="3"/>
  <c r="J490" i="3"/>
  <c r="AH490" i="3"/>
  <c r="Y490" i="3"/>
  <c r="Q490" i="3"/>
  <c r="I490" i="3"/>
  <c r="AG490" i="3"/>
  <c r="AE490" i="3"/>
  <c r="X490" i="3"/>
  <c r="W490" i="3"/>
  <c r="P490" i="3"/>
  <c r="O490" i="3"/>
  <c r="AN490" i="3"/>
  <c r="H490" i="3"/>
  <c r="G490" i="3"/>
  <c r="AF494" i="3" a="1"/>
  <c r="AF494" i="3" s="1"/>
  <c r="AM494" i="3"/>
  <c r="AD494" i="3"/>
  <c r="V494" i="3"/>
  <c r="N494" i="3"/>
  <c r="F494" i="3"/>
  <c r="AL494" i="3"/>
  <c r="AC494" i="3"/>
  <c r="U494" i="3"/>
  <c r="M494" i="3"/>
  <c r="E494" i="3"/>
  <c r="AK494" i="3"/>
  <c r="AB494" i="3"/>
  <c r="T494" i="3"/>
  <c r="L494" i="3"/>
  <c r="D494" i="3"/>
  <c r="AI494" i="3"/>
  <c r="Z494" i="3"/>
  <c r="R494" i="3"/>
  <c r="J494" i="3"/>
  <c r="AH494" i="3"/>
  <c r="AG494" i="3"/>
  <c r="P494" i="3"/>
  <c r="AE494" i="3"/>
  <c r="O494" i="3"/>
  <c r="AA494" i="3"/>
  <c r="K494" i="3"/>
  <c r="Y494" i="3"/>
  <c r="I494" i="3"/>
  <c r="X494" i="3"/>
  <c r="H494" i="3"/>
  <c r="W494" i="3"/>
  <c r="G494" i="3"/>
  <c r="AN494" i="3"/>
  <c r="AJ494" i="3"/>
  <c r="S494" i="3"/>
  <c r="Q494" i="3"/>
  <c r="AF498" i="3" a="1"/>
  <c r="AF498" i="3" s="1"/>
  <c r="AM498" i="3"/>
  <c r="AD498" i="3"/>
  <c r="V498" i="3"/>
  <c r="N498" i="3"/>
  <c r="F498" i="3"/>
  <c r="AL498" i="3"/>
  <c r="AC498" i="3"/>
  <c r="U498" i="3"/>
  <c r="M498" i="3"/>
  <c r="E498" i="3"/>
  <c r="AK498" i="3"/>
  <c r="AB498" i="3"/>
  <c r="T498" i="3"/>
  <c r="L498" i="3"/>
  <c r="D498" i="3"/>
  <c r="AI498" i="3"/>
  <c r="Z498" i="3"/>
  <c r="R498" i="3"/>
  <c r="J498" i="3"/>
  <c r="AH498" i="3"/>
  <c r="Y498" i="3"/>
  <c r="Q498" i="3"/>
  <c r="I498" i="3"/>
  <c r="AN498" i="3"/>
  <c r="P498" i="3"/>
  <c r="AJ498" i="3"/>
  <c r="O498" i="3"/>
  <c r="AG498" i="3"/>
  <c r="K498" i="3"/>
  <c r="AE498" i="3"/>
  <c r="H498" i="3"/>
  <c r="AA498" i="3"/>
  <c r="G498" i="3"/>
  <c r="X498" i="3"/>
  <c r="W498" i="3"/>
  <c r="S498" i="3"/>
  <c r="AF502" i="3" a="1"/>
  <c r="AF502" i="3" s="1"/>
  <c r="AM502" i="3"/>
  <c r="AD502" i="3"/>
  <c r="V502" i="3"/>
  <c r="N502" i="3"/>
  <c r="F502" i="3"/>
  <c r="AL502" i="3"/>
  <c r="AC502" i="3"/>
  <c r="U502" i="3"/>
  <c r="M502" i="3"/>
  <c r="E502" i="3"/>
  <c r="AK502" i="3"/>
  <c r="AB502" i="3"/>
  <c r="T502" i="3"/>
  <c r="L502" i="3"/>
  <c r="D502" i="3"/>
  <c r="AI502" i="3"/>
  <c r="Z502" i="3"/>
  <c r="R502" i="3"/>
  <c r="J502" i="3"/>
  <c r="AH502" i="3"/>
  <c r="Y502" i="3"/>
  <c r="Q502" i="3"/>
  <c r="I502" i="3"/>
  <c r="W502" i="3"/>
  <c r="S502" i="3"/>
  <c r="AN502" i="3"/>
  <c r="P502" i="3"/>
  <c r="AJ502" i="3"/>
  <c r="O502" i="3"/>
  <c r="AG502" i="3"/>
  <c r="K502" i="3"/>
  <c r="AE502" i="3"/>
  <c r="H502" i="3"/>
  <c r="G502" i="3"/>
  <c r="AA502" i="3"/>
  <c r="X502" i="3"/>
  <c r="AF506" i="3" a="1"/>
  <c r="AF506" i="3" s="1"/>
  <c r="AM506" i="3"/>
  <c r="AD506" i="3"/>
  <c r="V506" i="3"/>
  <c r="N506" i="3"/>
  <c r="F506" i="3"/>
  <c r="AL506" i="3"/>
  <c r="AC506" i="3"/>
  <c r="U506" i="3"/>
  <c r="M506" i="3"/>
  <c r="E506" i="3"/>
  <c r="AK506" i="3"/>
  <c r="AB506" i="3"/>
  <c r="T506" i="3"/>
  <c r="L506" i="3"/>
  <c r="D506" i="3"/>
  <c r="AI506" i="3"/>
  <c r="Z506" i="3"/>
  <c r="R506" i="3"/>
  <c r="J506" i="3"/>
  <c r="AH506" i="3"/>
  <c r="Y506" i="3"/>
  <c r="Q506" i="3"/>
  <c r="I506" i="3"/>
  <c r="AA506" i="3"/>
  <c r="G506" i="3"/>
  <c r="X506" i="3"/>
  <c r="W506" i="3"/>
  <c r="S506" i="3"/>
  <c r="AN506" i="3"/>
  <c r="P506" i="3"/>
  <c r="AJ506" i="3"/>
  <c r="O506" i="3"/>
  <c r="AG506" i="3"/>
  <c r="AE506" i="3"/>
  <c r="K506" i="3"/>
  <c r="H506" i="3"/>
  <c r="AF510" i="3" a="1"/>
  <c r="AF510" i="3" s="1"/>
  <c r="AM510" i="3"/>
  <c r="AD510" i="3"/>
  <c r="V510" i="3"/>
  <c r="N510" i="3"/>
  <c r="F510" i="3"/>
  <c r="AL510" i="3"/>
  <c r="AC510" i="3"/>
  <c r="U510" i="3"/>
  <c r="M510" i="3"/>
  <c r="E510" i="3"/>
  <c r="AK510" i="3"/>
  <c r="AB510" i="3"/>
  <c r="T510" i="3"/>
  <c r="L510" i="3"/>
  <c r="D510" i="3"/>
  <c r="AI510" i="3"/>
  <c r="Z510" i="3"/>
  <c r="R510" i="3"/>
  <c r="J510" i="3"/>
  <c r="AH510" i="3"/>
  <c r="Y510" i="3"/>
  <c r="Q510" i="3"/>
  <c r="I510" i="3"/>
  <c r="AG510" i="3"/>
  <c r="K510" i="3"/>
  <c r="AE510" i="3"/>
  <c r="H510" i="3"/>
  <c r="AA510" i="3"/>
  <c r="G510" i="3"/>
  <c r="X510" i="3"/>
  <c r="W510" i="3"/>
  <c r="S510" i="3"/>
  <c r="AN510" i="3"/>
  <c r="AJ510" i="3"/>
  <c r="P510" i="3"/>
  <c r="O510" i="3"/>
  <c r="AF514" i="3" a="1"/>
  <c r="AF514" i="3" s="1"/>
  <c r="AM514" i="3"/>
  <c r="AD514" i="3"/>
  <c r="V514" i="3"/>
  <c r="N514" i="3"/>
  <c r="F514" i="3"/>
  <c r="AL514" i="3"/>
  <c r="AC514" i="3"/>
  <c r="U514" i="3"/>
  <c r="M514" i="3"/>
  <c r="E514" i="3"/>
  <c r="AK514" i="3"/>
  <c r="AB514" i="3"/>
  <c r="T514" i="3"/>
  <c r="L514" i="3"/>
  <c r="D514" i="3"/>
  <c r="AI514" i="3"/>
  <c r="Z514" i="3"/>
  <c r="R514" i="3"/>
  <c r="J514" i="3"/>
  <c r="AH514" i="3"/>
  <c r="Y514" i="3"/>
  <c r="Q514" i="3"/>
  <c r="I514" i="3"/>
  <c r="AN514" i="3"/>
  <c r="P514" i="3"/>
  <c r="AJ514" i="3"/>
  <c r="O514" i="3"/>
  <c r="AG514" i="3"/>
  <c r="K514" i="3"/>
  <c r="AE514" i="3"/>
  <c r="H514" i="3"/>
  <c r="AA514" i="3"/>
  <c r="G514" i="3"/>
  <c r="X514" i="3"/>
  <c r="W514" i="3"/>
  <c r="S514" i="3"/>
  <c r="AF518" i="3" a="1"/>
  <c r="AF518" i="3" s="1"/>
  <c r="AM518" i="3"/>
  <c r="AD518" i="3"/>
  <c r="V518" i="3"/>
  <c r="N518" i="3"/>
  <c r="F518" i="3"/>
  <c r="AL518" i="3"/>
  <c r="AC518" i="3"/>
  <c r="U518" i="3"/>
  <c r="M518" i="3"/>
  <c r="E518" i="3"/>
  <c r="AK518" i="3"/>
  <c r="AB518" i="3"/>
  <c r="T518" i="3"/>
  <c r="L518" i="3"/>
  <c r="D518" i="3"/>
  <c r="AI518" i="3"/>
  <c r="Z518" i="3"/>
  <c r="R518" i="3"/>
  <c r="J518" i="3"/>
  <c r="AH518" i="3"/>
  <c r="Y518" i="3"/>
  <c r="Q518" i="3"/>
  <c r="I518" i="3"/>
  <c r="W518" i="3"/>
  <c r="S518" i="3"/>
  <c r="AN518" i="3"/>
  <c r="P518" i="3"/>
  <c r="AJ518" i="3"/>
  <c r="O518" i="3"/>
  <c r="AG518" i="3"/>
  <c r="K518" i="3"/>
  <c r="AE518" i="3"/>
  <c r="H518" i="3"/>
  <c r="AA518" i="3"/>
  <c r="X518" i="3"/>
  <c r="G518" i="3"/>
  <c r="AF522" i="3" a="1"/>
  <c r="AF522" i="3" s="1"/>
  <c r="AM522" i="3"/>
  <c r="AD522" i="3"/>
  <c r="V522" i="3"/>
  <c r="N522" i="3"/>
  <c r="F522" i="3"/>
  <c r="AL522" i="3"/>
  <c r="AC522" i="3"/>
  <c r="U522" i="3"/>
  <c r="M522" i="3"/>
  <c r="E522" i="3"/>
  <c r="AK522" i="3"/>
  <c r="AB522" i="3"/>
  <c r="T522" i="3"/>
  <c r="L522" i="3"/>
  <c r="D522" i="3"/>
  <c r="AJ522" i="3"/>
  <c r="AA522" i="3"/>
  <c r="S522" i="3"/>
  <c r="K522" i="3"/>
  <c r="AI522" i="3"/>
  <c r="Z522" i="3"/>
  <c r="R522" i="3"/>
  <c r="J522" i="3"/>
  <c r="AH522" i="3"/>
  <c r="Y522" i="3"/>
  <c r="Q522" i="3"/>
  <c r="I522" i="3"/>
  <c r="X522" i="3"/>
  <c r="W522" i="3"/>
  <c r="P522" i="3"/>
  <c r="O522" i="3"/>
  <c r="H522" i="3"/>
  <c r="AN522" i="3"/>
  <c r="G522" i="3"/>
  <c r="AG522" i="3"/>
  <c r="AE522" i="3"/>
  <c r="AF526" i="3" a="1"/>
  <c r="AF526" i="3" s="1"/>
  <c r="AI526" i="3"/>
  <c r="Z526" i="3"/>
  <c r="R526" i="3"/>
  <c r="J526" i="3"/>
  <c r="AH526" i="3"/>
  <c r="Y526" i="3"/>
  <c r="Q526" i="3"/>
  <c r="I526" i="3"/>
  <c r="AG526" i="3"/>
  <c r="X526" i="3"/>
  <c r="P526" i="3"/>
  <c r="H526" i="3"/>
  <c r="AN526" i="3"/>
  <c r="AE526" i="3"/>
  <c r="W526" i="3"/>
  <c r="O526" i="3"/>
  <c r="G526" i="3"/>
  <c r="AM526" i="3"/>
  <c r="AD526" i="3"/>
  <c r="V526" i="3"/>
  <c r="N526" i="3"/>
  <c r="F526" i="3"/>
  <c r="AL526" i="3"/>
  <c r="AC526" i="3"/>
  <c r="U526" i="3"/>
  <c r="M526" i="3"/>
  <c r="E526" i="3"/>
  <c r="AK526" i="3"/>
  <c r="D526" i="3"/>
  <c r="AJ526" i="3"/>
  <c r="AB526" i="3"/>
  <c r="AA526" i="3"/>
  <c r="T526" i="3"/>
  <c r="S526" i="3"/>
  <c r="L526" i="3"/>
  <c r="K526" i="3"/>
  <c r="AF530" i="3" a="1"/>
  <c r="AF530" i="3" s="1"/>
  <c r="AI530" i="3"/>
  <c r="Z530" i="3"/>
  <c r="R530" i="3"/>
  <c r="J530" i="3"/>
  <c r="AH530" i="3"/>
  <c r="Y530" i="3"/>
  <c r="Q530" i="3"/>
  <c r="I530" i="3"/>
  <c r="AG530" i="3"/>
  <c r="X530" i="3"/>
  <c r="P530" i="3"/>
  <c r="H530" i="3"/>
  <c r="AN530" i="3"/>
  <c r="AE530" i="3"/>
  <c r="W530" i="3"/>
  <c r="O530" i="3"/>
  <c r="G530" i="3"/>
  <c r="AM530" i="3"/>
  <c r="AD530" i="3"/>
  <c r="V530" i="3"/>
  <c r="N530" i="3"/>
  <c r="F530" i="3"/>
  <c r="AL530" i="3"/>
  <c r="AC530" i="3"/>
  <c r="U530" i="3"/>
  <c r="M530" i="3"/>
  <c r="E530" i="3"/>
  <c r="T530" i="3"/>
  <c r="S530" i="3"/>
  <c r="L530" i="3"/>
  <c r="K530" i="3"/>
  <c r="AK530" i="3"/>
  <c r="D530" i="3"/>
  <c r="AJ530" i="3"/>
  <c r="AB530" i="3"/>
  <c r="AA530" i="3"/>
  <c r="AF534" i="3" a="1"/>
  <c r="AF534" i="3" s="1"/>
  <c r="AI534" i="3"/>
  <c r="Z534" i="3"/>
  <c r="R534" i="3"/>
  <c r="J534" i="3"/>
  <c r="AH534" i="3"/>
  <c r="Y534" i="3"/>
  <c r="Q534" i="3"/>
  <c r="I534" i="3"/>
  <c r="AG534" i="3"/>
  <c r="X534" i="3"/>
  <c r="P534" i="3"/>
  <c r="H534" i="3"/>
  <c r="AN534" i="3"/>
  <c r="AE534" i="3"/>
  <c r="W534" i="3"/>
  <c r="O534" i="3"/>
  <c r="G534" i="3"/>
  <c r="AM534" i="3"/>
  <c r="AD534" i="3"/>
  <c r="V534" i="3"/>
  <c r="N534" i="3"/>
  <c r="F534" i="3"/>
  <c r="AL534" i="3"/>
  <c r="AC534" i="3"/>
  <c r="U534" i="3"/>
  <c r="M534" i="3"/>
  <c r="E534" i="3"/>
  <c r="AK534" i="3"/>
  <c r="D534" i="3"/>
  <c r="AJ534" i="3"/>
  <c r="AB534" i="3"/>
  <c r="AA534" i="3"/>
  <c r="T534" i="3"/>
  <c r="S534" i="3"/>
  <c r="L534" i="3"/>
  <c r="K534" i="3"/>
  <c r="AF538" i="3" a="1"/>
  <c r="AF538" i="3" s="1"/>
  <c r="AI538" i="3"/>
  <c r="Z538" i="3"/>
  <c r="R538" i="3"/>
  <c r="J538" i="3"/>
  <c r="AH538" i="3"/>
  <c r="Y538" i="3"/>
  <c r="Q538" i="3"/>
  <c r="I538" i="3"/>
  <c r="AG538" i="3"/>
  <c r="X538" i="3"/>
  <c r="P538" i="3"/>
  <c r="H538" i="3"/>
  <c r="AN538" i="3"/>
  <c r="AE538" i="3"/>
  <c r="W538" i="3"/>
  <c r="O538" i="3"/>
  <c r="G538" i="3"/>
  <c r="AM538" i="3"/>
  <c r="AD538" i="3"/>
  <c r="V538" i="3"/>
  <c r="N538" i="3"/>
  <c r="F538" i="3"/>
  <c r="AL538" i="3"/>
  <c r="AC538" i="3"/>
  <c r="U538" i="3"/>
  <c r="M538" i="3"/>
  <c r="E538" i="3"/>
  <c r="T538" i="3"/>
  <c r="S538" i="3"/>
  <c r="L538" i="3"/>
  <c r="K538" i="3"/>
  <c r="AK538" i="3"/>
  <c r="D538" i="3"/>
  <c r="AJ538" i="3"/>
  <c r="AB538" i="3"/>
  <c r="AA538" i="3"/>
  <c r="AF542" i="3" a="1"/>
  <c r="AF542" i="3" s="1"/>
  <c r="AI542" i="3"/>
  <c r="Z542" i="3"/>
  <c r="R542" i="3"/>
  <c r="J542" i="3"/>
  <c r="AH542" i="3"/>
  <c r="Y542" i="3"/>
  <c r="Q542" i="3"/>
  <c r="I542" i="3"/>
  <c r="AG542" i="3"/>
  <c r="X542" i="3"/>
  <c r="P542" i="3"/>
  <c r="H542" i="3"/>
  <c r="AN542" i="3"/>
  <c r="AE542" i="3"/>
  <c r="W542" i="3"/>
  <c r="O542" i="3"/>
  <c r="G542" i="3"/>
  <c r="AM542" i="3"/>
  <c r="AD542" i="3"/>
  <c r="V542" i="3"/>
  <c r="N542" i="3"/>
  <c r="F542" i="3"/>
  <c r="AL542" i="3"/>
  <c r="AC542" i="3"/>
  <c r="U542" i="3"/>
  <c r="M542" i="3"/>
  <c r="E542" i="3"/>
  <c r="AK542" i="3"/>
  <c r="D542" i="3"/>
  <c r="AJ542" i="3"/>
  <c r="AB542" i="3"/>
  <c r="AA542" i="3"/>
  <c r="T542" i="3"/>
  <c r="S542" i="3"/>
  <c r="L542" i="3"/>
  <c r="K542" i="3"/>
  <c r="AF546" i="3" a="1"/>
  <c r="AF546" i="3" s="1"/>
  <c r="AM546" i="3"/>
  <c r="AD546" i="3"/>
  <c r="V546" i="3"/>
  <c r="N546" i="3"/>
  <c r="F546" i="3"/>
  <c r="AL546" i="3"/>
  <c r="AC546" i="3"/>
  <c r="U546" i="3"/>
  <c r="M546" i="3"/>
  <c r="E546" i="3"/>
  <c r="AI546" i="3"/>
  <c r="Z546" i="3"/>
  <c r="R546" i="3"/>
  <c r="J546" i="3"/>
  <c r="AH546" i="3"/>
  <c r="Y546" i="3"/>
  <c r="Q546" i="3"/>
  <c r="I546" i="3"/>
  <c r="AB546" i="3"/>
  <c r="L546" i="3"/>
  <c r="AA546" i="3"/>
  <c r="K546" i="3"/>
  <c r="X546" i="3"/>
  <c r="H546" i="3"/>
  <c r="AN546" i="3"/>
  <c r="W546" i="3"/>
  <c r="G546" i="3"/>
  <c r="AK546" i="3"/>
  <c r="T546" i="3"/>
  <c r="D546" i="3"/>
  <c r="AJ546" i="3"/>
  <c r="S546" i="3"/>
  <c r="AG546" i="3"/>
  <c r="AE546" i="3"/>
  <c r="P546" i="3"/>
  <c r="O546" i="3"/>
  <c r="AF550" i="3" a="1"/>
  <c r="AF550" i="3" s="1"/>
  <c r="AM550" i="3"/>
  <c r="AD550" i="3"/>
  <c r="V550" i="3"/>
  <c r="N550" i="3"/>
  <c r="F550" i="3"/>
  <c r="AL550" i="3"/>
  <c r="AC550" i="3"/>
  <c r="U550" i="3"/>
  <c r="M550" i="3"/>
  <c r="E550" i="3"/>
  <c r="AI550" i="3"/>
  <c r="Z550" i="3"/>
  <c r="R550" i="3"/>
  <c r="J550" i="3"/>
  <c r="AH550" i="3"/>
  <c r="Y550" i="3"/>
  <c r="Q550" i="3"/>
  <c r="I550" i="3"/>
  <c r="AB550" i="3"/>
  <c r="L550" i="3"/>
  <c r="AA550" i="3"/>
  <c r="K550" i="3"/>
  <c r="X550" i="3"/>
  <c r="H550" i="3"/>
  <c r="AN550" i="3"/>
  <c r="W550" i="3"/>
  <c r="G550" i="3"/>
  <c r="AK550" i="3"/>
  <c r="T550" i="3"/>
  <c r="D550" i="3"/>
  <c r="AJ550" i="3"/>
  <c r="S550" i="3"/>
  <c r="P550" i="3"/>
  <c r="O550" i="3"/>
  <c r="AG550" i="3"/>
  <c r="AE550" i="3"/>
  <c r="AF554" i="3" a="1"/>
  <c r="AF554" i="3" s="1"/>
  <c r="AM554" i="3"/>
  <c r="AD554" i="3"/>
  <c r="V554" i="3"/>
  <c r="N554" i="3"/>
  <c r="F554" i="3"/>
  <c r="AL554" i="3"/>
  <c r="AC554" i="3"/>
  <c r="U554" i="3"/>
  <c r="M554" i="3"/>
  <c r="E554" i="3"/>
  <c r="AI554" i="3"/>
  <c r="Z554" i="3"/>
  <c r="R554" i="3"/>
  <c r="J554" i="3"/>
  <c r="AH554" i="3"/>
  <c r="Y554" i="3"/>
  <c r="Q554" i="3"/>
  <c r="I554" i="3"/>
  <c r="AB554" i="3"/>
  <c r="L554" i="3"/>
  <c r="AA554" i="3"/>
  <c r="K554" i="3"/>
  <c r="X554" i="3"/>
  <c r="H554" i="3"/>
  <c r="AN554" i="3"/>
  <c r="W554" i="3"/>
  <c r="G554" i="3"/>
  <c r="AK554" i="3"/>
  <c r="T554" i="3"/>
  <c r="D554" i="3"/>
  <c r="AJ554" i="3"/>
  <c r="S554" i="3"/>
  <c r="AG554" i="3"/>
  <c r="AE554" i="3"/>
  <c r="P554" i="3"/>
  <c r="O554" i="3"/>
  <c r="AF558" i="3" a="1"/>
  <c r="AF558" i="3" s="1"/>
  <c r="AM558" i="3"/>
  <c r="AD558" i="3"/>
  <c r="V558" i="3"/>
  <c r="N558" i="3"/>
  <c r="F558" i="3"/>
  <c r="AL558" i="3"/>
  <c r="AC558" i="3"/>
  <c r="U558" i="3"/>
  <c r="M558" i="3"/>
  <c r="E558" i="3"/>
  <c r="AI558" i="3"/>
  <c r="Z558" i="3"/>
  <c r="R558" i="3"/>
  <c r="J558" i="3"/>
  <c r="AH558" i="3"/>
  <c r="Y558" i="3"/>
  <c r="Q558" i="3"/>
  <c r="I558" i="3"/>
  <c r="AB558" i="3"/>
  <c r="L558" i="3"/>
  <c r="AA558" i="3"/>
  <c r="K558" i="3"/>
  <c r="X558" i="3"/>
  <c r="H558" i="3"/>
  <c r="AN558" i="3"/>
  <c r="W558" i="3"/>
  <c r="G558" i="3"/>
  <c r="AK558" i="3"/>
  <c r="T558" i="3"/>
  <c r="D558" i="3"/>
  <c r="AJ558" i="3"/>
  <c r="S558" i="3"/>
  <c r="AG558" i="3"/>
  <c r="AE558" i="3"/>
  <c r="P558" i="3"/>
  <c r="O558" i="3"/>
  <c r="AF562" i="3" a="1"/>
  <c r="AF562" i="3" s="1"/>
  <c r="AM562" i="3"/>
  <c r="AD562" i="3"/>
  <c r="V562" i="3"/>
  <c r="N562" i="3"/>
  <c r="F562" i="3"/>
  <c r="AL562" i="3"/>
  <c r="AC562" i="3"/>
  <c r="U562" i="3"/>
  <c r="M562" i="3"/>
  <c r="E562" i="3"/>
  <c r="AI562" i="3"/>
  <c r="Z562" i="3"/>
  <c r="R562" i="3"/>
  <c r="J562" i="3"/>
  <c r="AH562" i="3"/>
  <c r="Y562" i="3"/>
  <c r="Q562" i="3"/>
  <c r="I562" i="3"/>
  <c r="AB562" i="3"/>
  <c r="L562" i="3"/>
  <c r="AA562" i="3"/>
  <c r="K562" i="3"/>
  <c r="X562" i="3"/>
  <c r="H562" i="3"/>
  <c r="AN562" i="3"/>
  <c r="W562" i="3"/>
  <c r="G562" i="3"/>
  <c r="AK562" i="3"/>
  <c r="T562" i="3"/>
  <c r="D562" i="3"/>
  <c r="AJ562" i="3"/>
  <c r="S562" i="3"/>
  <c r="AG562" i="3"/>
  <c r="AE562" i="3"/>
  <c r="P562" i="3"/>
  <c r="O562" i="3"/>
  <c r="AF566" i="3" a="1"/>
  <c r="AF566" i="3" s="1"/>
  <c r="AH566" i="3"/>
  <c r="Y566" i="3"/>
  <c r="Q566" i="3"/>
  <c r="I566" i="3"/>
  <c r="AG566" i="3"/>
  <c r="X566" i="3"/>
  <c r="P566" i="3"/>
  <c r="H566" i="3"/>
  <c r="AM566" i="3"/>
  <c r="AD566" i="3"/>
  <c r="V566" i="3"/>
  <c r="N566" i="3"/>
  <c r="F566" i="3"/>
  <c r="AI566" i="3"/>
  <c r="T566" i="3"/>
  <c r="G566" i="3"/>
  <c r="AE566" i="3"/>
  <c r="S566" i="3"/>
  <c r="E566" i="3"/>
  <c r="AC566" i="3"/>
  <c r="R566" i="3"/>
  <c r="D566" i="3"/>
  <c r="AN566" i="3"/>
  <c r="AA566" i="3"/>
  <c r="M566" i="3"/>
  <c r="AL566" i="3"/>
  <c r="Z566" i="3"/>
  <c r="L566" i="3"/>
  <c r="O566" i="3"/>
  <c r="K566" i="3"/>
  <c r="J566" i="3"/>
  <c r="AK566" i="3"/>
  <c r="AJ566" i="3"/>
  <c r="AB566" i="3"/>
  <c r="W566" i="3"/>
  <c r="U566" i="3"/>
  <c r="AF570" i="3" a="1"/>
  <c r="AF570" i="3" s="1"/>
  <c r="AH570" i="3"/>
  <c r="Y570" i="3"/>
  <c r="Q570" i="3"/>
  <c r="I570" i="3"/>
  <c r="AG570" i="3"/>
  <c r="X570" i="3"/>
  <c r="P570" i="3"/>
  <c r="H570" i="3"/>
  <c r="AM570" i="3"/>
  <c r="AD570" i="3"/>
  <c r="V570" i="3"/>
  <c r="N570" i="3"/>
  <c r="F570" i="3"/>
  <c r="AC570" i="3"/>
  <c r="R570" i="3"/>
  <c r="D570" i="3"/>
  <c r="AB570" i="3"/>
  <c r="O570" i="3"/>
  <c r="AN570" i="3"/>
  <c r="AA570" i="3"/>
  <c r="M570" i="3"/>
  <c r="AK570" i="3"/>
  <c r="W570" i="3"/>
  <c r="K570" i="3"/>
  <c r="AJ570" i="3"/>
  <c r="U570" i="3"/>
  <c r="J570" i="3"/>
  <c r="G570" i="3"/>
  <c r="AL570" i="3"/>
  <c r="E570" i="3"/>
  <c r="AI570" i="3"/>
  <c r="AE570" i="3"/>
  <c r="Z570" i="3"/>
  <c r="T570" i="3"/>
  <c r="S570" i="3"/>
  <c r="L570" i="3"/>
  <c r="AF574" i="3" a="1"/>
  <c r="AF574" i="3" s="1"/>
  <c r="AI574" i="3"/>
  <c r="Z574" i="3"/>
  <c r="R574" i="3"/>
  <c r="J574" i="3"/>
  <c r="AH574" i="3"/>
  <c r="Y574" i="3"/>
  <c r="Q574" i="3"/>
  <c r="I574" i="3"/>
  <c r="AG574" i="3"/>
  <c r="X574" i="3"/>
  <c r="P574" i="3"/>
  <c r="H574" i="3"/>
  <c r="AM574" i="3"/>
  <c r="AD574" i="3"/>
  <c r="V574" i="3"/>
  <c r="N574" i="3"/>
  <c r="F574" i="3"/>
  <c r="AB574" i="3"/>
  <c r="L574" i="3"/>
  <c r="AA574" i="3"/>
  <c r="K574" i="3"/>
  <c r="AN574" i="3"/>
  <c r="W574" i="3"/>
  <c r="G574" i="3"/>
  <c r="AK574" i="3"/>
  <c r="T574" i="3"/>
  <c r="D574" i="3"/>
  <c r="AJ574" i="3"/>
  <c r="S574" i="3"/>
  <c r="M574" i="3"/>
  <c r="E574" i="3"/>
  <c r="AL574" i="3"/>
  <c r="AE574" i="3"/>
  <c r="AC574" i="3"/>
  <c r="U574" i="3"/>
  <c r="O574" i="3"/>
  <c r="AF578" i="3" a="1"/>
  <c r="AF578" i="3" s="1"/>
  <c r="AI578" i="3"/>
  <c r="Z578" i="3"/>
  <c r="R578" i="3"/>
  <c r="J578" i="3"/>
  <c r="AH578" i="3"/>
  <c r="Y578" i="3"/>
  <c r="Q578" i="3"/>
  <c r="I578" i="3"/>
  <c r="AG578" i="3"/>
  <c r="X578" i="3"/>
  <c r="P578" i="3"/>
  <c r="H578" i="3"/>
  <c r="AM578" i="3"/>
  <c r="AD578" i="3"/>
  <c r="V578" i="3"/>
  <c r="N578" i="3"/>
  <c r="F578" i="3"/>
  <c r="AB578" i="3"/>
  <c r="L578" i="3"/>
  <c r="AA578" i="3"/>
  <c r="K578" i="3"/>
  <c r="AN578" i="3"/>
  <c r="W578" i="3"/>
  <c r="G578" i="3"/>
  <c r="AK578" i="3"/>
  <c r="T578" i="3"/>
  <c r="D578" i="3"/>
  <c r="AJ578" i="3"/>
  <c r="S578" i="3"/>
  <c r="AL578" i="3"/>
  <c r="AE578" i="3"/>
  <c r="AC578" i="3"/>
  <c r="U578" i="3"/>
  <c r="O578" i="3"/>
  <c r="M578" i="3"/>
  <c r="E578" i="3"/>
  <c r="AF582" i="3" a="1"/>
  <c r="AF582" i="3" s="1"/>
  <c r="AI582" i="3"/>
  <c r="Z582" i="3"/>
  <c r="R582" i="3"/>
  <c r="J582" i="3"/>
  <c r="AH582" i="3"/>
  <c r="Y582" i="3"/>
  <c r="Q582" i="3"/>
  <c r="I582" i="3"/>
  <c r="AG582" i="3"/>
  <c r="X582" i="3"/>
  <c r="P582" i="3"/>
  <c r="H582" i="3"/>
  <c r="AN582" i="3"/>
  <c r="AE582" i="3"/>
  <c r="W582" i="3"/>
  <c r="O582" i="3"/>
  <c r="G582" i="3"/>
  <c r="AM582" i="3"/>
  <c r="AD582" i="3"/>
  <c r="V582" i="3"/>
  <c r="N582" i="3"/>
  <c r="F582" i="3"/>
  <c r="T582" i="3"/>
  <c r="AL582" i="3"/>
  <c r="S582" i="3"/>
  <c r="AK582" i="3"/>
  <c r="M582" i="3"/>
  <c r="AC582" i="3"/>
  <c r="K582" i="3"/>
  <c r="AB582" i="3"/>
  <c r="E582" i="3"/>
  <c r="AJ582" i="3"/>
  <c r="AA582" i="3"/>
  <c r="U582" i="3"/>
  <c r="L582" i="3"/>
  <c r="D582" i="3"/>
  <c r="AF586" i="3" a="1"/>
  <c r="AF586" i="3" s="1"/>
  <c r="AI586" i="3"/>
  <c r="Z586" i="3"/>
  <c r="R586" i="3"/>
  <c r="J586" i="3"/>
  <c r="AH586" i="3"/>
  <c r="Y586" i="3"/>
  <c r="Q586" i="3"/>
  <c r="I586" i="3"/>
  <c r="AG586" i="3"/>
  <c r="X586" i="3"/>
  <c r="P586" i="3"/>
  <c r="H586" i="3"/>
  <c r="AN586" i="3"/>
  <c r="AE586" i="3"/>
  <c r="W586" i="3"/>
  <c r="O586" i="3"/>
  <c r="G586" i="3"/>
  <c r="AM586" i="3"/>
  <c r="AD586" i="3"/>
  <c r="V586" i="3"/>
  <c r="N586" i="3"/>
  <c r="F586" i="3"/>
  <c r="AA586" i="3"/>
  <c r="D586" i="3"/>
  <c r="U586" i="3"/>
  <c r="T586" i="3"/>
  <c r="AK586" i="3"/>
  <c r="M586" i="3"/>
  <c r="AJ586" i="3"/>
  <c r="L586" i="3"/>
  <c r="AB586" i="3"/>
  <c r="S586" i="3"/>
  <c r="K586" i="3"/>
  <c r="E586" i="3"/>
  <c r="AL586" i="3"/>
  <c r="AC586" i="3"/>
  <c r="AF590" i="3" a="1"/>
  <c r="AF590" i="3" s="1"/>
  <c r="AG590" i="3"/>
  <c r="AN590" i="3"/>
  <c r="AE590" i="3"/>
  <c r="W590" i="3"/>
  <c r="AL590" i="3"/>
  <c r="AC590" i="3"/>
  <c r="AK590" i="3"/>
  <c r="AB590" i="3"/>
  <c r="AA590" i="3"/>
  <c r="R590" i="3"/>
  <c r="J590" i="3"/>
  <c r="Z590" i="3"/>
  <c r="Q590" i="3"/>
  <c r="I590" i="3"/>
  <c r="Y590" i="3"/>
  <c r="P590" i="3"/>
  <c r="H590" i="3"/>
  <c r="AM590" i="3"/>
  <c r="X590" i="3"/>
  <c r="O590" i="3"/>
  <c r="G590" i="3"/>
  <c r="AJ590" i="3"/>
  <c r="V590" i="3"/>
  <c r="N590" i="3"/>
  <c r="F590" i="3"/>
  <c r="AI590" i="3"/>
  <c r="K590" i="3"/>
  <c r="AH590" i="3"/>
  <c r="E590" i="3"/>
  <c r="AD590" i="3"/>
  <c r="D590" i="3"/>
  <c r="T590" i="3"/>
  <c r="S590" i="3"/>
  <c r="U590" i="3"/>
  <c r="M590" i="3"/>
  <c r="L590" i="3"/>
  <c r="AF594" i="3" a="1"/>
  <c r="AF594" i="3" s="1"/>
  <c r="AG594" i="3"/>
  <c r="X594" i="3"/>
  <c r="P594" i="3"/>
  <c r="H594" i="3"/>
  <c r="AN594" i="3"/>
  <c r="AE594" i="3"/>
  <c r="W594" i="3"/>
  <c r="O594" i="3"/>
  <c r="G594" i="3"/>
  <c r="AL594" i="3"/>
  <c r="AC594" i="3"/>
  <c r="U594" i="3"/>
  <c r="M594" i="3"/>
  <c r="E594" i="3"/>
  <c r="AK594" i="3"/>
  <c r="AB594" i="3"/>
  <c r="T594" i="3"/>
  <c r="L594" i="3"/>
  <c r="D594" i="3"/>
  <c r="AA594" i="3"/>
  <c r="K594" i="3"/>
  <c r="Z594" i="3"/>
  <c r="J594" i="3"/>
  <c r="Y594" i="3"/>
  <c r="I594" i="3"/>
  <c r="AM594" i="3"/>
  <c r="V594" i="3"/>
  <c r="F594" i="3"/>
  <c r="AJ594" i="3"/>
  <c r="S594" i="3"/>
  <c r="R594" i="3"/>
  <c r="Q594" i="3"/>
  <c r="N594" i="3"/>
  <c r="AI594" i="3"/>
  <c r="AH594" i="3"/>
  <c r="AD594" i="3"/>
  <c r="AF598" i="3" a="1"/>
  <c r="AF598" i="3" s="1"/>
  <c r="AH598" i="3"/>
  <c r="Y598" i="3"/>
  <c r="Q598" i="3"/>
  <c r="I598" i="3"/>
  <c r="AG598" i="3"/>
  <c r="X598" i="3"/>
  <c r="P598" i="3"/>
  <c r="H598" i="3"/>
  <c r="AN598" i="3"/>
  <c r="AE598" i="3"/>
  <c r="W598" i="3"/>
  <c r="O598" i="3"/>
  <c r="G598" i="3"/>
  <c r="AL598" i="3"/>
  <c r="AC598" i="3"/>
  <c r="U598" i="3"/>
  <c r="M598" i="3"/>
  <c r="E598" i="3"/>
  <c r="AK598" i="3"/>
  <c r="AB598" i="3"/>
  <c r="T598" i="3"/>
  <c r="L598" i="3"/>
  <c r="D598" i="3"/>
  <c r="Z598" i="3"/>
  <c r="V598" i="3"/>
  <c r="S598" i="3"/>
  <c r="AM598" i="3"/>
  <c r="R598" i="3"/>
  <c r="AJ598" i="3"/>
  <c r="N598" i="3"/>
  <c r="K598" i="3"/>
  <c r="J598" i="3"/>
  <c r="F598" i="3"/>
  <c r="AI598" i="3"/>
  <c r="AD598" i="3"/>
  <c r="AA598" i="3"/>
  <c r="AF602" i="3" a="1"/>
  <c r="AF602" i="3" s="1"/>
  <c r="AH602" i="3"/>
  <c r="Y602" i="3"/>
  <c r="Q602" i="3"/>
  <c r="I602" i="3"/>
  <c r="AG602" i="3"/>
  <c r="X602" i="3"/>
  <c r="P602" i="3"/>
  <c r="H602" i="3"/>
  <c r="AN602" i="3"/>
  <c r="AE602" i="3"/>
  <c r="W602" i="3"/>
  <c r="O602" i="3"/>
  <c r="G602" i="3"/>
  <c r="AL602" i="3"/>
  <c r="AC602" i="3"/>
  <c r="U602" i="3"/>
  <c r="M602" i="3"/>
  <c r="E602" i="3"/>
  <c r="AK602" i="3"/>
  <c r="AB602" i="3"/>
  <c r="T602" i="3"/>
  <c r="L602" i="3"/>
  <c r="D602" i="3"/>
  <c r="AD602" i="3"/>
  <c r="J602" i="3"/>
  <c r="AA602" i="3"/>
  <c r="F602" i="3"/>
  <c r="Z602" i="3"/>
  <c r="V602" i="3"/>
  <c r="S602" i="3"/>
  <c r="AM602" i="3"/>
  <c r="AJ602" i="3"/>
  <c r="AI602" i="3"/>
  <c r="N602" i="3"/>
  <c r="K602" i="3"/>
  <c r="R602" i="3"/>
  <c r="AF606" i="3" a="1"/>
  <c r="AF606" i="3" s="1"/>
  <c r="AH606" i="3"/>
  <c r="Y606" i="3"/>
  <c r="Q606" i="3"/>
  <c r="I606" i="3"/>
  <c r="AG606" i="3"/>
  <c r="X606" i="3"/>
  <c r="P606" i="3"/>
  <c r="H606" i="3"/>
  <c r="AN606" i="3"/>
  <c r="AE606" i="3"/>
  <c r="W606" i="3"/>
  <c r="O606" i="3"/>
  <c r="G606" i="3"/>
  <c r="AL606" i="3"/>
  <c r="AC606" i="3"/>
  <c r="U606" i="3"/>
  <c r="M606" i="3"/>
  <c r="E606" i="3"/>
  <c r="AK606" i="3"/>
  <c r="AB606" i="3"/>
  <c r="T606" i="3"/>
  <c r="L606" i="3"/>
  <c r="D606" i="3"/>
  <c r="AJ606" i="3"/>
  <c r="N606" i="3"/>
  <c r="AI606" i="3"/>
  <c r="K606" i="3"/>
  <c r="AD606" i="3"/>
  <c r="J606" i="3"/>
  <c r="AA606" i="3"/>
  <c r="F606" i="3"/>
  <c r="Z606" i="3"/>
  <c r="R606" i="3"/>
  <c r="AM606" i="3"/>
  <c r="V606" i="3"/>
  <c r="S606" i="3"/>
  <c r="AF610" i="3" a="1"/>
  <c r="AF610" i="3" s="1"/>
  <c r="AH610" i="3"/>
  <c r="Y610" i="3"/>
  <c r="Q610" i="3"/>
  <c r="I610" i="3"/>
  <c r="AG610" i="3"/>
  <c r="X610" i="3"/>
  <c r="P610" i="3"/>
  <c r="H610" i="3"/>
  <c r="AN610" i="3"/>
  <c r="AE610" i="3"/>
  <c r="W610" i="3"/>
  <c r="O610" i="3"/>
  <c r="G610" i="3"/>
  <c r="AM610" i="3"/>
  <c r="AD610" i="3"/>
  <c r="V610" i="3"/>
  <c r="AL610" i="3"/>
  <c r="AC610" i="3"/>
  <c r="U610" i="3"/>
  <c r="M610" i="3"/>
  <c r="E610" i="3"/>
  <c r="AK610" i="3"/>
  <c r="AB610" i="3"/>
  <c r="T610" i="3"/>
  <c r="L610" i="3"/>
  <c r="D610" i="3"/>
  <c r="S610" i="3"/>
  <c r="R610" i="3"/>
  <c r="N610" i="3"/>
  <c r="K610" i="3"/>
  <c r="AJ610" i="3"/>
  <c r="J610" i="3"/>
  <c r="AI610" i="3"/>
  <c r="AA610" i="3"/>
  <c r="F610" i="3"/>
  <c r="Z610" i="3"/>
  <c r="AF614" i="3" a="1"/>
  <c r="AF614" i="3" s="1"/>
  <c r="AH614" i="3"/>
  <c r="Y614" i="3"/>
  <c r="Q614" i="3"/>
  <c r="I614" i="3"/>
  <c r="AG614" i="3"/>
  <c r="X614" i="3"/>
  <c r="P614" i="3"/>
  <c r="H614" i="3"/>
  <c r="AN614" i="3"/>
  <c r="AE614" i="3"/>
  <c r="W614" i="3"/>
  <c r="O614" i="3"/>
  <c r="G614" i="3"/>
  <c r="AM614" i="3"/>
  <c r="AD614" i="3"/>
  <c r="V614" i="3"/>
  <c r="N614" i="3"/>
  <c r="F614" i="3"/>
  <c r="AL614" i="3"/>
  <c r="AC614" i="3"/>
  <c r="U614" i="3"/>
  <c r="M614" i="3"/>
  <c r="E614" i="3"/>
  <c r="AK614" i="3"/>
  <c r="AB614" i="3"/>
  <c r="T614" i="3"/>
  <c r="L614" i="3"/>
  <c r="D614" i="3"/>
  <c r="AJ614" i="3"/>
  <c r="AI614" i="3"/>
  <c r="AA614" i="3"/>
  <c r="Z614" i="3"/>
  <c r="S614" i="3"/>
  <c r="R614" i="3"/>
  <c r="K614" i="3"/>
  <c r="J614" i="3"/>
  <c r="AF618" i="3" a="1"/>
  <c r="AF618" i="3" s="1"/>
  <c r="AG618" i="3"/>
  <c r="X618" i="3"/>
  <c r="P618" i="3"/>
  <c r="H618" i="3"/>
  <c r="AN618" i="3"/>
  <c r="AE618" i="3"/>
  <c r="W618" i="3"/>
  <c r="O618" i="3"/>
  <c r="G618" i="3"/>
  <c r="AM618" i="3"/>
  <c r="AD618" i="3"/>
  <c r="V618" i="3"/>
  <c r="N618" i="3"/>
  <c r="F618" i="3"/>
  <c r="AL618" i="3"/>
  <c r="AC618" i="3"/>
  <c r="U618" i="3"/>
  <c r="M618" i="3"/>
  <c r="E618" i="3"/>
  <c r="Y618" i="3"/>
  <c r="I618" i="3"/>
  <c r="AK618" i="3"/>
  <c r="T618" i="3"/>
  <c r="D618" i="3"/>
  <c r="AJ618" i="3"/>
  <c r="S618" i="3"/>
  <c r="AI618" i="3"/>
  <c r="R618" i="3"/>
  <c r="AH618" i="3"/>
  <c r="Q618" i="3"/>
  <c r="AB618" i="3"/>
  <c r="L618" i="3"/>
  <c r="AA618" i="3"/>
  <c r="Z618" i="3"/>
  <c r="K618" i="3"/>
  <c r="J618" i="3"/>
  <c r="AF622" i="3" a="1"/>
  <c r="AF622" i="3" s="1"/>
  <c r="AG622" i="3"/>
  <c r="X622" i="3"/>
  <c r="P622" i="3"/>
  <c r="H622" i="3"/>
  <c r="AN622" i="3"/>
  <c r="AE622" i="3"/>
  <c r="W622" i="3"/>
  <c r="O622" i="3"/>
  <c r="G622" i="3"/>
  <c r="AM622" i="3"/>
  <c r="AD622" i="3"/>
  <c r="V622" i="3"/>
  <c r="N622" i="3"/>
  <c r="F622" i="3"/>
  <c r="AL622" i="3"/>
  <c r="AC622" i="3"/>
  <c r="U622" i="3"/>
  <c r="M622" i="3"/>
  <c r="E622" i="3"/>
  <c r="Y622" i="3"/>
  <c r="I622" i="3"/>
  <c r="AK622" i="3"/>
  <c r="T622" i="3"/>
  <c r="D622" i="3"/>
  <c r="AJ622" i="3"/>
  <c r="S622" i="3"/>
  <c r="AI622" i="3"/>
  <c r="R622" i="3"/>
  <c r="AH622" i="3"/>
  <c r="Q622" i="3"/>
  <c r="AB622" i="3"/>
  <c r="L622" i="3"/>
  <c r="AA622" i="3"/>
  <c r="Z622" i="3"/>
  <c r="K622" i="3"/>
  <c r="J622" i="3"/>
  <c r="AF626" i="3" a="1"/>
  <c r="AF626" i="3" s="1"/>
  <c r="AG626" i="3"/>
  <c r="X626" i="3"/>
  <c r="P626" i="3"/>
  <c r="H626" i="3"/>
  <c r="AN626" i="3"/>
  <c r="AE626" i="3"/>
  <c r="W626" i="3"/>
  <c r="O626" i="3"/>
  <c r="G626" i="3"/>
  <c r="AM626" i="3"/>
  <c r="AD626" i="3"/>
  <c r="V626" i="3"/>
  <c r="N626" i="3"/>
  <c r="F626" i="3"/>
  <c r="AL626" i="3"/>
  <c r="AC626" i="3"/>
  <c r="U626" i="3"/>
  <c r="M626" i="3"/>
  <c r="E626" i="3"/>
  <c r="Y626" i="3"/>
  <c r="I626" i="3"/>
  <c r="AK626" i="3"/>
  <c r="T626" i="3"/>
  <c r="D626" i="3"/>
  <c r="AJ626" i="3"/>
  <c r="S626" i="3"/>
  <c r="AI626" i="3"/>
  <c r="R626" i="3"/>
  <c r="AH626" i="3"/>
  <c r="Q626" i="3"/>
  <c r="AB626" i="3"/>
  <c r="L626" i="3"/>
  <c r="AA626" i="3"/>
  <c r="Z626" i="3"/>
  <c r="K626" i="3"/>
  <c r="J626" i="3"/>
  <c r="AF630" i="3" a="1"/>
  <c r="AF630" i="3" s="1"/>
  <c r="AI630" i="3"/>
  <c r="Z630" i="3"/>
  <c r="R630" i="3"/>
  <c r="J630" i="3"/>
  <c r="AH630" i="3"/>
  <c r="Y630" i="3"/>
  <c r="Q630" i="3"/>
  <c r="I630" i="3"/>
  <c r="AG630" i="3"/>
  <c r="X630" i="3"/>
  <c r="P630" i="3"/>
  <c r="H630" i="3"/>
  <c r="AN630" i="3"/>
  <c r="AE630" i="3"/>
  <c r="W630" i="3"/>
  <c r="O630" i="3"/>
  <c r="G630" i="3"/>
  <c r="AM630" i="3"/>
  <c r="AD630" i="3"/>
  <c r="V630" i="3"/>
  <c r="N630" i="3"/>
  <c r="F630" i="3"/>
  <c r="AL630" i="3"/>
  <c r="AC630" i="3"/>
  <c r="U630" i="3"/>
  <c r="M630" i="3"/>
  <c r="E630" i="3"/>
  <c r="T630" i="3"/>
  <c r="S630" i="3"/>
  <c r="L630" i="3"/>
  <c r="K630" i="3"/>
  <c r="AK630" i="3"/>
  <c r="D630" i="3"/>
  <c r="AJ630" i="3"/>
  <c r="AB630" i="3"/>
  <c r="AA630" i="3"/>
  <c r="AF634" i="3" a="1"/>
  <c r="AF634" i="3" s="1"/>
  <c r="AI634" i="3"/>
  <c r="Z634" i="3"/>
  <c r="R634" i="3"/>
  <c r="J634" i="3"/>
  <c r="AH634" i="3"/>
  <c r="Y634" i="3"/>
  <c r="Q634" i="3"/>
  <c r="I634" i="3"/>
  <c r="AG634" i="3"/>
  <c r="X634" i="3"/>
  <c r="P634" i="3"/>
  <c r="H634" i="3"/>
  <c r="AN634" i="3"/>
  <c r="AE634" i="3"/>
  <c r="W634" i="3"/>
  <c r="O634" i="3"/>
  <c r="G634" i="3"/>
  <c r="AM634" i="3"/>
  <c r="AD634" i="3"/>
  <c r="V634" i="3"/>
  <c r="N634" i="3"/>
  <c r="F634" i="3"/>
  <c r="AL634" i="3"/>
  <c r="AC634" i="3"/>
  <c r="U634" i="3"/>
  <c r="M634" i="3"/>
  <c r="E634" i="3"/>
  <c r="AK634" i="3"/>
  <c r="D634" i="3"/>
  <c r="AJ634" i="3"/>
  <c r="AB634" i="3"/>
  <c r="AA634" i="3"/>
  <c r="T634" i="3"/>
  <c r="S634" i="3"/>
  <c r="L634" i="3"/>
  <c r="K634" i="3"/>
  <c r="AF638" i="3" a="1"/>
  <c r="AF638" i="3" s="1"/>
  <c r="AI638" i="3"/>
  <c r="Z638" i="3"/>
  <c r="R638" i="3"/>
  <c r="J638" i="3"/>
  <c r="AH638" i="3"/>
  <c r="Y638" i="3"/>
  <c r="Q638" i="3"/>
  <c r="I638" i="3"/>
  <c r="AG638" i="3"/>
  <c r="X638" i="3"/>
  <c r="P638" i="3"/>
  <c r="H638" i="3"/>
  <c r="AN638" i="3"/>
  <c r="AE638" i="3"/>
  <c r="W638" i="3"/>
  <c r="O638" i="3"/>
  <c r="G638" i="3"/>
  <c r="AM638" i="3"/>
  <c r="AD638" i="3"/>
  <c r="V638" i="3"/>
  <c r="N638" i="3"/>
  <c r="F638" i="3"/>
  <c r="AL638" i="3"/>
  <c r="AC638" i="3"/>
  <c r="U638" i="3"/>
  <c r="M638" i="3"/>
  <c r="E638" i="3"/>
  <c r="T638" i="3"/>
  <c r="S638" i="3"/>
  <c r="L638" i="3"/>
  <c r="K638" i="3"/>
  <c r="AK638" i="3"/>
  <c r="D638" i="3"/>
  <c r="AJ638" i="3"/>
  <c r="AB638" i="3"/>
  <c r="AA638" i="3"/>
  <c r="AF642" i="3" a="1"/>
  <c r="AF642" i="3" s="1"/>
  <c r="AI642" i="3"/>
  <c r="Z642" i="3"/>
  <c r="R642" i="3"/>
  <c r="J642" i="3"/>
  <c r="AH642" i="3"/>
  <c r="Y642" i="3"/>
  <c r="Q642" i="3"/>
  <c r="I642" i="3"/>
  <c r="AG642" i="3"/>
  <c r="X642" i="3"/>
  <c r="P642" i="3"/>
  <c r="H642" i="3"/>
  <c r="AN642" i="3"/>
  <c r="AE642" i="3"/>
  <c r="W642" i="3"/>
  <c r="O642" i="3"/>
  <c r="G642" i="3"/>
  <c r="AM642" i="3"/>
  <c r="AD642" i="3"/>
  <c r="V642" i="3"/>
  <c r="N642" i="3"/>
  <c r="F642" i="3"/>
  <c r="AL642" i="3"/>
  <c r="AC642" i="3"/>
  <c r="U642" i="3"/>
  <c r="M642" i="3"/>
  <c r="E642" i="3"/>
  <c r="AK642" i="3"/>
  <c r="D642" i="3"/>
  <c r="AJ642" i="3"/>
  <c r="AB642" i="3"/>
  <c r="AA642" i="3"/>
  <c r="T642" i="3"/>
  <c r="S642" i="3"/>
  <c r="L642" i="3"/>
  <c r="K642" i="3"/>
  <c r="AF646" i="3" a="1"/>
  <c r="AF646" i="3" s="1"/>
  <c r="AI646" i="3"/>
  <c r="Z646" i="3"/>
  <c r="R646" i="3"/>
  <c r="AH646" i="3"/>
  <c r="Y646" i="3"/>
  <c r="Q646" i="3"/>
  <c r="I646" i="3"/>
  <c r="AN646" i="3"/>
  <c r="AE646" i="3"/>
  <c r="W646" i="3"/>
  <c r="O646" i="3"/>
  <c r="G646" i="3"/>
  <c r="AM646" i="3"/>
  <c r="AD646" i="3"/>
  <c r="V646" i="3"/>
  <c r="N646" i="3"/>
  <c r="AC646" i="3"/>
  <c r="M646" i="3"/>
  <c r="AB646" i="3"/>
  <c r="L646" i="3"/>
  <c r="AA646" i="3"/>
  <c r="K646" i="3"/>
  <c r="X646" i="3"/>
  <c r="J646" i="3"/>
  <c r="AL646" i="3"/>
  <c r="U646" i="3"/>
  <c r="H646" i="3"/>
  <c r="AK646" i="3"/>
  <c r="T646" i="3"/>
  <c r="F646" i="3"/>
  <c r="AJ646" i="3"/>
  <c r="AG646" i="3"/>
  <c r="S646" i="3"/>
  <c r="P646" i="3"/>
  <c r="E646" i="3"/>
  <c r="D646" i="3"/>
  <c r="AF650" i="3" a="1"/>
  <c r="AF650" i="3" s="1"/>
  <c r="AJ650" i="3"/>
  <c r="AI650" i="3"/>
  <c r="Z650" i="3"/>
  <c r="R650" i="3"/>
  <c r="J650" i="3"/>
  <c r="AH650" i="3"/>
  <c r="Y650" i="3"/>
  <c r="Q650" i="3"/>
  <c r="I650" i="3"/>
  <c r="AN650" i="3"/>
  <c r="AE650" i="3"/>
  <c r="W650" i="3"/>
  <c r="O650" i="3"/>
  <c r="G650" i="3"/>
  <c r="AM650" i="3"/>
  <c r="AD650" i="3"/>
  <c r="V650" i="3"/>
  <c r="N650" i="3"/>
  <c r="F650" i="3"/>
  <c r="AC650" i="3"/>
  <c r="M650" i="3"/>
  <c r="AB650" i="3"/>
  <c r="L650" i="3"/>
  <c r="AA650" i="3"/>
  <c r="K650" i="3"/>
  <c r="X650" i="3"/>
  <c r="H650" i="3"/>
  <c r="U650" i="3"/>
  <c r="E650" i="3"/>
  <c r="AL650" i="3"/>
  <c r="T650" i="3"/>
  <c r="D650" i="3"/>
  <c r="S650" i="3"/>
  <c r="P650" i="3"/>
  <c r="AK650" i="3"/>
  <c r="AG650" i="3"/>
  <c r="AF654" i="3" a="1"/>
  <c r="AF654" i="3" s="1"/>
  <c r="AJ654" i="3"/>
  <c r="AA654" i="3"/>
  <c r="S654" i="3"/>
  <c r="K654" i="3"/>
  <c r="AI654" i="3"/>
  <c r="Z654" i="3"/>
  <c r="R654" i="3"/>
  <c r="J654" i="3"/>
  <c r="AH654" i="3"/>
  <c r="Y654" i="3"/>
  <c r="Q654" i="3"/>
  <c r="I654" i="3"/>
  <c r="AN654" i="3"/>
  <c r="AE654" i="3"/>
  <c r="W654" i="3"/>
  <c r="O654" i="3"/>
  <c r="G654" i="3"/>
  <c r="AM654" i="3"/>
  <c r="AD654" i="3"/>
  <c r="V654" i="3"/>
  <c r="N654" i="3"/>
  <c r="F654" i="3"/>
  <c r="AK654" i="3"/>
  <c r="M654" i="3"/>
  <c r="AG654" i="3"/>
  <c r="L654" i="3"/>
  <c r="AC654" i="3"/>
  <c r="H654" i="3"/>
  <c r="AB654" i="3"/>
  <c r="E654" i="3"/>
  <c r="X654" i="3"/>
  <c r="D654" i="3"/>
  <c r="U654" i="3"/>
  <c r="AL654" i="3"/>
  <c r="T654" i="3"/>
  <c r="P654" i="3"/>
  <c r="AJ658" i="3"/>
  <c r="AA658" i="3"/>
  <c r="S658" i="3"/>
  <c r="K658" i="3"/>
  <c r="AI658" i="3"/>
  <c r="Z658" i="3"/>
  <c r="R658" i="3"/>
  <c r="J658" i="3"/>
  <c r="AH658" i="3"/>
  <c r="Y658" i="3"/>
  <c r="Q658" i="3"/>
  <c r="I658" i="3"/>
  <c r="AG658" i="3"/>
  <c r="X658" i="3"/>
  <c r="P658" i="3"/>
  <c r="H658" i="3"/>
  <c r="AF658" i="3" a="1"/>
  <c r="AF658" i="3" s="1"/>
  <c r="AN658" i="3"/>
  <c r="AE658" i="3"/>
  <c r="W658" i="3"/>
  <c r="O658" i="3"/>
  <c r="G658" i="3"/>
  <c r="AM658" i="3"/>
  <c r="AD658" i="3"/>
  <c r="V658" i="3"/>
  <c r="N658" i="3"/>
  <c r="F658" i="3"/>
  <c r="AC658" i="3"/>
  <c r="AB658" i="3"/>
  <c r="U658" i="3"/>
  <c r="T658" i="3"/>
  <c r="M658" i="3"/>
  <c r="L658" i="3"/>
  <c r="AL658" i="3"/>
  <c r="AK658" i="3"/>
  <c r="E658" i="3"/>
  <c r="D658" i="3"/>
  <c r="AF662" i="3" a="1"/>
  <c r="AF662" i="3" s="1"/>
  <c r="AI662" i="3"/>
  <c r="Z662" i="3"/>
  <c r="R662" i="3"/>
  <c r="J662" i="3"/>
  <c r="AG662" i="3"/>
  <c r="X662" i="3"/>
  <c r="P662" i="3"/>
  <c r="H662" i="3"/>
  <c r="AN662" i="3"/>
  <c r="AE662" i="3"/>
  <c r="W662" i="3"/>
  <c r="O662" i="3"/>
  <c r="G662" i="3"/>
  <c r="AM662" i="3"/>
  <c r="AD662" i="3"/>
  <c r="V662" i="3"/>
  <c r="N662" i="3"/>
  <c r="F662" i="3"/>
  <c r="AK662" i="3"/>
  <c r="AB662" i="3"/>
  <c r="T662" i="3"/>
  <c r="L662" i="3"/>
  <c r="D662" i="3"/>
  <c r="AC662" i="3"/>
  <c r="I662" i="3"/>
  <c r="AA662" i="3"/>
  <c r="E662" i="3"/>
  <c r="Y662" i="3"/>
  <c r="U662" i="3"/>
  <c r="S662" i="3"/>
  <c r="AL662" i="3"/>
  <c r="Q662" i="3"/>
  <c r="M662" i="3"/>
  <c r="K662" i="3"/>
  <c r="AJ662" i="3"/>
  <c r="AH662" i="3"/>
  <c r="AI666" i="3"/>
  <c r="Z666" i="3"/>
  <c r="R666" i="3"/>
  <c r="J666" i="3"/>
  <c r="AG666" i="3"/>
  <c r="X666" i="3"/>
  <c r="P666" i="3"/>
  <c r="H666" i="3"/>
  <c r="AN666" i="3"/>
  <c r="AE666" i="3"/>
  <c r="W666" i="3"/>
  <c r="O666" i="3"/>
  <c r="G666" i="3"/>
  <c r="AM666" i="3"/>
  <c r="AD666" i="3"/>
  <c r="V666" i="3"/>
  <c r="N666" i="3"/>
  <c r="F666" i="3"/>
  <c r="AK666" i="3"/>
  <c r="AB666" i="3"/>
  <c r="T666" i="3"/>
  <c r="L666" i="3"/>
  <c r="D666" i="3"/>
  <c r="AJ666" i="3"/>
  <c r="M666" i="3"/>
  <c r="AF666" i="3" a="1"/>
  <c r="AF666" i="3" s="1"/>
  <c r="AH666" i="3"/>
  <c r="K666" i="3"/>
  <c r="AC666" i="3"/>
  <c r="I666" i="3"/>
  <c r="AA666" i="3"/>
  <c r="E666" i="3"/>
  <c r="Y666" i="3"/>
  <c r="U666" i="3"/>
  <c r="AL666" i="3"/>
  <c r="S666" i="3"/>
  <c r="Q666" i="3"/>
  <c r="J4" i="4"/>
  <c r="R4" i="4"/>
  <c r="J5" i="4"/>
  <c r="R5" i="4"/>
  <c r="J6" i="4"/>
  <c r="R6" i="4"/>
  <c r="J7" i="4"/>
  <c r="R7" i="4"/>
  <c r="J8" i="4"/>
  <c r="R8" i="4"/>
  <c r="R9" i="4"/>
  <c r="J10" i="4"/>
  <c r="R10" i="4"/>
  <c r="J11" i="4"/>
  <c r="R11" i="4"/>
  <c r="J12" i="4"/>
  <c r="R12" i="4"/>
  <c r="J13" i="4"/>
  <c r="R13" i="4"/>
  <c r="J14" i="4"/>
  <c r="R14" i="4"/>
  <c r="J15" i="4"/>
  <c r="R15" i="4"/>
  <c r="J16" i="4"/>
  <c r="R16" i="4"/>
  <c r="J17" i="4"/>
  <c r="R17" i="4"/>
  <c r="R18" i="4"/>
  <c r="R19" i="4"/>
  <c r="J20" i="4"/>
  <c r="R20" i="4"/>
  <c r="J21" i="4"/>
  <c r="R21" i="4"/>
  <c r="J22" i="4"/>
  <c r="R22" i="4"/>
  <c r="J23" i="4"/>
  <c r="R23" i="4"/>
  <c r="J24" i="4"/>
  <c r="R24" i="4"/>
  <c r="R25" i="4"/>
  <c r="J26" i="4"/>
  <c r="R26" i="4"/>
  <c r="R27" i="4"/>
  <c r="R28" i="4"/>
  <c r="J29" i="4"/>
  <c r="R29" i="4"/>
  <c r="R30" i="4"/>
  <c r="R31" i="4"/>
  <c r="J32" i="4"/>
  <c r="R32" i="4"/>
  <c r="J33" i="4"/>
  <c r="R33" i="4"/>
  <c r="J34" i="4"/>
  <c r="R34" i="4"/>
  <c r="J35" i="4"/>
  <c r="R35" i="4"/>
  <c r="J36" i="4"/>
  <c r="R36" i="4"/>
  <c r="J37" i="4"/>
  <c r="R37" i="4"/>
  <c r="J38" i="4"/>
  <c r="R38" i="4"/>
  <c r="J39" i="4"/>
  <c r="R39" i="4"/>
  <c r="J40" i="4"/>
  <c r="R40" i="4"/>
  <c r="L41" i="4"/>
  <c r="E42" i="4"/>
  <c r="O42" i="4"/>
  <c r="I43" i="4"/>
  <c r="D44" i="4"/>
  <c r="O44" i="4"/>
  <c r="I45" i="4"/>
  <c r="D46" i="4"/>
  <c r="O46" i="4"/>
  <c r="I47" i="4"/>
  <c r="D48" i="4"/>
  <c r="O48" i="4"/>
  <c r="I49" i="4"/>
  <c r="D50" i="4"/>
  <c r="F52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112" i="4"/>
  <c r="F116" i="4"/>
  <c r="F120" i="4"/>
  <c r="F124" i="4"/>
  <c r="F128" i="4"/>
  <c r="F132" i="4"/>
  <c r="F136" i="4"/>
  <c r="F140" i="4"/>
  <c r="F144" i="4"/>
  <c r="F148" i="4"/>
  <c r="F152" i="4"/>
  <c r="F156" i="4"/>
  <c r="F160" i="4"/>
  <c r="F164" i="4"/>
  <c r="P176" i="4"/>
  <c r="P192" i="4"/>
  <c r="P208" i="4"/>
  <c r="P224" i="4"/>
  <c r="P240" i="4"/>
  <c r="P256" i="4"/>
  <c r="P272" i="4"/>
  <c r="P288" i="4"/>
  <c r="Q324" i="4"/>
  <c r="H343" i="4"/>
  <c r="P365" i="4"/>
  <c r="Q497" i="4"/>
  <c r="M119" i="4"/>
  <c r="E119" i="4"/>
  <c r="L119" i="4"/>
  <c r="D119" i="4"/>
  <c r="S119" i="4"/>
  <c r="K119" i="4"/>
  <c r="R119" i="4"/>
  <c r="J119" i="4"/>
  <c r="Q119" i="4"/>
  <c r="I119" i="4"/>
  <c r="P119" i="4"/>
  <c r="H119" i="4"/>
  <c r="O119" i="4"/>
  <c r="G119" i="4"/>
  <c r="O215" i="4"/>
  <c r="G215" i="4"/>
  <c r="N215" i="4"/>
  <c r="F215" i="4"/>
  <c r="M215" i="4"/>
  <c r="E215" i="4"/>
  <c r="L215" i="4"/>
  <c r="D215" i="4"/>
  <c r="S215" i="4"/>
  <c r="K215" i="4"/>
  <c r="R215" i="4"/>
  <c r="J215" i="4"/>
  <c r="Q215" i="4"/>
  <c r="P215" i="4"/>
  <c r="I215" i="4"/>
  <c r="H215" i="4"/>
  <c r="O303" i="4"/>
  <c r="G303" i="4"/>
  <c r="N303" i="4"/>
  <c r="F303" i="4"/>
  <c r="M303" i="4"/>
  <c r="E303" i="4"/>
  <c r="L303" i="4"/>
  <c r="D303" i="4"/>
  <c r="S303" i="4"/>
  <c r="K303" i="4"/>
  <c r="R303" i="4"/>
  <c r="J303" i="4"/>
  <c r="I303" i="4"/>
  <c r="Q303" i="4"/>
  <c r="P303" i="4"/>
  <c r="H303" i="4"/>
  <c r="O395" i="4"/>
  <c r="G395" i="4"/>
  <c r="N395" i="4"/>
  <c r="F395" i="4"/>
  <c r="M395" i="4"/>
  <c r="E395" i="4"/>
  <c r="L395" i="4"/>
  <c r="D395" i="4"/>
  <c r="S395" i="4"/>
  <c r="K395" i="4"/>
  <c r="R395" i="4"/>
  <c r="J395" i="4"/>
  <c r="I395" i="4"/>
  <c r="H395" i="4"/>
  <c r="P395" i="4"/>
  <c r="Q395" i="4"/>
  <c r="O475" i="4"/>
  <c r="G475" i="4"/>
  <c r="N475" i="4"/>
  <c r="F475" i="4"/>
  <c r="M475" i="4"/>
  <c r="E475" i="4"/>
  <c r="L475" i="4"/>
  <c r="D475" i="4"/>
  <c r="S475" i="4"/>
  <c r="K475" i="4"/>
  <c r="R475" i="4"/>
  <c r="J475" i="4"/>
  <c r="I475" i="4"/>
  <c r="H475" i="4"/>
  <c r="Q475" i="4"/>
  <c r="P475" i="4"/>
  <c r="O555" i="4"/>
  <c r="G555" i="4"/>
  <c r="N555" i="4"/>
  <c r="F555" i="4"/>
  <c r="M555" i="4"/>
  <c r="E555" i="4"/>
  <c r="L555" i="4"/>
  <c r="D555" i="4"/>
  <c r="S555" i="4"/>
  <c r="K555" i="4"/>
  <c r="R555" i="4"/>
  <c r="J555" i="4"/>
  <c r="I555" i="4"/>
  <c r="H555" i="4"/>
  <c r="Q555" i="4"/>
  <c r="P555" i="4"/>
  <c r="O627" i="4"/>
  <c r="G627" i="4"/>
  <c r="N627" i="4"/>
  <c r="F627" i="4"/>
  <c r="M627" i="4"/>
  <c r="E627" i="4"/>
  <c r="L627" i="4"/>
  <c r="D627" i="4"/>
  <c r="S627" i="4"/>
  <c r="K627" i="4"/>
  <c r="R627" i="4"/>
  <c r="J627" i="4"/>
  <c r="I627" i="4"/>
  <c r="H627" i="4"/>
  <c r="Q627" i="4"/>
  <c r="P627" i="4"/>
  <c r="AF36" i="3" a="1"/>
  <c r="AF36" i="3" s="1"/>
  <c r="AN36" i="3"/>
  <c r="AE36" i="3"/>
  <c r="W36" i="3"/>
  <c r="O36" i="3"/>
  <c r="G36" i="3"/>
  <c r="AM36" i="3"/>
  <c r="AD36" i="3"/>
  <c r="V36" i="3"/>
  <c r="N36" i="3"/>
  <c r="F36" i="3"/>
  <c r="AL36" i="3"/>
  <c r="AC36" i="3"/>
  <c r="U36" i="3"/>
  <c r="M36" i="3"/>
  <c r="E36" i="3"/>
  <c r="AK36" i="3"/>
  <c r="AB36" i="3"/>
  <c r="T36" i="3"/>
  <c r="L36" i="3"/>
  <c r="D36" i="3"/>
  <c r="AJ36" i="3"/>
  <c r="AA36" i="3"/>
  <c r="S36" i="3"/>
  <c r="K36" i="3"/>
  <c r="AI36" i="3"/>
  <c r="Z36" i="3"/>
  <c r="R36" i="3"/>
  <c r="J36" i="3"/>
  <c r="I36" i="3"/>
  <c r="H36" i="3"/>
  <c r="AH36" i="3"/>
  <c r="AG36" i="3"/>
  <c r="Y36" i="3"/>
  <c r="X36" i="3"/>
  <c r="Q36" i="3"/>
  <c r="P36" i="3"/>
  <c r="AF124" i="3" a="1"/>
  <c r="AF124" i="3" s="1"/>
  <c r="AL124" i="3"/>
  <c r="AC124" i="3"/>
  <c r="U124" i="3"/>
  <c r="M124" i="3"/>
  <c r="E124" i="3"/>
  <c r="AK124" i="3"/>
  <c r="AB124" i="3"/>
  <c r="T124" i="3"/>
  <c r="L124" i="3"/>
  <c r="D124" i="3"/>
  <c r="AJ124" i="3"/>
  <c r="AA124" i="3"/>
  <c r="S124" i="3"/>
  <c r="K124" i="3"/>
  <c r="AI124" i="3"/>
  <c r="Z124" i="3"/>
  <c r="R124" i="3"/>
  <c r="J124" i="3"/>
  <c r="AH124" i="3"/>
  <c r="Y124" i="3"/>
  <c r="Q124" i="3"/>
  <c r="I124" i="3"/>
  <c r="AG124" i="3"/>
  <c r="X124" i="3"/>
  <c r="P124" i="3"/>
  <c r="H124" i="3"/>
  <c r="AE124" i="3"/>
  <c r="AD124" i="3"/>
  <c r="W124" i="3"/>
  <c r="V124" i="3"/>
  <c r="O124" i="3"/>
  <c r="N124" i="3"/>
  <c r="F124" i="3"/>
  <c r="AN124" i="3"/>
  <c r="AM124" i="3"/>
  <c r="G124" i="3"/>
  <c r="AF208" i="3" a="1"/>
  <c r="AF208" i="3" s="1"/>
  <c r="AL208" i="3"/>
  <c r="AC208" i="3"/>
  <c r="U208" i="3"/>
  <c r="M208" i="3"/>
  <c r="E208" i="3"/>
  <c r="AK208" i="3"/>
  <c r="AB208" i="3"/>
  <c r="T208" i="3"/>
  <c r="L208" i="3"/>
  <c r="D208" i="3"/>
  <c r="AJ208" i="3"/>
  <c r="AA208" i="3"/>
  <c r="S208" i="3"/>
  <c r="K208" i="3"/>
  <c r="AI208" i="3"/>
  <c r="Z208" i="3"/>
  <c r="R208" i="3"/>
  <c r="J208" i="3"/>
  <c r="AH208" i="3"/>
  <c r="Y208" i="3"/>
  <c r="Q208" i="3"/>
  <c r="I208" i="3"/>
  <c r="AG208" i="3"/>
  <c r="X208" i="3"/>
  <c r="P208" i="3"/>
  <c r="H208" i="3"/>
  <c r="O208" i="3"/>
  <c r="N208" i="3"/>
  <c r="AN208" i="3"/>
  <c r="G208" i="3"/>
  <c r="AM208" i="3"/>
  <c r="F208" i="3"/>
  <c r="AE208" i="3"/>
  <c r="AD208" i="3"/>
  <c r="W208" i="3"/>
  <c r="V208" i="3"/>
  <c r="AF284" i="3" a="1"/>
  <c r="AF284" i="3" s="1"/>
  <c r="AI284" i="3"/>
  <c r="Z284" i="3"/>
  <c r="R284" i="3"/>
  <c r="J284" i="3"/>
  <c r="AH284" i="3"/>
  <c r="Y284" i="3"/>
  <c r="Q284" i="3"/>
  <c r="I284" i="3"/>
  <c r="AG284" i="3"/>
  <c r="X284" i="3"/>
  <c r="P284" i="3"/>
  <c r="H284" i="3"/>
  <c r="AM284" i="3"/>
  <c r="AD284" i="3"/>
  <c r="V284" i="3"/>
  <c r="N284" i="3"/>
  <c r="F284" i="3"/>
  <c r="AL284" i="3"/>
  <c r="AC284" i="3"/>
  <c r="U284" i="3"/>
  <c r="M284" i="3"/>
  <c r="E284" i="3"/>
  <c r="AJ284" i="3"/>
  <c r="L284" i="3"/>
  <c r="AE284" i="3"/>
  <c r="K284" i="3"/>
  <c r="AB284" i="3"/>
  <c r="G284" i="3"/>
  <c r="AA284" i="3"/>
  <c r="D284" i="3"/>
  <c r="W284" i="3"/>
  <c r="T284" i="3"/>
  <c r="S284" i="3"/>
  <c r="O284" i="3"/>
  <c r="AN284" i="3"/>
  <c r="AK284" i="3"/>
  <c r="AF360" i="3" a="1"/>
  <c r="AF360" i="3" s="1"/>
  <c r="AH360" i="3"/>
  <c r="Y360" i="3"/>
  <c r="Q360" i="3"/>
  <c r="I360" i="3"/>
  <c r="AG360" i="3"/>
  <c r="X360" i="3"/>
  <c r="P360" i="3"/>
  <c r="H360" i="3"/>
  <c r="AN360" i="3"/>
  <c r="AE360" i="3"/>
  <c r="W360" i="3"/>
  <c r="O360" i="3"/>
  <c r="G360" i="3"/>
  <c r="AM360" i="3"/>
  <c r="AD360" i="3"/>
  <c r="V360" i="3"/>
  <c r="N360" i="3"/>
  <c r="F360" i="3"/>
  <c r="AL360" i="3"/>
  <c r="AC360" i="3"/>
  <c r="U360" i="3"/>
  <c r="M360" i="3"/>
  <c r="E360" i="3"/>
  <c r="AA360" i="3"/>
  <c r="D360" i="3"/>
  <c r="Z360" i="3"/>
  <c r="T360" i="3"/>
  <c r="AK360" i="3"/>
  <c r="R360" i="3"/>
  <c r="AJ360" i="3"/>
  <c r="L360" i="3"/>
  <c r="AB360" i="3"/>
  <c r="S360" i="3"/>
  <c r="K360" i="3"/>
  <c r="J360" i="3"/>
  <c r="AI360" i="3"/>
  <c r="AF436" i="3" a="1"/>
  <c r="AF436" i="3" s="1"/>
  <c r="AM436" i="3"/>
  <c r="AD436" i="3"/>
  <c r="V436" i="3"/>
  <c r="N436" i="3"/>
  <c r="F436" i="3"/>
  <c r="AL436" i="3"/>
  <c r="AC436" i="3"/>
  <c r="U436" i="3"/>
  <c r="M436" i="3"/>
  <c r="E436" i="3"/>
  <c r="AK436" i="3"/>
  <c r="AB436" i="3"/>
  <c r="T436" i="3"/>
  <c r="L436" i="3"/>
  <c r="D436" i="3"/>
  <c r="AI436" i="3"/>
  <c r="Z436" i="3"/>
  <c r="R436" i="3"/>
  <c r="J436" i="3"/>
  <c r="AH436" i="3"/>
  <c r="Y436" i="3"/>
  <c r="Q436" i="3"/>
  <c r="I436" i="3"/>
  <c r="AA436" i="3"/>
  <c r="G436" i="3"/>
  <c r="X436" i="3"/>
  <c r="W436" i="3"/>
  <c r="S436" i="3"/>
  <c r="AN436" i="3"/>
  <c r="P436" i="3"/>
  <c r="AJ436" i="3"/>
  <c r="O436" i="3"/>
  <c r="AG436" i="3"/>
  <c r="K436" i="3"/>
  <c r="H436" i="3"/>
  <c r="AE436" i="3"/>
  <c r="AF504" i="3" a="1"/>
  <c r="AF504" i="3" s="1"/>
  <c r="AM504" i="3"/>
  <c r="AD504" i="3"/>
  <c r="V504" i="3"/>
  <c r="N504" i="3"/>
  <c r="F504" i="3"/>
  <c r="AL504" i="3"/>
  <c r="AC504" i="3"/>
  <c r="U504" i="3"/>
  <c r="M504" i="3"/>
  <c r="E504" i="3"/>
  <c r="AK504" i="3"/>
  <c r="AB504" i="3"/>
  <c r="T504" i="3"/>
  <c r="L504" i="3"/>
  <c r="D504" i="3"/>
  <c r="AI504" i="3"/>
  <c r="Z504" i="3"/>
  <c r="R504" i="3"/>
  <c r="J504" i="3"/>
  <c r="AH504" i="3"/>
  <c r="Y504" i="3"/>
  <c r="Q504" i="3"/>
  <c r="I504" i="3"/>
  <c r="AJ504" i="3"/>
  <c r="O504" i="3"/>
  <c r="AG504" i="3"/>
  <c r="K504" i="3"/>
  <c r="AE504" i="3"/>
  <c r="H504" i="3"/>
  <c r="AA504" i="3"/>
  <c r="G504" i="3"/>
  <c r="X504" i="3"/>
  <c r="W504" i="3"/>
  <c r="S504" i="3"/>
  <c r="P504" i="3"/>
  <c r="AN504" i="3"/>
  <c r="AF564" i="3" a="1"/>
  <c r="AF564" i="3" s="1"/>
  <c r="AM564" i="3"/>
  <c r="AD564" i="3"/>
  <c r="V564" i="3"/>
  <c r="N564" i="3"/>
  <c r="F564" i="3"/>
  <c r="AL564" i="3"/>
  <c r="AC564" i="3"/>
  <c r="U564" i="3"/>
  <c r="M564" i="3"/>
  <c r="E564" i="3"/>
  <c r="AK564" i="3"/>
  <c r="AB564" i="3"/>
  <c r="T564" i="3"/>
  <c r="L564" i="3"/>
  <c r="D564" i="3"/>
  <c r="AI564" i="3"/>
  <c r="Z564" i="3"/>
  <c r="R564" i="3"/>
  <c r="J564" i="3"/>
  <c r="AH564" i="3"/>
  <c r="Y564" i="3"/>
  <c r="Q564" i="3"/>
  <c r="I564" i="3"/>
  <c r="AG564" i="3"/>
  <c r="K564" i="3"/>
  <c r="AE564" i="3"/>
  <c r="H564" i="3"/>
  <c r="AA564" i="3"/>
  <c r="G564" i="3"/>
  <c r="X564" i="3"/>
  <c r="W564" i="3"/>
  <c r="S564" i="3"/>
  <c r="AN564" i="3"/>
  <c r="AJ564" i="3"/>
  <c r="P564" i="3"/>
  <c r="O564" i="3"/>
  <c r="AF612" i="3" a="1"/>
  <c r="AF612" i="3" s="1"/>
  <c r="AH612" i="3"/>
  <c r="Y612" i="3"/>
  <c r="Q612" i="3"/>
  <c r="I612" i="3"/>
  <c r="AG612" i="3"/>
  <c r="X612" i="3"/>
  <c r="P612" i="3"/>
  <c r="H612" i="3"/>
  <c r="AN612" i="3"/>
  <c r="AE612" i="3"/>
  <c r="W612" i="3"/>
  <c r="O612" i="3"/>
  <c r="G612" i="3"/>
  <c r="AM612" i="3"/>
  <c r="AD612" i="3"/>
  <c r="V612" i="3"/>
  <c r="N612" i="3"/>
  <c r="F612" i="3"/>
  <c r="AL612" i="3"/>
  <c r="AC612" i="3"/>
  <c r="U612" i="3"/>
  <c r="M612" i="3"/>
  <c r="E612" i="3"/>
  <c r="AK612" i="3"/>
  <c r="AB612" i="3"/>
  <c r="T612" i="3"/>
  <c r="L612" i="3"/>
  <c r="D612" i="3"/>
  <c r="K612" i="3"/>
  <c r="J612" i="3"/>
  <c r="AJ612" i="3"/>
  <c r="AI612" i="3"/>
  <c r="AA612" i="3"/>
  <c r="S612" i="3"/>
  <c r="R612" i="3"/>
  <c r="Z612" i="3"/>
  <c r="AF656" i="3" a="1"/>
  <c r="AF656" i="3" s="1"/>
  <c r="AJ656" i="3"/>
  <c r="AA656" i="3"/>
  <c r="S656" i="3"/>
  <c r="K656" i="3"/>
  <c r="AI656" i="3"/>
  <c r="Z656" i="3"/>
  <c r="R656" i="3"/>
  <c r="J656" i="3"/>
  <c r="AH656" i="3"/>
  <c r="Y656" i="3"/>
  <c r="Q656" i="3"/>
  <c r="I656" i="3"/>
  <c r="AN656" i="3"/>
  <c r="AE656" i="3"/>
  <c r="W656" i="3"/>
  <c r="O656" i="3"/>
  <c r="G656" i="3"/>
  <c r="AM656" i="3"/>
  <c r="AD656" i="3"/>
  <c r="V656" i="3"/>
  <c r="N656" i="3"/>
  <c r="F656" i="3"/>
  <c r="AB656" i="3"/>
  <c r="E656" i="3"/>
  <c r="X656" i="3"/>
  <c r="D656" i="3"/>
  <c r="U656" i="3"/>
  <c r="T656" i="3"/>
  <c r="AL656" i="3"/>
  <c r="P656" i="3"/>
  <c r="AK656" i="3"/>
  <c r="M656" i="3"/>
  <c r="AG656" i="3"/>
  <c r="AC656" i="3"/>
  <c r="L656" i="3"/>
  <c r="H656" i="3"/>
  <c r="F11" i="4"/>
  <c r="F15" i="4"/>
  <c r="D43" i="4"/>
  <c r="K4" i="4"/>
  <c r="S4" i="4"/>
  <c r="K5" i="4"/>
  <c r="S5" i="4"/>
  <c r="K6" i="4"/>
  <c r="S6" i="4"/>
  <c r="K7" i="4"/>
  <c r="S7" i="4"/>
  <c r="K8" i="4"/>
  <c r="K9" i="4"/>
  <c r="S9" i="4"/>
  <c r="K10" i="4"/>
  <c r="K11" i="4"/>
  <c r="S11" i="4"/>
  <c r="K12" i="4"/>
  <c r="S12" i="4"/>
  <c r="K13" i="4"/>
  <c r="K14" i="4"/>
  <c r="S14" i="4"/>
  <c r="K15" i="4"/>
  <c r="K16" i="4"/>
  <c r="S16" i="4"/>
  <c r="K17" i="4"/>
  <c r="K18" i="4"/>
  <c r="S18" i="4"/>
  <c r="K19" i="4"/>
  <c r="S19" i="4"/>
  <c r="K20" i="4"/>
  <c r="S20" i="4"/>
  <c r="K21" i="4"/>
  <c r="K22" i="4"/>
  <c r="S22" i="4"/>
  <c r="K23" i="4"/>
  <c r="S23" i="4"/>
  <c r="K24" i="4"/>
  <c r="S24" i="4"/>
  <c r="K25" i="4"/>
  <c r="S25" i="4"/>
  <c r="K26" i="4"/>
  <c r="S26" i="4"/>
  <c r="K27" i="4"/>
  <c r="K28" i="4"/>
  <c r="S28" i="4"/>
  <c r="K29" i="4"/>
  <c r="S29" i="4"/>
  <c r="K30" i="4"/>
  <c r="S30" i="4"/>
  <c r="K31" i="4"/>
  <c r="S31" i="4"/>
  <c r="K32" i="4"/>
  <c r="S32" i="4"/>
  <c r="K33" i="4"/>
  <c r="S33" i="4"/>
  <c r="K34" i="4"/>
  <c r="S34" i="4"/>
  <c r="K35" i="4"/>
  <c r="S35" i="4"/>
  <c r="K36" i="4"/>
  <c r="S36" i="4"/>
  <c r="K37" i="4"/>
  <c r="S37" i="4"/>
  <c r="K38" i="4"/>
  <c r="S38" i="4"/>
  <c r="K39" i="4"/>
  <c r="S39" i="4"/>
  <c r="K40" i="4"/>
  <c r="D41" i="4"/>
  <c r="M41" i="4"/>
  <c r="F42" i="4"/>
  <c r="J43" i="4"/>
  <c r="F44" i="4"/>
  <c r="P44" i="4"/>
  <c r="J45" i="4"/>
  <c r="F46" i="4"/>
  <c r="F48" i="4"/>
  <c r="P48" i="4"/>
  <c r="J49" i="4"/>
  <c r="N52" i="4"/>
  <c r="N56" i="4"/>
  <c r="N60" i="4"/>
  <c r="N64" i="4"/>
  <c r="N68" i="4"/>
  <c r="N72" i="4"/>
  <c r="N76" i="4"/>
  <c r="N80" i="4"/>
  <c r="N84" i="4"/>
  <c r="N88" i="4"/>
  <c r="N92" i="4"/>
  <c r="N96" i="4"/>
  <c r="N100" i="4"/>
  <c r="N104" i="4"/>
  <c r="N108" i="4"/>
  <c r="N112" i="4"/>
  <c r="N116" i="4"/>
  <c r="N120" i="4"/>
  <c r="N124" i="4"/>
  <c r="N128" i="4"/>
  <c r="N132" i="4"/>
  <c r="N136" i="4"/>
  <c r="N140" i="4"/>
  <c r="N144" i="4"/>
  <c r="N148" i="4"/>
  <c r="N152" i="4"/>
  <c r="N156" i="4"/>
  <c r="N160" i="4"/>
  <c r="N164" i="4"/>
  <c r="Q308" i="4"/>
  <c r="H327" i="4"/>
  <c r="P345" i="4"/>
  <c r="P368" i="4"/>
  <c r="P403" i="4"/>
  <c r="M47" i="4"/>
  <c r="E47" i="4"/>
  <c r="S47" i="4"/>
  <c r="K47" i="4"/>
  <c r="M63" i="4"/>
  <c r="E63" i="4"/>
  <c r="L63" i="4"/>
  <c r="D63" i="4"/>
  <c r="S63" i="4"/>
  <c r="K63" i="4"/>
  <c r="R63" i="4"/>
  <c r="J63" i="4"/>
  <c r="Q63" i="4"/>
  <c r="I63" i="4"/>
  <c r="P63" i="4"/>
  <c r="H63" i="4"/>
  <c r="O63" i="4"/>
  <c r="G63" i="4"/>
  <c r="M71" i="4"/>
  <c r="E71" i="4"/>
  <c r="L71" i="4"/>
  <c r="D71" i="4"/>
  <c r="S71" i="4"/>
  <c r="K71" i="4"/>
  <c r="R71" i="4"/>
  <c r="J71" i="4"/>
  <c r="Q71" i="4"/>
  <c r="I71" i="4"/>
  <c r="P71" i="4"/>
  <c r="H71" i="4"/>
  <c r="O71" i="4"/>
  <c r="G71" i="4"/>
  <c r="M87" i="4"/>
  <c r="E87" i="4"/>
  <c r="L87" i="4"/>
  <c r="D87" i="4"/>
  <c r="S87" i="4"/>
  <c r="K87" i="4"/>
  <c r="R87" i="4"/>
  <c r="J87" i="4"/>
  <c r="Q87" i="4"/>
  <c r="I87" i="4"/>
  <c r="P87" i="4"/>
  <c r="H87" i="4"/>
  <c r="O87" i="4"/>
  <c r="G87" i="4"/>
  <c r="M103" i="4"/>
  <c r="E103" i="4"/>
  <c r="L103" i="4"/>
  <c r="D103" i="4"/>
  <c r="S103" i="4"/>
  <c r="K103" i="4"/>
  <c r="R103" i="4"/>
  <c r="J103" i="4"/>
  <c r="Q103" i="4"/>
  <c r="I103" i="4"/>
  <c r="P103" i="4"/>
  <c r="H103" i="4"/>
  <c r="O103" i="4"/>
  <c r="G103" i="4"/>
  <c r="M115" i="4"/>
  <c r="E115" i="4"/>
  <c r="L115" i="4"/>
  <c r="D115" i="4"/>
  <c r="S115" i="4"/>
  <c r="K115" i="4"/>
  <c r="R115" i="4"/>
  <c r="J115" i="4"/>
  <c r="Q115" i="4"/>
  <c r="I115" i="4"/>
  <c r="P115" i="4"/>
  <c r="H115" i="4"/>
  <c r="O115" i="4"/>
  <c r="G115" i="4"/>
  <c r="M131" i="4"/>
  <c r="E131" i="4"/>
  <c r="L131" i="4"/>
  <c r="D131" i="4"/>
  <c r="S131" i="4"/>
  <c r="K131" i="4"/>
  <c r="R131" i="4"/>
  <c r="J131" i="4"/>
  <c r="Q131" i="4"/>
  <c r="I131" i="4"/>
  <c r="P131" i="4"/>
  <c r="H131" i="4"/>
  <c r="O131" i="4"/>
  <c r="G131" i="4"/>
  <c r="M143" i="4"/>
  <c r="E143" i="4"/>
  <c r="L143" i="4"/>
  <c r="D143" i="4"/>
  <c r="S143" i="4"/>
  <c r="K143" i="4"/>
  <c r="R143" i="4"/>
  <c r="J143" i="4"/>
  <c r="Q143" i="4"/>
  <c r="I143" i="4"/>
  <c r="P143" i="4"/>
  <c r="H143" i="4"/>
  <c r="O143" i="4"/>
  <c r="G143" i="4"/>
  <c r="M159" i="4"/>
  <c r="E159" i="4"/>
  <c r="L159" i="4"/>
  <c r="D159" i="4"/>
  <c r="S159" i="4"/>
  <c r="K159" i="4"/>
  <c r="R159" i="4"/>
  <c r="J159" i="4"/>
  <c r="Q159" i="4"/>
  <c r="I159" i="4"/>
  <c r="P159" i="4"/>
  <c r="H159" i="4"/>
  <c r="O159" i="4"/>
  <c r="G159" i="4"/>
  <c r="O167" i="4"/>
  <c r="G167" i="4"/>
  <c r="N167" i="4"/>
  <c r="F167" i="4"/>
  <c r="M167" i="4"/>
  <c r="E167" i="4"/>
  <c r="L167" i="4"/>
  <c r="D167" i="4"/>
  <c r="S167" i="4"/>
  <c r="K167" i="4"/>
  <c r="R167" i="4"/>
  <c r="J167" i="4"/>
  <c r="Q167" i="4"/>
  <c r="P167" i="4"/>
  <c r="I167" i="4"/>
  <c r="H167" i="4"/>
  <c r="O183" i="4"/>
  <c r="G183" i="4"/>
  <c r="N183" i="4"/>
  <c r="F183" i="4"/>
  <c r="M183" i="4"/>
  <c r="E183" i="4"/>
  <c r="L183" i="4"/>
  <c r="D183" i="4"/>
  <c r="S183" i="4"/>
  <c r="K183" i="4"/>
  <c r="R183" i="4"/>
  <c r="J183" i="4"/>
  <c r="Q183" i="4"/>
  <c r="P183" i="4"/>
  <c r="I183" i="4"/>
  <c r="H183" i="4"/>
  <c r="O195" i="4"/>
  <c r="G195" i="4"/>
  <c r="N195" i="4"/>
  <c r="F195" i="4"/>
  <c r="M195" i="4"/>
  <c r="E195" i="4"/>
  <c r="L195" i="4"/>
  <c r="D195" i="4"/>
  <c r="S195" i="4"/>
  <c r="K195" i="4"/>
  <c r="R195" i="4"/>
  <c r="J195" i="4"/>
  <c r="Q195" i="4"/>
  <c r="P195" i="4"/>
  <c r="I195" i="4"/>
  <c r="H195" i="4"/>
  <c r="O211" i="4"/>
  <c r="G211" i="4"/>
  <c r="N211" i="4"/>
  <c r="F211" i="4"/>
  <c r="M211" i="4"/>
  <c r="E211" i="4"/>
  <c r="L211" i="4"/>
  <c r="D211" i="4"/>
  <c r="S211" i="4"/>
  <c r="K211" i="4"/>
  <c r="R211" i="4"/>
  <c r="J211" i="4"/>
  <c r="Q211" i="4"/>
  <c r="P211" i="4"/>
  <c r="I211" i="4"/>
  <c r="H211" i="4"/>
  <c r="O227" i="4"/>
  <c r="G227" i="4"/>
  <c r="N227" i="4"/>
  <c r="F227" i="4"/>
  <c r="M227" i="4"/>
  <c r="E227" i="4"/>
  <c r="L227" i="4"/>
  <c r="D227" i="4"/>
  <c r="S227" i="4"/>
  <c r="K227" i="4"/>
  <c r="R227" i="4"/>
  <c r="J227" i="4"/>
  <c r="Q227" i="4"/>
  <c r="P227" i="4"/>
  <c r="I227" i="4"/>
  <c r="H227" i="4"/>
  <c r="O239" i="4"/>
  <c r="G239" i="4"/>
  <c r="N239" i="4"/>
  <c r="F239" i="4"/>
  <c r="M239" i="4"/>
  <c r="E239" i="4"/>
  <c r="L239" i="4"/>
  <c r="D239" i="4"/>
  <c r="S239" i="4"/>
  <c r="K239" i="4"/>
  <c r="R239" i="4"/>
  <c r="J239" i="4"/>
  <c r="Q239" i="4"/>
  <c r="P239" i="4"/>
  <c r="I239" i="4"/>
  <c r="H239" i="4"/>
  <c r="O255" i="4"/>
  <c r="G255" i="4"/>
  <c r="N255" i="4"/>
  <c r="F255" i="4"/>
  <c r="M255" i="4"/>
  <c r="E255" i="4"/>
  <c r="L255" i="4"/>
  <c r="D255" i="4"/>
  <c r="S255" i="4"/>
  <c r="K255" i="4"/>
  <c r="R255" i="4"/>
  <c r="J255" i="4"/>
  <c r="Q255" i="4"/>
  <c r="P255" i="4"/>
  <c r="I255" i="4"/>
  <c r="H255" i="4"/>
  <c r="O275" i="4"/>
  <c r="G275" i="4"/>
  <c r="N275" i="4"/>
  <c r="F275" i="4"/>
  <c r="M275" i="4"/>
  <c r="E275" i="4"/>
  <c r="L275" i="4"/>
  <c r="D275" i="4"/>
  <c r="S275" i="4"/>
  <c r="K275" i="4"/>
  <c r="R275" i="4"/>
  <c r="J275" i="4"/>
  <c r="Q275" i="4"/>
  <c r="P275" i="4"/>
  <c r="I275" i="4"/>
  <c r="H275" i="4"/>
  <c r="O291" i="4"/>
  <c r="G291" i="4"/>
  <c r="N291" i="4"/>
  <c r="F291" i="4"/>
  <c r="M291" i="4"/>
  <c r="E291" i="4"/>
  <c r="L291" i="4"/>
  <c r="D291" i="4"/>
  <c r="S291" i="4"/>
  <c r="K291" i="4"/>
  <c r="R291" i="4"/>
  <c r="J291" i="4"/>
  <c r="I291" i="4"/>
  <c r="Q291" i="4"/>
  <c r="P291" i="4"/>
  <c r="H291" i="4"/>
  <c r="O311" i="4"/>
  <c r="G311" i="4"/>
  <c r="N311" i="4"/>
  <c r="F311" i="4"/>
  <c r="M311" i="4"/>
  <c r="E311" i="4"/>
  <c r="L311" i="4"/>
  <c r="D311" i="4"/>
  <c r="S311" i="4"/>
  <c r="K311" i="4"/>
  <c r="R311" i="4"/>
  <c r="J311" i="4"/>
  <c r="I311" i="4"/>
  <c r="Q311" i="4"/>
  <c r="P311" i="4"/>
  <c r="O323" i="4"/>
  <c r="G323" i="4"/>
  <c r="N323" i="4"/>
  <c r="F323" i="4"/>
  <c r="M323" i="4"/>
  <c r="E323" i="4"/>
  <c r="L323" i="4"/>
  <c r="D323" i="4"/>
  <c r="S323" i="4"/>
  <c r="K323" i="4"/>
  <c r="R323" i="4"/>
  <c r="J323" i="4"/>
  <c r="I323" i="4"/>
  <c r="Q323" i="4"/>
  <c r="P323" i="4"/>
  <c r="H323" i="4"/>
  <c r="O335" i="4"/>
  <c r="G335" i="4"/>
  <c r="N335" i="4"/>
  <c r="F335" i="4"/>
  <c r="M335" i="4"/>
  <c r="E335" i="4"/>
  <c r="L335" i="4"/>
  <c r="D335" i="4"/>
  <c r="S335" i="4"/>
  <c r="K335" i="4"/>
  <c r="R335" i="4"/>
  <c r="J335" i="4"/>
  <c r="I335" i="4"/>
  <c r="Q335" i="4"/>
  <c r="P335" i="4"/>
  <c r="H335" i="4"/>
  <c r="O347" i="4"/>
  <c r="G347" i="4"/>
  <c r="N347" i="4"/>
  <c r="F347" i="4"/>
  <c r="M347" i="4"/>
  <c r="E347" i="4"/>
  <c r="L347" i="4"/>
  <c r="D347" i="4"/>
  <c r="S347" i="4"/>
  <c r="K347" i="4"/>
  <c r="R347" i="4"/>
  <c r="J347" i="4"/>
  <c r="I347" i="4"/>
  <c r="P347" i="4"/>
  <c r="Q347" i="4"/>
  <c r="H347" i="4"/>
  <c r="O367" i="4"/>
  <c r="G367" i="4"/>
  <c r="N367" i="4"/>
  <c r="F367" i="4"/>
  <c r="M367" i="4"/>
  <c r="E367" i="4"/>
  <c r="L367" i="4"/>
  <c r="D367" i="4"/>
  <c r="S367" i="4"/>
  <c r="K367" i="4"/>
  <c r="R367" i="4"/>
  <c r="J367" i="4"/>
  <c r="I367" i="4"/>
  <c r="H367" i="4"/>
  <c r="Q367" i="4"/>
  <c r="P367" i="4"/>
  <c r="O379" i="4"/>
  <c r="G379" i="4"/>
  <c r="N379" i="4"/>
  <c r="F379" i="4"/>
  <c r="M379" i="4"/>
  <c r="E379" i="4"/>
  <c r="L379" i="4"/>
  <c r="D379" i="4"/>
  <c r="S379" i="4"/>
  <c r="K379" i="4"/>
  <c r="R379" i="4"/>
  <c r="J379" i="4"/>
  <c r="I379" i="4"/>
  <c r="H379" i="4"/>
  <c r="P379" i="4"/>
  <c r="Q379" i="4"/>
  <c r="O391" i="4"/>
  <c r="G391" i="4"/>
  <c r="N391" i="4"/>
  <c r="F391" i="4"/>
  <c r="M391" i="4"/>
  <c r="E391" i="4"/>
  <c r="L391" i="4"/>
  <c r="D391" i="4"/>
  <c r="S391" i="4"/>
  <c r="K391" i="4"/>
  <c r="R391" i="4"/>
  <c r="J391" i="4"/>
  <c r="I391" i="4"/>
  <c r="Q391" i="4"/>
  <c r="P391" i="4"/>
  <c r="H391" i="4"/>
  <c r="O407" i="4"/>
  <c r="G407" i="4"/>
  <c r="N407" i="4"/>
  <c r="F407" i="4"/>
  <c r="M407" i="4"/>
  <c r="E407" i="4"/>
  <c r="L407" i="4"/>
  <c r="D407" i="4"/>
  <c r="S407" i="4"/>
  <c r="K407" i="4"/>
  <c r="R407" i="4"/>
  <c r="J407" i="4"/>
  <c r="I407" i="4"/>
  <c r="Q407" i="4"/>
  <c r="P407" i="4"/>
  <c r="H407" i="4"/>
  <c r="O419" i="4"/>
  <c r="G419" i="4"/>
  <c r="N419" i="4"/>
  <c r="F419" i="4"/>
  <c r="M419" i="4"/>
  <c r="E419" i="4"/>
  <c r="L419" i="4"/>
  <c r="D419" i="4"/>
  <c r="S419" i="4"/>
  <c r="K419" i="4"/>
  <c r="R419" i="4"/>
  <c r="J419" i="4"/>
  <c r="I419" i="4"/>
  <c r="Q419" i="4"/>
  <c r="P419" i="4"/>
  <c r="H419" i="4"/>
  <c r="O439" i="4"/>
  <c r="G439" i="4"/>
  <c r="N439" i="4"/>
  <c r="F439" i="4"/>
  <c r="M439" i="4"/>
  <c r="E439" i="4"/>
  <c r="L439" i="4"/>
  <c r="D439" i="4"/>
  <c r="S439" i="4"/>
  <c r="K439" i="4"/>
  <c r="R439" i="4"/>
  <c r="J439" i="4"/>
  <c r="I439" i="4"/>
  <c r="Q439" i="4"/>
  <c r="H439" i="4"/>
  <c r="P439" i="4"/>
  <c r="O455" i="4"/>
  <c r="G455" i="4"/>
  <c r="N455" i="4"/>
  <c r="F455" i="4"/>
  <c r="M455" i="4"/>
  <c r="E455" i="4"/>
  <c r="L455" i="4"/>
  <c r="D455" i="4"/>
  <c r="S455" i="4"/>
  <c r="K455" i="4"/>
  <c r="R455" i="4"/>
  <c r="J455" i="4"/>
  <c r="I455" i="4"/>
  <c r="Q455" i="4"/>
  <c r="H455" i="4"/>
  <c r="P455" i="4"/>
  <c r="O467" i="4"/>
  <c r="G467" i="4"/>
  <c r="N467" i="4"/>
  <c r="F467" i="4"/>
  <c r="M467" i="4"/>
  <c r="E467" i="4"/>
  <c r="L467" i="4"/>
  <c r="D467" i="4"/>
  <c r="S467" i="4"/>
  <c r="K467" i="4"/>
  <c r="R467" i="4"/>
  <c r="J467" i="4"/>
  <c r="I467" i="4"/>
  <c r="H467" i="4"/>
  <c r="Q467" i="4"/>
  <c r="P467" i="4"/>
  <c r="O483" i="4"/>
  <c r="G483" i="4"/>
  <c r="N483" i="4"/>
  <c r="F483" i="4"/>
  <c r="M483" i="4"/>
  <c r="E483" i="4"/>
  <c r="L483" i="4"/>
  <c r="D483" i="4"/>
  <c r="S483" i="4"/>
  <c r="K483" i="4"/>
  <c r="R483" i="4"/>
  <c r="J483" i="4"/>
  <c r="I483" i="4"/>
  <c r="H483" i="4"/>
  <c r="Q483" i="4"/>
  <c r="P483" i="4"/>
  <c r="O499" i="4"/>
  <c r="G499" i="4"/>
  <c r="N499" i="4"/>
  <c r="F499" i="4"/>
  <c r="M499" i="4"/>
  <c r="E499" i="4"/>
  <c r="L499" i="4"/>
  <c r="D499" i="4"/>
  <c r="S499" i="4"/>
  <c r="K499" i="4"/>
  <c r="R499" i="4"/>
  <c r="J499" i="4"/>
  <c r="I499" i="4"/>
  <c r="H499" i="4"/>
  <c r="Q499" i="4"/>
  <c r="P499" i="4"/>
  <c r="O515" i="4"/>
  <c r="G515" i="4"/>
  <c r="N515" i="4"/>
  <c r="F515" i="4"/>
  <c r="M515" i="4"/>
  <c r="E515" i="4"/>
  <c r="L515" i="4"/>
  <c r="D515" i="4"/>
  <c r="S515" i="4"/>
  <c r="K515" i="4"/>
  <c r="R515" i="4"/>
  <c r="J515" i="4"/>
  <c r="I515" i="4"/>
  <c r="H515" i="4"/>
  <c r="Q515" i="4"/>
  <c r="P515" i="4"/>
  <c r="O527" i="4"/>
  <c r="G527" i="4"/>
  <c r="N527" i="4"/>
  <c r="F527" i="4"/>
  <c r="M527" i="4"/>
  <c r="E527" i="4"/>
  <c r="L527" i="4"/>
  <c r="D527" i="4"/>
  <c r="S527" i="4"/>
  <c r="K527" i="4"/>
  <c r="R527" i="4"/>
  <c r="J527" i="4"/>
  <c r="I527" i="4"/>
  <c r="H527" i="4"/>
  <c r="Q527" i="4"/>
  <c r="P527" i="4"/>
  <c r="O543" i="4"/>
  <c r="G543" i="4"/>
  <c r="N543" i="4"/>
  <c r="F543" i="4"/>
  <c r="M543" i="4"/>
  <c r="E543" i="4"/>
  <c r="L543" i="4"/>
  <c r="D543" i="4"/>
  <c r="S543" i="4"/>
  <c r="K543" i="4"/>
  <c r="R543" i="4"/>
  <c r="J543" i="4"/>
  <c r="I543" i="4"/>
  <c r="H543" i="4"/>
  <c r="Q543" i="4"/>
  <c r="P543" i="4"/>
  <c r="O559" i="4"/>
  <c r="G559" i="4"/>
  <c r="N559" i="4"/>
  <c r="F559" i="4"/>
  <c r="M559" i="4"/>
  <c r="E559" i="4"/>
  <c r="L559" i="4"/>
  <c r="D559" i="4"/>
  <c r="S559" i="4"/>
  <c r="K559" i="4"/>
  <c r="R559" i="4"/>
  <c r="J559" i="4"/>
  <c r="I559" i="4"/>
  <c r="H559" i="4"/>
  <c r="Q559" i="4"/>
  <c r="P559" i="4"/>
  <c r="O579" i="4"/>
  <c r="G579" i="4"/>
  <c r="N579" i="4"/>
  <c r="F579" i="4"/>
  <c r="M579" i="4"/>
  <c r="E579" i="4"/>
  <c r="L579" i="4"/>
  <c r="D579" i="4"/>
  <c r="S579" i="4"/>
  <c r="K579" i="4"/>
  <c r="R579" i="4"/>
  <c r="J579" i="4"/>
  <c r="I579" i="4"/>
  <c r="H579" i="4"/>
  <c r="Q579" i="4"/>
  <c r="P579" i="4"/>
  <c r="O595" i="4"/>
  <c r="G595" i="4"/>
  <c r="N595" i="4"/>
  <c r="F595" i="4"/>
  <c r="M595" i="4"/>
  <c r="E595" i="4"/>
  <c r="L595" i="4"/>
  <c r="D595" i="4"/>
  <c r="S595" i="4"/>
  <c r="K595" i="4"/>
  <c r="R595" i="4"/>
  <c r="J595" i="4"/>
  <c r="I595" i="4"/>
  <c r="H595" i="4"/>
  <c r="Q595" i="4"/>
  <c r="O607" i="4"/>
  <c r="G607" i="4"/>
  <c r="N607" i="4"/>
  <c r="F607" i="4"/>
  <c r="M607" i="4"/>
  <c r="E607" i="4"/>
  <c r="L607" i="4"/>
  <c r="D607" i="4"/>
  <c r="S607" i="4"/>
  <c r="K607" i="4"/>
  <c r="R607" i="4"/>
  <c r="J607" i="4"/>
  <c r="I607" i="4"/>
  <c r="H607" i="4"/>
  <c r="Q607" i="4"/>
  <c r="P607" i="4"/>
  <c r="O619" i="4"/>
  <c r="G619" i="4"/>
  <c r="N619" i="4"/>
  <c r="F619" i="4"/>
  <c r="M619" i="4"/>
  <c r="E619" i="4"/>
  <c r="L619" i="4"/>
  <c r="D619" i="4"/>
  <c r="S619" i="4"/>
  <c r="K619" i="4"/>
  <c r="R619" i="4"/>
  <c r="J619" i="4"/>
  <c r="I619" i="4"/>
  <c r="H619" i="4"/>
  <c r="Q619" i="4"/>
  <c r="P619" i="4"/>
  <c r="O635" i="4"/>
  <c r="G635" i="4"/>
  <c r="N635" i="4"/>
  <c r="F635" i="4"/>
  <c r="M635" i="4"/>
  <c r="E635" i="4"/>
  <c r="L635" i="4"/>
  <c r="D635" i="4"/>
  <c r="S635" i="4"/>
  <c r="K635" i="4"/>
  <c r="R635" i="4"/>
  <c r="J635" i="4"/>
  <c r="I635" i="4"/>
  <c r="H635" i="4"/>
  <c r="Q635" i="4"/>
  <c r="P635" i="4"/>
  <c r="O651" i="4"/>
  <c r="G651" i="4"/>
  <c r="N651" i="4"/>
  <c r="F651" i="4"/>
  <c r="M651" i="4"/>
  <c r="E651" i="4"/>
  <c r="L651" i="4"/>
  <c r="D651" i="4"/>
  <c r="S651" i="4"/>
  <c r="K651" i="4"/>
  <c r="R651" i="4"/>
  <c r="J651" i="4"/>
  <c r="I651" i="4"/>
  <c r="H651" i="4"/>
  <c r="Q651" i="4"/>
  <c r="P651" i="4"/>
  <c r="AF4" i="3" a="1"/>
  <c r="AF4" i="3" s="1"/>
  <c r="AN4" i="3"/>
  <c r="AE4" i="3"/>
  <c r="W4" i="3"/>
  <c r="O4" i="3"/>
  <c r="G4" i="3"/>
  <c r="AM4" i="3"/>
  <c r="AD4" i="3"/>
  <c r="V4" i="3"/>
  <c r="N4" i="3"/>
  <c r="AL4" i="3"/>
  <c r="AC4" i="3"/>
  <c r="U4" i="3"/>
  <c r="M4" i="3"/>
  <c r="E4" i="3"/>
  <c r="AK4" i="3"/>
  <c r="AB4" i="3"/>
  <c r="T4" i="3"/>
  <c r="L4" i="3"/>
  <c r="D4" i="3"/>
  <c r="AJ4" i="3"/>
  <c r="AA4" i="3"/>
  <c r="S4" i="3"/>
  <c r="K4" i="3"/>
  <c r="AI4" i="3"/>
  <c r="Z4" i="3"/>
  <c r="R4" i="3"/>
  <c r="J4" i="3"/>
  <c r="I4" i="3"/>
  <c r="AH4" i="3"/>
  <c r="AG4" i="3"/>
  <c r="Y4" i="3"/>
  <c r="X4" i="3"/>
  <c r="Q4" i="3"/>
  <c r="AF28" i="3" a="1"/>
  <c r="AF28" i="3" s="1"/>
  <c r="AN28" i="3"/>
  <c r="AE28" i="3"/>
  <c r="W28" i="3"/>
  <c r="O28" i="3"/>
  <c r="G28" i="3"/>
  <c r="AM28" i="3"/>
  <c r="AD28" i="3"/>
  <c r="V28" i="3"/>
  <c r="N28" i="3"/>
  <c r="F28" i="3"/>
  <c r="AL28" i="3"/>
  <c r="AC28" i="3"/>
  <c r="U28" i="3"/>
  <c r="M28" i="3"/>
  <c r="E28" i="3"/>
  <c r="AB28" i="3"/>
  <c r="T28" i="3"/>
  <c r="L28" i="3"/>
  <c r="D28" i="3"/>
  <c r="AJ28" i="3"/>
  <c r="AA28" i="3"/>
  <c r="S28" i="3"/>
  <c r="K28" i="3"/>
  <c r="AI28" i="3"/>
  <c r="Z28" i="3"/>
  <c r="R28" i="3"/>
  <c r="J28" i="3"/>
  <c r="I28" i="3"/>
  <c r="H28" i="3"/>
  <c r="AH28" i="3"/>
  <c r="AG28" i="3"/>
  <c r="Y28" i="3"/>
  <c r="X28" i="3"/>
  <c r="Q28" i="3"/>
  <c r="P28" i="3"/>
  <c r="AF52" i="3" a="1"/>
  <c r="AF52" i="3" s="1"/>
  <c r="AN52" i="3"/>
  <c r="AE52" i="3"/>
  <c r="W52" i="3"/>
  <c r="O52" i="3"/>
  <c r="G52" i="3"/>
  <c r="AM52" i="3"/>
  <c r="AD52" i="3"/>
  <c r="V52" i="3"/>
  <c r="N52" i="3"/>
  <c r="F52" i="3"/>
  <c r="AL52" i="3"/>
  <c r="AC52" i="3"/>
  <c r="U52" i="3"/>
  <c r="M52" i="3"/>
  <c r="E52" i="3"/>
  <c r="AK52" i="3"/>
  <c r="AB52" i="3"/>
  <c r="T52" i="3"/>
  <c r="L52" i="3"/>
  <c r="D52" i="3"/>
  <c r="AJ52" i="3"/>
  <c r="AA52" i="3"/>
  <c r="S52" i="3"/>
  <c r="K52" i="3"/>
  <c r="AI52" i="3"/>
  <c r="Z52" i="3"/>
  <c r="R52" i="3"/>
  <c r="J52" i="3"/>
  <c r="I52" i="3"/>
  <c r="H52" i="3"/>
  <c r="AH52" i="3"/>
  <c r="AG52" i="3"/>
  <c r="Y52" i="3"/>
  <c r="X52" i="3"/>
  <c r="Q52" i="3"/>
  <c r="P52" i="3"/>
  <c r="AF72" i="3" a="1"/>
  <c r="AF72" i="3" s="1"/>
  <c r="AH72" i="3"/>
  <c r="Y72" i="3"/>
  <c r="Q72" i="3"/>
  <c r="I72" i="3"/>
  <c r="AN72" i="3"/>
  <c r="AE72" i="3"/>
  <c r="AL72" i="3"/>
  <c r="AB72" i="3"/>
  <c r="S72" i="3"/>
  <c r="J72" i="3"/>
  <c r="AM72" i="3"/>
  <c r="AA72" i="3"/>
  <c r="R72" i="3"/>
  <c r="H72" i="3"/>
  <c r="AK72" i="3"/>
  <c r="Z72" i="3"/>
  <c r="P72" i="3"/>
  <c r="G72" i="3"/>
  <c r="AJ72" i="3"/>
  <c r="X72" i="3"/>
  <c r="O72" i="3"/>
  <c r="F72" i="3"/>
  <c r="AI72" i="3"/>
  <c r="W72" i="3"/>
  <c r="N72" i="3"/>
  <c r="E72" i="3"/>
  <c r="AG72" i="3"/>
  <c r="V72" i="3"/>
  <c r="M72" i="3"/>
  <c r="D72" i="3"/>
  <c r="U72" i="3"/>
  <c r="T72" i="3"/>
  <c r="L72" i="3"/>
  <c r="K72" i="3"/>
  <c r="AD72" i="3"/>
  <c r="AC72" i="3"/>
  <c r="AF92" i="3" a="1"/>
  <c r="AF92" i="3" s="1"/>
  <c r="AL92" i="3"/>
  <c r="AC92" i="3"/>
  <c r="AK92" i="3"/>
  <c r="AB92" i="3"/>
  <c r="AJ92" i="3"/>
  <c r="AA92" i="3"/>
  <c r="AI92" i="3"/>
  <c r="Z92" i="3"/>
  <c r="AH92" i="3"/>
  <c r="Y92" i="3"/>
  <c r="AG92" i="3"/>
  <c r="X92" i="3"/>
  <c r="AE92" i="3"/>
  <c r="Q92" i="3"/>
  <c r="I92" i="3"/>
  <c r="AD92" i="3"/>
  <c r="P92" i="3"/>
  <c r="H92" i="3"/>
  <c r="W92" i="3"/>
  <c r="O92" i="3"/>
  <c r="G92" i="3"/>
  <c r="V92" i="3"/>
  <c r="N92" i="3"/>
  <c r="F92" i="3"/>
  <c r="U92" i="3"/>
  <c r="M92" i="3"/>
  <c r="E92" i="3"/>
  <c r="T92" i="3"/>
  <c r="L92" i="3"/>
  <c r="D92" i="3"/>
  <c r="R92" i="3"/>
  <c r="K92" i="3"/>
  <c r="J92" i="3"/>
  <c r="AN92" i="3"/>
  <c r="AM92" i="3"/>
  <c r="S92" i="3"/>
  <c r="AF116" i="3" a="1"/>
  <c r="AF116" i="3" s="1"/>
  <c r="AL116" i="3"/>
  <c r="AC116" i="3"/>
  <c r="U116" i="3"/>
  <c r="M116" i="3"/>
  <c r="E116" i="3"/>
  <c r="AK116" i="3"/>
  <c r="AB116" i="3"/>
  <c r="T116" i="3"/>
  <c r="L116" i="3"/>
  <c r="D116" i="3"/>
  <c r="AJ116" i="3"/>
  <c r="AA116" i="3"/>
  <c r="S116" i="3"/>
  <c r="K116" i="3"/>
  <c r="AI116" i="3"/>
  <c r="Z116" i="3"/>
  <c r="R116" i="3"/>
  <c r="J116" i="3"/>
  <c r="AH116" i="3"/>
  <c r="Y116" i="3"/>
  <c r="Q116" i="3"/>
  <c r="I116" i="3"/>
  <c r="AG116" i="3"/>
  <c r="X116" i="3"/>
  <c r="P116" i="3"/>
  <c r="H116" i="3"/>
  <c r="AE116" i="3"/>
  <c r="AD116" i="3"/>
  <c r="W116" i="3"/>
  <c r="V116" i="3"/>
  <c r="O116" i="3"/>
  <c r="N116" i="3"/>
  <c r="AM116" i="3"/>
  <c r="G116" i="3"/>
  <c r="F116" i="3"/>
  <c r="AN116" i="3"/>
  <c r="AF140" i="3" a="1"/>
  <c r="AF140" i="3" s="1"/>
  <c r="AL140" i="3"/>
  <c r="AC140" i="3"/>
  <c r="U140" i="3"/>
  <c r="M140" i="3"/>
  <c r="E140" i="3"/>
  <c r="AK140" i="3"/>
  <c r="AB140" i="3"/>
  <c r="T140" i="3"/>
  <c r="L140" i="3"/>
  <c r="D140" i="3"/>
  <c r="AJ140" i="3"/>
  <c r="AA140" i="3"/>
  <c r="S140" i="3"/>
  <c r="K140" i="3"/>
  <c r="AI140" i="3"/>
  <c r="Z140" i="3"/>
  <c r="R140" i="3"/>
  <c r="J140" i="3"/>
  <c r="AH140" i="3"/>
  <c r="Y140" i="3"/>
  <c r="Q140" i="3"/>
  <c r="I140" i="3"/>
  <c r="AG140" i="3"/>
  <c r="X140" i="3"/>
  <c r="P140" i="3"/>
  <c r="H140" i="3"/>
  <c r="AE140" i="3"/>
  <c r="AD140" i="3"/>
  <c r="W140" i="3"/>
  <c r="V140" i="3"/>
  <c r="O140" i="3"/>
  <c r="N140" i="3"/>
  <c r="AN140" i="3"/>
  <c r="AM140" i="3"/>
  <c r="G140" i="3"/>
  <c r="F140" i="3"/>
  <c r="AF156" i="3" a="1"/>
  <c r="AF156" i="3" s="1"/>
  <c r="AL156" i="3"/>
  <c r="AC156" i="3"/>
  <c r="U156" i="3"/>
  <c r="M156" i="3"/>
  <c r="E156" i="3"/>
  <c r="AK156" i="3"/>
  <c r="AB156" i="3"/>
  <c r="T156" i="3"/>
  <c r="L156" i="3"/>
  <c r="D156" i="3"/>
  <c r="AJ156" i="3"/>
  <c r="AA156" i="3"/>
  <c r="S156" i="3"/>
  <c r="K156" i="3"/>
  <c r="AI156" i="3"/>
  <c r="Z156" i="3"/>
  <c r="R156" i="3"/>
  <c r="J156" i="3"/>
  <c r="AH156" i="3"/>
  <c r="Y156" i="3"/>
  <c r="Q156" i="3"/>
  <c r="I156" i="3"/>
  <c r="AG156" i="3"/>
  <c r="X156" i="3"/>
  <c r="P156" i="3"/>
  <c r="H156" i="3"/>
  <c r="AE156" i="3"/>
  <c r="AD156" i="3"/>
  <c r="W156" i="3"/>
  <c r="V156" i="3"/>
  <c r="O156" i="3"/>
  <c r="N156" i="3"/>
  <c r="F156" i="3"/>
  <c r="AN156" i="3"/>
  <c r="AM156" i="3"/>
  <c r="G156" i="3"/>
  <c r="AF172" i="3" a="1"/>
  <c r="AF172" i="3" s="1"/>
  <c r="AL172" i="3"/>
  <c r="AC172" i="3"/>
  <c r="U172" i="3"/>
  <c r="M172" i="3"/>
  <c r="E172" i="3"/>
  <c r="AK172" i="3"/>
  <c r="AB172" i="3"/>
  <c r="T172" i="3"/>
  <c r="L172" i="3"/>
  <c r="D172" i="3"/>
  <c r="AJ172" i="3"/>
  <c r="AA172" i="3"/>
  <c r="S172" i="3"/>
  <c r="K172" i="3"/>
  <c r="AI172" i="3"/>
  <c r="Z172" i="3"/>
  <c r="R172" i="3"/>
  <c r="J172" i="3"/>
  <c r="AH172" i="3"/>
  <c r="Y172" i="3"/>
  <c r="Q172" i="3"/>
  <c r="I172" i="3"/>
  <c r="AG172" i="3"/>
  <c r="X172" i="3"/>
  <c r="P172" i="3"/>
  <c r="H172" i="3"/>
  <c r="AE172" i="3"/>
  <c r="AD172" i="3"/>
  <c r="W172" i="3"/>
  <c r="V172" i="3"/>
  <c r="O172" i="3"/>
  <c r="N172" i="3"/>
  <c r="AN172" i="3"/>
  <c r="G172" i="3"/>
  <c r="F172" i="3"/>
  <c r="AM172" i="3"/>
  <c r="AF192" i="3" a="1"/>
  <c r="AF192" i="3" s="1"/>
  <c r="AL192" i="3"/>
  <c r="AC192" i="3"/>
  <c r="U192" i="3"/>
  <c r="M192" i="3"/>
  <c r="E192" i="3"/>
  <c r="AK192" i="3"/>
  <c r="AB192" i="3"/>
  <c r="T192" i="3"/>
  <c r="L192" i="3"/>
  <c r="D192" i="3"/>
  <c r="AJ192" i="3"/>
  <c r="AA192" i="3"/>
  <c r="S192" i="3"/>
  <c r="K192" i="3"/>
  <c r="AI192" i="3"/>
  <c r="Z192" i="3"/>
  <c r="R192" i="3"/>
  <c r="J192" i="3"/>
  <c r="AH192" i="3"/>
  <c r="Y192" i="3"/>
  <c r="Q192" i="3"/>
  <c r="I192" i="3"/>
  <c r="AG192" i="3"/>
  <c r="X192" i="3"/>
  <c r="P192" i="3"/>
  <c r="H192" i="3"/>
  <c r="O192" i="3"/>
  <c r="N192" i="3"/>
  <c r="AN192" i="3"/>
  <c r="G192" i="3"/>
  <c r="AM192" i="3"/>
  <c r="F192" i="3"/>
  <c r="AE192" i="3"/>
  <c r="AD192" i="3"/>
  <c r="W192" i="3"/>
  <c r="V192" i="3"/>
  <c r="AF212" i="3" a="1"/>
  <c r="AF212" i="3" s="1"/>
  <c r="AL212" i="3"/>
  <c r="AC212" i="3"/>
  <c r="U212" i="3"/>
  <c r="M212" i="3"/>
  <c r="E212" i="3"/>
  <c r="AK212" i="3"/>
  <c r="AB212" i="3"/>
  <c r="T212" i="3"/>
  <c r="L212" i="3"/>
  <c r="D212" i="3"/>
  <c r="AJ212" i="3"/>
  <c r="AA212" i="3"/>
  <c r="S212" i="3"/>
  <c r="K212" i="3"/>
  <c r="AI212" i="3"/>
  <c r="Z212" i="3"/>
  <c r="R212" i="3"/>
  <c r="J212" i="3"/>
  <c r="AH212" i="3"/>
  <c r="Y212" i="3"/>
  <c r="Q212" i="3"/>
  <c r="I212" i="3"/>
  <c r="AG212" i="3"/>
  <c r="X212" i="3"/>
  <c r="P212" i="3"/>
  <c r="H212" i="3"/>
  <c r="AE212" i="3"/>
  <c r="AD212" i="3"/>
  <c r="W212" i="3"/>
  <c r="V212" i="3"/>
  <c r="O212" i="3"/>
  <c r="N212" i="3"/>
  <c r="AN212" i="3"/>
  <c r="G212" i="3"/>
  <c r="AM212" i="3"/>
  <c r="F212" i="3"/>
  <c r="AF228" i="3" a="1"/>
  <c r="AF228" i="3" s="1"/>
  <c r="AL228" i="3"/>
  <c r="AC228" i="3"/>
  <c r="U228" i="3"/>
  <c r="M228" i="3"/>
  <c r="E228" i="3"/>
  <c r="AK228" i="3"/>
  <c r="AB228" i="3"/>
  <c r="T228" i="3"/>
  <c r="L228" i="3"/>
  <c r="D228" i="3"/>
  <c r="AJ228" i="3"/>
  <c r="AA228" i="3"/>
  <c r="S228" i="3"/>
  <c r="K228" i="3"/>
  <c r="AI228" i="3"/>
  <c r="Z228" i="3"/>
  <c r="R228" i="3"/>
  <c r="J228" i="3"/>
  <c r="AH228" i="3"/>
  <c r="Y228" i="3"/>
  <c r="Q228" i="3"/>
  <c r="I228" i="3"/>
  <c r="AG228" i="3"/>
  <c r="X228" i="3"/>
  <c r="P228" i="3"/>
  <c r="H228" i="3"/>
  <c r="AN228" i="3"/>
  <c r="G228" i="3"/>
  <c r="AM228" i="3"/>
  <c r="F228" i="3"/>
  <c r="AE228" i="3"/>
  <c r="AD228" i="3"/>
  <c r="W228" i="3"/>
  <c r="V228" i="3"/>
  <c r="O228" i="3"/>
  <c r="N228" i="3"/>
  <c r="AF244" i="3" a="1"/>
  <c r="AF244" i="3" s="1"/>
  <c r="AL244" i="3"/>
  <c r="AC244" i="3"/>
  <c r="U244" i="3"/>
  <c r="M244" i="3"/>
  <c r="E244" i="3"/>
  <c r="AK244" i="3"/>
  <c r="AB244" i="3"/>
  <c r="T244" i="3"/>
  <c r="L244" i="3"/>
  <c r="D244" i="3"/>
  <c r="AJ244" i="3"/>
  <c r="AA244" i="3"/>
  <c r="S244" i="3"/>
  <c r="K244" i="3"/>
  <c r="AI244" i="3"/>
  <c r="Z244" i="3"/>
  <c r="R244" i="3"/>
  <c r="J244" i="3"/>
  <c r="AH244" i="3"/>
  <c r="Y244" i="3"/>
  <c r="Q244" i="3"/>
  <c r="I244" i="3"/>
  <c r="AG244" i="3"/>
  <c r="X244" i="3"/>
  <c r="P244" i="3"/>
  <c r="H244" i="3"/>
  <c r="AN244" i="3"/>
  <c r="G244" i="3"/>
  <c r="AM244" i="3"/>
  <c r="F244" i="3"/>
  <c r="AE244" i="3"/>
  <c r="AD244" i="3"/>
  <c r="W244" i="3"/>
  <c r="V244" i="3"/>
  <c r="O244" i="3"/>
  <c r="N244" i="3"/>
  <c r="AF264" i="3" a="1"/>
  <c r="AF264" i="3" s="1"/>
  <c r="AL264" i="3"/>
  <c r="AC264" i="3"/>
  <c r="U264" i="3"/>
  <c r="M264" i="3"/>
  <c r="E264" i="3"/>
  <c r="AK264" i="3"/>
  <c r="AB264" i="3"/>
  <c r="T264" i="3"/>
  <c r="L264" i="3"/>
  <c r="D264" i="3"/>
  <c r="AJ264" i="3"/>
  <c r="AA264" i="3"/>
  <c r="S264" i="3"/>
  <c r="K264" i="3"/>
  <c r="AI264" i="3"/>
  <c r="Z264" i="3"/>
  <c r="R264" i="3"/>
  <c r="J264" i="3"/>
  <c r="AH264" i="3"/>
  <c r="Y264" i="3"/>
  <c r="Q264" i="3"/>
  <c r="I264" i="3"/>
  <c r="AG264" i="3"/>
  <c r="X264" i="3"/>
  <c r="P264" i="3"/>
  <c r="H264" i="3"/>
  <c r="W264" i="3"/>
  <c r="V264" i="3"/>
  <c r="O264" i="3"/>
  <c r="N264" i="3"/>
  <c r="AN264" i="3"/>
  <c r="G264" i="3"/>
  <c r="AM264" i="3"/>
  <c r="F264" i="3"/>
  <c r="AE264" i="3"/>
  <c r="AD264" i="3"/>
  <c r="AF276" i="3" a="1"/>
  <c r="AF276" i="3" s="1"/>
  <c r="AI276" i="3"/>
  <c r="Z276" i="3"/>
  <c r="R276" i="3"/>
  <c r="J276" i="3"/>
  <c r="AH276" i="3"/>
  <c r="Y276" i="3"/>
  <c r="Q276" i="3"/>
  <c r="I276" i="3"/>
  <c r="AG276" i="3"/>
  <c r="X276" i="3"/>
  <c r="P276" i="3"/>
  <c r="H276" i="3"/>
  <c r="AM276" i="3"/>
  <c r="AD276" i="3"/>
  <c r="V276" i="3"/>
  <c r="N276" i="3"/>
  <c r="F276" i="3"/>
  <c r="AL276" i="3"/>
  <c r="AC276" i="3"/>
  <c r="U276" i="3"/>
  <c r="M276" i="3"/>
  <c r="E276" i="3"/>
  <c r="W276" i="3"/>
  <c r="T276" i="3"/>
  <c r="AN276" i="3"/>
  <c r="S276" i="3"/>
  <c r="AK276" i="3"/>
  <c r="O276" i="3"/>
  <c r="AJ276" i="3"/>
  <c r="L276" i="3"/>
  <c r="AE276" i="3"/>
  <c r="K276" i="3"/>
  <c r="AB276" i="3"/>
  <c r="AA276" i="3"/>
  <c r="G276" i="3"/>
  <c r="D276" i="3"/>
  <c r="AF300" i="3" a="1"/>
  <c r="AF300" i="3" s="1"/>
  <c r="AI300" i="3"/>
  <c r="Z300" i="3"/>
  <c r="R300" i="3"/>
  <c r="J300" i="3"/>
  <c r="AH300" i="3"/>
  <c r="Y300" i="3"/>
  <c r="Q300" i="3"/>
  <c r="I300" i="3"/>
  <c r="AG300" i="3"/>
  <c r="X300" i="3"/>
  <c r="P300" i="3"/>
  <c r="H300" i="3"/>
  <c r="AM300" i="3"/>
  <c r="AD300" i="3"/>
  <c r="V300" i="3"/>
  <c r="N300" i="3"/>
  <c r="F300" i="3"/>
  <c r="AL300" i="3"/>
  <c r="AC300" i="3"/>
  <c r="U300" i="3"/>
  <c r="M300" i="3"/>
  <c r="E300" i="3"/>
  <c r="AJ300" i="3"/>
  <c r="L300" i="3"/>
  <c r="AE300" i="3"/>
  <c r="K300" i="3"/>
  <c r="AB300" i="3"/>
  <c r="G300" i="3"/>
  <c r="AA300" i="3"/>
  <c r="D300" i="3"/>
  <c r="W300" i="3"/>
  <c r="T300" i="3"/>
  <c r="AN300" i="3"/>
  <c r="AK300" i="3"/>
  <c r="S300" i="3"/>
  <c r="O300" i="3"/>
  <c r="AF320" i="3" a="1"/>
  <c r="AF320" i="3" s="1"/>
  <c r="AH320" i="3"/>
  <c r="Y320" i="3"/>
  <c r="Q320" i="3"/>
  <c r="I320" i="3"/>
  <c r="AG320" i="3"/>
  <c r="X320" i="3"/>
  <c r="P320" i="3"/>
  <c r="H320" i="3"/>
  <c r="AN320" i="3"/>
  <c r="AE320" i="3"/>
  <c r="W320" i="3"/>
  <c r="O320" i="3"/>
  <c r="G320" i="3"/>
  <c r="AL320" i="3"/>
  <c r="AC320" i="3"/>
  <c r="U320" i="3"/>
  <c r="M320" i="3"/>
  <c r="E320" i="3"/>
  <c r="AJ320" i="3"/>
  <c r="S320" i="3"/>
  <c r="AI320" i="3"/>
  <c r="R320" i="3"/>
  <c r="AD320" i="3"/>
  <c r="N320" i="3"/>
  <c r="AA320" i="3"/>
  <c r="K320" i="3"/>
  <c r="Z320" i="3"/>
  <c r="J320" i="3"/>
  <c r="AK320" i="3"/>
  <c r="AB320" i="3"/>
  <c r="V320" i="3"/>
  <c r="T320" i="3"/>
  <c r="L320" i="3"/>
  <c r="F320" i="3"/>
  <c r="D320" i="3"/>
  <c r="AM320" i="3"/>
  <c r="AF332" i="3" a="1"/>
  <c r="AF332" i="3" s="1"/>
  <c r="AH332" i="3"/>
  <c r="Y332" i="3"/>
  <c r="Q332" i="3"/>
  <c r="I332" i="3"/>
  <c r="AG332" i="3"/>
  <c r="X332" i="3"/>
  <c r="P332" i="3"/>
  <c r="H332" i="3"/>
  <c r="AN332" i="3"/>
  <c r="AE332" i="3"/>
  <c r="W332" i="3"/>
  <c r="O332" i="3"/>
  <c r="G332" i="3"/>
  <c r="AL332" i="3"/>
  <c r="AC332" i="3"/>
  <c r="U332" i="3"/>
  <c r="M332" i="3"/>
  <c r="E332" i="3"/>
  <c r="AJ332" i="3"/>
  <c r="S332" i="3"/>
  <c r="AI332" i="3"/>
  <c r="R332" i="3"/>
  <c r="AD332" i="3"/>
  <c r="N332" i="3"/>
  <c r="AA332" i="3"/>
  <c r="K332" i="3"/>
  <c r="Z332" i="3"/>
  <c r="J332" i="3"/>
  <c r="AB332" i="3"/>
  <c r="V332" i="3"/>
  <c r="T332" i="3"/>
  <c r="L332" i="3"/>
  <c r="F332" i="3"/>
  <c r="D332" i="3"/>
  <c r="AM332" i="3"/>
  <c r="AK332" i="3"/>
  <c r="AF348" i="3" a="1"/>
  <c r="AF348" i="3" s="1"/>
  <c r="AH348" i="3"/>
  <c r="Y348" i="3"/>
  <c r="Q348" i="3"/>
  <c r="I348" i="3"/>
  <c r="AG348" i="3"/>
  <c r="X348" i="3"/>
  <c r="P348" i="3"/>
  <c r="H348" i="3"/>
  <c r="AN348" i="3"/>
  <c r="AE348" i="3"/>
  <c r="W348" i="3"/>
  <c r="O348" i="3"/>
  <c r="G348" i="3"/>
  <c r="AM348" i="3"/>
  <c r="AD348" i="3"/>
  <c r="V348" i="3"/>
  <c r="N348" i="3"/>
  <c r="F348" i="3"/>
  <c r="AL348" i="3"/>
  <c r="AC348" i="3"/>
  <c r="U348" i="3"/>
  <c r="M348" i="3"/>
  <c r="E348" i="3"/>
  <c r="AI348" i="3"/>
  <c r="K348" i="3"/>
  <c r="AB348" i="3"/>
  <c r="J348" i="3"/>
  <c r="AA348" i="3"/>
  <c r="D348" i="3"/>
  <c r="T348" i="3"/>
  <c r="S348" i="3"/>
  <c r="AK348" i="3"/>
  <c r="AJ348" i="3"/>
  <c r="Z348" i="3"/>
  <c r="R348" i="3"/>
  <c r="L348" i="3"/>
  <c r="AF368" i="3" a="1"/>
  <c r="AF368" i="3" s="1"/>
  <c r="AH368" i="3"/>
  <c r="Y368" i="3"/>
  <c r="Q368" i="3"/>
  <c r="I368" i="3"/>
  <c r="AG368" i="3"/>
  <c r="X368" i="3"/>
  <c r="P368" i="3"/>
  <c r="H368" i="3"/>
  <c r="AN368" i="3"/>
  <c r="AE368" i="3"/>
  <c r="W368" i="3"/>
  <c r="O368" i="3"/>
  <c r="G368" i="3"/>
  <c r="AM368" i="3"/>
  <c r="AD368" i="3"/>
  <c r="V368" i="3"/>
  <c r="N368" i="3"/>
  <c r="F368" i="3"/>
  <c r="AL368" i="3"/>
  <c r="AC368" i="3"/>
  <c r="U368" i="3"/>
  <c r="M368" i="3"/>
  <c r="E368" i="3"/>
  <c r="AK368" i="3"/>
  <c r="R368" i="3"/>
  <c r="AJ368" i="3"/>
  <c r="L368" i="3"/>
  <c r="AI368" i="3"/>
  <c r="K368" i="3"/>
  <c r="AA368" i="3"/>
  <c r="D368" i="3"/>
  <c r="Z368" i="3"/>
  <c r="T368" i="3"/>
  <c r="S368" i="3"/>
  <c r="J368" i="3"/>
  <c r="AB368" i="3"/>
  <c r="AF384" i="3" a="1"/>
  <c r="AF384" i="3" s="1"/>
  <c r="AH384" i="3"/>
  <c r="Y384" i="3"/>
  <c r="Q384" i="3"/>
  <c r="I384" i="3"/>
  <c r="AG384" i="3"/>
  <c r="X384" i="3"/>
  <c r="P384" i="3"/>
  <c r="H384" i="3"/>
  <c r="AN384" i="3"/>
  <c r="AE384" i="3"/>
  <c r="W384" i="3"/>
  <c r="O384" i="3"/>
  <c r="G384" i="3"/>
  <c r="AM384" i="3"/>
  <c r="AD384" i="3"/>
  <c r="V384" i="3"/>
  <c r="N384" i="3"/>
  <c r="F384" i="3"/>
  <c r="AL384" i="3"/>
  <c r="AC384" i="3"/>
  <c r="U384" i="3"/>
  <c r="M384" i="3"/>
  <c r="E384" i="3"/>
  <c r="AK384" i="3"/>
  <c r="AB384" i="3"/>
  <c r="T384" i="3"/>
  <c r="L384" i="3"/>
  <c r="D384" i="3"/>
  <c r="AJ384" i="3"/>
  <c r="AI384" i="3"/>
  <c r="AA384" i="3"/>
  <c r="Z384" i="3"/>
  <c r="S384" i="3"/>
  <c r="R384" i="3"/>
  <c r="K384" i="3"/>
  <c r="J384" i="3"/>
  <c r="AF396" i="3" a="1"/>
  <c r="AF396" i="3" s="1"/>
  <c r="AH396" i="3"/>
  <c r="Y396" i="3"/>
  <c r="Q396" i="3"/>
  <c r="I396" i="3"/>
  <c r="AG396" i="3"/>
  <c r="X396" i="3"/>
  <c r="P396" i="3"/>
  <c r="H396" i="3"/>
  <c r="AN396" i="3"/>
  <c r="AE396" i="3"/>
  <c r="W396" i="3"/>
  <c r="O396" i="3"/>
  <c r="G396" i="3"/>
  <c r="AM396" i="3"/>
  <c r="AD396" i="3"/>
  <c r="V396" i="3"/>
  <c r="N396" i="3"/>
  <c r="F396" i="3"/>
  <c r="AL396" i="3"/>
  <c r="AC396" i="3"/>
  <c r="U396" i="3"/>
  <c r="M396" i="3"/>
  <c r="E396" i="3"/>
  <c r="AK396" i="3"/>
  <c r="AB396" i="3"/>
  <c r="T396" i="3"/>
  <c r="L396" i="3"/>
  <c r="D396" i="3"/>
  <c r="S396" i="3"/>
  <c r="R396" i="3"/>
  <c r="K396" i="3"/>
  <c r="J396" i="3"/>
  <c r="AJ396" i="3"/>
  <c r="AI396" i="3"/>
  <c r="Z396" i="3"/>
  <c r="AA396" i="3"/>
  <c r="AF408" i="3" a="1"/>
  <c r="AF408" i="3" s="1"/>
  <c r="AH408" i="3"/>
  <c r="Y408" i="3"/>
  <c r="Q408" i="3"/>
  <c r="I408" i="3"/>
  <c r="AG408" i="3"/>
  <c r="X408" i="3"/>
  <c r="P408" i="3"/>
  <c r="H408" i="3"/>
  <c r="AN408" i="3"/>
  <c r="AE408" i="3"/>
  <c r="W408" i="3"/>
  <c r="O408" i="3"/>
  <c r="G408" i="3"/>
  <c r="AM408" i="3"/>
  <c r="AD408" i="3"/>
  <c r="V408" i="3"/>
  <c r="N408" i="3"/>
  <c r="F408" i="3"/>
  <c r="AL408" i="3"/>
  <c r="AC408" i="3"/>
  <c r="U408" i="3"/>
  <c r="M408" i="3"/>
  <c r="E408" i="3"/>
  <c r="AK408" i="3"/>
  <c r="AB408" i="3"/>
  <c r="T408" i="3"/>
  <c r="L408" i="3"/>
  <c r="D408" i="3"/>
  <c r="AJ408" i="3"/>
  <c r="AI408" i="3"/>
  <c r="AA408" i="3"/>
  <c r="Z408" i="3"/>
  <c r="S408" i="3"/>
  <c r="K408" i="3"/>
  <c r="J408" i="3"/>
  <c r="R408" i="3"/>
  <c r="AF424" i="3" a="1"/>
  <c r="AF424" i="3" s="1"/>
  <c r="AH424" i="3"/>
  <c r="Y424" i="3"/>
  <c r="Q424" i="3"/>
  <c r="I424" i="3"/>
  <c r="AG424" i="3"/>
  <c r="X424" i="3"/>
  <c r="P424" i="3"/>
  <c r="H424" i="3"/>
  <c r="AN424" i="3"/>
  <c r="AE424" i="3"/>
  <c r="W424" i="3"/>
  <c r="O424" i="3"/>
  <c r="G424" i="3"/>
  <c r="AM424" i="3"/>
  <c r="AD424" i="3"/>
  <c r="V424" i="3"/>
  <c r="N424" i="3"/>
  <c r="F424" i="3"/>
  <c r="AL424" i="3"/>
  <c r="AC424" i="3"/>
  <c r="U424" i="3"/>
  <c r="M424" i="3"/>
  <c r="E424" i="3"/>
  <c r="AK424" i="3"/>
  <c r="AB424" i="3"/>
  <c r="T424" i="3"/>
  <c r="L424" i="3"/>
  <c r="D424" i="3"/>
  <c r="AJ424" i="3"/>
  <c r="AI424" i="3"/>
  <c r="AA424" i="3"/>
  <c r="Z424" i="3"/>
  <c r="S424" i="3"/>
  <c r="R424" i="3"/>
  <c r="K424" i="3"/>
  <c r="J424" i="3"/>
  <c r="AF444" i="3" a="1"/>
  <c r="AF444" i="3" s="1"/>
  <c r="AM444" i="3"/>
  <c r="AD444" i="3"/>
  <c r="V444" i="3"/>
  <c r="N444" i="3"/>
  <c r="F444" i="3"/>
  <c r="AL444" i="3"/>
  <c r="AC444" i="3"/>
  <c r="U444" i="3"/>
  <c r="M444" i="3"/>
  <c r="E444" i="3"/>
  <c r="AK444" i="3"/>
  <c r="AB444" i="3"/>
  <c r="T444" i="3"/>
  <c r="L444" i="3"/>
  <c r="D444" i="3"/>
  <c r="AI444" i="3"/>
  <c r="Z444" i="3"/>
  <c r="R444" i="3"/>
  <c r="J444" i="3"/>
  <c r="AH444" i="3"/>
  <c r="Y444" i="3"/>
  <c r="Q444" i="3"/>
  <c r="I444" i="3"/>
  <c r="AN444" i="3"/>
  <c r="P444" i="3"/>
  <c r="AJ444" i="3"/>
  <c r="O444" i="3"/>
  <c r="AG444" i="3"/>
  <c r="K444" i="3"/>
  <c r="AE444" i="3"/>
  <c r="H444" i="3"/>
  <c r="AA444" i="3"/>
  <c r="G444" i="3"/>
  <c r="X444" i="3"/>
  <c r="W444" i="3"/>
  <c r="S444" i="3"/>
  <c r="AF464" i="3" a="1"/>
  <c r="AF464" i="3" s="1"/>
  <c r="AM464" i="3"/>
  <c r="AD464" i="3"/>
  <c r="V464" i="3"/>
  <c r="N464" i="3"/>
  <c r="F464" i="3"/>
  <c r="AL464" i="3"/>
  <c r="AC464" i="3"/>
  <c r="U464" i="3"/>
  <c r="M464" i="3"/>
  <c r="E464" i="3"/>
  <c r="AK464" i="3"/>
  <c r="AB464" i="3"/>
  <c r="T464" i="3"/>
  <c r="L464" i="3"/>
  <c r="D464" i="3"/>
  <c r="AJ464" i="3"/>
  <c r="AA464" i="3"/>
  <c r="S464" i="3"/>
  <c r="K464" i="3"/>
  <c r="AI464" i="3"/>
  <c r="Z464" i="3"/>
  <c r="R464" i="3"/>
  <c r="J464" i="3"/>
  <c r="AH464" i="3"/>
  <c r="Y464" i="3"/>
  <c r="Q464" i="3"/>
  <c r="I464" i="3"/>
  <c r="H464" i="3"/>
  <c r="AN464" i="3"/>
  <c r="G464" i="3"/>
  <c r="AG464" i="3"/>
  <c r="AE464" i="3"/>
  <c r="X464" i="3"/>
  <c r="W464" i="3"/>
  <c r="P464" i="3"/>
  <c r="O464" i="3"/>
  <c r="AF480" i="3" a="1"/>
  <c r="AF480" i="3" s="1"/>
  <c r="AM480" i="3"/>
  <c r="AD480" i="3"/>
  <c r="V480" i="3"/>
  <c r="N480" i="3"/>
  <c r="F480" i="3"/>
  <c r="AL480" i="3"/>
  <c r="AC480" i="3"/>
  <c r="U480" i="3"/>
  <c r="M480" i="3"/>
  <c r="E480" i="3"/>
  <c r="AK480" i="3"/>
  <c r="AB480" i="3"/>
  <c r="T480" i="3"/>
  <c r="L480" i="3"/>
  <c r="D480" i="3"/>
  <c r="AJ480" i="3"/>
  <c r="AA480" i="3"/>
  <c r="S480" i="3"/>
  <c r="K480" i="3"/>
  <c r="AI480" i="3"/>
  <c r="Z480" i="3"/>
  <c r="R480" i="3"/>
  <c r="J480" i="3"/>
  <c r="AH480" i="3"/>
  <c r="Y480" i="3"/>
  <c r="Q480" i="3"/>
  <c r="I480" i="3"/>
  <c r="H480" i="3"/>
  <c r="AN480" i="3"/>
  <c r="G480" i="3"/>
  <c r="AG480" i="3"/>
  <c r="AE480" i="3"/>
  <c r="X480" i="3"/>
  <c r="W480" i="3"/>
  <c r="P480" i="3"/>
  <c r="O480" i="3"/>
  <c r="AF500" i="3" a="1"/>
  <c r="AF500" i="3" s="1"/>
  <c r="AM500" i="3"/>
  <c r="AD500" i="3"/>
  <c r="V500" i="3"/>
  <c r="N500" i="3"/>
  <c r="F500" i="3"/>
  <c r="AL500" i="3"/>
  <c r="AC500" i="3"/>
  <c r="U500" i="3"/>
  <c r="M500" i="3"/>
  <c r="E500" i="3"/>
  <c r="AK500" i="3"/>
  <c r="AB500" i="3"/>
  <c r="T500" i="3"/>
  <c r="L500" i="3"/>
  <c r="D500" i="3"/>
  <c r="AI500" i="3"/>
  <c r="Z500" i="3"/>
  <c r="R500" i="3"/>
  <c r="J500" i="3"/>
  <c r="AH500" i="3"/>
  <c r="Y500" i="3"/>
  <c r="Q500" i="3"/>
  <c r="I500" i="3"/>
  <c r="AE500" i="3"/>
  <c r="H500" i="3"/>
  <c r="AA500" i="3"/>
  <c r="G500" i="3"/>
  <c r="X500" i="3"/>
  <c r="W500" i="3"/>
  <c r="S500" i="3"/>
  <c r="AN500" i="3"/>
  <c r="P500" i="3"/>
  <c r="AJ500" i="3"/>
  <c r="AG500" i="3"/>
  <c r="K500" i="3"/>
  <c r="O500" i="3"/>
  <c r="AF524" i="3" a="1"/>
  <c r="AF524" i="3" s="1"/>
  <c r="AI524" i="3"/>
  <c r="Z524" i="3"/>
  <c r="R524" i="3"/>
  <c r="J524" i="3"/>
  <c r="AH524" i="3"/>
  <c r="Y524" i="3"/>
  <c r="Q524" i="3"/>
  <c r="I524" i="3"/>
  <c r="AG524" i="3"/>
  <c r="X524" i="3"/>
  <c r="P524" i="3"/>
  <c r="H524" i="3"/>
  <c r="AN524" i="3"/>
  <c r="AE524" i="3"/>
  <c r="W524" i="3"/>
  <c r="O524" i="3"/>
  <c r="G524" i="3"/>
  <c r="AM524" i="3"/>
  <c r="AD524" i="3"/>
  <c r="V524" i="3"/>
  <c r="N524" i="3"/>
  <c r="F524" i="3"/>
  <c r="AL524" i="3"/>
  <c r="AC524" i="3"/>
  <c r="U524" i="3"/>
  <c r="M524" i="3"/>
  <c r="E524" i="3"/>
  <c r="L524" i="3"/>
  <c r="K524" i="3"/>
  <c r="AK524" i="3"/>
  <c r="D524" i="3"/>
  <c r="AJ524" i="3"/>
  <c r="AB524" i="3"/>
  <c r="AA524" i="3"/>
  <c r="T524" i="3"/>
  <c r="S524" i="3"/>
  <c r="AF548" i="3" a="1"/>
  <c r="AF548" i="3" s="1"/>
  <c r="AM548" i="3"/>
  <c r="AD548" i="3"/>
  <c r="V548" i="3"/>
  <c r="N548" i="3"/>
  <c r="F548" i="3"/>
  <c r="AL548" i="3"/>
  <c r="AC548" i="3"/>
  <c r="U548" i="3"/>
  <c r="M548" i="3"/>
  <c r="E548" i="3"/>
  <c r="AI548" i="3"/>
  <c r="Z548" i="3"/>
  <c r="R548" i="3"/>
  <c r="J548" i="3"/>
  <c r="AH548" i="3"/>
  <c r="Y548" i="3"/>
  <c r="Q548" i="3"/>
  <c r="I548" i="3"/>
  <c r="AK548" i="3"/>
  <c r="T548" i="3"/>
  <c r="D548" i="3"/>
  <c r="AJ548" i="3"/>
  <c r="S548" i="3"/>
  <c r="AG548" i="3"/>
  <c r="P548" i="3"/>
  <c r="AE548" i="3"/>
  <c r="O548" i="3"/>
  <c r="AB548" i="3"/>
  <c r="L548" i="3"/>
  <c r="AA548" i="3"/>
  <c r="K548" i="3"/>
  <c r="X548" i="3"/>
  <c r="W548" i="3"/>
  <c r="H548" i="3"/>
  <c r="G548" i="3"/>
  <c r="AN548" i="3"/>
  <c r="AF572" i="3" a="1"/>
  <c r="AF572" i="3" s="1"/>
  <c r="AI572" i="3"/>
  <c r="AH572" i="3"/>
  <c r="Y572" i="3"/>
  <c r="Q572" i="3"/>
  <c r="I572" i="3"/>
  <c r="AG572" i="3"/>
  <c r="X572" i="3"/>
  <c r="P572" i="3"/>
  <c r="H572" i="3"/>
  <c r="AM572" i="3"/>
  <c r="AD572" i="3"/>
  <c r="V572" i="3"/>
  <c r="N572" i="3"/>
  <c r="F572" i="3"/>
  <c r="AK572" i="3"/>
  <c r="U572" i="3"/>
  <c r="J572" i="3"/>
  <c r="AJ572" i="3"/>
  <c r="T572" i="3"/>
  <c r="G572" i="3"/>
  <c r="AE572" i="3"/>
  <c r="S572" i="3"/>
  <c r="E572" i="3"/>
  <c r="AB572" i="3"/>
  <c r="O572" i="3"/>
  <c r="AA572" i="3"/>
  <c r="M572" i="3"/>
  <c r="AN572" i="3"/>
  <c r="D572" i="3"/>
  <c r="AL572" i="3"/>
  <c r="AC572" i="3"/>
  <c r="Z572" i="3"/>
  <c r="W572" i="3"/>
  <c r="R572" i="3"/>
  <c r="L572" i="3"/>
  <c r="K572" i="3"/>
  <c r="AF596" i="3" a="1"/>
  <c r="AF596" i="3" s="1"/>
  <c r="AG596" i="3"/>
  <c r="X596" i="3"/>
  <c r="P596" i="3"/>
  <c r="H596" i="3"/>
  <c r="AN596" i="3"/>
  <c r="AE596" i="3"/>
  <c r="W596" i="3"/>
  <c r="O596" i="3"/>
  <c r="G596" i="3"/>
  <c r="AL596" i="3"/>
  <c r="AC596" i="3"/>
  <c r="U596" i="3"/>
  <c r="M596" i="3"/>
  <c r="E596" i="3"/>
  <c r="AK596" i="3"/>
  <c r="AB596" i="3"/>
  <c r="T596" i="3"/>
  <c r="L596" i="3"/>
  <c r="D596" i="3"/>
  <c r="AJ596" i="3"/>
  <c r="S596" i="3"/>
  <c r="AI596" i="3"/>
  <c r="R596" i="3"/>
  <c r="AH596" i="3"/>
  <c r="Q596" i="3"/>
  <c r="AD596" i="3"/>
  <c r="N596" i="3"/>
  <c r="AA596" i="3"/>
  <c r="K596" i="3"/>
  <c r="AM596" i="3"/>
  <c r="Z596" i="3"/>
  <c r="Y596" i="3"/>
  <c r="J596" i="3"/>
  <c r="I596" i="3"/>
  <c r="V596" i="3"/>
  <c r="F596" i="3"/>
  <c r="AF652" i="3" a="1"/>
  <c r="AF652" i="3" s="1"/>
  <c r="AJ652" i="3"/>
  <c r="AA652" i="3"/>
  <c r="S652" i="3"/>
  <c r="K652" i="3"/>
  <c r="AI652" i="3"/>
  <c r="Z652" i="3"/>
  <c r="R652" i="3"/>
  <c r="J652" i="3"/>
  <c r="AH652" i="3"/>
  <c r="Y652" i="3"/>
  <c r="Q652" i="3"/>
  <c r="I652" i="3"/>
  <c r="AN652" i="3"/>
  <c r="AE652" i="3"/>
  <c r="W652" i="3"/>
  <c r="O652" i="3"/>
  <c r="G652" i="3"/>
  <c r="AM652" i="3"/>
  <c r="AD652" i="3"/>
  <c r="V652" i="3"/>
  <c r="N652" i="3"/>
  <c r="F652" i="3"/>
  <c r="U652" i="3"/>
  <c r="T652" i="3"/>
  <c r="AL652" i="3"/>
  <c r="P652" i="3"/>
  <c r="AK652" i="3"/>
  <c r="M652" i="3"/>
  <c r="AG652" i="3"/>
  <c r="L652" i="3"/>
  <c r="AC652" i="3"/>
  <c r="H652" i="3"/>
  <c r="AB652" i="3"/>
  <c r="X652" i="3"/>
  <c r="E652" i="3"/>
  <c r="D652" i="3"/>
  <c r="F23" i="4"/>
  <c r="F31" i="4"/>
  <c r="N35" i="4"/>
  <c r="F39" i="4"/>
  <c r="N39" i="4"/>
  <c r="Q315" i="4"/>
  <c r="M42" i="4"/>
  <c r="S42" i="4"/>
  <c r="K42" i="4"/>
  <c r="M46" i="4"/>
  <c r="E46" i="4"/>
  <c r="S46" i="4"/>
  <c r="K46" i="4"/>
  <c r="M50" i="4"/>
  <c r="E50" i="4"/>
  <c r="L50" i="4"/>
  <c r="S50" i="4"/>
  <c r="K50" i="4"/>
  <c r="R50" i="4"/>
  <c r="Q50" i="4"/>
  <c r="I50" i="4"/>
  <c r="P50" i="4"/>
  <c r="H50" i="4"/>
  <c r="M54" i="4"/>
  <c r="E54" i="4"/>
  <c r="L54" i="4"/>
  <c r="D54" i="4"/>
  <c r="S54" i="4"/>
  <c r="K54" i="4"/>
  <c r="R54" i="4"/>
  <c r="J54" i="4"/>
  <c r="Q54" i="4"/>
  <c r="I54" i="4"/>
  <c r="P54" i="4"/>
  <c r="H54" i="4"/>
  <c r="O54" i="4"/>
  <c r="G54" i="4"/>
  <c r="M58" i="4"/>
  <c r="E58" i="4"/>
  <c r="L58" i="4"/>
  <c r="D58" i="4"/>
  <c r="S58" i="4"/>
  <c r="K58" i="4"/>
  <c r="R58" i="4"/>
  <c r="J58" i="4"/>
  <c r="Q58" i="4"/>
  <c r="I58" i="4"/>
  <c r="P58" i="4"/>
  <c r="H58" i="4"/>
  <c r="O58" i="4"/>
  <c r="G58" i="4"/>
  <c r="M62" i="4"/>
  <c r="E62" i="4"/>
  <c r="L62" i="4"/>
  <c r="D62" i="4"/>
  <c r="S62" i="4"/>
  <c r="K62" i="4"/>
  <c r="R62" i="4"/>
  <c r="J62" i="4"/>
  <c r="Q62" i="4"/>
  <c r="I62" i="4"/>
  <c r="P62" i="4"/>
  <c r="H62" i="4"/>
  <c r="O62" i="4"/>
  <c r="G62" i="4"/>
  <c r="M66" i="4"/>
  <c r="E66" i="4"/>
  <c r="L66" i="4"/>
  <c r="D66" i="4"/>
  <c r="S66" i="4"/>
  <c r="K66" i="4"/>
  <c r="R66" i="4"/>
  <c r="J66" i="4"/>
  <c r="Q66" i="4"/>
  <c r="I66" i="4"/>
  <c r="P66" i="4"/>
  <c r="H66" i="4"/>
  <c r="O66" i="4"/>
  <c r="G66" i="4"/>
  <c r="M70" i="4"/>
  <c r="E70" i="4"/>
  <c r="L70" i="4"/>
  <c r="D70" i="4"/>
  <c r="S70" i="4"/>
  <c r="K70" i="4"/>
  <c r="R70" i="4"/>
  <c r="J70" i="4"/>
  <c r="Q70" i="4"/>
  <c r="I70" i="4"/>
  <c r="P70" i="4"/>
  <c r="H70" i="4"/>
  <c r="O70" i="4"/>
  <c r="G70" i="4"/>
  <c r="M74" i="4"/>
  <c r="E74" i="4"/>
  <c r="L74" i="4"/>
  <c r="D74" i="4"/>
  <c r="S74" i="4"/>
  <c r="K74" i="4"/>
  <c r="R74" i="4"/>
  <c r="J74" i="4"/>
  <c r="Q74" i="4"/>
  <c r="I74" i="4"/>
  <c r="P74" i="4"/>
  <c r="H74" i="4"/>
  <c r="O74" i="4"/>
  <c r="G74" i="4"/>
  <c r="M78" i="4"/>
  <c r="E78" i="4"/>
  <c r="L78" i="4"/>
  <c r="D78" i="4"/>
  <c r="S78" i="4"/>
  <c r="K78" i="4"/>
  <c r="R78" i="4"/>
  <c r="J78" i="4"/>
  <c r="Q78" i="4"/>
  <c r="I78" i="4"/>
  <c r="P78" i="4"/>
  <c r="H78" i="4"/>
  <c r="O78" i="4"/>
  <c r="G78" i="4"/>
  <c r="M82" i="4"/>
  <c r="E82" i="4"/>
  <c r="L82" i="4"/>
  <c r="D82" i="4"/>
  <c r="S82" i="4"/>
  <c r="K82" i="4"/>
  <c r="R82" i="4"/>
  <c r="J82" i="4"/>
  <c r="Q82" i="4"/>
  <c r="I82" i="4"/>
  <c r="P82" i="4"/>
  <c r="H82" i="4"/>
  <c r="O82" i="4"/>
  <c r="G82" i="4"/>
  <c r="M86" i="4"/>
  <c r="E86" i="4"/>
  <c r="L86" i="4"/>
  <c r="D86" i="4"/>
  <c r="S86" i="4"/>
  <c r="K86" i="4"/>
  <c r="R86" i="4"/>
  <c r="J86" i="4"/>
  <c r="Q86" i="4"/>
  <c r="I86" i="4"/>
  <c r="P86" i="4"/>
  <c r="H86" i="4"/>
  <c r="O86" i="4"/>
  <c r="G86" i="4"/>
  <c r="M90" i="4"/>
  <c r="E90" i="4"/>
  <c r="L90" i="4"/>
  <c r="D90" i="4"/>
  <c r="S90" i="4"/>
  <c r="K90" i="4"/>
  <c r="R90" i="4"/>
  <c r="J90" i="4"/>
  <c r="Q90" i="4"/>
  <c r="I90" i="4"/>
  <c r="P90" i="4"/>
  <c r="H90" i="4"/>
  <c r="O90" i="4"/>
  <c r="G90" i="4"/>
  <c r="M94" i="4"/>
  <c r="E94" i="4"/>
  <c r="L94" i="4"/>
  <c r="D94" i="4"/>
  <c r="S94" i="4"/>
  <c r="K94" i="4"/>
  <c r="R94" i="4"/>
  <c r="J94" i="4"/>
  <c r="Q94" i="4"/>
  <c r="I94" i="4"/>
  <c r="P94" i="4"/>
  <c r="H94" i="4"/>
  <c r="O94" i="4"/>
  <c r="G94" i="4"/>
  <c r="M98" i="4"/>
  <c r="E98" i="4"/>
  <c r="L98" i="4"/>
  <c r="D98" i="4"/>
  <c r="S98" i="4"/>
  <c r="K98" i="4"/>
  <c r="R98" i="4"/>
  <c r="J98" i="4"/>
  <c r="Q98" i="4"/>
  <c r="I98" i="4"/>
  <c r="P98" i="4"/>
  <c r="H98" i="4"/>
  <c r="O98" i="4"/>
  <c r="G98" i="4"/>
  <c r="M102" i="4"/>
  <c r="E102" i="4"/>
  <c r="L102" i="4"/>
  <c r="D102" i="4"/>
  <c r="S102" i="4"/>
  <c r="K102" i="4"/>
  <c r="R102" i="4"/>
  <c r="J102" i="4"/>
  <c r="Q102" i="4"/>
  <c r="I102" i="4"/>
  <c r="P102" i="4"/>
  <c r="H102" i="4"/>
  <c r="O102" i="4"/>
  <c r="G102" i="4"/>
  <c r="M106" i="4"/>
  <c r="E106" i="4"/>
  <c r="L106" i="4"/>
  <c r="D106" i="4"/>
  <c r="S106" i="4"/>
  <c r="K106" i="4"/>
  <c r="R106" i="4"/>
  <c r="J106" i="4"/>
  <c r="Q106" i="4"/>
  <c r="I106" i="4"/>
  <c r="P106" i="4"/>
  <c r="H106" i="4"/>
  <c r="O106" i="4"/>
  <c r="G106" i="4"/>
  <c r="M110" i="4"/>
  <c r="E110" i="4"/>
  <c r="L110" i="4"/>
  <c r="D110" i="4"/>
  <c r="S110" i="4"/>
  <c r="K110" i="4"/>
  <c r="R110" i="4"/>
  <c r="J110" i="4"/>
  <c r="Q110" i="4"/>
  <c r="I110" i="4"/>
  <c r="P110" i="4"/>
  <c r="H110" i="4"/>
  <c r="O110" i="4"/>
  <c r="G110" i="4"/>
  <c r="M114" i="4"/>
  <c r="E114" i="4"/>
  <c r="L114" i="4"/>
  <c r="D114" i="4"/>
  <c r="S114" i="4"/>
  <c r="K114" i="4"/>
  <c r="R114" i="4"/>
  <c r="J114" i="4"/>
  <c r="Q114" i="4"/>
  <c r="I114" i="4"/>
  <c r="P114" i="4"/>
  <c r="H114" i="4"/>
  <c r="O114" i="4"/>
  <c r="G114" i="4"/>
  <c r="M118" i="4"/>
  <c r="E118" i="4"/>
  <c r="L118" i="4"/>
  <c r="D118" i="4"/>
  <c r="S118" i="4"/>
  <c r="K118" i="4"/>
  <c r="R118" i="4"/>
  <c r="J118" i="4"/>
  <c r="Q118" i="4"/>
  <c r="I118" i="4"/>
  <c r="P118" i="4"/>
  <c r="H118" i="4"/>
  <c r="O118" i="4"/>
  <c r="G118" i="4"/>
  <c r="M122" i="4"/>
  <c r="E122" i="4"/>
  <c r="L122" i="4"/>
  <c r="D122" i="4"/>
  <c r="S122" i="4"/>
  <c r="K122" i="4"/>
  <c r="R122" i="4"/>
  <c r="J122" i="4"/>
  <c r="Q122" i="4"/>
  <c r="I122" i="4"/>
  <c r="P122" i="4"/>
  <c r="H122" i="4"/>
  <c r="O122" i="4"/>
  <c r="G122" i="4"/>
  <c r="M126" i="4"/>
  <c r="E126" i="4"/>
  <c r="L126" i="4"/>
  <c r="D126" i="4"/>
  <c r="S126" i="4"/>
  <c r="K126" i="4"/>
  <c r="R126" i="4"/>
  <c r="J126" i="4"/>
  <c r="Q126" i="4"/>
  <c r="I126" i="4"/>
  <c r="P126" i="4"/>
  <c r="H126" i="4"/>
  <c r="O126" i="4"/>
  <c r="G126" i="4"/>
  <c r="M130" i="4"/>
  <c r="E130" i="4"/>
  <c r="L130" i="4"/>
  <c r="D130" i="4"/>
  <c r="S130" i="4"/>
  <c r="K130" i="4"/>
  <c r="R130" i="4"/>
  <c r="J130" i="4"/>
  <c r="Q130" i="4"/>
  <c r="I130" i="4"/>
  <c r="P130" i="4"/>
  <c r="H130" i="4"/>
  <c r="O130" i="4"/>
  <c r="G130" i="4"/>
  <c r="M134" i="4"/>
  <c r="E134" i="4"/>
  <c r="L134" i="4"/>
  <c r="D134" i="4"/>
  <c r="S134" i="4"/>
  <c r="K134" i="4"/>
  <c r="R134" i="4"/>
  <c r="J134" i="4"/>
  <c r="Q134" i="4"/>
  <c r="I134" i="4"/>
  <c r="P134" i="4"/>
  <c r="H134" i="4"/>
  <c r="O134" i="4"/>
  <c r="G134" i="4"/>
  <c r="M138" i="4"/>
  <c r="E138" i="4"/>
  <c r="L138" i="4"/>
  <c r="D138" i="4"/>
  <c r="S138" i="4"/>
  <c r="K138" i="4"/>
  <c r="R138" i="4"/>
  <c r="J138" i="4"/>
  <c r="Q138" i="4"/>
  <c r="I138" i="4"/>
  <c r="P138" i="4"/>
  <c r="H138" i="4"/>
  <c r="O138" i="4"/>
  <c r="G138" i="4"/>
  <c r="M142" i="4"/>
  <c r="E142" i="4"/>
  <c r="L142" i="4"/>
  <c r="D142" i="4"/>
  <c r="S142" i="4"/>
  <c r="K142" i="4"/>
  <c r="R142" i="4"/>
  <c r="J142" i="4"/>
  <c r="Q142" i="4"/>
  <c r="I142" i="4"/>
  <c r="P142" i="4"/>
  <c r="H142" i="4"/>
  <c r="O142" i="4"/>
  <c r="G142" i="4"/>
  <c r="M146" i="4"/>
  <c r="E146" i="4"/>
  <c r="L146" i="4"/>
  <c r="D146" i="4"/>
  <c r="S146" i="4"/>
  <c r="K146" i="4"/>
  <c r="R146" i="4"/>
  <c r="J146" i="4"/>
  <c r="Q146" i="4"/>
  <c r="I146" i="4"/>
  <c r="P146" i="4"/>
  <c r="H146" i="4"/>
  <c r="O146" i="4"/>
  <c r="G146" i="4"/>
  <c r="M150" i="4"/>
  <c r="E150" i="4"/>
  <c r="L150" i="4"/>
  <c r="D150" i="4"/>
  <c r="S150" i="4"/>
  <c r="K150" i="4"/>
  <c r="R150" i="4"/>
  <c r="J150" i="4"/>
  <c r="Q150" i="4"/>
  <c r="I150" i="4"/>
  <c r="P150" i="4"/>
  <c r="H150" i="4"/>
  <c r="O150" i="4"/>
  <c r="G150" i="4"/>
  <c r="M154" i="4"/>
  <c r="E154" i="4"/>
  <c r="L154" i="4"/>
  <c r="D154" i="4"/>
  <c r="S154" i="4"/>
  <c r="K154" i="4"/>
  <c r="R154" i="4"/>
  <c r="J154" i="4"/>
  <c r="Q154" i="4"/>
  <c r="I154" i="4"/>
  <c r="P154" i="4"/>
  <c r="H154" i="4"/>
  <c r="O154" i="4"/>
  <c r="G154" i="4"/>
  <c r="M158" i="4"/>
  <c r="E158" i="4"/>
  <c r="L158" i="4"/>
  <c r="D158" i="4"/>
  <c r="S158" i="4"/>
  <c r="K158" i="4"/>
  <c r="R158" i="4"/>
  <c r="J158" i="4"/>
  <c r="Q158" i="4"/>
  <c r="I158" i="4"/>
  <c r="P158" i="4"/>
  <c r="H158" i="4"/>
  <c r="O158" i="4"/>
  <c r="G158" i="4"/>
  <c r="M162" i="4"/>
  <c r="E162" i="4"/>
  <c r="L162" i="4"/>
  <c r="D162" i="4"/>
  <c r="S162" i="4"/>
  <c r="K162" i="4"/>
  <c r="R162" i="4"/>
  <c r="J162" i="4"/>
  <c r="Q162" i="4"/>
  <c r="I162" i="4"/>
  <c r="P162" i="4"/>
  <c r="H162" i="4"/>
  <c r="O162" i="4"/>
  <c r="G162" i="4"/>
  <c r="O166" i="4"/>
  <c r="G166" i="4"/>
  <c r="N166" i="4"/>
  <c r="F166" i="4"/>
  <c r="M166" i="4"/>
  <c r="E166" i="4"/>
  <c r="L166" i="4"/>
  <c r="D166" i="4"/>
  <c r="S166" i="4"/>
  <c r="K166" i="4"/>
  <c r="R166" i="4"/>
  <c r="J166" i="4"/>
  <c r="I166" i="4"/>
  <c r="H166" i="4"/>
  <c r="Q166" i="4"/>
  <c r="O170" i="4"/>
  <c r="G170" i="4"/>
  <c r="N170" i="4"/>
  <c r="F170" i="4"/>
  <c r="M170" i="4"/>
  <c r="E170" i="4"/>
  <c r="L170" i="4"/>
  <c r="D170" i="4"/>
  <c r="S170" i="4"/>
  <c r="K170" i="4"/>
  <c r="R170" i="4"/>
  <c r="J170" i="4"/>
  <c r="I170" i="4"/>
  <c r="H170" i="4"/>
  <c r="Q170" i="4"/>
  <c r="O174" i="4"/>
  <c r="G174" i="4"/>
  <c r="N174" i="4"/>
  <c r="F174" i="4"/>
  <c r="M174" i="4"/>
  <c r="E174" i="4"/>
  <c r="L174" i="4"/>
  <c r="D174" i="4"/>
  <c r="S174" i="4"/>
  <c r="K174" i="4"/>
  <c r="R174" i="4"/>
  <c r="J174" i="4"/>
  <c r="I174" i="4"/>
  <c r="H174" i="4"/>
  <c r="Q174" i="4"/>
  <c r="O178" i="4"/>
  <c r="G178" i="4"/>
  <c r="N178" i="4"/>
  <c r="F178" i="4"/>
  <c r="M178" i="4"/>
  <c r="E178" i="4"/>
  <c r="L178" i="4"/>
  <c r="D178" i="4"/>
  <c r="S178" i="4"/>
  <c r="K178" i="4"/>
  <c r="R178" i="4"/>
  <c r="J178" i="4"/>
  <c r="I178" i="4"/>
  <c r="H178" i="4"/>
  <c r="Q178" i="4"/>
  <c r="O182" i="4"/>
  <c r="G182" i="4"/>
  <c r="N182" i="4"/>
  <c r="F182" i="4"/>
  <c r="M182" i="4"/>
  <c r="E182" i="4"/>
  <c r="L182" i="4"/>
  <c r="D182" i="4"/>
  <c r="S182" i="4"/>
  <c r="K182" i="4"/>
  <c r="R182" i="4"/>
  <c r="J182" i="4"/>
  <c r="I182" i="4"/>
  <c r="H182" i="4"/>
  <c r="Q182" i="4"/>
  <c r="O186" i="4"/>
  <c r="G186" i="4"/>
  <c r="N186" i="4"/>
  <c r="F186" i="4"/>
  <c r="M186" i="4"/>
  <c r="E186" i="4"/>
  <c r="L186" i="4"/>
  <c r="D186" i="4"/>
  <c r="S186" i="4"/>
  <c r="K186" i="4"/>
  <c r="R186" i="4"/>
  <c r="J186" i="4"/>
  <c r="I186" i="4"/>
  <c r="H186" i="4"/>
  <c r="Q186" i="4"/>
  <c r="O190" i="4"/>
  <c r="G190" i="4"/>
  <c r="N190" i="4"/>
  <c r="F190" i="4"/>
  <c r="M190" i="4"/>
  <c r="E190" i="4"/>
  <c r="L190" i="4"/>
  <c r="D190" i="4"/>
  <c r="S190" i="4"/>
  <c r="K190" i="4"/>
  <c r="R190" i="4"/>
  <c r="J190" i="4"/>
  <c r="I190" i="4"/>
  <c r="H190" i="4"/>
  <c r="Q190" i="4"/>
  <c r="O194" i="4"/>
  <c r="G194" i="4"/>
  <c r="N194" i="4"/>
  <c r="F194" i="4"/>
  <c r="M194" i="4"/>
  <c r="E194" i="4"/>
  <c r="L194" i="4"/>
  <c r="D194" i="4"/>
  <c r="S194" i="4"/>
  <c r="K194" i="4"/>
  <c r="R194" i="4"/>
  <c r="J194" i="4"/>
  <c r="I194" i="4"/>
  <c r="H194" i="4"/>
  <c r="Q194" i="4"/>
  <c r="O198" i="4"/>
  <c r="G198" i="4"/>
  <c r="N198" i="4"/>
  <c r="F198" i="4"/>
  <c r="M198" i="4"/>
  <c r="E198" i="4"/>
  <c r="L198" i="4"/>
  <c r="D198" i="4"/>
  <c r="S198" i="4"/>
  <c r="K198" i="4"/>
  <c r="R198" i="4"/>
  <c r="J198" i="4"/>
  <c r="I198" i="4"/>
  <c r="H198" i="4"/>
  <c r="Q198" i="4"/>
  <c r="O202" i="4"/>
  <c r="G202" i="4"/>
  <c r="N202" i="4"/>
  <c r="F202" i="4"/>
  <c r="M202" i="4"/>
  <c r="E202" i="4"/>
  <c r="L202" i="4"/>
  <c r="D202" i="4"/>
  <c r="S202" i="4"/>
  <c r="K202" i="4"/>
  <c r="R202" i="4"/>
  <c r="J202" i="4"/>
  <c r="I202" i="4"/>
  <c r="H202" i="4"/>
  <c r="Q202" i="4"/>
  <c r="O206" i="4"/>
  <c r="G206" i="4"/>
  <c r="N206" i="4"/>
  <c r="F206" i="4"/>
  <c r="M206" i="4"/>
  <c r="E206" i="4"/>
  <c r="L206" i="4"/>
  <c r="D206" i="4"/>
  <c r="S206" i="4"/>
  <c r="K206" i="4"/>
  <c r="R206" i="4"/>
  <c r="J206" i="4"/>
  <c r="I206" i="4"/>
  <c r="H206" i="4"/>
  <c r="Q206" i="4"/>
  <c r="O210" i="4"/>
  <c r="G210" i="4"/>
  <c r="N210" i="4"/>
  <c r="F210" i="4"/>
  <c r="M210" i="4"/>
  <c r="E210" i="4"/>
  <c r="L210" i="4"/>
  <c r="D210" i="4"/>
  <c r="S210" i="4"/>
  <c r="K210" i="4"/>
  <c r="R210" i="4"/>
  <c r="J210" i="4"/>
  <c r="I210" i="4"/>
  <c r="H210" i="4"/>
  <c r="Q210" i="4"/>
  <c r="O214" i="4"/>
  <c r="G214" i="4"/>
  <c r="N214" i="4"/>
  <c r="F214" i="4"/>
  <c r="M214" i="4"/>
  <c r="E214" i="4"/>
  <c r="L214" i="4"/>
  <c r="D214" i="4"/>
  <c r="S214" i="4"/>
  <c r="K214" i="4"/>
  <c r="R214" i="4"/>
  <c r="J214" i="4"/>
  <c r="I214" i="4"/>
  <c r="H214" i="4"/>
  <c r="Q214" i="4"/>
  <c r="O218" i="4"/>
  <c r="G218" i="4"/>
  <c r="N218" i="4"/>
  <c r="F218" i="4"/>
  <c r="M218" i="4"/>
  <c r="E218" i="4"/>
  <c r="L218" i="4"/>
  <c r="D218" i="4"/>
  <c r="S218" i="4"/>
  <c r="K218" i="4"/>
  <c r="R218" i="4"/>
  <c r="J218" i="4"/>
  <c r="I218" i="4"/>
  <c r="H218" i="4"/>
  <c r="Q218" i="4"/>
  <c r="O222" i="4"/>
  <c r="G222" i="4"/>
  <c r="N222" i="4"/>
  <c r="F222" i="4"/>
  <c r="M222" i="4"/>
  <c r="E222" i="4"/>
  <c r="L222" i="4"/>
  <c r="D222" i="4"/>
  <c r="S222" i="4"/>
  <c r="K222" i="4"/>
  <c r="R222" i="4"/>
  <c r="J222" i="4"/>
  <c r="I222" i="4"/>
  <c r="H222" i="4"/>
  <c r="Q222" i="4"/>
  <c r="O226" i="4"/>
  <c r="G226" i="4"/>
  <c r="N226" i="4"/>
  <c r="F226" i="4"/>
  <c r="M226" i="4"/>
  <c r="E226" i="4"/>
  <c r="L226" i="4"/>
  <c r="D226" i="4"/>
  <c r="S226" i="4"/>
  <c r="K226" i="4"/>
  <c r="R226" i="4"/>
  <c r="J226" i="4"/>
  <c r="I226" i="4"/>
  <c r="H226" i="4"/>
  <c r="Q226" i="4"/>
  <c r="O230" i="4"/>
  <c r="G230" i="4"/>
  <c r="N230" i="4"/>
  <c r="F230" i="4"/>
  <c r="M230" i="4"/>
  <c r="E230" i="4"/>
  <c r="L230" i="4"/>
  <c r="D230" i="4"/>
  <c r="S230" i="4"/>
  <c r="K230" i="4"/>
  <c r="R230" i="4"/>
  <c r="J230" i="4"/>
  <c r="I230" i="4"/>
  <c r="H230" i="4"/>
  <c r="Q230" i="4"/>
  <c r="O234" i="4"/>
  <c r="G234" i="4"/>
  <c r="N234" i="4"/>
  <c r="F234" i="4"/>
  <c r="M234" i="4"/>
  <c r="E234" i="4"/>
  <c r="L234" i="4"/>
  <c r="D234" i="4"/>
  <c r="S234" i="4"/>
  <c r="K234" i="4"/>
  <c r="R234" i="4"/>
  <c r="J234" i="4"/>
  <c r="I234" i="4"/>
  <c r="H234" i="4"/>
  <c r="Q234" i="4"/>
  <c r="O238" i="4"/>
  <c r="G238" i="4"/>
  <c r="N238" i="4"/>
  <c r="F238" i="4"/>
  <c r="M238" i="4"/>
  <c r="E238" i="4"/>
  <c r="L238" i="4"/>
  <c r="D238" i="4"/>
  <c r="S238" i="4"/>
  <c r="K238" i="4"/>
  <c r="R238" i="4"/>
  <c r="J238" i="4"/>
  <c r="I238" i="4"/>
  <c r="H238" i="4"/>
  <c r="Q238" i="4"/>
  <c r="O242" i="4"/>
  <c r="G242" i="4"/>
  <c r="N242" i="4"/>
  <c r="F242" i="4"/>
  <c r="M242" i="4"/>
  <c r="E242" i="4"/>
  <c r="L242" i="4"/>
  <c r="D242" i="4"/>
  <c r="S242" i="4"/>
  <c r="K242" i="4"/>
  <c r="R242" i="4"/>
  <c r="J242" i="4"/>
  <c r="I242" i="4"/>
  <c r="H242" i="4"/>
  <c r="Q242" i="4"/>
  <c r="O246" i="4"/>
  <c r="G246" i="4"/>
  <c r="N246" i="4"/>
  <c r="F246" i="4"/>
  <c r="M246" i="4"/>
  <c r="E246" i="4"/>
  <c r="L246" i="4"/>
  <c r="D246" i="4"/>
  <c r="S246" i="4"/>
  <c r="K246" i="4"/>
  <c r="R246" i="4"/>
  <c r="J246" i="4"/>
  <c r="I246" i="4"/>
  <c r="H246" i="4"/>
  <c r="Q246" i="4"/>
  <c r="O250" i="4"/>
  <c r="G250" i="4"/>
  <c r="N250" i="4"/>
  <c r="F250" i="4"/>
  <c r="M250" i="4"/>
  <c r="E250" i="4"/>
  <c r="L250" i="4"/>
  <c r="D250" i="4"/>
  <c r="S250" i="4"/>
  <c r="K250" i="4"/>
  <c r="R250" i="4"/>
  <c r="J250" i="4"/>
  <c r="I250" i="4"/>
  <c r="H250" i="4"/>
  <c r="Q250" i="4"/>
  <c r="O254" i="4"/>
  <c r="G254" i="4"/>
  <c r="N254" i="4"/>
  <c r="F254" i="4"/>
  <c r="M254" i="4"/>
  <c r="E254" i="4"/>
  <c r="L254" i="4"/>
  <c r="D254" i="4"/>
  <c r="S254" i="4"/>
  <c r="K254" i="4"/>
  <c r="R254" i="4"/>
  <c r="J254" i="4"/>
  <c r="I254" i="4"/>
  <c r="H254" i="4"/>
  <c r="Q254" i="4"/>
  <c r="O258" i="4"/>
  <c r="G258" i="4"/>
  <c r="N258" i="4"/>
  <c r="F258" i="4"/>
  <c r="M258" i="4"/>
  <c r="E258" i="4"/>
  <c r="L258" i="4"/>
  <c r="D258" i="4"/>
  <c r="S258" i="4"/>
  <c r="K258" i="4"/>
  <c r="R258" i="4"/>
  <c r="J258" i="4"/>
  <c r="I258" i="4"/>
  <c r="H258" i="4"/>
  <c r="Q258" i="4"/>
  <c r="O262" i="4"/>
  <c r="G262" i="4"/>
  <c r="N262" i="4"/>
  <c r="F262" i="4"/>
  <c r="M262" i="4"/>
  <c r="E262" i="4"/>
  <c r="L262" i="4"/>
  <c r="D262" i="4"/>
  <c r="S262" i="4"/>
  <c r="K262" i="4"/>
  <c r="R262" i="4"/>
  <c r="J262" i="4"/>
  <c r="I262" i="4"/>
  <c r="H262" i="4"/>
  <c r="Q262" i="4"/>
  <c r="O266" i="4"/>
  <c r="G266" i="4"/>
  <c r="N266" i="4"/>
  <c r="F266" i="4"/>
  <c r="M266" i="4"/>
  <c r="E266" i="4"/>
  <c r="L266" i="4"/>
  <c r="D266" i="4"/>
  <c r="S266" i="4"/>
  <c r="K266" i="4"/>
  <c r="R266" i="4"/>
  <c r="J266" i="4"/>
  <c r="I266" i="4"/>
  <c r="H266" i="4"/>
  <c r="Q266" i="4"/>
  <c r="O270" i="4"/>
  <c r="G270" i="4"/>
  <c r="N270" i="4"/>
  <c r="F270" i="4"/>
  <c r="M270" i="4"/>
  <c r="E270" i="4"/>
  <c r="L270" i="4"/>
  <c r="D270" i="4"/>
  <c r="S270" i="4"/>
  <c r="K270" i="4"/>
  <c r="R270" i="4"/>
  <c r="J270" i="4"/>
  <c r="I270" i="4"/>
  <c r="H270" i="4"/>
  <c r="Q270" i="4"/>
  <c r="O274" i="4"/>
  <c r="G274" i="4"/>
  <c r="N274" i="4"/>
  <c r="F274" i="4"/>
  <c r="M274" i="4"/>
  <c r="E274" i="4"/>
  <c r="L274" i="4"/>
  <c r="D274" i="4"/>
  <c r="S274" i="4"/>
  <c r="K274" i="4"/>
  <c r="R274" i="4"/>
  <c r="J274" i="4"/>
  <c r="I274" i="4"/>
  <c r="H274" i="4"/>
  <c r="Q274" i="4"/>
  <c r="O278" i="4"/>
  <c r="G278" i="4"/>
  <c r="N278" i="4"/>
  <c r="F278" i="4"/>
  <c r="M278" i="4"/>
  <c r="E278" i="4"/>
  <c r="L278" i="4"/>
  <c r="D278" i="4"/>
  <c r="S278" i="4"/>
  <c r="K278" i="4"/>
  <c r="R278" i="4"/>
  <c r="J278" i="4"/>
  <c r="I278" i="4"/>
  <c r="H278" i="4"/>
  <c r="Q278" i="4"/>
  <c r="O282" i="4"/>
  <c r="G282" i="4"/>
  <c r="N282" i="4"/>
  <c r="F282" i="4"/>
  <c r="M282" i="4"/>
  <c r="E282" i="4"/>
  <c r="L282" i="4"/>
  <c r="D282" i="4"/>
  <c r="S282" i="4"/>
  <c r="K282" i="4"/>
  <c r="R282" i="4"/>
  <c r="J282" i="4"/>
  <c r="I282" i="4"/>
  <c r="H282" i="4"/>
  <c r="Q282" i="4"/>
  <c r="O286" i="4"/>
  <c r="G286" i="4"/>
  <c r="N286" i="4"/>
  <c r="F286" i="4"/>
  <c r="M286" i="4"/>
  <c r="E286" i="4"/>
  <c r="L286" i="4"/>
  <c r="D286" i="4"/>
  <c r="S286" i="4"/>
  <c r="K286" i="4"/>
  <c r="R286" i="4"/>
  <c r="J286" i="4"/>
  <c r="I286" i="4"/>
  <c r="H286" i="4"/>
  <c r="Q286" i="4"/>
  <c r="O290" i="4"/>
  <c r="G290" i="4"/>
  <c r="N290" i="4"/>
  <c r="F290" i="4"/>
  <c r="M290" i="4"/>
  <c r="E290" i="4"/>
  <c r="L290" i="4"/>
  <c r="D290" i="4"/>
  <c r="S290" i="4"/>
  <c r="K290" i="4"/>
  <c r="R290" i="4"/>
  <c r="J290" i="4"/>
  <c r="I290" i="4"/>
  <c r="H290" i="4"/>
  <c r="Q290" i="4"/>
  <c r="O294" i="4"/>
  <c r="G294" i="4"/>
  <c r="N294" i="4"/>
  <c r="F294" i="4"/>
  <c r="M294" i="4"/>
  <c r="E294" i="4"/>
  <c r="L294" i="4"/>
  <c r="D294" i="4"/>
  <c r="S294" i="4"/>
  <c r="K294" i="4"/>
  <c r="R294" i="4"/>
  <c r="J294" i="4"/>
  <c r="Q294" i="4"/>
  <c r="P294" i="4"/>
  <c r="I294" i="4"/>
  <c r="H294" i="4"/>
  <c r="O298" i="4"/>
  <c r="G298" i="4"/>
  <c r="N298" i="4"/>
  <c r="F298" i="4"/>
  <c r="M298" i="4"/>
  <c r="E298" i="4"/>
  <c r="L298" i="4"/>
  <c r="D298" i="4"/>
  <c r="S298" i="4"/>
  <c r="K298" i="4"/>
  <c r="R298" i="4"/>
  <c r="J298" i="4"/>
  <c r="Q298" i="4"/>
  <c r="P298" i="4"/>
  <c r="I298" i="4"/>
  <c r="H298" i="4"/>
  <c r="O302" i="4"/>
  <c r="G302" i="4"/>
  <c r="N302" i="4"/>
  <c r="F302" i="4"/>
  <c r="M302" i="4"/>
  <c r="E302" i="4"/>
  <c r="L302" i="4"/>
  <c r="D302" i="4"/>
  <c r="S302" i="4"/>
  <c r="K302" i="4"/>
  <c r="R302" i="4"/>
  <c r="J302" i="4"/>
  <c r="Q302" i="4"/>
  <c r="P302" i="4"/>
  <c r="I302" i="4"/>
  <c r="O306" i="4"/>
  <c r="G306" i="4"/>
  <c r="N306" i="4"/>
  <c r="F306" i="4"/>
  <c r="M306" i="4"/>
  <c r="E306" i="4"/>
  <c r="L306" i="4"/>
  <c r="D306" i="4"/>
  <c r="S306" i="4"/>
  <c r="K306" i="4"/>
  <c r="R306" i="4"/>
  <c r="J306" i="4"/>
  <c r="I306" i="4"/>
  <c r="H306" i="4"/>
  <c r="Q306" i="4"/>
  <c r="O310" i="4"/>
  <c r="G310" i="4"/>
  <c r="N310" i="4"/>
  <c r="F310" i="4"/>
  <c r="M310" i="4"/>
  <c r="E310" i="4"/>
  <c r="L310" i="4"/>
  <c r="D310" i="4"/>
  <c r="S310" i="4"/>
  <c r="K310" i="4"/>
  <c r="R310" i="4"/>
  <c r="J310" i="4"/>
  <c r="Q310" i="4"/>
  <c r="P310" i="4"/>
  <c r="I310" i="4"/>
  <c r="H310" i="4"/>
  <c r="O314" i="4"/>
  <c r="G314" i="4"/>
  <c r="N314" i="4"/>
  <c r="F314" i="4"/>
  <c r="M314" i="4"/>
  <c r="E314" i="4"/>
  <c r="L314" i="4"/>
  <c r="D314" i="4"/>
  <c r="S314" i="4"/>
  <c r="K314" i="4"/>
  <c r="R314" i="4"/>
  <c r="J314" i="4"/>
  <c r="Q314" i="4"/>
  <c r="P314" i="4"/>
  <c r="I314" i="4"/>
  <c r="H314" i="4"/>
  <c r="O318" i="4"/>
  <c r="G318" i="4"/>
  <c r="N318" i="4"/>
  <c r="F318" i="4"/>
  <c r="M318" i="4"/>
  <c r="E318" i="4"/>
  <c r="L318" i="4"/>
  <c r="D318" i="4"/>
  <c r="S318" i="4"/>
  <c r="K318" i="4"/>
  <c r="R318" i="4"/>
  <c r="J318" i="4"/>
  <c r="Q318" i="4"/>
  <c r="P318" i="4"/>
  <c r="I318" i="4"/>
  <c r="O322" i="4"/>
  <c r="G322" i="4"/>
  <c r="N322" i="4"/>
  <c r="F322" i="4"/>
  <c r="M322" i="4"/>
  <c r="E322" i="4"/>
  <c r="L322" i="4"/>
  <c r="D322" i="4"/>
  <c r="S322" i="4"/>
  <c r="K322" i="4"/>
  <c r="R322" i="4"/>
  <c r="J322" i="4"/>
  <c r="I322" i="4"/>
  <c r="H322" i="4"/>
  <c r="Q322" i="4"/>
  <c r="O326" i="4"/>
  <c r="G326" i="4"/>
  <c r="N326" i="4"/>
  <c r="F326" i="4"/>
  <c r="M326" i="4"/>
  <c r="E326" i="4"/>
  <c r="L326" i="4"/>
  <c r="D326" i="4"/>
  <c r="S326" i="4"/>
  <c r="K326" i="4"/>
  <c r="R326" i="4"/>
  <c r="J326" i="4"/>
  <c r="Q326" i="4"/>
  <c r="P326" i="4"/>
  <c r="I326" i="4"/>
  <c r="H326" i="4"/>
  <c r="O330" i="4"/>
  <c r="G330" i="4"/>
  <c r="N330" i="4"/>
  <c r="F330" i="4"/>
  <c r="M330" i="4"/>
  <c r="E330" i="4"/>
  <c r="L330" i="4"/>
  <c r="D330" i="4"/>
  <c r="S330" i="4"/>
  <c r="K330" i="4"/>
  <c r="R330" i="4"/>
  <c r="J330" i="4"/>
  <c r="Q330" i="4"/>
  <c r="P330" i="4"/>
  <c r="I330" i="4"/>
  <c r="H330" i="4"/>
  <c r="O334" i="4"/>
  <c r="G334" i="4"/>
  <c r="N334" i="4"/>
  <c r="F334" i="4"/>
  <c r="M334" i="4"/>
  <c r="E334" i="4"/>
  <c r="L334" i="4"/>
  <c r="D334" i="4"/>
  <c r="S334" i="4"/>
  <c r="K334" i="4"/>
  <c r="R334" i="4"/>
  <c r="J334" i="4"/>
  <c r="Q334" i="4"/>
  <c r="P334" i="4"/>
  <c r="I334" i="4"/>
  <c r="O338" i="4"/>
  <c r="G338" i="4"/>
  <c r="N338" i="4"/>
  <c r="F338" i="4"/>
  <c r="M338" i="4"/>
  <c r="E338" i="4"/>
  <c r="L338" i="4"/>
  <c r="D338" i="4"/>
  <c r="S338" i="4"/>
  <c r="K338" i="4"/>
  <c r="R338" i="4"/>
  <c r="J338" i="4"/>
  <c r="I338" i="4"/>
  <c r="H338" i="4"/>
  <c r="Q338" i="4"/>
  <c r="O342" i="4"/>
  <c r="G342" i="4"/>
  <c r="N342" i="4"/>
  <c r="F342" i="4"/>
  <c r="M342" i="4"/>
  <c r="E342" i="4"/>
  <c r="L342" i="4"/>
  <c r="D342" i="4"/>
  <c r="S342" i="4"/>
  <c r="K342" i="4"/>
  <c r="R342" i="4"/>
  <c r="J342" i="4"/>
  <c r="Q342" i="4"/>
  <c r="P342" i="4"/>
  <c r="I342" i="4"/>
  <c r="H342" i="4"/>
  <c r="O346" i="4"/>
  <c r="G346" i="4"/>
  <c r="N346" i="4"/>
  <c r="F346" i="4"/>
  <c r="M346" i="4"/>
  <c r="E346" i="4"/>
  <c r="L346" i="4"/>
  <c r="D346" i="4"/>
  <c r="S346" i="4"/>
  <c r="K346" i="4"/>
  <c r="R346" i="4"/>
  <c r="J346" i="4"/>
  <c r="Q346" i="4"/>
  <c r="P346" i="4"/>
  <c r="I346" i="4"/>
  <c r="H346" i="4"/>
  <c r="O350" i="4"/>
  <c r="G350" i="4"/>
  <c r="N350" i="4"/>
  <c r="F350" i="4"/>
  <c r="M350" i="4"/>
  <c r="E350" i="4"/>
  <c r="L350" i="4"/>
  <c r="D350" i="4"/>
  <c r="S350" i="4"/>
  <c r="K350" i="4"/>
  <c r="R350" i="4"/>
  <c r="J350" i="4"/>
  <c r="I350" i="4"/>
  <c r="H350" i="4"/>
  <c r="Q350" i="4"/>
  <c r="O354" i="4"/>
  <c r="G354" i="4"/>
  <c r="N354" i="4"/>
  <c r="F354" i="4"/>
  <c r="M354" i="4"/>
  <c r="E354" i="4"/>
  <c r="L354" i="4"/>
  <c r="D354" i="4"/>
  <c r="S354" i="4"/>
  <c r="K354" i="4"/>
  <c r="R354" i="4"/>
  <c r="J354" i="4"/>
  <c r="I354" i="4"/>
  <c r="Q354" i="4"/>
  <c r="P354" i="4"/>
  <c r="H354" i="4"/>
  <c r="O358" i="4"/>
  <c r="G358" i="4"/>
  <c r="N358" i="4"/>
  <c r="F358" i="4"/>
  <c r="M358" i="4"/>
  <c r="E358" i="4"/>
  <c r="L358" i="4"/>
  <c r="D358" i="4"/>
  <c r="S358" i="4"/>
  <c r="K358" i="4"/>
  <c r="R358" i="4"/>
  <c r="J358" i="4"/>
  <c r="H358" i="4"/>
  <c r="Q358" i="4"/>
  <c r="P358" i="4"/>
  <c r="I358" i="4"/>
  <c r="O362" i="4"/>
  <c r="G362" i="4"/>
  <c r="N362" i="4"/>
  <c r="F362" i="4"/>
  <c r="M362" i="4"/>
  <c r="E362" i="4"/>
  <c r="L362" i="4"/>
  <c r="D362" i="4"/>
  <c r="S362" i="4"/>
  <c r="K362" i="4"/>
  <c r="R362" i="4"/>
  <c r="J362" i="4"/>
  <c r="P362" i="4"/>
  <c r="H362" i="4"/>
  <c r="Q362" i="4"/>
  <c r="O366" i="4"/>
  <c r="G366" i="4"/>
  <c r="N366" i="4"/>
  <c r="F366" i="4"/>
  <c r="M366" i="4"/>
  <c r="E366" i="4"/>
  <c r="L366" i="4"/>
  <c r="D366" i="4"/>
  <c r="S366" i="4"/>
  <c r="K366" i="4"/>
  <c r="R366" i="4"/>
  <c r="J366" i="4"/>
  <c r="Q366" i="4"/>
  <c r="P366" i="4"/>
  <c r="I366" i="4"/>
  <c r="H366" i="4"/>
  <c r="O370" i="4"/>
  <c r="G370" i="4"/>
  <c r="N370" i="4"/>
  <c r="F370" i="4"/>
  <c r="M370" i="4"/>
  <c r="E370" i="4"/>
  <c r="L370" i="4"/>
  <c r="D370" i="4"/>
  <c r="S370" i="4"/>
  <c r="K370" i="4"/>
  <c r="R370" i="4"/>
  <c r="J370" i="4"/>
  <c r="I370" i="4"/>
  <c r="Q370" i="4"/>
  <c r="P370" i="4"/>
  <c r="H370" i="4"/>
  <c r="O374" i="4"/>
  <c r="G374" i="4"/>
  <c r="N374" i="4"/>
  <c r="F374" i="4"/>
  <c r="M374" i="4"/>
  <c r="E374" i="4"/>
  <c r="L374" i="4"/>
  <c r="D374" i="4"/>
  <c r="S374" i="4"/>
  <c r="K374" i="4"/>
  <c r="R374" i="4"/>
  <c r="J374" i="4"/>
  <c r="P374" i="4"/>
  <c r="I374" i="4"/>
  <c r="H374" i="4"/>
  <c r="Q374" i="4"/>
  <c r="O378" i="4"/>
  <c r="G378" i="4"/>
  <c r="N378" i="4"/>
  <c r="F378" i="4"/>
  <c r="M378" i="4"/>
  <c r="E378" i="4"/>
  <c r="L378" i="4"/>
  <c r="D378" i="4"/>
  <c r="S378" i="4"/>
  <c r="K378" i="4"/>
  <c r="R378" i="4"/>
  <c r="J378" i="4"/>
  <c r="Q378" i="4"/>
  <c r="P378" i="4"/>
  <c r="I378" i="4"/>
  <c r="H378" i="4"/>
  <c r="O382" i="4"/>
  <c r="G382" i="4"/>
  <c r="N382" i="4"/>
  <c r="F382" i="4"/>
  <c r="M382" i="4"/>
  <c r="E382" i="4"/>
  <c r="L382" i="4"/>
  <c r="D382" i="4"/>
  <c r="S382" i="4"/>
  <c r="K382" i="4"/>
  <c r="R382" i="4"/>
  <c r="J382" i="4"/>
  <c r="Q382" i="4"/>
  <c r="P382" i="4"/>
  <c r="I382" i="4"/>
  <c r="H382" i="4"/>
  <c r="O386" i="4"/>
  <c r="G386" i="4"/>
  <c r="N386" i="4"/>
  <c r="F386" i="4"/>
  <c r="M386" i="4"/>
  <c r="E386" i="4"/>
  <c r="L386" i="4"/>
  <c r="D386" i="4"/>
  <c r="S386" i="4"/>
  <c r="K386" i="4"/>
  <c r="R386" i="4"/>
  <c r="J386" i="4"/>
  <c r="H386" i="4"/>
  <c r="I386" i="4"/>
  <c r="Q386" i="4"/>
  <c r="P386" i="4"/>
  <c r="O390" i="4"/>
  <c r="G390" i="4"/>
  <c r="N390" i="4"/>
  <c r="F390" i="4"/>
  <c r="M390" i="4"/>
  <c r="E390" i="4"/>
  <c r="L390" i="4"/>
  <c r="D390" i="4"/>
  <c r="S390" i="4"/>
  <c r="K390" i="4"/>
  <c r="R390" i="4"/>
  <c r="J390" i="4"/>
  <c r="P390" i="4"/>
  <c r="I390" i="4"/>
  <c r="H390" i="4"/>
  <c r="Q390" i="4"/>
  <c r="O394" i="4"/>
  <c r="G394" i="4"/>
  <c r="N394" i="4"/>
  <c r="F394" i="4"/>
  <c r="M394" i="4"/>
  <c r="E394" i="4"/>
  <c r="L394" i="4"/>
  <c r="D394" i="4"/>
  <c r="S394" i="4"/>
  <c r="K394" i="4"/>
  <c r="R394" i="4"/>
  <c r="J394" i="4"/>
  <c r="Q394" i="4"/>
  <c r="P394" i="4"/>
  <c r="H394" i="4"/>
  <c r="O398" i="4"/>
  <c r="G398" i="4"/>
  <c r="N398" i="4"/>
  <c r="F398" i="4"/>
  <c r="M398" i="4"/>
  <c r="E398" i="4"/>
  <c r="L398" i="4"/>
  <c r="D398" i="4"/>
  <c r="S398" i="4"/>
  <c r="K398" i="4"/>
  <c r="R398" i="4"/>
  <c r="J398" i="4"/>
  <c r="P398" i="4"/>
  <c r="I398" i="4"/>
  <c r="H398" i="4"/>
  <c r="O402" i="4"/>
  <c r="G402" i="4"/>
  <c r="N402" i="4"/>
  <c r="F402" i="4"/>
  <c r="M402" i="4"/>
  <c r="E402" i="4"/>
  <c r="L402" i="4"/>
  <c r="D402" i="4"/>
  <c r="S402" i="4"/>
  <c r="K402" i="4"/>
  <c r="R402" i="4"/>
  <c r="J402" i="4"/>
  <c r="H402" i="4"/>
  <c r="I402" i="4"/>
  <c r="Q402" i="4"/>
  <c r="P402" i="4"/>
  <c r="O406" i="4"/>
  <c r="G406" i="4"/>
  <c r="N406" i="4"/>
  <c r="F406" i="4"/>
  <c r="M406" i="4"/>
  <c r="E406" i="4"/>
  <c r="L406" i="4"/>
  <c r="D406" i="4"/>
  <c r="S406" i="4"/>
  <c r="K406" i="4"/>
  <c r="R406" i="4"/>
  <c r="J406" i="4"/>
  <c r="P406" i="4"/>
  <c r="I406" i="4"/>
  <c r="H406" i="4"/>
  <c r="Q406" i="4"/>
  <c r="O410" i="4"/>
  <c r="G410" i="4"/>
  <c r="N410" i="4"/>
  <c r="F410" i="4"/>
  <c r="M410" i="4"/>
  <c r="E410" i="4"/>
  <c r="L410" i="4"/>
  <c r="D410" i="4"/>
  <c r="S410" i="4"/>
  <c r="K410" i="4"/>
  <c r="R410" i="4"/>
  <c r="J410" i="4"/>
  <c r="Q410" i="4"/>
  <c r="P410" i="4"/>
  <c r="I410" i="4"/>
  <c r="H410" i="4"/>
  <c r="O414" i="4"/>
  <c r="G414" i="4"/>
  <c r="N414" i="4"/>
  <c r="F414" i="4"/>
  <c r="M414" i="4"/>
  <c r="E414" i="4"/>
  <c r="L414" i="4"/>
  <c r="D414" i="4"/>
  <c r="S414" i="4"/>
  <c r="K414" i="4"/>
  <c r="R414" i="4"/>
  <c r="J414" i="4"/>
  <c r="Q414" i="4"/>
  <c r="P414" i="4"/>
  <c r="I414" i="4"/>
  <c r="H414" i="4"/>
  <c r="O418" i="4"/>
  <c r="G418" i="4"/>
  <c r="N418" i="4"/>
  <c r="F418" i="4"/>
  <c r="M418" i="4"/>
  <c r="E418" i="4"/>
  <c r="L418" i="4"/>
  <c r="D418" i="4"/>
  <c r="S418" i="4"/>
  <c r="K418" i="4"/>
  <c r="R418" i="4"/>
  <c r="J418" i="4"/>
  <c r="H418" i="4"/>
  <c r="I418" i="4"/>
  <c r="Q418" i="4"/>
  <c r="P418" i="4"/>
  <c r="O422" i="4"/>
  <c r="G422" i="4"/>
  <c r="N422" i="4"/>
  <c r="F422" i="4"/>
  <c r="M422" i="4"/>
  <c r="E422" i="4"/>
  <c r="L422" i="4"/>
  <c r="D422" i="4"/>
  <c r="S422" i="4"/>
  <c r="K422" i="4"/>
  <c r="R422" i="4"/>
  <c r="J422" i="4"/>
  <c r="P422" i="4"/>
  <c r="I422" i="4"/>
  <c r="H422" i="4"/>
  <c r="Q422" i="4"/>
  <c r="O426" i="4"/>
  <c r="G426" i="4"/>
  <c r="N426" i="4"/>
  <c r="F426" i="4"/>
  <c r="M426" i="4"/>
  <c r="E426" i="4"/>
  <c r="L426" i="4"/>
  <c r="D426" i="4"/>
  <c r="S426" i="4"/>
  <c r="K426" i="4"/>
  <c r="R426" i="4"/>
  <c r="J426" i="4"/>
  <c r="Q426" i="4"/>
  <c r="P426" i="4"/>
  <c r="I426" i="4"/>
  <c r="H426" i="4"/>
  <c r="O430" i="4"/>
  <c r="G430" i="4"/>
  <c r="N430" i="4"/>
  <c r="F430" i="4"/>
  <c r="M430" i="4"/>
  <c r="E430" i="4"/>
  <c r="L430" i="4"/>
  <c r="D430" i="4"/>
  <c r="S430" i="4"/>
  <c r="K430" i="4"/>
  <c r="R430" i="4"/>
  <c r="J430" i="4"/>
  <c r="Q430" i="4"/>
  <c r="P430" i="4"/>
  <c r="I430" i="4"/>
  <c r="H430" i="4"/>
  <c r="O434" i="4"/>
  <c r="G434" i="4"/>
  <c r="N434" i="4"/>
  <c r="F434" i="4"/>
  <c r="M434" i="4"/>
  <c r="E434" i="4"/>
  <c r="L434" i="4"/>
  <c r="D434" i="4"/>
  <c r="S434" i="4"/>
  <c r="K434" i="4"/>
  <c r="R434" i="4"/>
  <c r="J434" i="4"/>
  <c r="H434" i="4"/>
  <c r="I434" i="4"/>
  <c r="P434" i="4"/>
  <c r="O438" i="4"/>
  <c r="G438" i="4"/>
  <c r="N438" i="4"/>
  <c r="F438" i="4"/>
  <c r="M438" i="4"/>
  <c r="E438" i="4"/>
  <c r="L438" i="4"/>
  <c r="D438" i="4"/>
  <c r="S438" i="4"/>
  <c r="K438" i="4"/>
  <c r="R438" i="4"/>
  <c r="J438" i="4"/>
  <c r="P438" i="4"/>
  <c r="I438" i="4"/>
  <c r="H438" i="4"/>
  <c r="Q438" i="4"/>
  <c r="O442" i="4"/>
  <c r="G442" i="4"/>
  <c r="N442" i="4"/>
  <c r="F442" i="4"/>
  <c r="M442" i="4"/>
  <c r="E442" i="4"/>
  <c r="L442" i="4"/>
  <c r="D442" i="4"/>
  <c r="S442" i="4"/>
  <c r="K442" i="4"/>
  <c r="R442" i="4"/>
  <c r="J442" i="4"/>
  <c r="Q442" i="4"/>
  <c r="P442" i="4"/>
  <c r="I442" i="4"/>
  <c r="H442" i="4"/>
  <c r="O446" i="4"/>
  <c r="G446" i="4"/>
  <c r="N446" i="4"/>
  <c r="F446" i="4"/>
  <c r="M446" i="4"/>
  <c r="E446" i="4"/>
  <c r="L446" i="4"/>
  <c r="D446" i="4"/>
  <c r="S446" i="4"/>
  <c r="K446" i="4"/>
  <c r="R446" i="4"/>
  <c r="J446" i="4"/>
  <c r="Q446" i="4"/>
  <c r="P446" i="4"/>
  <c r="H446" i="4"/>
  <c r="I446" i="4"/>
  <c r="O450" i="4"/>
  <c r="G450" i="4"/>
  <c r="N450" i="4"/>
  <c r="F450" i="4"/>
  <c r="M450" i="4"/>
  <c r="E450" i="4"/>
  <c r="L450" i="4"/>
  <c r="D450" i="4"/>
  <c r="S450" i="4"/>
  <c r="K450" i="4"/>
  <c r="R450" i="4"/>
  <c r="J450" i="4"/>
  <c r="H450" i="4"/>
  <c r="P450" i="4"/>
  <c r="I450" i="4"/>
  <c r="O454" i="4"/>
  <c r="G454" i="4"/>
  <c r="N454" i="4"/>
  <c r="F454" i="4"/>
  <c r="M454" i="4"/>
  <c r="E454" i="4"/>
  <c r="L454" i="4"/>
  <c r="D454" i="4"/>
  <c r="S454" i="4"/>
  <c r="K454" i="4"/>
  <c r="R454" i="4"/>
  <c r="J454" i="4"/>
  <c r="P454" i="4"/>
  <c r="I454" i="4"/>
  <c r="H454" i="4"/>
  <c r="Q454" i="4"/>
  <c r="O458" i="4"/>
  <c r="G458" i="4"/>
  <c r="N458" i="4"/>
  <c r="F458" i="4"/>
  <c r="M458" i="4"/>
  <c r="E458" i="4"/>
  <c r="L458" i="4"/>
  <c r="D458" i="4"/>
  <c r="S458" i="4"/>
  <c r="K458" i="4"/>
  <c r="R458" i="4"/>
  <c r="J458" i="4"/>
  <c r="Q458" i="4"/>
  <c r="P458" i="4"/>
  <c r="I458" i="4"/>
  <c r="H458" i="4"/>
  <c r="O462" i="4"/>
  <c r="G462" i="4"/>
  <c r="N462" i="4"/>
  <c r="F462" i="4"/>
  <c r="M462" i="4"/>
  <c r="E462" i="4"/>
  <c r="L462" i="4"/>
  <c r="D462" i="4"/>
  <c r="S462" i="4"/>
  <c r="K462" i="4"/>
  <c r="R462" i="4"/>
  <c r="J462" i="4"/>
  <c r="I462" i="4"/>
  <c r="Q462" i="4"/>
  <c r="H462" i="4"/>
  <c r="P462" i="4"/>
  <c r="O466" i="4"/>
  <c r="G466" i="4"/>
  <c r="N466" i="4"/>
  <c r="F466" i="4"/>
  <c r="M466" i="4"/>
  <c r="E466" i="4"/>
  <c r="L466" i="4"/>
  <c r="D466" i="4"/>
  <c r="S466" i="4"/>
  <c r="K466" i="4"/>
  <c r="R466" i="4"/>
  <c r="J466" i="4"/>
  <c r="I466" i="4"/>
  <c r="Q466" i="4"/>
  <c r="P466" i="4"/>
  <c r="H466" i="4"/>
  <c r="O470" i="4"/>
  <c r="G470" i="4"/>
  <c r="N470" i="4"/>
  <c r="F470" i="4"/>
  <c r="M470" i="4"/>
  <c r="E470" i="4"/>
  <c r="L470" i="4"/>
  <c r="D470" i="4"/>
  <c r="S470" i="4"/>
  <c r="K470" i="4"/>
  <c r="R470" i="4"/>
  <c r="J470" i="4"/>
  <c r="I470" i="4"/>
  <c r="Q470" i="4"/>
  <c r="P470" i="4"/>
  <c r="H470" i="4"/>
  <c r="O474" i="4"/>
  <c r="G474" i="4"/>
  <c r="N474" i="4"/>
  <c r="F474" i="4"/>
  <c r="M474" i="4"/>
  <c r="E474" i="4"/>
  <c r="L474" i="4"/>
  <c r="D474" i="4"/>
  <c r="S474" i="4"/>
  <c r="K474" i="4"/>
  <c r="R474" i="4"/>
  <c r="J474" i="4"/>
  <c r="I474" i="4"/>
  <c r="H474" i="4"/>
  <c r="Q474" i="4"/>
  <c r="P474" i="4"/>
  <c r="O478" i="4"/>
  <c r="G478" i="4"/>
  <c r="N478" i="4"/>
  <c r="F478" i="4"/>
  <c r="M478" i="4"/>
  <c r="E478" i="4"/>
  <c r="L478" i="4"/>
  <c r="D478" i="4"/>
  <c r="S478" i="4"/>
  <c r="K478" i="4"/>
  <c r="R478" i="4"/>
  <c r="J478" i="4"/>
  <c r="I478" i="4"/>
  <c r="Q478" i="4"/>
  <c r="H478" i="4"/>
  <c r="P478" i="4"/>
  <c r="O482" i="4"/>
  <c r="G482" i="4"/>
  <c r="N482" i="4"/>
  <c r="F482" i="4"/>
  <c r="M482" i="4"/>
  <c r="E482" i="4"/>
  <c r="L482" i="4"/>
  <c r="D482" i="4"/>
  <c r="S482" i="4"/>
  <c r="K482" i="4"/>
  <c r="R482" i="4"/>
  <c r="J482" i="4"/>
  <c r="I482" i="4"/>
  <c r="Q482" i="4"/>
  <c r="P482" i="4"/>
  <c r="H482" i="4"/>
  <c r="O486" i="4"/>
  <c r="G486" i="4"/>
  <c r="N486" i="4"/>
  <c r="F486" i="4"/>
  <c r="M486" i="4"/>
  <c r="E486" i="4"/>
  <c r="L486" i="4"/>
  <c r="D486" i="4"/>
  <c r="S486" i="4"/>
  <c r="K486" i="4"/>
  <c r="R486" i="4"/>
  <c r="J486" i="4"/>
  <c r="I486" i="4"/>
  <c r="Q486" i="4"/>
  <c r="P486" i="4"/>
  <c r="H486" i="4"/>
  <c r="O490" i="4"/>
  <c r="G490" i="4"/>
  <c r="N490" i="4"/>
  <c r="F490" i="4"/>
  <c r="M490" i="4"/>
  <c r="E490" i="4"/>
  <c r="L490" i="4"/>
  <c r="D490" i="4"/>
  <c r="S490" i="4"/>
  <c r="K490" i="4"/>
  <c r="R490" i="4"/>
  <c r="J490" i="4"/>
  <c r="I490" i="4"/>
  <c r="H490" i="4"/>
  <c r="Q490" i="4"/>
  <c r="P490" i="4"/>
  <c r="O494" i="4"/>
  <c r="G494" i="4"/>
  <c r="N494" i="4"/>
  <c r="F494" i="4"/>
  <c r="M494" i="4"/>
  <c r="E494" i="4"/>
  <c r="L494" i="4"/>
  <c r="D494" i="4"/>
  <c r="S494" i="4"/>
  <c r="K494" i="4"/>
  <c r="R494" i="4"/>
  <c r="J494" i="4"/>
  <c r="I494" i="4"/>
  <c r="Q494" i="4"/>
  <c r="H494" i="4"/>
  <c r="P494" i="4"/>
  <c r="O498" i="4"/>
  <c r="G498" i="4"/>
  <c r="N498" i="4"/>
  <c r="F498" i="4"/>
  <c r="M498" i="4"/>
  <c r="E498" i="4"/>
  <c r="L498" i="4"/>
  <c r="D498" i="4"/>
  <c r="S498" i="4"/>
  <c r="K498" i="4"/>
  <c r="R498" i="4"/>
  <c r="J498" i="4"/>
  <c r="I498" i="4"/>
  <c r="Q498" i="4"/>
  <c r="P498" i="4"/>
  <c r="H498" i="4"/>
  <c r="O502" i="4"/>
  <c r="G502" i="4"/>
  <c r="N502" i="4"/>
  <c r="F502" i="4"/>
  <c r="M502" i="4"/>
  <c r="E502" i="4"/>
  <c r="L502" i="4"/>
  <c r="D502" i="4"/>
  <c r="S502" i="4"/>
  <c r="K502" i="4"/>
  <c r="R502" i="4"/>
  <c r="J502" i="4"/>
  <c r="I502" i="4"/>
  <c r="Q502" i="4"/>
  <c r="P502" i="4"/>
  <c r="H502" i="4"/>
  <c r="O506" i="4"/>
  <c r="G506" i="4"/>
  <c r="N506" i="4"/>
  <c r="F506" i="4"/>
  <c r="M506" i="4"/>
  <c r="E506" i="4"/>
  <c r="L506" i="4"/>
  <c r="D506" i="4"/>
  <c r="S506" i="4"/>
  <c r="K506" i="4"/>
  <c r="R506" i="4"/>
  <c r="J506" i="4"/>
  <c r="Q506" i="4"/>
  <c r="P506" i="4"/>
  <c r="I506" i="4"/>
  <c r="H506" i="4"/>
  <c r="O510" i="4"/>
  <c r="G510" i="4"/>
  <c r="N510" i="4"/>
  <c r="F510" i="4"/>
  <c r="M510" i="4"/>
  <c r="E510" i="4"/>
  <c r="L510" i="4"/>
  <c r="D510" i="4"/>
  <c r="S510" i="4"/>
  <c r="K510" i="4"/>
  <c r="R510" i="4"/>
  <c r="J510" i="4"/>
  <c r="Q510" i="4"/>
  <c r="P510" i="4"/>
  <c r="I510" i="4"/>
  <c r="H510" i="4"/>
  <c r="O514" i="4"/>
  <c r="G514" i="4"/>
  <c r="N514" i="4"/>
  <c r="F514" i="4"/>
  <c r="M514" i="4"/>
  <c r="E514" i="4"/>
  <c r="L514" i="4"/>
  <c r="D514" i="4"/>
  <c r="S514" i="4"/>
  <c r="K514" i="4"/>
  <c r="R514" i="4"/>
  <c r="J514" i="4"/>
  <c r="Q514" i="4"/>
  <c r="P514" i="4"/>
  <c r="I514" i="4"/>
  <c r="H514" i="4"/>
  <c r="O518" i="4"/>
  <c r="G518" i="4"/>
  <c r="N518" i="4"/>
  <c r="F518" i="4"/>
  <c r="M518" i="4"/>
  <c r="E518" i="4"/>
  <c r="L518" i="4"/>
  <c r="D518" i="4"/>
  <c r="S518" i="4"/>
  <c r="K518" i="4"/>
  <c r="R518" i="4"/>
  <c r="J518" i="4"/>
  <c r="Q518" i="4"/>
  <c r="P518" i="4"/>
  <c r="I518" i="4"/>
  <c r="H518" i="4"/>
  <c r="O522" i="4"/>
  <c r="G522" i="4"/>
  <c r="N522" i="4"/>
  <c r="F522" i="4"/>
  <c r="M522" i="4"/>
  <c r="E522" i="4"/>
  <c r="L522" i="4"/>
  <c r="D522" i="4"/>
  <c r="S522" i="4"/>
  <c r="K522" i="4"/>
  <c r="R522" i="4"/>
  <c r="J522" i="4"/>
  <c r="Q522" i="4"/>
  <c r="P522" i="4"/>
  <c r="I522" i="4"/>
  <c r="H522" i="4"/>
  <c r="O526" i="4"/>
  <c r="G526" i="4"/>
  <c r="N526" i="4"/>
  <c r="F526" i="4"/>
  <c r="M526" i="4"/>
  <c r="E526" i="4"/>
  <c r="L526" i="4"/>
  <c r="D526" i="4"/>
  <c r="S526" i="4"/>
  <c r="K526" i="4"/>
  <c r="R526" i="4"/>
  <c r="J526" i="4"/>
  <c r="Q526" i="4"/>
  <c r="P526" i="4"/>
  <c r="I526" i="4"/>
  <c r="H526" i="4"/>
  <c r="O530" i="4"/>
  <c r="G530" i="4"/>
  <c r="N530" i="4"/>
  <c r="F530" i="4"/>
  <c r="M530" i="4"/>
  <c r="E530" i="4"/>
  <c r="L530" i="4"/>
  <c r="D530" i="4"/>
  <c r="S530" i="4"/>
  <c r="K530" i="4"/>
  <c r="R530" i="4"/>
  <c r="J530" i="4"/>
  <c r="Q530" i="4"/>
  <c r="P530" i="4"/>
  <c r="I530" i="4"/>
  <c r="H530" i="4"/>
  <c r="O534" i="4"/>
  <c r="G534" i="4"/>
  <c r="N534" i="4"/>
  <c r="F534" i="4"/>
  <c r="M534" i="4"/>
  <c r="E534" i="4"/>
  <c r="L534" i="4"/>
  <c r="D534" i="4"/>
  <c r="S534" i="4"/>
  <c r="K534" i="4"/>
  <c r="R534" i="4"/>
  <c r="J534" i="4"/>
  <c r="Q534" i="4"/>
  <c r="P534" i="4"/>
  <c r="I534" i="4"/>
  <c r="H534" i="4"/>
  <c r="O538" i="4"/>
  <c r="G538" i="4"/>
  <c r="N538" i="4"/>
  <c r="F538" i="4"/>
  <c r="M538" i="4"/>
  <c r="E538" i="4"/>
  <c r="L538" i="4"/>
  <c r="D538" i="4"/>
  <c r="S538" i="4"/>
  <c r="K538" i="4"/>
  <c r="R538" i="4"/>
  <c r="J538" i="4"/>
  <c r="Q538" i="4"/>
  <c r="P538" i="4"/>
  <c r="I538" i="4"/>
  <c r="H538" i="4"/>
  <c r="O542" i="4"/>
  <c r="G542" i="4"/>
  <c r="N542" i="4"/>
  <c r="F542" i="4"/>
  <c r="M542" i="4"/>
  <c r="E542" i="4"/>
  <c r="L542" i="4"/>
  <c r="D542" i="4"/>
  <c r="S542" i="4"/>
  <c r="K542" i="4"/>
  <c r="R542" i="4"/>
  <c r="J542" i="4"/>
  <c r="Q542" i="4"/>
  <c r="P542" i="4"/>
  <c r="I542" i="4"/>
  <c r="H542" i="4"/>
  <c r="O546" i="4"/>
  <c r="G546" i="4"/>
  <c r="N546" i="4"/>
  <c r="F546" i="4"/>
  <c r="M546" i="4"/>
  <c r="E546" i="4"/>
  <c r="L546" i="4"/>
  <c r="D546" i="4"/>
  <c r="S546" i="4"/>
  <c r="K546" i="4"/>
  <c r="R546" i="4"/>
  <c r="J546" i="4"/>
  <c r="Q546" i="4"/>
  <c r="P546" i="4"/>
  <c r="I546" i="4"/>
  <c r="H546" i="4"/>
  <c r="O550" i="4"/>
  <c r="G550" i="4"/>
  <c r="N550" i="4"/>
  <c r="F550" i="4"/>
  <c r="M550" i="4"/>
  <c r="E550" i="4"/>
  <c r="L550" i="4"/>
  <c r="D550" i="4"/>
  <c r="S550" i="4"/>
  <c r="K550" i="4"/>
  <c r="R550" i="4"/>
  <c r="J550" i="4"/>
  <c r="Q550" i="4"/>
  <c r="P550" i="4"/>
  <c r="I550" i="4"/>
  <c r="H550" i="4"/>
  <c r="O554" i="4"/>
  <c r="G554" i="4"/>
  <c r="N554" i="4"/>
  <c r="F554" i="4"/>
  <c r="M554" i="4"/>
  <c r="E554" i="4"/>
  <c r="L554" i="4"/>
  <c r="D554" i="4"/>
  <c r="S554" i="4"/>
  <c r="K554" i="4"/>
  <c r="R554" i="4"/>
  <c r="J554" i="4"/>
  <c r="Q554" i="4"/>
  <c r="P554" i="4"/>
  <c r="I554" i="4"/>
  <c r="H554" i="4"/>
  <c r="O558" i="4"/>
  <c r="G558" i="4"/>
  <c r="N558" i="4"/>
  <c r="F558" i="4"/>
  <c r="M558" i="4"/>
  <c r="E558" i="4"/>
  <c r="L558" i="4"/>
  <c r="D558" i="4"/>
  <c r="S558" i="4"/>
  <c r="K558" i="4"/>
  <c r="R558" i="4"/>
  <c r="J558" i="4"/>
  <c r="Q558" i="4"/>
  <c r="P558" i="4"/>
  <c r="I558" i="4"/>
  <c r="H558" i="4"/>
  <c r="O562" i="4"/>
  <c r="G562" i="4"/>
  <c r="N562" i="4"/>
  <c r="F562" i="4"/>
  <c r="M562" i="4"/>
  <c r="E562" i="4"/>
  <c r="L562" i="4"/>
  <c r="D562" i="4"/>
  <c r="S562" i="4"/>
  <c r="K562" i="4"/>
  <c r="R562" i="4"/>
  <c r="J562" i="4"/>
  <c r="Q562" i="4"/>
  <c r="P562" i="4"/>
  <c r="I562" i="4"/>
  <c r="H562" i="4"/>
  <c r="O566" i="4"/>
  <c r="G566" i="4"/>
  <c r="N566" i="4"/>
  <c r="F566" i="4"/>
  <c r="M566" i="4"/>
  <c r="E566" i="4"/>
  <c r="L566" i="4"/>
  <c r="D566" i="4"/>
  <c r="S566" i="4"/>
  <c r="K566" i="4"/>
  <c r="R566" i="4"/>
  <c r="J566" i="4"/>
  <c r="Q566" i="4"/>
  <c r="P566" i="4"/>
  <c r="I566" i="4"/>
  <c r="H566" i="4"/>
  <c r="O570" i="4"/>
  <c r="G570" i="4"/>
  <c r="N570" i="4"/>
  <c r="F570" i="4"/>
  <c r="M570" i="4"/>
  <c r="E570" i="4"/>
  <c r="L570" i="4"/>
  <c r="D570" i="4"/>
  <c r="S570" i="4"/>
  <c r="K570" i="4"/>
  <c r="R570" i="4"/>
  <c r="J570" i="4"/>
  <c r="Q570" i="4"/>
  <c r="P570" i="4"/>
  <c r="I570" i="4"/>
  <c r="H570" i="4"/>
  <c r="O574" i="4"/>
  <c r="G574" i="4"/>
  <c r="N574" i="4"/>
  <c r="F574" i="4"/>
  <c r="M574" i="4"/>
  <c r="E574" i="4"/>
  <c r="L574" i="4"/>
  <c r="D574" i="4"/>
  <c r="S574" i="4"/>
  <c r="K574" i="4"/>
  <c r="R574" i="4"/>
  <c r="J574" i="4"/>
  <c r="Q574" i="4"/>
  <c r="P574" i="4"/>
  <c r="I574" i="4"/>
  <c r="H574" i="4"/>
  <c r="O578" i="4"/>
  <c r="G578" i="4"/>
  <c r="N578" i="4"/>
  <c r="F578" i="4"/>
  <c r="M578" i="4"/>
  <c r="E578" i="4"/>
  <c r="L578" i="4"/>
  <c r="D578" i="4"/>
  <c r="S578" i="4"/>
  <c r="K578" i="4"/>
  <c r="R578" i="4"/>
  <c r="J578" i="4"/>
  <c r="Q578" i="4"/>
  <c r="P578" i="4"/>
  <c r="I578" i="4"/>
  <c r="H578" i="4"/>
  <c r="O582" i="4"/>
  <c r="G582" i="4"/>
  <c r="N582" i="4"/>
  <c r="F582" i="4"/>
  <c r="M582" i="4"/>
  <c r="E582" i="4"/>
  <c r="L582" i="4"/>
  <c r="D582" i="4"/>
  <c r="S582" i="4"/>
  <c r="K582" i="4"/>
  <c r="R582" i="4"/>
  <c r="J582" i="4"/>
  <c r="Q582" i="4"/>
  <c r="P582" i="4"/>
  <c r="I582" i="4"/>
  <c r="H582" i="4"/>
  <c r="O586" i="4"/>
  <c r="G586" i="4"/>
  <c r="N586" i="4"/>
  <c r="F586" i="4"/>
  <c r="M586" i="4"/>
  <c r="E586" i="4"/>
  <c r="L586" i="4"/>
  <c r="D586" i="4"/>
  <c r="S586" i="4"/>
  <c r="K586" i="4"/>
  <c r="R586" i="4"/>
  <c r="J586" i="4"/>
  <c r="Q586" i="4"/>
  <c r="P586" i="4"/>
  <c r="I586" i="4"/>
  <c r="H586" i="4"/>
  <c r="O590" i="4"/>
  <c r="G590" i="4"/>
  <c r="N590" i="4"/>
  <c r="F590" i="4"/>
  <c r="M590" i="4"/>
  <c r="E590" i="4"/>
  <c r="L590" i="4"/>
  <c r="D590" i="4"/>
  <c r="S590" i="4"/>
  <c r="K590" i="4"/>
  <c r="R590" i="4"/>
  <c r="J590" i="4"/>
  <c r="Q590" i="4"/>
  <c r="P590" i="4"/>
  <c r="I590" i="4"/>
  <c r="H590" i="4"/>
  <c r="O594" i="4"/>
  <c r="G594" i="4"/>
  <c r="N594" i="4"/>
  <c r="F594" i="4"/>
  <c r="M594" i="4"/>
  <c r="E594" i="4"/>
  <c r="L594" i="4"/>
  <c r="D594" i="4"/>
  <c r="S594" i="4"/>
  <c r="K594" i="4"/>
  <c r="R594" i="4"/>
  <c r="J594" i="4"/>
  <c r="Q594" i="4"/>
  <c r="P594" i="4"/>
  <c r="I594" i="4"/>
  <c r="H594" i="4"/>
  <c r="O598" i="4"/>
  <c r="G598" i="4"/>
  <c r="N598" i="4"/>
  <c r="F598" i="4"/>
  <c r="M598" i="4"/>
  <c r="E598" i="4"/>
  <c r="L598" i="4"/>
  <c r="D598" i="4"/>
  <c r="S598" i="4"/>
  <c r="K598" i="4"/>
  <c r="R598" i="4"/>
  <c r="J598" i="4"/>
  <c r="Q598" i="4"/>
  <c r="P598" i="4"/>
  <c r="I598" i="4"/>
  <c r="H598" i="4"/>
  <c r="O602" i="4"/>
  <c r="G602" i="4"/>
  <c r="N602" i="4"/>
  <c r="F602" i="4"/>
  <c r="M602" i="4"/>
  <c r="E602" i="4"/>
  <c r="L602" i="4"/>
  <c r="D602" i="4"/>
  <c r="S602" i="4"/>
  <c r="K602" i="4"/>
  <c r="R602" i="4"/>
  <c r="J602" i="4"/>
  <c r="Q602" i="4"/>
  <c r="P602" i="4"/>
  <c r="I602" i="4"/>
  <c r="H602" i="4"/>
  <c r="O606" i="4"/>
  <c r="G606" i="4"/>
  <c r="N606" i="4"/>
  <c r="F606" i="4"/>
  <c r="M606" i="4"/>
  <c r="E606" i="4"/>
  <c r="L606" i="4"/>
  <c r="D606" i="4"/>
  <c r="S606" i="4"/>
  <c r="K606" i="4"/>
  <c r="R606" i="4"/>
  <c r="J606" i="4"/>
  <c r="Q606" i="4"/>
  <c r="P606" i="4"/>
  <c r="I606" i="4"/>
  <c r="H606" i="4"/>
  <c r="O610" i="4"/>
  <c r="G610" i="4"/>
  <c r="N610" i="4"/>
  <c r="F610" i="4"/>
  <c r="M610" i="4"/>
  <c r="E610" i="4"/>
  <c r="L610" i="4"/>
  <c r="D610" i="4"/>
  <c r="S610" i="4"/>
  <c r="K610" i="4"/>
  <c r="R610" i="4"/>
  <c r="J610" i="4"/>
  <c r="Q610" i="4"/>
  <c r="P610" i="4"/>
  <c r="I610" i="4"/>
  <c r="H610" i="4"/>
  <c r="O614" i="4"/>
  <c r="G614" i="4"/>
  <c r="N614" i="4"/>
  <c r="F614" i="4"/>
  <c r="M614" i="4"/>
  <c r="E614" i="4"/>
  <c r="L614" i="4"/>
  <c r="D614" i="4"/>
  <c r="S614" i="4"/>
  <c r="K614" i="4"/>
  <c r="R614" i="4"/>
  <c r="J614" i="4"/>
  <c r="Q614" i="4"/>
  <c r="P614" i="4"/>
  <c r="I614" i="4"/>
  <c r="H614" i="4"/>
  <c r="O618" i="4"/>
  <c r="G618" i="4"/>
  <c r="N618" i="4"/>
  <c r="F618" i="4"/>
  <c r="M618" i="4"/>
  <c r="E618" i="4"/>
  <c r="L618" i="4"/>
  <c r="D618" i="4"/>
  <c r="S618" i="4"/>
  <c r="K618" i="4"/>
  <c r="R618" i="4"/>
  <c r="J618" i="4"/>
  <c r="Q618" i="4"/>
  <c r="P618" i="4"/>
  <c r="I618" i="4"/>
  <c r="H618" i="4"/>
  <c r="O622" i="4"/>
  <c r="G622" i="4"/>
  <c r="N622" i="4"/>
  <c r="F622" i="4"/>
  <c r="M622" i="4"/>
  <c r="E622" i="4"/>
  <c r="L622" i="4"/>
  <c r="D622" i="4"/>
  <c r="S622" i="4"/>
  <c r="K622" i="4"/>
  <c r="R622" i="4"/>
  <c r="J622" i="4"/>
  <c r="Q622" i="4"/>
  <c r="P622" i="4"/>
  <c r="I622" i="4"/>
  <c r="H622" i="4"/>
  <c r="O626" i="4"/>
  <c r="G626" i="4"/>
  <c r="N626" i="4"/>
  <c r="F626" i="4"/>
  <c r="M626" i="4"/>
  <c r="E626" i="4"/>
  <c r="L626" i="4"/>
  <c r="D626" i="4"/>
  <c r="S626" i="4"/>
  <c r="K626" i="4"/>
  <c r="R626" i="4"/>
  <c r="J626" i="4"/>
  <c r="Q626" i="4"/>
  <c r="P626" i="4"/>
  <c r="I626" i="4"/>
  <c r="H626" i="4"/>
  <c r="O630" i="4"/>
  <c r="G630" i="4"/>
  <c r="N630" i="4"/>
  <c r="F630" i="4"/>
  <c r="M630" i="4"/>
  <c r="E630" i="4"/>
  <c r="L630" i="4"/>
  <c r="D630" i="4"/>
  <c r="S630" i="4"/>
  <c r="K630" i="4"/>
  <c r="R630" i="4"/>
  <c r="J630" i="4"/>
  <c r="Q630" i="4"/>
  <c r="P630" i="4"/>
  <c r="I630" i="4"/>
  <c r="H630" i="4"/>
  <c r="O634" i="4"/>
  <c r="G634" i="4"/>
  <c r="N634" i="4"/>
  <c r="F634" i="4"/>
  <c r="M634" i="4"/>
  <c r="E634" i="4"/>
  <c r="L634" i="4"/>
  <c r="D634" i="4"/>
  <c r="S634" i="4"/>
  <c r="K634" i="4"/>
  <c r="R634" i="4"/>
  <c r="J634" i="4"/>
  <c r="Q634" i="4"/>
  <c r="P634" i="4"/>
  <c r="I634" i="4"/>
  <c r="H634" i="4"/>
  <c r="O638" i="4"/>
  <c r="G638" i="4"/>
  <c r="N638" i="4"/>
  <c r="F638" i="4"/>
  <c r="M638" i="4"/>
  <c r="E638" i="4"/>
  <c r="L638" i="4"/>
  <c r="D638" i="4"/>
  <c r="S638" i="4"/>
  <c r="K638" i="4"/>
  <c r="R638" i="4"/>
  <c r="J638" i="4"/>
  <c r="Q638" i="4"/>
  <c r="P638" i="4"/>
  <c r="I638" i="4"/>
  <c r="H638" i="4"/>
  <c r="O642" i="4"/>
  <c r="G642" i="4"/>
  <c r="N642" i="4"/>
  <c r="F642" i="4"/>
  <c r="M642" i="4"/>
  <c r="E642" i="4"/>
  <c r="L642" i="4"/>
  <c r="D642" i="4"/>
  <c r="S642" i="4"/>
  <c r="K642" i="4"/>
  <c r="R642" i="4"/>
  <c r="J642" i="4"/>
  <c r="Q642" i="4"/>
  <c r="P642" i="4"/>
  <c r="I642" i="4"/>
  <c r="H642" i="4"/>
  <c r="O646" i="4"/>
  <c r="G646" i="4"/>
  <c r="N646" i="4"/>
  <c r="F646" i="4"/>
  <c r="M646" i="4"/>
  <c r="E646" i="4"/>
  <c r="L646" i="4"/>
  <c r="D646" i="4"/>
  <c r="S646" i="4"/>
  <c r="K646" i="4"/>
  <c r="R646" i="4"/>
  <c r="J646" i="4"/>
  <c r="Q646" i="4"/>
  <c r="P646" i="4"/>
  <c r="I646" i="4"/>
  <c r="H646" i="4"/>
  <c r="O650" i="4"/>
  <c r="G650" i="4"/>
  <c r="N650" i="4"/>
  <c r="F650" i="4"/>
  <c r="M650" i="4"/>
  <c r="E650" i="4"/>
  <c r="L650" i="4"/>
  <c r="D650" i="4"/>
  <c r="S650" i="4"/>
  <c r="K650" i="4"/>
  <c r="R650" i="4"/>
  <c r="J650" i="4"/>
  <c r="Q650" i="4"/>
  <c r="P650" i="4"/>
  <c r="I650" i="4"/>
  <c r="H650" i="4"/>
  <c r="O654" i="4"/>
  <c r="G654" i="4"/>
  <c r="N654" i="4"/>
  <c r="F654" i="4"/>
  <c r="M654" i="4"/>
  <c r="E654" i="4"/>
  <c r="L654" i="4"/>
  <c r="D654" i="4"/>
  <c r="S654" i="4"/>
  <c r="K654" i="4"/>
  <c r="R654" i="4"/>
  <c r="J654" i="4"/>
  <c r="Q654" i="4"/>
  <c r="P654" i="4"/>
  <c r="I654" i="4"/>
  <c r="H654" i="4"/>
  <c r="O658" i="4"/>
  <c r="G658" i="4"/>
  <c r="N658" i="4"/>
  <c r="F658" i="4"/>
  <c r="M658" i="4"/>
  <c r="E658" i="4"/>
  <c r="L658" i="4"/>
  <c r="D658" i="4"/>
  <c r="S658" i="4"/>
  <c r="K658" i="4"/>
  <c r="R658" i="4"/>
  <c r="J658" i="4"/>
  <c r="Q658" i="4"/>
  <c r="P658" i="4"/>
  <c r="I658" i="4"/>
  <c r="H658" i="4"/>
  <c r="O662" i="4"/>
  <c r="G662" i="4"/>
  <c r="N662" i="4"/>
  <c r="F662" i="4"/>
  <c r="M662" i="4"/>
  <c r="E662" i="4"/>
  <c r="L662" i="4"/>
  <c r="D662" i="4"/>
  <c r="S662" i="4"/>
  <c r="K662" i="4"/>
  <c r="R662" i="4"/>
  <c r="J662" i="4"/>
  <c r="Q662" i="4"/>
  <c r="P662" i="4"/>
  <c r="I662" i="4"/>
  <c r="H662" i="4"/>
  <c r="O666" i="4"/>
  <c r="G666" i="4"/>
  <c r="N666" i="4"/>
  <c r="F666" i="4"/>
  <c r="M666" i="4"/>
  <c r="E666" i="4"/>
  <c r="L666" i="4"/>
  <c r="D666" i="4"/>
  <c r="S666" i="4"/>
  <c r="K666" i="4"/>
  <c r="R666" i="4"/>
  <c r="J666" i="4"/>
  <c r="Q666" i="4"/>
  <c r="P666" i="4"/>
  <c r="I666" i="4"/>
  <c r="H666" i="4"/>
  <c r="AF7" i="3" a="1"/>
  <c r="AF7" i="3" s="1"/>
  <c r="AJ7" i="3"/>
  <c r="AA7" i="3"/>
  <c r="S7" i="3"/>
  <c r="K7" i="3"/>
  <c r="AI7" i="3"/>
  <c r="Z7" i="3"/>
  <c r="R7" i="3"/>
  <c r="AH7" i="3"/>
  <c r="Y7" i="3"/>
  <c r="Q7" i="3"/>
  <c r="AG7" i="3"/>
  <c r="X7" i="3"/>
  <c r="P7" i="3"/>
  <c r="H7" i="3"/>
  <c r="AN7" i="3"/>
  <c r="AE7" i="3"/>
  <c r="W7" i="3"/>
  <c r="O7" i="3"/>
  <c r="G7" i="3"/>
  <c r="AM7" i="3"/>
  <c r="AD7" i="3"/>
  <c r="V7" i="3"/>
  <c r="N7" i="3"/>
  <c r="AC7" i="3"/>
  <c r="AB7" i="3"/>
  <c r="U7" i="3"/>
  <c r="T7" i="3"/>
  <c r="M7" i="3"/>
  <c r="L7" i="3"/>
  <c r="AL7" i="3"/>
  <c r="E7" i="3"/>
  <c r="D7" i="3"/>
  <c r="AK7" i="3"/>
  <c r="AF11" i="3" a="1"/>
  <c r="AF11" i="3" s="1"/>
  <c r="AJ11" i="3"/>
  <c r="AA11" i="3"/>
  <c r="S11" i="3"/>
  <c r="K11" i="3"/>
  <c r="AI11" i="3"/>
  <c r="Z11" i="3"/>
  <c r="R11" i="3"/>
  <c r="J11" i="3"/>
  <c r="AH11" i="3"/>
  <c r="Y11" i="3"/>
  <c r="Q11" i="3"/>
  <c r="I11" i="3"/>
  <c r="AG11" i="3"/>
  <c r="X11" i="3"/>
  <c r="H11" i="3"/>
  <c r="AN11" i="3"/>
  <c r="AE11" i="3"/>
  <c r="W11" i="3"/>
  <c r="O11" i="3"/>
  <c r="G11" i="3"/>
  <c r="AM11" i="3"/>
  <c r="AD11" i="3"/>
  <c r="V11" i="3"/>
  <c r="N11" i="3"/>
  <c r="F11" i="3"/>
  <c r="M11" i="3"/>
  <c r="L11" i="3"/>
  <c r="AL11" i="3"/>
  <c r="E11" i="3"/>
  <c r="AK11" i="3"/>
  <c r="D11" i="3"/>
  <c r="AC11" i="3"/>
  <c r="AB11" i="3"/>
  <c r="U11" i="3"/>
  <c r="T11" i="3"/>
  <c r="AF15" i="3" a="1"/>
  <c r="AF15" i="3" s="1"/>
  <c r="AJ15" i="3"/>
  <c r="AA15" i="3"/>
  <c r="S15" i="3"/>
  <c r="K15" i="3"/>
  <c r="AI15" i="3"/>
  <c r="Z15" i="3"/>
  <c r="R15" i="3"/>
  <c r="AH15" i="3"/>
  <c r="Y15" i="3"/>
  <c r="Q15" i="3"/>
  <c r="I15" i="3"/>
  <c r="AG15" i="3"/>
  <c r="X15" i="3"/>
  <c r="P15" i="3"/>
  <c r="H15" i="3"/>
  <c r="AN15" i="3"/>
  <c r="AE15" i="3"/>
  <c r="W15" i="3"/>
  <c r="O15" i="3"/>
  <c r="G15" i="3"/>
  <c r="AM15" i="3"/>
  <c r="AD15" i="3"/>
  <c r="V15" i="3"/>
  <c r="N15" i="3"/>
  <c r="F15" i="3"/>
  <c r="AC15" i="3"/>
  <c r="AB15" i="3"/>
  <c r="U15" i="3"/>
  <c r="T15" i="3"/>
  <c r="M15" i="3"/>
  <c r="L15" i="3"/>
  <c r="AL15" i="3"/>
  <c r="E15" i="3"/>
  <c r="AK15" i="3"/>
  <c r="D15" i="3"/>
  <c r="AF19" i="3" a="1"/>
  <c r="AF19" i="3" s="1"/>
  <c r="AJ19" i="3"/>
  <c r="AA19" i="3"/>
  <c r="S19" i="3"/>
  <c r="K19" i="3"/>
  <c r="AI19" i="3"/>
  <c r="Z19" i="3"/>
  <c r="R19" i="3"/>
  <c r="AH19" i="3"/>
  <c r="Y19" i="3"/>
  <c r="Q19" i="3"/>
  <c r="I19" i="3"/>
  <c r="AG19" i="3"/>
  <c r="X19" i="3"/>
  <c r="P19" i="3"/>
  <c r="H19" i="3"/>
  <c r="AN19" i="3"/>
  <c r="AE19" i="3"/>
  <c r="W19" i="3"/>
  <c r="O19" i="3"/>
  <c r="AM19" i="3"/>
  <c r="AD19" i="3"/>
  <c r="V19" i="3"/>
  <c r="N19" i="3"/>
  <c r="M19" i="3"/>
  <c r="L19" i="3"/>
  <c r="AL19" i="3"/>
  <c r="E19" i="3"/>
  <c r="D19" i="3"/>
  <c r="AC19" i="3"/>
  <c r="AB19" i="3"/>
  <c r="U19" i="3"/>
  <c r="T19" i="3"/>
  <c r="AF23" i="3" a="1"/>
  <c r="AF23" i="3" s="1"/>
  <c r="AJ23" i="3"/>
  <c r="AA23" i="3"/>
  <c r="S23" i="3"/>
  <c r="K23" i="3"/>
  <c r="AI23" i="3"/>
  <c r="Z23" i="3"/>
  <c r="R23" i="3"/>
  <c r="AH23" i="3"/>
  <c r="Y23" i="3"/>
  <c r="Q23" i="3"/>
  <c r="AG23" i="3"/>
  <c r="X23" i="3"/>
  <c r="P23" i="3"/>
  <c r="H23" i="3"/>
  <c r="AN23" i="3"/>
  <c r="AE23" i="3"/>
  <c r="W23" i="3"/>
  <c r="O23" i="3"/>
  <c r="G23" i="3"/>
  <c r="AM23" i="3"/>
  <c r="AD23" i="3"/>
  <c r="V23" i="3"/>
  <c r="N23" i="3"/>
  <c r="F23" i="3"/>
  <c r="AC23" i="3"/>
  <c r="AB23" i="3"/>
  <c r="U23" i="3"/>
  <c r="T23" i="3"/>
  <c r="M23" i="3"/>
  <c r="L23" i="3"/>
  <c r="AL23" i="3"/>
  <c r="E23" i="3"/>
  <c r="AK23" i="3"/>
  <c r="D23" i="3"/>
  <c r="AF27" i="3" a="1"/>
  <c r="AF27" i="3" s="1"/>
  <c r="AJ27" i="3"/>
  <c r="AA27" i="3"/>
  <c r="S27" i="3"/>
  <c r="K27" i="3"/>
  <c r="AI27" i="3"/>
  <c r="Z27" i="3"/>
  <c r="R27" i="3"/>
  <c r="AH27" i="3"/>
  <c r="Y27" i="3"/>
  <c r="Q27" i="3"/>
  <c r="I27" i="3"/>
  <c r="AG27" i="3"/>
  <c r="X27" i="3"/>
  <c r="P27" i="3"/>
  <c r="H27" i="3"/>
  <c r="AN27" i="3"/>
  <c r="AE27" i="3"/>
  <c r="W27" i="3"/>
  <c r="O27" i="3"/>
  <c r="AM27" i="3"/>
  <c r="AD27" i="3"/>
  <c r="V27" i="3"/>
  <c r="N27" i="3"/>
  <c r="F27" i="3"/>
  <c r="M27" i="3"/>
  <c r="L27" i="3"/>
  <c r="AL27" i="3"/>
  <c r="E27" i="3"/>
  <c r="AK27" i="3"/>
  <c r="D27" i="3"/>
  <c r="AC27" i="3"/>
  <c r="AB27" i="3"/>
  <c r="U27" i="3"/>
  <c r="T27" i="3"/>
  <c r="AF31" i="3" a="1"/>
  <c r="AF31" i="3" s="1"/>
  <c r="AJ31" i="3"/>
  <c r="AA31" i="3"/>
  <c r="S31" i="3"/>
  <c r="K31" i="3"/>
  <c r="AI31" i="3"/>
  <c r="Z31" i="3"/>
  <c r="R31" i="3"/>
  <c r="AH31" i="3"/>
  <c r="Y31" i="3"/>
  <c r="Q31" i="3"/>
  <c r="AG31" i="3"/>
  <c r="X31" i="3"/>
  <c r="P31" i="3"/>
  <c r="H31" i="3"/>
  <c r="AN31" i="3"/>
  <c r="AE31" i="3"/>
  <c r="W31" i="3"/>
  <c r="O31" i="3"/>
  <c r="G31" i="3"/>
  <c r="AM31" i="3"/>
  <c r="AD31" i="3"/>
  <c r="V31" i="3"/>
  <c r="N31" i="3"/>
  <c r="F31" i="3"/>
  <c r="AC31" i="3"/>
  <c r="AB31" i="3"/>
  <c r="U31" i="3"/>
  <c r="T31" i="3"/>
  <c r="M31" i="3"/>
  <c r="L31" i="3"/>
  <c r="AL31" i="3"/>
  <c r="E31" i="3"/>
  <c r="AK31" i="3"/>
  <c r="D31" i="3"/>
  <c r="AF35" i="3" a="1"/>
  <c r="AF35" i="3" s="1"/>
  <c r="AJ35" i="3"/>
  <c r="AA35" i="3"/>
  <c r="S35" i="3"/>
  <c r="K35" i="3"/>
  <c r="AI35" i="3"/>
  <c r="Z35" i="3"/>
  <c r="R35" i="3"/>
  <c r="J35" i="3"/>
  <c r="AH35" i="3"/>
  <c r="Y35" i="3"/>
  <c r="Q35" i="3"/>
  <c r="I35" i="3"/>
  <c r="AG35" i="3"/>
  <c r="X35" i="3"/>
  <c r="P35" i="3"/>
  <c r="H35" i="3"/>
  <c r="AN35" i="3"/>
  <c r="AE35" i="3"/>
  <c r="W35" i="3"/>
  <c r="O35" i="3"/>
  <c r="G35" i="3"/>
  <c r="AM35" i="3"/>
  <c r="AD35" i="3"/>
  <c r="V35" i="3"/>
  <c r="N35" i="3"/>
  <c r="F35" i="3"/>
  <c r="M35" i="3"/>
  <c r="L35" i="3"/>
  <c r="AL35" i="3"/>
  <c r="E35" i="3"/>
  <c r="AK35" i="3"/>
  <c r="D35" i="3"/>
  <c r="AC35" i="3"/>
  <c r="AB35" i="3"/>
  <c r="U35" i="3"/>
  <c r="T35" i="3"/>
  <c r="AF39" i="3" a="1"/>
  <c r="AF39" i="3" s="1"/>
  <c r="AJ39" i="3"/>
  <c r="AA39" i="3"/>
  <c r="S39" i="3"/>
  <c r="K39" i="3"/>
  <c r="AI39" i="3"/>
  <c r="Z39" i="3"/>
  <c r="R39" i="3"/>
  <c r="J39" i="3"/>
  <c r="AH39" i="3"/>
  <c r="Y39" i="3"/>
  <c r="Q39" i="3"/>
  <c r="I39" i="3"/>
  <c r="AG39" i="3"/>
  <c r="X39" i="3"/>
  <c r="P39" i="3"/>
  <c r="H39" i="3"/>
  <c r="AN39" i="3"/>
  <c r="AE39" i="3"/>
  <c r="W39" i="3"/>
  <c r="O39" i="3"/>
  <c r="G39" i="3"/>
  <c r="AM39" i="3"/>
  <c r="AD39" i="3"/>
  <c r="V39" i="3"/>
  <c r="N39" i="3"/>
  <c r="F39" i="3"/>
  <c r="AC39" i="3"/>
  <c r="AB39" i="3"/>
  <c r="U39" i="3"/>
  <c r="T39" i="3"/>
  <c r="M39" i="3"/>
  <c r="L39" i="3"/>
  <c r="AL39" i="3"/>
  <c r="E39" i="3"/>
  <c r="AK39" i="3"/>
  <c r="D39" i="3"/>
  <c r="AF43" i="3" a="1"/>
  <c r="AF43" i="3" s="1"/>
  <c r="AJ43" i="3"/>
  <c r="AA43" i="3"/>
  <c r="S43" i="3"/>
  <c r="K43" i="3"/>
  <c r="AI43" i="3"/>
  <c r="Z43" i="3"/>
  <c r="R43" i="3"/>
  <c r="J43" i="3"/>
  <c r="AH43" i="3"/>
  <c r="Y43" i="3"/>
  <c r="Q43" i="3"/>
  <c r="I43" i="3"/>
  <c r="AG43" i="3"/>
  <c r="X43" i="3"/>
  <c r="P43" i="3"/>
  <c r="H43" i="3"/>
  <c r="AN43" i="3"/>
  <c r="AE43" i="3"/>
  <c r="W43" i="3"/>
  <c r="O43" i="3"/>
  <c r="G43" i="3"/>
  <c r="AM43" i="3"/>
  <c r="AD43" i="3"/>
  <c r="V43" i="3"/>
  <c r="N43" i="3"/>
  <c r="F43" i="3"/>
  <c r="M43" i="3"/>
  <c r="L43" i="3"/>
  <c r="AL43" i="3"/>
  <c r="E43" i="3"/>
  <c r="AK43" i="3"/>
  <c r="D43" i="3"/>
  <c r="AC43" i="3"/>
  <c r="AB43" i="3"/>
  <c r="U43" i="3"/>
  <c r="T43" i="3"/>
  <c r="AF47" i="3" a="1"/>
  <c r="AF47" i="3" s="1"/>
  <c r="AJ47" i="3"/>
  <c r="AA47" i="3"/>
  <c r="S47" i="3"/>
  <c r="K47" i="3"/>
  <c r="AI47" i="3"/>
  <c r="Z47" i="3"/>
  <c r="R47" i="3"/>
  <c r="J47" i="3"/>
  <c r="AH47" i="3"/>
  <c r="Y47" i="3"/>
  <c r="Q47" i="3"/>
  <c r="I47" i="3"/>
  <c r="AG47" i="3"/>
  <c r="X47" i="3"/>
  <c r="P47" i="3"/>
  <c r="H47" i="3"/>
  <c r="AN47" i="3"/>
  <c r="AE47" i="3"/>
  <c r="W47" i="3"/>
  <c r="O47" i="3"/>
  <c r="G47" i="3"/>
  <c r="AM47" i="3"/>
  <c r="AD47" i="3"/>
  <c r="V47" i="3"/>
  <c r="N47" i="3"/>
  <c r="F47" i="3"/>
  <c r="AC47" i="3"/>
  <c r="AB47" i="3"/>
  <c r="U47" i="3"/>
  <c r="T47" i="3"/>
  <c r="M47" i="3"/>
  <c r="L47" i="3"/>
  <c r="AL47" i="3"/>
  <c r="E47" i="3"/>
  <c r="AK47" i="3"/>
  <c r="D47" i="3"/>
  <c r="AF51" i="3" a="1"/>
  <c r="AF51" i="3" s="1"/>
  <c r="AJ51" i="3"/>
  <c r="AA51" i="3"/>
  <c r="S51" i="3"/>
  <c r="K51" i="3"/>
  <c r="AI51" i="3"/>
  <c r="Z51" i="3"/>
  <c r="R51" i="3"/>
  <c r="J51" i="3"/>
  <c r="AH51" i="3"/>
  <c r="Y51" i="3"/>
  <c r="Q51" i="3"/>
  <c r="I51" i="3"/>
  <c r="AG51" i="3"/>
  <c r="X51" i="3"/>
  <c r="P51" i="3"/>
  <c r="H51" i="3"/>
  <c r="AN51" i="3"/>
  <c r="AE51" i="3"/>
  <c r="W51" i="3"/>
  <c r="O51" i="3"/>
  <c r="G51" i="3"/>
  <c r="AM51" i="3"/>
  <c r="AD51" i="3"/>
  <c r="V51" i="3"/>
  <c r="N51" i="3"/>
  <c r="F51" i="3"/>
  <c r="M51" i="3"/>
  <c r="L51" i="3"/>
  <c r="AL51" i="3"/>
  <c r="E51" i="3"/>
  <c r="AK51" i="3"/>
  <c r="D51" i="3"/>
  <c r="AC51" i="3"/>
  <c r="AB51" i="3"/>
  <c r="U51" i="3"/>
  <c r="T51" i="3"/>
  <c r="AF55" i="3" a="1"/>
  <c r="AF55" i="3" s="1"/>
  <c r="AJ55" i="3"/>
  <c r="AA55" i="3"/>
  <c r="S55" i="3"/>
  <c r="K55" i="3"/>
  <c r="AI55" i="3"/>
  <c r="Z55" i="3"/>
  <c r="R55" i="3"/>
  <c r="J55" i="3"/>
  <c r="AH55" i="3"/>
  <c r="Y55" i="3"/>
  <c r="Q55" i="3"/>
  <c r="I55" i="3"/>
  <c r="AG55" i="3"/>
  <c r="X55" i="3"/>
  <c r="P55" i="3"/>
  <c r="H55" i="3"/>
  <c r="AN55" i="3"/>
  <c r="AE55" i="3"/>
  <c r="W55" i="3"/>
  <c r="O55" i="3"/>
  <c r="G55" i="3"/>
  <c r="AM55" i="3"/>
  <c r="AD55" i="3"/>
  <c r="V55" i="3"/>
  <c r="N55" i="3"/>
  <c r="F55" i="3"/>
  <c r="AC55" i="3"/>
  <c r="AB55" i="3"/>
  <c r="U55" i="3"/>
  <c r="T55" i="3"/>
  <c r="M55" i="3"/>
  <c r="L55" i="3"/>
  <c r="AL55" i="3"/>
  <c r="E55" i="3"/>
  <c r="D55" i="3"/>
  <c r="AK55" i="3"/>
  <c r="AF59" i="3" a="1"/>
  <c r="AF59" i="3" s="1"/>
  <c r="AJ59" i="3"/>
  <c r="AA59" i="3"/>
  <c r="S59" i="3"/>
  <c r="K59" i="3"/>
  <c r="AI59" i="3"/>
  <c r="Z59" i="3"/>
  <c r="R59" i="3"/>
  <c r="J59" i="3"/>
  <c r="AH59" i="3"/>
  <c r="Y59" i="3"/>
  <c r="Q59" i="3"/>
  <c r="I59" i="3"/>
  <c r="AG59" i="3"/>
  <c r="X59" i="3"/>
  <c r="P59" i="3"/>
  <c r="H59" i="3"/>
  <c r="AN59" i="3"/>
  <c r="AE59" i="3"/>
  <c r="W59" i="3"/>
  <c r="O59" i="3"/>
  <c r="G59" i="3"/>
  <c r="AM59" i="3"/>
  <c r="AD59" i="3"/>
  <c r="V59" i="3"/>
  <c r="N59" i="3"/>
  <c r="F59" i="3"/>
  <c r="M59" i="3"/>
  <c r="L59" i="3"/>
  <c r="AL59" i="3"/>
  <c r="E59" i="3"/>
  <c r="AK59" i="3"/>
  <c r="D59" i="3"/>
  <c r="AC59" i="3"/>
  <c r="AB59" i="3"/>
  <c r="U59" i="3"/>
  <c r="T59" i="3"/>
  <c r="AF63" i="3" a="1"/>
  <c r="AF63" i="3" s="1"/>
  <c r="AJ63" i="3"/>
  <c r="AA63" i="3"/>
  <c r="S63" i="3"/>
  <c r="K63" i="3"/>
  <c r="AI63" i="3"/>
  <c r="Z63" i="3"/>
  <c r="R63" i="3"/>
  <c r="J63" i="3"/>
  <c r="AH63" i="3"/>
  <c r="Y63" i="3"/>
  <c r="Q63" i="3"/>
  <c r="I63" i="3"/>
  <c r="AG63" i="3"/>
  <c r="X63" i="3"/>
  <c r="P63" i="3"/>
  <c r="H63" i="3"/>
  <c r="AN63" i="3"/>
  <c r="AE63" i="3"/>
  <c r="W63" i="3"/>
  <c r="O63" i="3"/>
  <c r="G63" i="3"/>
  <c r="AM63" i="3"/>
  <c r="AD63" i="3"/>
  <c r="V63" i="3"/>
  <c r="N63" i="3"/>
  <c r="F63" i="3"/>
  <c r="AC63" i="3"/>
  <c r="AB63" i="3"/>
  <c r="U63" i="3"/>
  <c r="T63" i="3"/>
  <c r="M63" i="3"/>
  <c r="L63" i="3"/>
  <c r="AL63" i="3"/>
  <c r="E63" i="3"/>
  <c r="AK63" i="3"/>
  <c r="D63" i="3"/>
  <c r="AF67" i="3" a="1"/>
  <c r="AF67" i="3" s="1"/>
  <c r="AL67" i="3"/>
  <c r="AC67" i="3"/>
  <c r="U67" i="3"/>
  <c r="M67" i="3"/>
  <c r="E67" i="3"/>
  <c r="AI67" i="3"/>
  <c r="Y67" i="3"/>
  <c r="P67" i="3"/>
  <c r="G67" i="3"/>
  <c r="AH67" i="3"/>
  <c r="X67" i="3"/>
  <c r="O67" i="3"/>
  <c r="F67" i="3"/>
  <c r="AG67" i="3"/>
  <c r="W67" i="3"/>
  <c r="N67" i="3"/>
  <c r="D67" i="3"/>
  <c r="AE67" i="3"/>
  <c r="V67" i="3"/>
  <c r="L67" i="3"/>
  <c r="AN67" i="3"/>
  <c r="AD67" i="3"/>
  <c r="T67" i="3"/>
  <c r="K67" i="3"/>
  <c r="AM67" i="3"/>
  <c r="AB67" i="3"/>
  <c r="S67" i="3"/>
  <c r="J67" i="3"/>
  <c r="R67" i="3"/>
  <c r="Q67" i="3"/>
  <c r="I67" i="3"/>
  <c r="H67" i="3"/>
  <c r="AK67" i="3"/>
  <c r="AJ67" i="3"/>
  <c r="AA67" i="3"/>
  <c r="Z67" i="3"/>
  <c r="AF71" i="3" a="1"/>
  <c r="AF71" i="3" s="1"/>
  <c r="AL71" i="3"/>
  <c r="AC71" i="3"/>
  <c r="U71" i="3"/>
  <c r="M71" i="3"/>
  <c r="E71" i="3"/>
  <c r="AK71" i="3"/>
  <c r="AA71" i="3"/>
  <c r="R71" i="3"/>
  <c r="I71" i="3"/>
  <c r="AJ71" i="3"/>
  <c r="Z71" i="3"/>
  <c r="Q71" i="3"/>
  <c r="H71" i="3"/>
  <c r="AI71" i="3"/>
  <c r="Y71" i="3"/>
  <c r="P71" i="3"/>
  <c r="G71" i="3"/>
  <c r="AH71" i="3"/>
  <c r="X71" i="3"/>
  <c r="O71" i="3"/>
  <c r="F71" i="3"/>
  <c r="AG71" i="3"/>
  <c r="W71" i="3"/>
  <c r="N71" i="3"/>
  <c r="D71" i="3"/>
  <c r="AE71" i="3"/>
  <c r="V71" i="3"/>
  <c r="L71" i="3"/>
  <c r="T71" i="3"/>
  <c r="S71" i="3"/>
  <c r="K71" i="3"/>
  <c r="J71" i="3"/>
  <c r="AN71" i="3"/>
  <c r="AM71" i="3"/>
  <c r="AD71" i="3"/>
  <c r="AB71" i="3"/>
  <c r="AF75" i="3" a="1"/>
  <c r="AF75" i="3" s="1"/>
  <c r="AL75" i="3"/>
  <c r="AC75" i="3"/>
  <c r="U75" i="3"/>
  <c r="M75" i="3"/>
  <c r="E75" i="3"/>
  <c r="AK75" i="3"/>
  <c r="AB75" i="3"/>
  <c r="T75" i="3"/>
  <c r="L75" i="3"/>
  <c r="D75" i="3"/>
  <c r="AJ75" i="3"/>
  <c r="AA75" i="3"/>
  <c r="S75" i="3"/>
  <c r="K75" i="3"/>
  <c r="AI75" i="3"/>
  <c r="Z75" i="3"/>
  <c r="R75" i="3"/>
  <c r="J75" i="3"/>
  <c r="AH75" i="3"/>
  <c r="Y75" i="3"/>
  <c r="Q75" i="3"/>
  <c r="I75" i="3"/>
  <c r="AG75" i="3"/>
  <c r="X75" i="3"/>
  <c r="P75" i="3"/>
  <c r="H75" i="3"/>
  <c r="V75" i="3"/>
  <c r="O75" i="3"/>
  <c r="N75" i="3"/>
  <c r="AN75" i="3"/>
  <c r="G75" i="3"/>
  <c r="AM75" i="3"/>
  <c r="F75" i="3"/>
  <c r="AE75" i="3"/>
  <c r="AD75" i="3"/>
  <c r="W75" i="3"/>
  <c r="AF79" i="3" a="1"/>
  <c r="AF79" i="3" s="1"/>
  <c r="AL79" i="3"/>
  <c r="AC79" i="3"/>
  <c r="U79" i="3"/>
  <c r="M79" i="3"/>
  <c r="E79" i="3"/>
  <c r="AK79" i="3"/>
  <c r="AB79" i="3"/>
  <c r="T79" i="3"/>
  <c r="L79" i="3"/>
  <c r="D79" i="3"/>
  <c r="AJ79" i="3"/>
  <c r="AA79" i="3"/>
  <c r="S79" i="3"/>
  <c r="K79" i="3"/>
  <c r="AI79" i="3"/>
  <c r="Z79" i="3"/>
  <c r="R79" i="3"/>
  <c r="J79" i="3"/>
  <c r="AH79" i="3"/>
  <c r="Y79" i="3"/>
  <c r="Q79" i="3"/>
  <c r="I79" i="3"/>
  <c r="AG79" i="3"/>
  <c r="X79" i="3"/>
  <c r="P79" i="3"/>
  <c r="H79" i="3"/>
  <c r="AM79" i="3"/>
  <c r="F79" i="3"/>
  <c r="AE79" i="3"/>
  <c r="AD79" i="3"/>
  <c r="W79" i="3"/>
  <c r="V79" i="3"/>
  <c r="O79" i="3"/>
  <c r="AN79" i="3"/>
  <c r="N79" i="3"/>
  <c r="G79" i="3"/>
  <c r="AF83" i="3" a="1"/>
  <c r="AF83" i="3" s="1"/>
  <c r="AL83" i="3"/>
  <c r="AC83" i="3"/>
  <c r="U83" i="3"/>
  <c r="M83" i="3"/>
  <c r="E83" i="3"/>
  <c r="AK83" i="3"/>
  <c r="AB83" i="3"/>
  <c r="T83" i="3"/>
  <c r="L83" i="3"/>
  <c r="D83" i="3"/>
  <c r="AJ83" i="3"/>
  <c r="AA83" i="3"/>
  <c r="S83" i="3"/>
  <c r="K83" i="3"/>
  <c r="AI83" i="3"/>
  <c r="Z83" i="3"/>
  <c r="R83" i="3"/>
  <c r="J83" i="3"/>
  <c r="AH83" i="3"/>
  <c r="Y83" i="3"/>
  <c r="Q83" i="3"/>
  <c r="I83" i="3"/>
  <c r="AG83" i="3"/>
  <c r="X83" i="3"/>
  <c r="P83" i="3"/>
  <c r="H83" i="3"/>
  <c r="V83" i="3"/>
  <c r="O83" i="3"/>
  <c r="N83" i="3"/>
  <c r="AN83" i="3"/>
  <c r="G83" i="3"/>
  <c r="AM83" i="3"/>
  <c r="F83" i="3"/>
  <c r="AE83" i="3"/>
  <c r="AD83" i="3"/>
  <c r="W83" i="3"/>
  <c r="AF87" i="3" a="1"/>
  <c r="AF87" i="3" s="1"/>
  <c r="AL87" i="3"/>
  <c r="AC87" i="3"/>
  <c r="U87" i="3"/>
  <c r="M87" i="3"/>
  <c r="E87" i="3"/>
  <c r="AK87" i="3"/>
  <c r="AB87" i="3"/>
  <c r="T87" i="3"/>
  <c r="L87" i="3"/>
  <c r="D87" i="3"/>
  <c r="AJ87" i="3"/>
  <c r="AA87" i="3"/>
  <c r="S87" i="3"/>
  <c r="K87" i="3"/>
  <c r="AI87" i="3"/>
  <c r="Z87" i="3"/>
  <c r="R87" i="3"/>
  <c r="J87" i="3"/>
  <c r="AH87" i="3"/>
  <c r="Y87" i="3"/>
  <c r="Q87" i="3"/>
  <c r="I87" i="3"/>
  <c r="AG87" i="3"/>
  <c r="X87" i="3"/>
  <c r="P87" i="3"/>
  <c r="H87" i="3"/>
  <c r="AM87" i="3"/>
  <c r="F87" i="3"/>
  <c r="AE87" i="3"/>
  <c r="AD87" i="3"/>
  <c r="W87" i="3"/>
  <c r="V87" i="3"/>
  <c r="O87" i="3"/>
  <c r="AN87" i="3"/>
  <c r="N87" i="3"/>
  <c r="G87" i="3"/>
  <c r="AF91" i="3" a="1"/>
  <c r="AF91" i="3" s="1"/>
  <c r="AL91" i="3"/>
  <c r="AC91" i="3"/>
  <c r="U91" i="3"/>
  <c r="M91" i="3"/>
  <c r="E91" i="3"/>
  <c r="AK91" i="3"/>
  <c r="AB91" i="3"/>
  <c r="T91" i="3"/>
  <c r="L91" i="3"/>
  <c r="D91" i="3"/>
  <c r="AJ91" i="3"/>
  <c r="AA91" i="3"/>
  <c r="S91" i="3"/>
  <c r="K91" i="3"/>
  <c r="AI91" i="3"/>
  <c r="Z91" i="3"/>
  <c r="R91" i="3"/>
  <c r="J91" i="3"/>
  <c r="AH91" i="3"/>
  <c r="Y91" i="3"/>
  <c r="Q91" i="3"/>
  <c r="I91" i="3"/>
  <c r="AG91" i="3"/>
  <c r="X91" i="3"/>
  <c r="P91" i="3"/>
  <c r="H91" i="3"/>
  <c r="V91" i="3"/>
  <c r="O91" i="3"/>
  <c r="N91" i="3"/>
  <c r="AN91" i="3"/>
  <c r="G91" i="3"/>
  <c r="AM91" i="3"/>
  <c r="F91" i="3"/>
  <c r="AE91" i="3"/>
  <c r="AD91" i="3"/>
  <c r="W91" i="3"/>
  <c r="AF95" i="3" a="1"/>
  <c r="AF95" i="3" s="1"/>
  <c r="AH95" i="3"/>
  <c r="Y95" i="3"/>
  <c r="Q95" i="3"/>
  <c r="I95" i="3"/>
  <c r="AG95" i="3"/>
  <c r="X95" i="3"/>
  <c r="P95" i="3"/>
  <c r="H95" i="3"/>
  <c r="AN95" i="3"/>
  <c r="AE95" i="3"/>
  <c r="W95" i="3"/>
  <c r="O95" i="3"/>
  <c r="G95" i="3"/>
  <c r="AM95" i="3"/>
  <c r="AD95" i="3"/>
  <c r="V95" i="3"/>
  <c r="N95" i="3"/>
  <c r="F95" i="3"/>
  <c r="AL95" i="3"/>
  <c r="AC95" i="3"/>
  <c r="U95" i="3"/>
  <c r="M95" i="3"/>
  <c r="E95" i="3"/>
  <c r="AK95" i="3"/>
  <c r="AB95" i="3"/>
  <c r="T95" i="3"/>
  <c r="L95" i="3"/>
  <c r="D95" i="3"/>
  <c r="S95" i="3"/>
  <c r="R95" i="3"/>
  <c r="K95" i="3"/>
  <c r="J95" i="3"/>
  <c r="AJ95" i="3"/>
  <c r="AI95" i="3"/>
  <c r="Z95" i="3"/>
  <c r="AA95" i="3"/>
  <c r="AF99" i="3" a="1"/>
  <c r="AF99" i="3" s="1"/>
  <c r="AH99" i="3"/>
  <c r="Y99" i="3"/>
  <c r="Q99" i="3"/>
  <c r="I99" i="3"/>
  <c r="AG99" i="3"/>
  <c r="X99" i="3"/>
  <c r="P99" i="3"/>
  <c r="H99" i="3"/>
  <c r="AN99" i="3"/>
  <c r="AE99" i="3"/>
  <c r="W99" i="3"/>
  <c r="O99" i="3"/>
  <c r="G99" i="3"/>
  <c r="AM99" i="3"/>
  <c r="AD99" i="3"/>
  <c r="V99" i="3"/>
  <c r="N99" i="3"/>
  <c r="F99" i="3"/>
  <c r="AL99" i="3"/>
  <c r="AC99" i="3"/>
  <c r="U99" i="3"/>
  <c r="M99" i="3"/>
  <c r="E99" i="3"/>
  <c r="AK99" i="3"/>
  <c r="AB99" i="3"/>
  <c r="T99" i="3"/>
  <c r="L99" i="3"/>
  <c r="D99" i="3"/>
  <c r="AJ99" i="3"/>
  <c r="AI99" i="3"/>
  <c r="AA99" i="3"/>
  <c r="Z99" i="3"/>
  <c r="S99" i="3"/>
  <c r="R99" i="3"/>
  <c r="J99" i="3"/>
  <c r="K99" i="3"/>
  <c r="AF103" i="3" a="1"/>
  <c r="AF103" i="3" s="1"/>
  <c r="AH103" i="3"/>
  <c r="Y103" i="3"/>
  <c r="Q103" i="3"/>
  <c r="I103" i="3"/>
  <c r="AG103" i="3"/>
  <c r="X103" i="3"/>
  <c r="P103" i="3"/>
  <c r="H103" i="3"/>
  <c r="AN103" i="3"/>
  <c r="AE103" i="3"/>
  <c r="W103" i="3"/>
  <c r="O103" i="3"/>
  <c r="G103" i="3"/>
  <c r="AM103" i="3"/>
  <c r="AD103" i="3"/>
  <c r="V103" i="3"/>
  <c r="N103" i="3"/>
  <c r="F103" i="3"/>
  <c r="AL103" i="3"/>
  <c r="AC103" i="3"/>
  <c r="U103" i="3"/>
  <c r="M103" i="3"/>
  <c r="E103" i="3"/>
  <c r="AK103" i="3"/>
  <c r="AB103" i="3"/>
  <c r="T103" i="3"/>
  <c r="L103" i="3"/>
  <c r="D103" i="3"/>
  <c r="S103" i="3"/>
  <c r="R103" i="3"/>
  <c r="K103" i="3"/>
  <c r="J103" i="3"/>
  <c r="AJ103" i="3"/>
  <c r="AI103" i="3"/>
  <c r="AA103" i="3"/>
  <c r="Z103" i="3"/>
  <c r="AF107" i="3" a="1"/>
  <c r="AF107" i="3" s="1"/>
  <c r="AH107" i="3"/>
  <c r="Y107" i="3"/>
  <c r="Q107" i="3"/>
  <c r="I107" i="3"/>
  <c r="AG107" i="3"/>
  <c r="X107" i="3"/>
  <c r="P107" i="3"/>
  <c r="H107" i="3"/>
  <c r="AN107" i="3"/>
  <c r="AE107" i="3"/>
  <c r="W107" i="3"/>
  <c r="O107" i="3"/>
  <c r="G107" i="3"/>
  <c r="AM107" i="3"/>
  <c r="AD107" i="3"/>
  <c r="V107" i="3"/>
  <c r="N107" i="3"/>
  <c r="F107" i="3"/>
  <c r="AL107" i="3"/>
  <c r="AC107" i="3"/>
  <c r="U107" i="3"/>
  <c r="M107" i="3"/>
  <c r="E107" i="3"/>
  <c r="AK107" i="3"/>
  <c r="AB107" i="3"/>
  <c r="T107" i="3"/>
  <c r="L107" i="3"/>
  <c r="D107" i="3"/>
  <c r="AJ107" i="3"/>
  <c r="AI107" i="3"/>
  <c r="AA107" i="3"/>
  <c r="Z107" i="3"/>
  <c r="S107" i="3"/>
  <c r="R107" i="3"/>
  <c r="K107" i="3"/>
  <c r="J107" i="3"/>
  <c r="AF111" i="3" a="1"/>
  <c r="AF111" i="3" s="1"/>
  <c r="AH111" i="3"/>
  <c r="Y111" i="3"/>
  <c r="Q111" i="3"/>
  <c r="I111" i="3"/>
  <c r="AG111" i="3"/>
  <c r="X111" i="3"/>
  <c r="P111" i="3"/>
  <c r="H111" i="3"/>
  <c r="AN111" i="3"/>
  <c r="AE111" i="3"/>
  <c r="W111" i="3"/>
  <c r="O111" i="3"/>
  <c r="G111" i="3"/>
  <c r="AM111" i="3"/>
  <c r="AD111" i="3"/>
  <c r="V111" i="3"/>
  <c r="N111" i="3"/>
  <c r="F111" i="3"/>
  <c r="AL111" i="3"/>
  <c r="AC111" i="3"/>
  <c r="U111" i="3"/>
  <c r="M111" i="3"/>
  <c r="E111" i="3"/>
  <c r="AK111" i="3"/>
  <c r="AB111" i="3"/>
  <c r="T111" i="3"/>
  <c r="L111" i="3"/>
  <c r="D111" i="3"/>
  <c r="S111" i="3"/>
  <c r="R111" i="3"/>
  <c r="K111" i="3"/>
  <c r="J111" i="3"/>
  <c r="AJ111" i="3"/>
  <c r="AI111" i="3"/>
  <c r="AA111" i="3"/>
  <c r="Z111" i="3"/>
  <c r="AF115" i="3" a="1"/>
  <c r="AF115" i="3" s="1"/>
  <c r="AH115" i="3"/>
  <c r="Y115" i="3"/>
  <c r="Q115" i="3"/>
  <c r="I115" i="3"/>
  <c r="AG115" i="3"/>
  <c r="X115" i="3"/>
  <c r="P115" i="3"/>
  <c r="H115" i="3"/>
  <c r="AN115" i="3"/>
  <c r="AE115" i="3"/>
  <c r="W115" i="3"/>
  <c r="O115" i="3"/>
  <c r="G115" i="3"/>
  <c r="AM115" i="3"/>
  <c r="AD115" i="3"/>
  <c r="V115" i="3"/>
  <c r="N115" i="3"/>
  <c r="F115" i="3"/>
  <c r="AL115" i="3"/>
  <c r="AC115" i="3"/>
  <c r="U115" i="3"/>
  <c r="M115" i="3"/>
  <c r="E115" i="3"/>
  <c r="AK115" i="3"/>
  <c r="AB115" i="3"/>
  <c r="T115" i="3"/>
  <c r="L115" i="3"/>
  <c r="D115" i="3"/>
  <c r="AJ115" i="3"/>
  <c r="AI115" i="3"/>
  <c r="AA115" i="3"/>
  <c r="Z115" i="3"/>
  <c r="S115" i="3"/>
  <c r="R115" i="3"/>
  <c r="K115" i="3"/>
  <c r="J115" i="3"/>
  <c r="AF119" i="3" a="1"/>
  <c r="AF119" i="3" s="1"/>
  <c r="AH119" i="3"/>
  <c r="Y119" i="3"/>
  <c r="Q119" i="3"/>
  <c r="I119" i="3"/>
  <c r="AG119" i="3"/>
  <c r="X119" i="3"/>
  <c r="P119" i="3"/>
  <c r="H119" i="3"/>
  <c r="AN119" i="3"/>
  <c r="AE119" i="3"/>
  <c r="W119" i="3"/>
  <c r="O119" i="3"/>
  <c r="G119" i="3"/>
  <c r="AM119" i="3"/>
  <c r="AD119" i="3"/>
  <c r="V119" i="3"/>
  <c r="N119" i="3"/>
  <c r="F119" i="3"/>
  <c r="AL119" i="3"/>
  <c r="AC119" i="3"/>
  <c r="U119" i="3"/>
  <c r="M119" i="3"/>
  <c r="E119" i="3"/>
  <c r="AK119" i="3"/>
  <c r="AB119" i="3"/>
  <c r="T119" i="3"/>
  <c r="L119" i="3"/>
  <c r="D119" i="3"/>
  <c r="S119" i="3"/>
  <c r="R119" i="3"/>
  <c r="K119" i="3"/>
  <c r="J119" i="3"/>
  <c r="AJ119" i="3"/>
  <c r="AI119" i="3"/>
  <c r="AA119" i="3"/>
  <c r="Z119" i="3"/>
  <c r="AF123" i="3" a="1"/>
  <c r="AF123" i="3" s="1"/>
  <c r="AH123" i="3"/>
  <c r="Y123" i="3"/>
  <c r="Q123" i="3"/>
  <c r="I123" i="3"/>
  <c r="AG123" i="3"/>
  <c r="X123" i="3"/>
  <c r="P123" i="3"/>
  <c r="H123" i="3"/>
  <c r="AN123" i="3"/>
  <c r="AE123" i="3"/>
  <c r="W123" i="3"/>
  <c r="O123" i="3"/>
  <c r="G123" i="3"/>
  <c r="AM123" i="3"/>
  <c r="AD123" i="3"/>
  <c r="V123" i="3"/>
  <c r="N123" i="3"/>
  <c r="F123" i="3"/>
  <c r="AL123" i="3"/>
  <c r="AC123" i="3"/>
  <c r="U123" i="3"/>
  <c r="M123" i="3"/>
  <c r="E123" i="3"/>
  <c r="AK123" i="3"/>
  <c r="AB123" i="3"/>
  <c r="T123" i="3"/>
  <c r="L123" i="3"/>
  <c r="D123" i="3"/>
  <c r="AJ123" i="3"/>
  <c r="AI123" i="3"/>
  <c r="AA123" i="3"/>
  <c r="Z123" i="3"/>
  <c r="S123" i="3"/>
  <c r="R123" i="3"/>
  <c r="K123" i="3"/>
  <c r="J123" i="3"/>
  <c r="AF127" i="3" a="1"/>
  <c r="AF127" i="3" s="1"/>
  <c r="AH127" i="3"/>
  <c r="Y127" i="3"/>
  <c r="Q127" i="3"/>
  <c r="I127" i="3"/>
  <c r="AG127" i="3"/>
  <c r="X127" i="3"/>
  <c r="P127" i="3"/>
  <c r="H127" i="3"/>
  <c r="AN127" i="3"/>
  <c r="AE127" i="3"/>
  <c r="W127" i="3"/>
  <c r="O127" i="3"/>
  <c r="G127" i="3"/>
  <c r="AM127" i="3"/>
  <c r="AD127" i="3"/>
  <c r="V127" i="3"/>
  <c r="N127" i="3"/>
  <c r="F127" i="3"/>
  <c r="AL127" i="3"/>
  <c r="AC127" i="3"/>
  <c r="U127" i="3"/>
  <c r="M127" i="3"/>
  <c r="E127" i="3"/>
  <c r="AK127" i="3"/>
  <c r="AB127" i="3"/>
  <c r="T127" i="3"/>
  <c r="L127" i="3"/>
  <c r="D127" i="3"/>
  <c r="S127" i="3"/>
  <c r="R127" i="3"/>
  <c r="K127" i="3"/>
  <c r="J127" i="3"/>
  <c r="AJ127" i="3"/>
  <c r="AI127" i="3"/>
  <c r="Z127" i="3"/>
  <c r="AA127" i="3"/>
  <c r="AF131" i="3" a="1"/>
  <c r="AF131" i="3" s="1"/>
  <c r="AH131" i="3"/>
  <c r="Y131" i="3"/>
  <c r="Q131" i="3"/>
  <c r="I131" i="3"/>
  <c r="AG131" i="3"/>
  <c r="X131" i="3"/>
  <c r="P131" i="3"/>
  <c r="H131" i="3"/>
  <c r="AN131" i="3"/>
  <c r="AE131" i="3"/>
  <c r="W131" i="3"/>
  <c r="O131" i="3"/>
  <c r="G131" i="3"/>
  <c r="AM131" i="3"/>
  <c r="AD131" i="3"/>
  <c r="V131" i="3"/>
  <c r="N131" i="3"/>
  <c r="F131" i="3"/>
  <c r="AL131" i="3"/>
  <c r="AC131" i="3"/>
  <c r="U131" i="3"/>
  <c r="M131" i="3"/>
  <c r="E131" i="3"/>
  <c r="AK131" i="3"/>
  <c r="AB131" i="3"/>
  <c r="T131" i="3"/>
  <c r="L131" i="3"/>
  <c r="D131" i="3"/>
  <c r="AJ131" i="3"/>
  <c r="AI131" i="3"/>
  <c r="AA131" i="3"/>
  <c r="Z131" i="3"/>
  <c r="S131" i="3"/>
  <c r="R131" i="3"/>
  <c r="J131" i="3"/>
  <c r="K131" i="3"/>
  <c r="AF135" i="3" a="1"/>
  <c r="AF135" i="3" s="1"/>
  <c r="AH135" i="3"/>
  <c r="Y135" i="3"/>
  <c r="Q135" i="3"/>
  <c r="I135" i="3"/>
  <c r="AG135" i="3"/>
  <c r="X135" i="3"/>
  <c r="P135" i="3"/>
  <c r="H135" i="3"/>
  <c r="AN135" i="3"/>
  <c r="AE135" i="3"/>
  <c r="W135" i="3"/>
  <c r="O135" i="3"/>
  <c r="G135" i="3"/>
  <c r="AM135" i="3"/>
  <c r="AD135" i="3"/>
  <c r="V135" i="3"/>
  <c r="N135" i="3"/>
  <c r="F135" i="3"/>
  <c r="AL135" i="3"/>
  <c r="AC135" i="3"/>
  <c r="U135" i="3"/>
  <c r="M135" i="3"/>
  <c r="E135" i="3"/>
  <c r="AK135" i="3"/>
  <c r="AB135" i="3"/>
  <c r="T135" i="3"/>
  <c r="L135" i="3"/>
  <c r="D135" i="3"/>
  <c r="S135" i="3"/>
  <c r="R135" i="3"/>
  <c r="K135" i="3"/>
  <c r="J135" i="3"/>
  <c r="AJ135" i="3"/>
  <c r="AI135" i="3"/>
  <c r="AA135" i="3"/>
  <c r="Z135" i="3"/>
  <c r="AF139" i="3" a="1"/>
  <c r="AF139" i="3" s="1"/>
  <c r="AH139" i="3"/>
  <c r="Y139" i="3"/>
  <c r="Q139" i="3"/>
  <c r="I139" i="3"/>
  <c r="AG139" i="3"/>
  <c r="X139" i="3"/>
  <c r="P139" i="3"/>
  <c r="H139" i="3"/>
  <c r="AN139" i="3"/>
  <c r="AE139" i="3"/>
  <c r="W139" i="3"/>
  <c r="O139" i="3"/>
  <c r="G139" i="3"/>
  <c r="AM139" i="3"/>
  <c r="AD139" i="3"/>
  <c r="V139" i="3"/>
  <c r="N139" i="3"/>
  <c r="F139" i="3"/>
  <c r="AL139" i="3"/>
  <c r="AC139" i="3"/>
  <c r="U139" i="3"/>
  <c r="M139" i="3"/>
  <c r="E139" i="3"/>
  <c r="AK139" i="3"/>
  <c r="AB139" i="3"/>
  <c r="T139" i="3"/>
  <c r="L139" i="3"/>
  <c r="D139" i="3"/>
  <c r="AJ139" i="3"/>
  <c r="AI139" i="3"/>
  <c r="AA139" i="3"/>
  <c r="Z139" i="3"/>
  <c r="S139" i="3"/>
  <c r="R139" i="3"/>
  <c r="K139" i="3"/>
  <c r="J139" i="3"/>
  <c r="AF143" i="3" a="1"/>
  <c r="AF143" i="3" s="1"/>
  <c r="AH143" i="3"/>
  <c r="Y143" i="3"/>
  <c r="Q143" i="3"/>
  <c r="I143" i="3"/>
  <c r="AG143" i="3"/>
  <c r="X143" i="3"/>
  <c r="P143" i="3"/>
  <c r="H143" i="3"/>
  <c r="AN143" i="3"/>
  <c r="AE143" i="3"/>
  <c r="W143" i="3"/>
  <c r="O143" i="3"/>
  <c r="G143" i="3"/>
  <c r="AM143" i="3"/>
  <c r="AD143" i="3"/>
  <c r="V143" i="3"/>
  <c r="N143" i="3"/>
  <c r="F143" i="3"/>
  <c r="AL143" i="3"/>
  <c r="AC143" i="3"/>
  <c r="U143" i="3"/>
  <c r="M143" i="3"/>
  <c r="E143" i="3"/>
  <c r="AK143" i="3"/>
  <c r="AB143" i="3"/>
  <c r="T143" i="3"/>
  <c r="L143" i="3"/>
  <c r="D143" i="3"/>
  <c r="S143" i="3"/>
  <c r="R143" i="3"/>
  <c r="K143" i="3"/>
  <c r="J143" i="3"/>
  <c r="AJ143" i="3"/>
  <c r="AI143" i="3"/>
  <c r="AA143" i="3"/>
  <c r="Z143" i="3"/>
  <c r="AF147" i="3" a="1"/>
  <c r="AF147" i="3" s="1"/>
  <c r="AH147" i="3"/>
  <c r="Y147" i="3"/>
  <c r="Q147" i="3"/>
  <c r="I147" i="3"/>
  <c r="AG147" i="3"/>
  <c r="X147" i="3"/>
  <c r="P147" i="3"/>
  <c r="H147" i="3"/>
  <c r="AN147" i="3"/>
  <c r="AE147" i="3"/>
  <c r="W147" i="3"/>
  <c r="O147" i="3"/>
  <c r="G147" i="3"/>
  <c r="AM147" i="3"/>
  <c r="AD147" i="3"/>
  <c r="V147" i="3"/>
  <c r="N147" i="3"/>
  <c r="F147" i="3"/>
  <c r="AL147" i="3"/>
  <c r="AC147" i="3"/>
  <c r="U147" i="3"/>
  <c r="M147" i="3"/>
  <c r="E147" i="3"/>
  <c r="AK147" i="3"/>
  <c r="AB147" i="3"/>
  <c r="T147" i="3"/>
  <c r="L147" i="3"/>
  <c r="D147" i="3"/>
  <c r="AJ147" i="3"/>
  <c r="AI147" i="3"/>
  <c r="AA147" i="3"/>
  <c r="Z147" i="3"/>
  <c r="S147" i="3"/>
  <c r="R147" i="3"/>
  <c r="K147" i="3"/>
  <c r="J147" i="3"/>
  <c r="AF151" i="3" a="1"/>
  <c r="AF151" i="3" s="1"/>
  <c r="AH151" i="3"/>
  <c r="Y151" i="3"/>
  <c r="Q151" i="3"/>
  <c r="I151" i="3"/>
  <c r="AG151" i="3"/>
  <c r="X151" i="3"/>
  <c r="P151" i="3"/>
  <c r="H151" i="3"/>
  <c r="AN151" i="3"/>
  <c r="AE151" i="3"/>
  <c r="W151" i="3"/>
  <c r="O151" i="3"/>
  <c r="G151" i="3"/>
  <c r="AM151" i="3"/>
  <c r="AD151" i="3"/>
  <c r="V151" i="3"/>
  <c r="N151" i="3"/>
  <c r="F151" i="3"/>
  <c r="AL151" i="3"/>
  <c r="AC151" i="3"/>
  <c r="U151" i="3"/>
  <c r="M151" i="3"/>
  <c r="E151" i="3"/>
  <c r="AK151" i="3"/>
  <c r="AB151" i="3"/>
  <c r="T151" i="3"/>
  <c r="L151" i="3"/>
  <c r="D151" i="3"/>
  <c r="S151" i="3"/>
  <c r="R151" i="3"/>
  <c r="K151" i="3"/>
  <c r="J151" i="3"/>
  <c r="AJ151" i="3"/>
  <c r="AI151" i="3"/>
  <c r="AA151" i="3"/>
  <c r="Z151" i="3"/>
  <c r="AF155" i="3" a="1"/>
  <c r="AF155" i="3" s="1"/>
  <c r="AH155" i="3"/>
  <c r="Y155" i="3"/>
  <c r="Q155" i="3"/>
  <c r="I155" i="3"/>
  <c r="AG155" i="3"/>
  <c r="X155" i="3"/>
  <c r="P155" i="3"/>
  <c r="H155" i="3"/>
  <c r="AN155" i="3"/>
  <c r="AE155" i="3"/>
  <c r="W155" i="3"/>
  <c r="O155" i="3"/>
  <c r="G155" i="3"/>
  <c r="AM155" i="3"/>
  <c r="AD155" i="3"/>
  <c r="V155" i="3"/>
  <c r="N155" i="3"/>
  <c r="F155" i="3"/>
  <c r="AL155" i="3"/>
  <c r="AC155" i="3"/>
  <c r="U155" i="3"/>
  <c r="M155" i="3"/>
  <c r="E155" i="3"/>
  <c r="AK155" i="3"/>
  <c r="AB155" i="3"/>
  <c r="T155" i="3"/>
  <c r="L155" i="3"/>
  <c r="D155" i="3"/>
  <c r="AJ155" i="3"/>
  <c r="AI155" i="3"/>
  <c r="AA155" i="3"/>
  <c r="Z155" i="3"/>
  <c r="S155" i="3"/>
  <c r="R155" i="3"/>
  <c r="K155" i="3"/>
  <c r="J155" i="3"/>
  <c r="AF159" i="3" a="1"/>
  <c r="AF159" i="3" s="1"/>
  <c r="AH159" i="3"/>
  <c r="Y159" i="3"/>
  <c r="Q159" i="3"/>
  <c r="I159" i="3"/>
  <c r="AG159" i="3"/>
  <c r="X159" i="3"/>
  <c r="P159" i="3"/>
  <c r="H159" i="3"/>
  <c r="AN159" i="3"/>
  <c r="AE159" i="3"/>
  <c r="W159" i="3"/>
  <c r="O159" i="3"/>
  <c r="G159" i="3"/>
  <c r="AM159" i="3"/>
  <c r="AD159" i="3"/>
  <c r="V159" i="3"/>
  <c r="N159" i="3"/>
  <c r="F159" i="3"/>
  <c r="AL159" i="3"/>
  <c r="AC159" i="3"/>
  <c r="U159" i="3"/>
  <c r="M159" i="3"/>
  <c r="E159" i="3"/>
  <c r="AK159" i="3"/>
  <c r="AB159" i="3"/>
  <c r="T159" i="3"/>
  <c r="L159" i="3"/>
  <c r="D159" i="3"/>
  <c r="S159" i="3"/>
  <c r="R159" i="3"/>
  <c r="K159" i="3"/>
  <c r="J159" i="3"/>
  <c r="AJ159" i="3"/>
  <c r="AI159" i="3"/>
  <c r="Z159" i="3"/>
  <c r="AA159" i="3"/>
  <c r="AF163" i="3" a="1"/>
  <c r="AF163" i="3" s="1"/>
  <c r="AH163" i="3"/>
  <c r="Y163" i="3"/>
  <c r="Q163" i="3"/>
  <c r="I163" i="3"/>
  <c r="AG163" i="3"/>
  <c r="X163" i="3"/>
  <c r="P163" i="3"/>
  <c r="H163" i="3"/>
  <c r="AN163" i="3"/>
  <c r="AE163" i="3"/>
  <c r="W163" i="3"/>
  <c r="O163" i="3"/>
  <c r="G163" i="3"/>
  <c r="AM163" i="3"/>
  <c r="AD163" i="3"/>
  <c r="V163" i="3"/>
  <c r="N163" i="3"/>
  <c r="F163" i="3"/>
  <c r="AL163" i="3"/>
  <c r="AC163" i="3"/>
  <c r="U163" i="3"/>
  <c r="M163" i="3"/>
  <c r="E163" i="3"/>
  <c r="AK163" i="3"/>
  <c r="AB163" i="3"/>
  <c r="T163" i="3"/>
  <c r="L163" i="3"/>
  <c r="D163" i="3"/>
  <c r="AJ163" i="3"/>
  <c r="AI163" i="3"/>
  <c r="AA163" i="3"/>
  <c r="Z163" i="3"/>
  <c r="S163" i="3"/>
  <c r="R163" i="3"/>
  <c r="J163" i="3"/>
  <c r="K163" i="3"/>
  <c r="AF167" i="3" a="1"/>
  <c r="AF167" i="3" s="1"/>
  <c r="AH167" i="3"/>
  <c r="Y167" i="3"/>
  <c r="Q167" i="3"/>
  <c r="I167" i="3"/>
  <c r="AG167" i="3"/>
  <c r="X167" i="3"/>
  <c r="P167" i="3"/>
  <c r="H167" i="3"/>
  <c r="AN167" i="3"/>
  <c r="AE167" i="3"/>
  <c r="W167" i="3"/>
  <c r="O167" i="3"/>
  <c r="G167" i="3"/>
  <c r="AM167" i="3"/>
  <c r="AD167" i="3"/>
  <c r="V167" i="3"/>
  <c r="N167" i="3"/>
  <c r="F167" i="3"/>
  <c r="AL167" i="3"/>
  <c r="AC167" i="3"/>
  <c r="U167" i="3"/>
  <c r="M167" i="3"/>
  <c r="E167" i="3"/>
  <c r="AK167" i="3"/>
  <c r="AB167" i="3"/>
  <c r="T167" i="3"/>
  <c r="L167" i="3"/>
  <c r="D167" i="3"/>
  <c r="S167" i="3"/>
  <c r="R167" i="3"/>
  <c r="K167" i="3"/>
  <c r="J167" i="3"/>
  <c r="AJ167" i="3"/>
  <c r="AI167" i="3"/>
  <c r="AA167" i="3"/>
  <c r="Z167" i="3"/>
  <c r="AF171" i="3" a="1"/>
  <c r="AF171" i="3" s="1"/>
  <c r="AH171" i="3"/>
  <c r="Y171" i="3"/>
  <c r="Q171" i="3"/>
  <c r="I171" i="3"/>
  <c r="AG171" i="3"/>
  <c r="X171" i="3"/>
  <c r="P171" i="3"/>
  <c r="H171" i="3"/>
  <c r="AN171" i="3"/>
  <c r="AE171" i="3"/>
  <c r="W171" i="3"/>
  <c r="O171" i="3"/>
  <c r="G171" i="3"/>
  <c r="AM171" i="3"/>
  <c r="AD171" i="3"/>
  <c r="V171" i="3"/>
  <c r="N171" i="3"/>
  <c r="F171" i="3"/>
  <c r="AL171" i="3"/>
  <c r="AC171" i="3"/>
  <c r="U171" i="3"/>
  <c r="M171" i="3"/>
  <c r="E171" i="3"/>
  <c r="AK171" i="3"/>
  <c r="AB171" i="3"/>
  <c r="T171" i="3"/>
  <c r="L171" i="3"/>
  <c r="D171" i="3"/>
  <c r="AJ171" i="3"/>
  <c r="AI171" i="3"/>
  <c r="AA171" i="3"/>
  <c r="Z171" i="3"/>
  <c r="S171" i="3"/>
  <c r="R171" i="3"/>
  <c r="K171" i="3"/>
  <c r="J171" i="3"/>
  <c r="AF175" i="3" a="1"/>
  <c r="AF175" i="3" s="1"/>
  <c r="AH175" i="3"/>
  <c r="Y175" i="3"/>
  <c r="Q175" i="3"/>
  <c r="I175" i="3"/>
  <c r="AG175" i="3"/>
  <c r="X175" i="3"/>
  <c r="P175" i="3"/>
  <c r="H175" i="3"/>
  <c r="AN175" i="3"/>
  <c r="AE175" i="3"/>
  <c r="W175" i="3"/>
  <c r="O175" i="3"/>
  <c r="G175" i="3"/>
  <c r="AM175" i="3"/>
  <c r="AD175" i="3"/>
  <c r="V175" i="3"/>
  <c r="N175" i="3"/>
  <c r="F175" i="3"/>
  <c r="AL175" i="3"/>
  <c r="AC175" i="3"/>
  <c r="U175" i="3"/>
  <c r="M175" i="3"/>
  <c r="E175" i="3"/>
  <c r="AK175" i="3"/>
  <c r="AB175" i="3"/>
  <c r="T175" i="3"/>
  <c r="L175" i="3"/>
  <c r="D175" i="3"/>
  <c r="S175" i="3"/>
  <c r="R175" i="3"/>
  <c r="K175" i="3"/>
  <c r="J175" i="3"/>
  <c r="AJ175" i="3"/>
  <c r="AI175" i="3"/>
  <c r="AA175" i="3"/>
  <c r="Z175" i="3"/>
  <c r="AF179" i="3" a="1"/>
  <c r="AF179" i="3" s="1"/>
  <c r="AH179" i="3"/>
  <c r="Y179" i="3"/>
  <c r="Q179" i="3"/>
  <c r="I179" i="3"/>
  <c r="AG179" i="3"/>
  <c r="X179" i="3"/>
  <c r="P179" i="3"/>
  <c r="H179" i="3"/>
  <c r="AN179" i="3"/>
  <c r="AE179" i="3"/>
  <c r="W179" i="3"/>
  <c r="O179" i="3"/>
  <c r="G179" i="3"/>
  <c r="AM179" i="3"/>
  <c r="AD179" i="3"/>
  <c r="V179" i="3"/>
  <c r="N179" i="3"/>
  <c r="F179" i="3"/>
  <c r="AL179" i="3"/>
  <c r="AC179" i="3"/>
  <c r="U179" i="3"/>
  <c r="M179" i="3"/>
  <c r="E179" i="3"/>
  <c r="AK179" i="3"/>
  <c r="AB179" i="3"/>
  <c r="T179" i="3"/>
  <c r="L179" i="3"/>
  <c r="D179" i="3"/>
  <c r="AJ179" i="3"/>
  <c r="AI179" i="3"/>
  <c r="AA179" i="3"/>
  <c r="Z179" i="3"/>
  <c r="S179" i="3"/>
  <c r="R179" i="3"/>
  <c r="K179" i="3"/>
  <c r="J179" i="3"/>
  <c r="AF183" i="3" a="1"/>
  <c r="AF183" i="3" s="1"/>
  <c r="AH183" i="3"/>
  <c r="Y183" i="3"/>
  <c r="Q183" i="3"/>
  <c r="I183" i="3"/>
  <c r="AG183" i="3"/>
  <c r="X183" i="3"/>
  <c r="P183" i="3"/>
  <c r="H183" i="3"/>
  <c r="AN183" i="3"/>
  <c r="AE183" i="3"/>
  <c r="W183" i="3"/>
  <c r="O183" i="3"/>
  <c r="G183" i="3"/>
  <c r="AM183" i="3"/>
  <c r="AD183" i="3"/>
  <c r="V183" i="3"/>
  <c r="N183" i="3"/>
  <c r="F183" i="3"/>
  <c r="AL183" i="3"/>
  <c r="AC183" i="3"/>
  <c r="U183" i="3"/>
  <c r="M183" i="3"/>
  <c r="E183" i="3"/>
  <c r="AK183" i="3"/>
  <c r="AB183" i="3"/>
  <c r="T183" i="3"/>
  <c r="L183" i="3"/>
  <c r="D183" i="3"/>
  <c r="S183" i="3"/>
  <c r="R183" i="3"/>
  <c r="K183" i="3"/>
  <c r="J183" i="3"/>
  <c r="AJ183" i="3"/>
  <c r="AI183" i="3"/>
  <c r="AA183" i="3"/>
  <c r="Z183" i="3"/>
  <c r="AF187" i="3" a="1"/>
  <c r="AF187" i="3" s="1"/>
  <c r="AH187" i="3"/>
  <c r="Y187" i="3"/>
  <c r="Q187" i="3"/>
  <c r="I187" i="3"/>
  <c r="AG187" i="3"/>
  <c r="X187" i="3"/>
  <c r="P187" i="3"/>
  <c r="H187" i="3"/>
  <c r="AN187" i="3"/>
  <c r="AE187" i="3"/>
  <c r="W187" i="3"/>
  <c r="O187" i="3"/>
  <c r="G187" i="3"/>
  <c r="AM187" i="3"/>
  <c r="AD187" i="3"/>
  <c r="V187" i="3"/>
  <c r="N187" i="3"/>
  <c r="F187" i="3"/>
  <c r="AL187" i="3"/>
  <c r="AC187" i="3"/>
  <c r="U187" i="3"/>
  <c r="M187" i="3"/>
  <c r="E187" i="3"/>
  <c r="AK187" i="3"/>
  <c r="AB187" i="3"/>
  <c r="T187" i="3"/>
  <c r="L187" i="3"/>
  <c r="D187" i="3"/>
  <c r="AJ187" i="3"/>
  <c r="AI187" i="3"/>
  <c r="AA187" i="3"/>
  <c r="Z187" i="3"/>
  <c r="S187" i="3"/>
  <c r="R187" i="3"/>
  <c r="K187" i="3"/>
  <c r="J187" i="3"/>
  <c r="AF191" i="3" a="1"/>
  <c r="AF191" i="3" s="1"/>
  <c r="AH191" i="3"/>
  <c r="Y191" i="3"/>
  <c r="Q191" i="3"/>
  <c r="I191" i="3"/>
  <c r="AG191" i="3"/>
  <c r="X191" i="3"/>
  <c r="P191" i="3"/>
  <c r="H191" i="3"/>
  <c r="AN191" i="3"/>
  <c r="AE191" i="3"/>
  <c r="W191" i="3"/>
  <c r="O191" i="3"/>
  <c r="G191" i="3"/>
  <c r="AM191" i="3"/>
  <c r="AD191" i="3"/>
  <c r="V191" i="3"/>
  <c r="N191" i="3"/>
  <c r="F191" i="3"/>
  <c r="AL191" i="3"/>
  <c r="AC191" i="3"/>
  <c r="U191" i="3"/>
  <c r="M191" i="3"/>
  <c r="E191" i="3"/>
  <c r="AK191" i="3"/>
  <c r="AB191" i="3"/>
  <c r="T191" i="3"/>
  <c r="L191" i="3"/>
  <c r="D191" i="3"/>
  <c r="S191" i="3"/>
  <c r="R191" i="3"/>
  <c r="K191" i="3"/>
  <c r="J191" i="3"/>
  <c r="AJ191" i="3"/>
  <c r="AI191" i="3"/>
  <c r="AA191" i="3"/>
  <c r="Z191" i="3"/>
  <c r="AF195" i="3" a="1"/>
  <c r="AF195" i="3" s="1"/>
  <c r="AH195" i="3"/>
  <c r="Y195" i="3"/>
  <c r="Q195" i="3"/>
  <c r="I195" i="3"/>
  <c r="AG195" i="3"/>
  <c r="X195" i="3"/>
  <c r="P195" i="3"/>
  <c r="H195" i="3"/>
  <c r="AN195" i="3"/>
  <c r="AE195" i="3"/>
  <c r="W195" i="3"/>
  <c r="O195" i="3"/>
  <c r="G195" i="3"/>
  <c r="AM195" i="3"/>
  <c r="AD195" i="3"/>
  <c r="V195" i="3"/>
  <c r="N195" i="3"/>
  <c r="F195" i="3"/>
  <c r="AL195" i="3"/>
  <c r="AC195" i="3"/>
  <c r="U195" i="3"/>
  <c r="M195" i="3"/>
  <c r="E195" i="3"/>
  <c r="AK195" i="3"/>
  <c r="AB195" i="3"/>
  <c r="T195" i="3"/>
  <c r="L195" i="3"/>
  <c r="D195" i="3"/>
  <c r="AJ195" i="3"/>
  <c r="AI195" i="3"/>
  <c r="AA195" i="3"/>
  <c r="Z195" i="3"/>
  <c r="S195" i="3"/>
  <c r="R195" i="3"/>
  <c r="K195" i="3"/>
  <c r="J195" i="3"/>
  <c r="AF199" i="3" a="1"/>
  <c r="AF199" i="3" s="1"/>
  <c r="AH199" i="3"/>
  <c r="Y199" i="3"/>
  <c r="Q199" i="3"/>
  <c r="I199" i="3"/>
  <c r="AG199" i="3"/>
  <c r="X199" i="3"/>
  <c r="P199" i="3"/>
  <c r="H199" i="3"/>
  <c r="AN199" i="3"/>
  <c r="AE199" i="3"/>
  <c r="W199" i="3"/>
  <c r="O199" i="3"/>
  <c r="G199" i="3"/>
  <c r="AM199" i="3"/>
  <c r="AD199" i="3"/>
  <c r="V199" i="3"/>
  <c r="N199" i="3"/>
  <c r="F199" i="3"/>
  <c r="AL199" i="3"/>
  <c r="AC199" i="3"/>
  <c r="U199" i="3"/>
  <c r="M199" i="3"/>
  <c r="E199" i="3"/>
  <c r="AK199" i="3"/>
  <c r="AB199" i="3"/>
  <c r="T199" i="3"/>
  <c r="L199" i="3"/>
  <c r="D199" i="3"/>
  <c r="S199" i="3"/>
  <c r="R199" i="3"/>
  <c r="K199" i="3"/>
  <c r="J199" i="3"/>
  <c r="AJ199" i="3"/>
  <c r="AI199" i="3"/>
  <c r="AA199" i="3"/>
  <c r="Z199" i="3"/>
  <c r="AF203" i="3" a="1"/>
  <c r="AF203" i="3" s="1"/>
  <c r="AH203" i="3"/>
  <c r="Y203" i="3"/>
  <c r="Q203" i="3"/>
  <c r="I203" i="3"/>
  <c r="AG203" i="3"/>
  <c r="X203" i="3"/>
  <c r="P203" i="3"/>
  <c r="H203" i="3"/>
  <c r="AN203" i="3"/>
  <c r="AE203" i="3"/>
  <c r="W203" i="3"/>
  <c r="O203" i="3"/>
  <c r="G203" i="3"/>
  <c r="AM203" i="3"/>
  <c r="AD203" i="3"/>
  <c r="V203" i="3"/>
  <c r="N203" i="3"/>
  <c r="F203" i="3"/>
  <c r="AL203" i="3"/>
  <c r="AC203" i="3"/>
  <c r="U203" i="3"/>
  <c r="M203" i="3"/>
  <c r="E203" i="3"/>
  <c r="AK203" i="3"/>
  <c r="AB203" i="3"/>
  <c r="T203" i="3"/>
  <c r="L203" i="3"/>
  <c r="D203" i="3"/>
  <c r="AJ203" i="3"/>
  <c r="AI203" i="3"/>
  <c r="AA203" i="3"/>
  <c r="Z203" i="3"/>
  <c r="S203" i="3"/>
  <c r="R203" i="3"/>
  <c r="K203" i="3"/>
  <c r="J203" i="3"/>
  <c r="AF207" i="3" a="1"/>
  <c r="AF207" i="3" s="1"/>
  <c r="AH207" i="3"/>
  <c r="Y207" i="3"/>
  <c r="Q207" i="3"/>
  <c r="I207" i="3"/>
  <c r="AG207" i="3"/>
  <c r="X207" i="3"/>
  <c r="P207" i="3"/>
  <c r="H207" i="3"/>
  <c r="AN207" i="3"/>
  <c r="AE207" i="3"/>
  <c r="W207" i="3"/>
  <c r="O207" i="3"/>
  <c r="G207" i="3"/>
  <c r="AM207" i="3"/>
  <c r="AD207" i="3"/>
  <c r="V207" i="3"/>
  <c r="N207" i="3"/>
  <c r="F207" i="3"/>
  <c r="AL207" i="3"/>
  <c r="AC207" i="3"/>
  <c r="U207" i="3"/>
  <c r="M207" i="3"/>
  <c r="E207" i="3"/>
  <c r="AK207" i="3"/>
  <c r="AB207" i="3"/>
  <c r="T207" i="3"/>
  <c r="L207" i="3"/>
  <c r="D207" i="3"/>
  <c r="S207" i="3"/>
  <c r="R207" i="3"/>
  <c r="K207" i="3"/>
  <c r="J207" i="3"/>
  <c r="AJ207" i="3"/>
  <c r="AI207" i="3"/>
  <c r="AA207" i="3"/>
  <c r="Z207" i="3"/>
  <c r="AF211" i="3" a="1"/>
  <c r="AF211" i="3" s="1"/>
  <c r="AH211" i="3"/>
  <c r="Y211" i="3"/>
  <c r="Q211" i="3"/>
  <c r="I211" i="3"/>
  <c r="AG211" i="3"/>
  <c r="X211" i="3"/>
  <c r="P211" i="3"/>
  <c r="H211" i="3"/>
  <c r="AN211" i="3"/>
  <c r="AE211" i="3"/>
  <c r="W211" i="3"/>
  <c r="O211" i="3"/>
  <c r="G211" i="3"/>
  <c r="AM211" i="3"/>
  <c r="AD211" i="3"/>
  <c r="V211" i="3"/>
  <c r="N211" i="3"/>
  <c r="F211" i="3"/>
  <c r="AL211" i="3"/>
  <c r="AC211" i="3"/>
  <c r="U211" i="3"/>
  <c r="M211" i="3"/>
  <c r="E211" i="3"/>
  <c r="AK211" i="3"/>
  <c r="AB211" i="3"/>
  <c r="T211" i="3"/>
  <c r="L211" i="3"/>
  <c r="D211" i="3"/>
  <c r="AJ211" i="3"/>
  <c r="AI211" i="3"/>
  <c r="AA211" i="3"/>
  <c r="Z211" i="3"/>
  <c r="S211" i="3"/>
  <c r="R211" i="3"/>
  <c r="K211" i="3"/>
  <c r="J211" i="3"/>
  <c r="AF215" i="3" a="1"/>
  <c r="AF215" i="3" s="1"/>
  <c r="AH215" i="3"/>
  <c r="Y215" i="3"/>
  <c r="Q215" i="3"/>
  <c r="I215" i="3"/>
  <c r="AG215" i="3"/>
  <c r="X215" i="3"/>
  <c r="P215" i="3"/>
  <c r="H215" i="3"/>
  <c r="AN215" i="3"/>
  <c r="AE215" i="3"/>
  <c r="W215" i="3"/>
  <c r="O215" i="3"/>
  <c r="G215" i="3"/>
  <c r="AM215" i="3"/>
  <c r="AD215" i="3"/>
  <c r="V215" i="3"/>
  <c r="N215" i="3"/>
  <c r="F215" i="3"/>
  <c r="AL215" i="3"/>
  <c r="AC215" i="3"/>
  <c r="U215" i="3"/>
  <c r="M215" i="3"/>
  <c r="E215" i="3"/>
  <c r="AK215" i="3"/>
  <c r="AB215" i="3"/>
  <c r="T215" i="3"/>
  <c r="L215" i="3"/>
  <c r="D215" i="3"/>
  <c r="S215" i="3"/>
  <c r="R215" i="3"/>
  <c r="K215" i="3"/>
  <c r="J215" i="3"/>
  <c r="AJ215" i="3"/>
  <c r="AI215" i="3"/>
  <c r="AA215" i="3"/>
  <c r="Z215" i="3"/>
  <c r="AF219" i="3" a="1"/>
  <c r="AF219" i="3" s="1"/>
  <c r="AH219" i="3"/>
  <c r="Y219" i="3"/>
  <c r="Q219" i="3"/>
  <c r="I219" i="3"/>
  <c r="AG219" i="3"/>
  <c r="X219" i="3"/>
  <c r="P219" i="3"/>
  <c r="H219" i="3"/>
  <c r="AN219" i="3"/>
  <c r="AE219" i="3"/>
  <c r="W219" i="3"/>
  <c r="O219" i="3"/>
  <c r="G219" i="3"/>
  <c r="AM219" i="3"/>
  <c r="AD219" i="3"/>
  <c r="V219" i="3"/>
  <c r="N219" i="3"/>
  <c r="F219" i="3"/>
  <c r="AL219" i="3"/>
  <c r="AC219" i="3"/>
  <c r="U219" i="3"/>
  <c r="M219" i="3"/>
  <c r="E219" i="3"/>
  <c r="AK219" i="3"/>
  <c r="AB219" i="3"/>
  <c r="T219" i="3"/>
  <c r="L219" i="3"/>
  <c r="D219" i="3"/>
  <c r="AJ219" i="3"/>
  <c r="AI219" i="3"/>
  <c r="AA219" i="3"/>
  <c r="Z219" i="3"/>
  <c r="S219" i="3"/>
  <c r="R219" i="3"/>
  <c r="K219" i="3"/>
  <c r="J219" i="3"/>
  <c r="AF223" i="3" a="1"/>
  <c r="AF223" i="3" s="1"/>
  <c r="AH223" i="3"/>
  <c r="Y223" i="3"/>
  <c r="AG223" i="3"/>
  <c r="X223" i="3"/>
  <c r="AN223" i="3"/>
  <c r="AE223" i="3"/>
  <c r="W223" i="3"/>
  <c r="O223" i="3"/>
  <c r="AL223" i="3"/>
  <c r="AC223" i="3"/>
  <c r="U223" i="3"/>
  <c r="AK223" i="3"/>
  <c r="AB223" i="3"/>
  <c r="T223" i="3"/>
  <c r="AM223" i="3"/>
  <c r="R223" i="3"/>
  <c r="I223" i="3"/>
  <c r="AJ223" i="3"/>
  <c r="Q223" i="3"/>
  <c r="H223" i="3"/>
  <c r="AI223" i="3"/>
  <c r="P223" i="3"/>
  <c r="G223" i="3"/>
  <c r="AD223" i="3"/>
  <c r="N223" i="3"/>
  <c r="F223" i="3"/>
  <c r="AA223" i="3"/>
  <c r="M223" i="3"/>
  <c r="E223" i="3"/>
  <c r="Z223" i="3"/>
  <c r="L223" i="3"/>
  <c r="D223" i="3"/>
  <c r="V223" i="3"/>
  <c r="S223" i="3"/>
  <c r="K223" i="3"/>
  <c r="J223" i="3"/>
  <c r="AF227" i="3" a="1"/>
  <c r="AF227" i="3" s="1"/>
  <c r="AH227" i="3"/>
  <c r="Y227" i="3"/>
  <c r="Q227" i="3"/>
  <c r="I227" i="3"/>
  <c r="AG227" i="3"/>
  <c r="X227" i="3"/>
  <c r="P227" i="3"/>
  <c r="H227" i="3"/>
  <c r="AN227" i="3"/>
  <c r="AE227" i="3"/>
  <c r="W227" i="3"/>
  <c r="O227" i="3"/>
  <c r="G227" i="3"/>
  <c r="AL227" i="3"/>
  <c r="AC227" i="3"/>
  <c r="U227" i="3"/>
  <c r="M227" i="3"/>
  <c r="E227" i="3"/>
  <c r="AK227" i="3"/>
  <c r="AB227" i="3"/>
  <c r="T227" i="3"/>
  <c r="L227" i="3"/>
  <c r="D227" i="3"/>
  <c r="V227" i="3"/>
  <c r="S227" i="3"/>
  <c r="AM227" i="3"/>
  <c r="R227" i="3"/>
  <c r="AJ227" i="3"/>
  <c r="N227" i="3"/>
  <c r="AI227" i="3"/>
  <c r="K227" i="3"/>
  <c r="AD227" i="3"/>
  <c r="J227" i="3"/>
  <c r="AA227" i="3"/>
  <c r="Z227" i="3"/>
  <c r="F227" i="3"/>
  <c r="AF231" i="3" a="1"/>
  <c r="AF231" i="3" s="1"/>
  <c r="AH231" i="3"/>
  <c r="Y231" i="3"/>
  <c r="Q231" i="3"/>
  <c r="I231" i="3"/>
  <c r="AG231" i="3"/>
  <c r="X231" i="3"/>
  <c r="P231" i="3"/>
  <c r="H231" i="3"/>
  <c r="AN231" i="3"/>
  <c r="AE231" i="3"/>
  <c r="W231" i="3"/>
  <c r="O231" i="3"/>
  <c r="G231" i="3"/>
  <c r="AM231" i="3"/>
  <c r="AD231" i="3"/>
  <c r="V231" i="3"/>
  <c r="N231" i="3"/>
  <c r="F231" i="3"/>
  <c r="AL231" i="3"/>
  <c r="AC231" i="3"/>
  <c r="U231" i="3"/>
  <c r="M231" i="3"/>
  <c r="E231" i="3"/>
  <c r="AK231" i="3"/>
  <c r="AB231" i="3"/>
  <c r="T231" i="3"/>
  <c r="L231" i="3"/>
  <c r="D231" i="3"/>
  <c r="AA231" i="3"/>
  <c r="Z231" i="3"/>
  <c r="S231" i="3"/>
  <c r="R231" i="3"/>
  <c r="K231" i="3"/>
  <c r="J231" i="3"/>
  <c r="AJ231" i="3"/>
  <c r="AI231" i="3"/>
  <c r="AF235" i="3" a="1"/>
  <c r="AF235" i="3" s="1"/>
  <c r="AH235" i="3"/>
  <c r="Y235" i="3"/>
  <c r="Q235" i="3"/>
  <c r="I235" i="3"/>
  <c r="AG235" i="3"/>
  <c r="X235" i="3"/>
  <c r="P235" i="3"/>
  <c r="H235" i="3"/>
  <c r="AN235" i="3"/>
  <c r="AE235" i="3"/>
  <c r="W235" i="3"/>
  <c r="O235" i="3"/>
  <c r="G235" i="3"/>
  <c r="AM235" i="3"/>
  <c r="AD235" i="3"/>
  <c r="V235" i="3"/>
  <c r="N235" i="3"/>
  <c r="F235" i="3"/>
  <c r="AL235" i="3"/>
  <c r="AC235" i="3"/>
  <c r="U235" i="3"/>
  <c r="M235" i="3"/>
  <c r="E235" i="3"/>
  <c r="AK235" i="3"/>
  <c r="AB235" i="3"/>
  <c r="T235" i="3"/>
  <c r="L235" i="3"/>
  <c r="D235" i="3"/>
  <c r="K235" i="3"/>
  <c r="J235" i="3"/>
  <c r="AJ235" i="3"/>
  <c r="AI235" i="3"/>
  <c r="AA235" i="3"/>
  <c r="Z235" i="3"/>
  <c r="S235" i="3"/>
  <c r="R235" i="3"/>
  <c r="AF239" i="3" a="1"/>
  <c r="AF239" i="3" s="1"/>
  <c r="AH239" i="3"/>
  <c r="Y239" i="3"/>
  <c r="Q239" i="3"/>
  <c r="I239" i="3"/>
  <c r="AG239" i="3"/>
  <c r="X239" i="3"/>
  <c r="P239" i="3"/>
  <c r="H239" i="3"/>
  <c r="AN239" i="3"/>
  <c r="AE239" i="3"/>
  <c r="W239" i="3"/>
  <c r="O239" i="3"/>
  <c r="G239" i="3"/>
  <c r="AM239" i="3"/>
  <c r="AD239" i="3"/>
  <c r="V239" i="3"/>
  <c r="N239" i="3"/>
  <c r="F239" i="3"/>
  <c r="AL239" i="3"/>
  <c r="AC239" i="3"/>
  <c r="U239" i="3"/>
  <c r="M239" i="3"/>
  <c r="E239" i="3"/>
  <c r="AK239" i="3"/>
  <c r="AB239" i="3"/>
  <c r="T239" i="3"/>
  <c r="L239" i="3"/>
  <c r="D239" i="3"/>
  <c r="AA239" i="3"/>
  <c r="Z239" i="3"/>
  <c r="S239" i="3"/>
  <c r="R239" i="3"/>
  <c r="K239" i="3"/>
  <c r="J239" i="3"/>
  <c r="AJ239" i="3"/>
  <c r="AI239" i="3"/>
  <c r="AF243" i="3" a="1"/>
  <c r="AF243" i="3" s="1"/>
  <c r="AH243" i="3"/>
  <c r="Y243" i="3"/>
  <c r="Q243" i="3"/>
  <c r="I243" i="3"/>
  <c r="AG243" i="3"/>
  <c r="X243" i="3"/>
  <c r="P243" i="3"/>
  <c r="H243" i="3"/>
  <c r="AN243" i="3"/>
  <c r="AE243" i="3"/>
  <c r="W243" i="3"/>
  <c r="O243" i="3"/>
  <c r="G243" i="3"/>
  <c r="AM243" i="3"/>
  <c r="AD243" i="3"/>
  <c r="V243" i="3"/>
  <c r="N243" i="3"/>
  <c r="F243" i="3"/>
  <c r="AL243" i="3"/>
  <c r="AC243" i="3"/>
  <c r="U243" i="3"/>
  <c r="M243" i="3"/>
  <c r="E243" i="3"/>
  <c r="AK243" i="3"/>
  <c r="AB243" i="3"/>
  <c r="T243" i="3"/>
  <c r="L243" i="3"/>
  <c r="D243" i="3"/>
  <c r="K243" i="3"/>
  <c r="J243" i="3"/>
  <c r="AJ243" i="3"/>
  <c r="AI243" i="3"/>
  <c r="AA243" i="3"/>
  <c r="Z243" i="3"/>
  <c r="S243" i="3"/>
  <c r="R243" i="3"/>
  <c r="AF247" i="3" a="1"/>
  <c r="AF247" i="3" s="1"/>
  <c r="AH247" i="3"/>
  <c r="Y247" i="3"/>
  <c r="Q247" i="3"/>
  <c r="I247" i="3"/>
  <c r="AG247" i="3"/>
  <c r="X247" i="3"/>
  <c r="P247" i="3"/>
  <c r="H247" i="3"/>
  <c r="AN247" i="3"/>
  <c r="AE247" i="3"/>
  <c r="W247" i="3"/>
  <c r="O247" i="3"/>
  <c r="G247" i="3"/>
  <c r="AM247" i="3"/>
  <c r="AD247" i="3"/>
  <c r="V247" i="3"/>
  <c r="N247" i="3"/>
  <c r="F247" i="3"/>
  <c r="AL247" i="3"/>
  <c r="AC247" i="3"/>
  <c r="U247" i="3"/>
  <c r="M247" i="3"/>
  <c r="E247" i="3"/>
  <c r="AK247" i="3"/>
  <c r="AB247" i="3"/>
  <c r="T247" i="3"/>
  <c r="L247" i="3"/>
  <c r="D247" i="3"/>
  <c r="AA247" i="3"/>
  <c r="Z247" i="3"/>
  <c r="S247" i="3"/>
  <c r="R247" i="3"/>
  <c r="K247" i="3"/>
  <c r="J247" i="3"/>
  <c r="AJ247" i="3"/>
  <c r="AI247" i="3"/>
  <c r="AF251" i="3" a="1"/>
  <c r="AF251" i="3" s="1"/>
  <c r="AH251" i="3"/>
  <c r="Y251" i="3"/>
  <c r="Q251" i="3"/>
  <c r="I251" i="3"/>
  <c r="AG251" i="3"/>
  <c r="X251" i="3"/>
  <c r="P251" i="3"/>
  <c r="H251" i="3"/>
  <c r="AN251" i="3"/>
  <c r="AE251" i="3"/>
  <c r="W251" i="3"/>
  <c r="O251" i="3"/>
  <c r="G251" i="3"/>
  <c r="AM251" i="3"/>
  <c r="AD251" i="3"/>
  <c r="V251" i="3"/>
  <c r="N251" i="3"/>
  <c r="F251" i="3"/>
  <c r="AL251" i="3"/>
  <c r="AC251" i="3"/>
  <c r="U251" i="3"/>
  <c r="M251" i="3"/>
  <c r="E251" i="3"/>
  <c r="AK251" i="3"/>
  <c r="AB251" i="3"/>
  <c r="T251" i="3"/>
  <c r="L251" i="3"/>
  <c r="D251" i="3"/>
  <c r="K251" i="3"/>
  <c r="J251" i="3"/>
  <c r="AJ251" i="3"/>
  <c r="AI251" i="3"/>
  <c r="AA251" i="3"/>
  <c r="Z251" i="3"/>
  <c r="S251" i="3"/>
  <c r="R251" i="3"/>
  <c r="AF255" i="3" a="1"/>
  <c r="AF255" i="3" s="1"/>
  <c r="AH255" i="3"/>
  <c r="Y255" i="3"/>
  <c r="Q255" i="3"/>
  <c r="I255" i="3"/>
  <c r="AG255" i="3"/>
  <c r="X255" i="3"/>
  <c r="P255" i="3"/>
  <c r="H255" i="3"/>
  <c r="AN255" i="3"/>
  <c r="AE255" i="3"/>
  <c r="W255" i="3"/>
  <c r="O255" i="3"/>
  <c r="G255" i="3"/>
  <c r="AM255" i="3"/>
  <c r="AD255" i="3"/>
  <c r="V255" i="3"/>
  <c r="N255" i="3"/>
  <c r="F255" i="3"/>
  <c r="AL255" i="3"/>
  <c r="AC255" i="3"/>
  <c r="U255" i="3"/>
  <c r="M255" i="3"/>
  <c r="E255" i="3"/>
  <c r="AK255" i="3"/>
  <c r="AB255" i="3"/>
  <c r="T255" i="3"/>
  <c r="L255" i="3"/>
  <c r="D255" i="3"/>
  <c r="AA255" i="3"/>
  <c r="Z255" i="3"/>
  <c r="S255" i="3"/>
  <c r="R255" i="3"/>
  <c r="K255" i="3"/>
  <c r="J255" i="3"/>
  <c r="AJ255" i="3"/>
  <c r="AI255" i="3"/>
  <c r="AF259" i="3" a="1"/>
  <c r="AF259" i="3" s="1"/>
  <c r="AH259" i="3"/>
  <c r="Y259" i="3"/>
  <c r="Q259" i="3"/>
  <c r="I259" i="3"/>
  <c r="AG259" i="3"/>
  <c r="X259" i="3"/>
  <c r="P259" i="3"/>
  <c r="H259" i="3"/>
  <c r="AN259" i="3"/>
  <c r="AE259" i="3"/>
  <c r="W259" i="3"/>
  <c r="O259" i="3"/>
  <c r="G259" i="3"/>
  <c r="AM259" i="3"/>
  <c r="AD259" i="3"/>
  <c r="V259" i="3"/>
  <c r="N259" i="3"/>
  <c r="F259" i="3"/>
  <c r="AL259" i="3"/>
  <c r="AC259" i="3"/>
  <c r="U259" i="3"/>
  <c r="M259" i="3"/>
  <c r="E259" i="3"/>
  <c r="AK259" i="3"/>
  <c r="AB259" i="3"/>
  <c r="T259" i="3"/>
  <c r="L259" i="3"/>
  <c r="D259" i="3"/>
  <c r="K259" i="3"/>
  <c r="J259" i="3"/>
  <c r="AJ259" i="3"/>
  <c r="AI259" i="3"/>
  <c r="AA259" i="3"/>
  <c r="Z259" i="3"/>
  <c r="S259" i="3"/>
  <c r="R259" i="3"/>
  <c r="AF263" i="3" a="1"/>
  <c r="AF263" i="3" s="1"/>
  <c r="AH263" i="3"/>
  <c r="Y263" i="3"/>
  <c r="Q263" i="3"/>
  <c r="I263" i="3"/>
  <c r="AG263" i="3"/>
  <c r="X263" i="3"/>
  <c r="P263" i="3"/>
  <c r="H263" i="3"/>
  <c r="AN263" i="3"/>
  <c r="AE263" i="3"/>
  <c r="W263" i="3"/>
  <c r="O263" i="3"/>
  <c r="G263" i="3"/>
  <c r="AM263" i="3"/>
  <c r="AD263" i="3"/>
  <c r="V263" i="3"/>
  <c r="N263" i="3"/>
  <c r="F263" i="3"/>
  <c r="AL263" i="3"/>
  <c r="AC263" i="3"/>
  <c r="U263" i="3"/>
  <c r="M263" i="3"/>
  <c r="E263" i="3"/>
  <c r="AK263" i="3"/>
  <c r="AB263" i="3"/>
  <c r="T263" i="3"/>
  <c r="L263" i="3"/>
  <c r="D263" i="3"/>
  <c r="AA263" i="3"/>
  <c r="Z263" i="3"/>
  <c r="S263" i="3"/>
  <c r="R263" i="3"/>
  <c r="K263" i="3"/>
  <c r="J263" i="3"/>
  <c r="AJ263" i="3"/>
  <c r="AI263" i="3"/>
  <c r="AF267" i="3" a="1"/>
  <c r="AF267" i="3" s="1"/>
  <c r="AH267" i="3"/>
  <c r="Y267" i="3"/>
  <c r="Q267" i="3"/>
  <c r="I267" i="3"/>
  <c r="AG267" i="3"/>
  <c r="X267" i="3"/>
  <c r="P267" i="3"/>
  <c r="H267" i="3"/>
  <c r="AN267" i="3"/>
  <c r="AE267" i="3"/>
  <c r="W267" i="3"/>
  <c r="O267" i="3"/>
  <c r="G267" i="3"/>
  <c r="AM267" i="3"/>
  <c r="AD267" i="3"/>
  <c r="V267" i="3"/>
  <c r="N267" i="3"/>
  <c r="F267" i="3"/>
  <c r="AL267" i="3"/>
  <c r="AC267" i="3"/>
  <c r="U267" i="3"/>
  <c r="M267" i="3"/>
  <c r="E267" i="3"/>
  <c r="AK267" i="3"/>
  <c r="AB267" i="3"/>
  <c r="T267" i="3"/>
  <c r="L267" i="3"/>
  <c r="D267" i="3"/>
  <c r="K267" i="3"/>
  <c r="J267" i="3"/>
  <c r="AJ267" i="3"/>
  <c r="AI267" i="3"/>
  <c r="AA267" i="3"/>
  <c r="Z267" i="3"/>
  <c r="S267" i="3"/>
  <c r="R267" i="3"/>
  <c r="AF271" i="3" a="1"/>
  <c r="AF271" i="3" s="1"/>
  <c r="AH271" i="3"/>
  <c r="Y271" i="3"/>
  <c r="Q271" i="3"/>
  <c r="I271" i="3"/>
  <c r="AG271" i="3"/>
  <c r="X271" i="3"/>
  <c r="P271" i="3"/>
  <c r="H271" i="3"/>
  <c r="AN271" i="3"/>
  <c r="AE271" i="3"/>
  <c r="W271" i="3"/>
  <c r="O271" i="3"/>
  <c r="G271" i="3"/>
  <c r="AM271" i="3"/>
  <c r="AD271" i="3"/>
  <c r="V271" i="3"/>
  <c r="N271" i="3"/>
  <c r="F271" i="3"/>
  <c r="AL271" i="3"/>
  <c r="AC271" i="3"/>
  <c r="U271" i="3"/>
  <c r="M271" i="3"/>
  <c r="E271" i="3"/>
  <c r="AK271" i="3"/>
  <c r="AB271" i="3"/>
  <c r="T271" i="3"/>
  <c r="L271" i="3"/>
  <c r="D271" i="3"/>
  <c r="AA271" i="3"/>
  <c r="Z271" i="3"/>
  <c r="S271" i="3"/>
  <c r="R271" i="3"/>
  <c r="K271" i="3"/>
  <c r="J271" i="3"/>
  <c r="AJ271" i="3"/>
  <c r="AI271" i="3"/>
  <c r="AF275" i="3" a="1"/>
  <c r="AF275" i="3" s="1"/>
  <c r="AM275" i="3"/>
  <c r="AD275" i="3"/>
  <c r="V275" i="3"/>
  <c r="AL275" i="3"/>
  <c r="AC275" i="3"/>
  <c r="U275" i="3"/>
  <c r="AK275" i="3"/>
  <c r="AB275" i="3"/>
  <c r="T275" i="3"/>
  <c r="AI275" i="3"/>
  <c r="Z275" i="3"/>
  <c r="R275" i="3"/>
  <c r="AH275" i="3"/>
  <c r="Y275" i="3"/>
  <c r="AN275" i="3"/>
  <c r="Q275" i="3"/>
  <c r="I275" i="3"/>
  <c r="AJ275" i="3"/>
  <c r="P275" i="3"/>
  <c r="H275" i="3"/>
  <c r="AG275" i="3"/>
  <c r="O275" i="3"/>
  <c r="G275" i="3"/>
  <c r="AE275" i="3"/>
  <c r="N275" i="3"/>
  <c r="F275" i="3"/>
  <c r="AA275" i="3"/>
  <c r="M275" i="3"/>
  <c r="E275" i="3"/>
  <c r="X275" i="3"/>
  <c r="L275" i="3"/>
  <c r="D275" i="3"/>
  <c r="K275" i="3"/>
  <c r="J275" i="3"/>
  <c r="W275" i="3"/>
  <c r="S275" i="3"/>
  <c r="AF279" i="3" a="1"/>
  <c r="AF279" i="3" s="1"/>
  <c r="AM279" i="3"/>
  <c r="AD279" i="3"/>
  <c r="V279" i="3"/>
  <c r="N279" i="3"/>
  <c r="F279" i="3"/>
  <c r="AL279" i="3"/>
  <c r="AC279" i="3"/>
  <c r="U279" i="3"/>
  <c r="M279" i="3"/>
  <c r="E279" i="3"/>
  <c r="AK279" i="3"/>
  <c r="AB279" i="3"/>
  <c r="T279" i="3"/>
  <c r="L279" i="3"/>
  <c r="D279" i="3"/>
  <c r="AI279" i="3"/>
  <c r="Z279" i="3"/>
  <c r="R279" i="3"/>
  <c r="J279" i="3"/>
  <c r="AH279" i="3"/>
  <c r="Y279" i="3"/>
  <c r="Q279" i="3"/>
  <c r="I279" i="3"/>
  <c r="W279" i="3"/>
  <c r="S279" i="3"/>
  <c r="AN279" i="3"/>
  <c r="P279" i="3"/>
  <c r="AJ279" i="3"/>
  <c r="O279" i="3"/>
  <c r="AG279" i="3"/>
  <c r="K279" i="3"/>
  <c r="AE279" i="3"/>
  <c r="H279" i="3"/>
  <c r="AA279" i="3"/>
  <c r="X279" i="3"/>
  <c r="G279" i="3"/>
  <c r="AF283" i="3" a="1"/>
  <c r="AF283" i="3" s="1"/>
  <c r="AM283" i="3"/>
  <c r="AD283" i="3"/>
  <c r="V283" i="3"/>
  <c r="N283" i="3"/>
  <c r="F283" i="3"/>
  <c r="AL283" i="3"/>
  <c r="AC283" i="3"/>
  <c r="U283" i="3"/>
  <c r="M283" i="3"/>
  <c r="E283" i="3"/>
  <c r="AK283" i="3"/>
  <c r="AB283" i="3"/>
  <c r="T283" i="3"/>
  <c r="L283" i="3"/>
  <c r="D283" i="3"/>
  <c r="AI283" i="3"/>
  <c r="Z283" i="3"/>
  <c r="R283" i="3"/>
  <c r="J283" i="3"/>
  <c r="AH283" i="3"/>
  <c r="Y283" i="3"/>
  <c r="Q283" i="3"/>
  <c r="I283" i="3"/>
  <c r="AA283" i="3"/>
  <c r="G283" i="3"/>
  <c r="X283" i="3"/>
  <c r="W283" i="3"/>
  <c r="S283" i="3"/>
  <c r="AN283" i="3"/>
  <c r="P283" i="3"/>
  <c r="AJ283" i="3"/>
  <c r="O283" i="3"/>
  <c r="AG283" i="3"/>
  <c r="AE283" i="3"/>
  <c r="K283" i="3"/>
  <c r="H283" i="3"/>
  <c r="AF287" i="3" a="1"/>
  <c r="AF287" i="3" s="1"/>
  <c r="AM287" i="3"/>
  <c r="AD287" i="3"/>
  <c r="V287" i="3"/>
  <c r="N287" i="3"/>
  <c r="F287" i="3"/>
  <c r="AL287" i="3"/>
  <c r="AC287" i="3"/>
  <c r="U287" i="3"/>
  <c r="M287" i="3"/>
  <c r="E287" i="3"/>
  <c r="AK287" i="3"/>
  <c r="AB287" i="3"/>
  <c r="T287" i="3"/>
  <c r="L287" i="3"/>
  <c r="D287" i="3"/>
  <c r="AI287" i="3"/>
  <c r="Z287" i="3"/>
  <c r="R287" i="3"/>
  <c r="J287" i="3"/>
  <c r="AH287" i="3"/>
  <c r="Y287" i="3"/>
  <c r="Q287" i="3"/>
  <c r="I287" i="3"/>
  <c r="AG287" i="3"/>
  <c r="K287" i="3"/>
  <c r="AE287" i="3"/>
  <c r="H287" i="3"/>
  <c r="AA287" i="3"/>
  <c r="G287" i="3"/>
  <c r="X287" i="3"/>
  <c r="W287" i="3"/>
  <c r="S287" i="3"/>
  <c r="AN287" i="3"/>
  <c r="AJ287" i="3"/>
  <c r="P287" i="3"/>
  <c r="O287" i="3"/>
  <c r="AF291" i="3" a="1"/>
  <c r="AF291" i="3" s="1"/>
  <c r="AM291" i="3"/>
  <c r="AD291" i="3"/>
  <c r="V291" i="3"/>
  <c r="N291" i="3"/>
  <c r="F291" i="3"/>
  <c r="AL291" i="3"/>
  <c r="AC291" i="3"/>
  <c r="U291" i="3"/>
  <c r="M291" i="3"/>
  <c r="E291" i="3"/>
  <c r="AK291" i="3"/>
  <c r="AB291" i="3"/>
  <c r="T291" i="3"/>
  <c r="L291" i="3"/>
  <c r="D291" i="3"/>
  <c r="AI291" i="3"/>
  <c r="Z291" i="3"/>
  <c r="R291" i="3"/>
  <c r="J291" i="3"/>
  <c r="AH291" i="3"/>
  <c r="Y291" i="3"/>
  <c r="Q291" i="3"/>
  <c r="I291" i="3"/>
  <c r="AN291" i="3"/>
  <c r="P291" i="3"/>
  <c r="AJ291" i="3"/>
  <c r="O291" i="3"/>
  <c r="AG291" i="3"/>
  <c r="K291" i="3"/>
  <c r="AE291" i="3"/>
  <c r="H291" i="3"/>
  <c r="AA291" i="3"/>
  <c r="G291" i="3"/>
  <c r="X291" i="3"/>
  <c r="W291" i="3"/>
  <c r="S291" i="3"/>
  <c r="AF295" i="3" a="1"/>
  <c r="AF295" i="3" s="1"/>
  <c r="AM295" i="3"/>
  <c r="AD295" i="3"/>
  <c r="V295" i="3"/>
  <c r="N295" i="3"/>
  <c r="F295" i="3"/>
  <c r="AL295" i="3"/>
  <c r="AC295" i="3"/>
  <c r="U295" i="3"/>
  <c r="M295" i="3"/>
  <c r="E295" i="3"/>
  <c r="AK295" i="3"/>
  <c r="AB295" i="3"/>
  <c r="T295" i="3"/>
  <c r="L295" i="3"/>
  <c r="D295" i="3"/>
  <c r="AI295" i="3"/>
  <c r="Z295" i="3"/>
  <c r="R295" i="3"/>
  <c r="J295" i="3"/>
  <c r="AH295" i="3"/>
  <c r="Y295" i="3"/>
  <c r="Q295" i="3"/>
  <c r="I295" i="3"/>
  <c r="W295" i="3"/>
  <c r="S295" i="3"/>
  <c r="AN295" i="3"/>
  <c r="P295" i="3"/>
  <c r="AJ295" i="3"/>
  <c r="O295" i="3"/>
  <c r="AG295" i="3"/>
  <c r="K295" i="3"/>
  <c r="AE295" i="3"/>
  <c r="H295" i="3"/>
  <c r="AA295" i="3"/>
  <c r="X295" i="3"/>
  <c r="G295" i="3"/>
  <c r="AF299" i="3" a="1"/>
  <c r="AF299" i="3" s="1"/>
  <c r="AM299" i="3"/>
  <c r="AD299" i="3"/>
  <c r="V299" i="3"/>
  <c r="N299" i="3"/>
  <c r="F299" i="3"/>
  <c r="AL299" i="3"/>
  <c r="AC299" i="3"/>
  <c r="U299" i="3"/>
  <c r="M299" i="3"/>
  <c r="E299" i="3"/>
  <c r="AK299" i="3"/>
  <c r="AB299" i="3"/>
  <c r="T299" i="3"/>
  <c r="L299" i="3"/>
  <c r="D299" i="3"/>
  <c r="AI299" i="3"/>
  <c r="Z299" i="3"/>
  <c r="R299" i="3"/>
  <c r="J299" i="3"/>
  <c r="AH299" i="3"/>
  <c r="Y299" i="3"/>
  <c r="Q299" i="3"/>
  <c r="I299" i="3"/>
  <c r="AA299" i="3"/>
  <c r="G299" i="3"/>
  <c r="X299" i="3"/>
  <c r="W299" i="3"/>
  <c r="S299" i="3"/>
  <c r="AN299" i="3"/>
  <c r="P299" i="3"/>
  <c r="AJ299" i="3"/>
  <c r="O299" i="3"/>
  <c r="AG299" i="3"/>
  <c r="AE299" i="3"/>
  <c r="K299" i="3"/>
  <c r="H299" i="3"/>
  <c r="AF303" i="3" a="1"/>
  <c r="AF303" i="3" s="1"/>
  <c r="AM303" i="3"/>
  <c r="AD303" i="3"/>
  <c r="V303" i="3"/>
  <c r="N303" i="3"/>
  <c r="F303" i="3"/>
  <c r="AL303" i="3"/>
  <c r="AC303" i="3"/>
  <c r="U303" i="3"/>
  <c r="M303" i="3"/>
  <c r="E303" i="3"/>
  <c r="AK303" i="3"/>
  <c r="AB303" i="3"/>
  <c r="T303" i="3"/>
  <c r="L303" i="3"/>
  <c r="D303" i="3"/>
  <c r="AI303" i="3"/>
  <c r="Z303" i="3"/>
  <c r="R303" i="3"/>
  <c r="J303" i="3"/>
  <c r="AH303" i="3"/>
  <c r="Y303" i="3"/>
  <c r="Q303" i="3"/>
  <c r="I303" i="3"/>
  <c r="AG303" i="3"/>
  <c r="K303" i="3"/>
  <c r="AE303" i="3"/>
  <c r="H303" i="3"/>
  <c r="AA303" i="3"/>
  <c r="G303" i="3"/>
  <c r="X303" i="3"/>
  <c r="W303" i="3"/>
  <c r="S303" i="3"/>
  <c r="P303" i="3"/>
  <c r="O303" i="3"/>
  <c r="AN303" i="3"/>
  <c r="AJ303" i="3"/>
  <c r="AF307" i="3" a="1"/>
  <c r="AF307" i="3" s="1"/>
  <c r="AM307" i="3"/>
  <c r="AD307" i="3"/>
  <c r="V307" i="3"/>
  <c r="N307" i="3"/>
  <c r="F307" i="3"/>
  <c r="AL307" i="3"/>
  <c r="AC307" i="3"/>
  <c r="U307" i="3"/>
  <c r="M307" i="3"/>
  <c r="E307" i="3"/>
  <c r="AK307" i="3"/>
  <c r="AB307" i="3"/>
  <c r="T307" i="3"/>
  <c r="L307" i="3"/>
  <c r="D307" i="3"/>
  <c r="AI307" i="3"/>
  <c r="Z307" i="3"/>
  <c r="R307" i="3"/>
  <c r="J307" i="3"/>
  <c r="AH307" i="3"/>
  <c r="Y307" i="3"/>
  <c r="Q307" i="3"/>
  <c r="I307" i="3"/>
  <c r="AN307" i="3"/>
  <c r="P307" i="3"/>
  <c r="AJ307" i="3"/>
  <c r="O307" i="3"/>
  <c r="AG307" i="3"/>
  <c r="K307" i="3"/>
  <c r="AE307" i="3"/>
  <c r="H307" i="3"/>
  <c r="AA307" i="3"/>
  <c r="G307" i="3"/>
  <c r="X307" i="3"/>
  <c r="W307" i="3"/>
  <c r="S307" i="3"/>
  <c r="AF311" i="3" a="1"/>
  <c r="AF311" i="3" s="1"/>
  <c r="AM311" i="3"/>
  <c r="AD311" i="3"/>
  <c r="V311" i="3"/>
  <c r="N311" i="3"/>
  <c r="F311" i="3"/>
  <c r="AL311" i="3"/>
  <c r="AC311" i="3"/>
  <c r="U311" i="3"/>
  <c r="M311" i="3"/>
  <c r="E311" i="3"/>
  <c r="AK311" i="3"/>
  <c r="AB311" i="3"/>
  <c r="T311" i="3"/>
  <c r="L311" i="3"/>
  <c r="D311" i="3"/>
  <c r="AI311" i="3"/>
  <c r="Z311" i="3"/>
  <c r="R311" i="3"/>
  <c r="J311" i="3"/>
  <c r="AH311" i="3"/>
  <c r="Y311" i="3"/>
  <c r="Q311" i="3"/>
  <c r="I311" i="3"/>
  <c r="W311" i="3"/>
  <c r="S311" i="3"/>
  <c r="AN311" i="3"/>
  <c r="P311" i="3"/>
  <c r="AJ311" i="3"/>
  <c r="O311" i="3"/>
  <c r="AG311" i="3"/>
  <c r="K311" i="3"/>
  <c r="AE311" i="3"/>
  <c r="H311" i="3"/>
  <c r="AA311" i="3"/>
  <c r="X311" i="3"/>
  <c r="G311" i="3"/>
  <c r="AF315" i="3" a="1"/>
  <c r="AF315" i="3" s="1"/>
  <c r="AM315" i="3"/>
  <c r="AD315" i="3"/>
  <c r="V315" i="3"/>
  <c r="N315" i="3"/>
  <c r="F315" i="3"/>
  <c r="AL315" i="3"/>
  <c r="AC315" i="3"/>
  <c r="U315" i="3"/>
  <c r="M315" i="3"/>
  <c r="E315" i="3"/>
  <c r="AK315" i="3"/>
  <c r="AB315" i="3"/>
  <c r="T315" i="3"/>
  <c r="L315" i="3"/>
  <c r="D315" i="3"/>
  <c r="AI315" i="3"/>
  <c r="Z315" i="3"/>
  <c r="R315" i="3"/>
  <c r="J315" i="3"/>
  <c r="AH315" i="3"/>
  <c r="Y315" i="3"/>
  <c r="Q315" i="3"/>
  <c r="I315" i="3"/>
  <c r="AA315" i="3"/>
  <c r="G315" i="3"/>
  <c r="X315" i="3"/>
  <c r="W315" i="3"/>
  <c r="S315" i="3"/>
  <c r="AN315" i="3"/>
  <c r="P315" i="3"/>
  <c r="AJ315" i="3"/>
  <c r="O315" i="3"/>
  <c r="K315" i="3"/>
  <c r="H315" i="3"/>
  <c r="AG315" i="3"/>
  <c r="AE315" i="3"/>
  <c r="AF319" i="3" a="1"/>
  <c r="AF319" i="3" s="1"/>
  <c r="AK319" i="3"/>
  <c r="AN319" i="3"/>
  <c r="AD319" i="3"/>
  <c r="V319" i="3"/>
  <c r="N319" i="3"/>
  <c r="F319" i="3"/>
  <c r="AM319" i="3"/>
  <c r="AC319" i="3"/>
  <c r="U319" i="3"/>
  <c r="M319" i="3"/>
  <c r="E319" i="3"/>
  <c r="AL319" i="3"/>
  <c r="AB319" i="3"/>
  <c r="T319" i="3"/>
  <c r="L319" i="3"/>
  <c r="D319" i="3"/>
  <c r="AI319" i="3"/>
  <c r="Z319" i="3"/>
  <c r="R319" i="3"/>
  <c r="J319" i="3"/>
  <c r="AH319" i="3"/>
  <c r="Y319" i="3"/>
  <c r="Q319" i="3"/>
  <c r="I319" i="3"/>
  <c r="AG319" i="3"/>
  <c r="K319" i="3"/>
  <c r="AE319" i="3"/>
  <c r="H319" i="3"/>
  <c r="AA319" i="3"/>
  <c r="G319" i="3"/>
  <c r="X319" i="3"/>
  <c r="W319" i="3"/>
  <c r="S319" i="3"/>
  <c r="AJ319" i="3"/>
  <c r="P319" i="3"/>
  <c r="O319" i="3"/>
  <c r="AF323" i="3" a="1"/>
  <c r="AF323" i="3" s="1"/>
  <c r="AL323" i="3"/>
  <c r="AC323" i="3"/>
  <c r="U323" i="3"/>
  <c r="M323" i="3"/>
  <c r="E323" i="3"/>
  <c r="AK323" i="3"/>
  <c r="AB323" i="3"/>
  <c r="T323" i="3"/>
  <c r="L323" i="3"/>
  <c r="D323" i="3"/>
  <c r="AJ323" i="3"/>
  <c r="AA323" i="3"/>
  <c r="S323" i="3"/>
  <c r="K323" i="3"/>
  <c r="AH323" i="3"/>
  <c r="Y323" i="3"/>
  <c r="Q323" i="3"/>
  <c r="I323" i="3"/>
  <c r="AN323" i="3"/>
  <c r="W323" i="3"/>
  <c r="G323" i="3"/>
  <c r="AM323" i="3"/>
  <c r="V323" i="3"/>
  <c r="F323" i="3"/>
  <c r="AI323" i="3"/>
  <c r="R323" i="3"/>
  <c r="AE323" i="3"/>
  <c r="O323" i="3"/>
  <c r="AD323" i="3"/>
  <c r="N323" i="3"/>
  <c r="J323" i="3"/>
  <c r="H323" i="3"/>
  <c r="AG323" i="3"/>
  <c r="Z323" i="3"/>
  <c r="X323" i="3"/>
  <c r="P323" i="3"/>
  <c r="AF327" i="3" a="1"/>
  <c r="AF327" i="3" s="1"/>
  <c r="AL327" i="3"/>
  <c r="AC327" i="3"/>
  <c r="U327" i="3"/>
  <c r="M327" i="3"/>
  <c r="E327" i="3"/>
  <c r="AK327" i="3"/>
  <c r="AB327" i="3"/>
  <c r="T327" i="3"/>
  <c r="L327" i="3"/>
  <c r="D327" i="3"/>
  <c r="AJ327" i="3"/>
  <c r="AA327" i="3"/>
  <c r="S327" i="3"/>
  <c r="K327" i="3"/>
  <c r="AH327" i="3"/>
  <c r="Y327" i="3"/>
  <c r="Q327" i="3"/>
  <c r="I327" i="3"/>
  <c r="AN327" i="3"/>
  <c r="W327" i="3"/>
  <c r="G327" i="3"/>
  <c r="AM327" i="3"/>
  <c r="V327" i="3"/>
  <c r="F327" i="3"/>
  <c r="AI327" i="3"/>
  <c r="R327" i="3"/>
  <c r="AE327" i="3"/>
  <c r="O327" i="3"/>
  <c r="AD327" i="3"/>
  <c r="N327" i="3"/>
  <c r="AG327" i="3"/>
  <c r="Z327" i="3"/>
  <c r="X327" i="3"/>
  <c r="P327" i="3"/>
  <c r="J327" i="3"/>
  <c r="H327" i="3"/>
  <c r="AF331" i="3" a="1"/>
  <c r="AF331" i="3" s="1"/>
  <c r="AL331" i="3"/>
  <c r="AC331" i="3"/>
  <c r="U331" i="3"/>
  <c r="M331" i="3"/>
  <c r="E331" i="3"/>
  <c r="AK331" i="3"/>
  <c r="AB331" i="3"/>
  <c r="T331" i="3"/>
  <c r="L331" i="3"/>
  <c r="D331" i="3"/>
  <c r="AJ331" i="3"/>
  <c r="AA331" i="3"/>
  <c r="S331" i="3"/>
  <c r="K331" i="3"/>
  <c r="AH331" i="3"/>
  <c r="Y331" i="3"/>
  <c r="Q331" i="3"/>
  <c r="I331" i="3"/>
  <c r="AN331" i="3"/>
  <c r="W331" i="3"/>
  <c r="G331" i="3"/>
  <c r="AM331" i="3"/>
  <c r="V331" i="3"/>
  <c r="F331" i="3"/>
  <c r="AI331" i="3"/>
  <c r="R331" i="3"/>
  <c r="AE331" i="3"/>
  <c r="O331" i="3"/>
  <c r="AD331" i="3"/>
  <c r="N331" i="3"/>
  <c r="X331" i="3"/>
  <c r="P331" i="3"/>
  <c r="J331" i="3"/>
  <c r="H331" i="3"/>
  <c r="AG331" i="3"/>
  <c r="Z331" i="3"/>
  <c r="AF335" i="3" a="1"/>
  <c r="AF335" i="3" s="1"/>
  <c r="AL335" i="3"/>
  <c r="AC335" i="3"/>
  <c r="U335" i="3"/>
  <c r="M335" i="3"/>
  <c r="E335" i="3"/>
  <c r="AK335" i="3"/>
  <c r="AB335" i="3"/>
  <c r="T335" i="3"/>
  <c r="L335" i="3"/>
  <c r="D335" i="3"/>
  <c r="AJ335" i="3"/>
  <c r="AA335" i="3"/>
  <c r="S335" i="3"/>
  <c r="K335" i="3"/>
  <c r="AH335" i="3"/>
  <c r="Y335" i="3"/>
  <c r="Q335" i="3"/>
  <c r="I335" i="3"/>
  <c r="AN335" i="3"/>
  <c r="W335" i="3"/>
  <c r="G335" i="3"/>
  <c r="AM335" i="3"/>
  <c r="V335" i="3"/>
  <c r="F335" i="3"/>
  <c r="AI335" i="3"/>
  <c r="R335" i="3"/>
  <c r="AE335" i="3"/>
  <c r="O335" i="3"/>
  <c r="AD335" i="3"/>
  <c r="N335" i="3"/>
  <c r="H335" i="3"/>
  <c r="AG335" i="3"/>
  <c r="Z335" i="3"/>
  <c r="X335" i="3"/>
  <c r="P335" i="3"/>
  <c r="J335" i="3"/>
  <c r="AF339" i="3" a="1"/>
  <c r="AF339" i="3" s="1"/>
  <c r="AL339" i="3"/>
  <c r="AC339" i="3"/>
  <c r="U339" i="3"/>
  <c r="M339" i="3"/>
  <c r="E339" i="3"/>
  <c r="AK339" i="3"/>
  <c r="AB339" i="3"/>
  <c r="T339" i="3"/>
  <c r="L339" i="3"/>
  <c r="D339" i="3"/>
  <c r="AJ339" i="3"/>
  <c r="AA339" i="3"/>
  <c r="S339" i="3"/>
  <c r="K339" i="3"/>
  <c r="AH339" i="3"/>
  <c r="Y339" i="3"/>
  <c r="Q339" i="3"/>
  <c r="I339" i="3"/>
  <c r="AN339" i="3"/>
  <c r="W339" i="3"/>
  <c r="G339" i="3"/>
  <c r="AM339" i="3"/>
  <c r="V339" i="3"/>
  <c r="F339" i="3"/>
  <c r="AI339" i="3"/>
  <c r="R339" i="3"/>
  <c r="AE339" i="3"/>
  <c r="O339" i="3"/>
  <c r="AD339" i="3"/>
  <c r="N339" i="3"/>
  <c r="AG339" i="3"/>
  <c r="Z339" i="3"/>
  <c r="X339" i="3"/>
  <c r="P339" i="3"/>
  <c r="J339" i="3"/>
  <c r="H339" i="3"/>
  <c r="AF343" i="3" a="1"/>
  <c r="AF343" i="3" s="1"/>
  <c r="AL343" i="3"/>
  <c r="AC343" i="3"/>
  <c r="U343" i="3"/>
  <c r="M343" i="3"/>
  <c r="E343" i="3"/>
  <c r="AK343" i="3"/>
  <c r="AB343" i="3"/>
  <c r="T343" i="3"/>
  <c r="L343" i="3"/>
  <c r="D343" i="3"/>
  <c r="AJ343" i="3"/>
  <c r="AA343" i="3"/>
  <c r="S343" i="3"/>
  <c r="K343" i="3"/>
  <c r="AI343" i="3"/>
  <c r="AH343" i="3"/>
  <c r="Y343" i="3"/>
  <c r="Q343" i="3"/>
  <c r="I343" i="3"/>
  <c r="W343" i="3"/>
  <c r="G343" i="3"/>
  <c r="AN343" i="3"/>
  <c r="V343" i="3"/>
  <c r="F343" i="3"/>
  <c r="AM343" i="3"/>
  <c r="R343" i="3"/>
  <c r="AE343" i="3"/>
  <c r="O343" i="3"/>
  <c r="AD343" i="3"/>
  <c r="N343" i="3"/>
  <c r="P343" i="3"/>
  <c r="J343" i="3"/>
  <c r="H343" i="3"/>
  <c r="AG343" i="3"/>
  <c r="Z343" i="3"/>
  <c r="X343" i="3"/>
  <c r="AF347" i="3" a="1"/>
  <c r="AF347" i="3" s="1"/>
  <c r="AL347" i="3"/>
  <c r="AC347" i="3"/>
  <c r="U347" i="3"/>
  <c r="M347" i="3"/>
  <c r="E347" i="3"/>
  <c r="AK347" i="3"/>
  <c r="AB347" i="3"/>
  <c r="T347" i="3"/>
  <c r="L347" i="3"/>
  <c r="D347" i="3"/>
  <c r="AJ347" i="3"/>
  <c r="AA347" i="3"/>
  <c r="S347" i="3"/>
  <c r="K347" i="3"/>
  <c r="AI347" i="3"/>
  <c r="Z347" i="3"/>
  <c r="R347" i="3"/>
  <c r="J347" i="3"/>
  <c r="AH347" i="3"/>
  <c r="Y347" i="3"/>
  <c r="Q347" i="3"/>
  <c r="I347" i="3"/>
  <c r="X347" i="3"/>
  <c r="F347" i="3"/>
  <c r="W347" i="3"/>
  <c r="V347" i="3"/>
  <c r="AM347" i="3"/>
  <c r="O347" i="3"/>
  <c r="AG347" i="3"/>
  <c r="N347" i="3"/>
  <c r="AN347" i="3"/>
  <c r="AE347" i="3"/>
  <c r="AD347" i="3"/>
  <c r="P347" i="3"/>
  <c r="H347" i="3"/>
  <c r="G347" i="3"/>
  <c r="AF351" i="3" a="1"/>
  <c r="AF351" i="3" s="1"/>
  <c r="AL351" i="3"/>
  <c r="AC351" i="3"/>
  <c r="U351" i="3"/>
  <c r="M351" i="3"/>
  <c r="E351" i="3"/>
  <c r="AK351" i="3"/>
  <c r="AB351" i="3"/>
  <c r="T351" i="3"/>
  <c r="L351" i="3"/>
  <c r="D351" i="3"/>
  <c r="AJ351" i="3"/>
  <c r="AA351" i="3"/>
  <c r="S351" i="3"/>
  <c r="K351" i="3"/>
  <c r="AI351" i="3"/>
  <c r="Z351" i="3"/>
  <c r="R351" i="3"/>
  <c r="J351" i="3"/>
  <c r="AH351" i="3"/>
  <c r="Y351" i="3"/>
  <c r="Q351" i="3"/>
  <c r="I351" i="3"/>
  <c r="AE351" i="3"/>
  <c r="H351" i="3"/>
  <c r="AD351" i="3"/>
  <c r="G351" i="3"/>
  <c r="X351" i="3"/>
  <c r="F351" i="3"/>
  <c r="V351" i="3"/>
  <c r="AN351" i="3"/>
  <c r="P351" i="3"/>
  <c r="N351" i="3"/>
  <c r="AM351" i="3"/>
  <c r="AG351" i="3"/>
  <c r="W351" i="3"/>
  <c r="O351" i="3"/>
  <c r="AF355" i="3" a="1"/>
  <c r="AF355" i="3" s="1"/>
  <c r="AL355" i="3"/>
  <c r="AC355" i="3"/>
  <c r="U355" i="3"/>
  <c r="M355" i="3"/>
  <c r="E355" i="3"/>
  <c r="AK355" i="3"/>
  <c r="AB355" i="3"/>
  <c r="T355" i="3"/>
  <c r="L355" i="3"/>
  <c r="D355" i="3"/>
  <c r="AJ355" i="3"/>
  <c r="AA355" i="3"/>
  <c r="S355" i="3"/>
  <c r="K355" i="3"/>
  <c r="AI355" i="3"/>
  <c r="Z355" i="3"/>
  <c r="R355" i="3"/>
  <c r="J355" i="3"/>
  <c r="AH355" i="3"/>
  <c r="Y355" i="3"/>
  <c r="Q355" i="3"/>
  <c r="I355" i="3"/>
  <c r="AM355" i="3"/>
  <c r="O355" i="3"/>
  <c r="AG355" i="3"/>
  <c r="N355" i="3"/>
  <c r="AE355" i="3"/>
  <c r="H355" i="3"/>
  <c r="X355" i="3"/>
  <c r="F355" i="3"/>
  <c r="W355" i="3"/>
  <c r="AN355" i="3"/>
  <c r="AD355" i="3"/>
  <c r="V355" i="3"/>
  <c r="P355" i="3"/>
  <c r="G355" i="3"/>
  <c r="AF359" i="3" a="1"/>
  <c r="AF359" i="3" s="1"/>
  <c r="AL359" i="3"/>
  <c r="AC359" i="3"/>
  <c r="U359" i="3"/>
  <c r="M359" i="3"/>
  <c r="E359" i="3"/>
  <c r="AK359" i="3"/>
  <c r="AB359" i="3"/>
  <c r="T359" i="3"/>
  <c r="L359" i="3"/>
  <c r="D359" i="3"/>
  <c r="AJ359" i="3"/>
  <c r="AA359" i="3"/>
  <c r="S359" i="3"/>
  <c r="K359" i="3"/>
  <c r="AI359" i="3"/>
  <c r="Z359" i="3"/>
  <c r="R359" i="3"/>
  <c r="J359" i="3"/>
  <c r="AH359" i="3"/>
  <c r="Y359" i="3"/>
  <c r="Q359" i="3"/>
  <c r="I359" i="3"/>
  <c r="V359" i="3"/>
  <c r="AN359" i="3"/>
  <c r="P359" i="3"/>
  <c r="AM359" i="3"/>
  <c r="O359" i="3"/>
  <c r="AE359" i="3"/>
  <c r="H359" i="3"/>
  <c r="AD359" i="3"/>
  <c r="G359" i="3"/>
  <c r="F359" i="3"/>
  <c r="AG359" i="3"/>
  <c r="X359" i="3"/>
  <c r="W359" i="3"/>
  <c r="N359" i="3"/>
  <c r="AF363" i="3" a="1"/>
  <c r="AF363" i="3" s="1"/>
  <c r="AL363" i="3"/>
  <c r="AC363" i="3"/>
  <c r="U363" i="3"/>
  <c r="M363" i="3"/>
  <c r="E363" i="3"/>
  <c r="AK363" i="3"/>
  <c r="AB363" i="3"/>
  <c r="T363" i="3"/>
  <c r="L363" i="3"/>
  <c r="D363" i="3"/>
  <c r="AJ363" i="3"/>
  <c r="AA363" i="3"/>
  <c r="S363" i="3"/>
  <c r="K363" i="3"/>
  <c r="AI363" i="3"/>
  <c r="Z363" i="3"/>
  <c r="R363" i="3"/>
  <c r="J363" i="3"/>
  <c r="AH363" i="3"/>
  <c r="Y363" i="3"/>
  <c r="Q363" i="3"/>
  <c r="I363" i="3"/>
  <c r="X363" i="3"/>
  <c r="F363" i="3"/>
  <c r="W363" i="3"/>
  <c r="V363" i="3"/>
  <c r="AM363" i="3"/>
  <c r="O363" i="3"/>
  <c r="AG363" i="3"/>
  <c r="N363" i="3"/>
  <c r="AE363" i="3"/>
  <c r="AD363" i="3"/>
  <c r="P363" i="3"/>
  <c r="H363" i="3"/>
  <c r="G363" i="3"/>
  <c r="AN363" i="3"/>
  <c r="AF367" i="3" a="1"/>
  <c r="AF367" i="3" s="1"/>
  <c r="AL367" i="3"/>
  <c r="AC367" i="3"/>
  <c r="U367" i="3"/>
  <c r="M367" i="3"/>
  <c r="E367" i="3"/>
  <c r="AK367" i="3"/>
  <c r="AB367" i="3"/>
  <c r="T367" i="3"/>
  <c r="L367" i="3"/>
  <c r="D367" i="3"/>
  <c r="AJ367" i="3"/>
  <c r="AA367" i="3"/>
  <c r="S367" i="3"/>
  <c r="K367" i="3"/>
  <c r="AI367" i="3"/>
  <c r="Z367" i="3"/>
  <c r="R367" i="3"/>
  <c r="J367" i="3"/>
  <c r="AH367" i="3"/>
  <c r="Y367" i="3"/>
  <c r="Q367" i="3"/>
  <c r="I367" i="3"/>
  <c r="AE367" i="3"/>
  <c r="H367" i="3"/>
  <c r="AD367" i="3"/>
  <c r="G367" i="3"/>
  <c r="X367" i="3"/>
  <c r="F367" i="3"/>
  <c r="V367" i="3"/>
  <c r="AN367" i="3"/>
  <c r="P367" i="3"/>
  <c r="AM367" i="3"/>
  <c r="AG367" i="3"/>
  <c r="W367" i="3"/>
  <c r="O367" i="3"/>
  <c r="N367" i="3"/>
  <c r="AF371" i="3" a="1"/>
  <c r="AF371" i="3" s="1"/>
  <c r="AL371" i="3"/>
  <c r="AC371" i="3"/>
  <c r="U371" i="3"/>
  <c r="M371" i="3"/>
  <c r="E371" i="3"/>
  <c r="AK371" i="3"/>
  <c r="AB371" i="3"/>
  <c r="T371" i="3"/>
  <c r="L371" i="3"/>
  <c r="D371" i="3"/>
  <c r="AJ371" i="3"/>
  <c r="AA371" i="3"/>
  <c r="S371" i="3"/>
  <c r="K371" i="3"/>
  <c r="AI371" i="3"/>
  <c r="Z371" i="3"/>
  <c r="R371" i="3"/>
  <c r="J371" i="3"/>
  <c r="AH371" i="3"/>
  <c r="Y371" i="3"/>
  <c r="Q371" i="3"/>
  <c r="I371" i="3"/>
  <c r="AM371" i="3"/>
  <c r="O371" i="3"/>
  <c r="AG371" i="3"/>
  <c r="N371" i="3"/>
  <c r="AE371" i="3"/>
  <c r="H371" i="3"/>
  <c r="X371" i="3"/>
  <c r="F371" i="3"/>
  <c r="W371" i="3"/>
  <c r="AD371" i="3"/>
  <c r="V371" i="3"/>
  <c r="P371" i="3"/>
  <c r="G371" i="3"/>
  <c r="AN371" i="3"/>
  <c r="AF375" i="3" a="1"/>
  <c r="AF375" i="3" s="1"/>
  <c r="AL375" i="3"/>
  <c r="AC375" i="3"/>
  <c r="U375" i="3"/>
  <c r="M375" i="3"/>
  <c r="E375" i="3"/>
  <c r="AK375" i="3"/>
  <c r="AB375" i="3"/>
  <c r="T375" i="3"/>
  <c r="L375" i="3"/>
  <c r="D375" i="3"/>
  <c r="AJ375" i="3"/>
  <c r="AA375" i="3"/>
  <c r="S375" i="3"/>
  <c r="K375" i="3"/>
  <c r="AI375" i="3"/>
  <c r="Z375" i="3"/>
  <c r="R375" i="3"/>
  <c r="J375" i="3"/>
  <c r="AH375" i="3"/>
  <c r="Y375" i="3"/>
  <c r="Q375" i="3"/>
  <c r="I375" i="3"/>
  <c r="V375" i="3"/>
  <c r="AN375" i="3"/>
  <c r="P375" i="3"/>
  <c r="AM375" i="3"/>
  <c r="O375" i="3"/>
  <c r="AE375" i="3"/>
  <c r="H375" i="3"/>
  <c r="AD375" i="3"/>
  <c r="G375" i="3"/>
  <c r="AG375" i="3"/>
  <c r="X375" i="3"/>
  <c r="W375" i="3"/>
  <c r="N375" i="3"/>
  <c r="F375" i="3"/>
  <c r="AF379" i="3" a="1"/>
  <c r="AF379" i="3" s="1"/>
  <c r="AL379" i="3"/>
  <c r="AC379" i="3"/>
  <c r="U379" i="3"/>
  <c r="M379" i="3"/>
  <c r="E379" i="3"/>
  <c r="AK379" i="3"/>
  <c r="AB379" i="3"/>
  <c r="T379" i="3"/>
  <c r="L379" i="3"/>
  <c r="D379" i="3"/>
  <c r="AJ379" i="3"/>
  <c r="AA379" i="3"/>
  <c r="S379" i="3"/>
  <c r="K379" i="3"/>
  <c r="AI379" i="3"/>
  <c r="Z379" i="3"/>
  <c r="R379" i="3"/>
  <c r="J379" i="3"/>
  <c r="AH379" i="3"/>
  <c r="Y379" i="3"/>
  <c r="Q379" i="3"/>
  <c r="I379" i="3"/>
  <c r="AG379" i="3"/>
  <c r="X379" i="3"/>
  <c r="P379" i="3"/>
  <c r="H379" i="3"/>
  <c r="W379" i="3"/>
  <c r="V379" i="3"/>
  <c r="O379" i="3"/>
  <c r="N379" i="3"/>
  <c r="AN379" i="3"/>
  <c r="G379" i="3"/>
  <c r="AE379" i="3"/>
  <c r="AD379" i="3"/>
  <c r="AM379" i="3"/>
  <c r="F379" i="3"/>
  <c r="AF383" i="3" a="1"/>
  <c r="AF383" i="3" s="1"/>
  <c r="AL383" i="3"/>
  <c r="AC383" i="3"/>
  <c r="U383" i="3"/>
  <c r="M383" i="3"/>
  <c r="E383" i="3"/>
  <c r="AK383" i="3"/>
  <c r="AB383" i="3"/>
  <c r="T383" i="3"/>
  <c r="L383" i="3"/>
  <c r="D383" i="3"/>
  <c r="AJ383" i="3"/>
  <c r="AA383" i="3"/>
  <c r="S383" i="3"/>
  <c r="K383" i="3"/>
  <c r="AI383" i="3"/>
  <c r="Z383" i="3"/>
  <c r="R383" i="3"/>
  <c r="J383" i="3"/>
  <c r="AH383" i="3"/>
  <c r="Y383" i="3"/>
  <c r="Q383" i="3"/>
  <c r="I383" i="3"/>
  <c r="AG383" i="3"/>
  <c r="X383" i="3"/>
  <c r="P383" i="3"/>
  <c r="H383" i="3"/>
  <c r="AN383" i="3"/>
  <c r="G383" i="3"/>
  <c r="AM383" i="3"/>
  <c r="F383" i="3"/>
  <c r="AE383" i="3"/>
  <c r="AD383" i="3"/>
  <c r="W383" i="3"/>
  <c r="O383" i="3"/>
  <c r="N383" i="3"/>
  <c r="V383" i="3"/>
  <c r="AF387" i="3" a="1"/>
  <c r="AF387" i="3" s="1"/>
  <c r="AL387" i="3"/>
  <c r="AC387" i="3"/>
  <c r="U387" i="3"/>
  <c r="M387" i="3"/>
  <c r="E387" i="3"/>
  <c r="AK387" i="3"/>
  <c r="AB387" i="3"/>
  <c r="T387" i="3"/>
  <c r="L387" i="3"/>
  <c r="D387" i="3"/>
  <c r="AJ387" i="3"/>
  <c r="AA387" i="3"/>
  <c r="S387" i="3"/>
  <c r="K387" i="3"/>
  <c r="AI387" i="3"/>
  <c r="Z387" i="3"/>
  <c r="R387" i="3"/>
  <c r="J387" i="3"/>
  <c r="AH387" i="3"/>
  <c r="Y387" i="3"/>
  <c r="Q387" i="3"/>
  <c r="I387" i="3"/>
  <c r="AG387" i="3"/>
  <c r="X387" i="3"/>
  <c r="P387" i="3"/>
  <c r="H387" i="3"/>
  <c r="W387" i="3"/>
  <c r="V387" i="3"/>
  <c r="O387" i="3"/>
  <c r="N387" i="3"/>
  <c r="AN387" i="3"/>
  <c r="G387" i="3"/>
  <c r="AM387" i="3"/>
  <c r="AE387" i="3"/>
  <c r="AD387" i="3"/>
  <c r="F387" i="3"/>
  <c r="AF391" i="3" a="1"/>
  <c r="AF391" i="3" s="1"/>
  <c r="AL391" i="3"/>
  <c r="AC391" i="3"/>
  <c r="U391" i="3"/>
  <c r="M391" i="3"/>
  <c r="E391" i="3"/>
  <c r="AK391" i="3"/>
  <c r="AB391" i="3"/>
  <c r="T391" i="3"/>
  <c r="L391" i="3"/>
  <c r="D391" i="3"/>
  <c r="AJ391" i="3"/>
  <c r="AA391" i="3"/>
  <c r="S391" i="3"/>
  <c r="K391" i="3"/>
  <c r="AI391" i="3"/>
  <c r="Z391" i="3"/>
  <c r="R391" i="3"/>
  <c r="J391" i="3"/>
  <c r="AH391" i="3"/>
  <c r="Y391" i="3"/>
  <c r="Q391" i="3"/>
  <c r="I391" i="3"/>
  <c r="AG391" i="3"/>
  <c r="X391" i="3"/>
  <c r="P391" i="3"/>
  <c r="H391" i="3"/>
  <c r="AN391" i="3"/>
  <c r="G391" i="3"/>
  <c r="AM391" i="3"/>
  <c r="F391" i="3"/>
  <c r="AE391" i="3"/>
  <c r="AD391" i="3"/>
  <c r="W391" i="3"/>
  <c r="V391" i="3"/>
  <c r="O391" i="3"/>
  <c r="N391" i="3"/>
  <c r="AF395" i="3" a="1"/>
  <c r="AF395" i="3" s="1"/>
  <c r="AL395" i="3"/>
  <c r="AC395" i="3"/>
  <c r="U395" i="3"/>
  <c r="M395" i="3"/>
  <c r="E395" i="3"/>
  <c r="AK395" i="3"/>
  <c r="AB395" i="3"/>
  <c r="T395" i="3"/>
  <c r="L395" i="3"/>
  <c r="D395" i="3"/>
  <c r="AJ395" i="3"/>
  <c r="AA395" i="3"/>
  <c r="S395" i="3"/>
  <c r="K395" i="3"/>
  <c r="AI395" i="3"/>
  <c r="Z395" i="3"/>
  <c r="R395" i="3"/>
  <c r="J395" i="3"/>
  <c r="AH395" i="3"/>
  <c r="Y395" i="3"/>
  <c r="Q395" i="3"/>
  <c r="I395" i="3"/>
  <c r="AG395" i="3"/>
  <c r="X395" i="3"/>
  <c r="P395" i="3"/>
  <c r="H395" i="3"/>
  <c r="W395" i="3"/>
  <c r="V395" i="3"/>
  <c r="O395" i="3"/>
  <c r="N395" i="3"/>
  <c r="AN395" i="3"/>
  <c r="G395" i="3"/>
  <c r="F395" i="3"/>
  <c r="AM395" i="3"/>
  <c r="AE395" i="3"/>
  <c r="AD395" i="3"/>
  <c r="AF399" i="3" a="1"/>
  <c r="AF399" i="3" s="1"/>
  <c r="AL399" i="3"/>
  <c r="AC399" i="3"/>
  <c r="U399" i="3"/>
  <c r="M399" i="3"/>
  <c r="E399" i="3"/>
  <c r="AK399" i="3"/>
  <c r="AB399" i="3"/>
  <c r="T399" i="3"/>
  <c r="L399" i="3"/>
  <c r="D399" i="3"/>
  <c r="AJ399" i="3"/>
  <c r="AA399" i="3"/>
  <c r="S399" i="3"/>
  <c r="K399" i="3"/>
  <c r="AI399" i="3"/>
  <c r="Z399" i="3"/>
  <c r="R399" i="3"/>
  <c r="J399" i="3"/>
  <c r="AH399" i="3"/>
  <c r="Y399" i="3"/>
  <c r="Q399" i="3"/>
  <c r="I399" i="3"/>
  <c r="AG399" i="3"/>
  <c r="X399" i="3"/>
  <c r="P399" i="3"/>
  <c r="H399" i="3"/>
  <c r="AN399" i="3"/>
  <c r="G399" i="3"/>
  <c r="AM399" i="3"/>
  <c r="F399" i="3"/>
  <c r="AE399" i="3"/>
  <c r="AD399" i="3"/>
  <c r="W399" i="3"/>
  <c r="V399" i="3"/>
  <c r="O399" i="3"/>
  <c r="N399" i="3"/>
  <c r="AF403" i="3" a="1"/>
  <c r="AF403" i="3" s="1"/>
  <c r="AL403" i="3"/>
  <c r="AC403" i="3"/>
  <c r="U403" i="3"/>
  <c r="M403" i="3"/>
  <c r="E403" i="3"/>
  <c r="AK403" i="3"/>
  <c r="AB403" i="3"/>
  <c r="T403" i="3"/>
  <c r="L403" i="3"/>
  <c r="D403" i="3"/>
  <c r="AJ403" i="3"/>
  <c r="AA403" i="3"/>
  <c r="S403" i="3"/>
  <c r="K403" i="3"/>
  <c r="AI403" i="3"/>
  <c r="Z403" i="3"/>
  <c r="R403" i="3"/>
  <c r="J403" i="3"/>
  <c r="AH403" i="3"/>
  <c r="Y403" i="3"/>
  <c r="Q403" i="3"/>
  <c r="I403" i="3"/>
  <c r="AG403" i="3"/>
  <c r="X403" i="3"/>
  <c r="P403" i="3"/>
  <c r="H403" i="3"/>
  <c r="W403" i="3"/>
  <c r="V403" i="3"/>
  <c r="O403" i="3"/>
  <c r="N403" i="3"/>
  <c r="AN403" i="3"/>
  <c r="G403" i="3"/>
  <c r="AM403" i="3"/>
  <c r="AD403" i="3"/>
  <c r="F403" i="3"/>
  <c r="AE403" i="3"/>
  <c r="AF407" i="3" a="1"/>
  <c r="AF407" i="3" s="1"/>
  <c r="AL407" i="3"/>
  <c r="AC407" i="3"/>
  <c r="U407" i="3"/>
  <c r="M407" i="3"/>
  <c r="E407" i="3"/>
  <c r="AK407" i="3"/>
  <c r="AB407" i="3"/>
  <c r="T407" i="3"/>
  <c r="L407" i="3"/>
  <c r="D407" i="3"/>
  <c r="AJ407" i="3"/>
  <c r="AA407" i="3"/>
  <c r="S407" i="3"/>
  <c r="K407" i="3"/>
  <c r="AI407" i="3"/>
  <c r="Z407" i="3"/>
  <c r="R407" i="3"/>
  <c r="J407" i="3"/>
  <c r="AH407" i="3"/>
  <c r="Y407" i="3"/>
  <c r="Q407" i="3"/>
  <c r="I407" i="3"/>
  <c r="AG407" i="3"/>
  <c r="X407" i="3"/>
  <c r="P407" i="3"/>
  <c r="H407" i="3"/>
  <c r="AN407" i="3"/>
  <c r="G407" i="3"/>
  <c r="AM407" i="3"/>
  <c r="F407" i="3"/>
  <c r="AE407" i="3"/>
  <c r="AD407" i="3"/>
  <c r="W407" i="3"/>
  <c r="N407" i="3"/>
  <c r="O407" i="3"/>
  <c r="V407" i="3"/>
  <c r="AF411" i="3" a="1"/>
  <c r="AF411" i="3" s="1"/>
  <c r="AL411" i="3"/>
  <c r="AC411" i="3"/>
  <c r="U411" i="3"/>
  <c r="M411" i="3"/>
  <c r="E411" i="3"/>
  <c r="AK411" i="3"/>
  <c r="AB411" i="3"/>
  <c r="T411" i="3"/>
  <c r="L411" i="3"/>
  <c r="D411" i="3"/>
  <c r="AJ411" i="3"/>
  <c r="AA411" i="3"/>
  <c r="S411" i="3"/>
  <c r="K411" i="3"/>
  <c r="AI411" i="3"/>
  <c r="Z411" i="3"/>
  <c r="R411" i="3"/>
  <c r="J411" i="3"/>
  <c r="AH411" i="3"/>
  <c r="Y411" i="3"/>
  <c r="Q411" i="3"/>
  <c r="I411" i="3"/>
  <c r="AG411" i="3"/>
  <c r="X411" i="3"/>
  <c r="P411" i="3"/>
  <c r="H411" i="3"/>
  <c r="W411" i="3"/>
  <c r="V411" i="3"/>
  <c r="O411" i="3"/>
  <c r="N411" i="3"/>
  <c r="AN411" i="3"/>
  <c r="G411" i="3"/>
  <c r="AE411" i="3"/>
  <c r="AD411" i="3"/>
  <c r="F411" i="3"/>
  <c r="AM411" i="3"/>
  <c r="AF415" i="3" a="1"/>
  <c r="AF415" i="3" s="1"/>
  <c r="AL415" i="3"/>
  <c r="AC415" i="3"/>
  <c r="U415" i="3"/>
  <c r="M415" i="3"/>
  <c r="E415" i="3"/>
  <c r="AK415" i="3"/>
  <c r="AB415" i="3"/>
  <c r="T415" i="3"/>
  <c r="L415" i="3"/>
  <c r="D415" i="3"/>
  <c r="AJ415" i="3"/>
  <c r="AA415" i="3"/>
  <c r="S415" i="3"/>
  <c r="K415" i="3"/>
  <c r="AI415" i="3"/>
  <c r="Z415" i="3"/>
  <c r="R415" i="3"/>
  <c r="J415" i="3"/>
  <c r="AH415" i="3"/>
  <c r="Y415" i="3"/>
  <c r="Q415" i="3"/>
  <c r="I415" i="3"/>
  <c r="AG415" i="3"/>
  <c r="X415" i="3"/>
  <c r="P415" i="3"/>
  <c r="H415" i="3"/>
  <c r="AN415" i="3"/>
  <c r="G415" i="3"/>
  <c r="AM415" i="3"/>
  <c r="F415" i="3"/>
  <c r="AE415" i="3"/>
  <c r="AD415" i="3"/>
  <c r="W415" i="3"/>
  <c r="O415" i="3"/>
  <c r="N415" i="3"/>
  <c r="V415" i="3"/>
  <c r="AF419" i="3" a="1"/>
  <c r="AF419" i="3" s="1"/>
  <c r="AL419" i="3"/>
  <c r="AC419" i="3"/>
  <c r="U419" i="3"/>
  <c r="M419" i="3"/>
  <c r="E419" i="3"/>
  <c r="AK419" i="3"/>
  <c r="AB419" i="3"/>
  <c r="T419" i="3"/>
  <c r="L419" i="3"/>
  <c r="D419" i="3"/>
  <c r="AJ419" i="3"/>
  <c r="AA419" i="3"/>
  <c r="S419" i="3"/>
  <c r="K419" i="3"/>
  <c r="AI419" i="3"/>
  <c r="Z419" i="3"/>
  <c r="R419" i="3"/>
  <c r="J419" i="3"/>
  <c r="AH419" i="3"/>
  <c r="Y419" i="3"/>
  <c r="Q419" i="3"/>
  <c r="I419" i="3"/>
  <c r="AG419" i="3"/>
  <c r="X419" i="3"/>
  <c r="P419" i="3"/>
  <c r="H419" i="3"/>
  <c r="W419" i="3"/>
  <c r="V419" i="3"/>
  <c r="O419" i="3"/>
  <c r="N419" i="3"/>
  <c r="AN419" i="3"/>
  <c r="G419" i="3"/>
  <c r="AM419" i="3"/>
  <c r="AE419" i="3"/>
  <c r="AD419" i="3"/>
  <c r="F419" i="3"/>
  <c r="AF423" i="3" a="1"/>
  <c r="AF423" i="3" s="1"/>
  <c r="AL423" i="3"/>
  <c r="AC423" i="3"/>
  <c r="U423" i="3"/>
  <c r="M423" i="3"/>
  <c r="E423" i="3"/>
  <c r="AK423" i="3"/>
  <c r="AB423" i="3"/>
  <c r="T423" i="3"/>
  <c r="L423" i="3"/>
  <c r="D423" i="3"/>
  <c r="AJ423" i="3"/>
  <c r="AA423" i="3"/>
  <c r="S423" i="3"/>
  <c r="K423" i="3"/>
  <c r="AI423" i="3"/>
  <c r="Z423" i="3"/>
  <c r="R423" i="3"/>
  <c r="J423" i="3"/>
  <c r="AH423" i="3"/>
  <c r="Y423" i="3"/>
  <c r="Q423" i="3"/>
  <c r="I423" i="3"/>
  <c r="AG423" i="3"/>
  <c r="X423" i="3"/>
  <c r="P423" i="3"/>
  <c r="H423" i="3"/>
  <c r="AN423" i="3"/>
  <c r="G423" i="3"/>
  <c r="AM423" i="3"/>
  <c r="F423" i="3"/>
  <c r="AE423" i="3"/>
  <c r="AD423" i="3"/>
  <c r="W423" i="3"/>
  <c r="V423" i="3"/>
  <c r="O423" i="3"/>
  <c r="N423" i="3"/>
  <c r="AF427" i="3" a="1"/>
  <c r="AF427" i="3" s="1"/>
  <c r="AL427" i="3"/>
  <c r="AC427" i="3"/>
  <c r="U427" i="3"/>
  <c r="M427" i="3"/>
  <c r="E427" i="3"/>
  <c r="AK427" i="3"/>
  <c r="AB427" i="3"/>
  <c r="T427" i="3"/>
  <c r="L427" i="3"/>
  <c r="D427" i="3"/>
  <c r="AJ427" i="3"/>
  <c r="AA427" i="3"/>
  <c r="S427" i="3"/>
  <c r="K427" i="3"/>
  <c r="AI427" i="3"/>
  <c r="Z427" i="3"/>
  <c r="R427" i="3"/>
  <c r="J427" i="3"/>
  <c r="AH427" i="3"/>
  <c r="Y427" i="3"/>
  <c r="Q427" i="3"/>
  <c r="I427" i="3"/>
  <c r="AG427" i="3"/>
  <c r="X427" i="3"/>
  <c r="P427" i="3"/>
  <c r="H427" i="3"/>
  <c r="W427" i="3"/>
  <c r="V427" i="3"/>
  <c r="O427" i="3"/>
  <c r="N427" i="3"/>
  <c r="AN427" i="3"/>
  <c r="G427" i="3"/>
  <c r="AM427" i="3"/>
  <c r="AE427" i="3"/>
  <c r="F427" i="3"/>
  <c r="AD427" i="3"/>
  <c r="AF431" i="3" a="1"/>
  <c r="AF431" i="3" s="1"/>
  <c r="AI431" i="3"/>
  <c r="Z431" i="3"/>
  <c r="R431" i="3"/>
  <c r="AH431" i="3"/>
  <c r="Y431" i="3"/>
  <c r="Q431" i="3"/>
  <c r="AG431" i="3"/>
  <c r="X431" i="3"/>
  <c r="P431" i="3"/>
  <c r="AM431" i="3"/>
  <c r="AD431" i="3"/>
  <c r="V431" i="3"/>
  <c r="N431" i="3"/>
  <c r="AL431" i="3"/>
  <c r="AC431" i="3"/>
  <c r="U431" i="3"/>
  <c r="M431" i="3"/>
  <c r="AK431" i="3"/>
  <c r="O431" i="3"/>
  <c r="E431" i="3"/>
  <c r="AJ431" i="3"/>
  <c r="L431" i="3"/>
  <c r="D431" i="3"/>
  <c r="AE431" i="3"/>
  <c r="K431" i="3"/>
  <c r="AB431" i="3"/>
  <c r="J431" i="3"/>
  <c r="AA431" i="3"/>
  <c r="I431" i="3"/>
  <c r="W431" i="3"/>
  <c r="H431" i="3"/>
  <c r="G431" i="3"/>
  <c r="F431" i="3"/>
  <c r="AN431" i="3"/>
  <c r="T431" i="3"/>
  <c r="S431" i="3"/>
  <c r="AF435" i="3" a="1"/>
  <c r="AF435" i="3" s="1"/>
  <c r="AI435" i="3"/>
  <c r="Z435" i="3"/>
  <c r="R435" i="3"/>
  <c r="J435" i="3"/>
  <c r="AH435" i="3"/>
  <c r="Y435" i="3"/>
  <c r="Q435" i="3"/>
  <c r="I435" i="3"/>
  <c r="AG435" i="3"/>
  <c r="X435" i="3"/>
  <c r="P435" i="3"/>
  <c r="H435" i="3"/>
  <c r="AM435" i="3"/>
  <c r="AD435" i="3"/>
  <c r="V435" i="3"/>
  <c r="N435" i="3"/>
  <c r="F435" i="3"/>
  <c r="AL435" i="3"/>
  <c r="AC435" i="3"/>
  <c r="U435" i="3"/>
  <c r="M435" i="3"/>
  <c r="E435" i="3"/>
  <c r="T435" i="3"/>
  <c r="AN435" i="3"/>
  <c r="S435" i="3"/>
  <c r="AK435" i="3"/>
  <c r="O435" i="3"/>
  <c r="AJ435" i="3"/>
  <c r="L435" i="3"/>
  <c r="AE435" i="3"/>
  <c r="K435" i="3"/>
  <c r="AB435" i="3"/>
  <c r="G435" i="3"/>
  <c r="AA435" i="3"/>
  <c r="W435" i="3"/>
  <c r="D435" i="3"/>
  <c r="AF439" i="3" a="1"/>
  <c r="AF439" i="3" s="1"/>
  <c r="AI439" i="3"/>
  <c r="Z439" i="3"/>
  <c r="R439" i="3"/>
  <c r="J439" i="3"/>
  <c r="AH439" i="3"/>
  <c r="Y439" i="3"/>
  <c r="Q439" i="3"/>
  <c r="I439" i="3"/>
  <c r="AG439" i="3"/>
  <c r="X439" i="3"/>
  <c r="P439" i="3"/>
  <c r="H439" i="3"/>
  <c r="AM439" i="3"/>
  <c r="AD439" i="3"/>
  <c r="V439" i="3"/>
  <c r="N439" i="3"/>
  <c r="F439" i="3"/>
  <c r="AL439" i="3"/>
  <c r="AC439" i="3"/>
  <c r="U439" i="3"/>
  <c r="M439" i="3"/>
  <c r="E439" i="3"/>
  <c r="AA439" i="3"/>
  <c r="D439" i="3"/>
  <c r="W439" i="3"/>
  <c r="T439" i="3"/>
  <c r="AN439" i="3"/>
  <c r="S439" i="3"/>
  <c r="AK439" i="3"/>
  <c r="O439" i="3"/>
  <c r="AJ439" i="3"/>
  <c r="L439" i="3"/>
  <c r="AE439" i="3"/>
  <c r="AB439" i="3"/>
  <c r="K439" i="3"/>
  <c r="G439" i="3"/>
  <c r="AF443" i="3" a="1"/>
  <c r="AF443" i="3" s="1"/>
  <c r="AI443" i="3"/>
  <c r="Z443" i="3"/>
  <c r="R443" i="3"/>
  <c r="J443" i="3"/>
  <c r="AH443" i="3"/>
  <c r="Y443" i="3"/>
  <c r="Q443" i="3"/>
  <c r="I443" i="3"/>
  <c r="AG443" i="3"/>
  <c r="X443" i="3"/>
  <c r="P443" i="3"/>
  <c r="H443" i="3"/>
  <c r="AM443" i="3"/>
  <c r="AD443" i="3"/>
  <c r="V443" i="3"/>
  <c r="N443" i="3"/>
  <c r="F443" i="3"/>
  <c r="AL443" i="3"/>
  <c r="AC443" i="3"/>
  <c r="U443" i="3"/>
  <c r="M443" i="3"/>
  <c r="E443" i="3"/>
  <c r="AE443" i="3"/>
  <c r="K443" i="3"/>
  <c r="AB443" i="3"/>
  <c r="G443" i="3"/>
  <c r="AA443" i="3"/>
  <c r="D443" i="3"/>
  <c r="W443" i="3"/>
  <c r="T443" i="3"/>
  <c r="AN443" i="3"/>
  <c r="S443" i="3"/>
  <c r="AK443" i="3"/>
  <c r="L443" i="3"/>
  <c r="AJ443" i="3"/>
  <c r="O443" i="3"/>
  <c r="AF447" i="3" a="1"/>
  <c r="AF447" i="3" s="1"/>
  <c r="AI447" i="3"/>
  <c r="Z447" i="3"/>
  <c r="R447" i="3"/>
  <c r="J447" i="3"/>
  <c r="AH447" i="3"/>
  <c r="Y447" i="3"/>
  <c r="Q447" i="3"/>
  <c r="I447" i="3"/>
  <c r="AG447" i="3"/>
  <c r="X447" i="3"/>
  <c r="P447" i="3"/>
  <c r="H447" i="3"/>
  <c r="AM447" i="3"/>
  <c r="AD447" i="3"/>
  <c r="V447" i="3"/>
  <c r="N447" i="3"/>
  <c r="F447" i="3"/>
  <c r="AL447" i="3"/>
  <c r="AC447" i="3"/>
  <c r="U447" i="3"/>
  <c r="M447" i="3"/>
  <c r="E447" i="3"/>
  <c r="AK447" i="3"/>
  <c r="O447" i="3"/>
  <c r="AJ447" i="3"/>
  <c r="L447" i="3"/>
  <c r="AE447" i="3"/>
  <c r="K447" i="3"/>
  <c r="AB447" i="3"/>
  <c r="G447" i="3"/>
  <c r="AA447" i="3"/>
  <c r="D447" i="3"/>
  <c r="W447" i="3"/>
  <c r="T447" i="3"/>
  <c r="S447" i="3"/>
  <c r="AN447" i="3"/>
  <c r="AF451" i="3" a="1"/>
  <c r="AF451" i="3" s="1"/>
  <c r="AI451" i="3"/>
  <c r="Z451" i="3"/>
  <c r="R451" i="3"/>
  <c r="J451" i="3"/>
  <c r="AH451" i="3"/>
  <c r="Y451" i="3"/>
  <c r="Q451" i="3"/>
  <c r="I451" i="3"/>
  <c r="AG451" i="3"/>
  <c r="X451" i="3"/>
  <c r="P451" i="3"/>
  <c r="H451" i="3"/>
  <c r="AN451" i="3"/>
  <c r="AE451" i="3"/>
  <c r="W451" i="3"/>
  <c r="O451" i="3"/>
  <c r="G451" i="3"/>
  <c r="AM451" i="3"/>
  <c r="AD451" i="3"/>
  <c r="V451" i="3"/>
  <c r="N451" i="3"/>
  <c r="F451" i="3"/>
  <c r="AL451" i="3"/>
  <c r="AC451" i="3"/>
  <c r="U451" i="3"/>
  <c r="M451" i="3"/>
  <c r="E451" i="3"/>
  <c r="AB451" i="3"/>
  <c r="AA451" i="3"/>
  <c r="T451" i="3"/>
  <c r="S451" i="3"/>
  <c r="L451" i="3"/>
  <c r="K451" i="3"/>
  <c r="AK451" i="3"/>
  <c r="AJ451" i="3"/>
  <c r="D451" i="3"/>
  <c r="AF455" i="3" a="1"/>
  <c r="AF455" i="3" s="1"/>
  <c r="AI455" i="3"/>
  <c r="Z455" i="3"/>
  <c r="R455" i="3"/>
  <c r="J455" i="3"/>
  <c r="AH455" i="3"/>
  <c r="Y455" i="3"/>
  <c r="Q455" i="3"/>
  <c r="I455" i="3"/>
  <c r="AG455" i="3"/>
  <c r="X455" i="3"/>
  <c r="P455" i="3"/>
  <c r="H455" i="3"/>
  <c r="AN455" i="3"/>
  <c r="AE455" i="3"/>
  <c r="W455" i="3"/>
  <c r="O455" i="3"/>
  <c r="G455" i="3"/>
  <c r="AM455" i="3"/>
  <c r="AD455" i="3"/>
  <c r="V455" i="3"/>
  <c r="N455" i="3"/>
  <c r="F455" i="3"/>
  <c r="AL455" i="3"/>
  <c r="AC455" i="3"/>
  <c r="U455" i="3"/>
  <c r="M455" i="3"/>
  <c r="E455" i="3"/>
  <c r="L455" i="3"/>
  <c r="K455" i="3"/>
  <c r="AK455" i="3"/>
  <c r="D455" i="3"/>
  <c r="AJ455" i="3"/>
  <c r="AB455" i="3"/>
  <c r="AA455" i="3"/>
  <c r="T455" i="3"/>
  <c r="S455" i="3"/>
  <c r="AF459" i="3" a="1"/>
  <c r="AF459" i="3" s="1"/>
  <c r="AI459" i="3"/>
  <c r="Z459" i="3"/>
  <c r="R459" i="3"/>
  <c r="J459" i="3"/>
  <c r="AH459" i="3"/>
  <c r="Y459" i="3"/>
  <c r="Q459" i="3"/>
  <c r="I459" i="3"/>
  <c r="AG459" i="3"/>
  <c r="X459" i="3"/>
  <c r="P459" i="3"/>
  <c r="H459" i="3"/>
  <c r="AN459" i="3"/>
  <c r="AE459" i="3"/>
  <c r="W459" i="3"/>
  <c r="O459" i="3"/>
  <c r="G459" i="3"/>
  <c r="AM459" i="3"/>
  <c r="AD459" i="3"/>
  <c r="V459" i="3"/>
  <c r="N459" i="3"/>
  <c r="F459" i="3"/>
  <c r="AL459" i="3"/>
  <c r="AC459" i="3"/>
  <c r="U459" i="3"/>
  <c r="M459" i="3"/>
  <c r="E459" i="3"/>
  <c r="AB459" i="3"/>
  <c r="AA459" i="3"/>
  <c r="T459" i="3"/>
  <c r="S459" i="3"/>
  <c r="L459" i="3"/>
  <c r="K459" i="3"/>
  <c r="AK459" i="3"/>
  <c r="AJ459" i="3"/>
  <c r="D459" i="3"/>
  <c r="AF463" i="3" a="1"/>
  <c r="AF463" i="3" s="1"/>
  <c r="AI463" i="3"/>
  <c r="Z463" i="3"/>
  <c r="R463" i="3"/>
  <c r="J463" i="3"/>
  <c r="AH463" i="3"/>
  <c r="Y463" i="3"/>
  <c r="Q463" i="3"/>
  <c r="I463" i="3"/>
  <c r="AG463" i="3"/>
  <c r="X463" i="3"/>
  <c r="P463" i="3"/>
  <c r="H463" i="3"/>
  <c r="AN463" i="3"/>
  <c r="AE463" i="3"/>
  <c r="W463" i="3"/>
  <c r="O463" i="3"/>
  <c r="G463" i="3"/>
  <c r="AM463" i="3"/>
  <c r="AD463" i="3"/>
  <c r="V463" i="3"/>
  <c r="N463" i="3"/>
  <c r="F463" i="3"/>
  <c r="AL463" i="3"/>
  <c r="AC463" i="3"/>
  <c r="U463" i="3"/>
  <c r="M463" i="3"/>
  <c r="E463" i="3"/>
  <c r="L463" i="3"/>
  <c r="K463" i="3"/>
  <c r="AK463" i="3"/>
  <c r="D463" i="3"/>
  <c r="AJ463" i="3"/>
  <c r="AB463" i="3"/>
  <c r="AA463" i="3"/>
  <c r="T463" i="3"/>
  <c r="S463" i="3"/>
  <c r="AF467" i="3" a="1"/>
  <c r="AF467" i="3" s="1"/>
  <c r="AI467" i="3"/>
  <c r="Z467" i="3"/>
  <c r="R467" i="3"/>
  <c r="J467" i="3"/>
  <c r="AH467" i="3"/>
  <c r="Y467" i="3"/>
  <c r="Q467" i="3"/>
  <c r="I467" i="3"/>
  <c r="AG467" i="3"/>
  <c r="X467" i="3"/>
  <c r="P467" i="3"/>
  <c r="H467" i="3"/>
  <c r="AN467" i="3"/>
  <c r="AE467" i="3"/>
  <c r="W467" i="3"/>
  <c r="O467" i="3"/>
  <c r="G467" i="3"/>
  <c r="AM467" i="3"/>
  <c r="AD467" i="3"/>
  <c r="V467" i="3"/>
  <c r="N467" i="3"/>
  <c r="F467" i="3"/>
  <c r="AL467" i="3"/>
  <c r="AC467" i="3"/>
  <c r="U467" i="3"/>
  <c r="M467" i="3"/>
  <c r="E467" i="3"/>
  <c r="AB467" i="3"/>
  <c r="AA467" i="3"/>
  <c r="T467" i="3"/>
  <c r="S467" i="3"/>
  <c r="L467" i="3"/>
  <c r="K467" i="3"/>
  <c r="D467" i="3"/>
  <c r="AJ467" i="3"/>
  <c r="AK467" i="3"/>
  <c r="AF471" i="3" a="1"/>
  <c r="AF471" i="3" s="1"/>
  <c r="AI471" i="3"/>
  <c r="Z471" i="3"/>
  <c r="R471" i="3"/>
  <c r="J471" i="3"/>
  <c r="AH471" i="3"/>
  <c r="Y471" i="3"/>
  <c r="Q471" i="3"/>
  <c r="I471" i="3"/>
  <c r="AG471" i="3"/>
  <c r="X471" i="3"/>
  <c r="P471" i="3"/>
  <c r="H471" i="3"/>
  <c r="AN471" i="3"/>
  <c r="AE471" i="3"/>
  <c r="W471" i="3"/>
  <c r="O471" i="3"/>
  <c r="G471" i="3"/>
  <c r="AM471" i="3"/>
  <c r="AD471" i="3"/>
  <c r="V471" i="3"/>
  <c r="N471" i="3"/>
  <c r="F471" i="3"/>
  <c r="AL471" i="3"/>
  <c r="AC471" i="3"/>
  <c r="U471" i="3"/>
  <c r="M471" i="3"/>
  <c r="E471" i="3"/>
  <c r="L471" i="3"/>
  <c r="K471" i="3"/>
  <c r="AK471" i="3"/>
  <c r="D471" i="3"/>
  <c r="AJ471" i="3"/>
  <c r="AB471" i="3"/>
  <c r="AA471" i="3"/>
  <c r="T471" i="3"/>
  <c r="S471" i="3"/>
  <c r="AF475" i="3" a="1"/>
  <c r="AF475" i="3" s="1"/>
  <c r="AI475" i="3"/>
  <c r="Z475" i="3"/>
  <c r="R475" i="3"/>
  <c r="J475" i="3"/>
  <c r="AH475" i="3"/>
  <c r="Y475" i="3"/>
  <c r="Q475" i="3"/>
  <c r="I475" i="3"/>
  <c r="AG475" i="3"/>
  <c r="X475" i="3"/>
  <c r="P475" i="3"/>
  <c r="H475" i="3"/>
  <c r="AN475" i="3"/>
  <c r="AE475" i="3"/>
  <c r="W475" i="3"/>
  <c r="O475" i="3"/>
  <c r="G475" i="3"/>
  <c r="AM475" i="3"/>
  <c r="AD475" i="3"/>
  <c r="V475" i="3"/>
  <c r="N475" i="3"/>
  <c r="F475" i="3"/>
  <c r="AL475" i="3"/>
  <c r="AC475" i="3"/>
  <c r="U475" i="3"/>
  <c r="M475" i="3"/>
  <c r="E475" i="3"/>
  <c r="AB475" i="3"/>
  <c r="AA475" i="3"/>
  <c r="T475" i="3"/>
  <c r="S475" i="3"/>
  <c r="L475" i="3"/>
  <c r="K475" i="3"/>
  <c r="AK475" i="3"/>
  <c r="AJ475" i="3"/>
  <c r="D475" i="3"/>
  <c r="AF479" i="3" a="1"/>
  <c r="AF479" i="3" s="1"/>
  <c r="AI479" i="3"/>
  <c r="Z479" i="3"/>
  <c r="R479" i="3"/>
  <c r="J479" i="3"/>
  <c r="AH479" i="3"/>
  <c r="Y479" i="3"/>
  <c r="Q479" i="3"/>
  <c r="I479" i="3"/>
  <c r="AG479" i="3"/>
  <c r="X479" i="3"/>
  <c r="P479" i="3"/>
  <c r="H479" i="3"/>
  <c r="AN479" i="3"/>
  <c r="AE479" i="3"/>
  <c r="W479" i="3"/>
  <c r="O479" i="3"/>
  <c r="G479" i="3"/>
  <c r="AM479" i="3"/>
  <c r="AD479" i="3"/>
  <c r="V479" i="3"/>
  <c r="N479" i="3"/>
  <c r="F479" i="3"/>
  <c r="AL479" i="3"/>
  <c r="AC479" i="3"/>
  <c r="U479" i="3"/>
  <c r="M479" i="3"/>
  <c r="E479" i="3"/>
  <c r="L479" i="3"/>
  <c r="K479" i="3"/>
  <c r="AK479" i="3"/>
  <c r="D479" i="3"/>
  <c r="AJ479" i="3"/>
  <c r="AB479" i="3"/>
  <c r="AA479" i="3"/>
  <c r="T479" i="3"/>
  <c r="S479" i="3"/>
  <c r="AF483" i="3" a="1"/>
  <c r="AF483" i="3" s="1"/>
  <c r="AI483" i="3"/>
  <c r="Z483" i="3"/>
  <c r="R483" i="3"/>
  <c r="J483" i="3"/>
  <c r="AH483" i="3"/>
  <c r="Y483" i="3"/>
  <c r="Q483" i="3"/>
  <c r="I483" i="3"/>
  <c r="AG483" i="3"/>
  <c r="X483" i="3"/>
  <c r="P483" i="3"/>
  <c r="H483" i="3"/>
  <c r="AN483" i="3"/>
  <c r="AE483" i="3"/>
  <c r="W483" i="3"/>
  <c r="O483" i="3"/>
  <c r="G483" i="3"/>
  <c r="AM483" i="3"/>
  <c r="AD483" i="3"/>
  <c r="V483" i="3"/>
  <c r="N483" i="3"/>
  <c r="F483" i="3"/>
  <c r="AL483" i="3"/>
  <c r="AC483" i="3"/>
  <c r="U483" i="3"/>
  <c r="M483" i="3"/>
  <c r="E483" i="3"/>
  <c r="AB483" i="3"/>
  <c r="AA483" i="3"/>
  <c r="T483" i="3"/>
  <c r="S483" i="3"/>
  <c r="L483" i="3"/>
  <c r="K483" i="3"/>
  <c r="AK483" i="3"/>
  <c r="AJ483" i="3"/>
  <c r="D483" i="3"/>
  <c r="AF487" i="3" a="1"/>
  <c r="AF487" i="3" s="1"/>
  <c r="AI487" i="3"/>
  <c r="Z487" i="3"/>
  <c r="R487" i="3"/>
  <c r="J487" i="3"/>
  <c r="AH487" i="3"/>
  <c r="Y487" i="3"/>
  <c r="Q487" i="3"/>
  <c r="I487" i="3"/>
  <c r="AG487" i="3"/>
  <c r="X487" i="3"/>
  <c r="P487" i="3"/>
  <c r="H487" i="3"/>
  <c r="AN487" i="3"/>
  <c r="AE487" i="3"/>
  <c r="W487" i="3"/>
  <c r="O487" i="3"/>
  <c r="G487" i="3"/>
  <c r="AM487" i="3"/>
  <c r="AD487" i="3"/>
  <c r="V487" i="3"/>
  <c r="N487" i="3"/>
  <c r="F487" i="3"/>
  <c r="AL487" i="3"/>
  <c r="AC487" i="3"/>
  <c r="U487" i="3"/>
  <c r="M487" i="3"/>
  <c r="E487" i="3"/>
  <c r="L487" i="3"/>
  <c r="K487" i="3"/>
  <c r="AK487" i="3"/>
  <c r="D487" i="3"/>
  <c r="AJ487" i="3"/>
  <c r="AB487" i="3"/>
  <c r="AA487" i="3"/>
  <c r="T487" i="3"/>
  <c r="S487" i="3"/>
  <c r="AF491" i="3" a="1"/>
  <c r="AF491" i="3" s="1"/>
  <c r="AI491" i="3"/>
  <c r="Z491" i="3"/>
  <c r="R491" i="3"/>
  <c r="J491" i="3"/>
  <c r="AH491" i="3"/>
  <c r="Y491" i="3"/>
  <c r="Q491" i="3"/>
  <c r="I491" i="3"/>
  <c r="AG491" i="3"/>
  <c r="X491" i="3"/>
  <c r="P491" i="3"/>
  <c r="H491" i="3"/>
  <c r="AN491" i="3"/>
  <c r="AE491" i="3"/>
  <c r="W491" i="3"/>
  <c r="O491" i="3"/>
  <c r="G491" i="3"/>
  <c r="AM491" i="3"/>
  <c r="AD491" i="3"/>
  <c r="V491" i="3"/>
  <c r="N491" i="3"/>
  <c r="F491" i="3"/>
  <c r="AL491" i="3"/>
  <c r="AC491" i="3"/>
  <c r="U491" i="3"/>
  <c r="M491" i="3"/>
  <c r="E491" i="3"/>
  <c r="AB491" i="3"/>
  <c r="AA491" i="3"/>
  <c r="T491" i="3"/>
  <c r="S491" i="3"/>
  <c r="L491" i="3"/>
  <c r="K491" i="3"/>
  <c r="AK491" i="3"/>
  <c r="AJ491" i="3"/>
  <c r="D491" i="3"/>
  <c r="AF495" i="3" a="1"/>
  <c r="AF495" i="3" s="1"/>
  <c r="AI495" i="3"/>
  <c r="Z495" i="3"/>
  <c r="R495" i="3"/>
  <c r="J495" i="3"/>
  <c r="AH495" i="3"/>
  <c r="Y495" i="3"/>
  <c r="Q495" i="3"/>
  <c r="I495" i="3"/>
  <c r="AG495" i="3"/>
  <c r="X495" i="3"/>
  <c r="P495" i="3"/>
  <c r="H495" i="3"/>
  <c r="AM495" i="3"/>
  <c r="AD495" i="3"/>
  <c r="V495" i="3"/>
  <c r="N495" i="3"/>
  <c r="F495" i="3"/>
  <c r="AL495" i="3"/>
  <c r="AC495" i="3"/>
  <c r="U495" i="3"/>
  <c r="M495" i="3"/>
  <c r="E495" i="3"/>
  <c r="AN495" i="3"/>
  <c r="S495" i="3"/>
  <c r="AK495" i="3"/>
  <c r="O495" i="3"/>
  <c r="AJ495" i="3"/>
  <c r="L495" i="3"/>
  <c r="AE495" i="3"/>
  <c r="K495" i="3"/>
  <c r="AB495" i="3"/>
  <c r="G495" i="3"/>
  <c r="AA495" i="3"/>
  <c r="D495" i="3"/>
  <c r="W495" i="3"/>
  <c r="T495" i="3"/>
  <c r="AF499" i="3" a="1"/>
  <c r="AF499" i="3" s="1"/>
  <c r="AI499" i="3"/>
  <c r="Z499" i="3"/>
  <c r="R499" i="3"/>
  <c r="J499" i="3"/>
  <c r="AH499" i="3"/>
  <c r="Y499" i="3"/>
  <c r="Q499" i="3"/>
  <c r="I499" i="3"/>
  <c r="AG499" i="3"/>
  <c r="X499" i="3"/>
  <c r="P499" i="3"/>
  <c r="H499" i="3"/>
  <c r="AM499" i="3"/>
  <c r="AD499" i="3"/>
  <c r="V499" i="3"/>
  <c r="N499" i="3"/>
  <c r="F499" i="3"/>
  <c r="AL499" i="3"/>
  <c r="AC499" i="3"/>
  <c r="U499" i="3"/>
  <c r="M499" i="3"/>
  <c r="E499" i="3"/>
  <c r="W499" i="3"/>
  <c r="T499" i="3"/>
  <c r="AN499" i="3"/>
  <c r="S499" i="3"/>
  <c r="AK499" i="3"/>
  <c r="O499" i="3"/>
  <c r="AJ499" i="3"/>
  <c r="L499" i="3"/>
  <c r="AE499" i="3"/>
  <c r="K499" i="3"/>
  <c r="AB499" i="3"/>
  <c r="AA499" i="3"/>
  <c r="G499" i="3"/>
  <c r="D499" i="3"/>
  <c r="AF503" i="3" a="1"/>
  <c r="AF503" i="3" s="1"/>
  <c r="AI503" i="3"/>
  <c r="Z503" i="3"/>
  <c r="R503" i="3"/>
  <c r="J503" i="3"/>
  <c r="AH503" i="3"/>
  <c r="Y503" i="3"/>
  <c r="Q503" i="3"/>
  <c r="I503" i="3"/>
  <c r="AG503" i="3"/>
  <c r="X503" i="3"/>
  <c r="P503" i="3"/>
  <c r="H503" i="3"/>
  <c r="AM503" i="3"/>
  <c r="AD503" i="3"/>
  <c r="V503" i="3"/>
  <c r="N503" i="3"/>
  <c r="F503" i="3"/>
  <c r="AL503" i="3"/>
  <c r="AC503" i="3"/>
  <c r="U503" i="3"/>
  <c r="M503" i="3"/>
  <c r="E503" i="3"/>
  <c r="AB503" i="3"/>
  <c r="G503" i="3"/>
  <c r="AA503" i="3"/>
  <c r="D503" i="3"/>
  <c r="W503" i="3"/>
  <c r="T503" i="3"/>
  <c r="AN503" i="3"/>
  <c r="S503" i="3"/>
  <c r="AK503" i="3"/>
  <c r="O503" i="3"/>
  <c r="AJ503" i="3"/>
  <c r="AE503" i="3"/>
  <c r="L503" i="3"/>
  <c r="K503" i="3"/>
  <c r="AF507" i="3" a="1"/>
  <c r="AF507" i="3" s="1"/>
  <c r="AI507" i="3"/>
  <c r="Z507" i="3"/>
  <c r="R507" i="3"/>
  <c r="J507" i="3"/>
  <c r="AH507" i="3"/>
  <c r="Y507" i="3"/>
  <c r="Q507" i="3"/>
  <c r="I507" i="3"/>
  <c r="AG507" i="3"/>
  <c r="X507" i="3"/>
  <c r="P507" i="3"/>
  <c r="H507" i="3"/>
  <c r="AM507" i="3"/>
  <c r="AD507" i="3"/>
  <c r="V507" i="3"/>
  <c r="N507" i="3"/>
  <c r="F507" i="3"/>
  <c r="AL507" i="3"/>
  <c r="AC507" i="3"/>
  <c r="U507" i="3"/>
  <c r="M507" i="3"/>
  <c r="E507" i="3"/>
  <c r="AJ507" i="3"/>
  <c r="L507" i="3"/>
  <c r="AE507" i="3"/>
  <c r="K507" i="3"/>
  <c r="AB507" i="3"/>
  <c r="G507" i="3"/>
  <c r="AA507" i="3"/>
  <c r="D507" i="3"/>
  <c r="W507" i="3"/>
  <c r="T507" i="3"/>
  <c r="AN507" i="3"/>
  <c r="AK507" i="3"/>
  <c r="S507" i="3"/>
  <c r="O507" i="3"/>
  <c r="AF511" i="3" a="1"/>
  <c r="AF511" i="3" s="1"/>
  <c r="AI511" i="3"/>
  <c r="Z511" i="3"/>
  <c r="R511" i="3"/>
  <c r="J511" i="3"/>
  <c r="AH511" i="3"/>
  <c r="Y511" i="3"/>
  <c r="Q511" i="3"/>
  <c r="I511" i="3"/>
  <c r="AG511" i="3"/>
  <c r="X511" i="3"/>
  <c r="P511" i="3"/>
  <c r="H511" i="3"/>
  <c r="AM511" i="3"/>
  <c r="AD511" i="3"/>
  <c r="V511" i="3"/>
  <c r="N511" i="3"/>
  <c r="F511" i="3"/>
  <c r="AL511" i="3"/>
  <c r="AC511" i="3"/>
  <c r="U511" i="3"/>
  <c r="M511" i="3"/>
  <c r="E511" i="3"/>
  <c r="AN511" i="3"/>
  <c r="S511" i="3"/>
  <c r="AK511" i="3"/>
  <c r="O511" i="3"/>
  <c r="AJ511" i="3"/>
  <c r="L511" i="3"/>
  <c r="AE511" i="3"/>
  <c r="K511" i="3"/>
  <c r="AB511" i="3"/>
  <c r="G511" i="3"/>
  <c r="AA511" i="3"/>
  <c r="D511" i="3"/>
  <c r="W511" i="3"/>
  <c r="T511" i="3"/>
  <c r="AF515" i="3" a="1"/>
  <c r="AF515" i="3" s="1"/>
  <c r="AI515" i="3"/>
  <c r="Z515" i="3"/>
  <c r="R515" i="3"/>
  <c r="J515" i="3"/>
  <c r="AH515" i="3"/>
  <c r="Y515" i="3"/>
  <c r="Q515" i="3"/>
  <c r="I515" i="3"/>
  <c r="AG515" i="3"/>
  <c r="X515" i="3"/>
  <c r="P515" i="3"/>
  <c r="H515" i="3"/>
  <c r="AM515" i="3"/>
  <c r="AD515" i="3"/>
  <c r="V515" i="3"/>
  <c r="N515" i="3"/>
  <c r="F515" i="3"/>
  <c r="AL515" i="3"/>
  <c r="AC515" i="3"/>
  <c r="U515" i="3"/>
  <c r="M515" i="3"/>
  <c r="E515" i="3"/>
  <c r="W515" i="3"/>
  <c r="T515" i="3"/>
  <c r="AN515" i="3"/>
  <c r="S515" i="3"/>
  <c r="AK515" i="3"/>
  <c r="O515" i="3"/>
  <c r="AJ515" i="3"/>
  <c r="L515" i="3"/>
  <c r="AE515" i="3"/>
  <c r="K515" i="3"/>
  <c r="AB515" i="3"/>
  <c r="AA515" i="3"/>
  <c r="G515" i="3"/>
  <c r="D515" i="3"/>
  <c r="AF519" i="3" a="1"/>
  <c r="AF519" i="3" s="1"/>
  <c r="AI519" i="3"/>
  <c r="Z519" i="3"/>
  <c r="R519" i="3"/>
  <c r="J519" i="3"/>
  <c r="AH519" i="3"/>
  <c r="Y519" i="3"/>
  <c r="Q519" i="3"/>
  <c r="I519" i="3"/>
  <c r="AG519" i="3"/>
  <c r="X519" i="3"/>
  <c r="P519" i="3"/>
  <c r="H519" i="3"/>
  <c r="AM519" i="3"/>
  <c r="AD519" i="3"/>
  <c r="V519" i="3"/>
  <c r="N519" i="3"/>
  <c r="F519" i="3"/>
  <c r="AL519" i="3"/>
  <c r="AC519" i="3"/>
  <c r="U519" i="3"/>
  <c r="M519" i="3"/>
  <c r="E519" i="3"/>
  <c r="AB519" i="3"/>
  <c r="G519" i="3"/>
  <c r="AA519" i="3"/>
  <c r="D519" i="3"/>
  <c r="W519" i="3"/>
  <c r="T519" i="3"/>
  <c r="AN519" i="3"/>
  <c r="S519" i="3"/>
  <c r="AK519" i="3"/>
  <c r="O519" i="3"/>
  <c r="AJ519" i="3"/>
  <c r="AE519" i="3"/>
  <c r="L519" i="3"/>
  <c r="K519" i="3"/>
  <c r="AF523" i="3" a="1"/>
  <c r="AF523" i="3" s="1"/>
  <c r="AM523" i="3"/>
  <c r="AD523" i="3"/>
  <c r="V523" i="3"/>
  <c r="N523" i="3"/>
  <c r="AL523" i="3"/>
  <c r="AC523" i="3"/>
  <c r="U523" i="3"/>
  <c r="M523" i="3"/>
  <c r="AK523" i="3"/>
  <c r="AB523" i="3"/>
  <c r="T523" i="3"/>
  <c r="L523" i="3"/>
  <c r="D523" i="3"/>
  <c r="AJ523" i="3"/>
  <c r="AA523" i="3"/>
  <c r="S523" i="3"/>
  <c r="K523" i="3"/>
  <c r="AI523" i="3"/>
  <c r="Z523" i="3"/>
  <c r="R523" i="3"/>
  <c r="J523" i="3"/>
  <c r="AH523" i="3"/>
  <c r="Y523" i="3"/>
  <c r="Q523" i="3"/>
  <c r="P523" i="3"/>
  <c r="O523" i="3"/>
  <c r="I523" i="3"/>
  <c r="AN523" i="3"/>
  <c r="H523" i="3"/>
  <c r="AG523" i="3"/>
  <c r="G523" i="3"/>
  <c r="AE523" i="3"/>
  <c r="F523" i="3"/>
  <c r="X523" i="3"/>
  <c r="W523" i="3"/>
  <c r="E523" i="3"/>
  <c r="AF527" i="3" a="1"/>
  <c r="AF527" i="3" s="1"/>
  <c r="AM527" i="3"/>
  <c r="AD527" i="3"/>
  <c r="V527" i="3"/>
  <c r="N527" i="3"/>
  <c r="F527" i="3"/>
  <c r="AL527" i="3"/>
  <c r="AC527" i="3"/>
  <c r="U527" i="3"/>
  <c r="M527" i="3"/>
  <c r="E527" i="3"/>
  <c r="AK527" i="3"/>
  <c r="AB527" i="3"/>
  <c r="T527" i="3"/>
  <c r="L527" i="3"/>
  <c r="D527" i="3"/>
  <c r="AJ527" i="3"/>
  <c r="AA527" i="3"/>
  <c r="S527" i="3"/>
  <c r="K527" i="3"/>
  <c r="AI527" i="3"/>
  <c r="Z527" i="3"/>
  <c r="R527" i="3"/>
  <c r="J527" i="3"/>
  <c r="AH527" i="3"/>
  <c r="Y527" i="3"/>
  <c r="Q527" i="3"/>
  <c r="I527" i="3"/>
  <c r="AG527" i="3"/>
  <c r="AE527" i="3"/>
  <c r="X527" i="3"/>
  <c r="W527" i="3"/>
  <c r="P527" i="3"/>
  <c r="O527" i="3"/>
  <c r="AN527" i="3"/>
  <c r="H527" i="3"/>
  <c r="G527" i="3"/>
  <c r="AF531" i="3" a="1"/>
  <c r="AF531" i="3" s="1"/>
  <c r="AM531" i="3"/>
  <c r="AD531" i="3"/>
  <c r="V531" i="3"/>
  <c r="N531" i="3"/>
  <c r="F531" i="3"/>
  <c r="AL531" i="3"/>
  <c r="AC531" i="3"/>
  <c r="U531" i="3"/>
  <c r="M531" i="3"/>
  <c r="E531" i="3"/>
  <c r="AK531" i="3"/>
  <c r="AB531" i="3"/>
  <c r="T531" i="3"/>
  <c r="L531" i="3"/>
  <c r="D531" i="3"/>
  <c r="AJ531" i="3"/>
  <c r="AA531" i="3"/>
  <c r="S531" i="3"/>
  <c r="K531" i="3"/>
  <c r="AI531" i="3"/>
  <c r="Z531" i="3"/>
  <c r="R531" i="3"/>
  <c r="J531" i="3"/>
  <c r="AH531" i="3"/>
  <c r="Y531" i="3"/>
  <c r="Q531" i="3"/>
  <c r="I531" i="3"/>
  <c r="P531" i="3"/>
  <c r="O531" i="3"/>
  <c r="H531" i="3"/>
  <c r="AN531" i="3"/>
  <c r="G531" i="3"/>
  <c r="AG531" i="3"/>
  <c r="AE531" i="3"/>
  <c r="X531" i="3"/>
  <c r="W531" i="3"/>
  <c r="AF535" i="3" a="1"/>
  <c r="AF535" i="3" s="1"/>
  <c r="AM535" i="3"/>
  <c r="AD535" i="3"/>
  <c r="V535" i="3"/>
  <c r="N535" i="3"/>
  <c r="F535" i="3"/>
  <c r="AL535" i="3"/>
  <c r="AC535" i="3"/>
  <c r="U535" i="3"/>
  <c r="M535" i="3"/>
  <c r="E535" i="3"/>
  <c r="AK535" i="3"/>
  <c r="AB535" i="3"/>
  <c r="T535" i="3"/>
  <c r="L535" i="3"/>
  <c r="D535" i="3"/>
  <c r="AJ535" i="3"/>
  <c r="AA535" i="3"/>
  <c r="S535" i="3"/>
  <c r="K535" i="3"/>
  <c r="AI535" i="3"/>
  <c r="Z535" i="3"/>
  <c r="R535" i="3"/>
  <c r="J535" i="3"/>
  <c r="AH535" i="3"/>
  <c r="Y535" i="3"/>
  <c r="Q535" i="3"/>
  <c r="I535" i="3"/>
  <c r="AG535" i="3"/>
  <c r="AE535" i="3"/>
  <c r="X535" i="3"/>
  <c r="W535" i="3"/>
  <c r="P535" i="3"/>
  <c r="O535" i="3"/>
  <c r="H535" i="3"/>
  <c r="G535" i="3"/>
  <c r="AN535" i="3"/>
  <c r="AF539" i="3" a="1"/>
  <c r="AF539" i="3" s="1"/>
  <c r="AM539" i="3"/>
  <c r="AD539" i="3"/>
  <c r="V539" i="3"/>
  <c r="N539" i="3"/>
  <c r="F539" i="3"/>
  <c r="AL539" i="3"/>
  <c r="AC539" i="3"/>
  <c r="U539" i="3"/>
  <c r="M539" i="3"/>
  <c r="E539" i="3"/>
  <c r="AK539" i="3"/>
  <c r="AB539" i="3"/>
  <c r="T539" i="3"/>
  <c r="L539" i="3"/>
  <c r="D539" i="3"/>
  <c r="AJ539" i="3"/>
  <c r="AA539" i="3"/>
  <c r="S539" i="3"/>
  <c r="K539" i="3"/>
  <c r="AI539" i="3"/>
  <c r="Z539" i="3"/>
  <c r="R539" i="3"/>
  <c r="J539" i="3"/>
  <c r="AH539" i="3"/>
  <c r="Y539" i="3"/>
  <c r="Q539" i="3"/>
  <c r="I539" i="3"/>
  <c r="P539" i="3"/>
  <c r="O539" i="3"/>
  <c r="H539" i="3"/>
  <c r="AN539" i="3"/>
  <c r="G539" i="3"/>
  <c r="AG539" i="3"/>
  <c r="AE539" i="3"/>
  <c r="X539" i="3"/>
  <c r="W539" i="3"/>
  <c r="AF543" i="3" a="1"/>
  <c r="AF543" i="3" s="1"/>
  <c r="AM543" i="3"/>
  <c r="AD543" i="3"/>
  <c r="V543" i="3"/>
  <c r="N543" i="3"/>
  <c r="F543" i="3"/>
  <c r="AL543" i="3"/>
  <c r="AC543" i="3"/>
  <c r="U543" i="3"/>
  <c r="M543" i="3"/>
  <c r="E543" i="3"/>
  <c r="AK543" i="3"/>
  <c r="AB543" i="3"/>
  <c r="T543" i="3"/>
  <c r="L543" i="3"/>
  <c r="D543" i="3"/>
  <c r="AJ543" i="3"/>
  <c r="AA543" i="3"/>
  <c r="S543" i="3"/>
  <c r="K543" i="3"/>
  <c r="AI543" i="3"/>
  <c r="Z543" i="3"/>
  <c r="R543" i="3"/>
  <c r="J543" i="3"/>
  <c r="AH543" i="3"/>
  <c r="Y543" i="3"/>
  <c r="Q543" i="3"/>
  <c r="I543" i="3"/>
  <c r="AG543" i="3"/>
  <c r="AE543" i="3"/>
  <c r="X543" i="3"/>
  <c r="W543" i="3"/>
  <c r="P543" i="3"/>
  <c r="O543" i="3"/>
  <c r="AN543" i="3"/>
  <c r="H543" i="3"/>
  <c r="G543" i="3"/>
  <c r="AF547" i="3" a="1"/>
  <c r="AF547" i="3" s="1"/>
  <c r="AI547" i="3"/>
  <c r="Z547" i="3"/>
  <c r="R547" i="3"/>
  <c r="J547" i="3"/>
  <c r="AH547" i="3"/>
  <c r="Y547" i="3"/>
  <c r="Q547" i="3"/>
  <c r="I547" i="3"/>
  <c r="AM547" i="3"/>
  <c r="AD547" i="3"/>
  <c r="V547" i="3"/>
  <c r="N547" i="3"/>
  <c r="F547" i="3"/>
  <c r="AL547" i="3"/>
  <c r="AC547" i="3"/>
  <c r="U547" i="3"/>
  <c r="M547" i="3"/>
  <c r="E547" i="3"/>
  <c r="X547" i="3"/>
  <c r="H547" i="3"/>
  <c r="AN547" i="3"/>
  <c r="W547" i="3"/>
  <c r="G547" i="3"/>
  <c r="AK547" i="3"/>
  <c r="T547" i="3"/>
  <c r="D547" i="3"/>
  <c r="AJ547" i="3"/>
  <c r="S547" i="3"/>
  <c r="AG547" i="3"/>
  <c r="P547" i="3"/>
  <c r="AE547" i="3"/>
  <c r="O547" i="3"/>
  <c r="AB547" i="3"/>
  <c r="AA547" i="3"/>
  <c r="L547" i="3"/>
  <c r="K547" i="3"/>
  <c r="AF551" i="3" a="1"/>
  <c r="AF551" i="3" s="1"/>
  <c r="AI551" i="3"/>
  <c r="Z551" i="3"/>
  <c r="R551" i="3"/>
  <c r="J551" i="3"/>
  <c r="AH551" i="3"/>
  <c r="Y551" i="3"/>
  <c r="Q551" i="3"/>
  <c r="I551" i="3"/>
  <c r="AM551" i="3"/>
  <c r="AD551" i="3"/>
  <c r="V551" i="3"/>
  <c r="N551" i="3"/>
  <c r="F551" i="3"/>
  <c r="AL551" i="3"/>
  <c r="AC551" i="3"/>
  <c r="U551" i="3"/>
  <c r="M551" i="3"/>
  <c r="E551" i="3"/>
  <c r="X551" i="3"/>
  <c r="H551" i="3"/>
  <c r="AN551" i="3"/>
  <c r="W551" i="3"/>
  <c r="G551" i="3"/>
  <c r="AK551" i="3"/>
  <c r="T551" i="3"/>
  <c r="D551" i="3"/>
  <c r="AJ551" i="3"/>
  <c r="S551" i="3"/>
  <c r="AG551" i="3"/>
  <c r="P551" i="3"/>
  <c r="AE551" i="3"/>
  <c r="O551" i="3"/>
  <c r="AB551" i="3"/>
  <c r="AA551" i="3"/>
  <c r="L551" i="3"/>
  <c r="K551" i="3"/>
  <c r="AF555" i="3" a="1"/>
  <c r="AF555" i="3" s="1"/>
  <c r="AI555" i="3"/>
  <c r="Z555" i="3"/>
  <c r="R555" i="3"/>
  <c r="J555" i="3"/>
  <c r="AH555" i="3"/>
  <c r="Y555" i="3"/>
  <c r="Q555" i="3"/>
  <c r="I555" i="3"/>
  <c r="AM555" i="3"/>
  <c r="AD555" i="3"/>
  <c r="V555" i="3"/>
  <c r="N555" i="3"/>
  <c r="F555" i="3"/>
  <c r="AL555" i="3"/>
  <c r="AC555" i="3"/>
  <c r="U555" i="3"/>
  <c r="M555" i="3"/>
  <c r="E555" i="3"/>
  <c r="X555" i="3"/>
  <c r="H555" i="3"/>
  <c r="AN555" i="3"/>
  <c r="W555" i="3"/>
  <c r="G555" i="3"/>
  <c r="AK555" i="3"/>
  <c r="T555" i="3"/>
  <c r="D555" i="3"/>
  <c r="AJ555" i="3"/>
  <c r="S555" i="3"/>
  <c r="AG555" i="3"/>
  <c r="P555" i="3"/>
  <c r="AE555" i="3"/>
  <c r="O555" i="3"/>
  <c r="AB555" i="3"/>
  <c r="AA555" i="3"/>
  <c r="L555" i="3"/>
  <c r="K555" i="3"/>
  <c r="AF559" i="3" a="1"/>
  <c r="AF559" i="3" s="1"/>
  <c r="AI559" i="3"/>
  <c r="Z559" i="3"/>
  <c r="R559" i="3"/>
  <c r="J559" i="3"/>
  <c r="AH559" i="3"/>
  <c r="Y559" i="3"/>
  <c r="Q559" i="3"/>
  <c r="I559" i="3"/>
  <c r="AM559" i="3"/>
  <c r="AD559" i="3"/>
  <c r="V559" i="3"/>
  <c r="N559" i="3"/>
  <c r="F559" i="3"/>
  <c r="AL559" i="3"/>
  <c r="AC559" i="3"/>
  <c r="U559" i="3"/>
  <c r="M559" i="3"/>
  <c r="E559" i="3"/>
  <c r="X559" i="3"/>
  <c r="H559" i="3"/>
  <c r="AN559" i="3"/>
  <c r="W559" i="3"/>
  <c r="G559" i="3"/>
  <c r="AK559" i="3"/>
  <c r="T559" i="3"/>
  <c r="D559" i="3"/>
  <c r="AJ559" i="3"/>
  <c r="S559" i="3"/>
  <c r="AG559" i="3"/>
  <c r="P559" i="3"/>
  <c r="AE559" i="3"/>
  <c r="O559" i="3"/>
  <c r="L559" i="3"/>
  <c r="K559" i="3"/>
  <c r="AB559" i="3"/>
  <c r="AA559" i="3"/>
  <c r="AF563" i="3" a="1"/>
  <c r="AF563" i="3" s="1"/>
  <c r="AI563" i="3"/>
  <c r="Z563" i="3"/>
  <c r="R563" i="3"/>
  <c r="J563" i="3"/>
  <c r="AH563" i="3"/>
  <c r="Y563" i="3"/>
  <c r="Q563" i="3"/>
  <c r="I563" i="3"/>
  <c r="AG563" i="3"/>
  <c r="X563" i="3"/>
  <c r="AM563" i="3"/>
  <c r="AD563" i="3"/>
  <c r="V563" i="3"/>
  <c r="N563" i="3"/>
  <c r="F563" i="3"/>
  <c r="AL563" i="3"/>
  <c r="AC563" i="3"/>
  <c r="U563" i="3"/>
  <c r="M563" i="3"/>
  <c r="E563" i="3"/>
  <c r="AA563" i="3"/>
  <c r="H563" i="3"/>
  <c r="W563" i="3"/>
  <c r="G563" i="3"/>
  <c r="T563" i="3"/>
  <c r="D563" i="3"/>
  <c r="AN563" i="3"/>
  <c r="S563" i="3"/>
  <c r="AK563" i="3"/>
  <c r="P563" i="3"/>
  <c r="AJ563" i="3"/>
  <c r="O563" i="3"/>
  <c r="AE563" i="3"/>
  <c r="AB563" i="3"/>
  <c r="L563" i="3"/>
  <c r="K563" i="3"/>
  <c r="AF567" i="3" a="1"/>
  <c r="AF567" i="3" s="1"/>
  <c r="AL567" i="3"/>
  <c r="AC567" i="3"/>
  <c r="U567" i="3"/>
  <c r="M567" i="3"/>
  <c r="E567" i="3"/>
  <c r="AK567" i="3"/>
  <c r="AB567" i="3"/>
  <c r="T567" i="3"/>
  <c r="L567" i="3"/>
  <c r="D567" i="3"/>
  <c r="AI567" i="3"/>
  <c r="Z567" i="3"/>
  <c r="R567" i="3"/>
  <c r="J567" i="3"/>
  <c r="AJ567" i="3"/>
  <c r="W567" i="3"/>
  <c r="I567" i="3"/>
  <c r="AH567" i="3"/>
  <c r="V567" i="3"/>
  <c r="H567" i="3"/>
  <c r="AG567" i="3"/>
  <c r="S567" i="3"/>
  <c r="G567" i="3"/>
  <c r="AD567" i="3"/>
  <c r="P567" i="3"/>
  <c r="AA567" i="3"/>
  <c r="O567" i="3"/>
  <c r="N567" i="3"/>
  <c r="K567" i="3"/>
  <c r="AN567" i="3"/>
  <c r="F567" i="3"/>
  <c r="AM567" i="3"/>
  <c r="AE567" i="3"/>
  <c r="Y567" i="3"/>
  <c r="X567" i="3"/>
  <c r="Q567" i="3"/>
  <c r="AF571" i="3" a="1"/>
  <c r="AF571" i="3" s="1"/>
  <c r="AL571" i="3"/>
  <c r="AC571" i="3"/>
  <c r="U571" i="3"/>
  <c r="M571" i="3"/>
  <c r="E571" i="3"/>
  <c r="AK571" i="3"/>
  <c r="AB571" i="3"/>
  <c r="T571" i="3"/>
  <c r="L571" i="3"/>
  <c r="D571" i="3"/>
  <c r="AI571" i="3"/>
  <c r="Z571" i="3"/>
  <c r="R571" i="3"/>
  <c r="J571" i="3"/>
  <c r="AG571" i="3"/>
  <c r="S571" i="3"/>
  <c r="G571" i="3"/>
  <c r="AE571" i="3"/>
  <c r="Q571" i="3"/>
  <c r="F571" i="3"/>
  <c r="AD571" i="3"/>
  <c r="P571" i="3"/>
  <c r="AN571" i="3"/>
  <c r="Y571" i="3"/>
  <c r="N571" i="3"/>
  <c r="AM571" i="3"/>
  <c r="X571" i="3"/>
  <c r="K571" i="3"/>
  <c r="H571" i="3"/>
  <c r="AJ571" i="3"/>
  <c r="AH571" i="3"/>
  <c r="AA571" i="3"/>
  <c r="W571" i="3"/>
  <c r="V571" i="3"/>
  <c r="O571" i="3"/>
  <c r="I571" i="3"/>
  <c r="AF575" i="3" a="1"/>
  <c r="AF575" i="3" s="1"/>
  <c r="AM575" i="3"/>
  <c r="AD575" i="3"/>
  <c r="V575" i="3"/>
  <c r="N575" i="3"/>
  <c r="F575" i="3"/>
  <c r="AL575" i="3"/>
  <c r="AC575" i="3"/>
  <c r="U575" i="3"/>
  <c r="M575" i="3"/>
  <c r="E575" i="3"/>
  <c r="AK575" i="3"/>
  <c r="AB575" i="3"/>
  <c r="T575" i="3"/>
  <c r="L575" i="3"/>
  <c r="D575" i="3"/>
  <c r="AI575" i="3"/>
  <c r="Z575" i="3"/>
  <c r="R575" i="3"/>
  <c r="J575" i="3"/>
  <c r="X575" i="3"/>
  <c r="H575" i="3"/>
  <c r="AN575" i="3"/>
  <c r="W575" i="3"/>
  <c r="G575" i="3"/>
  <c r="AJ575" i="3"/>
  <c r="S575" i="3"/>
  <c r="AG575" i="3"/>
  <c r="P575" i="3"/>
  <c r="AE575" i="3"/>
  <c r="O575" i="3"/>
  <c r="Q575" i="3"/>
  <c r="K575" i="3"/>
  <c r="I575" i="3"/>
  <c r="AH575" i="3"/>
  <c r="AA575" i="3"/>
  <c r="Y575" i="3"/>
  <c r="AF579" i="3" a="1"/>
  <c r="AF579" i="3" s="1"/>
  <c r="AM579" i="3"/>
  <c r="AD579" i="3"/>
  <c r="V579" i="3"/>
  <c r="N579" i="3"/>
  <c r="F579" i="3"/>
  <c r="AL579" i="3"/>
  <c r="AC579" i="3"/>
  <c r="U579" i="3"/>
  <c r="M579" i="3"/>
  <c r="E579" i="3"/>
  <c r="AK579" i="3"/>
  <c r="AB579" i="3"/>
  <c r="T579" i="3"/>
  <c r="L579" i="3"/>
  <c r="D579" i="3"/>
  <c r="AJ579" i="3"/>
  <c r="AI579" i="3"/>
  <c r="Z579" i="3"/>
  <c r="R579" i="3"/>
  <c r="J579" i="3"/>
  <c r="X579" i="3"/>
  <c r="H579" i="3"/>
  <c r="W579" i="3"/>
  <c r="G579" i="3"/>
  <c r="AN579" i="3"/>
  <c r="S579" i="3"/>
  <c r="AG579" i="3"/>
  <c r="P579" i="3"/>
  <c r="AE579" i="3"/>
  <c r="O579" i="3"/>
  <c r="AH579" i="3"/>
  <c r="AA579" i="3"/>
  <c r="Y579" i="3"/>
  <c r="Q579" i="3"/>
  <c r="K579" i="3"/>
  <c r="I579" i="3"/>
  <c r="AF583" i="3" a="1"/>
  <c r="AF583" i="3" s="1"/>
  <c r="AM583" i="3"/>
  <c r="AD583" i="3"/>
  <c r="V583" i="3"/>
  <c r="N583" i="3"/>
  <c r="F583" i="3"/>
  <c r="AL583" i="3"/>
  <c r="AC583" i="3"/>
  <c r="U583" i="3"/>
  <c r="M583" i="3"/>
  <c r="E583" i="3"/>
  <c r="AK583" i="3"/>
  <c r="AB583" i="3"/>
  <c r="T583" i="3"/>
  <c r="L583" i="3"/>
  <c r="D583" i="3"/>
  <c r="AJ583" i="3"/>
  <c r="AA583" i="3"/>
  <c r="S583" i="3"/>
  <c r="K583" i="3"/>
  <c r="AI583" i="3"/>
  <c r="Z583" i="3"/>
  <c r="R583" i="3"/>
  <c r="J583" i="3"/>
  <c r="Y583" i="3"/>
  <c r="G583" i="3"/>
  <c r="X583" i="3"/>
  <c r="W583" i="3"/>
  <c r="AN583" i="3"/>
  <c r="P583" i="3"/>
  <c r="AH583" i="3"/>
  <c r="O583" i="3"/>
  <c r="Q583" i="3"/>
  <c r="I583" i="3"/>
  <c r="H583" i="3"/>
  <c r="AG583" i="3"/>
  <c r="AE583" i="3"/>
  <c r="AF587" i="3" a="1"/>
  <c r="AF587" i="3" s="1"/>
  <c r="AM587" i="3"/>
  <c r="AD587" i="3"/>
  <c r="V587" i="3"/>
  <c r="N587" i="3"/>
  <c r="F587" i="3"/>
  <c r="AL587" i="3"/>
  <c r="AC587" i="3"/>
  <c r="U587" i="3"/>
  <c r="M587" i="3"/>
  <c r="E587" i="3"/>
  <c r="AK587" i="3"/>
  <c r="AB587" i="3"/>
  <c r="T587" i="3"/>
  <c r="L587" i="3"/>
  <c r="D587" i="3"/>
  <c r="AJ587" i="3"/>
  <c r="AA587" i="3"/>
  <c r="S587" i="3"/>
  <c r="K587" i="3"/>
  <c r="AI587" i="3"/>
  <c r="Z587" i="3"/>
  <c r="R587" i="3"/>
  <c r="J587" i="3"/>
  <c r="AG587" i="3"/>
  <c r="I587" i="3"/>
  <c r="AE587" i="3"/>
  <c r="H587" i="3"/>
  <c r="Y587" i="3"/>
  <c r="G587" i="3"/>
  <c r="W587" i="3"/>
  <c r="Q587" i="3"/>
  <c r="AN587" i="3"/>
  <c r="AH587" i="3"/>
  <c r="X587" i="3"/>
  <c r="P587" i="3"/>
  <c r="O587" i="3"/>
  <c r="AF591" i="3" a="1"/>
  <c r="AF591" i="3" s="1"/>
  <c r="AK591" i="3"/>
  <c r="AB591" i="3"/>
  <c r="T591" i="3"/>
  <c r="L591" i="3"/>
  <c r="D591" i="3"/>
  <c r="AJ591" i="3"/>
  <c r="AA591" i="3"/>
  <c r="S591" i="3"/>
  <c r="K591" i="3"/>
  <c r="AH591" i="3"/>
  <c r="Y591" i="3"/>
  <c r="Q591" i="3"/>
  <c r="I591" i="3"/>
  <c r="AG591" i="3"/>
  <c r="X591" i="3"/>
  <c r="P591" i="3"/>
  <c r="H591" i="3"/>
  <c r="AN591" i="3"/>
  <c r="W591" i="3"/>
  <c r="G591" i="3"/>
  <c r="AM591" i="3"/>
  <c r="V591" i="3"/>
  <c r="F591" i="3"/>
  <c r="AL591" i="3"/>
  <c r="U591" i="3"/>
  <c r="E591" i="3"/>
  <c r="AI591" i="3"/>
  <c r="R591" i="3"/>
  <c r="AE591" i="3"/>
  <c r="O591" i="3"/>
  <c r="AD591" i="3"/>
  <c r="Z591" i="3"/>
  <c r="N591" i="3"/>
  <c r="AC591" i="3"/>
  <c r="M591" i="3"/>
  <c r="J591" i="3"/>
  <c r="AF595" i="3" a="1"/>
  <c r="AF595" i="3" s="1"/>
  <c r="AK595" i="3"/>
  <c r="AB595" i="3"/>
  <c r="T595" i="3"/>
  <c r="L595" i="3"/>
  <c r="D595" i="3"/>
  <c r="AJ595" i="3"/>
  <c r="AA595" i="3"/>
  <c r="S595" i="3"/>
  <c r="K595" i="3"/>
  <c r="AH595" i="3"/>
  <c r="Y595" i="3"/>
  <c r="Q595" i="3"/>
  <c r="I595" i="3"/>
  <c r="AG595" i="3"/>
  <c r="X595" i="3"/>
  <c r="P595" i="3"/>
  <c r="H595" i="3"/>
  <c r="AN595" i="3"/>
  <c r="W595" i="3"/>
  <c r="G595" i="3"/>
  <c r="AM595" i="3"/>
  <c r="V595" i="3"/>
  <c r="F595" i="3"/>
  <c r="AL595" i="3"/>
  <c r="U595" i="3"/>
  <c r="E595" i="3"/>
  <c r="AI595" i="3"/>
  <c r="R595" i="3"/>
  <c r="AE595" i="3"/>
  <c r="O595" i="3"/>
  <c r="AC595" i="3"/>
  <c r="Z595" i="3"/>
  <c r="N595" i="3"/>
  <c r="J595" i="3"/>
  <c r="M595" i="3"/>
  <c r="AD595" i="3"/>
  <c r="AF599" i="3" a="1"/>
  <c r="AF599" i="3" s="1"/>
  <c r="AL599" i="3"/>
  <c r="AC599" i="3"/>
  <c r="U599" i="3"/>
  <c r="M599" i="3"/>
  <c r="E599" i="3"/>
  <c r="AK599" i="3"/>
  <c r="AB599" i="3"/>
  <c r="T599" i="3"/>
  <c r="L599" i="3"/>
  <c r="D599" i="3"/>
  <c r="AJ599" i="3"/>
  <c r="AA599" i="3"/>
  <c r="S599" i="3"/>
  <c r="K599" i="3"/>
  <c r="AH599" i="3"/>
  <c r="Y599" i="3"/>
  <c r="Q599" i="3"/>
  <c r="I599" i="3"/>
  <c r="AG599" i="3"/>
  <c r="X599" i="3"/>
  <c r="P599" i="3"/>
  <c r="H599" i="3"/>
  <c r="AE599" i="3"/>
  <c r="J599" i="3"/>
  <c r="AD599" i="3"/>
  <c r="G599" i="3"/>
  <c r="Z599" i="3"/>
  <c r="F599" i="3"/>
  <c r="W599" i="3"/>
  <c r="V599" i="3"/>
  <c r="AM599" i="3"/>
  <c r="AI599" i="3"/>
  <c r="R599" i="3"/>
  <c r="N599" i="3"/>
  <c r="AN599" i="3"/>
  <c r="O599" i="3"/>
  <c r="AF603" i="3" a="1"/>
  <c r="AF603" i="3" s="1"/>
  <c r="AL603" i="3"/>
  <c r="AC603" i="3"/>
  <c r="U603" i="3"/>
  <c r="M603" i="3"/>
  <c r="E603" i="3"/>
  <c r="AK603" i="3"/>
  <c r="AB603" i="3"/>
  <c r="T603" i="3"/>
  <c r="L603" i="3"/>
  <c r="D603" i="3"/>
  <c r="AJ603" i="3"/>
  <c r="AA603" i="3"/>
  <c r="S603" i="3"/>
  <c r="K603" i="3"/>
  <c r="AH603" i="3"/>
  <c r="Y603" i="3"/>
  <c r="Q603" i="3"/>
  <c r="I603" i="3"/>
  <c r="AG603" i="3"/>
  <c r="X603" i="3"/>
  <c r="P603" i="3"/>
  <c r="H603" i="3"/>
  <c r="AM603" i="3"/>
  <c r="O603" i="3"/>
  <c r="AI603" i="3"/>
  <c r="N603" i="3"/>
  <c r="AE603" i="3"/>
  <c r="J603" i="3"/>
  <c r="AD603" i="3"/>
  <c r="G603" i="3"/>
  <c r="Z603" i="3"/>
  <c r="F603" i="3"/>
  <c r="AN603" i="3"/>
  <c r="W603" i="3"/>
  <c r="R603" i="3"/>
  <c r="V603" i="3"/>
  <c r="AF607" i="3" a="1"/>
  <c r="AF607" i="3" s="1"/>
  <c r="AL607" i="3"/>
  <c r="AC607" i="3"/>
  <c r="U607" i="3"/>
  <c r="M607" i="3"/>
  <c r="E607" i="3"/>
  <c r="AK607" i="3"/>
  <c r="AB607" i="3"/>
  <c r="T607" i="3"/>
  <c r="L607" i="3"/>
  <c r="D607" i="3"/>
  <c r="AJ607" i="3"/>
  <c r="AA607" i="3"/>
  <c r="S607" i="3"/>
  <c r="K607" i="3"/>
  <c r="AH607" i="3"/>
  <c r="Y607" i="3"/>
  <c r="Q607" i="3"/>
  <c r="I607" i="3"/>
  <c r="AG607" i="3"/>
  <c r="X607" i="3"/>
  <c r="P607" i="3"/>
  <c r="H607" i="3"/>
  <c r="V607" i="3"/>
  <c r="AN607" i="3"/>
  <c r="R607" i="3"/>
  <c r="AM607" i="3"/>
  <c r="O607" i="3"/>
  <c r="AI607" i="3"/>
  <c r="N607" i="3"/>
  <c r="AE607" i="3"/>
  <c r="J607" i="3"/>
  <c r="AD607" i="3"/>
  <c r="Z607" i="3"/>
  <c r="W607" i="3"/>
  <c r="F607" i="3"/>
  <c r="G607" i="3"/>
  <c r="AF611" i="3" a="1"/>
  <c r="AF611" i="3" s="1"/>
  <c r="AL611" i="3"/>
  <c r="AC611" i="3"/>
  <c r="U611" i="3"/>
  <c r="M611" i="3"/>
  <c r="E611" i="3"/>
  <c r="AK611" i="3"/>
  <c r="AB611" i="3"/>
  <c r="T611" i="3"/>
  <c r="L611" i="3"/>
  <c r="D611" i="3"/>
  <c r="AJ611" i="3"/>
  <c r="AA611" i="3"/>
  <c r="S611" i="3"/>
  <c r="K611" i="3"/>
  <c r="AI611" i="3"/>
  <c r="Z611" i="3"/>
  <c r="R611" i="3"/>
  <c r="J611" i="3"/>
  <c r="AH611" i="3"/>
  <c r="Y611" i="3"/>
  <c r="Q611" i="3"/>
  <c r="I611" i="3"/>
  <c r="AG611" i="3"/>
  <c r="X611" i="3"/>
  <c r="P611" i="3"/>
  <c r="H611" i="3"/>
  <c r="O611" i="3"/>
  <c r="N611" i="3"/>
  <c r="AN611" i="3"/>
  <c r="G611" i="3"/>
  <c r="AM611" i="3"/>
  <c r="F611" i="3"/>
  <c r="AE611" i="3"/>
  <c r="V611" i="3"/>
  <c r="AD611" i="3"/>
  <c r="W611" i="3"/>
  <c r="AF615" i="3" a="1"/>
  <c r="AF615" i="3" s="1"/>
  <c r="AK615" i="3"/>
  <c r="AB615" i="3"/>
  <c r="T615" i="3"/>
  <c r="L615" i="3"/>
  <c r="AJ615" i="3"/>
  <c r="AI615" i="3"/>
  <c r="AH615" i="3"/>
  <c r="Y615" i="3"/>
  <c r="AL615" i="3"/>
  <c r="W615" i="3"/>
  <c r="N615" i="3"/>
  <c r="E615" i="3"/>
  <c r="AG615" i="3"/>
  <c r="V615" i="3"/>
  <c r="M615" i="3"/>
  <c r="D615" i="3"/>
  <c r="AE615" i="3"/>
  <c r="U615" i="3"/>
  <c r="K615" i="3"/>
  <c r="AD615" i="3"/>
  <c r="S615" i="3"/>
  <c r="J615" i="3"/>
  <c r="AC615" i="3"/>
  <c r="R615" i="3"/>
  <c r="I615" i="3"/>
  <c r="AA615" i="3"/>
  <c r="Q615" i="3"/>
  <c r="H615" i="3"/>
  <c r="AN615" i="3"/>
  <c r="AM615" i="3"/>
  <c r="Z615" i="3"/>
  <c r="X615" i="3"/>
  <c r="P615" i="3"/>
  <c r="O615" i="3"/>
  <c r="F615" i="3"/>
  <c r="G615" i="3"/>
  <c r="AF619" i="3" a="1"/>
  <c r="AF619" i="3" s="1"/>
  <c r="AK619" i="3"/>
  <c r="AB619" i="3"/>
  <c r="T619" i="3"/>
  <c r="L619" i="3"/>
  <c r="D619" i="3"/>
  <c r="AJ619" i="3"/>
  <c r="AA619" i="3"/>
  <c r="S619" i="3"/>
  <c r="K619" i="3"/>
  <c r="AI619" i="3"/>
  <c r="Z619" i="3"/>
  <c r="R619" i="3"/>
  <c r="J619" i="3"/>
  <c r="AH619" i="3"/>
  <c r="Y619" i="3"/>
  <c r="Q619" i="3"/>
  <c r="I619" i="3"/>
  <c r="AL619" i="3"/>
  <c r="U619" i="3"/>
  <c r="E619" i="3"/>
  <c r="AG619" i="3"/>
  <c r="P619" i="3"/>
  <c r="AE619" i="3"/>
  <c r="O619" i="3"/>
  <c r="AD619" i="3"/>
  <c r="N619" i="3"/>
  <c r="AC619" i="3"/>
  <c r="M619" i="3"/>
  <c r="X619" i="3"/>
  <c r="H619" i="3"/>
  <c r="W619" i="3"/>
  <c r="V619" i="3"/>
  <c r="G619" i="3"/>
  <c r="F619" i="3"/>
  <c r="AN619" i="3"/>
  <c r="AM619" i="3"/>
  <c r="AF623" i="3" a="1"/>
  <c r="AF623" i="3" s="1"/>
  <c r="AK623" i="3"/>
  <c r="AB623" i="3"/>
  <c r="T623" i="3"/>
  <c r="L623" i="3"/>
  <c r="D623" i="3"/>
  <c r="AJ623" i="3"/>
  <c r="AA623" i="3"/>
  <c r="S623" i="3"/>
  <c r="K623" i="3"/>
  <c r="AI623" i="3"/>
  <c r="Z623" i="3"/>
  <c r="R623" i="3"/>
  <c r="J623" i="3"/>
  <c r="AH623" i="3"/>
  <c r="Y623" i="3"/>
  <c r="Q623" i="3"/>
  <c r="I623" i="3"/>
  <c r="AL623" i="3"/>
  <c r="U623" i="3"/>
  <c r="E623" i="3"/>
  <c r="AG623" i="3"/>
  <c r="P623" i="3"/>
  <c r="AE623" i="3"/>
  <c r="O623" i="3"/>
  <c r="AD623" i="3"/>
  <c r="N623" i="3"/>
  <c r="AC623" i="3"/>
  <c r="M623" i="3"/>
  <c r="X623" i="3"/>
  <c r="H623" i="3"/>
  <c r="G623" i="3"/>
  <c r="F623" i="3"/>
  <c r="AN623" i="3"/>
  <c r="W623" i="3"/>
  <c r="V623" i="3"/>
  <c r="AM623" i="3"/>
  <c r="AF627" i="3" a="1"/>
  <c r="AF627" i="3" s="1"/>
  <c r="AK627" i="3"/>
  <c r="AB627" i="3"/>
  <c r="T627" i="3"/>
  <c r="L627" i="3"/>
  <c r="D627" i="3"/>
  <c r="AJ627" i="3"/>
  <c r="AA627" i="3"/>
  <c r="S627" i="3"/>
  <c r="K627" i="3"/>
  <c r="AI627" i="3"/>
  <c r="Z627" i="3"/>
  <c r="R627" i="3"/>
  <c r="J627" i="3"/>
  <c r="AH627" i="3"/>
  <c r="Y627" i="3"/>
  <c r="Q627" i="3"/>
  <c r="I627" i="3"/>
  <c r="AL627" i="3"/>
  <c r="U627" i="3"/>
  <c r="E627" i="3"/>
  <c r="AG627" i="3"/>
  <c r="P627" i="3"/>
  <c r="AE627" i="3"/>
  <c r="O627" i="3"/>
  <c r="AD627" i="3"/>
  <c r="N627" i="3"/>
  <c r="AC627" i="3"/>
  <c r="M627" i="3"/>
  <c r="X627" i="3"/>
  <c r="H627" i="3"/>
  <c r="AN627" i="3"/>
  <c r="AM627" i="3"/>
  <c r="W627" i="3"/>
  <c r="V627" i="3"/>
  <c r="G627" i="3"/>
  <c r="F627" i="3"/>
  <c r="AF631" i="3" a="1"/>
  <c r="AF631" i="3" s="1"/>
  <c r="AM631" i="3"/>
  <c r="AD631" i="3"/>
  <c r="V631" i="3"/>
  <c r="N631" i="3"/>
  <c r="F631" i="3"/>
  <c r="AL631" i="3"/>
  <c r="AC631" i="3"/>
  <c r="U631" i="3"/>
  <c r="M631" i="3"/>
  <c r="E631" i="3"/>
  <c r="AK631" i="3"/>
  <c r="AB631" i="3"/>
  <c r="T631" i="3"/>
  <c r="L631" i="3"/>
  <c r="D631" i="3"/>
  <c r="AJ631" i="3"/>
  <c r="AA631" i="3"/>
  <c r="S631" i="3"/>
  <c r="K631" i="3"/>
  <c r="AI631" i="3"/>
  <c r="Z631" i="3"/>
  <c r="R631" i="3"/>
  <c r="J631" i="3"/>
  <c r="AH631" i="3"/>
  <c r="Y631" i="3"/>
  <c r="Q631" i="3"/>
  <c r="I631" i="3"/>
  <c r="P631" i="3"/>
  <c r="O631" i="3"/>
  <c r="H631" i="3"/>
  <c r="AN631" i="3"/>
  <c r="G631" i="3"/>
  <c r="AG631" i="3"/>
  <c r="AE631" i="3"/>
  <c r="X631" i="3"/>
  <c r="W631" i="3"/>
  <c r="AF635" i="3" a="1"/>
  <c r="AF635" i="3" s="1"/>
  <c r="AM635" i="3"/>
  <c r="AD635" i="3"/>
  <c r="V635" i="3"/>
  <c r="N635" i="3"/>
  <c r="F635" i="3"/>
  <c r="AL635" i="3"/>
  <c r="AC635" i="3"/>
  <c r="U635" i="3"/>
  <c r="M635" i="3"/>
  <c r="E635" i="3"/>
  <c r="AK635" i="3"/>
  <c r="AB635" i="3"/>
  <c r="T635" i="3"/>
  <c r="L635" i="3"/>
  <c r="D635" i="3"/>
  <c r="AJ635" i="3"/>
  <c r="AA635" i="3"/>
  <c r="S635" i="3"/>
  <c r="K635" i="3"/>
  <c r="AI635" i="3"/>
  <c r="Z635" i="3"/>
  <c r="R635" i="3"/>
  <c r="J635" i="3"/>
  <c r="AH635" i="3"/>
  <c r="Y635" i="3"/>
  <c r="Q635" i="3"/>
  <c r="I635" i="3"/>
  <c r="AG635" i="3"/>
  <c r="AE635" i="3"/>
  <c r="X635" i="3"/>
  <c r="W635" i="3"/>
  <c r="P635" i="3"/>
  <c r="O635" i="3"/>
  <c r="AN635" i="3"/>
  <c r="H635" i="3"/>
  <c r="G635" i="3"/>
  <c r="AF639" i="3" a="1"/>
  <c r="AF639" i="3" s="1"/>
  <c r="AM639" i="3"/>
  <c r="AD639" i="3"/>
  <c r="V639" i="3"/>
  <c r="N639" i="3"/>
  <c r="F639" i="3"/>
  <c r="AL639" i="3"/>
  <c r="AC639" i="3"/>
  <c r="U639" i="3"/>
  <c r="M639" i="3"/>
  <c r="E639" i="3"/>
  <c r="AK639" i="3"/>
  <c r="AB639" i="3"/>
  <c r="T639" i="3"/>
  <c r="L639" i="3"/>
  <c r="D639" i="3"/>
  <c r="AJ639" i="3"/>
  <c r="AA639" i="3"/>
  <c r="S639" i="3"/>
  <c r="K639" i="3"/>
  <c r="AI639" i="3"/>
  <c r="Z639" i="3"/>
  <c r="R639" i="3"/>
  <c r="J639" i="3"/>
  <c r="AH639" i="3"/>
  <c r="Y639" i="3"/>
  <c r="Q639" i="3"/>
  <c r="I639" i="3"/>
  <c r="P639" i="3"/>
  <c r="O639" i="3"/>
  <c r="H639" i="3"/>
  <c r="AN639" i="3"/>
  <c r="G639" i="3"/>
  <c r="AG639" i="3"/>
  <c r="AE639" i="3"/>
  <c r="X639" i="3"/>
  <c r="W639" i="3"/>
  <c r="AF643" i="3" a="1"/>
  <c r="AF643" i="3" s="1"/>
  <c r="AM643" i="3"/>
  <c r="AD643" i="3"/>
  <c r="V643" i="3"/>
  <c r="N643" i="3"/>
  <c r="F643" i="3"/>
  <c r="AL643" i="3"/>
  <c r="AC643" i="3"/>
  <c r="U643" i="3"/>
  <c r="M643" i="3"/>
  <c r="E643" i="3"/>
  <c r="AK643" i="3"/>
  <c r="AB643" i="3"/>
  <c r="T643" i="3"/>
  <c r="L643" i="3"/>
  <c r="D643" i="3"/>
  <c r="AJ643" i="3"/>
  <c r="AA643" i="3"/>
  <c r="S643" i="3"/>
  <c r="K643" i="3"/>
  <c r="AI643" i="3"/>
  <c r="Z643" i="3"/>
  <c r="R643" i="3"/>
  <c r="J643" i="3"/>
  <c r="AH643" i="3"/>
  <c r="Y643" i="3"/>
  <c r="Q643" i="3"/>
  <c r="I643" i="3"/>
  <c r="AG643" i="3"/>
  <c r="AE643" i="3"/>
  <c r="X643" i="3"/>
  <c r="W643" i="3"/>
  <c r="P643" i="3"/>
  <c r="O643" i="3"/>
  <c r="AN643" i="3"/>
  <c r="H643" i="3"/>
  <c r="G643" i="3"/>
  <c r="AF647" i="3" a="1"/>
  <c r="AF647" i="3" s="1"/>
  <c r="AM647" i="3"/>
  <c r="AD647" i="3"/>
  <c r="V647" i="3"/>
  <c r="N647" i="3"/>
  <c r="F647" i="3"/>
  <c r="AL647" i="3"/>
  <c r="AC647" i="3"/>
  <c r="U647" i="3"/>
  <c r="M647" i="3"/>
  <c r="E647" i="3"/>
  <c r="AJ647" i="3"/>
  <c r="AA647" i="3"/>
  <c r="S647" i="3"/>
  <c r="K647" i="3"/>
  <c r="AI647" i="3"/>
  <c r="Z647" i="3"/>
  <c r="R647" i="3"/>
  <c r="J647" i="3"/>
  <c r="Y647" i="3"/>
  <c r="I647" i="3"/>
  <c r="X647" i="3"/>
  <c r="H647" i="3"/>
  <c r="AN647" i="3"/>
  <c r="W647" i="3"/>
  <c r="G647" i="3"/>
  <c r="AK647" i="3"/>
  <c r="T647" i="3"/>
  <c r="D647" i="3"/>
  <c r="AH647" i="3"/>
  <c r="Q647" i="3"/>
  <c r="AG647" i="3"/>
  <c r="P647" i="3"/>
  <c r="AE647" i="3"/>
  <c r="AB647" i="3"/>
  <c r="O647" i="3"/>
  <c r="L647" i="3"/>
  <c r="AF651" i="3" a="1"/>
  <c r="AF651" i="3" s="1"/>
  <c r="AN651" i="3"/>
  <c r="AE651" i="3"/>
  <c r="W651" i="3"/>
  <c r="O651" i="3"/>
  <c r="G651" i="3"/>
  <c r="AM651" i="3"/>
  <c r="AD651" i="3"/>
  <c r="V651" i="3"/>
  <c r="N651" i="3"/>
  <c r="F651" i="3"/>
  <c r="AL651" i="3"/>
  <c r="AC651" i="3"/>
  <c r="U651" i="3"/>
  <c r="M651" i="3"/>
  <c r="E651" i="3"/>
  <c r="AJ651" i="3"/>
  <c r="AA651" i="3"/>
  <c r="S651" i="3"/>
  <c r="K651" i="3"/>
  <c r="AI651" i="3"/>
  <c r="Z651" i="3"/>
  <c r="R651" i="3"/>
  <c r="J651" i="3"/>
  <c r="AK651" i="3"/>
  <c r="P651" i="3"/>
  <c r="AH651" i="3"/>
  <c r="L651" i="3"/>
  <c r="AG651" i="3"/>
  <c r="I651" i="3"/>
  <c r="AB651" i="3"/>
  <c r="H651" i="3"/>
  <c r="Y651" i="3"/>
  <c r="D651" i="3"/>
  <c r="X651" i="3"/>
  <c r="T651" i="3"/>
  <c r="Q651" i="3"/>
  <c r="AF655" i="3" a="1"/>
  <c r="AF655" i="3" s="1"/>
  <c r="AN655" i="3"/>
  <c r="AE655" i="3"/>
  <c r="W655" i="3"/>
  <c r="O655" i="3"/>
  <c r="G655" i="3"/>
  <c r="AM655" i="3"/>
  <c r="AD655" i="3"/>
  <c r="V655" i="3"/>
  <c r="N655" i="3"/>
  <c r="F655" i="3"/>
  <c r="AL655" i="3"/>
  <c r="AC655" i="3"/>
  <c r="U655" i="3"/>
  <c r="M655" i="3"/>
  <c r="E655" i="3"/>
  <c r="AJ655" i="3"/>
  <c r="AA655" i="3"/>
  <c r="S655" i="3"/>
  <c r="K655" i="3"/>
  <c r="AI655" i="3"/>
  <c r="Z655" i="3"/>
  <c r="R655" i="3"/>
  <c r="J655" i="3"/>
  <c r="T655" i="3"/>
  <c r="Q655" i="3"/>
  <c r="AK655" i="3"/>
  <c r="P655" i="3"/>
  <c r="AH655" i="3"/>
  <c r="L655" i="3"/>
  <c r="AG655" i="3"/>
  <c r="I655" i="3"/>
  <c r="AB655" i="3"/>
  <c r="H655" i="3"/>
  <c r="D655" i="3"/>
  <c r="Y655" i="3"/>
  <c r="X655" i="3"/>
  <c r="AM659" i="3"/>
  <c r="AD659" i="3"/>
  <c r="V659" i="3"/>
  <c r="N659" i="3"/>
  <c r="AF659" i="3" a="1"/>
  <c r="AF659" i="3" s="1"/>
  <c r="AK659" i="3"/>
  <c r="AB659" i="3"/>
  <c r="T659" i="3"/>
  <c r="L659" i="3"/>
  <c r="AJ659" i="3"/>
  <c r="AA659" i="3"/>
  <c r="AI659" i="3"/>
  <c r="Z659" i="3"/>
  <c r="R659" i="3"/>
  <c r="AG659" i="3"/>
  <c r="Q659" i="3"/>
  <c r="G659" i="3"/>
  <c r="AE659" i="3"/>
  <c r="P659" i="3"/>
  <c r="F659" i="3"/>
  <c r="AC659" i="3"/>
  <c r="O659" i="3"/>
  <c r="E659" i="3"/>
  <c r="Y659" i="3"/>
  <c r="M659" i="3"/>
  <c r="D659" i="3"/>
  <c r="X659" i="3"/>
  <c r="K659" i="3"/>
  <c r="AN659" i="3"/>
  <c r="W659" i="3"/>
  <c r="J659" i="3"/>
  <c r="AL659" i="3"/>
  <c r="AH659" i="3"/>
  <c r="U659" i="3"/>
  <c r="S659" i="3"/>
  <c r="I659" i="3"/>
  <c r="H659" i="3"/>
  <c r="AM663" i="3"/>
  <c r="AD663" i="3"/>
  <c r="V663" i="3"/>
  <c r="N663" i="3"/>
  <c r="F663" i="3"/>
  <c r="AF663" i="3" a="1"/>
  <c r="AF663" i="3" s="1"/>
  <c r="AK663" i="3"/>
  <c r="AB663" i="3"/>
  <c r="T663" i="3"/>
  <c r="L663" i="3"/>
  <c r="D663" i="3"/>
  <c r="AJ663" i="3"/>
  <c r="AA663" i="3"/>
  <c r="S663" i="3"/>
  <c r="K663" i="3"/>
  <c r="AI663" i="3"/>
  <c r="Z663" i="3"/>
  <c r="R663" i="3"/>
  <c r="J663" i="3"/>
  <c r="AG663" i="3"/>
  <c r="X663" i="3"/>
  <c r="P663" i="3"/>
  <c r="H663" i="3"/>
  <c r="AL663" i="3"/>
  <c r="O663" i="3"/>
  <c r="AH663" i="3"/>
  <c r="M663" i="3"/>
  <c r="AE663" i="3"/>
  <c r="I663" i="3"/>
  <c r="AC663" i="3"/>
  <c r="G663" i="3"/>
  <c r="Y663" i="3"/>
  <c r="E663" i="3"/>
  <c r="W663" i="3"/>
  <c r="AN663" i="3"/>
  <c r="U663" i="3"/>
  <c r="Q663" i="3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L40" i="4"/>
  <c r="E41" i="4"/>
  <c r="N41" i="4"/>
  <c r="G42" i="4"/>
  <c r="Q42" i="4"/>
  <c r="L43" i="4"/>
  <c r="G44" i="4"/>
  <c r="Q44" i="4"/>
  <c r="L45" i="4"/>
  <c r="G46" i="4"/>
  <c r="Q46" i="4"/>
  <c r="L47" i="4"/>
  <c r="G48" i="4"/>
  <c r="Q48" i="4"/>
  <c r="L49" i="4"/>
  <c r="G50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F149" i="4"/>
  <c r="F153" i="4"/>
  <c r="F157" i="4"/>
  <c r="F161" i="4"/>
  <c r="F165" i="4"/>
  <c r="P180" i="4"/>
  <c r="P196" i="4"/>
  <c r="P212" i="4"/>
  <c r="P228" i="4"/>
  <c r="P244" i="4"/>
  <c r="P260" i="4"/>
  <c r="P276" i="4"/>
  <c r="Q292" i="4"/>
  <c r="H311" i="4"/>
  <c r="P329" i="4"/>
  <c r="H348" i="4"/>
  <c r="P371" i="4"/>
  <c r="H408" i="4"/>
  <c r="L29" i="3"/>
  <c r="N4" i="4" l="1"/>
  <c r="S27" i="4"/>
  <c r="H23" i="4"/>
  <c r="H33" i="3"/>
  <c r="H9" i="3"/>
  <c r="I23" i="3"/>
  <c r="F7" i="3"/>
  <c r="S8" i="4"/>
  <c r="G19" i="3"/>
  <c r="G17" i="3"/>
  <c r="H20" i="3"/>
  <c r="H30" i="4"/>
  <c r="G29" i="3"/>
  <c r="S15" i="4"/>
  <c r="F22" i="3"/>
  <c r="F5" i="3"/>
  <c r="G24" i="3"/>
  <c r="S21" i="4"/>
  <c r="P4" i="3"/>
  <c r="F21" i="3"/>
  <c r="P32" i="3"/>
  <c r="F29" i="3"/>
  <c r="I25" i="3"/>
  <c r="H17" i="3"/>
  <c r="F32" i="3"/>
  <c r="G12" i="3"/>
  <c r="F19" i="3"/>
  <c r="J30" i="4"/>
  <c r="J1" i="4" s="1"/>
  <c r="G6" i="3"/>
  <c r="G33" i="3"/>
  <c r="H22" i="3"/>
  <c r="G16" i="4"/>
  <c r="G26" i="3"/>
  <c r="I14" i="3"/>
  <c r="F14" i="3"/>
  <c r="F24" i="3"/>
  <c r="P26" i="3"/>
  <c r="P16" i="3"/>
  <c r="H24" i="3"/>
  <c r="H26" i="3"/>
  <c r="H26" i="4"/>
  <c r="G32" i="3"/>
  <c r="L11" i="4"/>
  <c r="G27" i="3"/>
  <c r="I26" i="3"/>
  <c r="F17" i="3"/>
  <c r="I6" i="3"/>
  <c r="H4" i="3"/>
  <c r="S10" i="4"/>
  <c r="I16" i="3"/>
  <c r="H7" i="4"/>
  <c r="P25" i="3"/>
  <c r="H12" i="3"/>
  <c r="I31" i="3"/>
  <c r="I7" i="3"/>
  <c r="S17" i="4"/>
  <c r="G14" i="3"/>
  <c r="H31" i="4"/>
  <c r="G25" i="3"/>
  <c r="F9" i="4"/>
  <c r="G25" i="4"/>
  <c r="E6" i="4"/>
  <c r="H22" i="4"/>
  <c r="G32" i="4"/>
  <c r="G20" i="4"/>
  <c r="L4" i="4"/>
  <c r="G6" i="4"/>
  <c r="E13" i="4"/>
  <c r="J6" i="3"/>
  <c r="AK8" i="3"/>
  <c r="H14" i="4"/>
  <c r="AK9" i="3"/>
  <c r="L8" i="4"/>
  <c r="E20" i="4"/>
  <c r="L31" i="4"/>
  <c r="L24" i="4"/>
  <c r="AK33" i="3"/>
  <c r="G11" i="4"/>
  <c r="F30" i="4"/>
  <c r="D1" i="4"/>
  <c r="I1" i="4"/>
  <c r="R1" i="4"/>
  <c r="N1" i="4"/>
  <c r="V1" i="3"/>
  <c r="K1" i="4"/>
  <c r="Q1" i="4"/>
  <c r="M1" i="4"/>
  <c r="P1" i="4"/>
  <c r="O1" i="4"/>
  <c r="AJ1" i="3"/>
  <c r="AL1" i="3"/>
  <c r="AM1" i="3"/>
  <c r="H1" i="4" l="1"/>
  <c r="S1" i="4"/>
  <c r="L1" i="4"/>
  <c r="G8" i="4"/>
  <c r="G1" i="4" s="1"/>
  <c r="E4" i="4"/>
  <c r="E1" i="4" s="1"/>
  <c r="F22" i="4"/>
  <c r="F1" i="4" s="1"/>
  <c r="AK1" i="3"/>
  <c r="W1" i="3"/>
  <c r="AN1" i="3" l="1"/>
  <c r="AH1" i="3"/>
  <c r="AF1" i="3"/>
  <c r="AG1" i="3"/>
  <c r="Q1" i="3"/>
  <c r="P1" i="3"/>
  <c r="R1" i="3"/>
  <c r="D1" i="3"/>
  <c r="H1" i="3" l="1"/>
  <c r="AA1" i="3" l="1"/>
  <c r="O1" i="3" l="1"/>
  <c r="L1" i="3"/>
  <c r="M1" i="3" l="1"/>
  <c r="N1" i="3"/>
  <c r="X1" i="3" l="1"/>
  <c r="AE1" i="3"/>
  <c r="J1" i="3" l="1"/>
  <c r="K1" i="3"/>
  <c r="AD1" i="3" l="1"/>
  <c r="Z1" i="3"/>
  <c r="G1" i="3" l="1"/>
  <c r="I1" i="3"/>
  <c r="AB1" i="3" l="1"/>
  <c r="AC1" i="3"/>
  <c r="F1" i="3" l="1"/>
  <c r="AI1" i="3" l="1"/>
  <c r="U1" i="3"/>
  <c r="T1" i="3" l="1"/>
  <c r="S1" i="3" l="1"/>
  <c r="E1" i="3" l="1"/>
  <c r="Y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Juliane Castro Oliveira</author>
  </authors>
  <commentList>
    <comment ref="P5" authorId="0" shapeId="0" xr:uid="{583078AB-E0D1-4D26-A0F3-5621D63FEFA1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  <comment ref="BK5" authorId="0" shapeId="0" xr:uid="{26ADC8A1-D666-462F-A0BF-DA547780237A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<sst xmlns="http://schemas.openxmlformats.org/spreadsheetml/2006/main" count="385" uniqueCount="112">
  <si>
    <t>Evento</t>
  </si>
  <si>
    <t>Unimed Fatura</t>
  </si>
  <si>
    <t>Unimed Desc</t>
  </si>
  <si>
    <t>Unimed Custo</t>
  </si>
  <si>
    <t>Uniodonto Fatura</t>
  </si>
  <si>
    <t>Uniodonto Desc</t>
  </si>
  <si>
    <t>Uniodonto Custo</t>
  </si>
  <si>
    <t>Caju Fatura</t>
  </si>
  <si>
    <t>Caju Desc</t>
  </si>
  <si>
    <t>Caju Custo</t>
  </si>
  <si>
    <t>Seguro de Vida Fatura</t>
  </si>
  <si>
    <t>Seguro de Vida Desc</t>
  </si>
  <si>
    <t>Seguro de Vida Custo</t>
  </si>
  <si>
    <t>Sistel Folha</t>
  </si>
  <si>
    <t>Sistel Emprestimo</t>
  </si>
  <si>
    <t>Sistel Custo</t>
  </si>
  <si>
    <t>Claro</t>
  </si>
  <si>
    <t>Auxílio creche</t>
  </si>
  <si>
    <t>Reembolso Funcionários</t>
  </si>
  <si>
    <t>Vale Transporte Fatura</t>
  </si>
  <si>
    <t xml:space="preserve">Vale Transporte Desc </t>
  </si>
  <si>
    <t>Vale Transporte Custo</t>
  </si>
  <si>
    <t>Pensão Alimenticia</t>
  </si>
  <si>
    <t>Gratificação</t>
  </si>
  <si>
    <t>Auxílio Pós Graduação</t>
  </si>
  <si>
    <t>Auxílio HO</t>
  </si>
  <si>
    <t>ASO</t>
  </si>
  <si>
    <t xml:space="preserve">Auxilio Funeral </t>
  </si>
  <si>
    <t>Indicação Premiada</t>
  </si>
  <si>
    <t>Assistencia Saude Fatura</t>
  </si>
  <si>
    <t>Assistencia Saude Desc</t>
  </si>
  <si>
    <t>Assistencia Saude Custo</t>
  </si>
  <si>
    <t>Auxilio Transporte</t>
  </si>
  <si>
    <t>Inglês Tim Fatura</t>
  </si>
  <si>
    <t>Inglês Tim Desc</t>
  </si>
  <si>
    <t>Inglês Tim Custo</t>
  </si>
  <si>
    <t>Zenklub Fatura</t>
  </si>
  <si>
    <t>Zenklub Desc</t>
  </si>
  <si>
    <t>Zenklub Custo</t>
  </si>
  <si>
    <t>Bradesco Saude Fatura</t>
  </si>
  <si>
    <t xml:space="preserve">Bradesco Saude Desc </t>
  </si>
  <si>
    <t>Bradesco Saude Custo</t>
  </si>
  <si>
    <t>Bradesco Dental Fatura</t>
  </si>
  <si>
    <t xml:space="preserve">Bradesco Dental Desc </t>
  </si>
  <si>
    <t>Bradesco Dental Custo</t>
  </si>
  <si>
    <t>Ascan</t>
  </si>
  <si>
    <t>Comissao</t>
  </si>
  <si>
    <t>Academy</t>
  </si>
  <si>
    <t>Diárias de Viagem</t>
  </si>
  <si>
    <t>Caju Extra Fatura</t>
  </si>
  <si>
    <t>Caju Extra Desc</t>
  </si>
  <si>
    <t>Caju Extra Custo</t>
  </si>
  <si>
    <t>Open English Fatura</t>
  </si>
  <si>
    <t>Open English Desc</t>
  </si>
  <si>
    <t>Open English Custo</t>
  </si>
  <si>
    <t>Gympass</t>
  </si>
  <si>
    <t>Total Geral</t>
  </si>
  <si>
    <t>Matrícula</t>
  </si>
  <si>
    <t>Nome</t>
  </si>
  <si>
    <t>Salário</t>
  </si>
  <si>
    <t>Mat</t>
  </si>
  <si>
    <t>Uniodonto</t>
  </si>
  <si>
    <t>Salario</t>
  </si>
  <si>
    <t>Unimed</t>
  </si>
  <si>
    <t>Refeição</t>
  </si>
  <si>
    <t>SVG</t>
  </si>
  <si>
    <t>Sistel</t>
  </si>
  <si>
    <t>Empr Sistel</t>
  </si>
  <si>
    <t>Transporte</t>
  </si>
  <si>
    <t>Pensão Alimentícia</t>
  </si>
  <si>
    <t>Assistencia Saúde</t>
  </si>
  <si>
    <t>Ingles</t>
  </si>
  <si>
    <t>Zenklub</t>
  </si>
  <si>
    <t>Bradesco Saúde</t>
  </si>
  <si>
    <t>Bradesco Dental</t>
  </si>
  <si>
    <t>Diaria de Viagem</t>
  </si>
  <si>
    <t>Auxilio Creche</t>
  </si>
  <si>
    <t>Reembolso func</t>
  </si>
  <si>
    <t>Pós Graduação</t>
  </si>
  <si>
    <t>Auxilio funeral</t>
  </si>
  <si>
    <t>Indicação premiada</t>
  </si>
  <si>
    <t>Open English</t>
  </si>
  <si>
    <t>Caju Extra</t>
  </si>
  <si>
    <t>Recebimento</t>
  </si>
  <si>
    <t>Caju Intermitentes Fatura</t>
  </si>
  <si>
    <t>Caju Intermitentes Desc</t>
  </si>
  <si>
    <t>Caju Intermitentes Custo</t>
  </si>
  <si>
    <t>Creche - Intermitente</t>
  </si>
  <si>
    <t>Auxílio HO - Intermitente</t>
  </si>
  <si>
    <t>AGIEL</t>
  </si>
  <si>
    <t>Agiel</t>
  </si>
  <si>
    <t>Creche Intermitentes</t>
  </si>
  <si>
    <t>Caju Intermitentes</t>
  </si>
  <si>
    <t>Caju</t>
  </si>
  <si>
    <t>Seguro de Vida</t>
  </si>
  <si>
    <t>Auxílio Creche</t>
  </si>
  <si>
    <t>Reembolso Func</t>
  </si>
  <si>
    <t>Auxílio Funeral</t>
  </si>
  <si>
    <t>Assistência Saúde</t>
  </si>
  <si>
    <t>Auxílio Transporte</t>
  </si>
  <si>
    <t>Inglês Tim</t>
  </si>
  <si>
    <t>Comissão</t>
  </si>
  <si>
    <t>Diária de Viagem</t>
  </si>
  <si>
    <t>Diferença Sistel</t>
  </si>
  <si>
    <t>Fatura</t>
  </si>
  <si>
    <t>Desconto</t>
  </si>
  <si>
    <t>Custo</t>
  </si>
  <si>
    <t>Folha</t>
  </si>
  <si>
    <t>Empresti</t>
  </si>
  <si>
    <t>TOTAL</t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</si>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</sst>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R$-416]\ #,##0.00;\-[$R$-416]\ #,##0.00;[$R$-416]\ #,##0.00;@"/>
    <numFmt numFmtId="165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.25"/>
      <color rgb="FF000000"/>
      <name val="Tahoma"/>
      <family val="2"/>
    </font>
    <font>
      <sz val="8.25"/>
      <color rgb="FF282828"/>
      <name val="Tahoma"/>
      <family val="2"/>
    </font>
    <font>
      <sz val="8.25"/>
      <color rgb="FF000000"/>
      <name val="Tahoma"/>
    </font>
    <font>
      <sz val="8.25"/>
      <color rgb="FF282828"/>
      <name val="Tahoma"/>
    </font>
    <font>
      <sz val="10"/>
      <name val="Arial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  <fill>
      <patternFill patternType="solid">
        <fgColor rgb="FF213D93"/>
        <bgColor indexed="64"/>
      </patternFill>
    </fill>
    <fill>
      <patternFill patternType="solid">
        <fgColor rgb="FFF74D00"/>
        <bgColor indexed="64"/>
      </patternFill>
    </fill>
    <fill>
      <patternFill patternType="solid">
        <fgColor theme="0" tint="-0.14999847407452621"/>
        <bgColor rgb="FF000000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3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readingOrder="1"/>
    </xf>
    <xf numFmtId="4" fontId="0" fillId="0" borderId="0" xfId="0" applyNumberFormat="1"/>
    <xf numFmtId="0" fontId="3" fillId="5" borderId="2" xfId="0" applyFont="1" applyFill="1" applyBorder="1" applyAlignment="1">
      <alignment horizontal="center" vertical="center" wrapText="1"/>
    </xf>
    <xf numFmtId="43" fontId="0" fillId="0" borderId="0" xfId="1" applyFont="1"/>
    <xf numFmtId="49" fontId="0" fillId="0" borderId="2" xfId="0" applyNumberFormat="1" applyBorder="1"/>
    <xf numFmtId="0" fontId="0" fillId="0" borderId="2" xfId="0" applyBorder="1"/>
    <xf numFmtId="2" fontId="0" fillId="0" borderId="2" xfId="0" applyNumberFormat="1" applyBorder="1"/>
    <xf numFmtId="4" fontId="0" fillId="0" borderId="2" xfId="0" applyNumberFormat="1" applyBorder="1"/>
    <xf numFmtId="49" fontId="4" fillId="2" borderId="1" xfId="0" applyNumberFormat="1" applyFont="1" applyFill="1" applyBorder="1" applyAlignment="1">
      <alignment horizontal="left" vertical="center" readingOrder="1"/>
    </xf>
    <xf numFmtId="164" fontId="5" fillId="3" borderId="1" xfId="0" applyNumberFormat="1" applyFont="1" applyFill="1" applyBorder="1" applyAlignment="1">
      <alignment horizontal="right" vertical="center" readingOrder="1"/>
    </xf>
    <xf numFmtId="0" fontId="5" fillId="3" borderId="1" xfId="0" applyFont="1" applyFill="1" applyBorder="1" applyAlignment="1">
      <alignment horizontal="right" vertical="center" readingOrder="1"/>
    </xf>
    <xf numFmtId="14" fontId="0" fillId="0" borderId="2" xfId="0" applyNumberFormat="1" applyBorder="1"/>
    <xf numFmtId="43" fontId="0" fillId="0" borderId="2" xfId="1" applyFont="1" applyBorder="1"/>
    <xf numFmtId="49" fontId="6" fillId="2" borderId="1" xfId="0" applyNumberFormat="1" applyFont="1" applyFill="1" applyBorder="1" applyAlignment="1">
      <alignment vertical="center" readingOrder="1"/>
    </xf>
    <xf numFmtId="0" fontId="6" fillId="2" borderId="1" xfId="0" applyFont="1" applyFill="1" applyBorder="1" applyAlignment="1">
      <alignment vertical="center" readingOrder="1"/>
    </xf>
    <xf numFmtId="164" fontId="7" fillId="3" borderId="1" xfId="0" applyNumberFormat="1" applyFont="1" applyFill="1" applyBorder="1" applyAlignment="1">
      <alignment horizontal="right" vertical="center" readingOrder="1"/>
    </xf>
    <xf numFmtId="49" fontId="9" fillId="0" borderId="2" xfId="1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readingOrder="1"/>
    </xf>
    <xf numFmtId="49" fontId="4" fillId="2" borderId="7" xfId="0" applyNumberFormat="1" applyFont="1" applyFill="1" applyBorder="1" applyAlignment="1">
      <alignment horizontal="left" vertical="center" readingOrder="1"/>
    </xf>
    <xf numFmtId="49" fontId="4" fillId="2" borderId="8" xfId="0" applyNumberFormat="1" applyFont="1" applyFill="1" applyBorder="1" applyAlignment="1">
      <alignment horizontal="left" vertical="center" readingOrder="1"/>
    </xf>
    <xf numFmtId="49" fontId="4" fillId="2" borderId="9" xfId="0" applyNumberFormat="1" applyFont="1" applyFill="1" applyBorder="1" applyAlignment="1">
      <alignment horizontal="left" vertical="center" readingOrder="1"/>
    </xf>
    <xf numFmtId="0" fontId="13" fillId="6" borderId="2" xfId="2" applyFont="1" applyFill="1" applyBorder="1" applyAlignment="1">
      <alignment horizontal="center" vertical="center"/>
    </xf>
    <xf numFmtId="0" fontId="13" fillId="6" borderId="3" xfId="2" applyFont="1" applyFill="1" applyBorder="1" applyAlignment="1">
      <alignment horizontal="center" vertical="center"/>
    </xf>
    <xf numFmtId="0" fontId="13" fillId="6" borderId="4" xfId="2" applyFont="1" applyFill="1" applyBorder="1" applyAlignment="1">
      <alignment horizontal="center" vertical="center"/>
    </xf>
    <xf numFmtId="0" fontId="13" fillId="6" borderId="5" xfId="2" applyFont="1" applyFill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 wrapText="1"/>
    </xf>
    <xf numFmtId="0" fontId="13" fillId="6" borderId="6" xfId="2" applyFont="1" applyFill="1" applyBorder="1" applyAlignment="1">
      <alignment vertical="center"/>
    </xf>
    <xf numFmtId="165" fontId="13" fillId="6" borderId="2" xfId="1" applyNumberFormat="1" applyFont="1" applyFill="1" applyBorder="1" applyAlignment="1">
      <alignment horizontal="center" vertical="center" wrapText="1"/>
    </xf>
    <xf numFmtId="0" fontId="13" fillId="6" borderId="6" xfId="2" applyFont="1" applyFill="1" applyBorder="1" applyAlignment="1">
      <alignment horizontal="center" vertical="center"/>
    </xf>
    <xf numFmtId="165" fontId="13" fillId="6" borderId="6" xfId="1" applyNumberFormat="1" applyFont="1" applyFill="1" applyBorder="1" applyAlignment="1">
      <alignment horizontal="center" vertical="center" wrapText="1"/>
    </xf>
    <xf numFmtId="165" fontId="13" fillId="6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2" xr:uid="{778D3B9E-0BB3-4C87-B473-B7410754AD8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_macedo\Desktop\area_51\descontos_proventos_beneficios_01_2026.xlsx" TargetMode="External"/><Relationship Id="rId1" Type="http://schemas.openxmlformats.org/officeDocument/2006/relationships/externalLinkPath" Target="descontos_proventos_beneficios_01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alario"/>
      <sheetName val="rs_nova"/>
      <sheetName val="topmanager"/>
      <sheetName val="gestao de risco"/>
      <sheetName val="uniodonto"/>
      <sheetName val="proventos_desconto"/>
      <sheetName val="open_english"/>
      <sheetName val="segurodevida"/>
      <sheetName val="caju"/>
      <sheetName val="dif_sistel"/>
      <sheetName val="gympass"/>
      <sheetName val="zenklub"/>
      <sheetName val="ingles"/>
      <sheetName val="tabelas"/>
    </sheetNames>
    <sheetDataSet>
      <sheetData sheetId="0"/>
      <sheetData sheetId="1">
        <row r="3">
          <cell r="A3">
            <v>1</v>
          </cell>
          <cell r="B3" t="str">
            <v>ATIVO</v>
          </cell>
          <cell r="C3" t="str">
            <v>Colaborador 1</v>
          </cell>
        </row>
        <row r="4">
          <cell r="A4">
            <v>2</v>
          </cell>
          <cell r="B4" t="str">
            <v>ATIVO</v>
          </cell>
          <cell r="C4" t="str">
            <v>Colaborador 2</v>
          </cell>
        </row>
        <row r="5">
          <cell r="A5">
            <v>3</v>
          </cell>
          <cell r="B5" t="str">
            <v>ATIVO</v>
          </cell>
          <cell r="C5" t="str">
            <v>Colaborador 3</v>
          </cell>
        </row>
        <row r="6">
          <cell r="A6">
            <v>4</v>
          </cell>
          <cell r="B6" t="str">
            <v>ATIVO</v>
          </cell>
          <cell r="C6" t="str">
            <v>Colaborador 4</v>
          </cell>
        </row>
        <row r="7">
          <cell r="A7">
            <v>5</v>
          </cell>
          <cell r="B7" t="str">
            <v>ATIVO</v>
          </cell>
          <cell r="C7" t="str">
            <v>Colaborador 5</v>
          </cell>
        </row>
        <row r="8">
          <cell r="A8">
            <v>6</v>
          </cell>
          <cell r="B8" t="str">
            <v>ATIVO</v>
          </cell>
          <cell r="C8" t="str">
            <v>Colaborador 6</v>
          </cell>
        </row>
        <row r="9">
          <cell r="A9">
            <v>7</v>
          </cell>
          <cell r="B9" t="str">
            <v>ATIVO</v>
          </cell>
          <cell r="C9" t="str">
            <v>Colaborador 7</v>
          </cell>
        </row>
        <row r="10">
          <cell r="A10">
            <v>8</v>
          </cell>
          <cell r="B10" t="str">
            <v>ATIVO</v>
          </cell>
          <cell r="C10" t="str">
            <v>Colaborador 8</v>
          </cell>
        </row>
        <row r="11">
          <cell r="A11">
            <v>9</v>
          </cell>
          <cell r="B11" t="str">
            <v>ATIVO</v>
          </cell>
          <cell r="C11" t="str">
            <v>Colaborador 9</v>
          </cell>
        </row>
        <row r="12">
          <cell r="A12">
            <v>10</v>
          </cell>
          <cell r="B12" t="str">
            <v>ATIVO</v>
          </cell>
          <cell r="C12" t="str">
            <v>Colaborador 10</v>
          </cell>
        </row>
        <row r="13">
          <cell r="A13">
            <v>11</v>
          </cell>
          <cell r="B13" t="str">
            <v>ATIVO</v>
          </cell>
          <cell r="C13" t="str">
            <v>Colaborador 11</v>
          </cell>
        </row>
        <row r="14">
          <cell r="A14">
            <v>12</v>
          </cell>
          <cell r="B14" t="str">
            <v>ATIVO</v>
          </cell>
          <cell r="C14" t="str">
            <v>Colaborador 12</v>
          </cell>
        </row>
        <row r="15">
          <cell r="A15">
            <v>13</v>
          </cell>
          <cell r="B15" t="str">
            <v>ATIVO</v>
          </cell>
          <cell r="C15" t="str">
            <v>Colaborador 13</v>
          </cell>
        </row>
        <row r="16">
          <cell r="A16">
            <v>14</v>
          </cell>
          <cell r="B16" t="str">
            <v>ATIVO</v>
          </cell>
          <cell r="C16" t="str">
            <v>Colaborador 14</v>
          </cell>
        </row>
        <row r="17">
          <cell r="A17">
            <v>15</v>
          </cell>
          <cell r="B17" t="str">
            <v>ATIVO</v>
          </cell>
          <cell r="C17" t="str">
            <v>Colaborador 15</v>
          </cell>
        </row>
        <row r="18">
          <cell r="A18">
            <v>16</v>
          </cell>
          <cell r="B18" t="str">
            <v>ATIVO</v>
          </cell>
          <cell r="C18" t="str">
            <v>Colaborador 16</v>
          </cell>
        </row>
        <row r="19">
          <cell r="A19">
            <v>17</v>
          </cell>
          <cell r="B19" t="str">
            <v>ATIVO</v>
          </cell>
          <cell r="C19" t="str">
            <v>Colaborador 17</v>
          </cell>
        </row>
        <row r="20">
          <cell r="A20">
            <v>18</v>
          </cell>
          <cell r="B20" t="str">
            <v>ATIVO</v>
          </cell>
          <cell r="C20" t="str">
            <v>Colaborador 18</v>
          </cell>
        </row>
        <row r="21">
          <cell r="A21">
            <v>19</v>
          </cell>
          <cell r="B21" t="str">
            <v>ATIVO</v>
          </cell>
          <cell r="C21" t="str">
            <v>Colaborador 19</v>
          </cell>
        </row>
        <row r="22">
          <cell r="A22">
            <v>20</v>
          </cell>
          <cell r="B22" t="str">
            <v>ATIVO</v>
          </cell>
          <cell r="C22" t="str">
            <v>Colaborador 20</v>
          </cell>
        </row>
        <row r="23">
          <cell r="A23">
            <v>21</v>
          </cell>
          <cell r="B23" t="str">
            <v>ATIVO</v>
          </cell>
          <cell r="C23" t="str">
            <v>Colaborador 21</v>
          </cell>
        </row>
        <row r="24">
          <cell r="A24">
            <v>22</v>
          </cell>
          <cell r="B24" t="str">
            <v>ATIVO</v>
          </cell>
          <cell r="C24" t="str">
            <v>Colaborador 22</v>
          </cell>
        </row>
        <row r="25">
          <cell r="A25">
            <v>23</v>
          </cell>
          <cell r="B25" t="str">
            <v>ATIVO</v>
          </cell>
          <cell r="C25" t="str">
            <v>Colaborador 23</v>
          </cell>
        </row>
        <row r="26">
          <cell r="A26">
            <v>24</v>
          </cell>
          <cell r="B26" t="str">
            <v>ATIVO</v>
          </cell>
          <cell r="C26" t="str">
            <v>Colaborador 24</v>
          </cell>
        </row>
        <row r="27">
          <cell r="A27">
            <v>25</v>
          </cell>
          <cell r="B27" t="str">
            <v>ATIVO</v>
          </cell>
          <cell r="C27" t="str">
            <v>Colaborador 25</v>
          </cell>
        </row>
        <row r="28">
          <cell r="A28">
            <v>26</v>
          </cell>
          <cell r="B28" t="str">
            <v>ATIVO</v>
          </cell>
          <cell r="C28" t="str">
            <v>Colaborador 26</v>
          </cell>
        </row>
        <row r="29">
          <cell r="A29">
            <v>27</v>
          </cell>
          <cell r="B29" t="str">
            <v>ATIVO</v>
          </cell>
          <cell r="C29" t="str">
            <v>Colaborador 27</v>
          </cell>
        </row>
        <row r="30">
          <cell r="A30">
            <v>28</v>
          </cell>
          <cell r="B30" t="str">
            <v>ATIVO</v>
          </cell>
          <cell r="C30" t="str">
            <v>Colaborador 28</v>
          </cell>
        </row>
        <row r="31">
          <cell r="A31">
            <v>29</v>
          </cell>
          <cell r="B31" t="str">
            <v>ATIVO</v>
          </cell>
          <cell r="C31" t="str">
            <v>Colaborador 29</v>
          </cell>
        </row>
        <row r="32">
          <cell r="A32">
            <v>30</v>
          </cell>
          <cell r="B32" t="str">
            <v>ATIVO</v>
          </cell>
          <cell r="C32" t="str">
            <v>Colaborador 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U618"/>
  <sheetViews>
    <sheetView workbookViewId="0">
      <selection activeCell="A6" sqref="A6:DU618"/>
    </sheetView>
  </sheetViews>
  <sheetFormatPr defaultRowHeight="15" x14ac:dyDescent="0.25"/>
  <cols>
    <col min="1" max="7" width="1.42578125" customWidth="1"/>
    <col min="8" max="8" width="0.5703125" customWidth="1"/>
    <col min="9" max="9" width="0.85546875" customWidth="1"/>
    <col min="10" max="52" width="1.42578125" customWidth="1"/>
    <col min="53" max="54" width="0.7109375" customWidth="1"/>
    <col min="55" max="63" width="1.42578125" customWidth="1"/>
    <col min="64" max="64" width="0.7109375" customWidth="1"/>
    <col min="65" max="104" width="14.28515625" customWidth="1"/>
    <col min="105" max="105" width="22.5703125" customWidth="1"/>
    <col min="106" max="106" width="20" customWidth="1"/>
    <col min="107" max="107" width="20.140625" customWidth="1"/>
    <col min="108" max="125" width="14.28515625" customWidth="1"/>
  </cols>
  <sheetData>
    <row r="1" spans="1:125" ht="15" customHeight="1" x14ac:dyDescent="0.25">
      <c r="A1" s="21" t="s">
        <v>83</v>
      </c>
      <c r="B1" s="21"/>
      <c r="C1" s="21"/>
      <c r="D1" s="21"/>
      <c r="E1" s="21"/>
      <c r="F1" s="21"/>
      <c r="G1" s="21"/>
      <c r="H1" s="21"/>
    </row>
    <row r="2" spans="1:125" ht="2.25" customHeight="1" x14ac:dyDescent="0.25"/>
    <row r="3" spans="1:125" ht="15" customHeight="1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21" t="s">
        <v>8</v>
      </c>
      <c r="I3" s="21"/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  <c r="AH3" s="11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11" t="s">
        <v>38</v>
      </c>
      <c r="AN3" s="11" t="s">
        <v>39</v>
      </c>
      <c r="AO3" s="11" t="s">
        <v>40</v>
      </c>
      <c r="AP3" s="11" t="s">
        <v>41</v>
      </c>
      <c r="AQ3" s="11" t="s">
        <v>42</v>
      </c>
      <c r="AR3" s="11" t="s">
        <v>43</v>
      </c>
      <c r="AS3" s="11" t="s">
        <v>44</v>
      </c>
      <c r="AT3" s="11" t="s">
        <v>45</v>
      </c>
      <c r="AU3" s="11" t="s">
        <v>46</v>
      </c>
      <c r="AV3" s="11" t="s">
        <v>47</v>
      </c>
      <c r="AW3" s="11" t="s">
        <v>48</v>
      </c>
      <c r="AX3" s="11" t="s">
        <v>49</v>
      </c>
      <c r="AY3" s="11" t="s">
        <v>50</v>
      </c>
      <c r="AZ3" s="11" t="s">
        <v>51</v>
      </c>
      <c r="BA3" s="21" t="s">
        <v>52</v>
      </c>
      <c r="BB3" s="21"/>
      <c r="BC3" s="11" t="s">
        <v>53</v>
      </c>
      <c r="BD3" s="11" t="s">
        <v>54</v>
      </c>
      <c r="BE3" s="11" t="s">
        <v>55</v>
      </c>
      <c r="BF3" s="11" t="s">
        <v>84</v>
      </c>
      <c r="BG3" s="11" t="s">
        <v>85</v>
      </c>
      <c r="BH3" s="11" t="s">
        <v>86</v>
      </c>
      <c r="BI3" s="11" t="s">
        <v>87</v>
      </c>
      <c r="BJ3" s="11" t="s">
        <v>88</v>
      </c>
      <c r="BK3" s="11" t="s">
        <v>89</v>
      </c>
    </row>
    <row r="4" spans="1:125" ht="15" customHeight="1" x14ac:dyDescent="0.25">
      <c r="BM4" s="22" t="s">
        <v>56</v>
      </c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</row>
    <row r="5" spans="1:125" ht="15" customHeight="1" x14ac:dyDescent="0.25">
      <c r="A5" s="21" t="s">
        <v>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 t="s">
        <v>58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 t="s">
        <v>59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1" t="s">
        <v>1</v>
      </c>
      <c r="BN5" s="11" t="s">
        <v>2</v>
      </c>
      <c r="BO5" s="11" t="s">
        <v>3</v>
      </c>
      <c r="BP5" s="11" t="s">
        <v>4</v>
      </c>
      <c r="BQ5" s="11" t="s">
        <v>5</v>
      </c>
      <c r="BR5" s="11" t="s">
        <v>6</v>
      </c>
      <c r="BS5" s="11" t="s">
        <v>7</v>
      </c>
      <c r="BT5" s="11" t="s">
        <v>8</v>
      </c>
      <c r="BU5" s="11" t="s">
        <v>9</v>
      </c>
      <c r="BV5" s="11" t="s">
        <v>10</v>
      </c>
      <c r="BW5" s="11" t="s">
        <v>11</v>
      </c>
      <c r="BX5" s="11" t="s">
        <v>12</v>
      </c>
      <c r="BY5" s="11" t="s">
        <v>13</v>
      </c>
      <c r="BZ5" s="11" t="s">
        <v>14</v>
      </c>
      <c r="CA5" s="11" t="s">
        <v>15</v>
      </c>
      <c r="CB5" s="11" t="s">
        <v>16</v>
      </c>
      <c r="CC5" s="11" t="s">
        <v>17</v>
      </c>
      <c r="CD5" s="11" t="s">
        <v>18</v>
      </c>
      <c r="CE5" s="11" t="s">
        <v>19</v>
      </c>
      <c r="CF5" s="11" t="s">
        <v>20</v>
      </c>
      <c r="CG5" s="11" t="s">
        <v>21</v>
      </c>
      <c r="CH5" s="11" t="s">
        <v>22</v>
      </c>
      <c r="CI5" s="11" t="s">
        <v>23</v>
      </c>
      <c r="CJ5" s="11" t="s">
        <v>24</v>
      </c>
      <c r="CK5" s="11" t="s">
        <v>25</v>
      </c>
      <c r="CL5" s="11" t="s">
        <v>26</v>
      </c>
      <c r="CM5" s="11" t="s">
        <v>27</v>
      </c>
      <c r="CN5" s="11" t="s">
        <v>28</v>
      </c>
      <c r="CO5" s="11" t="s">
        <v>29</v>
      </c>
      <c r="CP5" s="11" t="s">
        <v>30</v>
      </c>
      <c r="CQ5" s="11" t="s">
        <v>31</v>
      </c>
      <c r="CR5" s="11" t="s">
        <v>32</v>
      </c>
      <c r="CS5" s="11" t="s">
        <v>33</v>
      </c>
      <c r="CT5" s="11" t="s">
        <v>34</v>
      </c>
      <c r="CU5" s="11" t="s">
        <v>35</v>
      </c>
      <c r="CV5" s="11" t="s">
        <v>36</v>
      </c>
      <c r="CW5" s="11" t="s">
        <v>37</v>
      </c>
      <c r="CX5" s="11" t="s">
        <v>38</v>
      </c>
      <c r="CY5" s="11" t="s">
        <v>39</v>
      </c>
      <c r="CZ5" s="11" t="s">
        <v>40</v>
      </c>
      <c r="DA5" s="11" t="s">
        <v>41</v>
      </c>
      <c r="DB5" s="11" t="s">
        <v>42</v>
      </c>
      <c r="DC5" s="11" t="s">
        <v>43</v>
      </c>
      <c r="DD5" s="11" t="s">
        <v>44</v>
      </c>
      <c r="DE5" s="11" t="s">
        <v>45</v>
      </c>
      <c r="DF5" s="11" t="s">
        <v>46</v>
      </c>
      <c r="DG5" s="11" t="s">
        <v>47</v>
      </c>
      <c r="DH5" s="11" t="s">
        <v>48</v>
      </c>
      <c r="DI5" s="11" t="s">
        <v>49</v>
      </c>
      <c r="DJ5" s="11" t="s">
        <v>50</v>
      </c>
      <c r="DK5" s="11" t="s">
        <v>51</v>
      </c>
      <c r="DL5" s="11" t="s">
        <v>52</v>
      </c>
      <c r="DM5" s="11" t="s">
        <v>53</v>
      </c>
      <c r="DN5" s="11" t="s">
        <v>54</v>
      </c>
      <c r="DO5" s="11" t="s">
        <v>55</v>
      </c>
      <c r="DP5" s="11" t="s">
        <v>84</v>
      </c>
      <c r="DQ5" s="11" t="s">
        <v>85</v>
      </c>
      <c r="DR5" s="11" t="s">
        <v>86</v>
      </c>
      <c r="DS5" s="11" t="s">
        <v>87</v>
      </c>
      <c r="DT5" s="11" t="s">
        <v>88</v>
      </c>
      <c r="DU5" s="11" t="s">
        <v>89</v>
      </c>
    </row>
    <row r="6" spans="1:125" ht="1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5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</row>
    <row r="7" spans="1:125" ht="1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5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</row>
    <row r="8" spans="1:125" ht="1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5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</row>
    <row r="9" spans="1:125" ht="1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5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</row>
    <row r="10" spans="1:125" ht="1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5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</row>
    <row r="11" spans="1:125" ht="1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5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</row>
    <row r="12" spans="1:125" ht="15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5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</row>
    <row r="13" spans="1:125" ht="1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5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</row>
    <row r="14" spans="1:125" ht="1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5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</row>
    <row r="15" spans="1:125" ht="1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5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</row>
    <row r="16" spans="1:125" ht="1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5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</row>
    <row r="17" spans="1:125" ht="1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5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</row>
    <row r="18" spans="1:125" ht="1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5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</row>
    <row r="19" spans="1:125" ht="1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5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</row>
    <row r="20" spans="1:125" ht="15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5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</row>
    <row r="21" spans="1:125" ht="1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5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</row>
    <row r="22" spans="1:125" ht="1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5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</row>
    <row r="23" spans="1:125" ht="1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3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5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</row>
    <row r="24" spans="1:125" ht="15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3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5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</row>
    <row r="25" spans="1:125" ht="15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3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5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</row>
    <row r="26" spans="1:125" ht="1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3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5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3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</row>
    <row r="27" spans="1:125" ht="1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5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3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</row>
    <row r="28" spans="1:125" ht="1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5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3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</row>
    <row r="29" spans="1:125" ht="1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5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3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</row>
    <row r="30" spans="1:125" ht="1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3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5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3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</row>
    <row r="31" spans="1:125" ht="1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3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5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3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</row>
    <row r="32" spans="1:125" ht="1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5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3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</row>
    <row r="33" spans="1:125" ht="1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3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5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3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</row>
    <row r="34" spans="1:125" ht="1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3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5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3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</row>
    <row r="35" spans="1:125" ht="1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3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5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3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</row>
    <row r="36" spans="1:125" ht="1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3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5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3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</row>
    <row r="37" spans="1:125" ht="1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3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</row>
    <row r="38" spans="1:125" ht="1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3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</row>
    <row r="39" spans="1:125" ht="1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3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</row>
    <row r="40" spans="1:125" ht="1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3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</row>
    <row r="41" spans="1:125" ht="1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3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</row>
    <row r="42" spans="1:12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3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</row>
    <row r="43" spans="1:125" ht="1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3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</row>
    <row r="44" spans="1:125" ht="1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3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</row>
    <row r="45" spans="1:125" ht="1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3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</row>
    <row r="46" spans="1:125" ht="1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3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</row>
    <row r="47" spans="1:125" ht="1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3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</row>
    <row r="48" spans="1:125" ht="1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3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</row>
    <row r="49" spans="1:125" ht="1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3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</row>
    <row r="50" spans="1:125" ht="1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3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</row>
    <row r="51" spans="1:125" ht="1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3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</row>
    <row r="52" spans="1:125" ht="1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3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</row>
    <row r="53" spans="1:125" ht="1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3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</row>
    <row r="54" spans="1:125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3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</row>
    <row r="55" spans="1:125" ht="1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3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</row>
    <row r="56" spans="1:125" ht="1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3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</row>
    <row r="57" spans="1:125" ht="1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3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</row>
    <row r="58" spans="1:125" ht="1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3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</row>
    <row r="59" spans="1:125" ht="1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3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</row>
    <row r="60" spans="1:125" ht="1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3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</row>
    <row r="61" spans="1:125" ht="1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3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</row>
    <row r="62" spans="1:125" ht="1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3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</row>
    <row r="63" spans="1:125" ht="1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3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</row>
    <row r="64" spans="1:125" ht="1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3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</row>
    <row r="65" spans="1:125" ht="1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3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</row>
    <row r="66" spans="1:125" ht="1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3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</row>
    <row r="67" spans="1:125" ht="1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3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</row>
    <row r="68" spans="1:125" ht="1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3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</row>
    <row r="69" spans="1:125" ht="1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3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</row>
    <row r="70" spans="1:125" ht="1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3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</row>
    <row r="71" spans="1:125" ht="1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3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</row>
    <row r="72" spans="1:125" ht="1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3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</row>
    <row r="73" spans="1:125" ht="1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3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</row>
    <row r="74" spans="1:125" ht="1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3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</row>
    <row r="75" spans="1:125" ht="1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3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</row>
    <row r="76" spans="1:125" ht="1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3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</row>
    <row r="77" spans="1:125" ht="1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3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</row>
    <row r="78" spans="1:125" ht="1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3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</row>
    <row r="79" spans="1:125" ht="1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3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</row>
    <row r="80" spans="1:125" ht="1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3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</row>
    <row r="81" spans="1:125" ht="1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3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</row>
    <row r="82" spans="1:125" ht="1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3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</row>
    <row r="83" spans="1:125" ht="1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3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</row>
    <row r="84" spans="1:125" ht="1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3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</row>
    <row r="85" spans="1:125" ht="1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3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</row>
    <row r="86" spans="1:125" ht="1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3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</row>
    <row r="87" spans="1:125" ht="1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3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</row>
    <row r="88" spans="1:125" ht="1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3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</row>
    <row r="89" spans="1:125" ht="1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3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</row>
    <row r="90" spans="1:125" ht="1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3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</row>
    <row r="91" spans="1:125" ht="1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3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</row>
    <row r="92" spans="1:125" ht="1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3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</row>
    <row r="93" spans="1:125" ht="1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3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</row>
    <row r="94" spans="1:125" ht="1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3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</row>
    <row r="95" spans="1:125" ht="1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3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</row>
    <row r="96" spans="1:125" ht="1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3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</row>
    <row r="97" spans="1:125" ht="1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3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</row>
    <row r="98" spans="1:125" ht="1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3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</row>
    <row r="99" spans="1:125" ht="1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3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</row>
    <row r="100" spans="1:125" ht="1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3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</row>
    <row r="101" spans="1:125" ht="1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3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</row>
    <row r="102" spans="1:125" ht="1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3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</row>
    <row r="103" spans="1:125" ht="1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3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</row>
    <row r="104" spans="1:125" ht="1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3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</row>
    <row r="105" spans="1:125" ht="1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3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</row>
    <row r="106" spans="1:125" ht="1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3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</row>
    <row r="107" spans="1:125" ht="1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3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</row>
    <row r="108" spans="1:125" ht="1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3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</row>
    <row r="109" spans="1:125" ht="1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3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</row>
    <row r="110" spans="1:125" ht="1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3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</row>
    <row r="111" spans="1:125" ht="1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3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</row>
    <row r="112" spans="1:125" ht="1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3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</row>
    <row r="113" spans="1:125" ht="1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3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</row>
    <row r="114" spans="1:125" ht="1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3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</row>
    <row r="115" spans="1:125" ht="1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3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</row>
    <row r="116" spans="1:125" ht="1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3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</row>
    <row r="117" spans="1:125" ht="1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3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</row>
    <row r="118" spans="1:125" ht="1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3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</row>
    <row r="119" spans="1:125" ht="1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3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</row>
    <row r="120" spans="1:125" ht="1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3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</row>
    <row r="121" spans="1:125" ht="1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3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</row>
    <row r="122" spans="1:125" ht="1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3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</row>
    <row r="123" spans="1:125" ht="1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3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</row>
    <row r="124" spans="1:125" ht="1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3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</row>
    <row r="125" spans="1:125" ht="1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3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</row>
    <row r="126" spans="1:125" ht="1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3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</row>
    <row r="127" spans="1:125" ht="1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3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</row>
    <row r="128" spans="1:125" ht="1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3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</row>
    <row r="129" spans="1:125" ht="1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3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</row>
    <row r="130" spans="1:125" ht="1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3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</row>
    <row r="131" spans="1:125" ht="1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3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</row>
    <row r="132" spans="1:125" ht="1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3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</row>
    <row r="133" spans="1:125" ht="1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3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</row>
    <row r="134" spans="1:125" ht="1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3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</row>
    <row r="135" spans="1:125" ht="1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3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</row>
    <row r="136" spans="1:125" ht="1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3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</row>
    <row r="137" spans="1:125" ht="1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3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</row>
    <row r="138" spans="1:125" ht="1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3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</row>
    <row r="139" spans="1:125" ht="1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3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</row>
    <row r="140" spans="1:125" ht="1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3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</row>
    <row r="141" spans="1:125" ht="1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3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</row>
    <row r="142" spans="1:125" ht="1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3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</row>
    <row r="143" spans="1:125" ht="1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3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</row>
    <row r="144" spans="1:125" ht="1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3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</row>
    <row r="145" spans="1:125" ht="1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3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</row>
    <row r="146" spans="1:125" ht="1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3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</row>
    <row r="147" spans="1:125" ht="1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3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</row>
    <row r="148" spans="1:125" ht="1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3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</row>
    <row r="149" spans="1:125" ht="1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3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</row>
    <row r="150" spans="1:125" ht="1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3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</row>
    <row r="151" spans="1:125" ht="1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3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</row>
    <row r="152" spans="1:125" ht="1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3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</row>
    <row r="153" spans="1:125" ht="1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3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</row>
    <row r="154" spans="1:125" ht="1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3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</row>
    <row r="155" spans="1:125" ht="1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3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</row>
    <row r="156" spans="1:125" ht="1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3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</row>
    <row r="157" spans="1:125" ht="1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3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</row>
    <row r="158" spans="1:125" ht="1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3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</row>
    <row r="159" spans="1:125" ht="1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3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</row>
    <row r="160" spans="1:125" ht="1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3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</row>
    <row r="161" spans="1:125" ht="1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3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</row>
    <row r="162" spans="1:125" ht="1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3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</row>
    <row r="163" spans="1:125" ht="1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3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</row>
    <row r="164" spans="1:125" ht="1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3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</row>
    <row r="165" spans="1:125" ht="1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3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</row>
    <row r="166" spans="1:125" ht="1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3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</row>
    <row r="167" spans="1:125" ht="1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3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</row>
    <row r="168" spans="1:125" ht="1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3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</row>
    <row r="169" spans="1:125" ht="1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3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</row>
    <row r="170" spans="1:125" ht="1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3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</row>
    <row r="171" spans="1:125" ht="1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3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</row>
    <row r="172" spans="1:125" ht="1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3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</row>
    <row r="173" spans="1:125" ht="1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3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</row>
    <row r="174" spans="1:125" ht="1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3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</row>
    <row r="175" spans="1:125" ht="1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3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</row>
    <row r="176" spans="1:125" ht="1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3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</row>
    <row r="177" spans="1:125" ht="1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3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</row>
    <row r="178" spans="1:125" ht="1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3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</row>
    <row r="179" spans="1:125" ht="1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3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</row>
    <row r="180" spans="1:125" ht="1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3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</row>
    <row r="181" spans="1:125" ht="1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3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</row>
    <row r="182" spans="1:125" ht="1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3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</row>
    <row r="183" spans="1:125" ht="1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3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</row>
    <row r="184" spans="1:125" ht="1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3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</row>
    <row r="185" spans="1:125" ht="1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3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</row>
    <row r="186" spans="1:125" ht="1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3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</row>
    <row r="187" spans="1:125" ht="1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3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</row>
    <row r="188" spans="1:125" ht="1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3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</row>
    <row r="189" spans="1:125" ht="1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3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</row>
    <row r="190" spans="1:125" ht="1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3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</row>
    <row r="191" spans="1:125" ht="1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3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</row>
    <row r="192" spans="1:125" ht="1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3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</row>
    <row r="193" spans="1:125" ht="1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3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</row>
    <row r="194" spans="1:125" ht="1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3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</row>
    <row r="195" spans="1:125" ht="1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3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</row>
    <row r="196" spans="1:125" ht="1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3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</row>
    <row r="197" spans="1:125" ht="1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3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</row>
    <row r="198" spans="1:125" ht="1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3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</row>
    <row r="199" spans="1:125" ht="1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3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</row>
    <row r="200" spans="1:125" ht="1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3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</row>
    <row r="201" spans="1:125" ht="1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3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</row>
    <row r="202" spans="1:125" ht="1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3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</row>
    <row r="203" spans="1:125" ht="1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3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</row>
    <row r="204" spans="1:125" ht="1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3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</row>
    <row r="205" spans="1:125" ht="1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3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</row>
    <row r="206" spans="1:125" ht="1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3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</row>
    <row r="207" spans="1:125" ht="1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3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</row>
    <row r="208" spans="1:125" ht="1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3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</row>
    <row r="209" spans="1:125" ht="1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3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</row>
    <row r="210" spans="1:125" ht="1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3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</row>
    <row r="211" spans="1:125" ht="1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3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</row>
    <row r="212" spans="1:125" ht="1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3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</row>
    <row r="213" spans="1:125" ht="1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3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</row>
    <row r="214" spans="1:125" ht="1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3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</row>
    <row r="215" spans="1:125" ht="1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3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</row>
    <row r="216" spans="1:125" ht="1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3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</row>
    <row r="217" spans="1:125" ht="1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3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</row>
    <row r="218" spans="1:125" ht="1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3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</row>
    <row r="219" spans="1:125" ht="1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3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</row>
    <row r="220" spans="1:125" ht="1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3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</row>
    <row r="221" spans="1:125" ht="1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3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</row>
    <row r="222" spans="1:125" ht="1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3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</row>
    <row r="223" spans="1:125" ht="1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3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</row>
    <row r="224" spans="1:125" ht="1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3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</row>
    <row r="225" spans="1:125" ht="1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3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</row>
    <row r="226" spans="1:125" ht="1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3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</row>
    <row r="227" spans="1:125" ht="1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3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</row>
    <row r="228" spans="1:125" ht="1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3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</row>
    <row r="229" spans="1:125" ht="1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3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</row>
    <row r="230" spans="1:125" ht="1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3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</row>
    <row r="231" spans="1:125" ht="1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3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</row>
    <row r="232" spans="1:125" ht="1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3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</row>
    <row r="233" spans="1:125" ht="1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3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</row>
    <row r="234" spans="1:125" ht="1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3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</row>
    <row r="235" spans="1:125" ht="1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3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</row>
    <row r="236" spans="1:125" ht="1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3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</row>
    <row r="237" spans="1:125" ht="1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3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</row>
    <row r="238" spans="1:125" ht="1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3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</row>
    <row r="239" spans="1:125" ht="1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3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</row>
    <row r="240" spans="1:125" ht="1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3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</row>
    <row r="241" spans="1:125" ht="1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3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</row>
    <row r="242" spans="1:125" ht="1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3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</row>
    <row r="243" spans="1:125" ht="1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3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</row>
    <row r="244" spans="1:125" ht="1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3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</row>
    <row r="245" spans="1:125" ht="1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3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</row>
    <row r="246" spans="1:125" ht="1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3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</row>
    <row r="247" spans="1:125" ht="1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3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</row>
    <row r="248" spans="1:125" ht="1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3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</row>
    <row r="249" spans="1:125" ht="1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3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</row>
    <row r="250" spans="1:125" ht="1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3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</row>
    <row r="251" spans="1:125" ht="1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3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</row>
    <row r="252" spans="1:125" ht="1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3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</row>
    <row r="253" spans="1:125" ht="1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3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</row>
    <row r="254" spans="1:125" ht="1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3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</row>
    <row r="255" spans="1:125" ht="1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3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</row>
    <row r="256" spans="1:125" ht="1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3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</row>
    <row r="257" spans="1:125" ht="1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3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</row>
    <row r="258" spans="1:125" ht="1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3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</row>
    <row r="259" spans="1:125" ht="1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3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</row>
    <row r="260" spans="1:125" ht="1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3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</row>
    <row r="261" spans="1:125" ht="1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3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</row>
    <row r="262" spans="1:125" ht="1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3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</row>
    <row r="263" spans="1:125" ht="1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3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</row>
    <row r="264" spans="1:125" ht="1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3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</row>
    <row r="265" spans="1:125" ht="1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3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</row>
    <row r="266" spans="1:125" ht="1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3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</row>
    <row r="267" spans="1:125" ht="1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3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</row>
    <row r="268" spans="1:125" ht="1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3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</row>
    <row r="269" spans="1:125" ht="1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3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</row>
    <row r="270" spans="1:125" ht="1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3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</row>
    <row r="271" spans="1:125" ht="1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3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</row>
    <row r="272" spans="1:125" ht="1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3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</row>
    <row r="273" spans="1:125" ht="1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3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</row>
    <row r="274" spans="1:125" ht="1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3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</row>
    <row r="275" spans="1:125" ht="1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3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</row>
    <row r="276" spans="1:125" ht="1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3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</row>
    <row r="277" spans="1:125" ht="1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3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</row>
    <row r="278" spans="1:125" ht="1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3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</row>
    <row r="279" spans="1:125" ht="1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3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</row>
    <row r="280" spans="1:125" ht="1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3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</row>
    <row r="281" spans="1:125" ht="1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3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</row>
    <row r="282" spans="1:125" ht="1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3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</row>
    <row r="283" spans="1:125" ht="1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3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</row>
    <row r="284" spans="1:125" ht="1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3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</row>
    <row r="285" spans="1:125" ht="1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3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</row>
    <row r="286" spans="1:125" ht="1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3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</row>
    <row r="287" spans="1:125" ht="1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3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</row>
    <row r="288" spans="1:125" ht="1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3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</row>
    <row r="289" spans="1:125" ht="1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3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</row>
    <row r="290" spans="1:125" ht="1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3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</row>
    <row r="291" spans="1:125" ht="1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3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</row>
    <row r="292" spans="1:125" ht="1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3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</row>
    <row r="293" spans="1:125" ht="1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3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</row>
    <row r="294" spans="1:125" ht="1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3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</row>
    <row r="295" spans="1:125" ht="1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3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</row>
    <row r="296" spans="1:125" ht="1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3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</row>
    <row r="297" spans="1:125" ht="1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3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</row>
    <row r="298" spans="1:125" ht="1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3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</row>
    <row r="299" spans="1:125" ht="1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3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</row>
    <row r="300" spans="1:125" ht="1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3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</row>
    <row r="301" spans="1:125" ht="1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3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</row>
    <row r="302" spans="1:125" ht="1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3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</row>
    <row r="303" spans="1:125" ht="1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3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</row>
    <row r="304" spans="1:125" ht="1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3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</row>
    <row r="305" spans="1:125" ht="1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3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</row>
    <row r="306" spans="1:125" ht="1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3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</row>
    <row r="307" spans="1:125" ht="1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3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</row>
    <row r="308" spans="1:125" ht="1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3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</row>
    <row r="309" spans="1:125" ht="1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3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</row>
    <row r="310" spans="1:125" ht="1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3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</row>
    <row r="311" spans="1:125" ht="1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3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</row>
    <row r="312" spans="1:125" ht="1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3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</row>
    <row r="313" spans="1:125" ht="1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3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</row>
    <row r="314" spans="1:125" ht="1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3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</row>
    <row r="315" spans="1:125" ht="1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3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</row>
    <row r="316" spans="1:125" ht="1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3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</row>
    <row r="317" spans="1:125" ht="1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3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</row>
    <row r="318" spans="1:125" ht="1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3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</row>
    <row r="319" spans="1:125" ht="1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3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</row>
    <row r="320" spans="1:125" ht="1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3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</row>
    <row r="321" spans="1:125" ht="1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3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</row>
    <row r="322" spans="1:125" ht="1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3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</row>
    <row r="323" spans="1:125" ht="1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3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</row>
    <row r="324" spans="1:125" ht="1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3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</row>
    <row r="325" spans="1:125" ht="1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3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</row>
    <row r="326" spans="1:125" ht="1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3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</row>
    <row r="327" spans="1:125" ht="1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3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</row>
    <row r="328" spans="1:125" ht="1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3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</row>
    <row r="329" spans="1:125" ht="1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3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</row>
    <row r="330" spans="1:125" ht="1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3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</row>
    <row r="331" spans="1:125" ht="1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3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</row>
    <row r="332" spans="1:125" ht="1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3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</row>
    <row r="333" spans="1:125" ht="1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3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</row>
    <row r="334" spans="1:125" ht="1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3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</row>
    <row r="335" spans="1:125" ht="1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3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</row>
    <row r="336" spans="1:125" ht="1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3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</row>
    <row r="337" spans="1:125" ht="1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3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</row>
    <row r="338" spans="1:125" ht="1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3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</row>
    <row r="339" spans="1:125" ht="1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3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</row>
    <row r="340" spans="1:125" ht="1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3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</row>
    <row r="341" spans="1:125" ht="1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3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</row>
    <row r="342" spans="1:125" ht="1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3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</row>
    <row r="343" spans="1:125" ht="1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3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</row>
    <row r="344" spans="1:125" ht="1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3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</row>
    <row r="345" spans="1:125" ht="1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3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</row>
    <row r="346" spans="1:125" ht="1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3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</row>
    <row r="347" spans="1:125" ht="1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3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</row>
    <row r="348" spans="1:125" ht="1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3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</row>
    <row r="349" spans="1:125" ht="1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3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</row>
    <row r="350" spans="1:125" ht="1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3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</row>
    <row r="351" spans="1:125" ht="1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3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</row>
    <row r="352" spans="1:125" ht="1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3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</row>
    <row r="353" spans="1:125" ht="1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3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</row>
    <row r="354" spans="1:125" ht="1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3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</row>
    <row r="355" spans="1:125" ht="1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3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</row>
    <row r="356" spans="1:125" ht="1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3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</row>
    <row r="357" spans="1:125" ht="1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3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</row>
    <row r="358" spans="1:125" ht="1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3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</row>
    <row r="359" spans="1:125" ht="1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3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</row>
    <row r="360" spans="1:125" ht="1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3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</row>
    <row r="361" spans="1:125" ht="1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3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</row>
    <row r="362" spans="1:125" ht="1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3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</row>
    <row r="363" spans="1:125" ht="1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3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</row>
    <row r="364" spans="1:125" ht="1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3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</row>
    <row r="365" spans="1:125" ht="1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3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</row>
    <row r="366" spans="1:125" ht="1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3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</row>
    <row r="367" spans="1:125" ht="1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3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</row>
    <row r="368" spans="1:125" ht="1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3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</row>
    <row r="369" spans="1:125" ht="1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3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</row>
    <row r="370" spans="1:125" ht="1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3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</row>
    <row r="371" spans="1:125" ht="1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3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</row>
    <row r="372" spans="1:125" ht="1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3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</row>
    <row r="373" spans="1:125" ht="1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3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</row>
    <row r="374" spans="1:125" ht="1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3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</row>
    <row r="375" spans="1:125" ht="1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3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</row>
    <row r="376" spans="1:125" ht="1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3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</row>
    <row r="377" spans="1:125" ht="1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3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</row>
    <row r="378" spans="1:125" ht="1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3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</row>
    <row r="379" spans="1:125" ht="1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3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</row>
    <row r="380" spans="1:125" ht="1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3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</row>
    <row r="381" spans="1:125" ht="1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3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</row>
    <row r="382" spans="1:125" ht="1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3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</row>
    <row r="383" spans="1:125" ht="1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3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</row>
    <row r="384" spans="1:125" ht="1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3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</row>
    <row r="385" spans="1:125" ht="1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3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</row>
    <row r="386" spans="1:125" ht="1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3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</row>
    <row r="387" spans="1:125" ht="1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3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</row>
    <row r="388" spans="1:125" ht="1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3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</row>
    <row r="389" spans="1:125" ht="1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3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</row>
    <row r="390" spans="1:125" ht="1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3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</row>
    <row r="391" spans="1:125" ht="1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3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</row>
    <row r="392" spans="1:125" ht="1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3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</row>
    <row r="393" spans="1:125" ht="1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3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</row>
    <row r="394" spans="1:125" ht="1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3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</row>
    <row r="395" spans="1:125" ht="1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3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</row>
    <row r="396" spans="1:125" ht="1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3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</row>
    <row r="397" spans="1:125" ht="1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3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</row>
    <row r="398" spans="1:125" ht="1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3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</row>
    <row r="399" spans="1:125" ht="1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3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</row>
    <row r="400" spans="1:125" ht="1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3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</row>
    <row r="401" spans="1:125" ht="1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3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</row>
    <row r="402" spans="1:125" ht="1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3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</row>
    <row r="403" spans="1:125" ht="1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3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</row>
    <row r="404" spans="1:125" ht="1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3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</row>
    <row r="405" spans="1:125" ht="1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3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</row>
    <row r="406" spans="1:125" ht="1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3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</row>
    <row r="407" spans="1:125" ht="1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3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</row>
    <row r="408" spans="1:125" ht="1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3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</row>
    <row r="409" spans="1:125" ht="1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3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</row>
    <row r="410" spans="1:125" ht="1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3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</row>
    <row r="411" spans="1:125" ht="1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3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</row>
    <row r="412" spans="1:125" ht="1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3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</row>
    <row r="413" spans="1:125" ht="1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3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</row>
    <row r="414" spans="1:125" ht="1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3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</row>
    <row r="415" spans="1:125" ht="1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3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</row>
    <row r="416" spans="1:125" ht="1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3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</row>
    <row r="417" spans="1:125" ht="1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3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</row>
    <row r="418" spans="1:125" ht="1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3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</row>
    <row r="419" spans="1:125" ht="1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3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</row>
    <row r="420" spans="1:125" ht="1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3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</row>
    <row r="421" spans="1:125" ht="1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3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</row>
    <row r="422" spans="1:125" ht="1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3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</row>
    <row r="423" spans="1:125" ht="1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3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</row>
    <row r="424" spans="1:125" ht="1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3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</row>
    <row r="425" spans="1:125" ht="1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3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</row>
    <row r="426" spans="1:125" ht="1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3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</row>
    <row r="427" spans="1:125" ht="1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3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</row>
    <row r="428" spans="1:125" ht="1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3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</row>
    <row r="429" spans="1:125" ht="1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3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</row>
    <row r="430" spans="1:125" ht="1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3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</row>
    <row r="431" spans="1:125" ht="1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3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</row>
    <row r="432" spans="1:125" ht="1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3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</row>
    <row r="433" spans="1:125" ht="1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3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</row>
    <row r="434" spans="1:125" ht="1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3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</row>
    <row r="435" spans="1:125" ht="1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3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</row>
    <row r="436" spans="1:125" ht="1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3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</row>
    <row r="437" spans="1:125" ht="1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3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</row>
    <row r="438" spans="1:125" ht="1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3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</row>
    <row r="439" spans="1:125" ht="1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3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</row>
    <row r="440" spans="1:125" ht="1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3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</row>
    <row r="441" spans="1:125" ht="1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3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</row>
    <row r="442" spans="1:125" ht="1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3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</row>
    <row r="443" spans="1:125" ht="1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3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</row>
    <row r="444" spans="1:125" ht="1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3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</row>
    <row r="445" spans="1:125" ht="1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3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</row>
    <row r="446" spans="1:125" ht="1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3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</row>
    <row r="447" spans="1:125" ht="1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3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</row>
    <row r="448" spans="1:125" ht="1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3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</row>
    <row r="449" spans="1:125" ht="1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3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</row>
    <row r="450" spans="1:125" ht="1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3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</row>
    <row r="451" spans="1:125" ht="1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3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</row>
    <row r="452" spans="1:125" ht="1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3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</row>
    <row r="453" spans="1:125" ht="1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3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</row>
    <row r="454" spans="1:125" ht="1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3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</row>
    <row r="455" spans="1:125" ht="1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3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</row>
    <row r="456" spans="1:125" ht="1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3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</row>
    <row r="457" spans="1:125" ht="1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3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</row>
    <row r="458" spans="1:125" ht="1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3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</row>
    <row r="459" spans="1:125" ht="1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3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</row>
    <row r="460" spans="1:125" ht="1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3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</row>
    <row r="461" spans="1:125" ht="1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3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</row>
    <row r="462" spans="1:125" ht="1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3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</row>
    <row r="463" spans="1:125" ht="1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3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</row>
    <row r="464" spans="1:125" ht="1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3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</row>
    <row r="465" spans="1:125" ht="1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3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</row>
    <row r="466" spans="1:125" ht="1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3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</row>
    <row r="467" spans="1:125" ht="1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3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</row>
    <row r="468" spans="1:125" ht="1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3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</row>
    <row r="469" spans="1:125" ht="1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3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</row>
    <row r="470" spans="1:125" ht="1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3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</row>
    <row r="471" spans="1:125" ht="1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3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</row>
    <row r="472" spans="1:125" ht="1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3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</row>
    <row r="473" spans="1:125" ht="1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3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</row>
    <row r="474" spans="1:125" ht="1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3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</row>
    <row r="475" spans="1:125" ht="1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3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</row>
    <row r="476" spans="1:125" ht="1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3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</row>
    <row r="477" spans="1:125" ht="1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3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</row>
    <row r="478" spans="1:125" ht="1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3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</row>
    <row r="479" spans="1:125" ht="1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3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</row>
    <row r="480" spans="1:125" ht="1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3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</row>
    <row r="481" spans="1:125" ht="1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3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</row>
    <row r="482" spans="1:125" ht="1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3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</row>
    <row r="483" spans="1:125" ht="1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3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</row>
    <row r="484" spans="1:125" ht="1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3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</row>
    <row r="485" spans="1:125" ht="1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3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</row>
    <row r="486" spans="1:125" ht="1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3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</row>
    <row r="487" spans="1:125" ht="1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3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</row>
    <row r="488" spans="1:125" ht="1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3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</row>
    <row r="489" spans="1:125" ht="1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3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</row>
    <row r="490" spans="1:125" ht="1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3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</row>
    <row r="491" spans="1:125" ht="1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3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</row>
    <row r="492" spans="1:125" ht="1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3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</row>
    <row r="493" spans="1:125" ht="1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3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</row>
    <row r="494" spans="1:125" ht="1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3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</row>
    <row r="495" spans="1:125" ht="1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3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</row>
    <row r="496" spans="1:125" ht="1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3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</row>
    <row r="497" spans="1:125" ht="1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3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</row>
    <row r="498" spans="1:125" ht="1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3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</row>
    <row r="499" spans="1:125" ht="1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3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</row>
    <row r="500" spans="1:125" ht="1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3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</row>
    <row r="501" spans="1:125" ht="1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3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</row>
    <row r="502" spans="1:125" ht="1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3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</row>
    <row r="503" spans="1:125" ht="1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3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</row>
    <row r="504" spans="1:125" ht="1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3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</row>
    <row r="505" spans="1:125" ht="1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3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</row>
    <row r="506" spans="1:125" ht="1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3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</row>
    <row r="507" spans="1:125" ht="1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3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</row>
    <row r="508" spans="1:125" ht="1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3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</row>
    <row r="509" spans="1:125" ht="1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3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</row>
    <row r="510" spans="1:125" ht="1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3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</row>
    <row r="511" spans="1:125" ht="1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3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</row>
    <row r="512" spans="1:125" ht="1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3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</row>
    <row r="513" spans="1:125" ht="1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3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</row>
    <row r="514" spans="1:125" ht="1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3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</row>
    <row r="515" spans="1:125" ht="1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3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</row>
    <row r="516" spans="1:125" ht="1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3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</row>
    <row r="517" spans="1:125" ht="1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3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</row>
    <row r="518" spans="1:125" ht="1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3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</row>
    <row r="519" spans="1:125" ht="1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3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</row>
    <row r="520" spans="1:125" ht="1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3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</row>
    <row r="521" spans="1:125" ht="1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3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</row>
    <row r="522" spans="1:125" ht="1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3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</row>
    <row r="523" spans="1:125" ht="1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3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</row>
    <row r="524" spans="1:125" ht="1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3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</row>
    <row r="525" spans="1:125" ht="1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3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</row>
    <row r="526" spans="1:125" ht="1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3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</row>
    <row r="527" spans="1:125" ht="1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3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</row>
    <row r="528" spans="1:125" ht="1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3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</row>
    <row r="529" spans="1:125" ht="1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3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</row>
    <row r="530" spans="1:125" ht="1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3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</row>
    <row r="531" spans="1:125" ht="1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3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</row>
    <row r="532" spans="1:125" ht="1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3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</row>
    <row r="533" spans="1:125" ht="1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3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</row>
    <row r="534" spans="1:125" ht="1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3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</row>
    <row r="535" spans="1:125" ht="1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3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</row>
    <row r="536" spans="1:125" ht="1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3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</row>
    <row r="537" spans="1:125" ht="1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3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</row>
    <row r="538" spans="1:125" ht="1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3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</row>
    <row r="539" spans="1:125" ht="1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3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</row>
    <row r="540" spans="1:125" ht="1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3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</row>
    <row r="541" spans="1:125" ht="1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3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</row>
    <row r="542" spans="1:125" ht="1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3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</row>
    <row r="543" spans="1:125" ht="1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3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</row>
    <row r="544" spans="1:125" ht="1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3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</row>
    <row r="545" spans="1:125" ht="1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3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</row>
    <row r="546" spans="1:125" ht="1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3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</row>
    <row r="547" spans="1:125" ht="1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3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</row>
    <row r="548" spans="1:125" ht="1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3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</row>
    <row r="549" spans="1:125" ht="1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3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</row>
    <row r="550" spans="1:125" ht="1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3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</row>
    <row r="551" spans="1:125" ht="1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3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</row>
    <row r="552" spans="1:125" ht="1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3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</row>
    <row r="553" spans="1:125" ht="1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3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</row>
    <row r="554" spans="1:125" ht="1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3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</row>
    <row r="555" spans="1:125" ht="1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3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</row>
    <row r="556" spans="1:125" ht="1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3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</row>
    <row r="557" spans="1:125" ht="1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3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</row>
    <row r="558" spans="1:125" ht="1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3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</row>
    <row r="559" spans="1:125" ht="1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3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</row>
    <row r="560" spans="1:125" ht="1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3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</row>
    <row r="561" spans="1:125" ht="1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3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</row>
    <row r="562" spans="1:125" ht="1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3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</row>
    <row r="563" spans="1:125" ht="1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3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</row>
    <row r="564" spans="1:125" ht="1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3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</row>
    <row r="565" spans="1:125" ht="1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3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</row>
    <row r="566" spans="1:125" ht="1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3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</row>
    <row r="567" spans="1:125" ht="1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3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</row>
    <row r="568" spans="1:125" ht="1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3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</row>
    <row r="569" spans="1:125" ht="1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3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</row>
    <row r="570" spans="1:125" ht="1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3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</row>
    <row r="571" spans="1:125" ht="1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3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</row>
    <row r="572" spans="1:125" ht="1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3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</row>
    <row r="573" spans="1:125" ht="1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3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</row>
    <row r="574" spans="1:125" ht="1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3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</row>
    <row r="575" spans="1:125" ht="1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3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</row>
    <row r="576" spans="1:125" ht="1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3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</row>
    <row r="577" spans="1:125" ht="1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3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</row>
    <row r="578" spans="1:125" ht="1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3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</row>
    <row r="579" spans="1:125" ht="1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3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</row>
    <row r="580" spans="1:125" ht="1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3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</row>
    <row r="581" spans="1:125" ht="1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3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</row>
    <row r="582" spans="1:125" ht="1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3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</row>
    <row r="583" spans="1:125" ht="1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3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</row>
    <row r="584" spans="1:125" ht="1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3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</row>
    <row r="585" spans="1:125" ht="1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3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</row>
    <row r="586" spans="1:125" ht="1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3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</row>
    <row r="587" spans="1:125" ht="1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3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</row>
    <row r="588" spans="1:125" ht="1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3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</row>
    <row r="589" spans="1:125" ht="1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3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</row>
    <row r="590" spans="1:125" ht="1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3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</row>
    <row r="591" spans="1:125" ht="1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3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</row>
    <row r="592" spans="1:125" ht="1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3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</row>
    <row r="593" spans="1:125" ht="1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3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</row>
    <row r="594" spans="1:125" ht="1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3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</row>
    <row r="595" spans="1:125" ht="1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3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</row>
    <row r="596" spans="1:125" ht="1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3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</row>
    <row r="597" spans="1:125" ht="1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3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</row>
    <row r="598" spans="1:125" ht="1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3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</row>
    <row r="599" spans="1:125" ht="1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3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</row>
    <row r="600" spans="1:125" ht="1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3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</row>
    <row r="601" spans="1:125" ht="1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3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</row>
    <row r="602" spans="1:125" ht="1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3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</row>
    <row r="603" spans="1:125" ht="1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3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</row>
    <row r="604" spans="1:125" ht="1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3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</row>
    <row r="605" spans="1:125" ht="1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3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</row>
    <row r="606" spans="1:125" ht="1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3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</row>
    <row r="607" spans="1:125" ht="1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3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</row>
    <row r="608" spans="1:125" ht="1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3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</row>
    <row r="609" spans="1:125" ht="1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3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</row>
    <row r="610" spans="1:125" ht="1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3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</row>
    <row r="611" spans="1:125" ht="1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3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</row>
    <row r="612" spans="1:125" ht="1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3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</row>
    <row r="613" spans="1:125" ht="1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3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</row>
    <row r="614" spans="1:125" ht="1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3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</row>
    <row r="615" spans="1:125" ht="1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3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</row>
    <row r="616" spans="1:125" ht="1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3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</row>
    <row r="617" spans="1:125" ht="1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3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</row>
    <row r="618" spans="1:125" ht="1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3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</row>
  </sheetData>
  <autoFilter ref="A5:BF5" xr:uid="{00000000-0001-0000-0000-000000000000}"/>
  <mergeCells count="1844">
    <mergeCell ref="A596:K596"/>
    <mergeCell ref="L596:BA596"/>
    <mergeCell ref="BB596:BL596"/>
    <mergeCell ref="L597:BA597"/>
    <mergeCell ref="BB597:BL597"/>
    <mergeCell ref="A598:K598"/>
    <mergeCell ref="L598:BA598"/>
    <mergeCell ref="BB598:BL598"/>
    <mergeCell ref="A599:K599"/>
    <mergeCell ref="L599:BA599"/>
    <mergeCell ref="BB599:BL599"/>
    <mergeCell ref="L600:BA600"/>
    <mergeCell ref="BB600:BL600"/>
    <mergeCell ref="A605:K605"/>
    <mergeCell ref="L605:BA605"/>
    <mergeCell ref="BB605:BL605"/>
    <mergeCell ref="L606:BA606"/>
    <mergeCell ref="BB606:BL606"/>
    <mergeCell ref="A600:K600"/>
    <mergeCell ref="A597:K597"/>
    <mergeCell ref="A601:K601"/>
    <mergeCell ref="L601:BA601"/>
    <mergeCell ref="BB601:BL601"/>
    <mergeCell ref="A602:K602"/>
    <mergeCell ref="L602:BA602"/>
    <mergeCell ref="BB602:BL602"/>
    <mergeCell ref="L603:BA603"/>
    <mergeCell ref="BB603:BL603"/>
    <mergeCell ref="A604:K604"/>
    <mergeCell ref="L604:BA604"/>
    <mergeCell ref="BB604:BL604"/>
    <mergeCell ref="L585:BA585"/>
    <mergeCell ref="BB585:BL585"/>
    <mergeCell ref="A586:K586"/>
    <mergeCell ref="L586:BA586"/>
    <mergeCell ref="BB586:BL586"/>
    <mergeCell ref="A587:K587"/>
    <mergeCell ref="L587:BA587"/>
    <mergeCell ref="BB587:BL587"/>
    <mergeCell ref="L588:BA588"/>
    <mergeCell ref="BB588:BL588"/>
    <mergeCell ref="A589:K589"/>
    <mergeCell ref="L589:BA589"/>
    <mergeCell ref="BB589:BL589"/>
    <mergeCell ref="A585:K585"/>
    <mergeCell ref="L594:BA594"/>
    <mergeCell ref="BB594:BL594"/>
    <mergeCell ref="A595:K595"/>
    <mergeCell ref="L595:BA595"/>
    <mergeCell ref="BB595:BL595"/>
    <mergeCell ref="A7:K7"/>
    <mergeCell ref="A8:K8"/>
    <mergeCell ref="A5:K5"/>
    <mergeCell ref="A6:K6"/>
    <mergeCell ref="A1:H1"/>
    <mergeCell ref="H3:I3"/>
    <mergeCell ref="BA3:BB3"/>
    <mergeCell ref="BM4:DU4"/>
    <mergeCell ref="L5:BA5"/>
    <mergeCell ref="BB5:BL5"/>
    <mergeCell ref="L6:BA6"/>
    <mergeCell ref="BB6:BL6"/>
    <mergeCell ref="L7:BA7"/>
    <mergeCell ref="BB7:BL7"/>
    <mergeCell ref="L8:BA8"/>
    <mergeCell ref="BB8:BL8"/>
    <mergeCell ref="A13:K13"/>
    <mergeCell ref="A14:K14"/>
    <mergeCell ref="A11:K11"/>
    <mergeCell ref="A12:K12"/>
    <mergeCell ref="A9:K9"/>
    <mergeCell ref="A10:K10"/>
    <mergeCell ref="L9:BA9"/>
    <mergeCell ref="BB9:BL9"/>
    <mergeCell ref="L10:BA10"/>
    <mergeCell ref="BB10:BL10"/>
    <mergeCell ref="L11:BA11"/>
    <mergeCell ref="BB11:BL11"/>
    <mergeCell ref="L12:BA12"/>
    <mergeCell ref="BB12:BL12"/>
    <mergeCell ref="L13:BA13"/>
    <mergeCell ref="BB13:BL13"/>
    <mergeCell ref="L14:BA14"/>
    <mergeCell ref="BB14:BL14"/>
    <mergeCell ref="A19:K19"/>
    <mergeCell ref="A20:K20"/>
    <mergeCell ref="A17:K17"/>
    <mergeCell ref="A18:K18"/>
    <mergeCell ref="A15:K15"/>
    <mergeCell ref="A16:K16"/>
    <mergeCell ref="L15:BA15"/>
    <mergeCell ref="BB15:BL15"/>
    <mergeCell ref="L16:BA16"/>
    <mergeCell ref="BB16:BL16"/>
    <mergeCell ref="L17:BA17"/>
    <mergeCell ref="BB17:BL17"/>
    <mergeCell ref="L18:BA18"/>
    <mergeCell ref="BB18:BL18"/>
    <mergeCell ref="L19:BA19"/>
    <mergeCell ref="BB19:BL19"/>
    <mergeCell ref="L20:BA20"/>
    <mergeCell ref="BB20:BL20"/>
    <mergeCell ref="A25:K25"/>
    <mergeCell ref="A26:K26"/>
    <mergeCell ref="A23:K23"/>
    <mergeCell ref="A24:K24"/>
    <mergeCell ref="A21:K21"/>
    <mergeCell ref="A22:K22"/>
    <mergeCell ref="L21:BA21"/>
    <mergeCell ref="BB21:BL21"/>
    <mergeCell ref="L22:BA22"/>
    <mergeCell ref="BB22:BL22"/>
    <mergeCell ref="L23:BA23"/>
    <mergeCell ref="BB23:BL23"/>
    <mergeCell ref="L24:BA24"/>
    <mergeCell ref="BB24:BL24"/>
    <mergeCell ref="L25:BA25"/>
    <mergeCell ref="BB25:BL25"/>
    <mergeCell ref="L26:BA26"/>
    <mergeCell ref="BB26:BL26"/>
    <mergeCell ref="A31:K31"/>
    <mergeCell ref="A32:K32"/>
    <mergeCell ref="A29:K29"/>
    <mergeCell ref="A30:K30"/>
    <mergeCell ref="A27:K27"/>
    <mergeCell ref="A28:K28"/>
    <mergeCell ref="L27:BA27"/>
    <mergeCell ref="BB27:BL27"/>
    <mergeCell ref="L28:BA28"/>
    <mergeCell ref="BB28:BL28"/>
    <mergeCell ref="L29:BA29"/>
    <mergeCell ref="BB29:BL29"/>
    <mergeCell ref="L30:BA30"/>
    <mergeCell ref="BB30:BL30"/>
    <mergeCell ref="L31:BA31"/>
    <mergeCell ref="BB31:BL31"/>
    <mergeCell ref="L32:BA32"/>
    <mergeCell ref="BB32:BL32"/>
    <mergeCell ref="A37:K37"/>
    <mergeCell ref="A38:K38"/>
    <mergeCell ref="A35:K35"/>
    <mergeCell ref="A36:K36"/>
    <mergeCell ref="A33:K33"/>
    <mergeCell ref="A34:K34"/>
    <mergeCell ref="L33:BA33"/>
    <mergeCell ref="BB33:BL33"/>
    <mergeCell ref="L34:BA34"/>
    <mergeCell ref="BB34:BL34"/>
    <mergeCell ref="L35:BA35"/>
    <mergeCell ref="BB35:BL35"/>
    <mergeCell ref="L36:BA36"/>
    <mergeCell ref="BB36:BL36"/>
    <mergeCell ref="L37:BA37"/>
    <mergeCell ref="BB37:BL37"/>
    <mergeCell ref="L38:BA38"/>
    <mergeCell ref="BB38:BL38"/>
    <mergeCell ref="A43:K43"/>
    <mergeCell ref="A44:K44"/>
    <mergeCell ref="A41:K41"/>
    <mergeCell ref="A42:K42"/>
    <mergeCell ref="A39:K39"/>
    <mergeCell ref="A40:K40"/>
    <mergeCell ref="L39:BA39"/>
    <mergeCell ref="BB39:BL39"/>
    <mergeCell ref="L40:BA40"/>
    <mergeCell ref="BB40:BL40"/>
    <mergeCell ref="L41:BA41"/>
    <mergeCell ref="BB41:BL41"/>
    <mergeCell ref="L42:BA42"/>
    <mergeCell ref="BB42:BL42"/>
    <mergeCell ref="L43:BA43"/>
    <mergeCell ref="BB43:BL43"/>
    <mergeCell ref="L44:BA44"/>
    <mergeCell ref="BB44:BL44"/>
    <mergeCell ref="A49:K49"/>
    <mergeCell ref="A50:K50"/>
    <mergeCell ref="A47:K47"/>
    <mergeCell ref="A48:K48"/>
    <mergeCell ref="A45:K45"/>
    <mergeCell ref="A46:K46"/>
    <mergeCell ref="L45:BA45"/>
    <mergeCell ref="BB45:BL45"/>
    <mergeCell ref="L46:BA46"/>
    <mergeCell ref="BB46:BL46"/>
    <mergeCell ref="L47:BA47"/>
    <mergeCell ref="BB47:BL47"/>
    <mergeCell ref="L48:BA48"/>
    <mergeCell ref="BB48:BL48"/>
    <mergeCell ref="L49:BA49"/>
    <mergeCell ref="BB49:BL49"/>
    <mergeCell ref="L50:BA50"/>
    <mergeCell ref="BB50:BL50"/>
    <mergeCell ref="A55:K55"/>
    <mergeCell ref="A56:K56"/>
    <mergeCell ref="A53:K53"/>
    <mergeCell ref="A54:K54"/>
    <mergeCell ref="A51:K51"/>
    <mergeCell ref="A52:K52"/>
    <mergeCell ref="L51:BA51"/>
    <mergeCell ref="BB51:BL51"/>
    <mergeCell ref="L52:BA52"/>
    <mergeCell ref="BB52:BL52"/>
    <mergeCell ref="L53:BA53"/>
    <mergeCell ref="BB53:BL53"/>
    <mergeCell ref="L54:BA54"/>
    <mergeCell ref="BB54:BL54"/>
    <mergeCell ref="L55:BA55"/>
    <mergeCell ref="BB55:BL55"/>
    <mergeCell ref="L56:BA56"/>
    <mergeCell ref="BB56:BL56"/>
    <mergeCell ref="A61:K61"/>
    <mergeCell ref="A62:K62"/>
    <mergeCell ref="A59:K59"/>
    <mergeCell ref="A60:K60"/>
    <mergeCell ref="A57:K57"/>
    <mergeCell ref="A58:K58"/>
    <mergeCell ref="L57:BA57"/>
    <mergeCell ref="BB57:BL57"/>
    <mergeCell ref="L58:BA58"/>
    <mergeCell ref="BB58:BL58"/>
    <mergeCell ref="L59:BA59"/>
    <mergeCell ref="BB59:BL59"/>
    <mergeCell ref="L60:BA60"/>
    <mergeCell ref="BB60:BL60"/>
    <mergeCell ref="L61:BA61"/>
    <mergeCell ref="BB61:BL61"/>
    <mergeCell ref="L62:BA62"/>
    <mergeCell ref="BB62:BL62"/>
    <mergeCell ref="A67:K67"/>
    <mergeCell ref="A68:K68"/>
    <mergeCell ref="A65:K65"/>
    <mergeCell ref="A66:K66"/>
    <mergeCell ref="A63:K63"/>
    <mergeCell ref="A64:K64"/>
    <mergeCell ref="L63:BA63"/>
    <mergeCell ref="BB63:BL63"/>
    <mergeCell ref="L64:BA64"/>
    <mergeCell ref="BB64:BL64"/>
    <mergeCell ref="L65:BA65"/>
    <mergeCell ref="BB65:BL65"/>
    <mergeCell ref="L66:BA66"/>
    <mergeCell ref="BB66:BL66"/>
    <mergeCell ref="L67:BA67"/>
    <mergeCell ref="BB67:BL67"/>
    <mergeCell ref="L68:BA68"/>
    <mergeCell ref="BB68:BL68"/>
    <mergeCell ref="A73:K73"/>
    <mergeCell ref="A74:K74"/>
    <mergeCell ref="A71:K71"/>
    <mergeCell ref="A72:K72"/>
    <mergeCell ref="A69:K69"/>
    <mergeCell ref="A70:K70"/>
    <mergeCell ref="L69:BA69"/>
    <mergeCell ref="BB69:BL69"/>
    <mergeCell ref="L70:BA70"/>
    <mergeCell ref="BB70:BL70"/>
    <mergeCell ref="L71:BA71"/>
    <mergeCell ref="BB71:BL71"/>
    <mergeCell ref="L72:BA72"/>
    <mergeCell ref="BB72:BL72"/>
    <mergeCell ref="L73:BA73"/>
    <mergeCell ref="BB73:BL73"/>
    <mergeCell ref="L74:BA74"/>
    <mergeCell ref="BB74:BL74"/>
    <mergeCell ref="A79:K79"/>
    <mergeCell ref="A80:K80"/>
    <mergeCell ref="A77:K77"/>
    <mergeCell ref="A78:K78"/>
    <mergeCell ref="A75:K75"/>
    <mergeCell ref="A76:K76"/>
    <mergeCell ref="L75:BA75"/>
    <mergeCell ref="BB75:BL75"/>
    <mergeCell ref="L76:BA76"/>
    <mergeCell ref="BB76:BL76"/>
    <mergeCell ref="L77:BA77"/>
    <mergeCell ref="BB77:BL77"/>
    <mergeCell ref="L78:BA78"/>
    <mergeCell ref="BB78:BL78"/>
    <mergeCell ref="L79:BA79"/>
    <mergeCell ref="BB79:BL79"/>
    <mergeCell ref="L80:BA80"/>
    <mergeCell ref="BB80:BL80"/>
    <mergeCell ref="A85:K85"/>
    <mergeCell ref="A86:K86"/>
    <mergeCell ref="A83:K83"/>
    <mergeCell ref="A84:K84"/>
    <mergeCell ref="A81:K81"/>
    <mergeCell ref="A82:K82"/>
    <mergeCell ref="L81:BA81"/>
    <mergeCell ref="BB81:BL81"/>
    <mergeCell ref="L82:BA82"/>
    <mergeCell ref="BB82:BL82"/>
    <mergeCell ref="L83:BA83"/>
    <mergeCell ref="BB83:BL83"/>
    <mergeCell ref="L84:BA84"/>
    <mergeCell ref="BB84:BL84"/>
    <mergeCell ref="L85:BA85"/>
    <mergeCell ref="BB85:BL85"/>
    <mergeCell ref="L86:BA86"/>
    <mergeCell ref="BB86:BL86"/>
    <mergeCell ref="A91:K91"/>
    <mergeCell ref="A92:K92"/>
    <mergeCell ref="A89:K89"/>
    <mergeCell ref="A90:K90"/>
    <mergeCell ref="A87:K87"/>
    <mergeCell ref="A88:K88"/>
    <mergeCell ref="L87:BA87"/>
    <mergeCell ref="BB87:BL87"/>
    <mergeCell ref="L88:BA88"/>
    <mergeCell ref="BB88:BL88"/>
    <mergeCell ref="L89:BA89"/>
    <mergeCell ref="BB89:BL89"/>
    <mergeCell ref="L90:BA90"/>
    <mergeCell ref="BB90:BL90"/>
    <mergeCell ref="L91:BA91"/>
    <mergeCell ref="BB91:BL91"/>
    <mergeCell ref="L92:BA92"/>
    <mergeCell ref="BB92:BL92"/>
    <mergeCell ref="A97:K97"/>
    <mergeCell ref="A98:K98"/>
    <mergeCell ref="A95:K95"/>
    <mergeCell ref="A96:K96"/>
    <mergeCell ref="A93:K93"/>
    <mergeCell ref="A94:K94"/>
    <mergeCell ref="L93:BA93"/>
    <mergeCell ref="BB93:BL93"/>
    <mergeCell ref="L94:BA94"/>
    <mergeCell ref="BB94:BL94"/>
    <mergeCell ref="L95:BA95"/>
    <mergeCell ref="BB95:BL95"/>
    <mergeCell ref="L96:BA96"/>
    <mergeCell ref="BB96:BL96"/>
    <mergeCell ref="L97:BA97"/>
    <mergeCell ref="BB97:BL97"/>
    <mergeCell ref="L98:BA98"/>
    <mergeCell ref="BB98:BL98"/>
    <mergeCell ref="A103:K103"/>
    <mergeCell ref="A104:K104"/>
    <mergeCell ref="A101:K101"/>
    <mergeCell ref="A102:K102"/>
    <mergeCell ref="A99:K99"/>
    <mergeCell ref="A100:K100"/>
    <mergeCell ref="L99:BA99"/>
    <mergeCell ref="BB99:BL99"/>
    <mergeCell ref="L100:BA100"/>
    <mergeCell ref="BB100:BL100"/>
    <mergeCell ref="L101:BA101"/>
    <mergeCell ref="BB101:BL101"/>
    <mergeCell ref="L102:BA102"/>
    <mergeCell ref="BB102:BL102"/>
    <mergeCell ref="L103:BA103"/>
    <mergeCell ref="BB103:BL103"/>
    <mergeCell ref="L104:BA104"/>
    <mergeCell ref="BB104:BL104"/>
    <mergeCell ref="A109:K109"/>
    <mergeCell ref="A110:K110"/>
    <mergeCell ref="A107:K107"/>
    <mergeCell ref="A108:K108"/>
    <mergeCell ref="A105:K105"/>
    <mergeCell ref="A106:K106"/>
    <mergeCell ref="L105:BA105"/>
    <mergeCell ref="BB105:BL105"/>
    <mergeCell ref="L106:BA106"/>
    <mergeCell ref="BB106:BL106"/>
    <mergeCell ref="L107:BA107"/>
    <mergeCell ref="BB107:BL107"/>
    <mergeCell ref="L108:BA108"/>
    <mergeCell ref="BB108:BL108"/>
    <mergeCell ref="L109:BA109"/>
    <mergeCell ref="BB109:BL109"/>
    <mergeCell ref="L110:BA110"/>
    <mergeCell ref="BB110:BL110"/>
    <mergeCell ref="A115:K115"/>
    <mergeCell ref="A116:K116"/>
    <mergeCell ref="A113:K113"/>
    <mergeCell ref="A114:K114"/>
    <mergeCell ref="A111:K111"/>
    <mergeCell ref="A112:K112"/>
    <mergeCell ref="L111:BA111"/>
    <mergeCell ref="BB111:BL111"/>
    <mergeCell ref="L112:BA112"/>
    <mergeCell ref="BB112:BL112"/>
    <mergeCell ref="L113:BA113"/>
    <mergeCell ref="BB113:BL113"/>
    <mergeCell ref="L114:BA114"/>
    <mergeCell ref="BB114:BL114"/>
    <mergeCell ref="L115:BA115"/>
    <mergeCell ref="BB115:BL115"/>
    <mergeCell ref="L116:BA116"/>
    <mergeCell ref="BB116:BL116"/>
    <mergeCell ref="A121:K121"/>
    <mergeCell ref="A122:K122"/>
    <mergeCell ref="A119:K119"/>
    <mergeCell ref="A120:K120"/>
    <mergeCell ref="A117:K117"/>
    <mergeCell ref="A118:K118"/>
    <mergeCell ref="L117:BA117"/>
    <mergeCell ref="BB117:BL117"/>
    <mergeCell ref="L118:BA118"/>
    <mergeCell ref="BB118:BL118"/>
    <mergeCell ref="L119:BA119"/>
    <mergeCell ref="BB119:BL119"/>
    <mergeCell ref="L120:BA120"/>
    <mergeCell ref="BB120:BL120"/>
    <mergeCell ref="L121:BA121"/>
    <mergeCell ref="BB121:BL121"/>
    <mergeCell ref="L122:BA122"/>
    <mergeCell ref="BB122:BL122"/>
    <mergeCell ref="A127:K127"/>
    <mergeCell ref="A128:K128"/>
    <mergeCell ref="A125:K125"/>
    <mergeCell ref="A126:K126"/>
    <mergeCell ref="A123:K123"/>
    <mergeCell ref="A124:K124"/>
    <mergeCell ref="L123:BA123"/>
    <mergeCell ref="BB123:BL123"/>
    <mergeCell ref="L124:BA124"/>
    <mergeCell ref="BB124:BL124"/>
    <mergeCell ref="L125:BA125"/>
    <mergeCell ref="BB125:BL125"/>
    <mergeCell ref="L126:BA126"/>
    <mergeCell ref="BB126:BL126"/>
    <mergeCell ref="L127:BA127"/>
    <mergeCell ref="BB127:BL127"/>
    <mergeCell ref="L128:BA128"/>
    <mergeCell ref="BB128:BL128"/>
    <mergeCell ref="A133:K133"/>
    <mergeCell ref="A134:K134"/>
    <mergeCell ref="A131:K131"/>
    <mergeCell ref="A132:K132"/>
    <mergeCell ref="A129:K129"/>
    <mergeCell ref="A130:K130"/>
    <mergeCell ref="L129:BA129"/>
    <mergeCell ref="BB129:BL129"/>
    <mergeCell ref="L130:BA130"/>
    <mergeCell ref="BB130:BL130"/>
    <mergeCell ref="L131:BA131"/>
    <mergeCell ref="BB131:BL131"/>
    <mergeCell ref="L132:BA132"/>
    <mergeCell ref="BB132:BL132"/>
    <mergeCell ref="L133:BA133"/>
    <mergeCell ref="BB133:BL133"/>
    <mergeCell ref="L134:BA134"/>
    <mergeCell ref="BB134:BL134"/>
    <mergeCell ref="A139:K139"/>
    <mergeCell ref="A140:K140"/>
    <mergeCell ref="A137:K137"/>
    <mergeCell ref="A138:K138"/>
    <mergeCell ref="A135:K135"/>
    <mergeCell ref="A136:K136"/>
    <mergeCell ref="L135:BA135"/>
    <mergeCell ref="BB135:BL135"/>
    <mergeCell ref="L136:BA136"/>
    <mergeCell ref="BB136:BL136"/>
    <mergeCell ref="L137:BA137"/>
    <mergeCell ref="BB137:BL137"/>
    <mergeCell ref="L138:BA138"/>
    <mergeCell ref="BB138:BL138"/>
    <mergeCell ref="L139:BA139"/>
    <mergeCell ref="BB139:BL139"/>
    <mergeCell ref="L140:BA140"/>
    <mergeCell ref="BB140:BL140"/>
    <mergeCell ref="A145:K145"/>
    <mergeCell ref="A146:K146"/>
    <mergeCell ref="A143:K143"/>
    <mergeCell ref="A144:K144"/>
    <mergeCell ref="A141:K141"/>
    <mergeCell ref="A142:K142"/>
    <mergeCell ref="L141:BA141"/>
    <mergeCell ref="BB141:BL141"/>
    <mergeCell ref="L142:BA142"/>
    <mergeCell ref="BB142:BL142"/>
    <mergeCell ref="L143:BA143"/>
    <mergeCell ref="BB143:BL143"/>
    <mergeCell ref="L144:BA144"/>
    <mergeCell ref="BB144:BL144"/>
    <mergeCell ref="L145:BA145"/>
    <mergeCell ref="BB145:BL145"/>
    <mergeCell ref="L146:BA146"/>
    <mergeCell ref="BB146:BL146"/>
    <mergeCell ref="A151:K151"/>
    <mergeCell ref="A152:K152"/>
    <mergeCell ref="A149:K149"/>
    <mergeCell ref="A150:K150"/>
    <mergeCell ref="A147:K147"/>
    <mergeCell ref="A148:K148"/>
    <mergeCell ref="L147:BA147"/>
    <mergeCell ref="BB147:BL147"/>
    <mergeCell ref="L148:BA148"/>
    <mergeCell ref="BB148:BL148"/>
    <mergeCell ref="L149:BA149"/>
    <mergeCell ref="BB149:BL149"/>
    <mergeCell ref="L150:BA150"/>
    <mergeCell ref="BB150:BL150"/>
    <mergeCell ref="L151:BA151"/>
    <mergeCell ref="BB151:BL151"/>
    <mergeCell ref="L152:BA152"/>
    <mergeCell ref="BB152:BL152"/>
    <mergeCell ref="A157:K157"/>
    <mergeCell ref="A158:K158"/>
    <mergeCell ref="A155:K155"/>
    <mergeCell ref="A156:K156"/>
    <mergeCell ref="A153:K153"/>
    <mergeCell ref="A154:K154"/>
    <mergeCell ref="L153:BA153"/>
    <mergeCell ref="BB153:BL153"/>
    <mergeCell ref="L154:BA154"/>
    <mergeCell ref="BB154:BL154"/>
    <mergeCell ref="L155:BA155"/>
    <mergeCell ref="BB155:BL155"/>
    <mergeCell ref="L156:BA156"/>
    <mergeCell ref="BB156:BL156"/>
    <mergeCell ref="L157:BA157"/>
    <mergeCell ref="BB157:BL157"/>
    <mergeCell ref="L158:BA158"/>
    <mergeCell ref="BB158:BL158"/>
    <mergeCell ref="A163:K163"/>
    <mergeCell ref="A164:K164"/>
    <mergeCell ref="A161:K161"/>
    <mergeCell ref="A162:K162"/>
    <mergeCell ref="A159:K159"/>
    <mergeCell ref="A160:K160"/>
    <mergeCell ref="L159:BA159"/>
    <mergeCell ref="BB159:BL159"/>
    <mergeCell ref="L160:BA160"/>
    <mergeCell ref="BB160:BL160"/>
    <mergeCell ref="L161:BA161"/>
    <mergeCell ref="BB161:BL161"/>
    <mergeCell ref="L162:BA162"/>
    <mergeCell ref="BB162:BL162"/>
    <mergeCell ref="L163:BA163"/>
    <mergeCell ref="BB163:BL163"/>
    <mergeCell ref="L164:BA164"/>
    <mergeCell ref="BB164:BL164"/>
    <mergeCell ref="A169:K169"/>
    <mergeCell ref="A170:K170"/>
    <mergeCell ref="A167:K167"/>
    <mergeCell ref="A168:K168"/>
    <mergeCell ref="A165:K165"/>
    <mergeCell ref="A166:K166"/>
    <mergeCell ref="L165:BA165"/>
    <mergeCell ref="BB165:BL165"/>
    <mergeCell ref="L166:BA166"/>
    <mergeCell ref="BB166:BL166"/>
    <mergeCell ref="L167:BA167"/>
    <mergeCell ref="BB167:BL167"/>
    <mergeCell ref="L168:BA168"/>
    <mergeCell ref="BB168:BL168"/>
    <mergeCell ref="L169:BA169"/>
    <mergeCell ref="BB169:BL169"/>
    <mergeCell ref="L170:BA170"/>
    <mergeCell ref="BB170:BL170"/>
    <mergeCell ref="A175:K175"/>
    <mergeCell ref="A176:K176"/>
    <mergeCell ref="A173:K173"/>
    <mergeCell ref="A174:K174"/>
    <mergeCell ref="A171:K171"/>
    <mergeCell ref="A172:K172"/>
    <mergeCell ref="L171:BA171"/>
    <mergeCell ref="BB171:BL171"/>
    <mergeCell ref="L172:BA172"/>
    <mergeCell ref="BB172:BL172"/>
    <mergeCell ref="L173:BA173"/>
    <mergeCell ref="BB173:BL173"/>
    <mergeCell ref="L174:BA174"/>
    <mergeCell ref="BB174:BL174"/>
    <mergeCell ref="L175:BA175"/>
    <mergeCell ref="BB175:BL175"/>
    <mergeCell ref="L176:BA176"/>
    <mergeCell ref="BB176:BL176"/>
    <mergeCell ref="A181:K181"/>
    <mergeCell ref="A182:K182"/>
    <mergeCell ref="A179:K179"/>
    <mergeCell ref="A180:K180"/>
    <mergeCell ref="A177:K177"/>
    <mergeCell ref="A178:K178"/>
    <mergeCell ref="L177:BA177"/>
    <mergeCell ref="BB177:BL177"/>
    <mergeCell ref="L178:BA178"/>
    <mergeCell ref="BB178:BL178"/>
    <mergeCell ref="L179:BA179"/>
    <mergeCell ref="BB179:BL179"/>
    <mergeCell ref="L180:BA180"/>
    <mergeCell ref="BB180:BL180"/>
    <mergeCell ref="L181:BA181"/>
    <mergeCell ref="BB181:BL181"/>
    <mergeCell ref="L182:BA182"/>
    <mergeCell ref="BB182:BL182"/>
    <mergeCell ref="A187:K187"/>
    <mergeCell ref="A188:K188"/>
    <mergeCell ref="A185:K185"/>
    <mergeCell ref="A186:K186"/>
    <mergeCell ref="A183:K183"/>
    <mergeCell ref="A184:K184"/>
    <mergeCell ref="L183:BA183"/>
    <mergeCell ref="BB183:BL183"/>
    <mergeCell ref="L184:BA184"/>
    <mergeCell ref="BB184:BL184"/>
    <mergeCell ref="L185:BA185"/>
    <mergeCell ref="BB185:BL185"/>
    <mergeCell ref="L186:BA186"/>
    <mergeCell ref="BB186:BL186"/>
    <mergeCell ref="L187:BA187"/>
    <mergeCell ref="BB187:BL187"/>
    <mergeCell ref="L188:BA188"/>
    <mergeCell ref="BB188:BL188"/>
    <mergeCell ref="A193:K193"/>
    <mergeCell ref="A194:K194"/>
    <mergeCell ref="A191:K191"/>
    <mergeCell ref="A192:K192"/>
    <mergeCell ref="A189:K189"/>
    <mergeCell ref="A190:K190"/>
    <mergeCell ref="L189:BA189"/>
    <mergeCell ref="BB189:BL189"/>
    <mergeCell ref="L190:BA190"/>
    <mergeCell ref="BB190:BL190"/>
    <mergeCell ref="L191:BA191"/>
    <mergeCell ref="BB191:BL191"/>
    <mergeCell ref="L192:BA192"/>
    <mergeCell ref="BB192:BL192"/>
    <mergeCell ref="L193:BA193"/>
    <mergeCell ref="BB193:BL193"/>
    <mergeCell ref="L194:BA194"/>
    <mergeCell ref="BB194:BL194"/>
    <mergeCell ref="A199:K199"/>
    <mergeCell ref="A200:K200"/>
    <mergeCell ref="A197:K197"/>
    <mergeCell ref="A198:K198"/>
    <mergeCell ref="A195:K195"/>
    <mergeCell ref="A196:K196"/>
    <mergeCell ref="L195:BA195"/>
    <mergeCell ref="BB195:BL195"/>
    <mergeCell ref="L196:BA196"/>
    <mergeCell ref="BB196:BL196"/>
    <mergeCell ref="L197:BA197"/>
    <mergeCell ref="BB197:BL197"/>
    <mergeCell ref="L198:BA198"/>
    <mergeCell ref="BB198:BL198"/>
    <mergeCell ref="L199:BA199"/>
    <mergeCell ref="BB199:BL199"/>
    <mergeCell ref="L200:BA200"/>
    <mergeCell ref="BB200:BL200"/>
    <mergeCell ref="A205:K205"/>
    <mergeCell ref="A206:K206"/>
    <mergeCell ref="A203:K203"/>
    <mergeCell ref="A204:K204"/>
    <mergeCell ref="A201:K201"/>
    <mergeCell ref="A202:K202"/>
    <mergeCell ref="L201:BA201"/>
    <mergeCell ref="BB201:BL201"/>
    <mergeCell ref="L202:BA202"/>
    <mergeCell ref="BB202:BL202"/>
    <mergeCell ref="L203:BA203"/>
    <mergeCell ref="BB203:BL203"/>
    <mergeCell ref="L204:BA204"/>
    <mergeCell ref="BB204:BL204"/>
    <mergeCell ref="L205:BA205"/>
    <mergeCell ref="BB205:BL205"/>
    <mergeCell ref="L206:BA206"/>
    <mergeCell ref="BB206:BL206"/>
    <mergeCell ref="A211:K211"/>
    <mergeCell ref="A212:K212"/>
    <mergeCell ref="A209:K209"/>
    <mergeCell ref="A210:K210"/>
    <mergeCell ref="A207:K207"/>
    <mergeCell ref="A208:K208"/>
    <mergeCell ref="L207:BA207"/>
    <mergeCell ref="BB207:BL207"/>
    <mergeCell ref="L208:BA208"/>
    <mergeCell ref="BB208:BL208"/>
    <mergeCell ref="L209:BA209"/>
    <mergeCell ref="BB209:BL209"/>
    <mergeCell ref="L210:BA210"/>
    <mergeCell ref="BB210:BL210"/>
    <mergeCell ref="L211:BA211"/>
    <mergeCell ref="BB211:BL211"/>
    <mergeCell ref="L212:BA212"/>
    <mergeCell ref="BB212:BL212"/>
    <mergeCell ref="A217:K217"/>
    <mergeCell ref="A218:K218"/>
    <mergeCell ref="A215:K215"/>
    <mergeCell ref="A216:K216"/>
    <mergeCell ref="A213:K213"/>
    <mergeCell ref="A214:K214"/>
    <mergeCell ref="L213:BA213"/>
    <mergeCell ref="BB213:BL213"/>
    <mergeCell ref="L214:BA214"/>
    <mergeCell ref="BB214:BL214"/>
    <mergeCell ref="L215:BA215"/>
    <mergeCell ref="BB215:BL215"/>
    <mergeCell ref="L216:BA216"/>
    <mergeCell ref="BB216:BL216"/>
    <mergeCell ref="L217:BA217"/>
    <mergeCell ref="BB217:BL217"/>
    <mergeCell ref="L218:BA218"/>
    <mergeCell ref="BB218:BL218"/>
    <mergeCell ref="A223:K223"/>
    <mergeCell ref="A224:K224"/>
    <mergeCell ref="A221:K221"/>
    <mergeCell ref="A222:K222"/>
    <mergeCell ref="A219:K219"/>
    <mergeCell ref="A220:K220"/>
    <mergeCell ref="L219:BA219"/>
    <mergeCell ref="BB219:BL219"/>
    <mergeCell ref="L220:BA220"/>
    <mergeCell ref="BB220:BL220"/>
    <mergeCell ref="L221:BA221"/>
    <mergeCell ref="BB221:BL221"/>
    <mergeCell ref="L222:BA222"/>
    <mergeCell ref="BB222:BL222"/>
    <mergeCell ref="L223:BA223"/>
    <mergeCell ref="BB223:BL223"/>
    <mergeCell ref="L224:BA224"/>
    <mergeCell ref="BB224:BL224"/>
    <mergeCell ref="A229:K229"/>
    <mergeCell ref="A230:K230"/>
    <mergeCell ref="A227:K227"/>
    <mergeCell ref="A228:K228"/>
    <mergeCell ref="A225:K225"/>
    <mergeCell ref="A226:K226"/>
    <mergeCell ref="L225:BA225"/>
    <mergeCell ref="BB225:BL225"/>
    <mergeCell ref="L226:BA226"/>
    <mergeCell ref="BB226:BL226"/>
    <mergeCell ref="L227:BA227"/>
    <mergeCell ref="BB227:BL227"/>
    <mergeCell ref="L228:BA228"/>
    <mergeCell ref="BB228:BL228"/>
    <mergeCell ref="L229:BA229"/>
    <mergeCell ref="BB229:BL229"/>
    <mergeCell ref="L230:BA230"/>
    <mergeCell ref="BB230:BL230"/>
    <mergeCell ref="A235:K235"/>
    <mergeCell ref="A236:K236"/>
    <mergeCell ref="A233:K233"/>
    <mergeCell ref="A234:K234"/>
    <mergeCell ref="A231:K231"/>
    <mergeCell ref="A232:K232"/>
    <mergeCell ref="L231:BA231"/>
    <mergeCell ref="BB231:BL231"/>
    <mergeCell ref="L232:BA232"/>
    <mergeCell ref="BB232:BL232"/>
    <mergeCell ref="L233:BA233"/>
    <mergeCell ref="BB233:BL233"/>
    <mergeCell ref="L234:BA234"/>
    <mergeCell ref="BB234:BL234"/>
    <mergeCell ref="L235:BA235"/>
    <mergeCell ref="BB235:BL235"/>
    <mergeCell ref="L236:BA236"/>
    <mergeCell ref="BB236:BL236"/>
    <mergeCell ref="A241:K241"/>
    <mergeCell ref="A242:K242"/>
    <mergeCell ref="A239:K239"/>
    <mergeCell ref="A240:K240"/>
    <mergeCell ref="A237:K237"/>
    <mergeCell ref="A238:K238"/>
    <mergeCell ref="L237:BA237"/>
    <mergeCell ref="BB237:BL237"/>
    <mergeCell ref="L238:BA238"/>
    <mergeCell ref="BB238:BL238"/>
    <mergeCell ref="L239:BA239"/>
    <mergeCell ref="BB239:BL239"/>
    <mergeCell ref="L240:BA240"/>
    <mergeCell ref="BB240:BL240"/>
    <mergeCell ref="L241:BA241"/>
    <mergeCell ref="BB241:BL241"/>
    <mergeCell ref="L242:BA242"/>
    <mergeCell ref="BB242:BL242"/>
    <mergeCell ref="A247:K247"/>
    <mergeCell ref="A248:K248"/>
    <mergeCell ref="A245:K245"/>
    <mergeCell ref="A246:K246"/>
    <mergeCell ref="A243:K243"/>
    <mergeCell ref="A244:K244"/>
    <mergeCell ref="L243:BA243"/>
    <mergeCell ref="BB243:BL243"/>
    <mergeCell ref="L244:BA244"/>
    <mergeCell ref="BB244:BL244"/>
    <mergeCell ref="L245:BA245"/>
    <mergeCell ref="BB245:BL245"/>
    <mergeCell ref="L246:BA246"/>
    <mergeCell ref="BB246:BL246"/>
    <mergeCell ref="L247:BA247"/>
    <mergeCell ref="BB247:BL247"/>
    <mergeCell ref="L248:BA248"/>
    <mergeCell ref="BB248:BL248"/>
    <mergeCell ref="A253:K253"/>
    <mergeCell ref="A254:K254"/>
    <mergeCell ref="A251:K251"/>
    <mergeCell ref="A252:K252"/>
    <mergeCell ref="A249:K249"/>
    <mergeCell ref="A250:K250"/>
    <mergeCell ref="L249:BA249"/>
    <mergeCell ref="BB249:BL249"/>
    <mergeCell ref="L250:BA250"/>
    <mergeCell ref="BB250:BL250"/>
    <mergeCell ref="L251:BA251"/>
    <mergeCell ref="BB251:BL251"/>
    <mergeCell ref="L252:BA252"/>
    <mergeCell ref="BB252:BL252"/>
    <mergeCell ref="L253:BA253"/>
    <mergeCell ref="BB253:BL253"/>
    <mergeCell ref="L254:BA254"/>
    <mergeCell ref="BB254:BL254"/>
    <mergeCell ref="A259:K259"/>
    <mergeCell ref="A260:K260"/>
    <mergeCell ref="A257:K257"/>
    <mergeCell ref="A258:K258"/>
    <mergeCell ref="A255:K255"/>
    <mergeCell ref="A256:K256"/>
    <mergeCell ref="L255:BA255"/>
    <mergeCell ref="BB255:BL255"/>
    <mergeCell ref="L256:BA256"/>
    <mergeCell ref="BB256:BL256"/>
    <mergeCell ref="L257:BA257"/>
    <mergeCell ref="BB257:BL257"/>
    <mergeCell ref="L258:BA258"/>
    <mergeCell ref="BB258:BL258"/>
    <mergeCell ref="L259:BA259"/>
    <mergeCell ref="BB259:BL259"/>
    <mergeCell ref="L260:BA260"/>
    <mergeCell ref="BB260:BL260"/>
    <mergeCell ref="A265:K265"/>
    <mergeCell ref="A266:K266"/>
    <mergeCell ref="A263:K263"/>
    <mergeCell ref="A264:K264"/>
    <mergeCell ref="A261:K261"/>
    <mergeCell ref="A262:K262"/>
    <mergeCell ref="L261:BA261"/>
    <mergeCell ref="BB261:BL261"/>
    <mergeCell ref="L262:BA262"/>
    <mergeCell ref="BB262:BL262"/>
    <mergeCell ref="L263:BA263"/>
    <mergeCell ref="BB263:BL263"/>
    <mergeCell ref="L264:BA264"/>
    <mergeCell ref="BB264:BL264"/>
    <mergeCell ref="L265:BA265"/>
    <mergeCell ref="BB265:BL265"/>
    <mergeCell ref="L266:BA266"/>
    <mergeCell ref="BB266:BL266"/>
    <mergeCell ref="A271:K271"/>
    <mergeCell ref="A272:K272"/>
    <mergeCell ref="A269:K269"/>
    <mergeCell ref="A270:K270"/>
    <mergeCell ref="A267:K267"/>
    <mergeCell ref="A268:K268"/>
    <mergeCell ref="L267:BA267"/>
    <mergeCell ref="BB267:BL267"/>
    <mergeCell ref="L268:BA268"/>
    <mergeCell ref="BB268:BL268"/>
    <mergeCell ref="L269:BA269"/>
    <mergeCell ref="BB269:BL269"/>
    <mergeCell ref="L270:BA270"/>
    <mergeCell ref="BB270:BL270"/>
    <mergeCell ref="L271:BA271"/>
    <mergeCell ref="BB271:BL271"/>
    <mergeCell ref="L272:BA272"/>
    <mergeCell ref="BB272:BL272"/>
    <mergeCell ref="A277:K277"/>
    <mergeCell ref="A278:K278"/>
    <mergeCell ref="A275:K275"/>
    <mergeCell ref="A276:K276"/>
    <mergeCell ref="A273:K273"/>
    <mergeCell ref="A274:K274"/>
    <mergeCell ref="L273:BA273"/>
    <mergeCell ref="BB273:BL273"/>
    <mergeCell ref="L274:BA274"/>
    <mergeCell ref="BB274:BL274"/>
    <mergeCell ref="L275:BA275"/>
    <mergeCell ref="BB275:BL275"/>
    <mergeCell ref="L276:BA276"/>
    <mergeCell ref="BB276:BL276"/>
    <mergeCell ref="L277:BA277"/>
    <mergeCell ref="BB277:BL277"/>
    <mergeCell ref="L278:BA278"/>
    <mergeCell ref="BB278:BL278"/>
    <mergeCell ref="A283:K283"/>
    <mergeCell ref="A284:K284"/>
    <mergeCell ref="A281:K281"/>
    <mergeCell ref="A282:K282"/>
    <mergeCell ref="A279:K279"/>
    <mergeCell ref="A280:K280"/>
    <mergeCell ref="L279:BA279"/>
    <mergeCell ref="BB279:BL279"/>
    <mergeCell ref="L280:BA280"/>
    <mergeCell ref="BB280:BL280"/>
    <mergeCell ref="L281:BA281"/>
    <mergeCell ref="BB281:BL281"/>
    <mergeCell ref="L282:BA282"/>
    <mergeCell ref="BB282:BL282"/>
    <mergeCell ref="L283:BA283"/>
    <mergeCell ref="BB283:BL283"/>
    <mergeCell ref="L284:BA284"/>
    <mergeCell ref="BB284:BL284"/>
    <mergeCell ref="A289:K289"/>
    <mergeCell ref="A290:K290"/>
    <mergeCell ref="A287:K287"/>
    <mergeCell ref="A288:K288"/>
    <mergeCell ref="A285:K285"/>
    <mergeCell ref="A286:K286"/>
    <mergeCell ref="L285:BA285"/>
    <mergeCell ref="BB285:BL285"/>
    <mergeCell ref="L286:BA286"/>
    <mergeCell ref="BB286:BL286"/>
    <mergeCell ref="L287:BA287"/>
    <mergeCell ref="BB287:BL287"/>
    <mergeCell ref="L288:BA288"/>
    <mergeCell ref="BB288:BL288"/>
    <mergeCell ref="L289:BA289"/>
    <mergeCell ref="BB289:BL289"/>
    <mergeCell ref="L290:BA290"/>
    <mergeCell ref="BB290:BL290"/>
    <mergeCell ref="A295:K295"/>
    <mergeCell ref="A296:K296"/>
    <mergeCell ref="A293:K293"/>
    <mergeCell ref="A294:K294"/>
    <mergeCell ref="A291:K291"/>
    <mergeCell ref="A292:K292"/>
    <mergeCell ref="L291:BA291"/>
    <mergeCell ref="BB291:BL291"/>
    <mergeCell ref="L292:BA292"/>
    <mergeCell ref="BB292:BL292"/>
    <mergeCell ref="L293:BA293"/>
    <mergeCell ref="BB293:BL293"/>
    <mergeCell ref="L294:BA294"/>
    <mergeCell ref="BB294:BL294"/>
    <mergeCell ref="L295:BA295"/>
    <mergeCell ref="BB295:BL295"/>
    <mergeCell ref="L296:BA296"/>
    <mergeCell ref="BB296:BL296"/>
    <mergeCell ref="A301:K301"/>
    <mergeCell ref="A302:K302"/>
    <mergeCell ref="A299:K299"/>
    <mergeCell ref="A300:K300"/>
    <mergeCell ref="A297:K297"/>
    <mergeCell ref="A298:K298"/>
    <mergeCell ref="L297:BA297"/>
    <mergeCell ref="BB297:BL297"/>
    <mergeCell ref="L298:BA298"/>
    <mergeCell ref="BB298:BL298"/>
    <mergeCell ref="L299:BA299"/>
    <mergeCell ref="BB299:BL299"/>
    <mergeCell ref="L300:BA300"/>
    <mergeCell ref="BB300:BL300"/>
    <mergeCell ref="L301:BA301"/>
    <mergeCell ref="BB301:BL301"/>
    <mergeCell ref="L302:BA302"/>
    <mergeCell ref="BB302:BL302"/>
    <mergeCell ref="A307:K307"/>
    <mergeCell ref="A308:K308"/>
    <mergeCell ref="A305:K305"/>
    <mergeCell ref="A306:K306"/>
    <mergeCell ref="A303:K303"/>
    <mergeCell ref="A304:K304"/>
    <mergeCell ref="L303:BA303"/>
    <mergeCell ref="BB303:BL303"/>
    <mergeCell ref="L304:BA304"/>
    <mergeCell ref="BB304:BL304"/>
    <mergeCell ref="L305:BA305"/>
    <mergeCell ref="BB305:BL305"/>
    <mergeCell ref="L306:BA306"/>
    <mergeCell ref="BB306:BL306"/>
    <mergeCell ref="L307:BA307"/>
    <mergeCell ref="BB307:BL307"/>
    <mergeCell ref="L308:BA308"/>
    <mergeCell ref="BB308:BL308"/>
    <mergeCell ref="A313:K313"/>
    <mergeCell ref="A314:K314"/>
    <mergeCell ref="A311:K311"/>
    <mergeCell ref="A312:K312"/>
    <mergeCell ref="A309:K309"/>
    <mergeCell ref="A310:K310"/>
    <mergeCell ref="L309:BA309"/>
    <mergeCell ref="BB309:BL309"/>
    <mergeCell ref="L310:BA310"/>
    <mergeCell ref="BB310:BL310"/>
    <mergeCell ref="L311:BA311"/>
    <mergeCell ref="BB311:BL311"/>
    <mergeCell ref="L312:BA312"/>
    <mergeCell ref="BB312:BL312"/>
    <mergeCell ref="L313:BA313"/>
    <mergeCell ref="BB313:BL313"/>
    <mergeCell ref="L314:BA314"/>
    <mergeCell ref="BB314:BL314"/>
    <mergeCell ref="A319:K319"/>
    <mergeCell ref="A320:K320"/>
    <mergeCell ref="A317:K317"/>
    <mergeCell ref="A318:K318"/>
    <mergeCell ref="A315:K315"/>
    <mergeCell ref="A316:K316"/>
    <mergeCell ref="L315:BA315"/>
    <mergeCell ref="BB315:BL315"/>
    <mergeCell ref="L316:BA316"/>
    <mergeCell ref="BB316:BL316"/>
    <mergeCell ref="L317:BA317"/>
    <mergeCell ref="BB317:BL317"/>
    <mergeCell ref="L318:BA318"/>
    <mergeCell ref="BB318:BL318"/>
    <mergeCell ref="L319:BA319"/>
    <mergeCell ref="BB319:BL319"/>
    <mergeCell ref="L320:BA320"/>
    <mergeCell ref="BB320:BL320"/>
    <mergeCell ref="A325:K325"/>
    <mergeCell ref="A326:K326"/>
    <mergeCell ref="A323:K323"/>
    <mergeCell ref="A324:K324"/>
    <mergeCell ref="A321:K321"/>
    <mergeCell ref="A322:K322"/>
    <mergeCell ref="L321:BA321"/>
    <mergeCell ref="BB321:BL321"/>
    <mergeCell ref="L322:BA322"/>
    <mergeCell ref="BB322:BL322"/>
    <mergeCell ref="L323:BA323"/>
    <mergeCell ref="BB323:BL323"/>
    <mergeCell ref="L324:BA324"/>
    <mergeCell ref="BB324:BL324"/>
    <mergeCell ref="L325:BA325"/>
    <mergeCell ref="BB325:BL325"/>
    <mergeCell ref="L326:BA326"/>
    <mergeCell ref="BB326:BL326"/>
    <mergeCell ref="A331:K331"/>
    <mergeCell ref="A332:K332"/>
    <mergeCell ref="A329:K329"/>
    <mergeCell ref="A330:K330"/>
    <mergeCell ref="A327:K327"/>
    <mergeCell ref="A328:K328"/>
    <mergeCell ref="L327:BA327"/>
    <mergeCell ref="BB327:BL327"/>
    <mergeCell ref="L328:BA328"/>
    <mergeCell ref="BB328:BL328"/>
    <mergeCell ref="L329:BA329"/>
    <mergeCell ref="BB329:BL329"/>
    <mergeCell ref="L330:BA330"/>
    <mergeCell ref="BB330:BL330"/>
    <mergeCell ref="L331:BA331"/>
    <mergeCell ref="BB331:BL331"/>
    <mergeCell ref="L332:BA332"/>
    <mergeCell ref="BB332:BL332"/>
    <mergeCell ref="A337:K337"/>
    <mergeCell ref="A338:K338"/>
    <mergeCell ref="A335:K335"/>
    <mergeCell ref="A336:K336"/>
    <mergeCell ref="A333:K333"/>
    <mergeCell ref="A334:K334"/>
    <mergeCell ref="L333:BA333"/>
    <mergeCell ref="BB333:BL333"/>
    <mergeCell ref="L334:BA334"/>
    <mergeCell ref="BB334:BL334"/>
    <mergeCell ref="L335:BA335"/>
    <mergeCell ref="BB335:BL335"/>
    <mergeCell ref="L336:BA336"/>
    <mergeCell ref="BB336:BL336"/>
    <mergeCell ref="L337:BA337"/>
    <mergeCell ref="BB337:BL337"/>
    <mergeCell ref="L338:BA338"/>
    <mergeCell ref="BB338:BL338"/>
    <mergeCell ref="A343:K343"/>
    <mergeCell ref="A344:K344"/>
    <mergeCell ref="A341:K341"/>
    <mergeCell ref="A342:K342"/>
    <mergeCell ref="A339:K339"/>
    <mergeCell ref="A340:K340"/>
    <mergeCell ref="L339:BA339"/>
    <mergeCell ref="BB339:BL339"/>
    <mergeCell ref="L340:BA340"/>
    <mergeCell ref="BB340:BL340"/>
    <mergeCell ref="L341:BA341"/>
    <mergeCell ref="BB341:BL341"/>
    <mergeCell ref="L342:BA342"/>
    <mergeCell ref="BB342:BL342"/>
    <mergeCell ref="L343:BA343"/>
    <mergeCell ref="BB343:BL343"/>
    <mergeCell ref="L344:BA344"/>
    <mergeCell ref="BB344:BL344"/>
    <mergeCell ref="A349:K349"/>
    <mergeCell ref="A350:K350"/>
    <mergeCell ref="A347:K347"/>
    <mergeCell ref="A348:K348"/>
    <mergeCell ref="A345:K345"/>
    <mergeCell ref="A346:K346"/>
    <mergeCell ref="L345:BA345"/>
    <mergeCell ref="BB345:BL345"/>
    <mergeCell ref="L346:BA346"/>
    <mergeCell ref="BB346:BL346"/>
    <mergeCell ref="L347:BA347"/>
    <mergeCell ref="BB347:BL347"/>
    <mergeCell ref="L348:BA348"/>
    <mergeCell ref="BB348:BL348"/>
    <mergeCell ref="L349:BA349"/>
    <mergeCell ref="BB349:BL349"/>
    <mergeCell ref="L350:BA350"/>
    <mergeCell ref="BB350:BL350"/>
    <mergeCell ref="A355:K355"/>
    <mergeCell ref="A356:K356"/>
    <mergeCell ref="A353:K353"/>
    <mergeCell ref="A354:K354"/>
    <mergeCell ref="A351:K351"/>
    <mergeCell ref="A352:K352"/>
    <mergeCell ref="L351:BA351"/>
    <mergeCell ref="BB351:BL351"/>
    <mergeCell ref="L352:BA352"/>
    <mergeCell ref="BB352:BL352"/>
    <mergeCell ref="L353:BA353"/>
    <mergeCell ref="BB353:BL353"/>
    <mergeCell ref="L354:BA354"/>
    <mergeCell ref="BB354:BL354"/>
    <mergeCell ref="L355:BA355"/>
    <mergeCell ref="BB355:BL355"/>
    <mergeCell ref="L356:BA356"/>
    <mergeCell ref="BB356:BL356"/>
    <mergeCell ref="A361:K361"/>
    <mergeCell ref="A362:K362"/>
    <mergeCell ref="A359:K359"/>
    <mergeCell ref="A360:K360"/>
    <mergeCell ref="A357:K357"/>
    <mergeCell ref="A358:K358"/>
    <mergeCell ref="L357:BA357"/>
    <mergeCell ref="BB357:BL357"/>
    <mergeCell ref="L358:BA358"/>
    <mergeCell ref="BB358:BL358"/>
    <mergeCell ref="L359:BA359"/>
    <mergeCell ref="BB359:BL359"/>
    <mergeCell ref="L360:BA360"/>
    <mergeCell ref="BB360:BL360"/>
    <mergeCell ref="L361:BA361"/>
    <mergeCell ref="BB361:BL361"/>
    <mergeCell ref="L362:BA362"/>
    <mergeCell ref="BB362:BL362"/>
    <mergeCell ref="A367:K367"/>
    <mergeCell ref="A368:K368"/>
    <mergeCell ref="A365:K365"/>
    <mergeCell ref="A366:K366"/>
    <mergeCell ref="A363:K363"/>
    <mergeCell ref="A364:K364"/>
    <mergeCell ref="L363:BA363"/>
    <mergeCell ref="BB363:BL363"/>
    <mergeCell ref="L364:BA364"/>
    <mergeCell ref="BB364:BL364"/>
    <mergeCell ref="L365:BA365"/>
    <mergeCell ref="BB365:BL365"/>
    <mergeCell ref="L366:BA366"/>
    <mergeCell ref="BB366:BL366"/>
    <mergeCell ref="L367:BA367"/>
    <mergeCell ref="BB367:BL367"/>
    <mergeCell ref="L368:BA368"/>
    <mergeCell ref="BB368:BL368"/>
    <mergeCell ref="A373:K373"/>
    <mergeCell ref="A374:K374"/>
    <mergeCell ref="A371:K371"/>
    <mergeCell ref="A372:K372"/>
    <mergeCell ref="A369:K369"/>
    <mergeCell ref="A370:K370"/>
    <mergeCell ref="L369:BA369"/>
    <mergeCell ref="BB369:BL369"/>
    <mergeCell ref="L370:BA370"/>
    <mergeCell ref="BB370:BL370"/>
    <mergeCell ref="L371:BA371"/>
    <mergeCell ref="BB371:BL371"/>
    <mergeCell ref="L372:BA372"/>
    <mergeCell ref="BB372:BL372"/>
    <mergeCell ref="L373:BA373"/>
    <mergeCell ref="BB373:BL373"/>
    <mergeCell ref="L374:BA374"/>
    <mergeCell ref="BB374:BL374"/>
    <mergeCell ref="A379:K379"/>
    <mergeCell ref="A380:K380"/>
    <mergeCell ref="A377:K377"/>
    <mergeCell ref="A378:K378"/>
    <mergeCell ref="A375:K375"/>
    <mergeCell ref="A376:K376"/>
    <mergeCell ref="L375:BA375"/>
    <mergeCell ref="BB375:BL375"/>
    <mergeCell ref="L376:BA376"/>
    <mergeCell ref="BB376:BL376"/>
    <mergeCell ref="L377:BA377"/>
    <mergeCell ref="BB377:BL377"/>
    <mergeCell ref="L378:BA378"/>
    <mergeCell ref="BB378:BL378"/>
    <mergeCell ref="L379:BA379"/>
    <mergeCell ref="BB379:BL379"/>
    <mergeCell ref="L380:BA380"/>
    <mergeCell ref="BB380:BL380"/>
    <mergeCell ref="A385:K385"/>
    <mergeCell ref="A386:K386"/>
    <mergeCell ref="A383:K383"/>
    <mergeCell ref="A384:K384"/>
    <mergeCell ref="A381:K381"/>
    <mergeCell ref="A382:K382"/>
    <mergeCell ref="L381:BA381"/>
    <mergeCell ref="BB381:BL381"/>
    <mergeCell ref="L382:BA382"/>
    <mergeCell ref="BB382:BL382"/>
    <mergeCell ref="L383:BA383"/>
    <mergeCell ref="BB383:BL383"/>
    <mergeCell ref="L384:BA384"/>
    <mergeCell ref="BB384:BL384"/>
    <mergeCell ref="L385:BA385"/>
    <mergeCell ref="BB385:BL385"/>
    <mergeCell ref="L386:BA386"/>
    <mergeCell ref="BB386:BL386"/>
    <mergeCell ref="A391:K391"/>
    <mergeCell ref="A392:K392"/>
    <mergeCell ref="A389:K389"/>
    <mergeCell ref="A390:K390"/>
    <mergeCell ref="A387:K387"/>
    <mergeCell ref="A388:K388"/>
    <mergeCell ref="L387:BA387"/>
    <mergeCell ref="BB387:BL387"/>
    <mergeCell ref="L388:BA388"/>
    <mergeCell ref="BB388:BL388"/>
    <mergeCell ref="L389:BA389"/>
    <mergeCell ref="BB389:BL389"/>
    <mergeCell ref="L390:BA390"/>
    <mergeCell ref="BB390:BL390"/>
    <mergeCell ref="L391:BA391"/>
    <mergeCell ref="BB391:BL391"/>
    <mergeCell ref="L392:BA392"/>
    <mergeCell ref="BB392:BL392"/>
    <mergeCell ref="A397:K397"/>
    <mergeCell ref="A398:K398"/>
    <mergeCell ref="A395:K395"/>
    <mergeCell ref="A396:K396"/>
    <mergeCell ref="A393:K393"/>
    <mergeCell ref="A394:K394"/>
    <mergeCell ref="L393:BA393"/>
    <mergeCell ref="BB393:BL393"/>
    <mergeCell ref="L394:BA394"/>
    <mergeCell ref="BB394:BL394"/>
    <mergeCell ref="L395:BA395"/>
    <mergeCell ref="BB395:BL395"/>
    <mergeCell ref="L396:BA396"/>
    <mergeCell ref="BB396:BL396"/>
    <mergeCell ref="L397:BA397"/>
    <mergeCell ref="BB397:BL397"/>
    <mergeCell ref="L398:BA398"/>
    <mergeCell ref="BB398:BL398"/>
    <mergeCell ref="A403:K403"/>
    <mergeCell ref="A404:K404"/>
    <mergeCell ref="A401:K401"/>
    <mergeCell ref="A402:K402"/>
    <mergeCell ref="A399:K399"/>
    <mergeCell ref="A400:K400"/>
    <mergeCell ref="L399:BA399"/>
    <mergeCell ref="BB399:BL399"/>
    <mergeCell ref="L400:BA400"/>
    <mergeCell ref="BB400:BL400"/>
    <mergeCell ref="L401:BA401"/>
    <mergeCell ref="BB401:BL401"/>
    <mergeCell ref="L402:BA402"/>
    <mergeCell ref="BB402:BL402"/>
    <mergeCell ref="L403:BA403"/>
    <mergeCell ref="BB403:BL403"/>
    <mergeCell ref="L404:BA404"/>
    <mergeCell ref="BB404:BL404"/>
    <mergeCell ref="A409:K409"/>
    <mergeCell ref="A410:K410"/>
    <mergeCell ref="A407:K407"/>
    <mergeCell ref="A408:K408"/>
    <mergeCell ref="A405:K405"/>
    <mergeCell ref="A406:K406"/>
    <mergeCell ref="L405:BA405"/>
    <mergeCell ref="BB405:BL405"/>
    <mergeCell ref="L406:BA406"/>
    <mergeCell ref="BB406:BL406"/>
    <mergeCell ref="L407:BA407"/>
    <mergeCell ref="BB407:BL407"/>
    <mergeCell ref="L408:BA408"/>
    <mergeCell ref="BB408:BL408"/>
    <mergeCell ref="L409:BA409"/>
    <mergeCell ref="BB409:BL409"/>
    <mergeCell ref="L410:BA410"/>
    <mergeCell ref="BB410:BL410"/>
    <mergeCell ref="A415:K415"/>
    <mergeCell ref="A416:K416"/>
    <mergeCell ref="A413:K413"/>
    <mergeCell ref="A414:K414"/>
    <mergeCell ref="A411:K411"/>
    <mergeCell ref="A412:K412"/>
    <mergeCell ref="L411:BA411"/>
    <mergeCell ref="BB411:BL411"/>
    <mergeCell ref="L412:BA412"/>
    <mergeCell ref="BB412:BL412"/>
    <mergeCell ref="L413:BA413"/>
    <mergeCell ref="BB413:BL413"/>
    <mergeCell ref="L414:BA414"/>
    <mergeCell ref="BB414:BL414"/>
    <mergeCell ref="L415:BA415"/>
    <mergeCell ref="BB415:BL415"/>
    <mergeCell ref="L416:BA416"/>
    <mergeCell ref="BB416:BL416"/>
    <mergeCell ref="A421:K421"/>
    <mergeCell ref="A422:K422"/>
    <mergeCell ref="A419:K419"/>
    <mergeCell ref="A420:K420"/>
    <mergeCell ref="A417:K417"/>
    <mergeCell ref="A418:K418"/>
    <mergeCell ref="L417:BA417"/>
    <mergeCell ref="BB417:BL417"/>
    <mergeCell ref="L418:BA418"/>
    <mergeCell ref="BB418:BL418"/>
    <mergeCell ref="L419:BA419"/>
    <mergeCell ref="BB419:BL419"/>
    <mergeCell ref="L420:BA420"/>
    <mergeCell ref="BB420:BL420"/>
    <mergeCell ref="L421:BA421"/>
    <mergeCell ref="BB421:BL421"/>
    <mergeCell ref="L422:BA422"/>
    <mergeCell ref="BB422:BL422"/>
    <mergeCell ref="A427:K427"/>
    <mergeCell ref="A428:K428"/>
    <mergeCell ref="A425:K425"/>
    <mergeCell ref="A426:K426"/>
    <mergeCell ref="A423:K423"/>
    <mergeCell ref="A424:K424"/>
    <mergeCell ref="L423:BA423"/>
    <mergeCell ref="BB423:BL423"/>
    <mergeCell ref="L424:BA424"/>
    <mergeCell ref="BB424:BL424"/>
    <mergeCell ref="L425:BA425"/>
    <mergeCell ref="BB425:BL425"/>
    <mergeCell ref="L426:BA426"/>
    <mergeCell ref="BB426:BL426"/>
    <mergeCell ref="L427:BA427"/>
    <mergeCell ref="BB427:BL427"/>
    <mergeCell ref="L428:BA428"/>
    <mergeCell ref="BB428:BL428"/>
    <mergeCell ref="A433:K433"/>
    <mergeCell ref="A434:K434"/>
    <mergeCell ref="A431:K431"/>
    <mergeCell ref="A432:K432"/>
    <mergeCell ref="A429:K429"/>
    <mergeCell ref="A430:K430"/>
    <mergeCell ref="L429:BA429"/>
    <mergeCell ref="BB429:BL429"/>
    <mergeCell ref="L430:BA430"/>
    <mergeCell ref="BB430:BL430"/>
    <mergeCell ref="L431:BA431"/>
    <mergeCell ref="BB431:BL431"/>
    <mergeCell ref="L432:BA432"/>
    <mergeCell ref="BB432:BL432"/>
    <mergeCell ref="L433:BA433"/>
    <mergeCell ref="BB433:BL433"/>
    <mergeCell ref="L434:BA434"/>
    <mergeCell ref="BB434:BL434"/>
    <mergeCell ref="A439:K439"/>
    <mergeCell ref="A440:K440"/>
    <mergeCell ref="A437:K437"/>
    <mergeCell ref="A438:K438"/>
    <mergeCell ref="A435:K435"/>
    <mergeCell ref="A436:K436"/>
    <mergeCell ref="L435:BA435"/>
    <mergeCell ref="BB435:BL435"/>
    <mergeCell ref="L436:BA436"/>
    <mergeCell ref="BB436:BL436"/>
    <mergeCell ref="L437:BA437"/>
    <mergeCell ref="BB437:BL437"/>
    <mergeCell ref="L438:BA438"/>
    <mergeCell ref="BB438:BL438"/>
    <mergeCell ref="L439:BA439"/>
    <mergeCell ref="BB439:BL439"/>
    <mergeCell ref="L440:BA440"/>
    <mergeCell ref="BB440:BL440"/>
    <mergeCell ref="A445:K445"/>
    <mergeCell ref="A446:K446"/>
    <mergeCell ref="A443:K443"/>
    <mergeCell ref="A444:K444"/>
    <mergeCell ref="A441:K441"/>
    <mergeCell ref="A442:K442"/>
    <mergeCell ref="L441:BA441"/>
    <mergeCell ref="BB441:BL441"/>
    <mergeCell ref="L442:BA442"/>
    <mergeCell ref="BB442:BL442"/>
    <mergeCell ref="L443:BA443"/>
    <mergeCell ref="BB443:BL443"/>
    <mergeCell ref="L444:BA444"/>
    <mergeCell ref="BB444:BL444"/>
    <mergeCell ref="L445:BA445"/>
    <mergeCell ref="BB445:BL445"/>
    <mergeCell ref="L446:BA446"/>
    <mergeCell ref="BB446:BL446"/>
    <mergeCell ref="A451:K451"/>
    <mergeCell ref="A452:K452"/>
    <mergeCell ref="A449:K449"/>
    <mergeCell ref="A450:K450"/>
    <mergeCell ref="A447:K447"/>
    <mergeCell ref="A448:K448"/>
    <mergeCell ref="L447:BA447"/>
    <mergeCell ref="BB447:BL447"/>
    <mergeCell ref="L448:BA448"/>
    <mergeCell ref="BB448:BL448"/>
    <mergeCell ref="L449:BA449"/>
    <mergeCell ref="BB449:BL449"/>
    <mergeCell ref="L450:BA450"/>
    <mergeCell ref="BB450:BL450"/>
    <mergeCell ref="L451:BA451"/>
    <mergeCell ref="BB451:BL451"/>
    <mergeCell ref="L452:BA452"/>
    <mergeCell ref="BB452:BL452"/>
    <mergeCell ref="A457:K457"/>
    <mergeCell ref="A458:K458"/>
    <mergeCell ref="A455:K455"/>
    <mergeCell ref="A456:K456"/>
    <mergeCell ref="A453:K453"/>
    <mergeCell ref="A454:K454"/>
    <mergeCell ref="L453:BA453"/>
    <mergeCell ref="BB453:BL453"/>
    <mergeCell ref="L454:BA454"/>
    <mergeCell ref="BB454:BL454"/>
    <mergeCell ref="L455:BA455"/>
    <mergeCell ref="BB455:BL455"/>
    <mergeCell ref="L456:BA456"/>
    <mergeCell ref="BB456:BL456"/>
    <mergeCell ref="L457:BA457"/>
    <mergeCell ref="BB457:BL457"/>
    <mergeCell ref="L458:BA458"/>
    <mergeCell ref="BB458:BL458"/>
    <mergeCell ref="A463:K463"/>
    <mergeCell ref="A464:K464"/>
    <mergeCell ref="A461:K461"/>
    <mergeCell ref="A462:K462"/>
    <mergeCell ref="A459:K459"/>
    <mergeCell ref="A460:K460"/>
    <mergeCell ref="L459:BA459"/>
    <mergeCell ref="BB459:BL459"/>
    <mergeCell ref="L460:BA460"/>
    <mergeCell ref="BB460:BL460"/>
    <mergeCell ref="L461:BA461"/>
    <mergeCell ref="BB461:BL461"/>
    <mergeCell ref="L462:BA462"/>
    <mergeCell ref="BB462:BL462"/>
    <mergeCell ref="L463:BA463"/>
    <mergeCell ref="BB463:BL463"/>
    <mergeCell ref="L464:BA464"/>
    <mergeCell ref="BB464:BL464"/>
    <mergeCell ref="A469:K469"/>
    <mergeCell ref="A470:K470"/>
    <mergeCell ref="A467:K467"/>
    <mergeCell ref="A468:K468"/>
    <mergeCell ref="A465:K465"/>
    <mergeCell ref="A466:K466"/>
    <mergeCell ref="L465:BA465"/>
    <mergeCell ref="BB465:BL465"/>
    <mergeCell ref="L466:BA466"/>
    <mergeCell ref="BB466:BL466"/>
    <mergeCell ref="L467:BA467"/>
    <mergeCell ref="BB467:BL467"/>
    <mergeCell ref="L468:BA468"/>
    <mergeCell ref="BB468:BL468"/>
    <mergeCell ref="L469:BA469"/>
    <mergeCell ref="BB469:BL469"/>
    <mergeCell ref="L470:BA470"/>
    <mergeCell ref="BB470:BL470"/>
    <mergeCell ref="A475:K475"/>
    <mergeCell ref="A476:K476"/>
    <mergeCell ref="A473:K473"/>
    <mergeCell ref="A474:K474"/>
    <mergeCell ref="A471:K471"/>
    <mergeCell ref="A472:K472"/>
    <mergeCell ref="L471:BA471"/>
    <mergeCell ref="BB471:BL471"/>
    <mergeCell ref="L472:BA472"/>
    <mergeCell ref="BB472:BL472"/>
    <mergeCell ref="L473:BA473"/>
    <mergeCell ref="BB473:BL473"/>
    <mergeCell ref="L474:BA474"/>
    <mergeCell ref="BB474:BL474"/>
    <mergeCell ref="L475:BA475"/>
    <mergeCell ref="BB475:BL475"/>
    <mergeCell ref="L476:BA476"/>
    <mergeCell ref="BB476:BL476"/>
    <mergeCell ref="A481:K481"/>
    <mergeCell ref="A482:K482"/>
    <mergeCell ref="A479:K479"/>
    <mergeCell ref="A480:K480"/>
    <mergeCell ref="A477:K477"/>
    <mergeCell ref="A478:K478"/>
    <mergeCell ref="L477:BA477"/>
    <mergeCell ref="BB477:BL477"/>
    <mergeCell ref="L478:BA478"/>
    <mergeCell ref="BB478:BL478"/>
    <mergeCell ref="L479:BA479"/>
    <mergeCell ref="BB479:BL479"/>
    <mergeCell ref="L480:BA480"/>
    <mergeCell ref="BB480:BL480"/>
    <mergeCell ref="L481:BA481"/>
    <mergeCell ref="BB481:BL481"/>
    <mergeCell ref="L482:BA482"/>
    <mergeCell ref="BB482:BL482"/>
    <mergeCell ref="A487:K487"/>
    <mergeCell ref="A488:K488"/>
    <mergeCell ref="A485:K485"/>
    <mergeCell ref="A486:K486"/>
    <mergeCell ref="A483:K483"/>
    <mergeCell ref="A484:K484"/>
    <mergeCell ref="L483:BA483"/>
    <mergeCell ref="BB483:BL483"/>
    <mergeCell ref="L484:BA484"/>
    <mergeCell ref="BB484:BL484"/>
    <mergeCell ref="L485:BA485"/>
    <mergeCell ref="BB485:BL485"/>
    <mergeCell ref="L486:BA486"/>
    <mergeCell ref="BB486:BL486"/>
    <mergeCell ref="L487:BA487"/>
    <mergeCell ref="BB487:BL487"/>
    <mergeCell ref="L488:BA488"/>
    <mergeCell ref="BB488:BL488"/>
    <mergeCell ref="A493:K493"/>
    <mergeCell ref="A494:K494"/>
    <mergeCell ref="A491:K491"/>
    <mergeCell ref="A492:K492"/>
    <mergeCell ref="A489:K489"/>
    <mergeCell ref="A490:K490"/>
    <mergeCell ref="L489:BA489"/>
    <mergeCell ref="BB489:BL489"/>
    <mergeCell ref="L490:BA490"/>
    <mergeCell ref="BB490:BL490"/>
    <mergeCell ref="L491:BA491"/>
    <mergeCell ref="BB491:BL491"/>
    <mergeCell ref="L492:BA492"/>
    <mergeCell ref="BB492:BL492"/>
    <mergeCell ref="L493:BA493"/>
    <mergeCell ref="BB493:BL493"/>
    <mergeCell ref="L494:BA494"/>
    <mergeCell ref="BB494:BL494"/>
    <mergeCell ref="A499:K499"/>
    <mergeCell ref="A500:K500"/>
    <mergeCell ref="A497:K497"/>
    <mergeCell ref="A498:K498"/>
    <mergeCell ref="A495:K495"/>
    <mergeCell ref="A496:K496"/>
    <mergeCell ref="L495:BA495"/>
    <mergeCell ref="BB495:BL495"/>
    <mergeCell ref="L496:BA496"/>
    <mergeCell ref="BB496:BL496"/>
    <mergeCell ref="L497:BA497"/>
    <mergeCell ref="BB497:BL497"/>
    <mergeCell ref="L498:BA498"/>
    <mergeCell ref="BB498:BL498"/>
    <mergeCell ref="L499:BA499"/>
    <mergeCell ref="BB499:BL499"/>
    <mergeCell ref="L500:BA500"/>
    <mergeCell ref="BB500:BL500"/>
    <mergeCell ref="A505:K505"/>
    <mergeCell ref="A506:K506"/>
    <mergeCell ref="A503:K503"/>
    <mergeCell ref="A504:K504"/>
    <mergeCell ref="A501:K501"/>
    <mergeCell ref="A502:K502"/>
    <mergeCell ref="L501:BA501"/>
    <mergeCell ref="BB501:BL501"/>
    <mergeCell ref="L502:BA502"/>
    <mergeCell ref="BB502:BL502"/>
    <mergeCell ref="L503:BA503"/>
    <mergeCell ref="BB503:BL503"/>
    <mergeCell ref="L504:BA504"/>
    <mergeCell ref="BB504:BL504"/>
    <mergeCell ref="L505:BA505"/>
    <mergeCell ref="BB505:BL505"/>
    <mergeCell ref="L506:BA506"/>
    <mergeCell ref="BB506:BL506"/>
    <mergeCell ref="A511:K511"/>
    <mergeCell ref="A512:K512"/>
    <mergeCell ref="A509:K509"/>
    <mergeCell ref="A510:K510"/>
    <mergeCell ref="A507:K507"/>
    <mergeCell ref="A508:K508"/>
    <mergeCell ref="L507:BA507"/>
    <mergeCell ref="BB507:BL507"/>
    <mergeCell ref="L508:BA508"/>
    <mergeCell ref="BB508:BL508"/>
    <mergeCell ref="L509:BA509"/>
    <mergeCell ref="BB509:BL509"/>
    <mergeCell ref="L510:BA510"/>
    <mergeCell ref="BB510:BL510"/>
    <mergeCell ref="L511:BA511"/>
    <mergeCell ref="BB511:BL511"/>
    <mergeCell ref="L512:BA512"/>
    <mergeCell ref="BB512:BL512"/>
    <mergeCell ref="A517:K517"/>
    <mergeCell ref="A518:K518"/>
    <mergeCell ref="A515:K515"/>
    <mergeCell ref="A516:K516"/>
    <mergeCell ref="A513:K513"/>
    <mergeCell ref="A514:K514"/>
    <mergeCell ref="L513:BA513"/>
    <mergeCell ref="BB513:BL513"/>
    <mergeCell ref="L514:BA514"/>
    <mergeCell ref="BB514:BL514"/>
    <mergeCell ref="L515:BA515"/>
    <mergeCell ref="BB515:BL515"/>
    <mergeCell ref="L516:BA516"/>
    <mergeCell ref="BB516:BL516"/>
    <mergeCell ref="L517:BA517"/>
    <mergeCell ref="BB517:BL517"/>
    <mergeCell ref="L518:BA518"/>
    <mergeCell ref="BB518:BL518"/>
    <mergeCell ref="A523:K523"/>
    <mergeCell ref="A524:K524"/>
    <mergeCell ref="A521:K521"/>
    <mergeCell ref="A522:K522"/>
    <mergeCell ref="A519:K519"/>
    <mergeCell ref="A520:K520"/>
    <mergeCell ref="L519:BA519"/>
    <mergeCell ref="BB519:BL519"/>
    <mergeCell ref="L520:BA520"/>
    <mergeCell ref="BB520:BL520"/>
    <mergeCell ref="L521:BA521"/>
    <mergeCell ref="BB521:BL521"/>
    <mergeCell ref="L522:BA522"/>
    <mergeCell ref="BB522:BL522"/>
    <mergeCell ref="L523:BA523"/>
    <mergeCell ref="BB523:BL523"/>
    <mergeCell ref="L524:BA524"/>
    <mergeCell ref="BB524:BL524"/>
    <mergeCell ref="A529:K529"/>
    <mergeCell ref="A530:K530"/>
    <mergeCell ref="A527:K527"/>
    <mergeCell ref="A528:K528"/>
    <mergeCell ref="A525:K525"/>
    <mergeCell ref="A526:K526"/>
    <mergeCell ref="L525:BA525"/>
    <mergeCell ref="BB525:BL525"/>
    <mergeCell ref="L526:BA526"/>
    <mergeCell ref="BB526:BL526"/>
    <mergeCell ref="L527:BA527"/>
    <mergeCell ref="BB527:BL527"/>
    <mergeCell ref="L528:BA528"/>
    <mergeCell ref="BB528:BL528"/>
    <mergeCell ref="L529:BA529"/>
    <mergeCell ref="BB529:BL529"/>
    <mergeCell ref="L530:BA530"/>
    <mergeCell ref="BB530:BL530"/>
    <mergeCell ref="A535:K535"/>
    <mergeCell ref="A536:K536"/>
    <mergeCell ref="A533:K533"/>
    <mergeCell ref="A534:K534"/>
    <mergeCell ref="A531:K531"/>
    <mergeCell ref="A532:K532"/>
    <mergeCell ref="L531:BA531"/>
    <mergeCell ref="BB531:BL531"/>
    <mergeCell ref="L532:BA532"/>
    <mergeCell ref="BB532:BL532"/>
    <mergeCell ref="L533:BA533"/>
    <mergeCell ref="BB533:BL533"/>
    <mergeCell ref="L534:BA534"/>
    <mergeCell ref="BB534:BL534"/>
    <mergeCell ref="L535:BA535"/>
    <mergeCell ref="BB535:BL535"/>
    <mergeCell ref="L536:BA536"/>
    <mergeCell ref="BB536:BL536"/>
    <mergeCell ref="A541:K541"/>
    <mergeCell ref="A542:K542"/>
    <mergeCell ref="A539:K539"/>
    <mergeCell ref="A540:K540"/>
    <mergeCell ref="A537:K537"/>
    <mergeCell ref="A538:K538"/>
    <mergeCell ref="L537:BA537"/>
    <mergeCell ref="BB537:BL537"/>
    <mergeCell ref="L538:BA538"/>
    <mergeCell ref="BB538:BL538"/>
    <mergeCell ref="L539:BA539"/>
    <mergeCell ref="BB539:BL539"/>
    <mergeCell ref="L540:BA540"/>
    <mergeCell ref="BB540:BL540"/>
    <mergeCell ref="L541:BA541"/>
    <mergeCell ref="BB541:BL541"/>
    <mergeCell ref="L542:BA542"/>
    <mergeCell ref="BB542:BL542"/>
    <mergeCell ref="A547:K547"/>
    <mergeCell ref="A548:K548"/>
    <mergeCell ref="A545:K545"/>
    <mergeCell ref="A546:K546"/>
    <mergeCell ref="A543:K543"/>
    <mergeCell ref="A544:K544"/>
    <mergeCell ref="L543:BA543"/>
    <mergeCell ref="BB543:BL543"/>
    <mergeCell ref="L544:BA544"/>
    <mergeCell ref="BB544:BL544"/>
    <mergeCell ref="L545:BA545"/>
    <mergeCell ref="BB545:BL545"/>
    <mergeCell ref="L546:BA546"/>
    <mergeCell ref="BB546:BL546"/>
    <mergeCell ref="L547:BA547"/>
    <mergeCell ref="BB547:BL547"/>
    <mergeCell ref="L548:BA548"/>
    <mergeCell ref="BB548:BL548"/>
    <mergeCell ref="A553:K553"/>
    <mergeCell ref="A554:K554"/>
    <mergeCell ref="A551:K551"/>
    <mergeCell ref="A552:K552"/>
    <mergeCell ref="A549:K549"/>
    <mergeCell ref="A550:K550"/>
    <mergeCell ref="L549:BA549"/>
    <mergeCell ref="BB549:BL549"/>
    <mergeCell ref="L550:BA550"/>
    <mergeCell ref="BB550:BL550"/>
    <mergeCell ref="L551:BA551"/>
    <mergeCell ref="BB551:BL551"/>
    <mergeCell ref="L552:BA552"/>
    <mergeCell ref="BB552:BL552"/>
    <mergeCell ref="L553:BA553"/>
    <mergeCell ref="BB553:BL553"/>
    <mergeCell ref="L554:BA554"/>
    <mergeCell ref="BB554:BL554"/>
    <mergeCell ref="A559:K559"/>
    <mergeCell ref="A560:K560"/>
    <mergeCell ref="A557:K557"/>
    <mergeCell ref="A558:K558"/>
    <mergeCell ref="A555:K555"/>
    <mergeCell ref="A556:K556"/>
    <mergeCell ref="L555:BA555"/>
    <mergeCell ref="BB555:BL555"/>
    <mergeCell ref="L556:BA556"/>
    <mergeCell ref="BB556:BL556"/>
    <mergeCell ref="L557:BA557"/>
    <mergeCell ref="BB557:BL557"/>
    <mergeCell ref="L558:BA558"/>
    <mergeCell ref="BB558:BL558"/>
    <mergeCell ref="L559:BA559"/>
    <mergeCell ref="BB559:BL559"/>
    <mergeCell ref="L560:BA560"/>
    <mergeCell ref="BB560:BL560"/>
    <mergeCell ref="A565:K565"/>
    <mergeCell ref="A566:K566"/>
    <mergeCell ref="A563:K563"/>
    <mergeCell ref="A564:K564"/>
    <mergeCell ref="A561:K561"/>
    <mergeCell ref="A562:K562"/>
    <mergeCell ref="L561:BA561"/>
    <mergeCell ref="BB561:BL561"/>
    <mergeCell ref="L562:BA562"/>
    <mergeCell ref="BB562:BL562"/>
    <mergeCell ref="L563:BA563"/>
    <mergeCell ref="BB563:BL563"/>
    <mergeCell ref="L564:BA564"/>
    <mergeCell ref="BB564:BL564"/>
    <mergeCell ref="L565:BA565"/>
    <mergeCell ref="BB565:BL565"/>
    <mergeCell ref="L566:BA566"/>
    <mergeCell ref="BB566:BL566"/>
    <mergeCell ref="A571:K571"/>
    <mergeCell ref="A572:K572"/>
    <mergeCell ref="A569:K569"/>
    <mergeCell ref="A570:K570"/>
    <mergeCell ref="A567:K567"/>
    <mergeCell ref="A568:K568"/>
    <mergeCell ref="L567:BA567"/>
    <mergeCell ref="BB567:BL567"/>
    <mergeCell ref="L568:BA568"/>
    <mergeCell ref="BB568:BL568"/>
    <mergeCell ref="L569:BA569"/>
    <mergeCell ref="BB569:BL569"/>
    <mergeCell ref="L570:BA570"/>
    <mergeCell ref="BB570:BL570"/>
    <mergeCell ref="L571:BA571"/>
    <mergeCell ref="BB571:BL571"/>
    <mergeCell ref="L572:BA572"/>
    <mergeCell ref="BB572:BL572"/>
    <mergeCell ref="BB583:BL583"/>
    <mergeCell ref="A584:K584"/>
    <mergeCell ref="L584:BA584"/>
    <mergeCell ref="BB584:BL584"/>
    <mergeCell ref="A577:K577"/>
    <mergeCell ref="A578:K578"/>
    <mergeCell ref="A575:K575"/>
    <mergeCell ref="A576:K576"/>
    <mergeCell ref="A573:K573"/>
    <mergeCell ref="A574:K574"/>
    <mergeCell ref="L573:BA573"/>
    <mergeCell ref="BB573:BL573"/>
    <mergeCell ref="L574:BA574"/>
    <mergeCell ref="BB574:BL574"/>
    <mergeCell ref="L575:BA575"/>
    <mergeCell ref="BB575:BL575"/>
    <mergeCell ref="L576:BA576"/>
    <mergeCell ref="BB576:BL576"/>
    <mergeCell ref="L577:BA577"/>
    <mergeCell ref="BB577:BL577"/>
    <mergeCell ref="L578:BA578"/>
    <mergeCell ref="BB578:BL578"/>
    <mergeCell ref="L610:BA610"/>
    <mergeCell ref="BB610:BL610"/>
    <mergeCell ref="L611:BA611"/>
    <mergeCell ref="BB611:BL611"/>
    <mergeCell ref="A582:K582"/>
    <mergeCell ref="A579:K579"/>
    <mergeCell ref="L579:BA579"/>
    <mergeCell ref="BB579:BL579"/>
    <mergeCell ref="A580:K580"/>
    <mergeCell ref="L580:BA580"/>
    <mergeCell ref="BB580:BL580"/>
    <mergeCell ref="A581:K581"/>
    <mergeCell ref="L581:BA581"/>
    <mergeCell ref="BB581:BL581"/>
    <mergeCell ref="L582:BA582"/>
    <mergeCell ref="BB582:BL582"/>
    <mergeCell ref="A583:K583"/>
    <mergeCell ref="A594:K594"/>
    <mergeCell ref="A591:K591"/>
    <mergeCell ref="A588:K588"/>
    <mergeCell ref="A590:K590"/>
    <mergeCell ref="L590:BA590"/>
    <mergeCell ref="BB590:BL590"/>
    <mergeCell ref="L591:BA591"/>
    <mergeCell ref="BB591:BL591"/>
    <mergeCell ref="A592:K592"/>
    <mergeCell ref="L592:BA592"/>
    <mergeCell ref="BB592:BL592"/>
    <mergeCell ref="A593:K593"/>
    <mergeCell ref="L593:BA593"/>
    <mergeCell ref="BB593:BL593"/>
    <mergeCell ref="L583:BA583"/>
    <mergeCell ref="A616:K616"/>
    <mergeCell ref="L616:BA616"/>
    <mergeCell ref="BB616:BL616"/>
    <mergeCell ref="A617:K617"/>
    <mergeCell ref="L617:BA617"/>
    <mergeCell ref="BB617:BL617"/>
    <mergeCell ref="A618:BL618"/>
    <mergeCell ref="A613:K613"/>
    <mergeCell ref="L613:BA613"/>
    <mergeCell ref="BB613:BL613"/>
    <mergeCell ref="A614:K614"/>
    <mergeCell ref="L614:BA614"/>
    <mergeCell ref="BB614:BL614"/>
    <mergeCell ref="A615:K615"/>
    <mergeCell ref="L615:BA615"/>
    <mergeCell ref="BB615:BL615"/>
    <mergeCell ref="A603:K603"/>
    <mergeCell ref="A611:K611"/>
    <mergeCell ref="A612:K612"/>
    <mergeCell ref="A609:K609"/>
    <mergeCell ref="A610:K610"/>
    <mergeCell ref="A606:K606"/>
    <mergeCell ref="L612:BA612"/>
    <mergeCell ref="BB612:BL612"/>
    <mergeCell ref="A607:K607"/>
    <mergeCell ref="L607:BA607"/>
    <mergeCell ref="BB607:BL607"/>
    <mergeCell ref="A608:K608"/>
    <mergeCell ref="L608:BA608"/>
    <mergeCell ref="BB608:BL608"/>
    <mergeCell ref="L609:BA609"/>
    <mergeCell ref="BB609:BL609"/>
  </mergeCells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B7FF-360C-4AB4-B43F-594CD951AFB7}">
  <sheetPr>
    <outlinePr summaryBelow="0"/>
  </sheetPr>
  <dimension ref="A1:BN37"/>
  <sheetViews>
    <sheetView tabSelected="1" workbookViewId="0">
      <selection activeCell="H6" sqref="H6"/>
    </sheetView>
  </sheetViews>
  <sheetFormatPr defaultRowHeight="15" x14ac:dyDescent="0.25"/>
  <cols>
    <col min="1" max="1" width="11" bestFit="1" customWidth="1"/>
    <col min="2" max="2" width="21.28515625" customWidth="1"/>
    <col min="3" max="3" width="13.28515625" bestFit="1" customWidth="1"/>
    <col min="4" max="4" width="12" bestFit="1" customWidth="1"/>
    <col min="5" max="5" width="12.7109375" bestFit="1" customWidth="1"/>
    <col min="6" max="6" width="15.42578125" bestFit="1" customWidth="1"/>
    <col min="7" max="7" width="14" bestFit="1" customWidth="1"/>
    <col min="8" max="8" width="14.7109375" bestFit="1" customWidth="1"/>
    <col min="9" max="9" width="11.42578125" bestFit="1" customWidth="1"/>
    <col min="10" max="10" width="10.42578125" bestFit="1" customWidth="1"/>
    <col min="11" max="11" width="9.7109375" bestFit="1" customWidth="1"/>
    <col min="12" max="12" width="18.7109375" bestFit="1" customWidth="1"/>
    <col min="13" max="13" width="17.42578125" bestFit="1" customWidth="1"/>
    <col min="14" max="14" width="18.140625" bestFit="1" customWidth="1"/>
    <col min="15" max="15" width="11.28515625" bestFit="1" customWidth="1"/>
    <col min="16" max="16" width="15.140625" bestFit="1" customWidth="1"/>
    <col min="17" max="17" width="11.28515625" bestFit="1" customWidth="1"/>
    <col min="18" max="18" width="6.85546875" bestFit="1" customWidth="1"/>
    <col min="19" max="19" width="12.7109375" bestFit="1" customWidth="1"/>
    <col min="20" max="20" width="20" bestFit="1" customWidth="1"/>
    <col min="21" max="21" width="19.28515625" bestFit="1" customWidth="1"/>
    <col min="22" max="22" width="18.42578125" bestFit="1" customWidth="1"/>
    <col min="23" max="23" width="18.7109375" bestFit="1" customWidth="1"/>
    <col min="24" max="24" width="16" bestFit="1" customWidth="1"/>
    <col min="25" max="25" width="11.42578125" bestFit="1" customWidth="1"/>
    <col min="26" max="26" width="18.5703125" bestFit="1" customWidth="1"/>
    <col min="27" max="27" width="11.28515625" bestFit="1" customWidth="1"/>
    <col min="28" max="28" width="10.42578125" bestFit="1" customWidth="1"/>
    <col min="29" max="29" width="6.42578125" bestFit="1" customWidth="1"/>
    <col min="30" max="30" width="16.7109375" bestFit="1" customWidth="1"/>
    <col min="31" max="31" width="20.85546875" bestFit="1" customWidth="1"/>
    <col min="32" max="32" width="19.5703125" bestFit="1" customWidth="1"/>
    <col min="33" max="33" width="20.28515625" bestFit="1" customWidth="1"/>
    <col min="34" max="34" width="15.85546875" bestFit="1" customWidth="1"/>
    <col min="35" max="35" width="15.140625" bestFit="1" customWidth="1"/>
    <col min="36" max="36" width="13.85546875" bestFit="1" customWidth="1"/>
    <col min="37" max="37" width="14.5703125" bestFit="1" customWidth="1"/>
    <col min="38" max="38" width="13.5703125" bestFit="1" customWidth="1"/>
    <col min="39" max="39" width="12.28515625" bestFit="1" customWidth="1"/>
    <col min="40" max="40" width="13" bestFit="1" customWidth="1"/>
    <col min="41" max="41" width="19.5703125" bestFit="1" customWidth="1"/>
    <col min="42" max="42" width="18.5703125" bestFit="1" customWidth="1"/>
    <col min="43" max="43" width="18.85546875" bestFit="1" customWidth="1"/>
    <col min="44" max="44" width="19.7109375" bestFit="1" customWidth="1"/>
    <col min="45" max="45" width="18.7109375" bestFit="1" customWidth="1"/>
    <col min="46" max="46" width="19" bestFit="1" customWidth="1"/>
    <col min="47" max="47" width="8.140625" bestFit="1" customWidth="1"/>
    <col min="48" max="48" width="9.7109375" bestFit="1" customWidth="1"/>
    <col min="49" max="49" width="9.5703125" bestFit="1" customWidth="1"/>
    <col min="50" max="50" width="15.42578125" bestFit="1" customWidth="1"/>
    <col min="51" max="51" width="15.7109375" bestFit="1" customWidth="1"/>
    <col min="52" max="52" width="14.28515625" customWidth="1"/>
    <col min="53" max="53" width="15" bestFit="1" customWidth="1"/>
    <col min="54" max="54" width="17.28515625" bestFit="1" customWidth="1"/>
    <col min="55" max="55" width="16" bestFit="1" customWidth="1"/>
    <col min="56" max="56" width="16.7109375" bestFit="1" customWidth="1"/>
    <col min="57" max="57" width="9.5703125" bestFit="1" customWidth="1"/>
    <col min="58" max="58" width="19.5703125" bestFit="1" customWidth="1"/>
  </cols>
  <sheetData>
    <row r="1" spans="1:66" x14ac:dyDescent="0.25">
      <c r="A1" s="1" t="s">
        <v>0</v>
      </c>
    </row>
    <row r="2" spans="1:66" x14ac:dyDescent="0.25">
      <c r="A2">
        <v>1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  <c r="K2">
        <v>12</v>
      </c>
      <c r="L2">
        <v>13</v>
      </c>
      <c r="M2">
        <v>14</v>
      </c>
      <c r="N2">
        <v>15</v>
      </c>
      <c r="O2">
        <v>16</v>
      </c>
      <c r="P2">
        <v>17</v>
      </c>
      <c r="Q2">
        <v>18</v>
      </c>
      <c r="R2">
        <v>19</v>
      </c>
      <c r="S2">
        <v>20</v>
      </c>
      <c r="T2">
        <v>21</v>
      </c>
      <c r="U2">
        <v>22</v>
      </c>
      <c r="V2">
        <v>23</v>
      </c>
      <c r="W2">
        <v>24</v>
      </c>
      <c r="X2">
        <v>25</v>
      </c>
      <c r="Y2">
        <v>26</v>
      </c>
      <c r="Z2">
        <v>27</v>
      </c>
      <c r="AA2">
        <v>28</v>
      </c>
      <c r="AB2">
        <v>29</v>
      </c>
      <c r="AC2">
        <v>30</v>
      </c>
      <c r="AD2">
        <v>31</v>
      </c>
      <c r="AE2">
        <v>32</v>
      </c>
      <c r="AF2">
        <v>33</v>
      </c>
      <c r="AG2">
        <v>34</v>
      </c>
      <c r="AH2">
        <v>35</v>
      </c>
      <c r="AI2">
        <v>36</v>
      </c>
      <c r="AJ2">
        <v>37</v>
      </c>
      <c r="AK2">
        <v>38</v>
      </c>
      <c r="AL2">
        <v>39</v>
      </c>
      <c r="AM2">
        <v>40</v>
      </c>
      <c r="AN2">
        <v>41</v>
      </c>
      <c r="AO2">
        <v>42</v>
      </c>
      <c r="AP2">
        <v>43</v>
      </c>
      <c r="AQ2">
        <v>44</v>
      </c>
      <c r="AR2">
        <v>45</v>
      </c>
      <c r="AS2">
        <v>46</v>
      </c>
      <c r="AT2">
        <v>47</v>
      </c>
      <c r="AU2">
        <v>48</v>
      </c>
      <c r="AV2">
        <v>49</v>
      </c>
      <c r="AW2">
        <v>50</v>
      </c>
      <c r="AX2">
        <v>51</v>
      </c>
      <c r="AY2">
        <v>52</v>
      </c>
      <c r="AZ2">
        <v>53</v>
      </c>
      <c r="BA2">
        <v>54</v>
      </c>
      <c r="BB2">
        <v>55</v>
      </c>
      <c r="BC2">
        <v>56</v>
      </c>
      <c r="BD2">
        <v>57</v>
      </c>
      <c r="BE2">
        <v>58</v>
      </c>
      <c r="BF2">
        <v>59</v>
      </c>
      <c r="BG2">
        <v>60</v>
      </c>
      <c r="BH2">
        <v>61</v>
      </c>
      <c r="BI2">
        <v>62</v>
      </c>
      <c r="BJ2">
        <v>63</v>
      </c>
      <c r="BK2">
        <v>64</v>
      </c>
    </row>
    <row r="3" spans="1:66" x14ac:dyDescent="0.25">
      <c r="A3" s="1" t="s">
        <v>1</v>
      </c>
      <c r="B3" s="1"/>
      <c r="C3">
        <v>4</v>
      </c>
      <c r="D3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  <c r="X3">
        <v>25</v>
      </c>
      <c r="Y3">
        <v>26</v>
      </c>
      <c r="Z3">
        <v>27</v>
      </c>
      <c r="AA3">
        <v>28</v>
      </c>
      <c r="AB3">
        <v>29</v>
      </c>
      <c r="AC3">
        <v>30</v>
      </c>
      <c r="AD3">
        <v>31</v>
      </c>
      <c r="AE3">
        <v>32</v>
      </c>
      <c r="AF3">
        <v>33</v>
      </c>
      <c r="AG3">
        <v>34</v>
      </c>
      <c r="AH3">
        <v>35</v>
      </c>
      <c r="AI3">
        <v>36</v>
      </c>
      <c r="AJ3">
        <v>37</v>
      </c>
      <c r="AK3">
        <v>38</v>
      </c>
      <c r="AL3">
        <v>39</v>
      </c>
      <c r="AM3">
        <v>40</v>
      </c>
      <c r="AN3">
        <v>41</v>
      </c>
      <c r="AO3">
        <v>42</v>
      </c>
      <c r="AP3">
        <v>43</v>
      </c>
      <c r="AQ3">
        <v>44</v>
      </c>
      <c r="AR3">
        <v>45</v>
      </c>
      <c r="AS3">
        <v>46</v>
      </c>
      <c r="AT3">
        <v>47</v>
      </c>
      <c r="AU3">
        <v>48</v>
      </c>
      <c r="AV3">
        <v>49</v>
      </c>
      <c r="AW3">
        <v>50</v>
      </c>
      <c r="AX3">
        <v>51</v>
      </c>
      <c r="AY3">
        <v>52</v>
      </c>
      <c r="AZ3">
        <v>53</v>
      </c>
      <c r="BA3">
        <v>54</v>
      </c>
      <c r="BB3">
        <v>55</v>
      </c>
      <c r="BC3">
        <v>56</v>
      </c>
      <c r="BD3">
        <v>57</v>
      </c>
      <c r="BE3">
        <v>58</v>
      </c>
      <c r="BF3">
        <v>59</v>
      </c>
      <c r="BG3">
        <v>60</v>
      </c>
      <c r="BH3">
        <v>61</v>
      </c>
      <c r="BI3">
        <v>62</v>
      </c>
      <c r="BJ3">
        <v>63</v>
      </c>
      <c r="BK3">
        <v>64</v>
      </c>
    </row>
    <row r="4" spans="1:66" x14ac:dyDescent="0.25">
      <c r="C4" s="3" t="s">
        <v>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6" ht="25.5" customHeight="1" x14ac:dyDescent="0.25">
      <c r="A5" s="26" t="s">
        <v>60</v>
      </c>
      <c r="B5" s="26" t="s">
        <v>58</v>
      </c>
      <c r="C5" s="26" t="s">
        <v>59</v>
      </c>
      <c r="D5" s="27" t="s">
        <v>63</v>
      </c>
      <c r="E5" s="28"/>
      <c r="F5" s="29"/>
      <c r="G5" s="27" t="s">
        <v>61</v>
      </c>
      <c r="H5" s="28"/>
      <c r="I5" s="29"/>
      <c r="J5" s="27" t="s">
        <v>93</v>
      </c>
      <c r="K5" s="28"/>
      <c r="L5" s="29"/>
      <c r="M5" s="27" t="s">
        <v>94</v>
      </c>
      <c r="N5" s="28"/>
      <c r="O5" s="29"/>
      <c r="P5" s="27" t="s">
        <v>66</v>
      </c>
      <c r="Q5" s="28"/>
      <c r="R5" s="29"/>
      <c r="S5" s="26" t="s">
        <v>16</v>
      </c>
      <c r="T5" s="26" t="s">
        <v>95</v>
      </c>
      <c r="U5" s="26" t="s">
        <v>96</v>
      </c>
      <c r="V5" s="27" t="s">
        <v>68</v>
      </c>
      <c r="W5" s="28"/>
      <c r="X5" s="29"/>
      <c r="Y5" s="26" t="s">
        <v>69</v>
      </c>
      <c r="Z5" s="26" t="s">
        <v>23</v>
      </c>
      <c r="AA5" s="26" t="s">
        <v>24</v>
      </c>
      <c r="AB5" s="26" t="s">
        <v>25</v>
      </c>
      <c r="AC5" s="26" t="s">
        <v>26</v>
      </c>
      <c r="AD5" s="26" t="s">
        <v>97</v>
      </c>
      <c r="AE5" s="26" t="s">
        <v>28</v>
      </c>
      <c r="AF5" s="27" t="s">
        <v>98</v>
      </c>
      <c r="AG5" s="28"/>
      <c r="AH5" s="29"/>
      <c r="AI5" s="26" t="s">
        <v>99</v>
      </c>
      <c r="AJ5" s="27" t="s">
        <v>100</v>
      </c>
      <c r="AK5" s="28"/>
      <c r="AL5" s="29"/>
      <c r="AM5" s="27" t="s">
        <v>72</v>
      </c>
      <c r="AN5" s="28"/>
      <c r="AO5" s="29" t="s">
        <v>72</v>
      </c>
      <c r="AP5" s="27" t="s">
        <v>73</v>
      </c>
      <c r="AQ5" s="28"/>
      <c r="AR5" s="29"/>
      <c r="AS5" s="27" t="s">
        <v>74</v>
      </c>
      <c r="AT5" s="28"/>
      <c r="AU5" s="29"/>
      <c r="AV5" s="26" t="s">
        <v>45</v>
      </c>
      <c r="AW5" s="26" t="s">
        <v>101</v>
      </c>
      <c r="AX5" s="26" t="s">
        <v>47</v>
      </c>
      <c r="AY5" s="26" t="s">
        <v>102</v>
      </c>
      <c r="AZ5" s="27" t="s">
        <v>82</v>
      </c>
      <c r="BA5" s="28"/>
      <c r="BB5" s="29"/>
      <c r="BC5" s="27" t="s">
        <v>81</v>
      </c>
      <c r="BD5" s="28"/>
      <c r="BE5" s="29"/>
      <c r="BF5" s="26" t="s">
        <v>55</v>
      </c>
      <c r="BG5" s="26" t="s">
        <v>90</v>
      </c>
      <c r="BH5" s="27" t="s">
        <v>92</v>
      </c>
      <c r="BI5" s="28"/>
      <c r="BJ5" s="29"/>
      <c r="BK5" s="27" t="s">
        <v>103</v>
      </c>
      <c r="BL5" s="29"/>
      <c r="BM5" s="30" t="s">
        <v>88</v>
      </c>
      <c r="BN5" s="30" t="s">
        <v>87</v>
      </c>
    </row>
    <row r="6" spans="1:66" x14ac:dyDescent="0.25">
      <c r="A6" s="31"/>
      <c r="B6" s="31"/>
      <c r="C6" s="31"/>
      <c r="D6" s="32" t="s">
        <v>104</v>
      </c>
      <c r="E6" s="32" t="s">
        <v>105</v>
      </c>
      <c r="F6" s="26" t="s">
        <v>106</v>
      </c>
      <c r="G6" s="32" t="s">
        <v>104</v>
      </c>
      <c r="H6" s="32" t="s">
        <v>105</v>
      </c>
      <c r="I6" s="26" t="s">
        <v>106</v>
      </c>
      <c r="J6" s="32" t="s">
        <v>104</v>
      </c>
      <c r="K6" s="32" t="s">
        <v>105</v>
      </c>
      <c r="L6" s="26" t="s">
        <v>106</v>
      </c>
      <c r="M6" s="32" t="s">
        <v>104</v>
      </c>
      <c r="N6" s="32" t="s">
        <v>105</v>
      </c>
      <c r="O6" s="26" t="s">
        <v>106</v>
      </c>
      <c r="P6" s="32" t="s">
        <v>107</v>
      </c>
      <c r="Q6" s="32" t="s">
        <v>108</v>
      </c>
      <c r="R6" s="26" t="s">
        <v>106</v>
      </c>
      <c r="S6" s="33"/>
      <c r="T6" s="34" t="s">
        <v>106</v>
      </c>
      <c r="U6" s="34"/>
      <c r="V6" s="32" t="s">
        <v>104</v>
      </c>
      <c r="W6" s="32" t="s">
        <v>105</v>
      </c>
      <c r="X6" s="32" t="s">
        <v>106</v>
      </c>
      <c r="Y6" s="32" t="s">
        <v>105</v>
      </c>
      <c r="Z6" s="34" t="s">
        <v>106</v>
      </c>
      <c r="AA6" s="34"/>
      <c r="AB6" s="34"/>
      <c r="AC6" s="34"/>
      <c r="AD6" s="34"/>
      <c r="AE6" s="34"/>
      <c r="AF6" s="32" t="s">
        <v>104</v>
      </c>
      <c r="AG6" s="32" t="s">
        <v>105</v>
      </c>
      <c r="AH6" s="32" t="s">
        <v>106</v>
      </c>
      <c r="AI6" s="34"/>
      <c r="AJ6" s="32" t="s">
        <v>104</v>
      </c>
      <c r="AK6" s="32" t="s">
        <v>105</v>
      </c>
      <c r="AL6" s="32" t="s">
        <v>106</v>
      </c>
      <c r="AM6" s="32" t="s">
        <v>104</v>
      </c>
      <c r="AN6" s="32" t="s">
        <v>105</v>
      </c>
      <c r="AO6" s="32" t="s">
        <v>106</v>
      </c>
      <c r="AP6" s="32" t="s">
        <v>104</v>
      </c>
      <c r="AQ6" s="32" t="s">
        <v>105</v>
      </c>
      <c r="AR6" s="32" t="s">
        <v>106</v>
      </c>
      <c r="AS6" s="32" t="s">
        <v>104</v>
      </c>
      <c r="AT6" s="32" t="s">
        <v>105</v>
      </c>
      <c r="AU6" s="32" t="s">
        <v>106</v>
      </c>
      <c r="AV6" s="34"/>
      <c r="AW6" s="34"/>
      <c r="AX6" s="34"/>
      <c r="AY6" s="34"/>
      <c r="AZ6" s="35" t="s">
        <v>104</v>
      </c>
      <c r="BA6" s="35" t="s">
        <v>105</v>
      </c>
      <c r="BB6" s="26" t="s">
        <v>106</v>
      </c>
      <c r="BC6" s="35" t="s">
        <v>104</v>
      </c>
      <c r="BD6" s="35" t="s">
        <v>105</v>
      </c>
      <c r="BE6" s="26" t="s">
        <v>106</v>
      </c>
      <c r="BF6" s="34" t="s">
        <v>106</v>
      </c>
      <c r="BG6" s="34" t="s">
        <v>106</v>
      </c>
      <c r="BH6" s="35" t="s">
        <v>104</v>
      </c>
      <c r="BI6" s="35" t="s">
        <v>105</v>
      </c>
      <c r="BJ6" s="26" t="s">
        <v>106</v>
      </c>
      <c r="BK6" s="35" t="s">
        <v>107</v>
      </c>
      <c r="BL6" s="26" t="s">
        <v>106</v>
      </c>
      <c r="BM6" s="26"/>
      <c r="BN6" s="26"/>
    </row>
    <row r="7" spans="1:66" x14ac:dyDescent="0.25">
      <c r="A7" s="17">
        <v>1</v>
      </c>
      <c r="B7" s="16" t="str">
        <f>VLOOKUP(A7,[1]salario!$A$3:$C$195,3,0)</f>
        <v>Colaborador 1</v>
      </c>
      <c r="C7" s="18">
        <v>5826.03</v>
      </c>
      <c r="D7" s="18">
        <v>1647.85</v>
      </c>
      <c r="E7" s="18">
        <v>170.90720117166444</v>
      </c>
      <c r="F7" s="18">
        <v>1476.9427988283355</v>
      </c>
      <c r="G7" s="18">
        <v>84.38</v>
      </c>
      <c r="H7" s="18">
        <v>12.656999999999998</v>
      </c>
      <c r="I7" s="18">
        <v>71.722999999999999</v>
      </c>
      <c r="J7" s="18">
        <v>500</v>
      </c>
      <c r="K7" s="18">
        <v>30</v>
      </c>
      <c r="L7" s="18">
        <v>470</v>
      </c>
      <c r="M7" s="18">
        <v>18.614165849999999</v>
      </c>
      <c r="N7" s="18">
        <v>9.3070829249999996</v>
      </c>
      <c r="O7" s="18">
        <v>9.3070829249999996</v>
      </c>
      <c r="P7" s="18"/>
      <c r="Q7" s="18"/>
      <c r="R7" s="18"/>
      <c r="S7" s="18"/>
      <c r="T7" s="18">
        <v>0</v>
      </c>
      <c r="U7" s="18" t="e">
        <v>#REF!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275</v>
      </c>
      <c r="AC7" s="18">
        <v>0</v>
      </c>
      <c r="AD7" s="18">
        <v>0</v>
      </c>
      <c r="AE7" s="18">
        <v>0</v>
      </c>
      <c r="AF7" s="18"/>
      <c r="AG7" s="18"/>
      <c r="AH7" s="18"/>
      <c r="AI7" s="18">
        <v>0</v>
      </c>
      <c r="AJ7" s="18">
        <v>165</v>
      </c>
      <c r="AK7" s="18">
        <v>65</v>
      </c>
      <c r="AL7" s="18">
        <v>100</v>
      </c>
      <c r="AM7" s="18">
        <v>90.566666666666663</v>
      </c>
      <c r="AN7" s="18">
        <v>23.9</v>
      </c>
      <c r="AO7" s="18">
        <v>66.666666666666657</v>
      </c>
      <c r="AP7" s="18">
        <v>1580.29</v>
      </c>
      <c r="AQ7" s="18">
        <v>263.90349999999989</v>
      </c>
      <c r="AR7" s="18">
        <v>1336.294947204969</v>
      </c>
      <c r="AS7" s="18">
        <v>29.93</v>
      </c>
      <c r="AT7" s="18">
        <v>4.4894999999999996</v>
      </c>
      <c r="AU7" s="18">
        <v>25.4405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138.88888888888889</v>
      </c>
      <c r="BD7" s="18">
        <v>96.56</v>
      </c>
      <c r="BE7" s="18">
        <v>42.328888888888883</v>
      </c>
      <c r="BF7" s="18">
        <v>166.66666666666666</v>
      </c>
      <c r="BG7" s="18" t="s">
        <v>110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 t="s">
        <v>111</v>
      </c>
      <c r="BN7" s="18" t="s">
        <v>111</v>
      </c>
    </row>
    <row r="8" spans="1:66" x14ac:dyDescent="0.25">
      <c r="A8" s="17">
        <v>2</v>
      </c>
      <c r="B8" s="16" t="str">
        <f>VLOOKUP(A8,[1]salario!$A$3:$C$195,3,0)</f>
        <v>Colaborador 2</v>
      </c>
      <c r="C8" s="18">
        <v>4332.22</v>
      </c>
      <c r="D8" s="18">
        <v>1119.8399999999999</v>
      </c>
      <c r="E8" s="18">
        <v>167.98010846818227</v>
      </c>
      <c r="F8" s="18">
        <v>951.85989153181765</v>
      </c>
      <c r="G8" s="18">
        <v>210.95</v>
      </c>
      <c r="H8" s="18">
        <v>31.642499999999998</v>
      </c>
      <c r="I8" s="18">
        <v>179.3075</v>
      </c>
      <c r="J8" s="18">
        <v>500</v>
      </c>
      <c r="K8" s="18">
        <v>30</v>
      </c>
      <c r="L8" s="18">
        <v>470</v>
      </c>
      <c r="M8" s="18">
        <v>13.841442900000001</v>
      </c>
      <c r="N8" s="18">
        <v>6.9207214500000003</v>
      </c>
      <c r="O8" s="18">
        <v>6.9207214500000003</v>
      </c>
      <c r="P8" s="18"/>
      <c r="Q8" s="18"/>
      <c r="R8" s="18"/>
      <c r="S8" s="18"/>
      <c r="T8" s="18">
        <v>0</v>
      </c>
      <c r="U8" s="18" t="e">
        <v>#REF!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275</v>
      </c>
      <c r="AC8" s="18">
        <v>0</v>
      </c>
      <c r="AD8" s="18">
        <v>0</v>
      </c>
      <c r="AE8" s="18">
        <v>0</v>
      </c>
      <c r="AF8" s="18"/>
      <c r="AG8" s="18"/>
      <c r="AH8" s="18"/>
      <c r="AI8" s="18">
        <v>0</v>
      </c>
      <c r="AJ8" s="18">
        <v>165</v>
      </c>
      <c r="AK8" s="18">
        <v>65</v>
      </c>
      <c r="AL8" s="18">
        <v>100</v>
      </c>
      <c r="AM8" s="18">
        <v>90.566666666666663</v>
      </c>
      <c r="AN8" s="18">
        <v>23.9</v>
      </c>
      <c r="AO8" s="18">
        <v>66.666666666666657</v>
      </c>
      <c r="AP8" s="18">
        <v>1327.97</v>
      </c>
      <c r="AQ8" s="18">
        <v>221.77999999999997</v>
      </c>
      <c r="AR8" s="18">
        <v>1126.098447204969</v>
      </c>
      <c r="AS8" s="18">
        <v>29.93</v>
      </c>
      <c r="AT8" s="18">
        <v>4.4894999999999996</v>
      </c>
      <c r="AU8" s="18">
        <v>25.4405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138.88888888888889</v>
      </c>
      <c r="BD8" s="18">
        <v>96.56</v>
      </c>
      <c r="BE8" s="18">
        <v>42.328888888888883</v>
      </c>
      <c r="BF8" s="18">
        <v>166.66666666666666</v>
      </c>
      <c r="BG8" s="18" t="s">
        <v>110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 t="s">
        <v>111</v>
      </c>
      <c r="BN8" s="18" t="s">
        <v>111</v>
      </c>
    </row>
    <row r="9" spans="1:66" x14ac:dyDescent="0.25">
      <c r="A9" s="17">
        <v>3</v>
      </c>
      <c r="B9" s="16" t="str">
        <f>VLOOKUP(A9,[1]salario!$A$3:$C$195,3,0)</f>
        <v>Colaborador 3</v>
      </c>
      <c r="C9" s="18">
        <v>4714.12</v>
      </c>
      <c r="D9" s="18">
        <v>559.91999999999996</v>
      </c>
      <c r="E9" s="18">
        <v>83.990054234091133</v>
      </c>
      <c r="F9" s="18">
        <v>475.92994576590883</v>
      </c>
      <c r="G9" s="18">
        <v>253.14</v>
      </c>
      <c r="H9" s="18">
        <v>37.970999999999997</v>
      </c>
      <c r="I9" s="18">
        <v>215.16899999999998</v>
      </c>
      <c r="J9" s="18">
        <v>500</v>
      </c>
      <c r="K9" s="18">
        <v>30</v>
      </c>
      <c r="L9" s="18">
        <v>470</v>
      </c>
      <c r="M9" s="18">
        <v>15.061613400000001</v>
      </c>
      <c r="N9" s="18">
        <v>7.5308067000000003</v>
      </c>
      <c r="O9" s="18">
        <v>7.5308067000000003</v>
      </c>
      <c r="P9" s="18"/>
      <c r="Q9" s="18"/>
      <c r="R9" s="18"/>
      <c r="S9" s="18"/>
      <c r="T9" s="18">
        <v>0</v>
      </c>
      <c r="U9" s="18" t="e">
        <v>#REF!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275</v>
      </c>
      <c r="AC9" s="18">
        <v>0</v>
      </c>
      <c r="AD9" s="18">
        <v>0</v>
      </c>
      <c r="AE9" s="18">
        <v>0</v>
      </c>
      <c r="AF9" s="18"/>
      <c r="AG9" s="18"/>
      <c r="AH9" s="18"/>
      <c r="AI9" s="18">
        <v>0</v>
      </c>
      <c r="AJ9" s="18">
        <v>165</v>
      </c>
      <c r="AK9" s="18">
        <v>65</v>
      </c>
      <c r="AL9" s="18">
        <v>100</v>
      </c>
      <c r="AM9" s="18">
        <v>90.566666666666663</v>
      </c>
      <c r="AN9" s="18">
        <v>23.9</v>
      </c>
      <c r="AO9" s="18">
        <v>66.666666666666657</v>
      </c>
      <c r="AP9" s="18">
        <v>460.91</v>
      </c>
      <c r="AQ9" s="18">
        <v>76.965000000000032</v>
      </c>
      <c r="AR9" s="18">
        <v>403.85344720496892</v>
      </c>
      <c r="AS9" s="18">
        <v>29.93</v>
      </c>
      <c r="AT9" s="18">
        <v>4.4894999999999996</v>
      </c>
      <c r="AU9" s="18">
        <v>25.4405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138.88888888888889</v>
      </c>
      <c r="BD9" s="18">
        <v>96.56</v>
      </c>
      <c r="BE9" s="18">
        <v>42.328888888888883</v>
      </c>
      <c r="BF9" s="18">
        <v>166.66666666666666</v>
      </c>
      <c r="BG9" s="18" t="s">
        <v>110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 t="s">
        <v>111</v>
      </c>
      <c r="BN9" s="18" t="s">
        <v>111</v>
      </c>
    </row>
    <row r="10" spans="1:66" x14ac:dyDescent="0.25">
      <c r="A10" s="17">
        <v>4</v>
      </c>
      <c r="B10" s="16" t="str">
        <f>VLOOKUP(A10,[1]salario!$A$3:$C$195,3,0)</f>
        <v>Colaborador 4</v>
      </c>
      <c r="C10" s="18">
        <v>7685.13</v>
      </c>
      <c r="D10" s="18">
        <v>937.56</v>
      </c>
      <c r="E10" s="18">
        <v>402.80958562953208</v>
      </c>
      <c r="F10" s="18">
        <v>534.75041437046787</v>
      </c>
      <c r="G10" s="18">
        <v>42.19</v>
      </c>
      <c r="H10" s="18">
        <v>9.7036999999999995</v>
      </c>
      <c r="I10" s="18">
        <v>32.4863</v>
      </c>
      <c r="J10" s="18">
        <v>500</v>
      </c>
      <c r="K10" s="18">
        <v>50</v>
      </c>
      <c r="L10" s="18">
        <v>450</v>
      </c>
      <c r="M10" s="18">
        <v>24.553990349999999</v>
      </c>
      <c r="N10" s="18">
        <v>12.276995175</v>
      </c>
      <c r="O10" s="18">
        <v>12.276995175</v>
      </c>
      <c r="P10" s="18"/>
      <c r="Q10" s="18"/>
      <c r="R10" s="18"/>
      <c r="S10" s="18"/>
      <c r="T10" s="18">
        <v>0</v>
      </c>
      <c r="U10" s="18" t="e">
        <v>#REF!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275</v>
      </c>
      <c r="AC10" s="18">
        <v>0</v>
      </c>
      <c r="AD10" s="18">
        <v>0</v>
      </c>
      <c r="AE10" s="18">
        <v>0</v>
      </c>
      <c r="AF10" s="18"/>
      <c r="AG10" s="18"/>
      <c r="AH10" s="18"/>
      <c r="AI10" s="18">
        <v>0</v>
      </c>
      <c r="AJ10" s="18">
        <v>165</v>
      </c>
      <c r="AK10" s="18">
        <v>65</v>
      </c>
      <c r="AL10" s="18">
        <v>100</v>
      </c>
      <c r="AM10" s="18">
        <v>90.566666666666663</v>
      </c>
      <c r="AN10" s="18">
        <v>23.9</v>
      </c>
      <c r="AO10" s="18">
        <v>66.666666666666657</v>
      </c>
      <c r="AP10" s="18">
        <v>460.91</v>
      </c>
      <c r="AQ10" s="18">
        <v>113.101</v>
      </c>
      <c r="AR10" s="18">
        <v>367.71744720496895</v>
      </c>
      <c r="AS10" s="18">
        <v>29.93</v>
      </c>
      <c r="AT10" s="18">
        <v>6.8839000000000006</v>
      </c>
      <c r="AU10" s="18">
        <v>23.046099999999999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138.88888888888889</v>
      </c>
      <c r="BD10" s="18">
        <v>96.56</v>
      </c>
      <c r="BE10" s="18">
        <v>42.328888888888883</v>
      </c>
      <c r="BF10" s="18">
        <v>166.66666666666666</v>
      </c>
      <c r="BG10" s="18" t="s">
        <v>110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 t="s">
        <v>111</v>
      </c>
      <c r="BN10" s="18" t="s">
        <v>111</v>
      </c>
    </row>
    <row r="11" spans="1:66" x14ac:dyDescent="0.25">
      <c r="A11" s="17">
        <v>5</v>
      </c>
      <c r="B11" s="16" t="str">
        <f>VLOOKUP(A11,[1]salario!$A$3:$C$195,3,0)</f>
        <v>Colaborador 5</v>
      </c>
      <c r="C11" s="18">
        <v>3652.6</v>
      </c>
      <c r="D11" s="18">
        <v>3624.45</v>
      </c>
      <c r="E11" s="18">
        <v>925.12147127885987</v>
      </c>
      <c r="F11" s="18">
        <v>2699.3285287211402</v>
      </c>
      <c r="G11" s="18">
        <v>253.14</v>
      </c>
      <c r="H11" s="18">
        <v>17.719799999999999</v>
      </c>
      <c r="I11" s="18">
        <v>235.42019999999999</v>
      </c>
      <c r="J11" s="18">
        <v>500</v>
      </c>
      <c r="K11" s="18">
        <v>10</v>
      </c>
      <c r="L11" s="18">
        <v>490</v>
      </c>
      <c r="M11" s="18">
        <v>11.670057</v>
      </c>
      <c r="N11" s="18">
        <v>5.8350285</v>
      </c>
      <c r="O11" s="18">
        <v>5.8350285</v>
      </c>
      <c r="P11" s="18"/>
      <c r="Q11" s="18"/>
      <c r="R11" s="18"/>
      <c r="S11" s="18"/>
      <c r="T11" s="18">
        <v>0</v>
      </c>
      <c r="U11" s="18" t="e">
        <v>#REF!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275</v>
      </c>
      <c r="AC11" s="18">
        <v>0</v>
      </c>
      <c r="AD11" s="18">
        <v>0</v>
      </c>
      <c r="AE11" s="18">
        <v>0</v>
      </c>
      <c r="AF11" s="18"/>
      <c r="AG11" s="18"/>
      <c r="AH11" s="18"/>
      <c r="AI11" s="18">
        <v>0</v>
      </c>
      <c r="AJ11" s="18">
        <v>165</v>
      </c>
      <c r="AK11" s="18">
        <v>65</v>
      </c>
      <c r="AL11" s="18">
        <v>100</v>
      </c>
      <c r="AM11" s="18">
        <v>90.566666666666663</v>
      </c>
      <c r="AN11" s="18">
        <v>23.9</v>
      </c>
      <c r="AO11" s="18">
        <v>66.666666666666657</v>
      </c>
      <c r="AP11" s="18">
        <v>875.77</v>
      </c>
      <c r="AQ11" s="18">
        <v>217.92950000000008</v>
      </c>
      <c r="AR11" s="18">
        <v>677.74894720496889</v>
      </c>
      <c r="AS11" s="18">
        <v>29.93</v>
      </c>
      <c r="AT11" s="18">
        <v>4.4894999999999996</v>
      </c>
      <c r="AU11" s="18">
        <v>25.4405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138.88888888888889</v>
      </c>
      <c r="BD11" s="18">
        <v>96.56</v>
      </c>
      <c r="BE11" s="18">
        <v>42.328888888888883</v>
      </c>
      <c r="BF11" s="18">
        <v>166.66666666666666</v>
      </c>
      <c r="BG11" s="18" t="s">
        <v>110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 t="s">
        <v>111</v>
      </c>
      <c r="BN11" s="18" t="s">
        <v>111</v>
      </c>
    </row>
    <row r="12" spans="1:66" x14ac:dyDescent="0.25">
      <c r="A12" s="17">
        <v>6</v>
      </c>
      <c r="B12" s="16" t="str">
        <f>VLOOKUP(A12,[1]salario!$A$3:$C$195,3,0)</f>
        <v>Colaborador 6</v>
      </c>
      <c r="C12" s="18">
        <v>7943.86</v>
      </c>
      <c r="D12" s="18">
        <v>3221.65</v>
      </c>
      <c r="E12" s="18">
        <v>475.84543112192182</v>
      </c>
      <c r="F12" s="18">
        <v>2745.8045688780785</v>
      </c>
      <c r="G12" s="18">
        <v>168.76</v>
      </c>
      <c r="H12" s="18">
        <v>38.814799999999998</v>
      </c>
      <c r="I12" s="18">
        <v>129.9452</v>
      </c>
      <c r="J12" s="18">
        <v>500</v>
      </c>
      <c r="K12" s="18">
        <v>50</v>
      </c>
      <c r="L12" s="18">
        <v>450</v>
      </c>
      <c r="M12" s="18">
        <v>25.3806327</v>
      </c>
      <c r="N12" s="18">
        <v>12.69031635</v>
      </c>
      <c r="O12" s="18">
        <v>12.69031635</v>
      </c>
      <c r="P12" s="18"/>
      <c r="Q12" s="18"/>
      <c r="R12" s="18"/>
      <c r="S12" s="18"/>
      <c r="T12" s="18">
        <v>0</v>
      </c>
      <c r="U12" s="18" t="e">
        <v>#REF!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275</v>
      </c>
      <c r="AC12" s="18">
        <v>0</v>
      </c>
      <c r="AD12" s="18">
        <v>0</v>
      </c>
      <c r="AE12" s="18">
        <v>0</v>
      </c>
      <c r="AF12" s="18"/>
      <c r="AG12" s="18"/>
      <c r="AH12" s="18"/>
      <c r="AI12" s="18">
        <v>0</v>
      </c>
      <c r="AJ12" s="18">
        <v>165</v>
      </c>
      <c r="AK12" s="18">
        <v>65</v>
      </c>
      <c r="AL12" s="18">
        <v>100</v>
      </c>
      <c r="AM12" s="18">
        <v>90.566666666666663</v>
      </c>
      <c r="AN12" s="18">
        <v>23.9</v>
      </c>
      <c r="AO12" s="18">
        <v>66.666666666666657</v>
      </c>
      <c r="AP12" s="18">
        <v>875.77</v>
      </c>
      <c r="AQ12" s="18">
        <v>217.92950000000008</v>
      </c>
      <c r="AR12" s="18">
        <v>677.74894720496889</v>
      </c>
      <c r="AS12" s="18">
        <v>29.93</v>
      </c>
      <c r="AT12" s="18">
        <v>4.4894999999999996</v>
      </c>
      <c r="AU12" s="18">
        <v>25.4405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138.88888888888889</v>
      </c>
      <c r="BD12" s="18">
        <v>96.56</v>
      </c>
      <c r="BE12" s="18">
        <v>42.328888888888883</v>
      </c>
      <c r="BF12" s="18">
        <v>166.66666666666666</v>
      </c>
      <c r="BG12" s="18" t="s">
        <v>110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 t="s">
        <v>111</v>
      </c>
      <c r="BN12" s="18" t="s">
        <v>111</v>
      </c>
    </row>
    <row r="13" spans="1:66" x14ac:dyDescent="0.25">
      <c r="A13" s="17">
        <v>7</v>
      </c>
      <c r="B13" s="16" t="str">
        <f>VLOOKUP(A13,[1]salario!$A$3:$C$195,3,0)</f>
        <v>Colaborador 7</v>
      </c>
      <c r="C13" s="18">
        <v>7131.14</v>
      </c>
      <c r="D13" s="18">
        <v>1119.8399999999999</v>
      </c>
      <c r="E13" s="18">
        <v>167.98010846818227</v>
      </c>
      <c r="F13" s="18">
        <v>951.85989153181765</v>
      </c>
      <c r="G13" s="18">
        <v>168.76</v>
      </c>
      <c r="H13" s="18">
        <v>25.313999999999997</v>
      </c>
      <c r="I13" s="18">
        <v>143.446</v>
      </c>
      <c r="J13" s="18">
        <v>500</v>
      </c>
      <c r="K13" s="18">
        <v>30</v>
      </c>
      <c r="L13" s="18">
        <v>470</v>
      </c>
      <c r="M13" s="18">
        <v>22.783992300000001</v>
      </c>
      <c r="N13" s="18">
        <v>11.391996150000001</v>
      </c>
      <c r="O13" s="18">
        <v>11.391996150000001</v>
      </c>
      <c r="P13" s="18"/>
      <c r="Q13" s="18"/>
      <c r="R13" s="18"/>
      <c r="S13" s="18"/>
      <c r="T13" s="18">
        <v>0</v>
      </c>
      <c r="U13" s="18" t="e">
        <v>#REF!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275</v>
      </c>
      <c r="AC13" s="18">
        <v>0</v>
      </c>
      <c r="AD13" s="18">
        <v>0</v>
      </c>
      <c r="AE13" s="18">
        <v>0</v>
      </c>
      <c r="AF13" s="18"/>
      <c r="AG13" s="18"/>
      <c r="AH13" s="18"/>
      <c r="AI13" s="18">
        <v>0</v>
      </c>
      <c r="AJ13" s="18">
        <v>165</v>
      </c>
      <c r="AK13" s="18">
        <v>65</v>
      </c>
      <c r="AL13" s="18">
        <v>100</v>
      </c>
      <c r="AM13" s="18">
        <v>90.566666666666663</v>
      </c>
      <c r="AN13" s="18">
        <v>23.9</v>
      </c>
      <c r="AO13" s="18">
        <v>66.666666666666657</v>
      </c>
      <c r="AP13" s="18">
        <v>511.15</v>
      </c>
      <c r="AQ13" s="18">
        <v>127.20499999999998</v>
      </c>
      <c r="AR13" s="18">
        <v>403.85344720496892</v>
      </c>
      <c r="AS13" s="18">
        <v>29.93</v>
      </c>
      <c r="AT13" s="18">
        <v>4.4894999999999996</v>
      </c>
      <c r="AU13" s="18">
        <v>25.4405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138.88888888888889</v>
      </c>
      <c r="BD13" s="18">
        <v>96.56</v>
      </c>
      <c r="BE13" s="18">
        <v>42.328888888888883</v>
      </c>
      <c r="BF13" s="18">
        <v>166.66666666666666</v>
      </c>
      <c r="BG13" s="18" t="s">
        <v>110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 t="s">
        <v>111</v>
      </c>
      <c r="BN13" s="18" t="s">
        <v>111</v>
      </c>
    </row>
    <row r="14" spans="1:66" x14ac:dyDescent="0.25">
      <c r="A14" s="17">
        <v>8</v>
      </c>
      <c r="B14" s="16" t="str">
        <f>VLOOKUP(A14,[1]salario!$A$3:$C$195,3,0)</f>
        <v>Colaborador 8</v>
      </c>
      <c r="C14" s="18">
        <v>5245.5</v>
      </c>
      <c r="D14" s="18">
        <v>694.48</v>
      </c>
      <c r="E14" s="18">
        <v>104.1711010196135</v>
      </c>
      <c r="F14" s="18">
        <v>590.30889898038652</v>
      </c>
      <c r="G14" s="18">
        <v>168.76</v>
      </c>
      <c r="H14" s="18">
        <v>25.313999999999997</v>
      </c>
      <c r="I14" s="18">
        <v>143.446</v>
      </c>
      <c r="J14" s="18">
        <v>500</v>
      </c>
      <c r="K14" s="18">
        <v>30</v>
      </c>
      <c r="L14" s="18">
        <v>470</v>
      </c>
      <c r="M14" s="18">
        <v>16.759372500000001</v>
      </c>
      <c r="N14" s="18">
        <v>8.3796862500000007</v>
      </c>
      <c r="O14" s="18">
        <v>8.3796862500000007</v>
      </c>
      <c r="P14" s="18"/>
      <c r="Q14" s="18"/>
      <c r="R14" s="18"/>
      <c r="S14" s="18"/>
      <c r="T14" s="18">
        <v>0</v>
      </c>
      <c r="U14" s="18" t="e">
        <v>#REF!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275</v>
      </c>
      <c r="AC14" s="18">
        <v>0</v>
      </c>
      <c r="AD14" s="18">
        <v>0</v>
      </c>
      <c r="AE14" s="18">
        <v>0</v>
      </c>
      <c r="AF14" s="18"/>
      <c r="AG14" s="18"/>
      <c r="AH14" s="18"/>
      <c r="AI14" s="18">
        <v>0</v>
      </c>
      <c r="AJ14" s="18">
        <v>165</v>
      </c>
      <c r="AK14" s="18">
        <v>65</v>
      </c>
      <c r="AL14" s="18">
        <v>100</v>
      </c>
      <c r="AM14" s="18">
        <v>90.566666666666663</v>
      </c>
      <c r="AN14" s="18">
        <v>23.9</v>
      </c>
      <c r="AO14" s="18">
        <v>66.666666666666657</v>
      </c>
      <c r="AP14" s="18">
        <v>511.15</v>
      </c>
      <c r="AQ14" s="18">
        <v>163.34099999999995</v>
      </c>
      <c r="AR14" s="18">
        <v>367.71744720496895</v>
      </c>
      <c r="AS14" s="18">
        <v>29.93</v>
      </c>
      <c r="AT14" s="18">
        <v>6.8839000000000006</v>
      </c>
      <c r="AU14" s="18">
        <v>23.046099999999999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138.88888888888889</v>
      </c>
      <c r="BD14" s="18">
        <v>96.56</v>
      </c>
      <c r="BE14" s="18">
        <v>42.328888888888883</v>
      </c>
      <c r="BF14" s="18">
        <v>166.66666666666666</v>
      </c>
      <c r="BG14" s="18" t="s">
        <v>110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 t="s">
        <v>111</v>
      </c>
      <c r="BN14" s="18" t="s">
        <v>111</v>
      </c>
    </row>
    <row r="15" spans="1:66" x14ac:dyDescent="0.25">
      <c r="A15" s="17">
        <v>9</v>
      </c>
      <c r="B15" s="16" t="str">
        <f>VLOOKUP(A15,[1]salario!$A$3:$C$195,3,0)</f>
        <v>Colaborador 9</v>
      </c>
      <c r="C15" s="18">
        <v>4229.32</v>
      </c>
      <c r="D15" s="18">
        <v>1450.3600000000001</v>
      </c>
      <c r="E15" s="18">
        <v>384.12115525370467</v>
      </c>
      <c r="F15" s="18">
        <v>1066.2388447462954</v>
      </c>
      <c r="G15" s="18">
        <v>126.57</v>
      </c>
      <c r="H15" s="18">
        <v>18.985499999999998</v>
      </c>
      <c r="I15" s="18">
        <v>107.58449999999999</v>
      </c>
      <c r="J15" s="18">
        <v>500</v>
      </c>
      <c r="K15" s="18">
        <v>30</v>
      </c>
      <c r="L15" s="18">
        <v>470</v>
      </c>
      <c r="M15" s="18">
        <v>13.512677399999999</v>
      </c>
      <c r="N15" s="18">
        <v>6.7563386999999997</v>
      </c>
      <c r="O15" s="18">
        <v>6.7563386999999997</v>
      </c>
      <c r="P15" s="18"/>
      <c r="Q15" s="18"/>
      <c r="R15" s="18"/>
      <c r="S15" s="18"/>
      <c r="T15" s="18">
        <v>0</v>
      </c>
      <c r="U15" s="18" t="e">
        <v>#REF!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275</v>
      </c>
      <c r="AC15" s="18">
        <v>0</v>
      </c>
      <c r="AD15" s="18">
        <v>0</v>
      </c>
      <c r="AE15" s="18">
        <v>0</v>
      </c>
      <c r="AF15" s="18"/>
      <c r="AG15" s="18"/>
      <c r="AH15" s="18"/>
      <c r="AI15" s="18">
        <v>0</v>
      </c>
      <c r="AJ15" s="18" t="s">
        <v>110</v>
      </c>
      <c r="AK15" s="18">
        <v>0</v>
      </c>
      <c r="AL15" s="18" t="s">
        <v>110</v>
      </c>
      <c r="AM15" s="18">
        <v>90.566666666666663</v>
      </c>
      <c r="AN15" s="18">
        <v>23.9</v>
      </c>
      <c r="AO15" s="18">
        <v>66.666666666666657</v>
      </c>
      <c r="AP15" s="18">
        <v>511.15</v>
      </c>
      <c r="AQ15" s="18">
        <v>127.20499999999998</v>
      </c>
      <c r="AR15" s="18">
        <v>403.85344720496892</v>
      </c>
      <c r="AS15" s="18">
        <v>29.93</v>
      </c>
      <c r="AT15" s="18">
        <v>4.4894999999999996</v>
      </c>
      <c r="AU15" s="18">
        <v>25.4405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138.88888888888889</v>
      </c>
      <c r="BD15" s="18">
        <v>96.56</v>
      </c>
      <c r="BE15" s="18">
        <v>42.328888888888883</v>
      </c>
      <c r="BF15" s="18">
        <v>166.66666666666666</v>
      </c>
      <c r="BG15" s="18" t="s">
        <v>110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 t="s">
        <v>111</v>
      </c>
      <c r="BN15" s="18" t="s">
        <v>111</v>
      </c>
    </row>
    <row r="16" spans="1:66" x14ac:dyDescent="0.25">
      <c r="A16" s="17">
        <v>10</v>
      </c>
      <c r="B16" s="16" t="str">
        <f>VLOOKUP(A16,[1]salario!$A$3:$C$195,3,0)</f>
        <v>Colaborador 10</v>
      </c>
      <c r="C16" s="18">
        <v>2404.84</v>
      </c>
      <c r="D16" s="18">
        <v>1557.86</v>
      </c>
      <c r="E16" s="18">
        <v>80.917201171664431</v>
      </c>
      <c r="F16" s="18">
        <v>1476.9427988283355</v>
      </c>
      <c r="G16" s="18">
        <v>126.57</v>
      </c>
      <c r="H16" s="18">
        <v>8.8598999999999997</v>
      </c>
      <c r="I16" s="18">
        <v>117.7101</v>
      </c>
      <c r="J16" s="18">
        <v>500</v>
      </c>
      <c r="K16" s="18">
        <v>10</v>
      </c>
      <c r="L16" s="18">
        <v>490</v>
      </c>
      <c r="M16" s="18">
        <v>7.6834638000000011</v>
      </c>
      <c r="N16" s="18">
        <v>3.8417319000000005</v>
      </c>
      <c r="O16" s="18">
        <v>3.8417319000000005</v>
      </c>
      <c r="P16" s="18"/>
      <c r="Q16" s="18"/>
      <c r="R16" s="18"/>
      <c r="S16" s="18"/>
      <c r="T16" s="18">
        <v>0</v>
      </c>
      <c r="U16" s="18" t="e">
        <v>#REF!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275</v>
      </c>
      <c r="AC16" s="18">
        <v>0</v>
      </c>
      <c r="AD16" s="18">
        <v>0</v>
      </c>
      <c r="AE16" s="18">
        <v>0</v>
      </c>
      <c r="AF16" s="18"/>
      <c r="AG16" s="18"/>
      <c r="AH16" s="18"/>
      <c r="AI16" s="18">
        <v>0</v>
      </c>
      <c r="AJ16" s="18" t="s">
        <v>110</v>
      </c>
      <c r="AK16" s="18">
        <v>0</v>
      </c>
      <c r="AL16" s="18" t="s">
        <v>110</v>
      </c>
      <c r="AM16" s="18">
        <v>90.566666666666663</v>
      </c>
      <c r="AN16" s="18">
        <v>23.9</v>
      </c>
      <c r="AO16" s="18">
        <v>66.666666666666657</v>
      </c>
      <c r="AP16" s="18">
        <v>900.29</v>
      </c>
      <c r="AQ16" s="18">
        <v>79.769599999999969</v>
      </c>
      <c r="AR16" s="18">
        <v>840.42884720496897</v>
      </c>
      <c r="AS16" s="18">
        <v>29.93</v>
      </c>
      <c r="AT16" s="18">
        <v>2.0950999999999986</v>
      </c>
      <c r="AU16" s="18">
        <v>27.834900000000001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138.88888888888889</v>
      </c>
      <c r="BD16" s="18">
        <v>96.56</v>
      </c>
      <c r="BE16" s="18">
        <v>42.328888888888883</v>
      </c>
      <c r="BF16" s="18">
        <v>166.66666666666666</v>
      </c>
      <c r="BG16" s="18" t="s">
        <v>110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 t="s">
        <v>111</v>
      </c>
      <c r="BN16" s="18" t="s">
        <v>111</v>
      </c>
    </row>
    <row r="17" spans="1:66" x14ac:dyDescent="0.25">
      <c r="A17" s="17">
        <v>11</v>
      </c>
      <c r="B17" s="16" t="str">
        <f>VLOOKUP(A17,[1]salario!$A$3:$C$195,3,0)</f>
        <v>Colaborador 11</v>
      </c>
      <c r="C17" s="18">
        <v>2335.0300000000002</v>
      </c>
      <c r="D17" s="18">
        <v>1087.93</v>
      </c>
      <c r="E17" s="18">
        <v>107.62824511027384</v>
      </c>
      <c r="F17" s="18">
        <v>980.30175488972623</v>
      </c>
      <c r="G17" s="18">
        <v>126.57</v>
      </c>
      <c r="H17" s="18">
        <v>8.8598999999999997</v>
      </c>
      <c r="I17" s="18">
        <v>117.7101</v>
      </c>
      <c r="J17" s="18">
        <v>500</v>
      </c>
      <c r="K17" s="18">
        <v>10</v>
      </c>
      <c r="L17" s="18">
        <v>490</v>
      </c>
      <c r="M17" s="18">
        <v>7.4604208500000011</v>
      </c>
      <c r="N17" s="18">
        <v>3.7302104250000006</v>
      </c>
      <c r="O17" s="18">
        <v>3.7302104250000006</v>
      </c>
      <c r="P17" s="18"/>
      <c r="Q17" s="18"/>
      <c r="R17" s="18"/>
      <c r="S17" s="18"/>
      <c r="T17" s="18">
        <v>0</v>
      </c>
      <c r="U17" s="18" t="e">
        <v>#REF!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275</v>
      </c>
      <c r="AC17" s="18">
        <v>0</v>
      </c>
      <c r="AD17" s="18">
        <v>0</v>
      </c>
      <c r="AE17" s="18">
        <v>0</v>
      </c>
      <c r="AF17" s="18"/>
      <c r="AG17" s="18"/>
      <c r="AH17" s="18"/>
      <c r="AI17" s="18">
        <v>0</v>
      </c>
      <c r="AJ17" s="18" t="s">
        <v>110</v>
      </c>
      <c r="AK17" s="18">
        <v>0</v>
      </c>
      <c r="AL17" s="18" t="s">
        <v>110</v>
      </c>
      <c r="AM17" s="18">
        <v>90.566666666666663</v>
      </c>
      <c r="AN17" s="18">
        <v>23.9</v>
      </c>
      <c r="AO17" s="18">
        <v>66.666666666666657</v>
      </c>
      <c r="AP17" s="18">
        <v>900.29</v>
      </c>
      <c r="AQ17" s="18">
        <v>220.93439999999998</v>
      </c>
      <c r="AR17" s="18">
        <v>699.26404720496896</v>
      </c>
      <c r="AS17" s="18">
        <v>29.93</v>
      </c>
      <c r="AT17" s="18">
        <v>6.8839000000000006</v>
      </c>
      <c r="AU17" s="18">
        <v>23.046099999999999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138.88888888888889</v>
      </c>
      <c r="BD17" s="18">
        <v>96.56</v>
      </c>
      <c r="BE17" s="18">
        <v>42.328888888888883</v>
      </c>
      <c r="BF17" s="18">
        <v>166.66666666666666</v>
      </c>
      <c r="BG17" s="18" t="s">
        <v>110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 t="s">
        <v>111</v>
      </c>
      <c r="BN17" s="18" t="s">
        <v>111</v>
      </c>
    </row>
    <row r="18" spans="1:66" x14ac:dyDescent="0.25">
      <c r="A18" s="17">
        <v>12</v>
      </c>
      <c r="B18" s="16" t="str">
        <f>VLOOKUP(A18,[1]salario!$A$3:$C$195,3,0)</f>
        <v>Colaborador 12</v>
      </c>
      <c r="C18" s="18">
        <v>3290.79</v>
      </c>
      <c r="D18" s="18">
        <v>3032.94</v>
      </c>
      <c r="E18" s="18">
        <v>306.72186352345659</v>
      </c>
      <c r="F18" s="18">
        <v>2726.2181364765433</v>
      </c>
      <c r="G18" s="18">
        <v>42.19</v>
      </c>
      <c r="H18" s="18">
        <v>2.9533</v>
      </c>
      <c r="I18" s="18">
        <v>39.236699999999999</v>
      </c>
      <c r="J18" s="18">
        <v>500</v>
      </c>
      <c r="K18" s="18">
        <v>10</v>
      </c>
      <c r="L18" s="18">
        <v>490</v>
      </c>
      <c r="M18" s="18">
        <v>10.51407405</v>
      </c>
      <c r="N18" s="18">
        <v>5.2570370249999998</v>
      </c>
      <c r="O18" s="18">
        <v>5.2570370249999998</v>
      </c>
      <c r="P18" s="18"/>
      <c r="Q18" s="18"/>
      <c r="R18" s="18"/>
      <c r="S18" s="18"/>
      <c r="T18" s="18">
        <v>0</v>
      </c>
      <c r="U18" s="18" t="e">
        <v>#REF!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275</v>
      </c>
      <c r="AC18" s="18">
        <v>0</v>
      </c>
      <c r="AD18" s="18">
        <v>0</v>
      </c>
      <c r="AE18" s="18">
        <v>0</v>
      </c>
      <c r="AF18" s="18"/>
      <c r="AG18" s="18"/>
      <c r="AH18" s="18"/>
      <c r="AI18" s="18">
        <v>0</v>
      </c>
      <c r="AJ18" s="18" t="s">
        <v>110</v>
      </c>
      <c r="AK18" s="18">
        <v>0</v>
      </c>
      <c r="AL18" s="18" t="s">
        <v>110</v>
      </c>
      <c r="AM18" s="18">
        <v>90.566666666666663</v>
      </c>
      <c r="AN18" s="18">
        <v>23.9</v>
      </c>
      <c r="AO18" s="18">
        <v>66.666666666666657</v>
      </c>
      <c r="AP18" s="18">
        <v>729.81</v>
      </c>
      <c r="AQ18" s="18">
        <v>181.61099999999988</v>
      </c>
      <c r="AR18" s="18">
        <v>568.10744720496905</v>
      </c>
      <c r="AS18" s="18">
        <v>29.93</v>
      </c>
      <c r="AT18" s="18">
        <v>4.4894999999999996</v>
      </c>
      <c r="AU18" s="18">
        <v>25.4405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138.88888888888889</v>
      </c>
      <c r="BD18" s="18">
        <v>96.56</v>
      </c>
      <c r="BE18" s="18">
        <v>42.328888888888883</v>
      </c>
      <c r="BF18" s="18">
        <v>166.66666666666666</v>
      </c>
      <c r="BG18" s="18" t="s">
        <v>110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 t="s">
        <v>111</v>
      </c>
      <c r="BN18" s="18" t="s">
        <v>111</v>
      </c>
    </row>
    <row r="19" spans="1:66" x14ac:dyDescent="0.25">
      <c r="A19" s="17">
        <v>13</v>
      </c>
      <c r="B19" s="16" t="str">
        <f>VLOOKUP(A19,[1]salario!$A$3:$C$195,3,0)</f>
        <v>Colaborador 13</v>
      </c>
      <c r="C19" s="18">
        <v>1102.1600000000001</v>
      </c>
      <c r="D19" s="18">
        <v>694.48</v>
      </c>
      <c r="E19" s="18">
        <v>48.612616409694738</v>
      </c>
      <c r="F19" s="18">
        <v>645.86738359030528</v>
      </c>
      <c r="G19" s="18">
        <v>210.95</v>
      </c>
      <c r="H19" s="18">
        <v>14.766500000000001</v>
      </c>
      <c r="I19" s="18">
        <v>196.18349999999998</v>
      </c>
      <c r="J19" s="18">
        <v>500</v>
      </c>
      <c r="K19" s="18">
        <v>10</v>
      </c>
      <c r="L19" s="18">
        <v>490</v>
      </c>
      <c r="M19" s="18">
        <v>3.5214012000000001</v>
      </c>
      <c r="N19" s="18">
        <v>1.7607006000000001</v>
      </c>
      <c r="O19" s="18">
        <v>1.7607006000000001</v>
      </c>
      <c r="P19" s="18"/>
      <c r="Q19" s="18"/>
      <c r="R19" s="18"/>
      <c r="S19" s="18"/>
      <c r="T19" s="18">
        <v>0</v>
      </c>
      <c r="U19" s="18" t="e">
        <v>#REF!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275</v>
      </c>
      <c r="AC19" s="18">
        <v>0</v>
      </c>
      <c r="AD19" s="18">
        <v>0</v>
      </c>
      <c r="AE19" s="18">
        <v>0</v>
      </c>
      <c r="AF19" s="18"/>
      <c r="AG19" s="18"/>
      <c r="AH19" s="18"/>
      <c r="AI19" s="18">
        <v>0</v>
      </c>
      <c r="AJ19" s="18">
        <v>165</v>
      </c>
      <c r="AK19" s="18">
        <v>65</v>
      </c>
      <c r="AL19" s="18">
        <v>100</v>
      </c>
      <c r="AM19" s="18">
        <v>90.566666666666663</v>
      </c>
      <c r="AN19" s="18">
        <v>23.9</v>
      </c>
      <c r="AO19" s="18">
        <v>66.666666666666657</v>
      </c>
      <c r="AP19" s="18">
        <v>729.81</v>
      </c>
      <c r="AQ19" s="18">
        <v>130.0157999999999</v>
      </c>
      <c r="AR19" s="18">
        <v>619.70264720496903</v>
      </c>
      <c r="AS19" s="18">
        <v>29.93</v>
      </c>
      <c r="AT19" s="18">
        <v>2.0950999999999986</v>
      </c>
      <c r="AU19" s="18">
        <v>27.834900000000001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138.88888888888889</v>
      </c>
      <c r="BD19" s="18">
        <v>96.56</v>
      </c>
      <c r="BE19" s="18">
        <v>42.328888888888883</v>
      </c>
      <c r="BF19" s="18">
        <v>166.66666666666666</v>
      </c>
      <c r="BG19" s="18" t="s">
        <v>110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 t="s">
        <v>111</v>
      </c>
      <c r="BN19" s="18" t="s">
        <v>111</v>
      </c>
    </row>
    <row r="20" spans="1:66" x14ac:dyDescent="0.25">
      <c r="A20" s="17">
        <v>14</v>
      </c>
      <c r="B20" s="16" t="str">
        <f>VLOOKUP(A20,[1]salario!$A$3:$C$195,3,0)</f>
        <v>Colaborador 14</v>
      </c>
      <c r="C20" s="18">
        <v>5617.18</v>
      </c>
      <c r="D20" s="18">
        <v>2578.5</v>
      </c>
      <c r="E20" s="18">
        <v>955.0604324011581</v>
      </c>
      <c r="F20" s="18">
        <v>1623.4395675988417</v>
      </c>
      <c r="G20" s="18">
        <v>210.95</v>
      </c>
      <c r="H20" s="18">
        <v>31.642499999999998</v>
      </c>
      <c r="I20" s="18">
        <v>179.3075</v>
      </c>
      <c r="J20" s="18">
        <v>550</v>
      </c>
      <c r="K20" s="18">
        <v>33</v>
      </c>
      <c r="L20" s="18">
        <v>517</v>
      </c>
      <c r="M20" s="18">
        <v>17.946890100000001</v>
      </c>
      <c r="N20" s="18">
        <v>8.9734450500000005</v>
      </c>
      <c r="O20" s="18">
        <v>8.9734450500000005</v>
      </c>
      <c r="P20" s="18"/>
      <c r="Q20" s="18"/>
      <c r="R20" s="18"/>
      <c r="S20" s="18"/>
      <c r="T20" s="18">
        <v>0</v>
      </c>
      <c r="U20" s="18" t="e">
        <v>#REF!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275</v>
      </c>
      <c r="AC20" s="18">
        <v>0</v>
      </c>
      <c r="AD20" s="18">
        <v>0</v>
      </c>
      <c r="AE20" s="18">
        <v>0</v>
      </c>
      <c r="AF20" s="18"/>
      <c r="AG20" s="18"/>
      <c r="AH20" s="18"/>
      <c r="AI20" s="18">
        <v>0</v>
      </c>
      <c r="AJ20" s="18">
        <v>165</v>
      </c>
      <c r="AK20" s="18">
        <v>65</v>
      </c>
      <c r="AL20" s="18">
        <v>100</v>
      </c>
      <c r="AM20" s="18">
        <v>90.566666666666663</v>
      </c>
      <c r="AN20" s="18">
        <v>23.9</v>
      </c>
      <c r="AO20" s="18">
        <v>66.666666666666657</v>
      </c>
      <c r="AP20" s="18">
        <v>927.29</v>
      </c>
      <c r="AQ20" s="18">
        <v>154.86099999999999</v>
      </c>
      <c r="AR20" s="18">
        <v>792.33744720496895</v>
      </c>
      <c r="AS20" s="18">
        <v>29.93</v>
      </c>
      <c r="AT20" s="18">
        <v>4.4894999999999996</v>
      </c>
      <c r="AU20" s="18">
        <v>25.4405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138.88888888888889</v>
      </c>
      <c r="BD20" s="18">
        <v>96.56</v>
      </c>
      <c r="BE20" s="18">
        <v>42.328888888888883</v>
      </c>
      <c r="BF20" s="18">
        <v>166.66666666666666</v>
      </c>
      <c r="BG20" s="18" t="s">
        <v>110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 t="s">
        <v>111</v>
      </c>
      <c r="BN20" s="18" t="s">
        <v>111</v>
      </c>
    </row>
    <row r="21" spans="1:66" x14ac:dyDescent="0.25">
      <c r="A21" s="17">
        <v>15</v>
      </c>
      <c r="B21" s="16" t="str">
        <f>VLOOKUP(A21,[1]salario!$A$3:$C$195,3,0)</f>
        <v>Colaborador 15</v>
      </c>
      <c r="C21" s="18">
        <v>5591.86</v>
      </c>
      <c r="D21" s="18">
        <v>1511.76</v>
      </c>
      <c r="E21" s="18">
        <v>559.90010846818234</v>
      </c>
      <c r="F21" s="18">
        <v>951.85989153181765</v>
      </c>
      <c r="G21" s="18">
        <v>42.19</v>
      </c>
      <c r="H21" s="18">
        <v>6.3284999999999991</v>
      </c>
      <c r="I21" s="18">
        <v>35.861499999999999</v>
      </c>
      <c r="J21" s="18">
        <v>500</v>
      </c>
      <c r="K21" s="18">
        <v>30</v>
      </c>
      <c r="L21" s="18">
        <v>470</v>
      </c>
      <c r="M21" s="18">
        <v>17.8659927</v>
      </c>
      <c r="N21" s="18">
        <v>8.9329963499999998</v>
      </c>
      <c r="O21" s="18">
        <v>8.9329963499999998</v>
      </c>
      <c r="P21" s="18"/>
      <c r="Q21" s="18"/>
      <c r="R21" s="18"/>
      <c r="S21" s="18"/>
      <c r="T21" s="18">
        <v>0</v>
      </c>
      <c r="U21" s="18" t="e">
        <v>#REF!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275</v>
      </c>
      <c r="AC21" s="18">
        <v>0</v>
      </c>
      <c r="AD21" s="18">
        <v>0</v>
      </c>
      <c r="AE21" s="18">
        <v>0</v>
      </c>
      <c r="AF21" s="18"/>
      <c r="AG21" s="18"/>
      <c r="AH21" s="18"/>
      <c r="AI21" s="18">
        <v>0</v>
      </c>
      <c r="AJ21" s="18">
        <v>165</v>
      </c>
      <c r="AK21" s="18">
        <v>65</v>
      </c>
      <c r="AL21" s="18">
        <v>100</v>
      </c>
      <c r="AM21" s="18">
        <v>90.566666666666663</v>
      </c>
      <c r="AN21" s="18">
        <v>23.9</v>
      </c>
      <c r="AO21" s="18">
        <v>66.666666666666657</v>
      </c>
      <c r="AP21" s="18">
        <v>460.91</v>
      </c>
      <c r="AQ21" s="18">
        <v>40.829000000000008</v>
      </c>
      <c r="AR21" s="18">
        <v>439.98944720496894</v>
      </c>
      <c r="AS21" s="18">
        <v>29.93</v>
      </c>
      <c r="AT21" s="18">
        <v>2.0950999999999986</v>
      </c>
      <c r="AU21" s="18">
        <v>27.834900000000001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138.88888888888889</v>
      </c>
      <c r="BD21" s="18">
        <v>96.56</v>
      </c>
      <c r="BE21" s="18">
        <v>42.328888888888883</v>
      </c>
      <c r="BF21" s="18">
        <v>166.66666666666666</v>
      </c>
      <c r="BG21" s="18" t="s">
        <v>110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 t="s">
        <v>111</v>
      </c>
      <c r="BN21" s="18" t="s">
        <v>111</v>
      </c>
    </row>
    <row r="22" spans="1:66" x14ac:dyDescent="0.25">
      <c r="A22" s="17">
        <v>16</v>
      </c>
      <c r="B22" s="16" t="str">
        <f>VLOOKUP(A22,[1]salario!$A$3:$C$195,3,0)</f>
        <v>Colaborador 16</v>
      </c>
      <c r="C22" s="18">
        <v>7685.13</v>
      </c>
      <c r="D22" s="18">
        <v>0</v>
      </c>
      <c r="E22" s="18">
        <v>0</v>
      </c>
      <c r="F22" s="18">
        <v>0</v>
      </c>
      <c r="G22" s="18">
        <v>210.95</v>
      </c>
      <c r="H22" s="18">
        <v>48.518499999999996</v>
      </c>
      <c r="I22" s="18">
        <v>162.4315</v>
      </c>
      <c r="J22" s="18">
        <v>500</v>
      </c>
      <c r="K22" s="18">
        <v>50</v>
      </c>
      <c r="L22" s="18">
        <v>450</v>
      </c>
      <c r="M22" s="18">
        <v>24.553990349999999</v>
      </c>
      <c r="N22" s="18">
        <v>12.276995175</v>
      </c>
      <c r="O22" s="18">
        <v>12.276995175</v>
      </c>
      <c r="P22" s="18"/>
      <c r="Q22" s="18"/>
      <c r="R22" s="18"/>
      <c r="S22" s="18"/>
      <c r="T22" s="18">
        <v>0</v>
      </c>
      <c r="U22" s="18" t="e">
        <v>#REF!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275</v>
      </c>
      <c r="AC22" s="18">
        <v>0</v>
      </c>
      <c r="AD22" s="18">
        <v>0</v>
      </c>
      <c r="AE22" s="18">
        <v>0</v>
      </c>
      <c r="AF22" s="18"/>
      <c r="AG22" s="18"/>
      <c r="AH22" s="18"/>
      <c r="AI22" s="18">
        <v>0</v>
      </c>
      <c r="AJ22" s="18">
        <v>165</v>
      </c>
      <c r="AK22" s="18">
        <v>65</v>
      </c>
      <c r="AL22" s="18">
        <v>100</v>
      </c>
      <c r="AM22" s="18">
        <v>90.566666666666663</v>
      </c>
      <c r="AN22" s="18">
        <v>23.9</v>
      </c>
      <c r="AO22" s="18">
        <v>66.666666666666657</v>
      </c>
      <c r="AP22" s="18">
        <v>460.91</v>
      </c>
      <c r="AQ22" s="18">
        <v>76.965000000000032</v>
      </c>
      <c r="AR22" s="18">
        <v>403.85344720496892</v>
      </c>
      <c r="AS22" s="18">
        <v>29.93</v>
      </c>
      <c r="AT22" s="18">
        <v>4.4894999999999996</v>
      </c>
      <c r="AU22" s="18">
        <v>25.4405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138.88888888888889</v>
      </c>
      <c r="BD22" s="18">
        <v>96.56</v>
      </c>
      <c r="BE22" s="18">
        <v>42.328888888888883</v>
      </c>
      <c r="BF22" s="18">
        <v>166.66666666666666</v>
      </c>
      <c r="BG22" s="18" t="s">
        <v>110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 t="s">
        <v>111</v>
      </c>
      <c r="BN22" s="18" t="s">
        <v>111</v>
      </c>
    </row>
    <row r="23" spans="1:66" x14ac:dyDescent="0.25">
      <c r="A23" s="17">
        <v>17</v>
      </c>
      <c r="B23" s="16" t="str">
        <f>VLOOKUP(A23,[1]salario!$A$3:$C$195,3,0)</f>
        <v>Colaborador 17</v>
      </c>
      <c r="C23" s="18">
        <v>3652.6</v>
      </c>
      <c r="D23" s="18">
        <v>0</v>
      </c>
      <c r="E23" s="18">
        <v>0</v>
      </c>
      <c r="F23" s="18">
        <v>0</v>
      </c>
      <c r="G23" s="18">
        <v>126.57</v>
      </c>
      <c r="H23" s="18">
        <v>8.8598999999999997</v>
      </c>
      <c r="I23" s="18">
        <v>117.7101</v>
      </c>
      <c r="J23" s="18">
        <v>500</v>
      </c>
      <c r="K23" s="18">
        <v>10</v>
      </c>
      <c r="L23" s="18">
        <v>490</v>
      </c>
      <c r="M23" s="18">
        <v>11.670057</v>
      </c>
      <c r="N23" s="18">
        <v>5.8350285</v>
      </c>
      <c r="O23" s="18">
        <v>5.8350285</v>
      </c>
      <c r="P23" s="18"/>
      <c r="Q23" s="18"/>
      <c r="R23" s="18"/>
      <c r="S23" s="18"/>
      <c r="T23" s="18">
        <v>0</v>
      </c>
      <c r="U23" s="18" t="e">
        <v>#REF!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275</v>
      </c>
      <c r="AC23" s="18">
        <v>0</v>
      </c>
      <c r="AD23" s="18">
        <v>0</v>
      </c>
      <c r="AE23" s="18">
        <v>0</v>
      </c>
      <c r="AF23" s="18"/>
      <c r="AG23" s="18"/>
      <c r="AH23" s="18"/>
      <c r="AI23" s="18">
        <v>0</v>
      </c>
      <c r="AJ23" s="18">
        <v>165</v>
      </c>
      <c r="AK23" s="18">
        <v>65</v>
      </c>
      <c r="AL23" s="18">
        <v>100</v>
      </c>
      <c r="AM23" s="18">
        <v>90.566666666666663</v>
      </c>
      <c r="AN23" s="18">
        <v>23.9</v>
      </c>
      <c r="AO23" s="18">
        <v>66.666666666666657</v>
      </c>
      <c r="AP23" s="18">
        <v>460.91</v>
      </c>
      <c r="AQ23" s="18">
        <v>113.101</v>
      </c>
      <c r="AR23" s="18">
        <v>367.71744720496895</v>
      </c>
      <c r="AS23" s="18">
        <v>29.93</v>
      </c>
      <c r="AT23" s="18">
        <v>6.8839000000000006</v>
      </c>
      <c r="AU23" s="18">
        <v>23.046099999999999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138.88888888888889</v>
      </c>
      <c r="BD23" s="18">
        <v>96.56</v>
      </c>
      <c r="BE23" s="18">
        <v>42.328888888888883</v>
      </c>
      <c r="BF23" s="18">
        <v>166.66666666666666</v>
      </c>
      <c r="BG23" s="18" t="s">
        <v>110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 t="s">
        <v>111</v>
      </c>
      <c r="BN23" s="18" t="s">
        <v>111</v>
      </c>
    </row>
    <row r="24" spans="1:66" x14ac:dyDescent="0.25">
      <c r="A24" s="17">
        <v>18</v>
      </c>
      <c r="B24" s="16" t="str">
        <f>VLOOKUP(A24,[1]salario!$A$3:$C$195,3,0)</f>
        <v>Colaborador 18</v>
      </c>
      <c r="C24" s="18">
        <v>7943.86</v>
      </c>
      <c r="D24" s="18">
        <v>0</v>
      </c>
      <c r="E24" s="18">
        <v>0</v>
      </c>
      <c r="F24" s="18">
        <v>0</v>
      </c>
      <c r="G24" s="18">
        <v>168.76</v>
      </c>
      <c r="H24" s="18">
        <v>38.814799999999998</v>
      </c>
      <c r="I24" s="18">
        <v>129.9452</v>
      </c>
      <c r="J24" s="18">
        <v>500</v>
      </c>
      <c r="K24" s="18">
        <v>50</v>
      </c>
      <c r="L24" s="18">
        <v>450</v>
      </c>
      <c r="M24" s="18">
        <v>25.3806327</v>
      </c>
      <c r="N24" s="18">
        <v>12.69031635</v>
      </c>
      <c r="O24" s="18">
        <v>12.69031635</v>
      </c>
      <c r="P24" s="18"/>
      <c r="Q24" s="18"/>
      <c r="R24" s="18"/>
      <c r="S24" s="18"/>
      <c r="T24" s="18">
        <v>0</v>
      </c>
      <c r="U24" s="18" t="e">
        <v>#REF!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275</v>
      </c>
      <c r="AC24" s="18">
        <v>0</v>
      </c>
      <c r="AD24" s="18">
        <v>0</v>
      </c>
      <c r="AE24" s="18">
        <v>0</v>
      </c>
      <c r="AF24" s="18"/>
      <c r="AG24" s="18"/>
      <c r="AH24" s="18"/>
      <c r="AI24" s="18">
        <v>0</v>
      </c>
      <c r="AJ24" s="18">
        <v>165</v>
      </c>
      <c r="AK24" s="18">
        <v>65</v>
      </c>
      <c r="AL24" s="18">
        <v>100</v>
      </c>
      <c r="AM24" s="18">
        <v>90.566666666666663</v>
      </c>
      <c r="AN24" s="18">
        <v>23.9</v>
      </c>
      <c r="AO24" s="18">
        <v>66.666666666666657</v>
      </c>
      <c r="AP24" s="18">
        <v>998.38</v>
      </c>
      <c r="AQ24" s="18">
        <v>248.44200000000001</v>
      </c>
      <c r="AR24" s="18">
        <v>769.84644720496897</v>
      </c>
      <c r="AS24" s="18">
        <v>29.93</v>
      </c>
      <c r="AT24" s="18">
        <v>4.4894999999999996</v>
      </c>
      <c r="AU24" s="18">
        <v>25.4405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138.88888888888889</v>
      </c>
      <c r="BD24" s="18">
        <v>96.56</v>
      </c>
      <c r="BE24" s="18">
        <v>42.328888888888883</v>
      </c>
      <c r="BF24" s="18">
        <v>166.66666666666666</v>
      </c>
      <c r="BG24" s="18" t="s">
        <v>110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 t="s">
        <v>111</v>
      </c>
      <c r="BN24" s="18" t="s">
        <v>111</v>
      </c>
    </row>
    <row r="25" spans="1:66" x14ac:dyDescent="0.25">
      <c r="A25" s="17">
        <v>19</v>
      </c>
      <c r="B25" s="16" t="str">
        <f>VLOOKUP(A25,[1]salario!$A$3:$C$195,3,0)</f>
        <v>Colaborador 19</v>
      </c>
      <c r="C25" s="18">
        <v>7131.14</v>
      </c>
      <c r="D25" s="18">
        <v>0</v>
      </c>
      <c r="E25" s="18">
        <v>0</v>
      </c>
      <c r="F25" s="18">
        <v>0</v>
      </c>
      <c r="G25" s="18">
        <v>84.38</v>
      </c>
      <c r="H25" s="18">
        <v>12.656999999999998</v>
      </c>
      <c r="I25" s="18">
        <v>71.722999999999999</v>
      </c>
      <c r="J25" s="18">
        <v>500</v>
      </c>
      <c r="K25" s="18">
        <v>30</v>
      </c>
      <c r="L25" s="18">
        <v>470</v>
      </c>
      <c r="M25" s="18">
        <v>22.783992300000001</v>
      </c>
      <c r="N25" s="18">
        <v>11.391996150000001</v>
      </c>
      <c r="O25" s="18">
        <v>11.391996150000001</v>
      </c>
      <c r="P25" s="18"/>
      <c r="Q25" s="18"/>
      <c r="R25" s="18"/>
      <c r="S25" s="18"/>
      <c r="T25" s="18">
        <v>0</v>
      </c>
      <c r="U25" s="18" t="e">
        <v>#REF!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275</v>
      </c>
      <c r="AC25" s="18">
        <v>0</v>
      </c>
      <c r="AD25" s="18">
        <v>0</v>
      </c>
      <c r="AE25" s="18">
        <v>0</v>
      </c>
      <c r="AF25" s="18"/>
      <c r="AG25" s="18"/>
      <c r="AH25" s="18"/>
      <c r="AI25" s="18">
        <v>0</v>
      </c>
      <c r="AJ25" s="18">
        <v>165</v>
      </c>
      <c r="AK25" s="18">
        <v>65</v>
      </c>
      <c r="AL25" s="18">
        <v>100</v>
      </c>
      <c r="AM25" s="18">
        <v>90.566666666666663</v>
      </c>
      <c r="AN25" s="18">
        <v>23.9</v>
      </c>
      <c r="AO25" s="18">
        <v>66.666666666666657</v>
      </c>
      <c r="AP25" s="18">
        <v>875.77</v>
      </c>
      <c r="AQ25" s="18">
        <v>217.92950000000008</v>
      </c>
      <c r="AR25" s="18">
        <v>677.74894720496889</v>
      </c>
      <c r="AS25" s="18">
        <v>29.93</v>
      </c>
      <c r="AT25" s="18">
        <v>4.4894999999999996</v>
      </c>
      <c r="AU25" s="18">
        <v>25.4405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138.88888888888889</v>
      </c>
      <c r="BD25" s="18">
        <v>96.56</v>
      </c>
      <c r="BE25" s="18">
        <v>42.328888888888883</v>
      </c>
      <c r="BF25" s="18">
        <v>166.66666666666666</v>
      </c>
      <c r="BG25" s="18" t="s">
        <v>110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 t="s">
        <v>111</v>
      </c>
      <c r="BN25" s="18" t="s">
        <v>111</v>
      </c>
    </row>
    <row r="26" spans="1:66" x14ac:dyDescent="0.25">
      <c r="A26" s="17">
        <v>20</v>
      </c>
      <c r="B26" s="16" t="str">
        <f>VLOOKUP(A26,[1]salario!$A$3:$C$195,3,0)</f>
        <v>Colaborador 20</v>
      </c>
      <c r="C26" s="18">
        <v>5245.5</v>
      </c>
      <c r="D26" s="18">
        <v>0</v>
      </c>
      <c r="E26" s="18">
        <v>0</v>
      </c>
      <c r="F26" s="18">
        <v>0</v>
      </c>
      <c r="G26" s="18">
        <v>168.76</v>
      </c>
      <c r="H26" s="18">
        <v>25.313999999999997</v>
      </c>
      <c r="I26" s="18">
        <v>143.446</v>
      </c>
      <c r="J26" s="18">
        <v>500</v>
      </c>
      <c r="K26" s="18">
        <v>30</v>
      </c>
      <c r="L26" s="18">
        <v>470</v>
      </c>
      <c r="M26" s="18">
        <v>16.759372500000001</v>
      </c>
      <c r="N26" s="18">
        <v>8.3796862500000007</v>
      </c>
      <c r="O26" s="18">
        <v>8.3796862500000007</v>
      </c>
      <c r="P26" s="18"/>
      <c r="Q26" s="18"/>
      <c r="R26" s="18"/>
      <c r="S26" s="18"/>
      <c r="T26" s="18">
        <v>0</v>
      </c>
      <c r="U26" s="18" t="e">
        <v>#REF!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275</v>
      </c>
      <c r="AC26" s="18">
        <v>0</v>
      </c>
      <c r="AD26" s="18">
        <v>0</v>
      </c>
      <c r="AE26" s="18">
        <v>0</v>
      </c>
      <c r="AF26" s="18"/>
      <c r="AG26" s="18"/>
      <c r="AH26" s="18"/>
      <c r="AI26" s="18">
        <v>0</v>
      </c>
      <c r="AJ26" s="18">
        <v>165</v>
      </c>
      <c r="AK26" s="18">
        <v>65</v>
      </c>
      <c r="AL26" s="18">
        <v>100</v>
      </c>
      <c r="AM26" s="18">
        <v>90.566666666666663</v>
      </c>
      <c r="AN26" s="18">
        <v>23.9</v>
      </c>
      <c r="AO26" s="18">
        <v>66.666666666666657</v>
      </c>
      <c r="AP26" s="18">
        <v>900.29</v>
      </c>
      <c r="AQ26" s="18">
        <v>150.35199999999998</v>
      </c>
      <c r="AR26" s="18">
        <v>769.84644720496897</v>
      </c>
      <c r="AS26" s="18">
        <v>29.93</v>
      </c>
      <c r="AT26" s="18">
        <v>4.4894999999999996</v>
      </c>
      <c r="AU26" s="18">
        <v>25.4405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138.88888888888889</v>
      </c>
      <c r="BD26" s="18">
        <v>96.56</v>
      </c>
      <c r="BE26" s="18">
        <v>42.328888888888883</v>
      </c>
      <c r="BF26" s="18">
        <v>166.66666666666666</v>
      </c>
      <c r="BG26" s="18" t="s">
        <v>110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 t="s">
        <v>111</v>
      </c>
      <c r="BN26" s="18" t="s">
        <v>111</v>
      </c>
    </row>
    <row r="27" spans="1:66" x14ac:dyDescent="0.25">
      <c r="A27" s="17">
        <v>21</v>
      </c>
      <c r="B27" s="16" t="str">
        <f>VLOOKUP(A27,[1]salario!$A$3:$C$195,3,0)</f>
        <v>Colaborador 21</v>
      </c>
      <c r="C27" s="18">
        <v>4229.32</v>
      </c>
      <c r="D27" s="18">
        <v>0</v>
      </c>
      <c r="E27" s="18">
        <v>0</v>
      </c>
      <c r="F27" s="18">
        <v>0</v>
      </c>
      <c r="G27" s="18">
        <v>210.95</v>
      </c>
      <c r="H27" s="18">
        <v>31.642499999999998</v>
      </c>
      <c r="I27" s="18">
        <v>179.3075</v>
      </c>
      <c r="J27" s="18">
        <v>500</v>
      </c>
      <c r="K27" s="18">
        <v>30</v>
      </c>
      <c r="L27" s="18">
        <v>470</v>
      </c>
      <c r="M27" s="18">
        <v>13.512677399999999</v>
      </c>
      <c r="N27" s="18">
        <v>6.7563386999999997</v>
      </c>
      <c r="O27" s="18">
        <v>6.7563386999999997</v>
      </c>
      <c r="P27" s="18"/>
      <c r="Q27" s="18"/>
      <c r="R27" s="18"/>
      <c r="S27" s="18"/>
      <c r="T27" s="18">
        <v>0</v>
      </c>
      <c r="U27" s="18" t="e">
        <v>#REF!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275</v>
      </c>
      <c r="AC27" s="18">
        <v>0</v>
      </c>
      <c r="AD27" s="18">
        <v>0</v>
      </c>
      <c r="AE27" s="18">
        <v>0</v>
      </c>
      <c r="AF27" s="18"/>
      <c r="AG27" s="18"/>
      <c r="AH27" s="18"/>
      <c r="AI27" s="18">
        <v>0</v>
      </c>
      <c r="AJ27" s="18" t="s">
        <v>110</v>
      </c>
      <c r="AK27" s="18">
        <v>0</v>
      </c>
      <c r="AL27" s="18" t="s">
        <v>110</v>
      </c>
      <c r="AM27" s="18">
        <v>90.566666666666663</v>
      </c>
      <c r="AN27" s="18">
        <v>23.9</v>
      </c>
      <c r="AO27" s="18">
        <v>66.666666666666657</v>
      </c>
      <c r="AP27" s="18">
        <v>927.29</v>
      </c>
      <c r="AQ27" s="18">
        <v>82.161799999999857</v>
      </c>
      <c r="AR27" s="18">
        <v>865.03664720496909</v>
      </c>
      <c r="AS27" s="18">
        <v>29.93</v>
      </c>
      <c r="AT27" s="18">
        <v>2.0950999999999986</v>
      </c>
      <c r="AU27" s="18">
        <v>27.834900000000001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138.88888888888889</v>
      </c>
      <c r="BD27" s="18">
        <v>96.56</v>
      </c>
      <c r="BE27" s="18">
        <v>42.328888888888883</v>
      </c>
      <c r="BF27" s="18">
        <v>166.66666666666666</v>
      </c>
      <c r="BG27" s="18" t="s">
        <v>110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 t="s">
        <v>111</v>
      </c>
      <c r="BN27" s="18" t="s">
        <v>111</v>
      </c>
    </row>
    <row r="28" spans="1:66" x14ac:dyDescent="0.25">
      <c r="A28" s="17">
        <v>22</v>
      </c>
      <c r="B28" s="16" t="str">
        <f>VLOOKUP(A28,[1]salario!$A$3:$C$195,3,0)</f>
        <v>Colaborador 22</v>
      </c>
      <c r="C28" s="18">
        <v>2404.84</v>
      </c>
      <c r="D28" s="18">
        <v>0</v>
      </c>
      <c r="E28" s="18">
        <v>0</v>
      </c>
      <c r="F28" s="18">
        <v>0</v>
      </c>
      <c r="G28" s="18">
        <v>168.76</v>
      </c>
      <c r="H28" s="18">
        <v>11.8132</v>
      </c>
      <c r="I28" s="18">
        <v>156.9468</v>
      </c>
      <c r="J28" s="18">
        <v>500</v>
      </c>
      <c r="K28" s="18">
        <v>10</v>
      </c>
      <c r="L28" s="18">
        <v>490</v>
      </c>
      <c r="M28" s="18">
        <v>7.6834638000000011</v>
      </c>
      <c r="N28" s="18">
        <v>3.8417319000000005</v>
      </c>
      <c r="O28" s="18">
        <v>3.8417319000000005</v>
      </c>
      <c r="P28" s="18"/>
      <c r="Q28" s="18"/>
      <c r="R28" s="18"/>
      <c r="S28" s="18"/>
      <c r="T28" s="18">
        <v>0</v>
      </c>
      <c r="U28" s="18" t="e">
        <v>#REF!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275</v>
      </c>
      <c r="AC28" s="18">
        <v>0</v>
      </c>
      <c r="AD28" s="18">
        <v>0</v>
      </c>
      <c r="AE28" s="18">
        <v>0</v>
      </c>
      <c r="AF28" s="18"/>
      <c r="AG28" s="18"/>
      <c r="AH28" s="18"/>
      <c r="AI28" s="18">
        <v>0</v>
      </c>
      <c r="AJ28" s="18" t="s">
        <v>110</v>
      </c>
      <c r="AK28" s="18">
        <v>0</v>
      </c>
      <c r="AL28" s="18" t="s">
        <v>110</v>
      </c>
      <c r="AM28" s="18">
        <v>90.566666666666663</v>
      </c>
      <c r="AN28" s="18">
        <v>23.9</v>
      </c>
      <c r="AO28" s="18">
        <v>66.666666666666657</v>
      </c>
      <c r="AP28" s="18">
        <v>927.29</v>
      </c>
      <c r="AQ28" s="18">
        <v>154.86099999999999</v>
      </c>
      <c r="AR28" s="18">
        <v>792.33744720496895</v>
      </c>
      <c r="AS28" s="18">
        <v>29.93</v>
      </c>
      <c r="AT28" s="18">
        <v>4.4894999999999996</v>
      </c>
      <c r="AU28" s="18">
        <v>25.4405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138.88888888888889</v>
      </c>
      <c r="BD28" s="18">
        <v>96.56</v>
      </c>
      <c r="BE28" s="18">
        <v>42.328888888888883</v>
      </c>
      <c r="BF28" s="18">
        <v>166.66666666666666</v>
      </c>
      <c r="BG28" s="18" t="s">
        <v>110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 t="s">
        <v>111</v>
      </c>
      <c r="BN28" s="18" t="s">
        <v>111</v>
      </c>
    </row>
    <row r="29" spans="1:66" x14ac:dyDescent="0.25">
      <c r="A29" s="17">
        <v>23</v>
      </c>
      <c r="B29" s="16" t="str">
        <f>VLOOKUP(A29,[1]salario!$A$3:$C$195,3,0)</f>
        <v>Colaborador 23</v>
      </c>
      <c r="C29" s="18">
        <v>2335.0300000000002</v>
      </c>
      <c r="D29" s="18">
        <v>0</v>
      </c>
      <c r="E29" s="18">
        <v>0</v>
      </c>
      <c r="F29" s="18">
        <v>0</v>
      </c>
      <c r="G29" s="18">
        <v>126.57</v>
      </c>
      <c r="H29" s="18">
        <v>8.8598999999999997</v>
      </c>
      <c r="I29" s="18">
        <v>117.7101</v>
      </c>
      <c r="J29" s="18">
        <v>550</v>
      </c>
      <c r="K29" s="18">
        <v>11</v>
      </c>
      <c r="L29" s="18">
        <v>539</v>
      </c>
      <c r="M29" s="18">
        <v>7.4604208500000011</v>
      </c>
      <c r="N29" s="18">
        <v>3.7302104250000006</v>
      </c>
      <c r="O29" s="18">
        <v>3.7302104250000006</v>
      </c>
      <c r="P29" s="18"/>
      <c r="Q29" s="18"/>
      <c r="R29" s="18"/>
      <c r="S29" s="18"/>
      <c r="T29" s="18">
        <v>0</v>
      </c>
      <c r="U29" s="18" t="e">
        <v>#REF!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275</v>
      </c>
      <c r="AC29" s="18">
        <v>0</v>
      </c>
      <c r="AD29" s="18">
        <v>0</v>
      </c>
      <c r="AE29" s="18">
        <v>0</v>
      </c>
      <c r="AF29" s="18"/>
      <c r="AG29" s="18"/>
      <c r="AH29" s="18"/>
      <c r="AI29" s="18">
        <v>0</v>
      </c>
      <c r="AJ29" s="18" t="s">
        <v>110</v>
      </c>
      <c r="AK29" s="18">
        <v>0</v>
      </c>
      <c r="AL29" s="18" t="s">
        <v>110</v>
      </c>
      <c r="AM29" s="18">
        <v>90.566666666666663</v>
      </c>
      <c r="AN29" s="18">
        <v>23.9</v>
      </c>
      <c r="AO29" s="18">
        <v>66.666666666666657</v>
      </c>
      <c r="AP29" s="18">
        <v>460.91</v>
      </c>
      <c r="AQ29" s="18">
        <v>40.829000000000008</v>
      </c>
      <c r="AR29" s="18">
        <v>439.98944720496894</v>
      </c>
      <c r="AS29" s="18">
        <v>29.93</v>
      </c>
      <c r="AT29" s="18">
        <v>2.0950999999999986</v>
      </c>
      <c r="AU29" s="18">
        <v>27.834900000000001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138.88888888888889</v>
      </c>
      <c r="BD29" s="18">
        <v>96.56</v>
      </c>
      <c r="BE29" s="18">
        <v>42.328888888888883</v>
      </c>
      <c r="BF29" s="18">
        <v>166.66666666666666</v>
      </c>
      <c r="BG29" s="18" t="s">
        <v>110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 t="s">
        <v>111</v>
      </c>
      <c r="BN29" s="18" t="s">
        <v>111</v>
      </c>
    </row>
    <row r="30" spans="1:66" x14ac:dyDescent="0.25">
      <c r="A30" s="17">
        <v>24</v>
      </c>
      <c r="B30" s="16" t="str">
        <f>VLOOKUP(A30,[1]salario!$A$3:$C$195,3,0)</f>
        <v>Colaborador 24</v>
      </c>
      <c r="C30" s="18">
        <v>3290.79</v>
      </c>
      <c r="D30" s="18">
        <v>0</v>
      </c>
      <c r="E30" s="18">
        <v>0</v>
      </c>
      <c r="F30" s="18">
        <v>0</v>
      </c>
      <c r="G30" s="18">
        <v>84.38</v>
      </c>
      <c r="H30" s="18">
        <v>5.9066000000000001</v>
      </c>
      <c r="I30" s="18">
        <v>78.473399999999998</v>
      </c>
      <c r="J30" s="18">
        <v>500</v>
      </c>
      <c r="K30" s="18">
        <v>10</v>
      </c>
      <c r="L30" s="18">
        <v>490</v>
      </c>
      <c r="M30" s="18">
        <v>10.51407405</v>
      </c>
      <c r="N30" s="18">
        <v>5.2570370249999998</v>
      </c>
      <c r="O30" s="18">
        <v>5.2570370249999998</v>
      </c>
      <c r="P30" s="18"/>
      <c r="Q30" s="18"/>
      <c r="R30" s="18"/>
      <c r="S30" s="18"/>
      <c r="T30" s="18">
        <v>0</v>
      </c>
      <c r="U30" s="18" t="e">
        <v>#REF!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275</v>
      </c>
      <c r="AC30" s="18">
        <v>0</v>
      </c>
      <c r="AD30" s="18">
        <v>0</v>
      </c>
      <c r="AE30" s="18">
        <v>0</v>
      </c>
      <c r="AF30" s="18"/>
      <c r="AG30" s="18"/>
      <c r="AH30" s="18"/>
      <c r="AI30" s="18">
        <v>0</v>
      </c>
      <c r="AJ30" s="18" t="s">
        <v>110</v>
      </c>
      <c r="AK30" s="18">
        <v>0</v>
      </c>
      <c r="AL30" s="18" t="s">
        <v>110</v>
      </c>
      <c r="AM30" s="18">
        <v>90.566666666666663</v>
      </c>
      <c r="AN30" s="18">
        <v>23.9</v>
      </c>
      <c r="AO30" s="18">
        <v>66.666666666666657</v>
      </c>
      <c r="AP30" s="18">
        <v>789.72</v>
      </c>
      <c r="AQ30" s="18">
        <v>69.965100000000007</v>
      </c>
      <c r="AR30" s="18">
        <v>739.663347204969</v>
      </c>
      <c r="AS30" s="18">
        <v>29.93</v>
      </c>
      <c r="AT30" s="18">
        <v>2.0950999999999986</v>
      </c>
      <c r="AU30" s="18">
        <v>27.834900000000001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138.88888888888889</v>
      </c>
      <c r="BD30" s="18">
        <v>96.56</v>
      </c>
      <c r="BE30" s="18">
        <v>42.328888888888883</v>
      </c>
      <c r="BF30" s="18">
        <v>166.66666666666666</v>
      </c>
      <c r="BG30" s="18" t="s">
        <v>110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 t="s">
        <v>111</v>
      </c>
      <c r="BN30" s="18" t="s">
        <v>111</v>
      </c>
    </row>
    <row r="31" spans="1:66" x14ac:dyDescent="0.25">
      <c r="A31" s="17">
        <v>25</v>
      </c>
      <c r="B31" s="16" t="str">
        <f>VLOOKUP(A31,[1]salario!$A$3:$C$195,3,0)</f>
        <v>Colaborador 25</v>
      </c>
      <c r="C31" s="18">
        <v>1102.1600000000001</v>
      </c>
      <c r="D31" s="18">
        <v>0</v>
      </c>
      <c r="E31" s="18">
        <v>0</v>
      </c>
      <c r="F31" s="18">
        <v>0</v>
      </c>
      <c r="G31" s="18">
        <v>84.38</v>
      </c>
      <c r="H31" s="18">
        <v>5.9066000000000001</v>
      </c>
      <c r="I31" s="18">
        <v>78.473399999999998</v>
      </c>
      <c r="J31" s="18">
        <v>500</v>
      </c>
      <c r="K31" s="18">
        <v>10</v>
      </c>
      <c r="L31" s="18">
        <v>490</v>
      </c>
      <c r="M31" s="18">
        <v>3.5214012000000001</v>
      </c>
      <c r="N31" s="18">
        <v>1.7607006000000001</v>
      </c>
      <c r="O31" s="18">
        <v>1.7607006000000001</v>
      </c>
      <c r="P31" s="18"/>
      <c r="Q31" s="18"/>
      <c r="R31" s="18"/>
      <c r="S31" s="18"/>
      <c r="T31" s="18">
        <v>0</v>
      </c>
      <c r="U31" s="18" t="e">
        <v>#REF!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275</v>
      </c>
      <c r="AC31" s="18">
        <v>0</v>
      </c>
      <c r="AD31" s="18">
        <v>0</v>
      </c>
      <c r="AE31" s="18">
        <v>0</v>
      </c>
      <c r="AF31" s="18"/>
      <c r="AG31" s="18"/>
      <c r="AH31" s="18"/>
      <c r="AI31" s="18">
        <v>0</v>
      </c>
      <c r="AJ31" s="18" t="s">
        <v>110</v>
      </c>
      <c r="AK31" s="18">
        <v>0</v>
      </c>
      <c r="AL31" s="18" t="s">
        <v>110</v>
      </c>
      <c r="AM31" s="18">
        <v>90.566666666666663</v>
      </c>
      <c r="AN31" s="18">
        <v>23.9</v>
      </c>
      <c r="AO31" s="18">
        <v>66.666666666666657</v>
      </c>
      <c r="AP31" s="18">
        <v>875.77</v>
      </c>
      <c r="AQ31" s="18">
        <v>156.01509999999996</v>
      </c>
      <c r="AR31" s="18">
        <v>739.663347204969</v>
      </c>
      <c r="AS31" s="18">
        <v>29.93</v>
      </c>
      <c r="AT31" s="18">
        <v>2.0950999999999986</v>
      </c>
      <c r="AU31" s="18">
        <v>27.834900000000001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138.88888888888889</v>
      </c>
      <c r="BD31" s="18">
        <v>96.56</v>
      </c>
      <c r="BE31" s="18">
        <v>42.328888888888883</v>
      </c>
      <c r="BF31" s="18">
        <v>166.66666666666666</v>
      </c>
      <c r="BG31" s="18" t="s">
        <v>110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 t="s">
        <v>111</v>
      </c>
      <c r="BN31" s="18" t="s">
        <v>111</v>
      </c>
    </row>
    <row r="32" spans="1:66" x14ac:dyDescent="0.25">
      <c r="A32" s="17">
        <v>26</v>
      </c>
      <c r="B32" s="16" t="str">
        <f>VLOOKUP(A32,[1]salario!$A$3:$C$195,3,0)</f>
        <v>Colaborador 26</v>
      </c>
      <c r="C32" s="18">
        <v>5617.18</v>
      </c>
      <c r="D32" s="18">
        <v>0</v>
      </c>
      <c r="E32" s="18">
        <v>0</v>
      </c>
      <c r="F32" s="18">
        <v>0</v>
      </c>
      <c r="G32" s="18">
        <v>84.38</v>
      </c>
      <c r="H32" s="18">
        <v>12.656999999999998</v>
      </c>
      <c r="I32" s="18">
        <v>71.722999999999999</v>
      </c>
      <c r="J32" s="18">
        <v>500</v>
      </c>
      <c r="K32" s="18">
        <v>30</v>
      </c>
      <c r="L32" s="18">
        <v>470</v>
      </c>
      <c r="M32" s="18">
        <v>17.946890100000001</v>
      </c>
      <c r="N32" s="18">
        <v>8.9734450500000005</v>
      </c>
      <c r="O32" s="18">
        <v>8.9734450500000005</v>
      </c>
      <c r="P32" s="18"/>
      <c r="Q32" s="18"/>
      <c r="R32" s="18"/>
      <c r="S32" s="18"/>
      <c r="T32" s="18">
        <v>0</v>
      </c>
      <c r="U32" s="18" t="e">
        <v>#REF!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275</v>
      </c>
      <c r="AC32" s="18">
        <v>0</v>
      </c>
      <c r="AD32" s="18">
        <v>0</v>
      </c>
      <c r="AE32" s="18">
        <v>0</v>
      </c>
      <c r="AF32" s="18"/>
      <c r="AG32" s="18"/>
      <c r="AH32" s="18"/>
      <c r="AI32" s="18">
        <v>0</v>
      </c>
      <c r="AJ32" s="18" t="s">
        <v>110</v>
      </c>
      <c r="AK32" s="18">
        <v>0</v>
      </c>
      <c r="AL32" s="18" t="s">
        <v>110</v>
      </c>
      <c r="AM32" s="18">
        <v>90.566666666666663</v>
      </c>
      <c r="AN32" s="18">
        <v>23.9</v>
      </c>
      <c r="AO32" s="18">
        <v>66.666666666666657</v>
      </c>
      <c r="AP32" s="18">
        <v>900.29</v>
      </c>
      <c r="AQ32" s="18">
        <v>79.769599999999969</v>
      </c>
      <c r="AR32" s="18">
        <v>840.42884720496897</v>
      </c>
      <c r="AS32" s="18">
        <v>29.93</v>
      </c>
      <c r="AT32" s="18">
        <v>2.0950999999999986</v>
      </c>
      <c r="AU32" s="18">
        <v>27.834900000000001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138.88888888888889</v>
      </c>
      <c r="BD32" s="18">
        <v>96.56</v>
      </c>
      <c r="BE32" s="18">
        <v>42.328888888888883</v>
      </c>
      <c r="BF32" s="18">
        <v>166.66666666666666</v>
      </c>
      <c r="BG32" s="18" t="s">
        <v>110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 t="s">
        <v>111</v>
      </c>
      <c r="BN32" s="18" t="s">
        <v>111</v>
      </c>
    </row>
    <row r="33" spans="1:66" x14ac:dyDescent="0.25">
      <c r="A33" s="17">
        <v>27</v>
      </c>
      <c r="B33" s="16" t="str">
        <f>VLOOKUP(A33,[1]salario!$A$3:$C$195,3,0)</f>
        <v>Colaborador 27</v>
      </c>
      <c r="C33" s="18">
        <v>5591.86</v>
      </c>
      <c r="D33" s="18">
        <v>0</v>
      </c>
      <c r="E33" s="18">
        <v>0</v>
      </c>
      <c r="F33" s="18">
        <v>0</v>
      </c>
      <c r="G33" s="18">
        <v>210.95</v>
      </c>
      <c r="H33" s="18">
        <v>31.642499999999998</v>
      </c>
      <c r="I33" s="18">
        <v>179.3075</v>
      </c>
      <c r="J33" s="18">
        <v>500</v>
      </c>
      <c r="K33" s="18">
        <v>30</v>
      </c>
      <c r="L33" s="18">
        <v>470</v>
      </c>
      <c r="M33" s="18">
        <v>17.8659927</v>
      </c>
      <c r="N33" s="18">
        <v>8.9329963499999998</v>
      </c>
      <c r="O33" s="18">
        <v>8.9329963499999998</v>
      </c>
      <c r="P33" s="18"/>
      <c r="Q33" s="18"/>
      <c r="R33" s="18"/>
      <c r="S33" s="18"/>
      <c r="T33" s="18">
        <v>0</v>
      </c>
      <c r="U33" s="18" t="e">
        <v>#REF!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275</v>
      </c>
      <c r="AC33" s="18">
        <v>0</v>
      </c>
      <c r="AD33" s="18">
        <v>0</v>
      </c>
      <c r="AE33" s="18">
        <v>0</v>
      </c>
      <c r="AF33" s="18"/>
      <c r="AG33" s="18"/>
      <c r="AH33" s="18"/>
      <c r="AI33" s="18">
        <v>0</v>
      </c>
      <c r="AJ33" s="18">
        <v>165</v>
      </c>
      <c r="AK33" s="18">
        <v>65</v>
      </c>
      <c r="AL33" s="18">
        <v>100</v>
      </c>
      <c r="AM33" s="18">
        <v>90.566666666666663</v>
      </c>
      <c r="AN33" s="18">
        <v>23.9</v>
      </c>
      <c r="AO33" s="18">
        <v>66.666666666666657</v>
      </c>
      <c r="AP33" s="18">
        <v>789.72</v>
      </c>
      <c r="AQ33" s="18">
        <v>69.965100000000007</v>
      </c>
      <c r="AR33" s="18">
        <v>739.663347204969</v>
      </c>
      <c r="AS33" s="18">
        <v>29.93</v>
      </c>
      <c r="AT33" s="18">
        <v>2.0950999999999986</v>
      </c>
      <c r="AU33" s="18">
        <v>27.834900000000001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138.88888888888889</v>
      </c>
      <c r="BD33" s="18">
        <v>96.56</v>
      </c>
      <c r="BE33" s="18">
        <v>42.328888888888883</v>
      </c>
      <c r="BF33" s="18">
        <v>166.66666666666666</v>
      </c>
      <c r="BG33" s="18" t="s">
        <v>110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 t="s">
        <v>111</v>
      </c>
      <c r="BN33" s="18" t="s">
        <v>111</v>
      </c>
    </row>
    <row r="34" spans="1:66" x14ac:dyDescent="0.25">
      <c r="A34" s="17">
        <v>28</v>
      </c>
      <c r="B34" s="16" t="str">
        <f>VLOOKUP(A34,[1]salario!$A$3:$C$195,3,0)</f>
        <v>Colaborador 28</v>
      </c>
      <c r="C34" s="18">
        <v>7685.13</v>
      </c>
      <c r="D34" s="18">
        <v>0</v>
      </c>
      <c r="E34" s="18">
        <v>0</v>
      </c>
      <c r="F34" s="18">
        <v>0</v>
      </c>
      <c r="G34" s="18">
        <v>210.95</v>
      </c>
      <c r="H34" s="18">
        <v>48.518499999999996</v>
      </c>
      <c r="I34" s="18">
        <v>162.4315</v>
      </c>
      <c r="J34" s="18">
        <v>500</v>
      </c>
      <c r="K34" s="18">
        <v>50</v>
      </c>
      <c r="L34" s="18">
        <v>450</v>
      </c>
      <c r="M34" s="18">
        <v>24.553990349999999</v>
      </c>
      <c r="N34" s="18">
        <v>12.276995175</v>
      </c>
      <c r="O34" s="18">
        <v>12.276995175</v>
      </c>
      <c r="P34" s="18"/>
      <c r="Q34" s="18"/>
      <c r="R34" s="18"/>
      <c r="S34" s="18"/>
      <c r="T34" s="18">
        <v>0</v>
      </c>
      <c r="U34" s="18" t="e">
        <v>#REF!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275</v>
      </c>
      <c r="AC34" s="18">
        <v>0</v>
      </c>
      <c r="AD34" s="18">
        <v>0</v>
      </c>
      <c r="AE34" s="18">
        <v>0</v>
      </c>
      <c r="AF34" s="18"/>
      <c r="AG34" s="18"/>
      <c r="AH34" s="18"/>
      <c r="AI34" s="18">
        <v>0</v>
      </c>
      <c r="AJ34" s="18">
        <v>165</v>
      </c>
      <c r="AK34" s="18">
        <v>65</v>
      </c>
      <c r="AL34" s="18">
        <v>100</v>
      </c>
      <c r="AM34" s="18">
        <v>90.566666666666663</v>
      </c>
      <c r="AN34" s="18">
        <v>23.9</v>
      </c>
      <c r="AO34" s="18">
        <v>66.666666666666657</v>
      </c>
      <c r="AP34" s="18">
        <v>980.31</v>
      </c>
      <c r="AQ34" s="18">
        <v>230.37199999999996</v>
      </c>
      <c r="AR34" s="18">
        <v>769.84644720496897</v>
      </c>
      <c r="AS34" s="18">
        <v>29.93</v>
      </c>
      <c r="AT34" s="18">
        <v>4.4894999999999996</v>
      </c>
      <c r="AU34" s="18">
        <v>25.4405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138.88888888888889</v>
      </c>
      <c r="BD34" s="18">
        <v>96.56</v>
      </c>
      <c r="BE34" s="18">
        <v>42.328888888888883</v>
      </c>
      <c r="BF34" s="18">
        <v>166.66666666666666</v>
      </c>
      <c r="BG34" s="18" t="s">
        <v>110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 t="s">
        <v>111</v>
      </c>
      <c r="BN34" s="18" t="s">
        <v>111</v>
      </c>
    </row>
    <row r="35" spans="1:66" x14ac:dyDescent="0.25">
      <c r="A35" s="17">
        <v>29</v>
      </c>
      <c r="B35" s="16" t="str">
        <f>VLOOKUP(A35,[1]salario!$A$3:$C$195,3,0)</f>
        <v>Colaborador 29</v>
      </c>
      <c r="C35" s="18">
        <v>3652.6</v>
      </c>
      <c r="D35" s="18">
        <v>0</v>
      </c>
      <c r="E35" s="18">
        <v>0</v>
      </c>
      <c r="F35" s="18">
        <v>0</v>
      </c>
      <c r="G35" s="18">
        <v>126.57</v>
      </c>
      <c r="H35" s="18">
        <v>8.8598999999999997</v>
      </c>
      <c r="I35" s="18">
        <v>117.7101</v>
      </c>
      <c r="J35" s="18">
        <v>550</v>
      </c>
      <c r="K35" s="18">
        <v>11</v>
      </c>
      <c r="L35" s="18">
        <v>539</v>
      </c>
      <c r="M35" s="18">
        <v>11.670057</v>
      </c>
      <c r="N35" s="18">
        <v>5.8350285</v>
      </c>
      <c r="O35" s="18">
        <v>5.8350285</v>
      </c>
      <c r="P35" s="18"/>
      <c r="Q35" s="18"/>
      <c r="R35" s="18"/>
      <c r="S35" s="18"/>
      <c r="T35" s="18">
        <v>0</v>
      </c>
      <c r="U35" s="18" t="e">
        <v>#REF!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275</v>
      </c>
      <c r="AC35" s="18">
        <v>0</v>
      </c>
      <c r="AD35" s="18">
        <v>0</v>
      </c>
      <c r="AE35" s="18">
        <v>0</v>
      </c>
      <c r="AF35" s="18"/>
      <c r="AG35" s="18"/>
      <c r="AH35" s="18"/>
      <c r="AI35" s="18">
        <v>0</v>
      </c>
      <c r="AJ35" s="18">
        <v>165</v>
      </c>
      <c r="AK35" s="18">
        <v>65</v>
      </c>
      <c r="AL35" s="18">
        <v>100</v>
      </c>
      <c r="AM35" s="18">
        <v>90.566666666666663</v>
      </c>
      <c r="AN35" s="18">
        <v>23.9</v>
      </c>
      <c r="AO35" s="18">
        <v>66.666666666666657</v>
      </c>
      <c r="AP35" s="18">
        <v>927.29</v>
      </c>
      <c r="AQ35" s="18">
        <v>154.86099999999999</v>
      </c>
      <c r="AR35" s="18">
        <v>792.33744720496895</v>
      </c>
      <c r="AS35" s="18">
        <v>29.93</v>
      </c>
      <c r="AT35" s="18">
        <v>4.4894999999999996</v>
      </c>
      <c r="AU35" s="18">
        <v>25.4405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138.88888888888889</v>
      </c>
      <c r="BD35" s="18">
        <v>96.56</v>
      </c>
      <c r="BE35" s="18">
        <v>42.328888888888883</v>
      </c>
      <c r="BF35" s="18">
        <v>166.66666666666666</v>
      </c>
      <c r="BG35" s="18" t="s">
        <v>110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 t="s">
        <v>111</v>
      </c>
      <c r="BN35" s="18" t="s">
        <v>111</v>
      </c>
    </row>
    <row r="36" spans="1:66" x14ac:dyDescent="0.25">
      <c r="A36" s="17">
        <v>30</v>
      </c>
      <c r="B36" s="16" t="str">
        <f>VLOOKUP(A36,[1]salario!$A$3:$C$195,3,0)</f>
        <v>Colaborador 30</v>
      </c>
      <c r="C36" s="18">
        <v>7943.86</v>
      </c>
      <c r="D36" s="18">
        <v>0</v>
      </c>
      <c r="E36" s="18">
        <v>0</v>
      </c>
      <c r="F36" s="18">
        <v>0</v>
      </c>
      <c r="G36" s="18">
        <v>210.95</v>
      </c>
      <c r="H36" s="18">
        <v>48.518499999999996</v>
      </c>
      <c r="I36" s="18">
        <v>162.4315</v>
      </c>
      <c r="J36" s="18">
        <v>500</v>
      </c>
      <c r="K36" s="18">
        <v>50</v>
      </c>
      <c r="L36" s="18">
        <v>450</v>
      </c>
      <c r="M36" s="18">
        <v>25.3806327</v>
      </c>
      <c r="N36" s="18">
        <v>12.69031635</v>
      </c>
      <c r="O36" s="18">
        <v>12.69031635</v>
      </c>
      <c r="P36" s="18"/>
      <c r="Q36" s="18"/>
      <c r="R36" s="18"/>
      <c r="S36" s="18"/>
      <c r="T36" s="18">
        <v>0</v>
      </c>
      <c r="U36" s="18" t="e">
        <v>#REF!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275</v>
      </c>
      <c r="AC36" s="18">
        <v>0</v>
      </c>
      <c r="AD36" s="18">
        <v>0</v>
      </c>
      <c r="AE36" s="18">
        <v>0</v>
      </c>
      <c r="AF36" s="18"/>
      <c r="AG36" s="18"/>
      <c r="AH36" s="18"/>
      <c r="AI36" s="18">
        <v>0</v>
      </c>
      <c r="AJ36" s="18">
        <v>165</v>
      </c>
      <c r="AK36" s="18">
        <v>65</v>
      </c>
      <c r="AL36" s="18">
        <v>100</v>
      </c>
      <c r="AM36" s="18">
        <v>90.566666666666663</v>
      </c>
      <c r="AN36" s="18">
        <v>23.9</v>
      </c>
      <c r="AO36" s="18">
        <v>66.666666666666657</v>
      </c>
      <c r="AP36" s="18">
        <v>789.72</v>
      </c>
      <c r="AQ36" s="18">
        <v>131.87950000000012</v>
      </c>
      <c r="AR36" s="18">
        <v>677.74894720496889</v>
      </c>
      <c r="AS36" s="18">
        <v>29.93</v>
      </c>
      <c r="AT36" s="18">
        <v>4.4894999999999996</v>
      </c>
      <c r="AU36" s="18">
        <v>25.4405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138.88888888888889</v>
      </c>
      <c r="BD36" s="18">
        <v>96.56</v>
      </c>
      <c r="BE36" s="18">
        <v>42.328888888888883</v>
      </c>
      <c r="BF36" s="18">
        <v>166.66666666666666</v>
      </c>
      <c r="BG36" s="18" t="s">
        <v>110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 t="s">
        <v>111</v>
      </c>
      <c r="BN36" s="18" t="s">
        <v>111</v>
      </c>
    </row>
    <row r="37" spans="1:66" x14ac:dyDescent="0.25">
      <c r="A37" s="19"/>
      <c r="B37" s="20" t="s">
        <v>109</v>
      </c>
      <c r="C37" s="18">
        <v>146612.78</v>
      </c>
      <c r="D37" s="18">
        <v>24839.42</v>
      </c>
      <c r="E37" s="18">
        <v>4941.7666837301822</v>
      </c>
      <c r="F37" s="18">
        <v>19897.653316269818</v>
      </c>
      <c r="G37" s="18">
        <v>4514.3300000000008</v>
      </c>
      <c r="H37" s="18">
        <v>640.02230000000009</v>
      </c>
      <c r="I37" s="18">
        <v>3874.3076999999989</v>
      </c>
      <c r="J37" s="18">
        <v>15150</v>
      </c>
      <c r="K37" s="18">
        <v>805</v>
      </c>
      <c r="L37" s="18">
        <v>14345</v>
      </c>
      <c r="M37" s="18">
        <v>468.42783209999993</v>
      </c>
      <c r="N37" s="18">
        <v>234.21391604999997</v>
      </c>
      <c r="O37" s="18">
        <v>234.21391604999997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 t="e">
        <v>#REF!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8250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3300</v>
      </c>
      <c r="AK37" s="18">
        <v>1300</v>
      </c>
      <c r="AL37" s="18">
        <v>2000</v>
      </c>
      <c r="AM37" s="18">
        <v>2716.9999999999986</v>
      </c>
      <c r="AN37" s="18">
        <v>716.99999999999966</v>
      </c>
      <c r="AO37" s="18">
        <v>2000.0000000000007</v>
      </c>
      <c r="AP37" s="18">
        <v>23828.040000000005</v>
      </c>
      <c r="AQ37" s="18">
        <v>4314.8489999999993</v>
      </c>
      <c r="AR37" s="18">
        <v>20110.444416149065</v>
      </c>
      <c r="AS37" s="18">
        <v>897.89999999999941</v>
      </c>
      <c r="AT37" s="18">
        <v>122.71299999999994</v>
      </c>
      <c r="AU37" s="18">
        <v>775.1869999999999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10500</v>
      </c>
      <c r="BD37" s="18">
        <v>2896.7999999999988</v>
      </c>
      <c r="BE37" s="18">
        <v>7603.1999999999953</v>
      </c>
      <c r="BF37" s="18">
        <v>5000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</row>
  </sheetData>
  <autoFilter ref="A6:BO6" xr:uid="{7332B7FF-360C-4AB4-B43F-594CD951AFB7}"/>
  <mergeCells count="15">
    <mergeCell ref="V5:X5"/>
    <mergeCell ref="D5:F5"/>
    <mergeCell ref="G5:I5"/>
    <mergeCell ref="J5:L5"/>
    <mergeCell ref="M5:O5"/>
    <mergeCell ref="P5:R5"/>
    <mergeCell ref="BC5:BE5"/>
    <mergeCell ref="BH5:BJ5"/>
    <mergeCell ref="BK5:BL5"/>
    <mergeCell ref="AF5:AH5"/>
    <mergeCell ref="AJ5:AL5"/>
    <mergeCell ref="AM5:AO5"/>
    <mergeCell ref="AP5:AR5"/>
    <mergeCell ref="AS5:AU5"/>
    <mergeCell ref="AZ5:BB5"/>
  </mergeCells>
  <pageMargins left="1" right="1" top="1" bottom="1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4934-D8D1-4995-BE30-D7EBFD6EAE66}">
  <dimension ref="B1:S666"/>
  <sheetViews>
    <sheetView workbookViewId="0">
      <selection activeCell="D4" sqref="D4"/>
    </sheetView>
  </sheetViews>
  <sheetFormatPr defaultRowHeight="15" x14ac:dyDescent="0.25"/>
  <cols>
    <col min="1" max="1" width="2.5703125" customWidth="1"/>
    <col min="2" max="2" width="9.5703125" bestFit="1" customWidth="1"/>
    <col min="3" max="3" width="51.140625" bestFit="1" customWidth="1"/>
    <col min="4" max="4" width="13.140625" bestFit="1" customWidth="1"/>
    <col min="5" max="5" width="16.140625" style="4" bestFit="1" customWidth="1"/>
    <col min="6" max="6" width="13.85546875" bestFit="1" customWidth="1"/>
    <col min="7" max="7" width="15.28515625" bestFit="1" customWidth="1"/>
    <col min="8" max="8" width="9.42578125" bestFit="1" customWidth="1"/>
    <col min="9" max="9" width="10.7109375" bestFit="1" customWidth="1"/>
    <col min="10" max="10" width="16.28515625" bestFit="1" customWidth="1"/>
    <col min="11" max="11" width="23" bestFit="1" customWidth="1"/>
    <col min="12" max="12" width="11.140625" bestFit="1" customWidth="1"/>
    <col min="13" max="13" width="18.42578125" bestFit="1" customWidth="1"/>
    <col min="14" max="14" width="13.42578125" bestFit="1" customWidth="1"/>
    <col min="15" max="15" width="21.140625" bestFit="1" customWidth="1"/>
    <col min="16" max="16" width="21.5703125" bestFit="1" customWidth="1"/>
    <col min="17" max="17" width="14.140625" customWidth="1"/>
    <col min="18" max="18" width="10" bestFit="1" customWidth="1"/>
    <col min="19" max="19" width="16.42578125" customWidth="1"/>
  </cols>
  <sheetData>
    <row r="1" spans="2:19" x14ac:dyDescent="0.25">
      <c r="D1" s="6">
        <f t="shared" ref="D1:P1" si="0">SUBTOTAL(9,D4:D645)</f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>SUBTOTAL(9,Q4:Q645)</f>
        <v>0</v>
      </c>
      <c r="R1" s="6">
        <f>SUBTOTAL(9,R4:R645)</f>
        <v>0</v>
      </c>
      <c r="S1" s="6">
        <f>SUBTOTAL(9,S4:S645)</f>
        <v>0</v>
      </c>
    </row>
    <row r="2" spans="2:1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2:19" ht="31.5" x14ac:dyDescent="0.25">
      <c r="B3" s="2" t="s">
        <v>60</v>
      </c>
      <c r="C3" s="2" t="s">
        <v>58</v>
      </c>
      <c r="D3" s="2" t="s">
        <v>63</v>
      </c>
      <c r="E3" s="2" t="s">
        <v>61</v>
      </c>
      <c r="F3" s="2" t="s">
        <v>64</v>
      </c>
      <c r="G3" s="2" t="s">
        <v>82</v>
      </c>
      <c r="H3" s="2" t="s">
        <v>65</v>
      </c>
      <c r="I3" s="2" t="s">
        <v>66</v>
      </c>
      <c r="J3" s="2" t="s">
        <v>68</v>
      </c>
      <c r="K3" s="2" t="s">
        <v>70</v>
      </c>
      <c r="L3" s="2" t="s">
        <v>71</v>
      </c>
      <c r="M3" s="2" t="s">
        <v>81</v>
      </c>
      <c r="N3" s="2" t="s">
        <v>72</v>
      </c>
      <c r="O3" s="2" t="s">
        <v>73</v>
      </c>
      <c r="P3" s="2" t="s">
        <v>74</v>
      </c>
      <c r="Q3" s="2" t="s">
        <v>55</v>
      </c>
      <c r="R3" s="2" t="s">
        <v>90</v>
      </c>
      <c r="S3" s="2" t="s">
        <v>92</v>
      </c>
    </row>
    <row r="4" spans="2:19" x14ac:dyDescent="0.25">
      <c r="B4" s="7">
        <f>[1]salario!A3</f>
        <v>1</v>
      </c>
      <c r="C4" s="8" t="str">
        <f>[1]salario!C3</f>
        <v>Colaborador 1</v>
      </c>
      <c r="D4" s="10">
        <f>IFERROR(VLOOKUP(B4,cubo!$A$6:$BE$37,6,0)-VLOOKUP(B4,#REF!,$D$2,0),0)</f>
        <v>0</v>
      </c>
      <c r="E4" s="10">
        <f>IFERROR(VLOOKUP(B4,cubo!$A$6:$BE$37,9,0)-VLOOKUP(B4,#REF!,$E$2,0),0)</f>
        <v>0</v>
      </c>
      <c r="F4" s="9">
        <f>IFERROR(VLOOKUP(B4,cubo!$A$6:$BE$37,12,0)-VLOOKUP(B4,#REF!,$F$2,0),0)</f>
        <v>0</v>
      </c>
      <c r="G4" s="9">
        <f>IFERROR(VLOOKUP(B4,cubo!$A$6:$BE$37,54,0)-VLOOKUP(B4,#REF!,$G$2,0),0)</f>
        <v>0</v>
      </c>
      <c r="H4" s="10">
        <f>IFERROR(VLOOKUP(B4,cubo!$A$6:$BE$37,15,0)-VLOOKUP(B4,#REF!,$H$2,0),0)</f>
        <v>0</v>
      </c>
      <c r="I4" s="9">
        <f>IFERROR(VLOOKUP(B4,cubo!$A$6:$BE$37,18,0)-VLOOKUP(B4,#REF!,$I$2,0),0)</f>
        <v>0</v>
      </c>
      <c r="J4" s="9">
        <f>IFERROR(VLOOKUP(B4,cubo!$A$6:$BE$37,24,0)-VLOOKUP(B4,#REF!,$J$2,0),0)</f>
        <v>0</v>
      </c>
      <c r="K4" s="9">
        <f>IFERROR(VLOOKUP(B4,cubo!$A$6:$BE$37,34,0)-VLOOKUP(B4,#REF!,$K$2,0),0)</f>
        <v>0</v>
      </c>
      <c r="L4" s="8">
        <f>IFERROR(VLOOKUP(B4,cubo!$A$6:$BE$37,38,0)-VLOOKUP(B4,#REF!,$L$2,0),0)</f>
        <v>0</v>
      </c>
      <c r="M4" s="15">
        <f>IFERROR(VLOOKUP(B4,cubo!$A$6:$BE$37,57,0)-VLOOKUP(B4,#REF!,$M$2,0),0)</f>
        <v>0</v>
      </c>
      <c r="N4" s="9">
        <f>IFERROR(VLOOKUP(B4,cubo!$A$6:$BK$37,41,0)-VLOOKUP(conciliacao_custos!B4,#REF!,18,0),0)</f>
        <v>0</v>
      </c>
      <c r="O4" s="9">
        <f>IFERROR(VLOOKUP(B4,cubo!$A$6:$BK$37,44,0)-VLOOKUP(conciliacao_custos!B4,#REF!,13,0),0)</f>
        <v>0</v>
      </c>
      <c r="P4" s="9">
        <f>IFERROR(VLOOKUP(B4,cubo!$A$6:$BK$37,47,0)-VLOOKUP(conciliacao_custos!B4,#REF!,14,0),0)</f>
        <v>0</v>
      </c>
      <c r="Q4" s="9">
        <f>IFERROR(VLOOKUP(B4,cubo!$A$6:$BK$37,58,0)-VLOOKUP(conciliacao_custos!B4,#REF!,16,0),0)</f>
        <v>0</v>
      </c>
      <c r="R4" s="9">
        <f>IFERROR(VLOOKUP(B4,cubo!$A$6:$BK$37,64,0)-VLOOKUP(conciliacao_custos!B4,#REF!,17,0),0)</f>
        <v>0</v>
      </c>
      <c r="S4" s="9">
        <f>IFERROR(VLOOKUP(B4,cubo!$A$6:$BK$37,61,0)-VLOOKUP(conciliacao_custos!B4,#REF!,15,0),0)</f>
        <v>0</v>
      </c>
    </row>
    <row r="5" spans="2:19" x14ac:dyDescent="0.25">
      <c r="B5" s="7">
        <f>[1]salario!A4</f>
        <v>2</v>
      </c>
      <c r="C5" s="8" t="str">
        <f>[1]salario!C4</f>
        <v>Colaborador 2</v>
      </c>
      <c r="D5" s="10">
        <f>IFERROR(VLOOKUP(B5,cubo!$A$6:$BE$37,6,0)-VLOOKUP(B5,#REF!,$D$2,0),0)</f>
        <v>0</v>
      </c>
      <c r="E5" s="10">
        <f>IFERROR(VLOOKUP(B5,cubo!$A$6:$BE$37,9,0)-VLOOKUP(B5,#REF!,$E$2,0),0)</f>
        <v>0</v>
      </c>
      <c r="F5" s="9">
        <f>IFERROR(VLOOKUP(B5,cubo!$A$6:$BE$37,12,0)-VLOOKUP(B5,#REF!,$F$2,0),0)</f>
        <v>0</v>
      </c>
      <c r="G5" s="9">
        <f>IFERROR(VLOOKUP(B5,cubo!$A$6:$BE$37,54,0)-VLOOKUP(B5,#REF!,$G$2,0),0)</f>
        <v>0</v>
      </c>
      <c r="H5" s="10">
        <f>IFERROR(VLOOKUP(B5,cubo!$A$6:$BE$37,15,0)-VLOOKUP(B5,#REF!,$H$2,0),0)</f>
        <v>0</v>
      </c>
      <c r="I5" s="9">
        <f>IFERROR(VLOOKUP(B5,cubo!$A$6:$BE$37,18,0)-VLOOKUP(B5,#REF!,$I$2,0),0)</f>
        <v>0</v>
      </c>
      <c r="J5" s="9">
        <f>IFERROR(VLOOKUP(B5,cubo!$A$6:$BE$37,24,0)-VLOOKUP(B5,#REF!,$J$2,0),0)</f>
        <v>0</v>
      </c>
      <c r="K5" s="9">
        <f>IFERROR(VLOOKUP(B5,cubo!$A$6:$BE$37,34,0)-VLOOKUP(B5,#REF!,$K$2,0),0)</f>
        <v>0</v>
      </c>
      <c r="L5" s="8">
        <f>IFERROR(VLOOKUP(B5,cubo!$A$6:$BE$37,38,0)-VLOOKUP(B5,#REF!,$L$2,0),0)</f>
        <v>0</v>
      </c>
      <c r="M5" s="15">
        <f>IFERROR(VLOOKUP(B5,cubo!$A$6:$BE$37,57,0)-VLOOKUP(B5,#REF!,$M$2,0),0)</f>
        <v>0</v>
      </c>
      <c r="N5" s="9">
        <f>IFERROR(VLOOKUP(B5,cubo!$A$6:$BK$37,41,0)-VLOOKUP(conciliacao_custos!B5,#REF!,18,0),0)</f>
        <v>0</v>
      </c>
      <c r="O5" s="9">
        <f>IFERROR(VLOOKUP(B5,cubo!$A$6:$BK$37,44,0)-VLOOKUP(conciliacao_custos!B5,#REF!,13,0),0)</f>
        <v>0</v>
      </c>
      <c r="P5" s="9">
        <f>IFERROR(VLOOKUP(B5,cubo!$A$6:$BK$37,47,0)-VLOOKUP(conciliacao_custos!B5,#REF!,14,0),0)</f>
        <v>0</v>
      </c>
      <c r="Q5" s="9">
        <f>IFERROR(VLOOKUP(B5,cubo!$A$6:$BK$37,58,0)-VLOOKUP(conciliacao_custos!B5,#REF!,16,0),0)</f>
        <v>0</v>
      </c>
      <c r="R5" s="9">
        <f>IFERROR(VLOOKUP(B5,cubo!$A$6:$BK$37,64,0)-VLOOKUP(conciliacao_custos!B5,#REF!,17,0),0)</f>
        <v>0</v>
      </c>
      <c r="S5" s="9">
        <f>IFERROR(VLOOKUP(B5,cubo!$A$6:$BK$37,61,0)-VLOOKUP(conciliacao_custos!B5,#REF!,15,0),0)</f>
        <v>0</v>
      </c>
    </row>
    <row r="6" spans="2:19" x14ac:dyDescent="0.25">
      <c r="B6" s="7">
        <f>[1]salario!A5</f>
        <v>3</v>
      </c>
      <c r="C6" s="8" t="str">
        <f>[1]salario!C5</f>
        <v>Colaborador 3</v>
      </c>
      <c r="D6" s="10">
        <f>IFERROR(VLOOKUP(B6,cubo!$A$6:$BE$37,6,0)-VLOOKUP(B6,#REF!,$D$2,0),0)</f>
        <v>0</v>
      </c>
      <c r="E6" s="10">
        <f>IFERROR(VLOOKUP(B6,cubo!$A$6:$BE$37,9,0)-VLOOKUP(B6,#REF!,$E$2,0),0)</f>
        <v>0</v>
      </c>
      <c r="F6" s="9">
        <f>IFERROR(VLOOKUP(B6,cubo!$A$6:$BE$37,12,0)-VLOOKUP(B6,#REF!,$F$2,0),0)</f>
        <v>0</v>
      </c>
      <c r="G6" s="9">
        <f>IFERROR(VLOOKUP(B6,cubo!$A$6:$BE$37,54,0)-VLOOKUP(B6,#REF!,$G$2,0),0)</f>
        <v>0</v>
      </c>
      <c r="H6" s="10">
        <f>IFERROR(VLOOKUP(B6,cubo!$A$6:$BE$37,15,0)-VLOOKUP(B6,#REF!,$H$2,0),0)</f>
        <v>0</v>
      </c>
      <c r="I6" s="9">
        <f>IFERROR(VLOOKUP(B6,cubo!$A$6:$BE$37,18,0)-VLOOKUP(B6,#REF!,$I$2,0),0)</f>
        <v>0</v>
      </c>
      <c r="J6" s="9">
        <f>IFERROR(VLOOKUP(B6,cubo!$A$6:$BE$37,24,0)-VLOOKUP(B6,#REF!,$J$2,0),0)</f>
        <v>0</v>
      </c>
      <c r="K6" s="9">
        <f>IFERROR(VLOOKUP(B6,cubo!$A$6:$BE$37,34,0)-VLOOKUP(B6,#REF!,$K$2,0),0)</f>
        <v>0</v>
      </c>
      <c r="L6" s="8">
        <f>IFERROR(VLOOKUP(B6,cubo!$A$6:$BE$37,38,0)-VLOOKUP(B6,#REF!,$L$2,0),0)</f>
        <v>0</v>
      </c>
      <c r="M6" s="15">
        <f>IFERROR(VLOOKUP(B6,cubo!$A$6:$BE$37,57,0)-VLOOKUP(B6,#REF!,$M$2,0),0)</f>
        <v>0</v>
      </c>
      <c r="N6" s="9">
        <f>IFERROR(VLOOKUP(B6,cubo!$A$6:$BK$37,41,0)-VLOOKUP(conciliacao_custos!B6,#REF!,18,0),0)</f>
        <v>0</v>
      </c>
      <c r="O6" s="9">
        <f>IFERROR(VLOOKUP(B6,cubo!$A$6:$BK$37,44,0)-VLOOKUP(conciliacao_custos!B6,#REF!,13,0),0)</f>
        <v>0</v>
      </c>
      <c r="P6" s="9">
        <f>IFERROR(VLOOKUP(B6,cubo!$A$6:$BK$37,47,0)-VLOOKUP(conciliacao_custos!B6,#REF!,14,0),0)</f>
        <v>0</v>
      </c>
      <c r="Q6" s="9">
        <f>IFERROR(VLOOKUP(B6,cubo!$A$6:$BK$37,58,0)-VLOOKUP(conciliacao_custos!B6,#REF!,16,0),0)</f>
        <v>0</v>
      </c>
      <c r="R6" s="9">
        <f>IFERROR(VLOOKUP(B6,cubo!$A$6:$BK$37,64,0)-VLOOKUP(conciliacao_custos!B6,#REF!,17,0),0)</f>
        <v>0</v>
      </c>
      <c r="S6" s="9">
        <f>IFERROR(VLOOKUP(B6,cubo!$A$6:$BK$37,61,0)-VLOOKUP(conciliacao_custos!B6,#REF!,15,0),0)</f>
        <v>0</v>
      </c>
    </row>
    <row r="7" spans="2:19" x14ac:dyDescent="0.25">
      <c r="B7" s="7">
        <f>[1]salario!A6</f>
        <v>4</v>
      </c>
      <c r="C7" s="8" t="str">
        <f>[1]salario!C6</f>
        <v>Colaborador 4</v>
      </c>
      <c r="D7" s="10">
        <f>IFERROR(VLOOKUP(B7,cubo!$A$6:$BE$37,6,0)-VLOOKUP(B7,#REF!,$D$2,0),0)</f>
        <v>0</v>
      </c>
      <c r="E7" s="10">
        <f>IFERROR(VLOOKUP(B7,cubo!$A$6:$BE$37,9,0)-VLOOKUP(B7,#REF!,$E$2,0),0)</f>
        <v>0</v>
      </c>
      <c r="F7" s="9">
        <f>IFERROR(VLOOKUP(B7,cubo!$A$6:$BE$37,12,0)-VLOOKUP(B7,#REF!,$F$2,0),0)</f>
        <v>0</v>
      </c>
      <c r="G7" s="9">
        <f>IFERROR(VLOOKUP(B7,cubo!$A$6:$BE$37,54,0)-VLOOKUP(B7,#REF!,$G$2,0),0)</f>
        <v>0</v>
      </c>
      <c r="H7" s="10">
        <f>IFERROR(VLOOKUP(B7,cubo!$A$6:$BE$37,15,0)-VLOOKUP(B7,#REF!,$H$2,0),0)</f>
        <v>0</v>
      </c>
      <c r="I7" s="9">
        <f>IFERROR(VLOOKUP(B7,cubo!$A$6:$BE$37,18,0)-VLOOKUP(B7,#REF!,$I$2,0),0)</f>
        <v>0</v>
      </c>
      <c r="J7" s="9">
        <f>IFERROR(VLOOKUP(B7,cubo!$A$6:$BE$37,24,0)-VLOOKUP(B7,#REF!,$J$2,0),0)</f>
        <v>0</v>
      </c>
      <c r="K7" s="9">
        <f>IFERROR(VLOOKUP(B7,cubo!$A$6:$BE$37,34,0)-VLOOKUP(B7,#REF!,$K$2,0),0)</f>
        <v>0</v>
      </c>
      <c r="L7" s="8">
        <f>IFERROR(VLOOKUP(B7,cubo!$A$6:$BE$37,38,0)-VLOOKUP(B7,#REF!,$L$2,0),0)</f>
        <v>0</v>
      </c>
      <c r="M7" s="15">
        <f>IFERROR(VLOOKUP(B7,cubo!$A$6:$BE$37,57,0)-VLOOKUP(B7,#REF!,$M$2,0),0)</f>
        <v>0</v>
      </c>
      <c r="N7" s="9">
        <f>IFERROR(VLOOKUP(B7,cubo!$A$6:$BK$37,41,0)-VLOOKUP(conciliacao_custos!B7,#REF!,18,0),0)</f>
        <v>0</v>
      </c>
      <c r="O7" s="9">
        <f>IFERROR(VLOOKUP(B7,cubo!$A$6:$BK$37,44,0)-VLOOKUP(conciliacao_custos!B7,#REF!,13,0),0)</f>
        <v>0</v>
      </c>
      <c r="P7" s="9">
        <f>IFERROR(VLOOKUP(B7,cubo!$A$6:$BK$37,47,0)-VLOOKUP(conciliacao_custos!B7,#REF!,14,0),0)</f>
        <v>0</v>
      </c>
      <c r="Q7" s="9">
        <f>IFERROR(VLOOKUP(B7,cubo!$A$6:$BK$37,58,0)-VLOOKUP(conciliacao_custos!B7,#REF!,16,0),0)</f>
        <v>0</v>
      </c>
      <c r="R7" s="9">
        <f>IFERROR(VLOOKUP(B7,cubo!$A$6:$BK$37,64,0)-VLOOKUP(conciliacao_custos!B7,#REF!,17,0),0)</f>
        <v>0</v>
      </c>
      <c r="S7" s="9">
        <f>IFERROR(VLOOKUP(B7,cubo!$A$6:$BK$37,61,0)-VLOOKUP(conciliacao_custos!B7,#REF!,15,0),0)</f>
        <v>0</v>
      </c>
    </row>
    <row r="8" spans="2:19" x14ac:dyDescent="0.25">
      <c r="B8" s="7">
        <f>[1]salario!A7</f>
        <v>5</v>
      </c>
      <c r="C8" s="8" t="str">
        <f>[1]salario!C7</f>
        <v>Colaborador 5</v>
      </c>
      <c r="D8" s="10">
        <f>IFERROR(VLOOKUP(B8,cubo!$A$6:$BE$37,6,0)-VLOOKUP(B8,#REF!,$D$2,0),0)</f>
        <v>0</v>
      </c>
      <c r="E8" s="10">
        <f>IFERROR(VLOOKUP(B8,cubo!$A$6:$BE$37,9,0)-VLOOKUP(B8,#REF!,$E$2,0),0)</f>
        <v>0</v>
      </c>
      <c r="F8" s="9">
        <f>IFERROR(VLOOKUP(B8,cubo!$A$6:$BE$37,12,0)-VLOOKUP(B8,#REF!,$F$2,0),0)</f>
        <v>0</v>
      </c>
      <c r="G8" s="9">
        <f>IFERROR(VLOOKUP(B8,cubo!$A$6:$BE$37,54,0)-VLOOKUP(B8,#REF!,$G$2,0),0)</f>
        <v>0</v>
      </c>
      <c r="H8" s="10">
        <f>IFERROR(VLOOKUP(B8,cubo!$A$6:$BE$37,15,0)-VLOOKUP(B8,#REF!,$H$2,0),0)</f>
        <v>0</v>
      </c>
      <c r="I8" s="9">
        <f>IFERROR(VLOOKUP(B8,cubo!$A$6:$BE$37,18,0)-VLOOKUP(B8,#REF!,$I$2,0),0)</f>
        <v>0</v>
      </c>
      <c r="J8" s="9">
        <f>IFERROR(VLOOKUP(B8,cubo!$A$6:$BE$37,24,0)-VLOOKUP(B8,#REF!,$J$2,0),0)</f>
        <v>0</v>
      </c>
      <c r="K8" s="9">
        <f>IFERROR(VLOOKUP(B8,cubo!$A$6:$BE$37,34,0)-VLOOKUP(B8,#REF!,$K$2,0),0)</f>
        <v>0</v>
      </c>
      <c r="L8" s="8">
        <f>IFERROR(VLOOKUP(B8,cubo!$A$6:$BE$37,38,0)-VLOOKUP(B8,#REF!,$L$2,0),0)</f>
        <v>0</v>
      </c>
      <c r="M8" s="15">
        <f>IFERROR(VLOOKUP(B8,cubo!$A$6:$BE$37,57,0)-VLOOKUP(B8,#REF!,$M$2,0),0)</f>
        <v>0</v>
      </c>
      <c r="N8" s="9">
        <f>IFERROR(VLOOKUP(B8,cubo!$A$6:$BK$37,41,0)-VLOOKUP(conciliacao_custos!B8,#REF!,18,0),0)</f>
        <v>0</v>
      </c>
      <c r="O8" s="9">
        <f>IFERROR(VLOOKUP(B8,cubo!$A$6:$BK$37,44,0)-VLOOKUP(conciliacao_custos!B8,#REF!,13,0),0)</f>
        <v>0</v>
      </c>
      <c r="P8" s="9">
        <f>IFERROR(VLOOKUP(B8,cubo!$A$6:$BK$37,47,0)-VLOOKUP(conciliacao_custos!B8,#REF!,14,0),0)</f>
        <v>0</v>
      </c>
      <c r="Q8" s="9">
        <f>IFERROR(VLOOKUP(B8,cubo!$A$6:$BK$37,58,0)-VLOOKUP(conciliacao_custos!B8,#REF!,16,0),0)</f>
        <v>0</v>
      </c>
      <c r="R8" s="9">
        <f>IFERROR(VLOOKUP(B8,cubo!$A$6:$BK$37,64,0)-VLOOKUP(conciliacao_custos!B8,#REF!,17,0),0)</f>
        <v>0</v>
      </c>
      <c r="S8" s="9">
        <f>IFERROR(VLOOKUP(B8,cubo!$A$6:$BK$37,61,0)-VLOOKUP(conciliacao_custos!B8,#REF!,15,0),0)</f>
        <v>0</v>
      </c>
    </row>
    <row r="9" spans="2:19" x14ac:dyDescent="0.25">
      <c r="B9" s="7">
        <f>[1]salario!A8</f>
        <v>6</v>
      </c>
      <c r="C9" s="8" t="str">
        <f>[1]salario!C8</f>
        <v>Colaborador 6</v>
      </c>
      <c r="D9" s="10">
        <f>IFERROR(VLOOKUP(B9,cubo!$A$6:$BE$37,6,0)-VLOOKUP(B9,#REF!,$D$2,0),0)</f>
        <v>0</v>
      </c>
      <c r="E9" s="10">
        <f>IFERROR(VLOOKUP(B9,cubo!$A$6:$BE$37,9,0)-VLOOKUP(B9,#REF!,$E$2,0),0)</f>
        <v>0</v>
      </c>
      <c r="F9" s="9">
        <f>IFERROR(VLOOKUP(B9,cubo!$A$6:$BE$37,12,0)-VLOOKUP(B9,#REF!,$F$2,0),0)</f>
        <v>0</v>
      </c>
      <c r="G9" s="9">
        <f>IFERROR(VLOOKUP(B9,cubo!$A$6:$BE$37,54,0)-VLOOKUP(B9,#REF!,$G$2,0),0)</f>
        <v>0</v>
      </c>
      <c r="H9" s="10">
        <f>IFERROR(VLOOKUP(B9,cubo!$A$6:$BE$37,15,0)-VLOOKUP(B9,#REF!,$H$2,0),0)</f>
        <v>0</v>
      </c>
      <c r="I9" s="9">
        <f>IFERROR(VLOOKUP(B9,cubo!$A$6:$BE$37,18,0)-VLOOKUP(B9,#REF!,$I$2,0),0)</f>
        <v>0</v>
      </c>
      <c r="J9" s="9">
        <f>IFERROR(VLOOKUP(B9,cubo!$A$6:$BE$37,24,0)-VLOOKUP(B9,#REF!,$J$2,0),0)</f>
        <v>0</v>
      </c>
      <c r="K9" s="9">
        <f>IFERROR(VLOOKUP(B9,cubo!$A$6:$BE$37,34,0)-VLOOKUP(B9,#REF!,$K$2,0),0)</f>
        <v>0</v>
      </c>
      <c r="L9" s="8">
        <f>IFERROR(VLOOKUP(B9,cubo!$A$6:$BE$37,38,0)-VLOOKUP(B9,#REF!,$L$2,0),0)</f>
        <v>0</v>
      </c>
      <c r="M9" s="15">
        <f>IFERROR(VLOOKUP(B9,cubo!$A$6:$BE$37,57,0)-VLOOKUP(B9,#REF!,$M$2,0),0)</f>
        <v>0</v>
      </c>
      <c r="N9" s="9">
        <f>IFERROR(VLOOKUP(B9,cubo!$A$6:$BK$37,41,0)-VLOOKUP(conciliacao_custos!B9,#REF!,18,0),0)</f>
        <v>0</v>
      </c>
      <c r="O9" s="9">
        <f>IFERROR(VLOOKUP(B9,cubo!$A$6:$BK$37,44,0)-VLOOKUP(conciliacao_custos!B9,#REF!,13,0),0)</f>
        <v>0</v>
      </c>
      <c r="P9" s="9">
        <f>IFERROR(VLOOKUP(B9,cubo!$A$6:$BK$37,47,0)-VLOOKUP(conciliacao_custos!B9,#REF!,14,0),0)</f>
        <v>0</v>
      </c>
      <c r="Q9" s="9">
        <f>IFERROR(VLOOKUP(B9,cubo!$A$6:$BK$37,58,0)-VLOOKUP(conciliacao_custos!B9,#REF!,16,0),0)</f>
        <v>0</v>
      </c>
      <c r="R9" s="9">
        <f>IFERROR(VLOOKUP(B9,cubo!$A$6:$BK$37,64,0)-VLOOKUP(conciliacao_custos!B9,#REF!,17,0),0)</f>
        <v>0</v>
      </c>
      <c r="S9" s="9">
        <f>IFERROR(VLOOKUP(B9,cubo!$A$6:$BK$37,61,0)-VLOOKUP(conciliacao_custos!B9,#REF!,15,0),0)</f>
        <v>0</v>
      </c>
    </row>
    <row r="10" spans="2:19" x14ac:dyDescent="0.25">
      <c r="B10" s="7">
        <f>[1]salario!A9</f>
        <v>7</v>
      </c>
      <c r="C10" s="8" t="str">
        <f>[1]salario!C9</f>
        <v>Colaborador 7</v>
      </c>
      <c r="D10" s="10">
        <f>IFERROR(VLOOKUP(B10,cubo!$A$6:$BE$37,6,0)-VLOOKUP(B10,#REF!,$D$2,0),0)</f>
        <v>0</v>
      </c>
      <c r="E10" s="10">
        <f>IFERROR(VLOOKUP(B10,cubo!$A$6:$BE$37,9,0)-VLOOKUP(B10,#REF!,$E$2,0),0)</f>
        <v>0</v>
      </c>
      <c r="F10" s="9">
        <f>IFERROR(VLOOKUP(B10,cubo!$A$6:$BE$37,12,0)-VLOOKUP(B10,#REF!,$F$2,0),0)</f>
        <v>0</v>
      </c>
      <c r="G10" s="9">
        <f>IFERROR(VLOOKUP(B10,cubo!$A$6:$BE$37,54,0)-VLOOKUP(B10,#REF!,$G$2,0),0)</f>
        <v>0</v>
      </c>
      <c r="H10" s="10">
        <f>IFERROR(VLOOKUP(B10,cubo!$A$6:$BE$37,15,0)-VLOOKUP(B10,#REF!,$H$2,0),0)</f>
        <v>0</v>
      </c>
      <c r="I10" s="9">
        <f>IFERROR(VLOOKUP(B10,cubo!$A$6:$BE$37,18,0)-VLOOKUP(B10,#REF!,$I$2,0),0)</f>
        <v>0</v>
      </c>
      <c r="J10" s="9">
        <f>IFERROR(VLOOKUP(B10,cubo!$A$6:$BE$37,24,0)-VLOOKUP(B10,#REF!,$J$2,0),0)</f>
        <v>0</v>
      </c>
      <c r="K10" s="9">
        <f>IFERROR(VLOOKUP(B10,cubo!$A$6:$BE$37,34,0)-VLOOKUP(B10,#REF!,$K$2,0),0)</f>
        <v>0</v>
      </c>
      <c r="L10" s="8">
        <f>IFERROR(VLOOKUP(B10,cubo!$A$6:$BE$37,38,0)-VLOOKUP(B10,#REF!,$L$2,0),0)</f>
        <v>0</v>
      </c>
      <c r="M10" s="15">
        <f>IFERROR(VLOOKUP(B10,cubo!$A$6:$BE$37,57,0)-VLOOKUP(B10,#REF!,$M$2,0),0)</f>
        <v>0</v>
      </c>
      <c r="N10" s="9">
        <f>IFERROR(VLOOKUP(B10,cubo!$A$6:$BK$37,41,0)-VLOOKUP(conciliacao_custos!B10,#REF!,18,0),0)</f>
        <v>0</v>
      </c>
      <c r="O10" s="9">
        <f>IFERROR(VLOOKUP(B10,cubo!$A$6:$BK$37,44,0)-VLOOKUP(conciliacao_custos!B10,#REF!,13,0),0)</f>
        <v>0</v>
      </c>
      <c r="P10" s="9">
        <f>IFERROR(VLOOKUP(B10,cubo!$A$6:$BK$37,47,0)-VLOOKUP(conciliacao_custos!B10,#REF!,14,0),0)</f>
        <v>0</v>
      </c>
      <c r="Q10" s="9">
        <f>IFERROR(VLOOKUP(B10,cubo!$A$6:$BK$37,58,0)-VLOOKUP(conciliacao_custos!B10,#REF!,16,0),0)</f>
        <v>0</v>
      </c>
      <c r="R10" s="9">
        <f>IFERROR(VLOOKUP(B10,cubo!$A$6:$BK$37,64,0)-VLOOKUP(conciliacao_custos!B10,#REF!,17,0),0)</f>
        <v>0</v>
      </c>
      <c r="S10" s="9">
        <f>IFERROR(VLOOKUP(B10,cubo!$A$6:$BK$37,61,0)-VLOOKUP(conciliacao_custos!B10,#REF!,15,0),0)</f>
        <v>0</v>
      </c>
    </row>
    <row r="11" spans="2:19" x14ac:dyDescent="0.25">
      <c r="B11" s="7">
        <f>[1]salario!A10</f>
        <v>8</v>
      </c>
      <c r="C11" s="8" t="str">
        <f>[1]salario!C10</f>
        <v>Colaborador 8</v>
      </c>
      <c r="D11" s="10">
        <f>IFERROR(VLOOKUP(B11,cubo!$A$6:$BE$37,6,0)-VLOOKUP(B11,#REF!,$D$2,0),0)</f>
        <v>0</v>
      </c>
      <c r="E11" s="10">
        <f>IFERROR(VLOOKUP(B11,cubo!$A$6:$BE$37,9,0)-VLOOKUP(B11,#REF!,$E$2,0),0)</f>
        <v>0</v>
      </c>
      <c r="F11" s="9">
        <f>IFERROR(VLOOKUP(B11,cubo!$A$6:$BE$37,12,0)-VLOOKUP(B11,#REF!,$F$2,0),0)</f>
        <v>0</v>
      </c>
      <c r="G11" s="9">
        <f>IFERROR(VLOOKUP(B11,cubo!$A$6:$BE$37,54,0)-VLOOKUP(B11,#REF!,$G$2,0),0)</f>
        <v>0</v>
      </c>
      <c r="H11" s="10">
        <f>IFERROR(VLOOKUP(B11,cubo!$A$6:$BE$37,15,0)-VLOOKUP(B11,#REF!,$H$2,0),0)</f>
        <v>0</v>
      </c>
      <c r="I11" s="9">
        <f>IFERROR(VLOOKUP(B11,cubo!$A$6:$BE$37,18,0)-VLOOKUP(B11,#REF!,$I$2,0),0)</f>
        <v>0</v>
      </c>
      <c r="J11" s="9">
        <f>IFERROR(VLOOKUP(B11,cubo!$A$6:$BE$37,24,0)-VLOOKUP(B11,#REF!,$J$2,0),0)</f>
        <v>0</v>
      </c>
      <c r="K11" s="9">
        <f>IFERROR(VLOOKUP(B11,cubo!$A$6:$BE$37,34,0)-VLOOKUP(B11,#REF!,$K$2,0),0)</f>
        <v>0</v>
      </c>
      <c r="L11" s="8">
        <f>IFERROR(VLOOKUP(B11,cubo!$A$6:$BE$37,38,0)-VLOOKUP(B11,#REF!,$L$2,0),0)</f>
        <v>0</v>
      </c>
      <c r="M11" s="15">
        <f>IFERROR(VLOOKUP(B11,cubo!$A$6:$BE$37,57,0)-VLOOKUP(B11,#REF!,$M$2,0),0)</f>
        <v>0</v>
      </c>
      <c r="N11" s="9">
        <f>IFERROR(VLOOKUP(B11,cubo!$A$6:$BK$37,41,0)-VLOOKUP(conciliacao_custos!B11,#REF!,18,0),0)</f>
        <v>0</v>
      </c>
      <c r="O11" s="9">
        <f>IFERROR(VLOOKUP(B11,cubo!$A$6:$BK$37,44,0)-VLOOKUP(conciliacao_custos!B11,#REF!,13,0),0)</f>
        <v>0</v>
      </c>
      <c r="P11" s="9">
        <f>IFERROR(VLOOKUP(B11,cubo!$A$6:$BK$37,47,0)-VLOOKUP(conciliacao_custos!B11,#REF!,14,0),0)</f>
        <v>0</v>
      </c>
      <c r="Q11" s="9">
        <f>IFERROR(VLOOKUP(B11,cubo!$A$6:$BK$37,58,0)-VLOOKUP(conciliacao_custos!B11,#REF!,16,0),0)</f>
        <v>0</v>
      </c>
      <c r="R11" s="9">
        <f>IFERROR(VLOOKUP(B11,cubo!$A$6:$BK$37,64,0)-VLOOKUP(conciliacao_custos!B11,#REF!,17,0),0)</f>
        <v>0</v>
      </c>
      <c r="S11" s="9">
        <f>IFERROR(VLOOKUP(B11,cubo!$A$6:$BK$37,61,0)-VLOOKUP(conciliacao_custos!B11,#REF!,15,0),0)</f>
        <v>0</v>
      </c>
    </row>
    <row r="12" spans="2:19" x14ac:dyDescent="0.25">
      <c r="B12" s="7">
        <f>[1]salario!A11</f>
        <v>9</v>
      </c>
      <c r="C12" s="8" t="str">
        <f>[1]salario!C11</f>
        <v>Colaborador 9</v>
      </c>
      <c r="D12" s="10">
        <f>IFERROR(VLOOKUP(B12,cubo!$A$6:$BE$37,6,0)-VLOOKUP(B12,#REF!,$D$2,0),0)</f>
        <v>0</v>
      </c>
      <c r="E12" s="10">
        <f>IFERROR(VLOOKUP(B12,cubo!$A$6:$BE$37,9,0)-VLOOKUP(B12,#REF!,$E$2,0),0)</f>
        <v>0</v>
      </c>
      <c r="F12" s="9">
        <f>IFERROR(VLOOKUP(B12,cubo!$A$6:$BE$37,12,0)-VLOOKUP(B12,#REF!,$F$2,0),0)</f>
        <v>0</v>
      </c>
      <c r="G12" s="9">
        <f>IFERROR(VLOOKUP(B12,cubo!$A$6:$BE$37,54,0)-VLOOKUP(B12,#REF!,$G$2,0),0)</f>
        <v>0</v>
      </c>
      <c r="H12" s="10">
        <f>IFERROR(VLOOKUP(B12,cubo!$A$6:$BE$37,15,0)-VLOOKUP(B12,#REF!,$H$2,0),0)</f>
        <v>0</v>
      </c>
      <c r="I12" s="9">
        <f>IFERROR(VLOOKUP(B12,cubo!$A$6:$BE$37,18,0)-VLOOKUP(B12,#REF!,$I$2,0),0)</f>
        <v>0</v>
      </c>
      <c r="J12" s="9">
        <f>IFERROR(VLOOKUP(B12,cubo!$A$6:$BE$37,24,0)-VLOOKUP(B12,#REF!,$J$2,0),0)</f>
        <v>0</v>
      </c>
      <c r="K12" s="9">
        <f>IFERROR(VLOOKUP(B12,cubo!$A$6:$BE$37,34,0)-VLOOKUP(B12,#REF!,$K$2,0),0)</f>
        <v>0</v>
      </c>
      <c r="L12" s="8">
        <f>IFERROR(VLOOKUP(B12,cubo!$A$6:$BE$37,38,0)-VLOOKUP(B12,#REF!,$L$2,0),0)</f>
        <v>0</v>
      </c>
      <c r="M12" s="15">
        <f>IFERROR(VLOOKUP(B12,cubo!$A$6:$BE$37,57,0)-VLOOKUP(B12,#REF!,$M$2,0),0)</f>
        <v>0</v>
      </c>
      <c r="N12" s="9">
        <f>IFERROR(VLOOKUP(B12,cubo!$A$6:$BK$37,41,0)-VLOOKUP(conciliacao_custos!B12,#REF!,18,0),0)</f>
        <v>0</v>
      </c>
      <c r="O12" s="9">
        <f>IFERROR(VLOOKUP(B12,cubo!$A$6:$BK$37,44,0)-VLOOKUP(conciliacao_custos!B12,#REF!,13,0),0)</f>
        <v>0</v>
      </c>
      <c r="P12" s="9">
        <f>IFERROR(VLOOKUP(B12,cubo!$A$6:$BK$37,47,0)-VLOOKUP(conciliacao_custos!B12,#REF!,14,0),0)</f>
        <v>0</v>
      </c>
      <c r="Q12" s="9">
        <f>IFERROR(VLOOKUP(B12,cubo!$A$6:$BK$37,58,0)-VLOOKUP(conciliacao_custos!B12,#REF!,16,0),0)</f>
        <v>0</v>
      </c>
      <c r="R12" s="9">
        <f>IFERROR(VLOOKUP(B12,cubo!$A$6:$BK$37,64,0)-VLOOKUP(conciliacao_custos!B12,#REF!,17,0),0)</f>
        <v>0</v>
      </c>
      <c r="S12" s="9">
        <f>IFERROR(VLOOKUP(B12,cubo!$A$6:$BK$37,61,0)-VLOOKUP(conciliacao_custos!B12,#REF!,15,0),0)</f>
        <v>0</v>
      </c>
    </row>
    <row r="13" spans="2:19" x14ac:dyDescent="0.25">
      <c r="B13" s="7">
        <f>[1]salario!A12</f>
        <v>10</v>
      </c>
      <c r="C13" s="8" t="str">
        <f>[1]salario!C12</f>
        <v>Colaborador 10</v>
      </c>
      <c r="D13" s="10">
        <f>IFERROR(VLOOKUP(B13,cubo!$A$6:$BE$37,6,0)-VLOOKUP(B13,#REF!,$D$2,0),0)</f>
        <v>0</v>
      </c>
      <c r="E13" s="10">
        <f>IFERROR(VLOOKUP(B13,cubo!$A$6:$BE$37,9,0)-VLOOKUP(B13,#REF!,$E$2,0),0)</f>
        <v>0</v>
      </c>
      <c r="F13" s="9">
        <f>IFERROR(VLOOKUP(B13,cubo!$A$6:$BE$37,12,0)-VLOOKUP(B13,#REF!,$F$2,0),0)</f>
        <v>0</v>
      </c>
      <c r="G13" s="9">
        <f>IFERROR(VLOOKUP(B13,cubo!$A$6:$BE$37,54,0)-VLOOKUP(B13,#REF!,$G$2,0),0)</f>
        <v>0</v>
      </c>
      <c r="H13" s="10">
        <f>IFERROR(VLOOKUP(B13,cubo!$A$6:$BE$37,15,0)-VLOOKUP(B13,#REF!,$H$2,0),0)</f>
        <v>0</v>
      </c>
      <c r="I13" s="9">
        <f>IFERROR(VLOOKUP(B13,cubo!$A$6:$BE$37,18,0)-VLOOKUP(B13,#REF!,$I$2,0),0)</f>
        <v>0</v>
      </c>
      <c r="J13" s="9">
        <f>IFERROR(VLOOKUP(B13,cubo!$A$6:$BE$37,24,0)-VLOOKUP(B13,#REF!,$J$2,0),0)</f>
        <v>0</v>
      </c>
      <c r="K13" s="9">
        <f>IFERROR(VLOOKUP(B13,cubo!$A$6:$BE$37,34,0)-VLOOKUP(B13,#REF!,$K$2,0),0)</f>
        <v>0</v>
      </c>
      <c r="L13" s="8">
        <f>IFERROR(VLOOKUP(B13,cubo!$A$6:$BE$37,38,0)-VLOOKUP(B13,#REF!,$L$2,0),0)</f>
        <v>0</v>
      </c>
      <c r="M13" s="15">
        <f>IFERROR(VLOOKUP(B13,cubo!$A$6:$BE$37,57,0)-VLOOKUP(B13,#REF!,$M$2,0),0)</f>
        <v>0</v>
      </c>
      <c r="N13" s="9">
        <f>IFERROR(VLOOKUP(B13,cubo!$A$6:$BK$37,41,0)-VLOOKUP(conciliacao_custos!B13,#REF!,18,0),0)</f>
        <v>0</v>
      </c>
      <c r="O13" s="9">
        <f>IFERROR(VLOOKUP(B13,cubo!$A$6:$BK$37,44,0)-VLOOKUP(conciliacao_custos!B13,#REF!,13,0),0)</f>
        <v>0</v>
      </c>
      <c r="P13" s="9">
        <f>IFERROR(VLOOKUP(B13,cubo!$A$6:$BK$37,47,0)-VLOOKUP(conciliacao_custos!B13,#REF!,14,0),0)</f>
        <v>0</v>
      </c>
      <c r="Q13" s="9">
        <f>IFERROR(VLOOKUP(B13,cubo!$A$6:$BK$37,58,0)-VLOOKUP(conciliacao_custos!B13,#REF!,16,0),0)</f>
        <v>0</v>
      </c>
      <c r="R13" s="9">
        <f>IFERROR(VLOOKUP(B13,cubo!$A$6:$BK$37,64,0)-VLOOKUP(conciliacao_custos!B13,#REF!,17,0),0)</f>
        <v>0</v>
      </c>
      <c r="S13" s="9">
        <f>IFERROR(VLOOKUP(B13,cubo!$A$6:$BK$37,61,0)-VLOOKUP(conciliacao_custos!B13,#REF!,15,0),0)</f>
        <v>0</v>
      </c>
    </row>
    <row r="14" spans="2:19" x14ac:dyDescent="0.25">
      <c r="B14" s="7">
        <f>[1]salario!A13</f>
        <v>11</v>
      </c>
      <c r="C14" s="8" t="str">
        <f>[1]salario!C13</f>
        <v>Colaborador 11</v>
      </c>
      <c r="D14" s="10">
        <f>IFERROR(VLOOKUP(B14,cubo!$A$6:$BE$37,6,0)-VLOOKUP(B14,#REF!,$D$2,0),0)</f>
        <v>0</v>
      </c>
      <c r="E14" s="10">
        <f>IFERROR(VLOOKUP(B14,cubo!$A$6:$BE$37,9,0)-VLOOKUP(B14,#REF!,$E$2,0),0)</f>
        <v>0</v>
      </c>
      <c r="F14" s="9">
        <f>IFERROR(VLOOKUP(B14,cubo!$A$6:$BE$37,12,0)-VLOOKUP(B14,#REF!,$F$2,0),0)</f>
        <v>0</v>
      </c>
      <c r="G14" s="9">
        <f>IFERROR(VLOOKUP(B14,cubo!$A$6:$BE$37,54,0)-VLOOKUP(B14,#REF!,$G$2,0),0)</f>
        <v>0</v>
      </c>
      <c r="H14" s="10">
        <f>IFERROR(VLOOKUP(B14,cubo!$A$6:$BE$37,15,0)-VLOOKUP(B14,#REF!,$H$2,0),0)</f>
        <v>0</v>
      </c>
      <c r="I14" s="9">
        <f>IFERROR(VLOOKUP(B14,cubo!$A$6:$BE$37,18,0)-VLOOKUP(B14,#REF!,$I$2,0),0)</f>
        <v>0</v>
      </c>
      <c r="J14" s="9">
        <f>IFERROR(VLOOKUP(B14,cubo!$A$6:$BE$37,24,0)-VLOOKUP(B14,#REF!,$J$2,0),0)</f>
        <v>0</v>
      </c>
      <c r="K14" s="9">
        <f>IFERROR(VLOOKUP(B14,cubo!$A$6:$BE$37,34,0)-VLOOKUP(B14,#REF!,$K$2,0),0)</f>
        <v>0</v>
      </c>
      <c r="L14" s="8">
        <f>IFERROR(VLOOKUP(B14,cubo!$A$6:$BE$37,38,0)-VLOOKUP(B14,#REF!,$L$2,0),0)</f>
        <v>0</v>
      </c>
      <c r="M14" s="15">
        <f>IFERROR(VLOOKUP(B14,cubo!$A$6:$BE$37,57,0)-VLOOKUP(B14,#REF!,$M$2,0),0)</f>
        <v>0</v>
      </c>
      <c r="N14" s="9">
        <f>IFERROR(VLOOKUP(B14,cubo!$A$6:$BK$37,41,0)-VLOOKUP(conciliacao_custos!B14,#REF!,18,0),0)</f>
        <v>0</v>
      </c>
      <c r="O14" s="9">
        <f>IFERROR(VLOOKUP(B14,cubo!$A$6:$BK$37,44,0)-VLOOKUP(conciliacao_custos!B14,#REF!,13,0),0)</f>
        <v>0</v>
      </c>
      <c r="P14" s="9">
        <f>IFERROR(VLOOKUP(B14,cubo!$A$6:$BK$37,47,0)-VLOOKUP(conciliacao_custos!B14,#REF!,14,0),0)</f>
        <v>0</v>
      </c>
      <c r="Q14" s="9">
        <f>IFERROR(VLOOKUP(B14,cubo!$A$6:$BK$37,58,0)-VLOOKUP(conciliacao_custos!B14,#REF!,16,0),0)</f>
        <v>0</v>
      </c>
      <c r="R14" s="9">
        <f>IFERROR(VLOOKUP(B14,cubo!$A$6:$BK$37,64,0)-VLOOKUP(conciliacao_custos!B14,#REF!,17,0),0)</f>
        <v>0</v>
      </c>
      <c r="S14" s="9">
        <f>IFERROR(VLOOKUP(B14,cubo!$A$6:$BK$37,61,0)-VLOOKUP(conciliacao_custos!B14,#REF!,15,0),0)</f>
        <v>0</v>
      </c>
    </row>
    <row r="15" spans="2:19" x14ac:dyDescent="0.25">
      <c r="B15" s="7">
        <f>[1]salario!A14</f>
        <v>12</v>
      </c>
      <c r="C15" s="8" t="str">
        <f>[1]salario!C14</f>
        <v>Colaborador 12</v>
      </c>
      <c r="D15" s="10">
        <f>IFERROR(VLOOKUP(B15,cubo!$A$6:$BE$37,6,0)-VLOOKUP(B15,#REF!,$D$2,0),0)</f>
        <v>0</v>
      </c>
      <c r="E15" s="10">
        <f>IFERROR(VLOOKUP(B15,cubo!$A$6:$BE$37,9,0)-VLOOKUP(B15,#REF!,$E$2,0),0)</f>
        <v>0</v>
      </c>
      <c r="F15" s="9">
        <f>IFERROR(VLOOKUP(B15,cubo!$A$6:$BE$37,12,0)-VLOOKUP(B15,#REF!,$F$2,0),0)</f>
        <v>0</v>
      </c>
      <c r="G15" s="9">
        <f>IFERROR(VLOOKUP(B15,cubo!$A$6:$BE$37,54,0)-VLOOKUP(B15,#REF!,$G$2,0),0)</f>
        <v>0</v>
      </c>
      <c r="H15" s="10">
        <f>IFERROR(VLOOKUP(B15,cubo!$A$6:$BE$37,15,0)-VLOOKUP(B15,#REF!,$H$2,0),0)</f>
        <v>0</v>
      </c>
      <c r="I15" s="9">
        <f>IFERROR(VLOOKUP(B15,cubo!$A$6:$BE$37,18,0)-VLOOKUP(B15,#REF!,$I$2,0),0)</f>
        <v>0</v>
      </c>
      <c r="J15" s="9">
        <f>IFERROR(VLOOKUP(B15,cubo!$A$6:$BE$37,24,0)-VLOOKUP(B15,#REF!,$J$2,0),0)</f>
        <v>0</v>
      </c>
      <c r="K15" s="9">
        <f>IFERROR(VLOOKUP(B15,cubo!$A$6:$BE$37,34,0)-VLOOKUP(B15,#REF!,$K$2,0),0)</f>
        <v>0</v>
      </c>
      <c r="L15" s="8">
        <f>IFERROR(VLOOKUP(B15,cubo!$A$6:$BE$37,38,0)-VLOOKUP(B15,#REF!,$L$2,0),0)</f>
        <v>0</v>
      </c>
      <c r="M15" s="15">
        <f>IFERROR(VLOOKUP(B15,cubo!$A$6:$BE$37,57,0)-VLOOKUP(B15,#REF!,$M$2,0),0)</f>
        <v>0</v>
      </c>
      <c r="N15" s="9">
        <f>IFERROR(VLOOKUP(B15,cubo!$A$6:$BK$37,41,0)-VLOOKUP(conciliacao_custos!B15,#REF!,18,0),0)</f>
        <v>0</v>
      </c>
      <c r="O15" s="9">
        <f>IFERROR(VLOOKUP(B15,cubo!$A$6:$BK$37,44,0)-VLOOKUP(conciliacao_custos!B15,#REF!,13,0),0)</f>
        <v>0</v>
      </c>
      <c r="P15" s="9">
        <f>IFERROR(VLOOKUP(B15,cubo!$A$6:$BK$37,47,0)-VLOOKUP(conciliacao_custos!B15,#REF!,14,0),0)</f>
        <v>0</v>
      </c>
      <c r="Q15" s="9">
        <f>IFERROR(VLOOKUP(B15,cubo!$A$6:$BK$37,58,0)-VLOOKUP(conciliacao_custos!B15,#REF!,16,0),0)</f>
        <v>0</v>
      </c>
      <c r="R15" s="9">
        <f>IFERROR(VLOOKUP(B15,cubo!$A$6:$BK$37,64,0)-VLOOKUP(conciliacao_custos!B15,#REF!,17,0),0)</f>
        <v>0</v>
      </c>
      <c r="S15" s="9">
        <f>IFERROR(VLOOKUP(B15,cubo!$A$6:$BK$37,61,0)-VLOOKUP(conciliacao_custos!B15,#REF!,15,0),0)</f>
        <v>0</v>
      </c>
    </row>
    <row r="16" spans="2:19" x14ac:dyDescent="0.25">
      <c r="B16" s="7">
        <f>[1]salario!A15</f>
        <v>13</v>
      </c>
      <c r="C16" s="8" t="str">
        <f>[1]salario!C15</f>
        <v>Colaborador 13</v>
      </c>
      <c r="D16" s="10">
        <f>IFERROR(VLOOKUP(B16,cubo!$A$6:$BE$37,6,0)-VLOOKUP(B16,#REF!,$D$2,0),0)</f>
        <v>0</v>
      </c>
      <c r="E16" s="10">
        <f>IFERROR(VLOOKUP(B16,cubo!$A$6:$BE$37,9,0)-VLOOKUP(B16,#REF!,$E$2,0),0)</f>
        <v>0</v>
      </c>
      <c r="F16" s="9">
        <f>IFERROR(VLOOKUP(B16,cubo!$A$6:$BE$37,12,0)-VLOOKUP(B16,#REF!,$F$2,0),0)</f>
        <v>0</v>
      </c>
      <c r="G16" s="9">
        <f>IFERROR(VLOOKUP(B16,cubo!$A$6:$BE$37,54,0)-VLOOKUP(B16,#REF!,$G$2,0),0)</f>
        <v>0</v>
      </c>
      <c r="H16" s="10">
        <f>IFERROR(VLOOKUP(B16,cubo!$A$6:$BE$37,15,0)-VLOOKUP(B16,#REF!,$H$2,0),0)</f>
        <v>0</v>
      </c>
      <c r="I16" s="9">
        <f>IFERROR(VLOOKUP(B16,cubo!$A$6:$BE$37,18,0)-VLOOKUP(B16,#REF!,$I$2,0),0)</f>
        <v>0</v>
      </c>
      <c r="J16" s="9">
        <f>IFERROR(VLOOKUP(B16,cubo!$A$6:$BE$37,24,0)-VLOOKUP(B16,#REF!,$J$2,0),0)</f>
        <v>0</v>
      </c>
      <c r="K16" s="9">
        <f>IFERROR(VLOOKUP(B16,cubo!$A$6:$BE$37,34,0)-VLOOKUP(B16,#REF!,$K$2,0),0)</f>
        <v>0</v>
      </c>
      <c r="L16" s="8">
        <f>IFERROR(VLOOKUP(B16,cubo!$A$6:$BE$37,38,0)-VLOOKUP(B16,#REF!,$L$2,0),0)</f>
        <v>0</v>
      </c>
      <c r="M16" s="15">
        <f>IFERROR(VLOOKUP(B16,cubo!$A$6:$BE$37,57,0)-VLOOKUP(B16,#REF!,$M$2,0),0)</f>
        <v>0</v>
      </c>
      <c r="N16" s="9">
        <f>IFERROR(VLOOKUP(B16,cubo!$A$6:$BK$37,41,0)-VLOOKUP(conciliacao_custos!B16,#REF!,18,0),0)</f>
        <v>0</v>
      </c>
      <c r="O16" s="9">
        <f>IFERROR(VLOOKUP(B16,cubo!$A$6:$BK$37,44,0)-VLOOKUP(conciliacao_custos!B16,#REF!,13,0),0)</f>
        <v>0</v>
      </c>
      <c r="P16" s="9">
        <f>IFERROR(VLOOKUP(B16,cubo!$A$6:$BK$37,47,0)-VLOOKUP(conciliacao_custos!B16,#REF!,14,0),0)</f>
        <v>0</v>
      </c>
      <c r="Q16" s="9">
        <f>IFERROR(VLOOKUP(B16,cubo!$A$6:$BK$37,58,0)-VLOOKUP(conciliacao_custos!B16,#REF!,16,0),0)</f>
        <v>0</v>
      </c>
      <c r="R16" s="9">
        <f>IFERROR(VLOOKUP(B16,cubo!$A$6:$BK$37,64,0)-VLOOKUP(conciliacao_custos!B16,#REF!,17,0),0)</f>
        <v>0</v>
      </c>
      <c r="S16" s="9">
        <f>IFERROR(VLOOKUP(B16,cubo!$A$6:$BK$37,61,0)-VLOOKUP(conciliacao_custos!B16,#REF!,15,0),0)</f>
        <v>0</v>
      </c>
    </row>
    <row r="17" spans="2:19" x14ac:dyDescent="0.25">
      <c r="B17" s="7">
        <f>[1]salario!A16</f>
        <v>14</v>
      </c>
      <c r="C17" s="8" t="str">
        <f>[1]salario!C16</f>
        <v>Colaborador 14</v>
      </c>
      <c r="D17" s="10">
        <f>IFERROR(VLOOKUP(B17,cubo!$A$6:$BE$37,6,0)-VLOOKUP(B17,#REF!,$D$2,0),0)</f>
        <v>0</v>
      </c>
      <c r="E17" s="10">
        <f>IFERROR(VLOOKUP(B17,cubo!$A$6:$BE$37,9,0)-VLOOKUP(B17,#REF!,$E$2,0),0)</f>
        <v>0</v>
      </c>
      <c r="F17" s="9">
        <f>IFERROR(VLOOKUP(B17,cubo!$A$6:$BE$37,12,0)-VLOOKUP(B17,#REF!,$F$2,0),0)</f>
        <v>0</v>
      </c>
      <c r="G17" s="9">
        <f>IFERROR(VLOOKUP(B17,cubo!$A$6:$BE$37,54,0)-VLOOKUP(B17,#REF!,$G$2,0),0)</f>
        <v>0</v>
      </c>
      <c r="H17" s="10">
        <f>IFERROR(VLOOKUP(B17,cubo!$A$6:$BE$37,15,0)-VLOOKUP(B17,#REF!,$H$2,0),0)</f>
        <v>0</v>
      </c>
      <c r="I17" s="9">
        <f>IFERROR(VLOOKUP(B17,cubo!$A$6:$BE$37,18,0)-VLOOKUP(B17,#REF!,$I$2,0),0)</f>
        <v>0</v>
      </c>
      <c r="J17" s="9">
        <f>IFERROR(VLOOKUP(B17,cubo!$A$6:$BE$37,24,0)-VLOOKUP(B17,#REF!,$J$2,0),0)</f>
        <v>0</v>
      </c>
      <c r="K17" s="9">
        <f>IFERROR(VLOOKUP(B17,cubo!$A$6:$BE$37,34,0)-VLOOKUP(B17,#REF!,$K$2,0),0)</f>
        <v>0</v>
      </c>
      <c r="L17" s="8">
        <f>IFERROR(VLOOKUP(B17,cubo!$A$6:$BE$37,38,0)-VLOOKUP(B17,#REF!,$L$2,0),0)</f>
        <v>0</v>
      </c>
      <c r="M17" s="15">
        <f>IFERROR(VLOOKUP(B17,cubo!$A$6:$BE$37,57,0)-VLOOKUP(B17,#REF!,$M$2,0),0)</f>
        <v>0</v>
      </c>
      <c r="N17" s="9">
        <f>IFERROR(VLOOKUP(B17,cubo!$A$6:$BK$37,41,0)-VLOOKUP(conciliacao_custos!B17,#REF!,18,0),0)</f>
        <v>0</v>
      </c>
      <c r="O17" s="9">
        <f>IFERROR(VLOOKUP(B17,cubo!$A$6:$BK$37,44,0)-VLOOKUP(conciliacao_custos!B17,#REF!,13,0),0)</f>
        <v>0</v>
      </c>
      <c r="P17" s="9">
        <f>IFERROR(VLOOKUP(B17,cubo!$A$6:$BK$37,47,0)-VLOOKUP(conciliacao_custos!B17,#REF!,14,0),0)</f>
        <v>0</v>
      </c>
      <c r="Q17" s="9">
        <f>IFERROR(VLOOKUP(B17,cubo!$A$6:$BK$37,58,0)-VLOOKUP(conciliacao_custos!B17,#REF!,16,0),0)</f>
        <v>0</v>
      </c>
      <c r="R17" s="9">
        <f>IFERROR(VLOOKUP(B17,cubo!$A$6:$BK$37,64,0)-VLOOKUP(conciliacao_custos!B17,#REF!,17,0),0)</f>
        <v>0</v>
      </c>
      <c r="S17" s="9">
        <f>IFERROR(VLOOKUP(B17,cubo!$A$6:$BK$37,61,0)-VLOOKUP(conciliacao_custos!B17,#REF!,15,0),0)</f>
        <v>0</v>
      </c>
    </row>
    <row r="18" spans="2:19" x14ac:dyDescent="0.25">
      <c r="B18" s="7">
        <f>[1]salario!A17</f>
        <v>15</v>
      </c>
      <c r="C18" s="8" t="str">
        <f>[1]salario!C17</f>
        <v>Colaborador 15</v>
      </c>
      <c r="D18" s="10">
        <f>IFERROR(VLOOKUP(B18,cubo!$A$6:$BE$37,6,0)-VLOOKUP(B18,#REF!,$D$2,0),0)</f>
        <v>0</v>
      </c>
      <c r="E18" s="10">
        <f>IFERROR(VLOOKUP(B18,cubo!$A$6:$BE$37,9,0)-VLOOKUP(B18,#REF!,$E$2,0),0)</f>
        <v>0</v>
      </c>
      <c r="F18" s="9">
        <f>IFERROR(VLOOKUP(B18,cubo!$A$6:$BE$37,12,0)-VLOOKUP(B18,#REF!,$F$2,0),0)</f>
        <v>0</v>
      </c>
      <c r="G18" s="9">
        <f>IFERROR(VLOOKUP(B18,cubo!$A$6:$BE$37,54,0)-VLOOKUP(B18,#REF!,$G$2,0),0)</f>
        <v>0</v>
      </c>
      <c r="H18" s="10">
        <f>IFERROR(VLOOKUP(B18,cubo!$A$6:$BE$37,15,0)-VLOOKUP(B18,#REF!,$H$2,0),0)</f>
        <v>0</v>
      </c>
      <c r="I18" s="9">
        <f>IFERROR(VLOOKUP(B18,cubo!$A$6:$BE$37,18,0)-VLOOKUP(B18,#REF!,$I$2,0),0)</f>
        <v>0</v>
      </c>
      <c r="J18" s="9">
        <f>IFERROR(VLOOKUP(B18,cubo!$A$6:$BE$37,24,0)-VLOOKUP(B18,#REF!,$J$2,0),0)</f>
        <v>0</v>
      </c>
      <c r="K18" s="9">
        <f>IFERROR(VLOOKUP(B18,cubo!$A$6:$BE$37,34,0)-VLOOKUP(B18,#REF!,$K$2,0),0)</f>
        <v>0</v>
      </c>
      <c r="L18" s="8">
        <f>IFERROR(VLOOKUP(B18,cubo!$A$6:$BE$37,38,0)-VLOOKUP(B18,#REF!,$L$2,0),0)</f>
        <v>0</v>
      </c>
      <c r="M18" s="15">
        <f>IFERROR(VLOOKUP(B18,cubo!$A$6:$BE$37,57,0)-VLOOKUP(B18,#REF!,$M$2,0),0)</f>
        <v>0</v>
      </c>
      <c r="N18" s="9">
        <f>IFERROR(VLOOKUP(B18,cubo!$A$6:$BK$37,41,0)-VLOOKUP(conciliacao_custos!B18,#REF!,18,0),0)</f>
        <v>0</v>
      </c>
      <c r="O18" s="9">
        <f>IFERROR(VLOOKUP(B18,cubo!$A$6:$BK$37,44,0)-VLOOKUP(conciliacao_custos!B18,#REF!,13,0),0)</f>
        <v>0</v>
      </c>
      <c r="P18" s="9">
        <f>IFERROR(VLOOKUP(B18,cubo!$A$6:$BK$37,47,0)-VLOOKUP(conciliacao_custos!B18,#REF!,14,0),0)</f>
        <v>0</v>
      </c>
      <c r="Q18" s="9">
        <f>IFERROR(VLOOKUP(B18,cubo!$A$6:$BK$37,58,0)-VLOOKUP(conciliacao_custos!B18,#REF!,16,0),0)</f>
        <v>0</v>
      </c>
      <c r="R18" s="9">
        <f>IFERROR(VLOOKUP(B18,cubo!$A$6:$BK$37,64,0)-VLOOKUP(conciliacao_custos!B18,#REF!,17,0),0)</f>
        <v>0</v>
      </c>
      <c r="S18" s="9">
        <f>IFERROR(VLOOKUP(B18,cubo!$A$6:$BK$37,61,0)-VLOOKUP(conciliacao_custos!B18,#REF!,15,0),0)</f>
        <v>0</v>
      </c>
    </row>
    <row r="19" spans="2:19" x14ac:dyDescent="0.25">
      <c r="B19" s="7">
        <f>[1]salario!A18</f>
        <v>16</v>
      </c>
      <c r="C19" s="8" t="str">
        <f>[1]salario!C18</f>
        <v>Colaborador 16</v>
      </c>
      <c r="D19" s="10">
        <f>IFERROR(VLOOKUP(B19,cubo!$A$6:$BE$37,6,0)-VLOOKUP(B19,#REF!,$D$2,0),0)</f>
        <v>0</v>
      </c>
      <c r="E19" s="10">
        <f>IFERROR(VLOOKUP(B19,cubo!$A$6:$BE$37,9,0)-VLOOKUP(B19,#REF!,$E$2,0),0)</f>
        <v>0</v>
      </c>
      <c r="F19" s="9">
        <f>IFERROR(VLOOKUP(B19,cubo!$A$6:$BE$37,12,0)-VLOOKUP(B19,#REF!,$F$2,0),0)</f>
        <v>0</v>
      </c>
      <c r="G19" s="9">
        <f>IFERROR(VLOOKUP(B19,cubo!$A$6:$BE$37,54,0)-VLOOKUP(B19,#REF!,$G$2,0),0)</f>
        <v>0</v>
      </c>
      <c r="H19" s="10">
        <f>IFERROR(VLOOKUP(B19,cubo!$A$6:$BE$37,15,0)-VLOOKUP(B19,#REF!,$H$2,0),0)</f>
        <v>0</v>
      </c>
      <c r="I19" s="9">
        <f>IFERROR(VLOOKUP(B19,cubo!$A$6:$BE$37,18,0)-VLOOKUP(B19,#REF!,$I$2,0),0)</f>
        <v>0</v>
      </c>
      <c r="J19" s="9">
        <f>IFERROR(VLOOKUP(B19,cubo!$A$6:$BE$37,24,0)-VLOOKUP(B19,#REF!,$J$2,0),0)</f>
        <v>0</v>
      </c>
      <c r="K19" s="9">
        <f>IFERROR(VLOOKUP(B19,cubo!$A$6:$BE$37,34,0)-VLOOKUP(B19,#REF!,$K$2,0),0)</f>
        <v>0</v>
      </c>
      <c r="L19" s="8">
        <f>IFERROR(VLOOKUP(B19,cubo!$A$6:$BE$37,38,0)-VLOOKUP(B19,#REF!,$L$2,0),0)</f>
        <v>0</v>
      </c>
      <c r="M19" s="15">
        <f>IFERROR(VLOOKUP(B19,cubo!$A$6:$BE$37,57,0)-VLOOKUP(B19,#REF!,$M$2,0),0)</f>
        <v>0</v>
      </c>
      <c r="N19" s="9">
        <f>IFERROR(VLOOKUP(B19,cubo!$A$6:$BK$37,41,0)-VLOOKUP(conciliacao_custos!B19,#REF!,18,0),0)</f>
        <v>0</v>
      </c>
      <c r="O19" s="9">
        <f>IFERROR(VLOOKUP(B19,cubo!$A$6:$BK$37,44,0)-VLOOKUP(conciliacao_custos!B19,#REF!,13,0),0)</f>
        <v>0</v>
      </c>
      <c r="P19" s="9">
        <f>IFERROR(VLOOKUP(B19,cubo!$A$6:$BK$37,47,0)-VLOOKUP(conciliacao_custos!B19,#REF!,14,0),0)</f>
        <v>0</v>
      </c>
      <c r="Q19" s="9">
        <f>IFERROR(VLOOKUP(B19,cubo!$A$6:$BK$37,58,0)-VLOOKUP(conciliacao_custos!B19,#REF!,16,0),0)</f>
        <v>0</v>
      </c>
      <c r="R19" s="9">
        <f>IFERROR(VLOOKUP(B19,cubo!$A$6:$BK$37,64,0)-VLOOKUP(conciliacao_custos!B19,#REF!,17,0),0)</f>
        <v>0</v>
      </c>
      <c r="S19" s="9">
        <f>IFERROR(VLOOKUP(B19,cubo!$A$6:$BK$37,61,0)-VLOOKUP(conciliacao_custos!B19,#REF!,15,0),0)</f>
        <v>0</v>
      </c>
    </row>
    <row r="20" spans="2:19" x14ac:dyDescent="0.25">
      <c r="B20" s="7">
        <f>[1]salario!A19</f>
        <v>17</v>
      </c>
      <c r="C20" s="8" t="str">
        <f>[1]salario!C19</f>
        <v>Colaborador 17</v>
      </c>
      <c r="D20" s="10">
        <f>IFERROR(VLOOKUP(B20,cubo!$A$6:$BE$37,6,0)-VLOOKUP(B20,#REF!,$D$2,0),0)</f>
        <v>0</v>
      </c>
      <c r="E20" s="10">
        <f>IFERROR(VLOOKUP(B20,cubo!$A$6:$BE$37,9,0)-VLOOKUP(B20,#REF!,$E$2,0),0)</f>
        <v>0</v>
      </c>
      <c r="F20" s="9">
        <f>IFERROR(VLOOKUP(B20,cubo!$A$6:$BE$37,12,0)-VLOOKUP(B20,#REF!,$F$2,0),0)</f>
        <v>0</v>
      </c>
      <c r="G20" s="9">
        <f>IFERROR(VLOOKUP(B20,cubo!$A$6:$BE$37,54,0)-VLOOKUP(B20,#REF!,$G$2,0),0)</f>
        <v>0</v>
      </c>
      <c r="H20" s="10">
        <f>IFERROR(VLOOKUP(B20,cubo!$A$6:$BE$37,15,0)-VLOOKUP(B20,#REF!,$H$2,0),0)</f>
        <v>0</v>
      </c>
      <c r="I20" s="9">
        <f>IFERROR(VLOOKUP(B20,cubo!$A$6:$BE$37,18,0)-VLOOKUP(B20,#REF!,$I$2,0),0)</f>
        <v>0</v>
      </c>
      <c r="J20" s="9">
        <f>IFERROR(VLOOKUP(B20,cubo!$A$6:$BE$37,24,0)-VLOOKUP(B20,#REF!,$J$2,0),0)</f>
        <v>0</v>
      </c>
      <c r="K20" s="9">
        <f>IFERROR(VLOOKUP(B20,cubo!$A$6:$BE$37,34,0)-VLOOKUP(B20,#REF!,$K$2,0),0)</f>
        <v>0</v>
      </c>
      <c r="L20" s="8">
        <f>IFERROR(VLOOKUP(B20,cubo!$A$6:$BE$37,38,0)-VLOOKUP(B20,#REF!,$L$2,0),0)</f>
        <v>0</v>
      </c>
      <c r="M20" s="15">
        <f>IFERROR(VLOOKUP(B20,cubo!$A$6:$BE$37,57,0)-VLOOKUP(B20,#REF!,$M$2,0),0)</f>
        <v>0</v>
      </c>
      <c r="N20" s="9">
        <f>IFERROR(VLOOKUP(B20,cubo!$A$6:$BK$37,41,0)-VLOOKUP(conciliacao_custos!B20,#REF!,18,0),0)</f>
        <v>0</v>
      </c>
      <c r="O20" s="9">
        <f>IFERROR(VLOOKUP(B20,cubo!$A$6:$BK$37,44,0)-VLOOKUP(conciliacao_custos!B20,#REF!,13,0),0)</f>
        <v>0</v>
      </c>
      <c r="P20" s="9">
        <f>IFERROR(VLOOKUP(B20,cubo!$A$6:$BK$37,47,0)-VLOOKUP(conciliacao_custos!B20,#REF!,14,0),0)</f>
        <v>0</v>
      </c>
      <c r="Q20" s="9">
        <f>IFERROR(VLOOKUP(B20,cubo!$A$6:$BK$37,58,0)-VLOOKUP(conciliacao_custos!B20,#REF!,16,0),0)</f>
        <v>0</v>
      </c>
      <c r="R20" s="9">
        <f>IFERROR(VLOOKUP(B20,cubo!$A$6:$BK$37,64,0)-VLOOKUP(conciliacao_custos!B20,#REF!,17,0),0)</f>
        <v>0</v>
      </c>
      <c r="S20" s="9">
        <f>IFERROR(VLOOKUP(B20,cubo!$A$6:$BK$37,61,0)-VLOOKUP(conciliacao_custos!B20,#REF!,15,0),0)</f>
        <v>0</v>
      </c>
    </row>
    <row r="21" spans="2:19" x14ac:dyDescent="0.25">
      <c r="B21" s="7">
        <f>[1]salario!A20</f>
        <v>18</v>
      </c>
      <c r="C21" s="8" t="str">
        <f>[1]salario!C20</f>
        <v>Colaborador 18</v>
      </c>
      <c r="D21" s="10">
        <f>IFERROR(VLOOKUP(B21,cubo!$A$6:$BE$37,6,0)-VLOOKUP(B21,#REF!,$D$2,0),0)</f>
        <v>0</v>
      </c>
      <c r="E21" s="10">
        <f>IFERROR(VLOOKUP(B21,cubo!$A$6:$BE$37,9,0)-VLOOKUP(B21,#REF!,$E$2,0),0)</f>
        <v>0</v>
      </c>
      <c r="F21" s="9">
        <f>IFERROR(VLOOKUP(B21,cubo!$A$6:$BE$37,12,0)-VLOOKUP(B21,#REF!,$F$2,0),0)</f>
        <v>0</v>
      </c>
      <c r="G21" s="9">
        <f>IFERROR(VLOOKUP(B21,cubo!$A$6:$BE$37,54,0)-VLOOKUP(B21,#REF!,$G$2,0),0)</f>
        <v>0</v>
      </c>
      <c r="H21" s="10">
        <f>IFERROR(VLOOKUP(B21,cubo!$A$6:$BE$37,15,0)-VLOOKUP(B21,#REF!,$H$2,0),0)</f>
        <v>0</v>
      </c>
      <c r="I21" s="9">
        <f>IFERROR(VLOOKUP(B21,cubo!$A$6:$BE$37,18,0)-VLOOKUP(B21,#REF!,$I$2,0),0)</f>
        <v>0</v>
      </c>
      <c r="J21" s="9">
        <f>IFERROR(VLOOKUP(B21,cubo!$A$6:$BE$37,24,0)-VLOOKUP(B21,#REF!,$J$2,0),0)</f>
        <v>0</v>
      </c>
      <c r="K21" s="9">
        <f>IFERROR(VLOOKUP(B21,cubo!$A$6:$BE$37,34,0)-VLOOKUP(B21,#REF!,$K$2,0),0)</f>
        <v>0</v>
      </c>
      <c r="L21" s="8">
        <f>IFERROR(VLOOKUP(B21,cubo!$A$6:$BE$37,38,0)-VLOOKUP(B21,#REF!,$L$2,0),0)</f>
        <v>0</v>
      </c>
      <c r="M21" s="15">
        <f>IFERROR(VLOOKUP(B21,cubo!$A$6:$BE$37,57,0)-VLOOKUP(B21,#REF!,$M$2,0),0)</f>
        <v>0</v>
      </c>
      <c r="N21" s="9">
        <f>IFERROR(VLOOKUP(B21,cubo!$A$6:$BK$37,41,0)-VLOOKUP(conciliacao_custos!B21,#REF!,18,0),0)</f>
        <v>0</v>
      </c>
      <c r="O21" s="9">
        <f>IFERROR(VLOOKUP(B21,cubo!$A$6:$BK$37,44,0)-VLOOKUP(conciliacao_custos!B21,#REF!,13,0),0)</f>
        <v>0</v>
      </c>
      <c r="P21" s="9">
        <f>IFERROR(VLOOKUP(B21,cubo!$A$6:$BK$37,47,0)-VLOOKUP(conciliacao_custos!B21,#REF!,14,0),0)</f>
        <v>0</v>
      </c>
      <c r="Q21" s="9">
        <f>IFERROR(VLOOKUP(B21,cubo!$A$6:$BK$37,58,0)-VLOOKUP(conciliacao_custos!B21,#REF!,16,0),0)</f>
        <v>0</v>
      </c>
      <c r="R21" s="9">
        <f>IFERROR(VLOOKUP(B21,cubo!$A$6:$BK$37,64,0)-VLOOKUP(conciliacao_custos!B21,#REF!,17,0),0)</f>
        <v>0</v>
      </c>
      <c r="S21" s="9">
        <f>IFERROR(VLOOKUP(B21,cubo!$A$6:$BK$37,61,0)-VLOOKUP(conciliacao_custos!B21,#REF!,15,0),0)</f>
        <v>0</v>
      </c>
    </row>
    <row r="22" spans="2:19" x14ac:dyDescent="0.25">
      <c r="B22" s="7">
        <f>[1]salario!A21</f>
        <v>19</v>
      </c>
      <c r="C22" s="8" t="str">
        <f>[1]salario!C21</f>
        <v>Colaborador 19</v>
      </c>
      <c r="D22" s="10">
        <f>IFERROR(VLOOKUP(B22,cubo!$A$6:$BE$37,6,0)-VLOOKUP(B22,#REF!,$D$2,0),0)</f>
        <v>0</v>
      </c>
      <c r="E22" s="10">
        <f>IFERROR(VLOOKUP(B22,cubo!$A$6:$BE$37,9,0)-VLOOKUP(B22,#REF!,$E$2,0),0)</f>
        <v>0</v>
      </c>
      <c r="F22" s="9">
        <f>IFERROR(VLOOKUP(B22,cubo!$A$6:$BE$37,12,0)-VLOOKUP(B22,#REF!,$F$2,0),0)</f>
        <v>0</v>
      </c>
      <c r="G22" s="9">
        <f>IFERROR(VLOOKUP(B22,cubo!$A$6:$BE$37,54,0)-VLOOKUP(B22,#REF!,$G$2,0),0)</f>
        <v>0</v>
      </c>
      <c r="H22" s="10">
        <f>IFERROR(VLOOKUP(B22,cubo!$A$6:$BE$37,15,0)-VLOOKUP(B22,#REF!,$H$2,0),0)</f>
        <v>0</v>
      </c>
      <c r="I22" s="9">
        <f>IFERROR(VLOOKUP(B22,cubo!$A$6:$BE$37,18,0)-VLOOKUP(B22,#REF!,$I$2,0),0)</f>
        <v>0</v>
      </c>
      <c r="J22" s="9">
        <f>IFERROR(VLOOKUP(B22,cubo!$A$6:$BE$37,24,0)-VLOOKUP(B22,#REF!,$J$2,0),0)</f>
        <v>0</v>
      </c>
      <c r="K22" s="9">
        <f>IFERROR(VLOOKUP(B22,cubo!$A$6:$BE$37,34,0)-VLOOKUP(B22,#REF!,$K$2,0),0)</f>
        <v>0</v>
      </c>
      <c r="L22" s="8">
        <f>IFERROR(VLOOKUP(B22,cubo!$A$6:$BE$37,38,0)-VLOOKUP(B22,#REF!,$L$2,0),0)</f>
        <v>0</v>
      </c>
      <c r="M22" s="15">
        <f>IFERROR(VLOOKUP(B22,cubo!$A$6:$BE$37,57,0)-VLOOKUP(B22,#REF!,$M$2,0),0)</f>
        <v>0</v>
      </c>
      <c r="N22" s="9">
        <f>IFERROR(VLOOKUP(B22,cubo!$A$6:$BK$37,41,0)-VLOOKUP(conciliacao_custos!B22,#REF!,18,0),0)</f>
        <v>0</v>
      </c>
      <c r="O22" s="9">
        <f>IFERROR(VLOOKUP(B22,cubo!$A$6:$BK$37,44,0)-VLOOKUP(conciliacao_custos!B22,#REF!,13,0),0)</f>
        <v>0</v>
      </c>
      <c r="P22" s="9">
        <f>IFERROR(VLOOKUP(B22,cubo!$A$6:$BK$37,47,0)-VLOOKUP(conciliacao_custos!B22,#REF!,14,0),0)</f>
        <v>0</v>
      </c>
      <c r="Q22" s="9">
        <f>IFERROR(VLOOKUP(B22,cubo!$A$6:$BK$37,58,0)-VLOOKUP(conciliacao_custos!B22,#REF!,16,0),0)</f>
        <v>0</v>
      </c>
      <c r="R22" s="9">
        <f>IFERROR(VLOOKUP(B22,cubo!$A$6:$BK$37,64,0)-VLOOKUP(conciliacao_custos!B22,#REF!,17,0),0)</f>
        <v>0</v>
      </c>
      <c r="S22" s="9">
        <f>IFERROR(VLOOKUP(B22,cubo!$A$6:$BK$37,61,0)-VLOOKUP(conciliacao_custos!B22,#REF!,15,0),0)</f>
        <v>0</v>
      </c>
    </row>
    <row r="23" spans="2:19" x14ac:dyDescent="0.25">
      <c r="B23" s="7">
        <f>[1]salario!A22</f>
        <v>20</v>
      </c>
      <c r="C23" s="8" t="str">
        <f>[1]salario!C22</f>
        <v>Colaborador 20</v>
      </c>
      <c r="D23" s="10">
        <f>IFERROR(VLOOKUP(B23,cubo!$A$6:$BE$37,6,0)-VLOOKUP(B23,#REF!,$D$2,0),0)</f>
        <v>0</v>
      </c>
      <c r="E23" s="10">
        <f>IFERROR(VLOOKUP(B23,cubo!$A$6:$BE$37,9,0)-VLOOKUP(B23,#REF!,$E$2,0),0)</f>
        <v>0</v>
      </c>
      <c r="F23" s="9">
        <f>IFERROR(VLOOKUP(B23,cubo!$A$6:$BE$37,12,0)-VLOOKUP(B23,#REF!,$F$2,0),0)</f>
        <v>0</v>
      </c>
      <c r="G23" s="9">
        <f>IFERROR(VLOOKUP(B23,cubo!$A$6:$BE$37,54,0)-VLOOKUP(B23,#REF!,$G$2,0),0)</f>
        <v>0</v>
      </c>
      <c r="H23" s="10">
        <f>IFERROR(VLOOKUP(B23,cubo!$A$6:$BE$37,15,0)-VLOOKUP(B23,#REF!,$H$2,0),0)</f>
        <v>0</v>
      </c>
      <c r="I23" s="9">
        <f>IFERROR(VLOOKUP(B23,cubo!$A$6:$BE$37,18,0)-VLOOKUP(B23,#REF!,$I$2,0),0)</f>
        <v>0</v>
      </c>
      <c r="J23" s="9">
        <f>IFERROR(VLOOKUP(B23,cubo!$A$6:$BE$37,24,0)-VLOOKUP(B23,#REF!,$J$2,0),0)</f>
        <v>0</v>
      </c>
      <c r="K23" s="9">
        <f>IFERROR(VLOOKUP(B23,cubo!$A$6:$BE$37,34,0)-VLOOKUP(B23,#REF!,$K$2,0),0)</f>
        <v>0</v>
      </c>
      <c r="L23" s="8">
        <f>IFERROR(VLOOKUP(B23,cubo!$A$6:$BE$37,38,0)-VLOOKUP(B23,#REF!,$L$2,0),0)</f>
        <v>0</v>
      </c>
      <c r="M23" s="15">
        <f>IFERROR(VLOOKUP(B23,cubo!$A$6:$BE$37,57,0)-VLOOKUP(B23,#REF!,$M$2,0),0)</f>
        <v>0</v>
      </c>
      <c r="N23" s="9">
        <f>IFERROR(VLOOKUP(B23,cubo!$A$6:$BK$37,41,0)-VLOOKUP(conciliacao_custos!B23,#REF!,18,0),0)</f>
        <v>0</v>
      </c>
      <c r="O23" s="9">
        <f>IFERROR(VLOOKUP(B23,cubo!$A$6:$BK$37,44,0)-VLOOKUP(conciliacao_custos!B23,#REF!,13,0),0)</f>
        <v>0</v>
      </c>
      <c r="P23" s="9">
        <f>IFERROR(VLOOKUP(B23,cubo!$A$6:$BK$37,47,0)-VLOOKUP(conciliacao_custos!B23,#REF!,14,0),0)</f>
        <v>0</v>
      </c>
      <c r="Q23" s="9">
        <f>IFERROR(VLOOKUP(B23,cubo!$A$6:$BK$37,58,0)-VLOOKUP(conciliacao_custos!B23,#REF!,16,0),0)</f>
        <v>0</v>
      </c>
      <c r="R23" s="9">
        <f>IFERROR(VLOOKUP(B23,cubo!$A$6:$BK$37,64,0)-VLOOKUP(conciliacao_custos!B23,#REF!,17,0),0)</f>
        <v>0</v>
      </c>
      <c r="S23" s="9">
        <f>IFERROR(VLOOKUP(B23,cubo!$A$6:$BK$37,61,0)-VLOOKUP(conciliacao_custos!B23,#REF!,15,0),0)</f>
        <v>0</v>
      </c>
    </row>
    <row r="24" spans="2:19" x14ac:dyDescent="0.25">
      <c r="B24" s="7">
        <f>[1]salario!A23</f>
        <v>21</v>
      </c>
      <c r="C24" s="8" t="str">
        <f>[1]salario!C23</f>
        <v>Colaborador 21</v>
      </c>
      <c r="D24" s="10">
        <f>IFERROR(VLOOKUP(B24,cubo!$A$6:$BE$37,6,0)-VLOOKUP(B24,#REF!,$D$2,0),0)</f>
        <v>0</v>
      </c>
      <c r="E24" s="10">
        <f>IFERROR(VLOOKUP(B24,cubo!$A$6:$BE$37,9,0)-VLOOKUP(B24,#REF!,$E$2,0),0)</f>
        <v>0</v>
      </c>
      <c r="F24" s="9">
        <f>IFERROR(VLOOKUP(B24,cubo!$A$6:$BE$37,12,0)-VLOOKUP(B24,#REF!,$F$2,0),0)</f>
        <v>0</v>
      </c>
      <c r="G24" s="9">
        <f>IFERROR(VLOOKUP(B24,cubo!$A$6:$BE$37,54,0)-VLOOKUP(B24,#REF!,$G$2,0),0)</f>
        <v>0</v>
      </c>
      <c r="H24" s="10">
        <f>IFERROR(VLOOKUP(B24,cubo!$A$6:$BE$37,15,0)-VLOOKUP(B24,#REF!,$H$2,0),0)</f>
        <v>0</v>
      </c>
      <c r="I24" s="9">
        <f>IFERROR(VLOOKUP(B24,cubo!$A$6:$BE$37,18,0)-VLOOKUP(B24,#REF!,$I$2,0),0)</f>
        <v>0</v>
      </c>
      <c r="J24" s="9">
        <f>IFERROR(VLOOKUP(B24,cubo!$A$6:$BE$37,24,0)-VLOOKUP(B24,#REF!,$J$2,0),0)</f>
        <v>0</v>
      </c>
      <c r="K24" s="9">
        <f>IFERROR(VLOOKUP(B24,cubo!$A$6:$BE$37,34,0)-VLOOKUP(B24,#REF!,$K$2,0),0)</f>
        <v>0</v>
      </c>
      <c r="L24" s="8">
        <f>IFERROR(VLOOKUP(B24,cubo!$A$6:$BE$37,38,0)-VLOOKUP(B24,#REF!,$L$2,0),0)</f>
        <v>0</v>
      </c>
      <c r="M24" s="15">
        <f>IFERROR(VLOOKUP(B24,cubo!$A$6:$BE$37,57,0)-VLOOKUP(B24,#REF!,$M$2,0),0)</f>
        <v>0</v>
      </c>
      <c r="N24" s="9">
        <f>IFERROR(VLOOKUP(B24,cubo!$A$6:$BK$37,41,0)-VLOOKUP(conciliacao_custos!B24,#REF!,18,0),0)</f>
        <v>0</v>
      </c>
      <c r="O24" s="9">
        <f>IFERROR(VLOOKUP(B24,cubo!$A$6:$BK$37,44,0)-VLOOKUP(conciliacao_custos!B24,#REF!,13,0),0)</f>
        <v>0</v>
      </c>
      <c r="P24" s="9">
        <f>IFERROR(VLOOKUP(B24,cubo!$A$6:$BK$37,47,0)-VLOOKUP(conciliacao_custos!B24,#REF!,14,0),0)</f>
        <v>0</v>
      </c>
      <c r="Q24" s="9">
        <f>IFERROR(VLOOKUP(B24,cubo!$A$6:$BK$37,58,0)-VLOOKUP(conciliacao_custos!B24,#REF!,16,0),0)</f>
        <v>0</v>
      </c>
      <c r="R24" s="9">
        <f>IFERROR(VLOOKUP(B24,cubo!$A$6:$BK$37,64,0)-VLOOKUP(conciliacao_custos!B24,#REF!,17,0),0)</f>
        <v>0</v>
      </c>
      <c r="S24" s="9">
        <f>IFERROR(VLOOKUP(B24,cubo!$A$6:$BK$37,61,0)-VLOOKUP(conciliacao_custos!B24,#REF!,15,0),0)</f>
        <v>0</v>
      </c>
    </row>
    <row r="25" spans="2:19" x14ac:dyDescent="0.25">
      <c r="B25" s="7">
        <f>[1]salario!A24</f>
        <v>22</v>
      </c>
      <c r="C25" s="8" t="str">
        <f>[1]salario!C24</f>
        <v>Colaborador 22</v>
      </c>
      <c r="D25" s="10">
        <f>IFERROR(VLOOKUP(B25,cubo!$A$6:$BE$37,6,0)-VLOOKUP(B25,#REF!,$D$2,0),0)</f>
        <v>0</v>
      </c>
      <c r="E25" s="10">
        <f>IFERROR(VLOOKUP(B25,cubo!$A$6:$BE$37,9,0)-VLOOKUP(B25,#REF!,$E$2,0),0)</f>
        <v>0</v>
      </c>
      <c r="F25" s="9">
        <f>IFERROR(VLOOKUP(B25,cubo!$A$6:$BE$37,12,0)-VLOOKUP(B25,#REF!,$F$2,0),0)</f>
        <v>0</v>
      </c>
      <c r="G25" s="9">
        <f>IFERROR(VLOOKUP(B25,cubo!$A$6:$BE$37,54,0)-VLOOKUP(B25,#REF!,$G$2,0),0)</f>
        <v>0</v>
      </c>
      <c r="H25" s="10">
        <f>IFERROR(VLOOKUP(B25,cubo!$A$6:$BE$37,15,0)-VLOOKUP(B25,#REF!,$H$2,0),0)</f>
        <v>0</v>
      </c>
      <c r="I25" s="9">
        <f>IFERROR(VLOOKUP(B25,cubo!$A$6:$BE$37,18,0)-VLOOKUP(B25,#REF!,$I$2,0),0)</f>
        <v>0</v>
      </c>
      <c r="J25" s="9">
        <f>IFERROR(VLOOKUP(B25,cubo!$A$6:$BE$37,24,0)-VLOOKUP(B25,#REF!,$J$2,0),0)</f>
        <v>0</v>
      </c>
      <c r="K25" s="9">
        <f>IFERROR(VLOOKUP(B25,cubo!$A$6:$BE$37,34,0)-VLOOKUP(B25,#REF!,$K$2,0),0)</f>
        <v>0</v>
      </c>
      <c r="L25" s="8">
        <f>IFERROR(VLOOKUP(B25,cubo!$A$6:$BE$37,38,0)-VLOOKUP(B25,#REF!,$L$2,0),0)</f>
        <v>0</v>
      </c>
      <c r="M25" s="15">
        <f>IFERROR(VLOOKUP(B25,cubo!$A$6:$BE$37,57,0)-VLOOKUP(B25,#REF!,$M$2,0),0)</f>
        <v>0</v>
      </c>
      <c r="N25" s="9">
        <f>IFERROR(VLOOKUP(B25,cubo!$A$6:$BK$37,41,0)-VLOOKUP(conciliacao_custos!B25,#REF!,18,0),0)</f>
        <v>0</v>
      </c>
      <c r="O25" s="9">
        <f>IFERROR(VLOOKUP(B25,cubo!$A$6:$BK$37,44,0)-VLOOKUP(conciliacao_custos!B25,#REF!,13,0),0)</f>
        <v>0</v>
      </c>
      <c r="P25" s="9">
        <f>IFERROR(VLOOKUP(B25,cubo!$A$6:$BK$37,47,0)-VLOOKUP(conciliacao_custos!B25,#REF!,14,0),0)</f>
        <v>0</v>
      </c>
      <c r="Q25" s="9">
        <f>IFERROR(VLOOKUP(B25,cubo!$A$6:$BK$37,58,0)-VLOOKUP(conciliacao_custos!B25,#REF!,16,0),0)</f>
        <v>0</v>
      </c>
      <c r="R25" s="9">
        <f>IFERROR(VLOOKUP(B25,cubo!$A$6:$BK$37,64,0)-VLOOKUP(conciliacao_custos!B25,#REF!,17,0),0)</f>
        <v>0</v>
      </c>
      <c r="S25" s="9">
        <f>IFERROR(VLOOKUP(B25,cubo!$A$6:$BK$37,61,0)-VLOOKUP(conciliacao_custos!B25,#REF!,15,0),0)</f>
        <v>0</v>
      </c>
    </row>
    <row r="26" spans="2:19" x14ac:dyDescent="0.25">
      <c r="B26" s="7">
        <f>[1]salario!A25</f>
        <v>23</v>
      </c>
      <c r="C26" s="8" t="str">
        <f>[1]salario!C25</f>
        <v>Colaborador 23</v>
      </c>
      <c r="D26" s="10">
        <f>IFERROR(VLOOKUP(B26,cubo!$A$6:$BE$37,6,0)-VLOOKUP(B26,#REF!,$D$2,0),0)</f>
        <v>0</v>
      </c>
      <c r="E26" s="10">
        <f>IFERROR(VLOOKUP(B26,cubo!$A$6:$BE$37,9,0)-VLOOKUP(B26,#REF!,$E$2,0),0)</f>
        <v>0</v>
      </c>
      <c r="F26" s="9">
        <f>IFERROR(VLOOKUP(B26,cubo!$A$6:$BE$37,12,0)-VLOOKUP(B26,#REF!,$F$2,0),0)</f>
        <v>0</v>
      </c>
      <c r="G26" s="9">
        <f>IFERROR(VLOOKUP(B26,cubo!$A$6:$BE$37,54,0)-VLOOKUP(B26,#REF!,$G$2,0),0)</f>
        <v>0</v>
      </c>
      <c r="H26" s="10">
        <f>IFERROR(VLOOKUP(B26,cubo!$A$6:$BE$37,15,0)-VLOOKUP(B26,#REF!,$H$2,0),0)</f>
        <v>0</v>
      </c>
      <c r="I26" s="9">
        <f>IFERROR(VLOOKUP(B26,cubo!$A$6:$BE$37,18,0)-VLOOKUP(B26,#REF!,$I$2,0),0)</f>
        <v>0</v>
      </c>
      <c r="J26" s="9">
        <f>IFERROR(VLOOKUP(B26,cubo!$A$6:$BE$37,24,0)-VLOOKUP(B26,#REF!,$J$2,0),0)</f>
        <v>0</v>
      </c>
      <c r="K26" s="9">
        <f>IFERROR(VLOOKUP(B26,cubo!$A$6:$BE$37,34,0)-VLOOKUP(B26,#REF!,$K$2,0),0)</f>
        <v>0</v>
      </c>
      <c r="L26" s="8">
        <f>IFERROR(VLOOKUP(B26,cubo!$A$6:$BE$37,38,0)-VLOOKUP(B26,#REF!,$L$2,0),0)</f>
        <v>0</v>
      </c>
      <c r="M26" s="15">
        <f>IFERROR(VLOOKUP(B26,cubo!$A$6:$BE$37,57,0)-VLOOKUP(B26,#REF!,$M$2,0),0)</f>
        <v>0</v>
      </c>
      <c r="N26" s="9">
        <f>IFERROR(VLOOKUP(B26,cubo!$A$6:$BK$37,41,0)-VLOOKUP(conciliacao_custos!B26,#REF!,18,0),0)</f>
        <v>0</v>
      </c>
      <c r="O26" s="9">
        <f>IFERROR(VLOOKUP(B26,cubo!$A$6:$BK$37,44,0)-VLOOKUP(conciliacao_custos!B26,#REF!,13,0),0)</f>
        <v>0</v>
      </c>
      <c r="P26" s="9">
        <f>IFERROR(VLOOKUP(B26,cubo!$A$6:$BK$37,47,0)-VLOOKUP(conciliacao_custos!B26,#REF!,14,0),0)</f>
        <v>0</v>
      </c>
      <c r="Q26" s="9">
        <f>IFERROR(VLOOKUP(B26,cubo!$A$6:$BK$37,58,0)-VLOOKUP(conciliacao_custos!B26,#REF!,16,0),0)</f>
        <v>0</v>
      </c>
      <c r="R26" s="9">
        <f>IFERROR(VLOOKUP(B26,cubo!$A$6:$BK$37,64,0)-VLOOKUP(conciliacao_custos!B26,#REF!,17,0),0)</f>
        <v>0</v>
      </c>
      <c r="S26" s="9">
        <f>IFERROR(VLOOKUP(B26,cubo!$A$6:$BK$37,61,0)-VLOOKUP(conciliacao_custos!B26,#REF!,15,0),0)</f>
        <v>0</v>
      </c>
    </row>
    <row r="27" spans="2:19" x14ac:dyDescent="0.25">
      <c r="B27" s="7">
        <f>[1]salario!A26</f>
        <v>24</v>
      </c>
      <c r="C27" s="8" t="str">
        <f>[1]salario!C26</f>
        <v>Colaborador 24</v>
      </c>
      <c r="D27" s="10">
        <f>IFERROR(VLOOKUP(B27,cubo!$A$6:$BE$37,6,0)-VLOOKUP(B27,#REF!,$D$2,0),0)</f>
        <v>0</v>
      </c>
      <c r="E27" s="10">
        <f>IFERROR(VLOOKUP(B27,cubo!$A$6:$BE$37,9,0)-VLOOKUP(B27,#REF!,$E$2,0),0)</f>
        <v>0</v>
      </c>
      <c r="F27" s="9">
        <f>IFERROR(VLOOKUP(B27,cubo!$A$6:$BE$37,12,0)-VLOOKUP(B27,#REF!,$F$2,0),0)</f>
        <v>0</v>
      </c>
      <c r="G27" s="9">
        <f>IFERROR(VLOOKUP(B27,cubo!$A$6:$BE$37,54,0)-VLOOKUP(B27,#REF!,$G$2,0),0)</f>
        <v>0</v>
      </c>
      <c r="H27" s="10">
        <f>IFERROR(VLOOKUP(B27,cubo!$A$6:$BE$37,15,0)-VLOOKUP(B27,#REF!,$H$2,0),0)</f>
        <v>0</v>
      </c>
      <c r="I27" s="9">
        <f>IFERROR(VLOOKUP(B27,cubo!$A$6:$BE$37,18,0)-VLOOKUP(B27,#REF!,$I$2,0),0)</f>
        <v>0</v>
      </c>
      <c r="J27" s="9">
        <f>IFERROR(VLOOKUP(B27,cubo!$A$6:$BE$37,24,0)-VLOOKUP(B27,#REF!,$J$2,0),0)</f>
        <v>0</v>
      </c>
      <c r="K27" s="9">
        <f>IFERROR(VLOOKUP(B27,cubo!$A$6:$BE$37,34,0)-VLOOKUP(B27,#REF!,$K$2,0),0)</f>
        <v>0</v>
      </c>
      <c r="L27" s="8">
        <f>IFERROR(VLOOKUP(B27,cubo!$A$6:$BE$37,38,0)-VLOOKUP(B27,#REF!,$L$2,0),0)</f>
        <v>0</v>
      </c>
      <c r="M27" s="15">
        <f>IFERROR(VLOOKUP(B27,cubo!$A$6:$BE$37,57,0)-VLOOKUP(B27,#REF!,$M$2,0),0)</f>
        <v>0</v>
      </c>
      <c r="N27" s="9">
        <f>IFERROR(VLOOKUP(B27,cubo!$A$6:$BK$37,41,0)-VLOOKUP(conciliacao_custos!B27,#REF!,18,0),0)</f>
        <v>0</v>
      </c>
      <c r="O27" s="9">
        <f>IFERROR(VLOOKUP(B27,cubo!$A$6:$BK$37,44,0)-VLOOKUP(conciliacao_custos!B27,#REF!,13,0),0)</f>
        <v>0</v>
      </c>
      <c r="P27" s="9">
        <f>IFERROR(VLOOKUP(B27,cubo!$A$6:$BK$37,47,0)-VLOOKUP(conciliacao_custos!B27,#REF!,14,0),0)</f>
        <v>0</v>
      </c>
      <c r="Q27" s="9">
        <f>IFERROR(VLOOKUP(B27,cubo!$A$6:$BK$37,58,0)-VLOOKUP(conciliacao_custos!B27,#REF!,16,0),0)</f>
        <v>0</v>
      </c>
      <c r="R27" s="9">
        <f>IFERROR(VLOOKUP(B27,cubo!$A$6:$BK$37,64,0)-VLOOKUP(conciliacao_custos!B27,#REF!,17,0),0)</f>
        <v>0</v>
      </c>
      <c r="S27" s="9">
        <f>IFERROR(VLOOKUP(B27,cubo!$A$6:$BK$37,61,0)-VLOOKUP(conciliacao_custos!B27,#REF!,15,0),0)</f>
        <v>0</v>
      </c>
    </row>
    <row r="28" spans="2:19" x14ac:dyDescent="0.25">
      <c r="B28" s="7">
        <f>[1]salario!A27</f>
        <v>25</v>
      </c>
      <c r="C28" s="8" t="str">
        <f>[1]salario!C27</f>
        <v>Colaborador 25</v>
      </c>
      <c r="D28" s="10">
        <f>IFERROR(VLOOKUP(B28,cubo!$A$6:$BE$37,6,0)-VLOOKUP(B28,#REF!,$D$2,0),0)</f>
        <v>0</v>
      </c>
      <c r="E28" s="10">
        <f>IFERROR(VLOOKUP(B28,cubo!$A$6:$BE$37,9,0)-VLOOKUP(B28,#REF!,$E$2,0),0)</f>
        <v>0</v>
      </c>
      <c r="F28" s="9">
        <f>IFERROR(VLOOKUP(B28,cubo!$A$6:$BE$37,12,0)-VLOOKUP(B28,#REF!,$F$2,0),0)</f>
        <v>0</v>
      </c>
      <c r="G28" s="9">
        <f>IFERROR(VLOOKUP(B28,cubo!$A$6:$BE$37,54,0)-VLOOKUP(B28,#REF!,$G$2,0),0)</f>
        <v>0</v>
      </c>
      <c r="H28" s="10">
        <f>IFERROR(VLOOKUP(B28,cubo!$A$6:$BE$37,15,0)-VLOOKUP(B28,#REF!,$H$2,0),0)</f>
        <v>0</v>
      </c>
      <c r="I28" s="9">
        <f>IFERROR(VLOOKUP(B28,cubo!$A$6:$BE$37,18,0)-VLOOKUP(B28,#REF!,$I$2,0),0)</f>
        <v>0</v>
      </c>
      <c r="J28" s="9">
        <f>IFERROR(VLOOKUP(B28,cubo!$A$6:$BE$37,24,0)-VLOOKUP(B28,#REF!,$J$2,0),0)</f>
        <v>0</v>
      </c>
      <c r="K28" s="9">
        <f>IFERROR(VLOOKUP(B28,cubo!$A$6:$BE$37,34,0)-VLOOKUP(B28,#REF!,$K$2,0),0)</f>
        <v>0</v>
      </c>
      <c r="L28" s="8">
        <f>IFERROR(VLOOKUP(B28,cubo!$A$6:$BE$37,38,0)-VLOOKUP(B28,#REF!,$L$2,0),0)</f>
        <v>0</v>
      </c>
      <c r="M28" s="15">
        <f>IFERROR(VLOOKUP(B28,cubo!$A$6:$BE$37,57,0)-VLOOKUP(B28,#REF!,$M$2,0),0)</f>
        <v>0</v>
      </c>
      <c r="N28" s="9">
        <f>IFERROR(VLOOKUP(B28,cubo!$A$6:$BK$37,41,0)-VLOOKUP(conciliacao_custos!B28,#REF!,18,0),0)</f>
        <v>0</v>
      </c>
      <c r="O28" s="9">
        <f>IFERROR(VLOOKUP(B28,cubo!$A$6:$BK$37,44,0)-VLOOKUP(conciliacao_custos!B28,#REF!,13,0),0)</f>
        <v>0</v>
      </c>
      <c r="P28" s="9">
        <f>IFERROR(VLOOKUP(B28,cubo!$A$6:$BK$37,47,0)-VLOOKUP(conciliacao_custos!B28,#REF!,14,0),0)</f>
        <v>0</v>
      </c>
      <c r="Q28" s="9">
        <f>IFERROR(VLOOKUP(B28,cubo!$A$6:$BK$37,58,0)-VLOOKUP(conciliacao_custos!B28,#REF!,16,0),0)</f>
        <v>0</v>
      </c>
      <c r="R28" s="9">
        <f>IFERROR(VLOOKUP(B28,cubo!$A$6:$BK$37,64,0)-VLOOKUP(conciliacao_custos!B28,#REF!,17,0),0)</f>
        <v>0</v>
      </c>
      <c r="S28" s="9">
        <f>IFERROR(VLOOKUP(B28,cubo!$A$6:$BK$37,61,0)-VLOOKUP(conciliacao_custos!B28,#REF!,15,0),0)</f>
        <v>0</v>
      </c>
    </row>
    <row r="29" spans="2:19" x14ac:dyDescent="0.25">
      <c r="B29" s="7">
        <f>[1]salario!A28</f>
        <v>26</v>
      </c>
      <c r="C29" s="8" t="str">
        <f>[1]salario!C28</f>
        <v>Colaborador 26</v>
      </c>
      <c r="D29" s="10">
        <f>IFERROR(VLOOKUP(B29,cubo!$A$6:$BE$37,6,0)-VLOOKUP(B29,#REF!,$D$2,0),0)</f>
        <v>0</v>
      </c>
      <c r="E29" s="10">
        <f>IFERROR(VLOOKUP(B29,cubo!$A$6:$BE$37,9,0)-VLOOKUP(B29,#REF!,$E$2,0),0)</f>
        <v>0</v>
      </c>
      <c r="F29" s="9">
        <f>IFERROR(VLOOKUP(B29,cubo!$A$6:$BE$37,12,0)-VLOOKUP(B29,#REF!,$F$2,0),0)</f>
        <v>0</v>
      </c>
      <c r="G29" s="9">
        <f>IFERROR(VLOOKUP(B29,cubo!$A$6:$BE$37,54,0)-VLOOKUP(B29,#REF!,$G$2,0),0)</f>
        <v>0</v>
      </c>
      <c r="H29" s="10">
        <f>IFERROR(VLOOKUP(B29,cubo!$A$6:$BE$37,15,0)-VLOOKUP(B29,#REF!,$H$2,0),0)</f>
        <v>0</v>
      </c>
      <c r="I29" s="9">
        <f>IFERROR(VLOOKUP(B29,cubo!$A$6:$BE$37,18,0)-VLOOKUP(B29,#REF!,$I$2,0),0)</f>
        <v>0</v>
      </c>
      <c r="J29" s="9">
        <f>IFERROR(VLOOKUP(B29,cubo!$A$6:$BE$37,24,0)-VLOOKUP(B29,#REF!,$J$2,0),0)</f>
        <v>0</v>
      </c>
      <c r="K29" s="9">
        <f>IFERROR(VLOOKUP(B29,cubo!$A$6:$BE$37,34,0)-VLOOKUP(B29,#REF!,$K$2,0),0)</f>
        <v>0</v>
      </c>
      <c r="L29" s="8">
        <f>IFERROR(VLOOKUP(B29,cubo!$A$6:$BE$37,38,0)-VLOOKUP(B29,#REF!,$L$2,0),0)</f>
        <v>0</v>
      </c>
      <c r="M29" s="15">
        <f>IFERROR(VLOOKUP(B29,cubo!$A$6:$BE$37,57,0)-VLOOKUP(B29,#REF!,$M$2,0),0)</f>
        <v>0</v>
      </c>
      <c r="N29" s="9">
        <f>IFERROR(VLOOKUP(B29,cubo!$A$6:$BK$37,41,0)-VLOOKUP(conciliacao_custos!B29,#REF!,18,0),0)</f>
        <v>0</v>
      </c>
      <c r="O29" s="9">
        <f>IFERROR(VLOOKUP(B29,cubo!$A$6:$BK$37,44,0)-VLOOKUP(conciliacao_custos!B29,#REF!,13,0),0)</f>
        <v>0</v>
      </c>
      <c r="P29" s="9">
        <f>IFERROR(VLOOKUP(B29,cubo!$A$6:$BK$37,47,0)-VLOOKUP(conciliacao_custos!B29,#REF!,14,0),0)</f>
        <v>0</v>
      </c>
      <c r="Q29" s="9">
        <f>IFERROR(VLOOKUP(B29,cubo!$A$6:$BK$37,58,0)-VLOOKUP(conciliacao_custos!B29,#REF!,16,0),0)</f>
        <v>0</v>
      </c>
      <c r="R29" s="9">
        <f>IFERROR(VLOOKUP(B29,cubo!$A$6:$BK$37,64,0)-VLOOKUP(conciliacao_custos!B29,#REF!,17,0),0)</f>
        <v>0</v>
      </c>
      <c r="S29" s="9">
        <f>IFERROR(VLOOKUP(B29,cubo!$A$6:$BK$37,61,0)-VLOOKUP(conciliacao_custos!B29,#REF!,15,0),0)</f>
        <v>0</v>
      </c>
    </row>
    <row r="30" spans="2:19" x14ac:dyDescent="0.25">
      <c r="B30" s="7">
        <f>[1]salario!A29</f>
        <v>27</v>
      </c>
      <c r="C30" s="8" t="str">
        <f>[1]salario!C29</f>
        <v>Colaborador 27</v>
      </c>
      <c r="D30" s="10">
        <f>IFERROR(VLOOKUP(B30,cubo!$A$6:$BE$37,6,0)-VLOOKUP(B30,#REF!,$D$2,0),0)</f>
        <v>0</v>
      </c>
      <c r="E30" s="10">
        <f>IFERROR(VLOOKUP(B30,cubo!$A$6:$BE$37,9,0)-VLOOKUP(B30,#REF!,$E$2,0),0)</f>
        <v>0</v>
      </c>
      <c r="F30" s="9">
        <f>IFERROR(VLOOKUP(B30,cubo!$A$6:$BE$37,12,0)-VLOOKUP(B30,#REF!,$F$2,0),0)</f>
        <v>0</v>
      </c>
      <c r="G30" s="9">
        <f>IFERROR(VLOOKUP(B30,cubo!$A$6:$BE$37,54,0)-VLOOKUP(B30,#REF!,$G$2,0),0)</f>
        <v>0</v>
      </c>
      <c r="H30" s="10">
        <f>IFERROR(VLOOKUP(B30,cubo!$A$6:$BE$37,15,0)-VLOOKUP(B30,#REF!,$H$2,0),0)</f>
        <v>0</v>
      </c>
      <c r="I30" s="9">
        <f>IFERROR(VLOOKUP(B30,cubo!$A$6:$BE$37,18,0)-VLOOKUP(B30,#REF!,$I$2,0),0)</f>
        <v>0</v>
      </c>
      <c r="J30" s="9">
        <f>IFERROR(VLOOKUP(B30,cubo!$A$6:$BE$37,24,0)-VLOOKUP(B30,#REF!,$J$2,0),0)</f>
        <v>0</v>
      </c>
      <c r="K30" s="9">
        <f>IFERROR(VLOOKUP(B30,cubo!$A$6:$BE$37,34,0)-VLOOKUP(B30,#REF!,$K$2,0),0)</f>
        <v>0</v>
      </c>
      <c r="L30" s="8">
        <f>IFERROR(VLOOKUP(B30,cubo!$A$6:$BE$37,38,0)-VLOOKUP(B30,#REF!,$L$2,0),0)</f>
        <v>0</v>
      </c>
      <c r="M30" s="15">
        <f>IFERROR(VLOOKUP(B30,cubo!$A$6:$BE$37,57,0)-VLOOKUP(B30,#REF!,$M$2,0),0)</f>
        <v>0</v>
      </c>
      <c r="N30" s="9">
        <f>IFERROR(VLOOKUP(B30,cubo!$A$6:$BK$37,41,0)-VLOOKUP(conciliacao_custos!B30,#REF!,18,0),0)</f>
        <v>0</v>
      </c>
      <c r="O30" s="9">
        <f>IFERROR(VLOOKUP(B30,cubo!$A$6:$BK$37,44,0)-VLOOKUP(conciliacao_custos!B30,#REF!,13,0),0)</f>
        <v>0</v>
      </c>
      <c r="P30" s="9">
        <f>IFERROR(VLOOKUP(B30,cubo!$A$6:$BK$37,47,0)-VLOOKUP(conciliacao_custos!B30,#REF!,14,0),0)</f>
        <v>0</v>
      </c>
      <c r="Q30" s="9">
        <f>IFERROR(VLOOKUP(B30,cubo!$A$6:$BK$37,58,0)-VLOOKUP(conciliacao_custos!B30,#REF!,16,0),0)</f>
        <v>0</v>
      </c>
      <c r="R30" s="9">
        <f>IFERROR(VLOOKUP(B30,cubo!$A$6:$BK$37,64,0)-VLOOKUP(conciliacao_custos!B30,#REF!,17,0),0)</f>
        <v>0</v>
      </c>
      <c r="S30" s="9">
        <f>IFERROR(VLOOKUP(B30,cubo!$A$6:$BK$37,61,0)-VLOOKUP(conciliacao_custos!B30,#REF!,15,0),0)</f>
        <v>0</v>
      </c>
    </row>
    <row r="31" spans="2:19" x14ac:dyDescent="0.25">
      <c r="B31" s="7">
        <f>[1]salario!A30</f>
        <v>28</v>
      </c>
      <c r="C31" s="8" t="str">
        <f>[1]salario!C30</f>
        <v>Colaborador 28</v>
      </c>
      <c r="D31" s="10">
        <f>IFERROR(VLOOKUP(B31,cubo!$A$6:$BE$37,6,0)-VLOOKUP(B31,#REF!,$D$2,0),0)</f>
        <v>0</v>
      </c>
      <c r="E31" s="10">
        <f>IFERROR(VLOOKUP(B31,cubo!$A$6:$BE$37,9,0)-VLOOKUP(B31,#REF!,$E$2,0),0)</f>
        <v>0</v>
      </c>
      <c r="F31" s="9">
        <f>IFERROR(VLOOKUP(B31,cubo!$A$6:$BE$37,12,0)-VLOOKUP(B31,#REF!,$F$2,0),0)</f>
        <v>0</v>
      </c>
      <c r="G31" s="9">
        <f>IFERROR(VLOOKUP(B31,cubo!$A$6:$BE$37,54,0)-VLOOKUP(B31,#REF!,$G$2,0),0)</f>
        <v>0</v>
      </c>
      <c r="H31" s="10">
        <f>IFERROR(VLOOKUP(B31,cubo!$A$6:$BE$37,15,0)-VLOOKUP(B31,#REF!,$H$2,0),0)</f>
        <v>0</v>
      </c>
      <c r="I31" s="9">
        <f>IFERROR(VLOOKUP(B31,cubo!$A$6:$BE$37,18,0)-VLOOKUP(B31,#REF!,$I$2,0),0)</f>
        <v>0</v>
      </c>
      <c r="J31" s="9">
        <f>IFERROR(VLOOKUP(B31,cubo!$A$6:$BE$37,24,0)-VLOOKUP(B31,#REF!,$J$2,0),0)</f>
        <v>0</v>
      </c>
      <c r="K31" s="9">
        <f>IFERROR(VLOOKUP(B31,cubo!$A$6:$BE$37,34,0)-VLOOKUP(B31,#REF!,$K$2,0),0)</f>
        <v>0</v>
      </c>
      <c r="L31" s="8">
        <f>IFERROR(VLOOKUP(B31,cubo!$A$6:$BE$37,38,0)-VLOOKUP(B31,#REF!,$L$2,0),0)</f>
        <v>0</v>
      </c>
      <c r="M31" s="15">
        <f>IFERROR(VLOOKUP(B31,cubo!$A$6:$BE$37,57,0)-VLOOKUP(B31,#REF!,$M$2,0),0)</f>
        <v>0</v>
      </c>
      <c r="N31" s="9">
        <f>IFERROR(VLOOKUP(B31,cubo!$A$6:$BK$37,41,0)-VLOOKUP(conciliacao_custos!B31,#REF!,18,0),0)</f>
        <v>0</v>
      </c>
      <c r="O31" s="9">
        <f>IFERROR(VLOOKUP(B31,cubo!$A$6:$BK$37,44,0)-VLOOKUP(conciliacao_custos!B31,#REF!,13,0),0)</f>
        <v>0</v>
      </c>
      <c r="P31" s="9">
        <f>IFERROR(VLOOKUP(B31,cubo!$A$6:$BK$37,47,0)-VLOOKUP(conciliacao_custos!B31,#REF!,14,0),0)</f>
        <v>0</v>
      </c>
      <c r="Q31" s="9">
        <f>IFERROR(VLOOKUP(B31,cubo!$A$6:$BK$37,58,0)-VLOOKUP(conciliacao_custos!B31,#REF!,16,0),0)</f>
        <v>0</v>
      </c>
      <c r="R31" s="9">
        <f>IFERROR(VLOOKUP(B31,cubo!$A$6:$BK$37,64,0)-VLOOKUP(conciliacao_custos!B31,#REF!,17,0),0)</f>
        <v>0</v>
      </c>
      <c r="S31" s="9">
        <f>IFERROR(VLOOKUP(B31,cubo!$A$6:$BK$37,61,0)-VLOOKUP(conciliacao_custos!B31,#REF!,15,0),0)</f>
        <v>0</v>
      </c>
    </row>
    <row r="32" spans="2:19" x14ac:dyDescent="0.25">
      <c r="B32" s="7">
        <f>[1]salario!A31</f>
        <v>29</v>
      </c>
      <c r="C32" s="8" t="str">
        <f>[1]salario!C31</f>
        <v>Colaborador 29</v>
      </c>
      <c r="D32" s="10">
        <f>IFERROR(VLOOKUP(B32,cubo!$A$6:$BE$37,6,0)-VLOOKUP(B32,#REF!,$D$2,0),0)</f>
        <v>0</v>
      </c>
      <c r="E32" s="10">
        <f>IFERROR(VLOOKUP(B32,cubo!$A$6:$BE$37,9,0)-VLOOKUP(B32,#REF!,$E$2,0),0)</f>
        <v>0</v>
      </c>
      <c r="F32" s="9">
        <f>IFERROR(VLOOKUP(B32,cubo!$A$6:$BE$37,12,0)-VLOOKUP(B32,#REF!,$F$2,0),0)</f>
        <v>0</v>
      </c>
      <c r="G32" s="9">
        <f>IFERROR(VLOOKUP(B32,cubo!$A$6:$BE$37,54,0)-VLOOKUP(B32,#REF!,$G$2,0),0)</f>
        <v>0</v>
      </c>
      <c r="H32" s="10">
        <f>IFERROR(VLOOKUP(B32,cubo!$A$6:$BE$37,15,0)-VLOOKUP(B32,#REF!,$H$2,0),0)</f>
        <v>0</v>
      </c>
      <c r="I32" s="9">
        <f>IFERROR(VLOOKUP(B32,cubo!$A$6:$BE$37,18,0)-VLOOKUP(B32,#REF!,$I$2,0),0)</f>
        <v>0</v>
      </c>
      <c r="J32" s="9">
        <f>IFERROR(VLOOKUP(B32,cubo!$A$6:$BE$37,24,0)-VLOOKUP(B32,#REF!,$J$2,0),0)</f>
        <v>0</v>
      </c>
      <c r="K32" s="9">
        <f>IFERROR(VLOOKUP(B32,cubo!$A$6:$BE$37,34,0)-VLOOKUP(B32,#REF!,$K$2,0),0)</f>
        <v>0</v>
      </c>
      <c r="L32" s="8">
        <f>IFERROR(VLOOKUP(B32,cubo!$A$6:$BE$37,38,0)-VLOOKUP(B32,#REF!,$L$2,0),0)</f>
        <v>0</v>
      </c>
      <c r="M32" s="15">
        <f>IFERROR(VLOOKUP(B32,cubo!$A$6:$BE$37,57,0)-VLOOKUP(B32,#REF!,$M$2,0),0)</f>
        <v>0</v>
      </c>
      <c r="N32" s="9">
        <f>IFERROR(VLOOKUP(B32,cubo!$A$6:$BK$37,41,0)-VLOOKUP(conciliacao_custos!B32,#REF!,18,0),0)</f>
        <v>0</v>
      </c>
      <c r="O32" s="9">
        <f>IFERROR(VLOOKUP(B32,cubo!$A$6:$BK$37,44,0)-VLOOKUP(conciliacao_custos!B32,#REF!,13,0),0)</f>
        <v>0</v>
      </c>
      <c r="P32" s="9">
        <f>IFERROR(VLOOKUP(B32,cubo!$A$6:$BK$37,47,0)-VLOOKUP(conciliacao_custos!B32,#REF!,14,0),0)</f>
        <v>0</v>
      </c>
      <c r="Q32" s="9">
        <f>IFERROR(VLOOKUP(B32,cubo!$A$6:$BK$37,58,0)-VLOOKUP(conciliacao_custos!B32,#REF!,16,0),0)</f>
        <v>0</v>
      </c>
      <c r="R32" s="9">
        <f>IFERROR(VLOOKUP(B32,cubo!$A$6:$BK$37,64,0)-VLOOKUP(conciliacao_custos!B32,#REF!,17,0),0)</f>
        <v>0</v>
      </c>
      <c r="S32" s="9">
        <f>IFERROR(VLOOKUP(B32,cubo!$A$6:$BK$37,61,0)-VLOOKUP(conciliacao_custos!B32,#REF!,15,0),0)</f>
        <v>0</v>
      </c>
    </row>
    <row r="33" spans="2:19" x14ac:dyDescent="0.25">
      <c r="B33" s="7">
        <f>[1]salario!A32</f>
        <v>30</v>
      </c>
      <c r="C33" s="8" t="str">
        <f>[1]salario!C32</f>
        <v>Colaborador 30</v>
      </c>
      <c r="D33" s="10">
        <f>IFERROR(VLOOKUP(B33,cubo!$A$6:$BE$37,6,0)-VLOOKUP(B33,#REF!,$D$2,0),0)</f>
        <v>0</v>
      </c>
      <c r="E33" s="10">
        <f>IFERROR(VLOOKUP(B33,cubo!$A$6:$BE$37,9,0)-VLOOKUP(B33,#REF!,$E$2,0),0)</f>
        <v>0</v>
      </c>
      <c r="F33" s="9">
        <f>IFERROR(VLOOKUP(B33,cubo!$A$6:$BE$37,12,0)-VLOOKUP(B33,#REF!,$F$2,0),0)</f>
        <v>0</v>
      </c>
      <c r="G33" s="9">
        <f>IFERROR(VLOOKUP(B33,cubo!$A$6:$BE$37,54,0)-VLOOKUP(B33,#REF!,$G$2,0),0)</f>
        <v>0</v>
      </c>
      <c r="H33" s="10">
        <f>IFERROR(VLOOKUP(B33,cubo!$A$6:$BE$37,15,0)-VLOOKUP(B33,#REF!,$H$2,0),0)</f>
        <v>0</v>
      </c>
      <c r="I33" s="9">
        <f>IFERROR(VLOOKUP(B33,cubo!$A$6:$BE$37,18,0)-VLOOKUP(B33,#REF!,$I$2,0),0)</f>
        <v>0</v>
      </c>
      <c r="J33" s="9">
        <f>IFERROR(VLOOKUP(B33,cubo!$A$6:$BE$37,24,0)-VLOOKUP(B33,#REF!,$J$2,0),0)</f>
        <v>0</v>
      </c>
      <c r="K33" s="9">
        <f>IFERROR(VLOOKUP(B33,cubo!$A$6:$BE$37,34,0)-VLOOKUP(B33,#REF!,$K$2,0),0)</f>
        <v>0</v>
      </c>
      <c r="L33" s="8">
        <f>IFERROR(VLOOKUP(B33,cubo!$A$6:$BE$37,38,0)-VLOOKUP(B33,#REF!,$L$2,0),0)</f>
        <v>0</v>
      </c>
      <c r="M33" s="15">
        <f>IFERROR(VLOOKUP(B33,cubo!$A$6:$BE$37,57,0)-VLOOKUP(B33,#REF!,$M$2,0),0)</f>
        <v>0</v>
      </c>
      <c r="N33" s="9">
        <f>IFERROR(VLOOKUP(B33,cubo!$A$6:$BK$37,41,0)-VLOOKUP(conciliacao_custos!B33,#REF!,18,0),0)</f>
        <v>0</v>
      </c>
      <c r="O33" s="9">
        <f>IFERROR(VLOOKUP(B33,cubo!$A$6:$BK$37,44,0)-VLOOKUP(conciliacao_custos!B33,#REF!,13,0),0)</f>
        <v>0</v>
      </c>
      <c r="P33" s="9">
        <f>IFERROR(VLOOKUP(B33,cubo!$A$6:$BK$37,47,0)-VLOOKUP(conciliacao_custos!B33,#REF!,14,0),0)</f>
        <v>0</v>
      </c>
      <c r="Q33" s="9">
        <f>IFERROR(VLOOKUP(B33,cubo!$A$6:$BK$37,58,0)-VLOOKUP(conciliacao_custos!B33,#REF!,16,0),0)</f>
        <v>0</v>
      </c>
      <c r="R33" s="9">
        <f>IFERROR(VLOOKUP(B33,cubo!$A$6:$BK$37,64,0)-VLOOKUP(conciliacao_custos!B33,#REF!,17,0),0)</f>
        <v>0</v>
      </c>
      <c r="S33" s="9">
        <f>IFERROR(VLOOKUP(B33,cubo!$A$6:$BK$37,61,0)-VLOOKUP(conciliacao_custos!B33,#REF!,15,0),0)</f>
        <v>0</v>
      </c>
    </row>
    <row r="34" spans="2:19" x14ac:dyDescent="0.25">
      <c r="B34" s="7">
        <f>[1]salario!A33</f>
        <v>0</v>
      </c>
      <c r="C34" s="8">
        <f>[1]salario!C33</f>
        <v>0</v>
      </c>
      <c r="D34" s="10">
        <f>IFERROR(VLOOKUP(B34,cubo!$A$6:$BE$37,6,0)-VLOOKUP(B34,#REF!,$D$2,0),0)</f>
        <v>0</v>
      </c>
      <c r="E34" s="10">
        <f>IFERROR(VLOOKUP(B34,cubo!$A$6:$BE$37,9,0)-VLOOKUP(B34,#REF!,$E$2,0),0)</f>
        <v>0</v>
      </c>
      <c r="F34" s="9">
        <f>IFERROR(VLOOKUP(B34,cubo!$A$6:$BE$37,12,0)-VLOOKUP(B34,#REF!,$F$2,0),0)</f>
        <v>0</v>
      </c>
      <c r="G34" s="9">
        <f>IFERROR(VLOOKUP(B34,cubo!$A$6:$BE$37,54,0)-VLOOKUP(B34,#REF!,$G$2,0),0)</f>
        <v>0</v>
      </c>
      <c r="H34" s="10">
        <f>IFERROR(VLOOKUP(B34,cubo!$A$6:$BE$37,15,0)-VLOOKUP(B34,#REF!,$H$2,0),0)</f>
        <v>0</v>
      </c>
      <c r="I34" s="9">
        <f>IFERROR(VLOOKUP(B34,cubo!$A$6:$BE$37,18,0)-VLOOKUP(B34,#REF!,$I$2,0),0)</f>
        <v>0</v>
      </c>
      <c r="J34" s="9">
        <f>IFERROR(VLOOKUP(B34,cubo!$A$6:$BE$37,24,0)-VLOOKUP(B34,#REF!,$J$2,0),0)</f>
        <v>0</v>
      </c>
      <c r="K34" s="9">
        <f>IFERROR(VLOOKUP(B34,cubo!$A$6:$BE$37,34,0)-VLOOKUP(B34,#REF!,$K$2,0),0)</f>
        <v>0</v>
      </c>
      <c r="L34" s="8">
        <f>IFERROR(VLOOKUP(B34,cubo!$A$6:$BE$37,38,0)-VLOOKUP(B34,#REF!,$L$2,0),0)</f>
        <v>0</v>
      </c>
      <c r="M34" s="15">
        <f>IFERROR(VLOOKUP(B34,cubo!$A$6:$BE$37,57,0)-VLOOKUP(B34,#REF!,$M$2,0),0)</f>
        <v>0</v>
      </c>
      <c r="N34" s="9">
        <f>IFERROR(VLOOKUP(B34,cubo!$A$6:$BK$37,41,0)-VLOOKUP(conciliacao_custos!B34,#REF!,18,0),0)</f>
        <v>0</v>
      </c>
      <c r="O34" s="9">
        <f>IFERROR(VLOOKUP(B34,cubo!$A$6:$BK$37,44,0)-VLOOKUP(conciliacao_custos!B34,#REF!,13,0),0)</f>
        <v>0</v>
      </c>
      <c r="P34" s="9">
        <f>IFERROR(VLOOKUP(B34,cubo!$A$6:$BK$37,47,0)-VLOOKUP(conciliacao_custos!B34,#REF!,14,0),0)</f>
        <v>0</v>
      </c>
      <c r="Q34" s="9">
        <f>IFERROR(VLOOKUP(B34,cubo!$A$6:$BK$37,58,0)-VLOOKUP(conciliacao_custos!B34,#REF!,16,0),0)</f>
        <v>0</v>
      </c>
      <c r="R34" s="9">
        <f>IFERROR(VLOOKUP(B34,cubo!$A$6:$BK$37,64,0)-VLOOKUP(conciliacao_custos!B34,#REF!,17,0),0)</f>
        <v>0</v>
      </c>
      <c r="S34" s="9">
        <f>IFERROR(VLOOKUP(B34,cubo!$A$6:$BK$37,61,0)-VLOOKUP(conciliacao_custos!B34,#REF!,15,0),0)</f>
        <v>0</v>
      </c>
    </row>
    <row r="35" spans="2:19" x14ac:dyDescent="0.25">
      <c r="B35" s="7">
        <f>[1]salario!A34</f>
        <v>0</v>
      </c>
      <c r="C35" s="8">
        <f>[1]salario!C34</f>
        <v>0</v>
      </c>
      <c r="D35" s="10">
        <f>IFERROR(VLOOKUP(B35,cubo!$A$6:$BE$37,6,0)-VLOOKUP(B35,#REF!,$D$2,0),0)</f>
        <v>0</v>
      </c>
      <c r="E35" s="10">
        <f>IFERROR(VLOOKUP(B35,cubo!$A$6:$BE$37,9,0)-VLOOKUP(B35,#REF!,$E$2,0),0)</f>
        <v>0</v>
      </c>
      <c r="F35" s="9">
        <f>IFERROR(VLOOKUP(B35,cubo!$A$6:$BE$37,12,0)-VLOOKUP(B35,#REF!,$F$2,0),0)</f>
        <v>0</v>
      </c>
      <c r="G35" s="9">
        <f>IFERROR(VLOOKUP(B35,cubo!$A$6:$BE$37,54,0)-VLOOKUP(B35,#REF!,$G$2,0),0)</f>
        <v>0</v>
      </c>
      <c r="H35" s="10">
        <f>IFERROR(VLOOKUP(B35,cubo!$A$6:$BE$37,15,0)-VLOOKUP(B35,#REF!,$H$2,0),0)</f>
        <v>0</v>
      </c>
      <c r="I35" s="9">
        <f>IFERROR(VLOOKUP(B35,cubo!$A$6:$BE$37,18,0)-VLOOKUP(B35,#REF!,$I$2,0),0)</f>
        <v>0</v>
      </c>
      <c r="J35" s="9">
        <f>IFERROR(VLOOKUP(B35,cubo!$A$6:$BE$37,24,0)-VLOOKUP(B35,#REF!,$J$2,0),0)</f>
        <v>0</v>
      </c>
      <c r="K35" s="9">
        <f>IFERROR(VLOOKUP(B35,cubo!$A$6:$BE$37,34,0)-VLOOKUP(B35,#REF!,$K$2,0),0)</f>
        <v>0</v>
      </c>
      <c r="L35" s="8">
        <f>IFERROR(VLOOKUP(B35,cubo!$A$6:$BE$37,38,0)-VLOOKUP(B35,#REF!,$L$2,0),0)</f>
        <v>0</v>
      </c>
      <c r="M35" s="15">
        <f>IFERROR(VLOOKUP(B35,cubo!$A$6:$BE$37,57,0)-VLOOKUP(B35,#REF!,$M$2,0),0)</f>
        <v>0</v>
      </c>
      <c r="N35" s="9">
        <f>IFERROR(VLOOKUP(B35,cubo!$A$6:$BK$37,41,0)-VLOOKUP(conciliacao_custos!B35,#REF!,18,0),0)</f>
        <v>0</v>
      </c>
      <c r="O35" s="9">
        <f>IFERROR(VLOOKUP(B35,cubo!$A$6:$BK$37,44,0)-VLOOKUP(conciliacao_custos!B35,#REF!,13,0),0)</f>
        <v>0</v>
      </c>
      <c r="P35" s="9">
        <f>IFERROR(VLOOKUP(B35,cubo!$A$6:$BK$37,47,0)-VLOOKUP(conciliacao_custos!B35,#REF!,14,0),0)</f>
        <v>0</v>
      </c>
      <c r="Q35" s="9">
        <f>IFERROR(VLOOKUP(B35,cubo!$A$6:$BK$37,58,0)-VLOOKUP(conciliacao_custos!B35,#REF!,16,0),0)</f>
        <v>0</v>
      </c>
      <c r="R35" s="9">
        <f>IFERROR(VLOOKUP(B35,cubo!$A$6:$BK$37,64,0)-VLOOKUP(conciliacao_custos!B35,#REF!,17,0),0)</f>
        <v>0</v>
      </c>
      <c r="S35" s="9">
        <f>IFERROR(VLOOKUP(B35,cubo!$A$6:$BK$37,61,0)-VLOOKUP(conciliacao_custos!B35,#REF!,15,0),0)</f>
        <v>0</v>
      </c>
    </row>
    <row r="36" spans="2:19" x14ac:dyDescent="0.25">
      <c r="B36" s="7">
        <f>[1]salario!A35</f>
        <v>0</v>
      </c>
      <c r="C36" s="8">
        <f>[1]salario!C35</f>
        <v>0</v>
      </c>
      <c r="D36" s="10">
        <f>IFERROR(VLOOKUP(B36,cubo!$A$6:$BE$37,6,0)-VLOOKUP(B36,#REF!,$D$2,0),0)</f>
        <v>0</v>
      </c>
      <c r="E36" s="10">
        <f>IFERROR(VLOOKUP(B36,cubo!$A$6:$BE$37,9,0)-VLOOKUP(B36,#REF!,$E$2,0),0)</f>
        <v>0</v>
      </c>
      <c r="F36" s="9">
        <f>IFERROR(VLOOKUP(B36,cubo!$A$6:$BE$37,12,0)-VLOOKUP(B36,#REF!,$F$2,0),0)</f>
        <v>0</v>
      </c>
      <c r="G36" s="9">
        <f>IFERROR(VLOOKUP(B36,cubo!$A$6:$BE$37,54,0)-VLOOKUP(B36,#REF!,$G$2,0),0)</f>
        <v>0</v>
      </c>
      <c r="H36" s="10">
        <f>IFERROR(VLOOKUP(B36,cubo!$A$6:$BE$37,15,0)-VLOOKUP(B36,#REF!,$H$2,0),0)</f>
        <v>0</v>
      </c>
      <c r="I36" s="9">
        <f>IFERROR(VLOOKUP(B36,cubo!$A$6:$BE$37,18,0)-VLOOKUP(B36,#REF!,$I$2,0),0)</f>
        <v>0</v>
      </c>
      <c r="J36" s="9">
        <f>IFERROR(VLOOKUP(B36,cubo!$A$6:$BE$37,24,0)-VLOOKUP(B36,#REF!,$J$2,0),0)</f>
        <v>0</v>
      </c>
      <c r="K36" s="9">
        <f>IFERROR(VLOOKUP(B36,cubo!$A$6:$BE$37,34,0)-VLOOKUP(B36,#REF!,$K$2,0),0)</f>
        <v>0</v>
      </c>
      <c r="L36" s="8">
        <f>IFERROR(VLOOKUP(B36,cubo!$A$6:$BE$37,38,0)-VLOOKUP(B36,#REF!,$L$2,0),0)</f>
        <v>0</v>
      </c>
      <c r="M36" s="15">
        <f>IFERROR(VLOOKUP(B36,cubo!$A$6:$BE$37,57,0)-VLOOKUP(B36,#REF!,$M$2,0),0)</f>
        <v>0</v>
      </c>
      <c r="N36" s="9">
        <f>IFERROR(VLOOKUP(B36,cubo!$A$6:$BK$37,41,0)-VLOOKUP(conciliacao_custos!B36,#REF!,18,0),0)</f>
        <v>0</v>
      </c>
      <c r="O36" s="9">
        <f>IFERROR(VLOOKUP(B36,cubo!$A$6:$BK$37,44,0)-VLOOKUP(conciliacao_custos!B36,#REF!,13,0),0)</f>
        <v>0</v>
      </c>
      <c r="P36" s="9">
        <f>IFERROR(VLOOKUP(B36,cubo!$A$6:$BK$37,47,0)-VLOOKUP(conciliacao_custos!B36,#REF!,14,0),0)</f>
        <v>0</v>
      </c>
      <c r="Q36" s="9">
        <f>IFERROR(VLOOKUP(B36,cubo!$A$6:$BK$37,58,0)-VLOOKUP(conciliacao_custos!B36,#REF!,16,0),0)</f>
        <v>0</v>
      </c>
      <c r="R36" s="9">
        <f>IFERROR(VLOOKUP(B36,cubo!$A$6:$BK$37,64,0)-VLOOKUP(conciliacao_custos!B36,#REF!,17,0),0)</f>
        <v>0</v>
      </c>
      <c r="S36" s="9">
        <f>IFERROR(VLOOKUP(B36,cubo!$A$6:$BK$37,61,0)-VLOOKUP(conciliacao_custos!B36,#REF!,15,0),0)</f>
        <v>0</v>
      </c>
    </row>
    <row r="37" spans="2:19" x14ac:dyDescent="0.25">
      <c r="B37" s="7">
        <f>[1]salario!A36</f>
        <v>0</v>
      </c>
      <c r="C37" s="8">
        <f>[1]salario!C36</f>
        <v>0</v>
      </c>
      <c r="D37" s="10">
        <f>IFERROR(VLOOKUP(B37,cubo!$A$6:$BE$37,6,0)-VLOOKUP(B37,#REF!,$D$2,0),0)</f>
        <v>0</v>
      </c>
      <c r="E37" s="10">
        <f>IFERROR(VLOOKUP(B37,cubo!$A$6:$BE$37,9,0)-VLOOKUP(B37,#REF!,$E$2,0),0)</f>
        <v>0</v>
      </c>
      <c r="F37" s="9">
        <f>IFERROR(VLOOKUP(B37,cubo!$A$6:$BE$37,12,0)-VLOOKUP(B37,#REF!,$F$2,0),0)</f>
        <v>0</v>
      </c>
      <c r="G37" s="9">
        <f>IFERROR(VLOOKUP(B37,cubo!$A$6:$BE$37,54,0)-VLOOKUP(B37,#REF!,$G$2,0),0)</f>
        <v>0</v>
      </c>
      <c r="H37" s="10">
        <f>IFERROR(VLOOKUP(B37,cubo!$A$6:$BE$37,15,0)-VLOOKUP(B37,#REF!,$H$2,0),0)</f>
        <v>0</v>
      </c>
      <c r="I37" s="9">
        <f>IFERROR(VLOOKUP(B37,cubo!$A$6:$BE$37,18,0)-VLOOKUP(B37,#REF!,$I$2,0),0)</f>
        <v>0</v>
      </c>
      <c r="J37" s="9">
        <f>IFERROR(VLOOKUP(B37,cubo!$A$6:$BE$37,24,0)-VLOOKUP(B37,#REF!,$J$2,0),0)</f>
        <v>0</v>
      </c>
      <c r="K37" s="9">
        <f>IFERROR(VLOOKUP(B37,cubo!$A$6:$BE$37,34,0)-VLOOKUP(B37,#REF!,$K$2,0),0)</f>
        <v>0</v>
      </c>
      <c r="L37" s="8">
        <f>IFERROR(VLOOKUP(B37,cubo!$A$6:$BE$37,38,0)-VLOOKUP(B37,#REF!,$L$2,0),0)</f>
        <v>0</v>
      </c>
      <c r="M37" s="15">
        <f>IFERROR(VLOOKUP(B37,cubo!$A$6:$BE$37,57,0)-VLOOKUP(B37,#REF!,$M$2,0),0)</f>
        <v>0</v>
      </c>
      <c r="N37" s="9">
        <f>IFERROR(VLOOKUP(B37,cubo!$A$6:$BK$37,41,0)-VLOOKUP(conciliacao_custos!B37,#REF!,18,0),0)</f>
        <v>0</v>
      </c>
      <c r="O37" s="9">
        <f>IFERROR(VLOOKUP(B37,cubo!$A$6:$BK$37,44,0)-VLOOKUP(conciliacao_custos!B37,#REF!,13,0),0)</f>
        <v>0</v>
      </c>
      <c r="P37" s="9">
        <f>IFERROR(VLOOKUP(B37,cubo!$A$6:$BK$37,47,0)-VLOOKUP(conciliacao_custos!B37,#REF!,14,0),0)</f>
        <v>0</v>
      </c>
      <c r="Q37" s="9">
        <f>IFERROR(VLOOKUP(B37,cubo!$A$6:$BK$37,58,0)-VLOOKUP(conciliacao_custos!B37,#REF!,16,0),0)</f>
        <v>0</v>
      </c>
      <c r="R37" s="9">
        <f>IFERROR(VLOOKUP(B37,cubo!$A$6:$BK$37,64,0)-VLOOKUP(conciliacao_custos!B37,#REF!,17,0),0)</f>
        <v>0</v>
      </c>
      <c r="S37" s="9">
        <f>IFERROR(VLOOKUP(B37,cubo!$A$6:$BK$37,61,0)-VLOOKUP(conciliacao_custos!B37,#REF!,15,0),0)</f>
        <v>0</v>
      </c>
    </row>
    <row r="38" spans="2:19" x14ac:dyDescent="0.25">
      <c r="B38" s="7">
        <f>[1]salario!A37</f>
        <v>0</v>
      </c>
      <c r="C38" s="8">
        <f>[1]salario!C37</f>
        <v>0</v>
      </c>
      <c r="D38" s="10">
        <f>IFERROR(VLOOKUP(B38,cubo!$A$6:$BE$37,6,0)-VLOOKUP(B38,#REF!,$D$2,0),0)</f>
        <v>0</v>
      </c>
      <c r="E38" s="10">
        <f>IFERROR(VLOOKUP(B38,cubo!$A$6:$BE$37,9,0)-VLOOKUP(B38,#REF!,$E$2,0),0)</f>
        <v>0</v>
      </c>
      <c r="F38" s="9">
        <f>IFERROR(VLOOKUP(B38,cubo!$A$6:$BE$37,12,0)-VLOOKUP(B38,#REF!,$F$2,0),0)</f>
        <v>0</v>
      </c>
      <c r="G38" s="9">
        <f>IFERROR(VLOOKUP(B38,cubo!$A$6:$BE$37,54,0)-VLOOKUP(B38,#REF!,$G$2,0),0)</f>
        <v>0</v>
      </c>
      <c r="H38" s="10">
        <f>IFERROR(VLOOKUP(B38,cubo!$A$6:$BE$37,15,0)-VLOOKUP(B38,#REF!,$H$2,0),0)</f>
        <v>0</v>
      </c>
      <c r="I38" s="9">
        <f>IFERROR(VLOOKUP(B38,cubo!$A$6:$BE$37,18,0)-VLOOKUP(B38,#REF!,$I$2,0),0)</f>
        <v>0</v>
      </c>
      <c r="J38" s="9">
        <f>IFERROR(VLOOKUP(B38,cubo!$A$6:$BE$37,24,0)-VLOOKUP(B38,#REF!,$J$2,0),0)</f>
        <v>0</v>
      </c>
      <c r="K38" s="9">
        <f>IFERROR(VLOOKUP(B38,cubo!$A$6:$BE$37,34,0)-VLOOKUP(B38,#REF!,$K$2,0),0)</f>
        <v>0</v>
      </c>
      <c r="L38" s="8">
        <f>IFERROR(VLOOKUP(B38,cubo!$A$6:$BE$37,38,0)-VLOOKUP(B38,#REF!,$L$2,0),0)</f>
        <v>0</v>
      </c>
      <c r="M38" s="15">
        <f>IFERROR(VLOOKUP(B38,cubo!$A$6:$BE$37,57,0)-VLOOKUP(B38,#REF!,$M$2,0),0)</f>
        <v>0</v>
      </c>
      <c r="N38" s="9">
        <f>IFERROR(VLOOKUP(B38,cubo!$A$6:$BK$37,41,0)-VLOOKUP(conciliacao_custos!B38,#REF!,18,0),0)</f>
        <v>0</v>
      </c>
      <c r="O38" s="9">
        <f>IFERROR(VLOOKUP(B38,cubo!$A$6:$BK$37,44,0)-VLOOKUP(conciliacao_custos!B38,#REF!,13,0),0)</f>
        <v>0</v>
      </c>
      <c r="P38" s="9">
        <f>IFERROR(VLOOKUP(B38,cubo!$A$6:$BK$37,47,0)-VLOOKUP(conciliacao_custos!B38,#REF!,14,0),0)</f>
        <v>0</v>
      </c>
      <c r="Q38" s="9">
        <f>IFERROR(VLOOKUP(B38,cubo!$A$6:$BK$37,58,0)-VLOOKUP(conciliacao_custos!B38,#REF!,16,0),0)</f>
        <v>0</v>
      </c>
      <c r="R38" s="9">
        <f>IFERROR(VLOOKUP(B38,cubo!$A$6:$BK$37,64,0)-VLOOKUP(conciliacao_custos!B38,#REF!,17,0),0)</f>
        <v>0</v>
      </c>
      <c r="S38" s="9">
        <f>IFERROR(VLOOKUP(B38,cubo!$A$6:$BK$37,61,0)-VLOOKUP(conciliacao_custos!B38,#REF!,15,0),0)</f>
        <v>0</v>
      </c>
    </row>
    <row r="39" spans="2:19" x14ac:dyDescent="0.25">
      <c r="B39" s="7">
        <f>[1]salario!A38</f>
        <v>0</v>
      </c>
      <c r="C39" s="8">
        <f>[1]salario!C38</f>
        <v>0</v>
      </c>
      <c r="D39" s="10">
        <f>IFERROR(VLOOKUP(B39,cubo!$A$6:$BE$37,6,0)-VLOOKUP(B39,#REF!,$D$2,0),0)</f>
        <v>0</v>
      </c>
      <c r="E39" s="10">
        <f>IFERROR(VLOOKUP(B39,cubo!$A$6:$BE$37,9,0)-VLOOKUP(B39,#REF!,$E$2,0),0)</f>
        <v>0</v>
      </c>
      <c r="F39" s="9">
        <f>IFERROR(VLOOKUP(B39,cubo!$A$6:$BE$37,12,0)-VLOOKUP(B39,#REF!,$F$2,0),0)</f>
        <v>0</v>
      </c>
      <c r="G39" s="9">
        <f>IFERROR(VLOOKUP(B39,cubo!$A$6:$BE$37,54,0)-VLOOKUP(B39,#REF!,$G$2,0),0)</f>
        <v>0</v>
      </c>
      <c r="H39" s="10">
        <f>IFERROR(VLOOKUP(B39,cubo!$A$6:$BE$37,15,0)-VLOOKUP(B39,#REF!,$H$2,0),0)</f>
        <v>0</v>
      </c>
      <c r="I39" s="9">
        <f>IFERROR(VLOOKUP(B39,cubo!$A$6:$BE$37,18,0)-VLOOKUP(B39,#REF!,$I$2,0),0)</f>
        <v>0</v>
      </c>
      <c r="J39" s="9">
        <f>IFERROR(VLOOKUP(B39,cubo!$A$6:$BE$37,24,0)-VLOOKUP(B39,#REF!,$J$2,0),0)</f>
        <v>0</v>
      </c>
      <c r="K39" s="9">
        <f>IFERROR(VLOOKUP(B39,cubo!$A$6:$BE$37,34,0)-VLOOKUP(B39,#REF!,$K$2,0),0)</f>
        <v>0</v>
      </c>
      <c r="L39" s="8">
        <f>IFERROR(VLOOKUP(B39,cubo!$A$6:$BE$37,38,0)-VLOOKUP(B39,#REF!,$L$2,0),0)</f>
        <v>0</v>
      </c>
      <c r="M39" s="15">
        <f>IFERROR(VLOOKUP(B39,cubo!$A$6:$BE$37,57,0)-VLOOKUP(B39,#REF!,$M$2,0),0)</f>
        <v>0</v>
      </c>
      <c r="N39" s="9">
        <f>IFERROR(VLOOKUP(B39,cubo!$A$6:$BK$37,41,0)-VLOOKUP(conciliacao_custos!B39,#REF!,18,0),0)</f>
        <v>0</v>
      </c>
      <c r="O39" s="9">
        <f>IFERROR(VLOOKUP(B39,cubo!$A$6:$BK$37,44,0)-VLOOKUP(conciliacao_custos!B39,#REF!,13,0),0)</f>
        <v>0</v>
      </c>
      <c r="P39" s="9">
        <f>IFERROR(VLOOKUP(B39,cubo!$A$6:$BK$37,47,0)-VLOOKUP(conciliacao_custos!B39,#REF!,14,0),0)</f>
        <v>0</v>
      </c>
      <c r="Q39" s="9">
        <f>IFERROR(VLOOKUP(B39,cubo!$A$6:$BK$37,58,0)-VLOOKUP(conciliacao_custos!B39,#REF!,16,0),0)</f>
        <v>0</v>
      </c>
      <c r="R39" s="9">
        <f>IFERROR(VLOOKUP(B39,cubo!$A$6:$BK$37,64,0)-VLOOKUP(conciliacao_custos!B39,#REF!,17,0),0)</f>
        <v>0</v>
      </c>
      <c r="S39" s="9">
        <f>IFERROR(VLOOKUP(B39,cubo!$A$6:$BK$37,61,0)-VLOOKUP(conciliacao_custos!B39,#REF!,15,0),0)</f>
        <v>0</v>
      </c>
    </row>
    <row r="40" spans="2:19" x14ac:dyDescent="0.25">
      <c r="B40" s="7">
        <f>[1]salario!A39</f>
        <v>0</v>
      </c>
      <c r="C40" s="8">
        <f>[1]salario!C39</f>
        <v>0</v>
      </c>
      <c r="D40" s="10">
        <f>IFERROR(VLOOKUP(B40,cubo!$A$6:$BE$37,6,0)-VLOOKUP(B40,#REF!,$D$2,0),0)</f>
        <v>0</v>
      </c>
      <c r="E40" s="10">
        <f>IFERROR(VLOOKUP(B40,cubo!$A$6:$BE$37,9,0)-VLOOKUP(B40,#REF!,$E$2,0),0)</f>
        <v>0</v>
      </c>
      <c r="F40" s="9">
        <f>IFERROR(VLOOKUP(B40,cubo!$A$6:$BE$37,12,0)-VLOOKUP(B40,#REF!,$F$2,0),0)</f>
        <v>0</v>
      </c>
      <c r="G40" s="9">
        <f>IFERROR(VLOOKUP(B40,cubo!$A$6:$BE$37,54,0)-VLOOKUP(B40,#REF!,$G$2,0),0)</f>
        <v>0</v>
      </c>
      <c r="H40" s="10">
        <f>IFERROR(VLOOKUP(B40,cubo!$A$6:$BE$37,15,0)-VLOOKUP(B40,#REF!,$H$2,0),0)</f>
        <v>0</v>
      </c>
      <c r="I40" s="9">
        <f>IFERROR(VLOOKUP(B40,cubo!$A$6:$BE$37,18,0)-VLOOKUP(B40,#REF!,$I$2,0),0)</f>
        <v>0</v>
      </c>
      <c r="J40" s="9">
        <f>IFERROR(VLOOKUP(B40,cubo!$A$6:$BE$37,24,0)-VLOOKUP(B40,#REF!,$J$2,0),0)</f>
        <v>0</v>
      </c>
      <c r="K40" s="9">
        <f>IFERROR(VLOOKUP(B40,cubo!$A$6:$BE$37,34,0)-VLOOKUP(B40,#REF!,$K$2,0),0)</f>
        <v>0</v>
      </c>
      <c r="L40" s="8">
        <f>IFERROR(VLOOKUP(B40,cubo!$A$6:$BE$37,38,0)-VLOOKUP(B40,#REF!,$L$2,0),0)</f>
        <v>0</v>
      </c>
      <c r="M40" s="15">
        <f>IFERROR(VLOOKUP(B40,cubo!$A$6:$BE$37,57,0)-VLOOKUP(B40,#REF!,$M$2,0),0)</f>
        <v>0</v>
      </c>
      <c r="N40" s="9">
        <f>IFERROR(VLOOKUP(B40,cubo!$A$6:$BK$37,41,0)-VLOOKUP(conciliacao_custos!B40,#REF!,18,0),0)</f>
        <v>0</v>
      </c>
      <c r="O40" s="9">
        <f>IFERROR(VLOOKUP(B40,cubo!$A$6:$BK$37,44,0)-VLOOKUP(conciliacao_custos!B40,#REF!,13,0),0)</f>
        <v>0</v>
      </c>
      <c r="P40" s="9">
        <f>IFERROR(VLOOKUP(B40,cubo!$A$6:$BK$37,47,0)-VLOOKUP(conciliacao_custos!B40,#REF!,14,0),0)</f>
        <v>0</v>
      </c>
      <c r="Q40" s="9">
        <f>IFERROR(VLOOKUP(B40,cubo!$A$6:$BK$37,58,0)-VLOOKUP(conciliacao_custos!B40,#REF!,16,0),0)</f>
        <v>0</v>
      </c>
      <c r="R40" s="9">
        <f>IFERROR(VLOOKUP(B40,cubo!$A$6:$BK$37,64,0)-VLOOKUP(conciliacao_custos!B40,#REF!,17,0),0)</f>
        <v>0</v>
      </c>
      <c r="S40" s="9">
        <f>IFERROR(VLOOKUP(B40,cubo!$A$6:$BK$37,61,0)-VLOOKUP(conciliacao_custos!B40,#REF!,15,0),0)</f>
        <v>0</v>
      </c>
    </row>
    <row r="41" spans="2:19" x14ac:dyDescent="0.25">
      <c r="B41" s="7">
        <f>[1]salario!A40</f>
        <v>0</v>
      </c>
      <c r="C41" s="8">
        <f>[1]salario!C40</f>
        <v>0</v>
      </c>
      <c r="D41" s="10">
        <f>IFERROR(VLOOKUP(B41,cubo!$A$6:$BE$37,6,0)-VLOOKUP(B41,#REF!,$D$2,0),0)</f>
        <v>0</v>
      </c>
      <c r="E41" s="10">
        <f>IFERROR(VLOOKUP(B41,cubo!$A$6:$BE$37,9,0)-VLOOKUP(B41,#REF!,$E$2,0),0)</f>
        <v>0</v>
      </c>
      <c r="F41" s="9">
        <f>IFERROR(VLOOKUP(B41,cubo!$A$6:$BE$37,12,0)-VLOOKUP(B41,#REF!,$F$2,0),0)</f>
        <v>0</v>
      </c>
      <c r="G41" s="9">
        <f>IFERROR(VLOOKUP(B41,cubo!$A$6:$BE$37,54,0)-VLOOKUP(B41,#REF!,$G$2,0),0)</f>
        <v>0</v>
      </c>
      <c r="H41" s="10">
        <f>IFERROR(VLOOKUP(B41,cubo!$A$6:$BE$37,15,0)-VLOOKUP(B41,#REF!,$H$2,0),0)</f>
        <v>0</v>
      </c>
      <c r="I41" s="9">
        <f>IFERROR(VLOOKUP(B41,cubo!$A$6:$BE$37,18,0)-VLOOKUP(B41,#REF!,$I$2,0),0)</f>
        <v>0</v>
      </c>
      <c r="J41" s="9">
        <f>IFERROR(VLOOKUP(B41,cubo!$A$6:$BE$37,24,0)-VLOOKUP(B41,#REF!,$J$2,0),0)</f>
        <v>0</v>
      </c>
      <c r="K41" s="9">
        <f>IFERROR(VLOOKUP(B41,cubo!$A$6:$BE$37,34,0)-VLOOKUP(B41,#REF!,$K$2,0),0)</f>
        <v>0</v>
      </c>
      <c r="L41" s="8">
        <f>IFERROR(VLOOKUP(B41,cubo!$A$6:$BE$37,38,0)-VLOOKUP(B41,#REF!,$L$2,0),0)</f>
        <v>0</v>
      </c>
      <c r="M41" s="15">
        <f>IFERROR(VLOOKUP(B41,cubo!$A$6:$BE$37,57,0)-VLOOKUP(B41,#REF!,$M$2,0),0)</f>
        <v>0</v>
      </c>
      <c r="N41" s="9">
        <f>IFERROR(VLOOKUP(B41,cubo!$A$6:$BK$37,41,0)-VLOOKUP(conciliacao_custos!B41,#REF!,18,0),0)</f>
        <v>0</v>
      </c>
      <c r="O41" s="9">
        <f>IFERROR(VLOOKUP(B41,cubo!$A$6:$BK$37,44,0)-VLOOKUP(conciliacao_custos!B41,#REF!,13,0),0)</f>
        <v>0</v>
      </c>
      <c r="P41" s="9">
        <f>IFERROR(VLOOKUP(B41,cubo!$A$6:$BK$37,47,0)-VLOOKUP(conciliacao_custos!B41,#REF!,14,0),0)</f>
        <v>0</v>
      </c>
      <c r="Q41" s="9">
        <f>IFERROR(VLOOKUP(B41,cubo!$A$6:$BK$37,58,0)-VLOOKUP(conciliacao_custos!B41,#REF!,16,0),0)</f>
        <v>0</v>
      </c>
      <c r="R41" s="9">
        <f>IFERROR(VLOOKUP(B41,cubo!$A$6:$BK$37,64,0)-VLOOKUP(conciliacao_custos!B41,#REF!,17,0),0)</f>
        <v>0</v>
      </c>
      <c r="S41" s="9">
        <f>IFERROR(VLOOKUP(B41,cubo!$A$6:$BK$37,61,0)-VLOOKUP(conciliacao_custos!B41,#REF!,15,0),0)</f>
        <v>0</v>
      </c>
    </row>
    <row r="42" spans="2:19" x14ac:dyDescent="0.25">
      <c r="B42" s="7">
        <f>[1]salario!A41</f>
        <v>0</v>
      </c>
      <c r="C42" s="8">
        <f>[1]salario!C41</f>
        <v>0</v>
      </c>
      <c r="D42" s="10">
        <f>IFERROR(VLOOKUP(B42,cubo!$A$6:$BE$37,6,0)-VLOOKUP(B42,#REF!,$D$2,0),0)</f>
        <v>0</v>
      </c>
      <c r="E42" s="10">
        <f>IFERROR(VLOOKUP(B42,cubo!$A$6:$BE$37,9,0)-VLOOKUP(B42,#REF!,$E$2,0),0)</f>
        <v>0</v>
      </c>
      <c r="F42" s="9">
        <f>IFERROR(VLOOKUP(B42,cubo!$A$6:$BE$37,12,0)-VLOOKUP(B42,#REF!,$F$2,0),0)</f>
        <v>0</v>
      </c>
      <c r="G42" s="9">
        <f>IFERROR(VLOOKUP(B42,cubo!$A$6:$BE$37,54,0)-VLOOKUP(B42,#REF!,$G$2,0),0)</f>
        <v>0</v>
      </c>
      <c r="H42" s="10">
        <f>IFERROR(VLOOKUP(B42,cubo!$A$6:$BE$37,15,0)-VLOOKUP(B42,#REF!,$H$2,0),0)</f>
        <v>0</v>
      </c>
      <c r="I42" s="9">
        <f>IFERROR(VLOOKUP(B42,cubo!$A$6:$BE$37,18,0)-VLOOKUP(B42,#REF!,$I$2,0),0)</f>
        <v>0</v>
      </c>
      <c r="J42" s="9">
        <f>IFERROR(VLOOKUP(B42,cubo!$A$6:$BE$37,24,0)-VLOOKUP(B42,#REF!,$J$2,0),0)</f>
        <v>0</v>
      </c>
      <c r="K42" s="9">
        <f>IFERROR(VLOOKUP(B42,cubo!$A$6:$BE$37,34,0)-VLOOKUP(B42,#REF!,$K$2,0),0)</f>
        <v>0</v>
      </c>
      <c r="L42" s="8">
        <f>IFERROR(VLOOKUP(B42,cubo!$A$6:$BE$37,38,0)-VLOOKUP(B42,#REF!,$L$2,0),0)</f>
        <v>0</v>
      </c>
      <c r="M42" s="15">
        <f>IFERROR(VLOOKUP(B42,cubo!$A$6:$BE$37,57,0)-VLOOKUP(B42,#REF!,$M$2,0),0)</f>
        <v>0</v>
      </c>
      <c r="N42" s="9">
        <f>IFERROR(VLOOKUP(B42,cubo!$A$6:$BK$37,41,0)-VLOOKUP(conciliacao_custos!B42,#REF!,18,0),0)</f>
        <v>0</v>
      </c>
      <c r="O42" s="9">
        <f>IFERROR(VLOOKUP(B42,cubo!$A$6:$BK$37,44,0)-VLOOKUP(conciliacao_custos!B42,#REF!,13,0),0)</f>
        <v>0</v>
      </c>
      <c r="P42" s="9">
        <f>IFERROR(VLOOKUP(B42,cubo!$A$6:$BK$37,47,0)-VLOOKUP(conciliacao_custos!B42,#REF!,14,0),0)</f>
        <v>0</v>
      </c>
      <c r="Q42" s="9">
        <f>IFERROR(VLOOKUP(B42,cubo!$A$6:$BK$37,58,0)-VLOOKUP(conciliacao_custos!B42,#REF!,16,0),0)</f>
        <v>0</v>
      </c>
      <c r="R42" s="9">
        <f>IFERROR(VLOOKUP(B42,cubo!$A$6:$BK$37,64,0)-VLOOKUP(conciliacao_custos!B42,#REF!,17,0),0)</f>
        <v>0</v>
      </c>
      <c r="S42" s="9">
        <f>IFERROR(VLOOKUP(B42,cubo!$A$6:$BK$37,61,0)-VLOOKUP(conciliacao_custos!B42,#REF!,15,0),0)</f>
        <v>0</v>
      </c>
    </row>
    <row r="43" spans="2:19" x14ac:dyDescent="0.25">
      <c r="B43" s="7">
        <f>[1]salario!A42</f>
        <v>0</v>
      </c>
      <c r="C43" s="8">
        <f>[1]salario!C42</f>
        <v>0</v>
      </c>
      <c r="D43" s="10">
        <f>IFERROR(VLOOKUP(B43,cubo!$A$6:$BE$37,6,0)-VLOOKUP(B43,#REF!,$D$2,0),0)</f>
        <v>0</v>
      </c>
      <c r="E43" s="10">
        <f>IFERROR(VLOOKUP(B43,cubo!$A$6:$BE$37,9,0)-VLOOKUP(B43,#REF!,$E$2,0),0)</f>
        <v>0</v>
      </c>
      <c r="F43" s="9">
        <f>IFERROR(VLOOKUP(B43,cubo!$A$6:$BE$37,12,0)-VLOOKUP(B43,#REF!,$F$2,0),0)</f>
        <v>0</v>
      </c>
      <c r="G43" s="9">
        <f>IFERROR(VLOOKUP(B43,cubo!$A$6:$BE$37,54,0)-VLOOKUP(B43,#REF!,$G$2,0),0)</f>
        <v>0</v>
      </c>
      <c r="H43" s="10">
        <f>IFERROR(VLOOKUP(B43,cubo!$A$6:$BE$37,15,0)-VLOOKUP(B43,#REF!,$H$2,0),0)</f>
        <v>0</v>
      </c>
      <c r="I43" s="9">
        <f>IFERROR(VLOOKUP(B43,cubo!$A$6:$BE$37,18,0)-VLOOKUP(B43,#REF!,$I$2,0),0)</f>
        <v>0</v>
      </c>
      <c r="J43" s="9">
        <f>IFERROR(VLOOKUP(B43,cubo!$A$6:$BE$37,24,0)-VLOOKUP(B43,#REF!,$J$2,0),0)</f>
        <v>0</v>
      </c>
      <c r="K43" s="9">
        <f>IFERROR(VLOOKUP(B43,cubo!$A$6:$BE$37,34,0)-VLOOKUP(B43,#REF!,$K$2,0),0)</f>
        <v>0</v>
      </c>
      <c r="L43" s="8">
        <f>IFERROR(VLOOKUP(B43,cubo!$A$6:$BE$37,38,0)-VLOOKUP(B43,#REF!,$L$2,0),0)</f>
        <v>0</v>
      </c>
      <c r="M43" s="15">
        <f>IFERROR(VLOOKUP(B43,cubo!$A$6:$BE$37,57,0)-VLOOKUP(B43,#REF!,$M$2,0),0)</f>
        <v>0</v>
      </c>
      <c r="N43" s="9">
        <f>IFERROR(VLOOKUP(B43,cubo!$A$6:$BK$37,41,0)-VLOOKUP(conciliacao_custos!B43,#REF!,18,0),0)</f>
        <v>0</v>
      </c>
      <c r="O43" s="9">
        <f>IFERROR(VLOOKUP(B43,cubo!$A$6:$BK$37,44,0)-VLOOKUP(conciliacao_custos!B43,#REF!,13,0),0)</f>
        <v>0</v>
      </c>
      <c r="P43" s="9">
        <f>IFERROR(VLOOKUP(B43,cubo!$A$6:$BK$37,47,0)-VLOOKUP(conciliacao_custos!B43,#REF!,14,0),0)</f>
        <v>0</v>
      </c>
      <c r="Q43" s="9">
        <f>IFERROR(VLOOKUP(B43,cubo!$A$6:$BK$37,58,0)-VLOOKUP(conciliacao_custos!B43,#REF!,16,0),0)</f>
        <v>0</v>
      </c>
      <c r="R43" s="9">
        <f>IFERROR(VLOOKUP(B43,cubo!$A$6:$BK$37,64,0)-VLOOKUP(conciliacao_custos!B43,#REF!,17,0),0)</f>
        <v>0</v>
      </c>
      <c r="S43" s="9">
        <f>IFERROR(VLOOKUP(B43,cubo!$A$6:$BK$37,61,0)-VLOOKUP(conciliacao_custos!B43,#REF!,15,0),0)</f>
        <v>0</v>
      </c>
    </row>
    <row r="44" spans="2:19" x14ac:dyDescent="0.25">
      <c r="B44" s="7">
        <f>[1]salario!A43</f>
        <v>0</v>
      </c>
      <c r="C44" s="8">
        <f>[1]salario!C43</f>
        <v>0</v>
      </c>
      <c r="D44" s="10">
        <f>IFERROR(VLOOKUP(B44,cubo!$A$6:$BE$37,6,0)-VLOOKUP(B44,#REF!,$D$2,0),0)</f>
        <v>0</v>
      </c>
      <c r="E44" s="10">
        <f>IFERROR(VLOOKUP(B44,cubo!$A$6:$BE$37,9,0)-VLOOKUP(B44,#REF!,$E$2,0),0)</f>
        <v>0</v>
      </c>
      <c r="F44" s="9">
        <f>IFERROR(VLOOKUP(B44,cubo!$A$6:$BE$37,12,0)-VLOOKUP(B44,#REF!,$F$2,0),0)</f>
        <v>0</v>
      </c>
      <c r="G44" s="9">
        <f>IFERROR(VLOOKUP(B44,cubo!$A$6:$BE$37,54,0)-VLOOKUP(B44,#REF!,$G$2,0),0)</f>
        <v>0</v>
      </c>
      <c r="H44" s="10">
        <f>IFERROR(VLOOKUP(B44,cubo!$A$6:$BE$37,15,0)-VLOOKUP(B44,#REF!,$H$2,0),0)</f>
        <v>0</v>
      </c>
      <c r="I44" s="9">
        <f>IFERROR(VLOOKUP(B44,cubo!$A$6:$BE$37,18,0)-VLOOKUP(B44,#REF!,$I$2,0),0)</f>
        <v>0</v>
      </c>
      <c r="J44" s="9">
        <f>IFERROR(VLOOKUP(B44,cubo!$A$6:$BE$37,24,0)-VLOOKUP(B44,#REF!,$J$2,0),0)</f>
        <v>0</v>
      </c>
      <c r="K44" s="9">
        <f>IFERROR(VLOOKUP(B44,cubo!$A$6:$BE$37,34,0)-VLOOKUP(B44,#REF!,$K$2,0),0)</f>
        <v>0</v>
      </c>
      <c r="L44" s="8">
        <f>IFERROR(VLOOKUP(B44,cubo!$A$6:$BE$37,38,0)-VLOOKUP(B44,#REF!,$L$2,0),0)</f>
        <v>0</v>
      </c>
      <c r="M44" s="15">
        <f>IFERROR(VLOOKUP(B44,cubo!$A$6:$BE$37,57,0)-VLOOKUP(B44,#REF!,$M$2,0),0)</f>
        <v>0</v>
      </c>
      <c r="N44" s="9">
        <f>IFERROR(VLOOKUP(B44,cubo!$A$6:$BK$37,41,0)-VLOOKUP(conciliacao_custos!B44,#REF!,18,0),0)</f>
        <v>0</v>
      </c>
      <c r="O44" s="9">
        <f>IFERROR(VLOOKUP(B44,cubo!$A$6:$BK$37,44,0)-VLOOKUP(conciliacao_custos!B44,#REF!,13,0),0)</f>
        <v>0</v>
      </c>
      <c r="P44" s="9">
        <f>IFERROR(VLOOKUP(B44,cubo!$A$6:$BK$37,47,0)-VLOOKUP(conciliacao_custos!B44,#REF!,14,0),0)</f>
        <v>0</v>
      </c>
      <c r="Q44" s="9">
        <f>IFERROR(VLOOKUP(B44,cubo!$A$6:$BK$37,58,0)-VLOOKUP(conciliacao_custos!B44,#REF!,16,0),0)</f>
        <v>0</v>
      </c>
      <c r="R44" s="9">
        <f>IFERROR(VLOOKUP(B44,cubo!$A$6:$BK$37,64,0)-VLOOKUP(conciliacao_custos!B44,#REF!,17,0),0)</f>
        <v>0</v>
      </c>
      <c r="S44" s="9">
        <f>IFERROR(VLOOKUP(B44,cubo!$A$6:$BK$37,61,0)-VLOOKUP(conciliacao_custos!B44,#REF!,15,0),0)</f>
        <v>0</v>
      </c>
    </row>
    <row r="45" spans="2:19" x14ac:dyDescent="0.25">
      <c r="B45" s="7">
        <f>[1]salario!A44</f>
        <v>0</v>
      </c>
      <c r="C45" s="8">
        <f>[1]salario!C44</f>
        <v>0</v>
      </c>
      <c r="D45" s="10">
        <f>IFERROR(VLOOKUP(B45,cubo!$A$6:$BE$37,6,0)-VLOOKUP(B45,#REF!,$D$2,0),0)</f>
        <v>0</v>
      </c>
      <c r="E45" s="10">
        <f>IFERROR(VLOOKUP(B45,cubo!$A$6:$BE$37,9,0)-VLOOKUP(B45,#REF!,$E$2,0),0)</f>
        <v>0</v>
      </c>
      <c r="F45" s="9">
        <f>IFERROR(VLOOKUP(B45,cubo!$A$6:$BE$37,12,0)-VLOOKUP(B45,#REF!,$F$2,0),0)</f>
        <v>0</v>
      </c>
      <c r="G45" s="9">
        <f>IFERROR(VLOOKUP(B45,cubo!$A$6:$BE$37,54,0)-VLOOKUP(B45,#REF!,$G$2,0),0)</f>
        <v>0</v>
      </c>
      <c r="H45" s="10">
        <f>IFERROR(VLOOKUP(B45,cubo!$A$6:$BE$37,15,0)-VLOOKUP(B45,#REF!,$H$2,0),0)</f>
        <v>0</v>
      </c>
      <c r="I45" s="9">
        <f>IFERROR(VLOOKUP(B45,cubo!$A$6:$BE$37,18,0)-VLOOKUP(B45,#REF!,$I$2,0),0)</f>
        <v>0</v>
      </c>
      <c r="J45" s="9">
        <f>IFERROR(VLOOKUP(B45,cubo!$A$6:$BE$37,24,0)-VLOOKUP(B45,#REF!,$J$2,0),0)</f>
        <v>0</v>
      </c>
      <c r="K45" s="9">
        <f>IFERROR(VLOOKUP(B45,cubo!$A$6:$BE$37,34,0)-VLOOKUP(B45,#REF!,$K$2,0),0)</f>
        <v>0</v>
      </c>
      <c r="L45" s="8">
        <f>IFERROR(VLOOKUP(B45,cubo!$A$6:$BE$37,38,0)-VLOOKUP(B45,#REF!,$L$2,0),0)</f>
        <v>0</v>
      </c>
      <c r="M45" s="15">
        <f>IFERROR(VLOOKUP(B45,cubo!$A$6:$BE$37,57,0)-VLOOKUP(B45,#REF!,$M$2,0),0)</f>
        <v>0</v>
      </c>
      <c r="N45" s="9">
        <f>IFERROR(VLOOKUP(B45,cubo!$A$6:$BK$37,41,0)-VLOOKUP(conciliacao_custos!B45,#REF!,18,0),0)</f>
        <v>0</v>
      </c>
      <c r="O45" s="9">
        <f>IFERROR(VLOOKUP(B45,cubo!$A$6:$BK$37,44,0)-VLOOKUP(conciliacao_custos!B45,#REF!,13,0),0)</f>
        <v>0</v>
      </c>
      <c r="P45" s="9">
        <f>IFERROR(VLOOKUP(B45,cubo!$A$6:$BK$37,47,0)-VLOOKUP(conciliacao_custos!B45,#REF!,14,0),0)</f>
        <v>0</v>
      </c>
      <c r="Q45" s="9">
        <f>IFERROR(VLOOKUP(B45,cubo!$A$6:$BK$37,58,0)-VLOOKUP(conciliacao_custos!B45,#REF!,16,0),0)</f>
        <v>0</v>
      </c>
      <c r="R45" s="9">
        <f>IFERROR(VLOOKUP(B45,cubo!$A$6:$BK$37,64,0)-VLOOKUP(conciliacao_custos!B45,#REF!,17,0),0)</f>
        <v>0</v>
      </c>
      <c r="S45" s="9">
        <f>IFERROR(VLOOKUP(B45,cubo!$A$6:$BK$37,61,0)-VLOOKUP(conciliacao_custos!B45,#REF!,15,0),0)</f>
        <v>0</v>
      </c>
    </row>
    <row r="46" spans="2:19" x14ac:dyDescent="0.25">
      <c r="B46" s="7">
        <f>[1]salario!A45</f>
        <v>0</v>
      </c>
      <c r="C46" s="8">
        <f>[1]salario!C45</f>
        <v>0</v>
      </c>
      <c r="D46" s="10">
        <f>IFERROR(VLOOKUP(B46,cubo!$A$6:$BE$37,6,0)-VLOOKUP(B46,#REF!,$D$2,0),0)</f>
        <v>0</v>
      </c>
      <c r="E46" s="10">
        <f>IFERROR(VLOOKUP(B46,cubo!$A$6:$BE$37,9,0)-VLOOKUP(B46,#REF!,$E$2,0),0)</f>
        <v>0</v>
      </c>
      <c r="F46" s="9">
        <f>IFERROR(VLOOKUP(B46,cubo!$A$6:$BE$37,12,0)-VLOOKUP(B46,#REF!,$F$2,0),0)</f>
        <v>0</v>
      </c>
      <c r="G46" s="9">
        <f>IFERROR(VLOOKUP(B46,cubo!$A$6:$BE$37,54,0)-VLOOKUP(B46,#REF!,$G$2,0),0)</f>
        <v>0</v>
      </c>
      <c r="H46" s="10">
        <f>IFERROR(VLOOKUP(B46,cubo!$A$6:$BE$37,15,0)-VLOOKUP(B46,#REF!,$H$2,0),0)</f>
        <v>0</v>
      </c>
      <c r="I46" s="9">
        <f>IFERROR(VLOOKUP(B46,cubo!$A$6:$BE$37,18,0)-VLOOKUP(B46,#REF!,$I$2,0),0)</f>
        <v>0</v>
      </c>
      <c r="J46" s="9">
        <f>IFERROR(VLOOKUP(B46,cubo!$A$6:$BE$37,24,0)-VLOOKUP(B46,#REF!,$J$2,0),0)</f>
        <v>0</v>
      </c>
      <c r="K46" s="9">
        <f>IFERROR(VLOOKUP(B46,cubo!$A$6:$BE$37,34,0)-VLOOKUP(B46,#REF!,$K$2,0),0)</f>
        <v>0</v>
      </c>
      <c r="L46" s="8">
        <f>IFERROR(VLOOKUP(B46,cubo!$A$6:$BE$37,38,0)-VLOOKUP(B46,#REF!,$L$2,0),0)</f>
        <v>0</v>
      </c>
      <c r="M46" s="15">
        <f>IFERROR(VLOOKUP(B46,cubo!$A$6:$BE$37,57,0)-VLOOKUP(B46,#REF!,$M$2,0),0)</f>
        <v>0</v>
      </c>
      <c r="N46" s="9">
        <f>IFERROR(VLOOKUP(B46,cubo!$A$6:$BK$37,41,0)-VLOOKUP(conciliacao_custos!B46,#REF!,18,0),0)</f>
        <v>0</v>
      </c>
      <c r="O46" s="9">
        <f>IFERROR(VLOOKUP(B46,cubo!$A$6:$BK$37,44,0)-VLOOKUP(conciliacao_custos!B46,#REF!,13,0),0)</f>
        <v>0</v>
      </c>
      <c r="P46" s="9">
        <f>IFERROR(VLOOKUP(B46,cubo!$A$6:$BK$37,47,0)-VLOOKUP(conciliacao_custos!B46,#REF!,14,0),0)</f>
        <v>0</v>
      </c>
      <c r="Q46" s="9">
        <f>IFERROR(VLOOKUP(B46,cubo!$A$6:$BK$37,58,0)-VLOOKUP(conciliacao_custos!B46,#REF!,16,0),0)</f>
        <v>0</v>
      </c>
      <c r="R46" s="9">
        <f>IFERROR(VLOOKUP(B46,cubo!$A$6:$BK$37,64,0)-VLOOKUP(conciliacao_custos!B46,#REF!,17,0),0)</f>
        <v>0</v>
      </c>
      <c r="S46" s="9">
        <f>IFERROR(VLOOKUP(B46,cubo!$A$6:$BK$37,61,0)-VLOOKUP(conciliacao_custos!B46,#REF!,15,0),0)</f>
        <v>0</v>
      </c>
    </row>
    <row r="47" spans="2:19" x14ac:dyDescent="0.25">
      <c r="B47" s="7">
        <f>[1]salario!A46</f>
        <v>0</v>
      </c>
      <c r="C47" s="8">
        <f>[1]salario!C46</f>
        <v>0</v>
      </c>
      <c r="D47" s="10">
        <f>IFERROR(VLOOKUP(B47,cubo!$A$6:$BE$37,6,0)-VLOOKUP(B47,#REF!,$D$2,0),0)</f>
        <v>0</v>
      </c>
      <c r="E47" s="10">
        <f>IFERROR(VLOOKUP(B47,cubo!$A$6:$BE$37,9,0)-VLOOKUP(B47,#REF!,$E$2,0),0)</f>
        <v>0</v>
      </c>
      <c r="F47" s="9">
        <f>IFERROR(VLOOKUP(B47,cubo!$A$6:$BE$37,12,0)-VLOOKUP(B47,#REF!,$F$2,0),0)</f>
        <v>0</v>
      </c>
      <c r="G47" s="9">
        <f>IFERROR(VLOOKUP(B47,cubo!$A$6:$BE$37,54,0)-VLOOKUP(B47,#REF!,$G$2,0),0)</f>
        <v>0</v>
      </c>
      <c r="H47" s="10">
        <f>IFERROR(VLOOKUP(B47,cubo!$A$6:$BE$37,15,0)-VLOOKUP(B47,#REF!,$H$2,0),0)</f>
        <v>0</v>
      </c>
      <c r="I47" s="9">
        <f>IFERROR(VLOOKUP(B47,cubo!$A$6:$BE$37,18,0)-VLOOKUP(B47,#REF!,$I$2,0),0)</f>
        <v>0</v>
      </c>
      <c r="J47" s="9">
        <f>IFERROR(VLOOKUP(B47,cubo!$A$6:$BE$37,24,0)-VLOOKUP(B47,#REF!,$J$2,0),0)</f>
        <v>0</v>
      </c>
      <c r="K47" s="9">
        <f>IFERROR(VLOOKUP(B47,cubo!$A$6:$BE$37,34,0)-VLOOKUP(B47,#REF!,$K$2,0),0)</f>
        <v>0</v>
      </c>
      <c r="L47" s="8">
        <f>IFERROR(VLOOKUP(B47,cubo!$A$6:$BE$37,38,0)-VLOOKUP(B47,#REF!,$L$2,0),0)</f>
        <v>0</v>
      </c>
      <c r="M47" s="15">
        <f>IFERROR(VLOOKUP(B47,cubo!$A$6:$BE$37,57,0)-VLOOKUP(B47,#REF!,$M$2,0),0)</f>
        <v>0</v>
      </c>
      <c r="N47" s="9">
        <f>IFERROR(VLOOKUP(B47,cubo!$A$6:$BK$37,41,0)-VLOOKUP(conciliacao_custos!B47,#REF!,18,0),0)</f>
        <v>0</v>
      </c>
      <c r="O47" s="9">
        <f>IFERROR(VLOOKUP(B47,cubo!$A$6:$BK$37,44,0)-VLOOKUP(conciliacao_custos!B47,#REF!,13,0),0)</f>
        <v>0</v>
      </c>
      <c r="P47" s="9">
        <f>IFERROR(VLOOKUP(B47,cubo!$A$6:$BK$37,47,0)-VLOOKUP(conciliacao_custos!B47,#REF!,14,0),0)</f>
        <v>0</v>
      </c>
      <c r="Q47" s="9">
        <f>IFERROR(VLOOKUP(B47,cubo!$A$6:$BK$37,58,0)-VLOOKUP(conciliacao_custos!B47,#REF!,16,0),0)</f>
        <v>0</v>
      </c>
      <c r="R47" s="9">
        <f>IFERROR(VLOOKUP(B47,cubo!$A$6:$BK$37,64,0)-VLOOKUP(conciliacao_custos!B47,#REF!,17,0),0)</f>
        <v>0</v>
      </c>
      <c r="S47" s="9">
        <f>IFERROR(VLOOKUP(B47,cubo!$A$6:$BK$37,61,0)-VLOOKUP(conciliacao_custos!B47,#REF!,15,0),0)</f>
        <v>0</v>
      </c>
    </row>
    <row r="48" spans="2:19" x14ac:dyDescent="0.25">
      <c r="B48" s="7">
        <f>[1]salario!A47</f>
        <v>0</v>
      </c>
      <c r="C48" s="8">
        <f>[1]salario!C47</f>
        <v>0</v>
      </c>
      <c r="D48" s="10">
        <f>IFERROR(VLOOKUP(B48,cubo!$A$6:$BE$37,6,0)-VLOOKUP(B48,#REF!,$D$2,0),0)</f>
        <v>0</v>
      </c>
      <c r="E48" s="10">
        <f>IFERROR(VLOOKUP(B48,cubo!$A$6:$BE$37,9,0)-VLOOKUP(B48,#REF!,$E$2,0),0)</f>
        <v>0</v>
      </c>
      <c r="F48" s="9">
        <f>IFERROR(VLOOKUP(B48,cubo!$A$6:$BE$37,12,0)-VLOOKUP(B48,#REF!,$F$2,0),0)</f>
        <v>0</v>
      </c>
      <c r="G48" s="9">
        <f>IFERROR(VLOOKUP(B48,cubo!$A$6:$BE$37,54,0)-VLOOKUP(B48,#REF!,$G$2,0),0)</f>
        <v>0</v>
      </c>
      <c r="H48" s="10">
        <f>IFERROR(VLOOKUP(B48,cubo!$A$6:$BE$37,15,0)-VLOOKUP(B48,#REF!,$H$2,0),0)</f>
        <v>0</v>
      </c>
      <c r="I48" s="9">
        <f>IFERROR(VLOOKUP(B48,cubo!$A$6:$BE$37,18,0)-VLOOKUP(B48,#REF!,$I$2,0),0)</f>
        <v>0</v>
      </c>
      <c r="J48" s="9">
        <f>IFERROR(VLOOKUP(B48,cubo!$A$6:$BE$37,24,0)-VLOOKUP(B48,#REF!,$J$2,0),0)</f>
        <v>0</v>
      </c>
      <c r="K48" s="9">
        <f>IFERROR(VLOOKUP(B48,cubo!$A$6:$BE$37,34,0)-VLOOKUP(B48,#REF!,$K$2,0),0)</f>
        <v>0</v>
      </c>
      <c r="L48" s="8">
        <f>IFERROR(VLOOKUP(B48,cubo!$A$6:$BE$37,38,0)-VLOOKUP(B48,#REF!,$L$2,0),0)</f>
        <v>0</v>
      </c>
      <c r="M48" s="15">
        <f>IFERROR(VLOOKUP(B48,cubo!$A$6:$BE$37,57,0)-VLOOKUP(B48,#REF!,$M$2,0),0)</f>
        <v>0</v>
      </c>
      <c r="N48" s="9">
        <f>IFERROR(VLOOKUP(B48,cubo!$A$6:$BK$37,41,0)-VLOOKUP(conciliacao_custos!B48,#REF!,18,0),0)</f>
        <v>0</v>
      </c>
      <c r="O48" s="9">
        <f>IFERROR(VLOOKUP(B48,cubo!$A$6:$BK$37,44,0)-VLOOKUP(conciliacao_custos!B48,#REF!,13,0),0)</f>
        <v>0</v>
      </c>
      <c r="P48" s="9">
        <f>IFERROR(VLOOKUP(B48,cubo!$A$6:$BK$37,47,0)-VLOOKUP(conciliacao_custos!B48,#REF!,14,0),0)</f>
        <v>0</v>
      </c>
      <c r="Q48" s="9">
        <f>IFERROR(VLOOKUP(B48,cubo!$A$6:$BK$37,58,0)-VLOOKUP(conciliacao_custos!B48,#REF!,16,0),0)</f>
        <v>0</v>
      </c>
      <c r="R48" s="9">
        <f>IFERROR(VLOOKUP(B48,cubo!$A$6:$BK$37,64,0)-VLOOKUP(conciliacao_custos!B48,#REF!,17,0),0)</f>
        <v>0</v>
      </c>
      <c r="S48" s="9">
        <f>IFERROR(VLOOKUP(B48,cubo!$A$6:$BK$37,61,0)-VLOOKUP(conciliacao_custos!B48,#REF!,15,0),0)</f>
        <v>0</v>
      </c>
    </row>
    <row r="49" spans="2:19" x14ac:dyDescent="0.25">
      <c r="B49" s="7">
        <f>[1]salario!A48</f>
        <v>0</v>
      </c>
      <c r="C49" s="8">
        <f>[1]salario!C48</f>
        <v>0</v>
      </c>
      <c r="D49" s="10">
        <f>IFERROR(VLOOKUP(B49,cubo!$A$6:$BE$37,6,0)-VLOOKUP(B49,#REF!,$D$2,0),0)</f>
        <v>0</v>
      </c>
      <c r="E49" s="10">
        <f>IFERROR(VLOOKUP(B49,cubo!$A$6:$BE$37,9,0)-VLOOKUP(B49,#REF!,$E$2,0),0)</f>
        <v>0</v>
      </c>
      <c r="F49" s="9">
        <f>IFERROR(VLOOKUP(B49,cubo!$A$6:$BE$37,12,0)-VLOOKUP(B49,#REF!,$F$2,0),0)</f>
        <v>0</v>
      </c>
      <c r="G49" s="9">
        <f>IFERROR(VLOOKUP(B49,cubo!$A$6:$BE$37,54,0)-VLOOKUP(B49,#REF!,$G$2,0),0)</f>
        <v>0</v>
      </c>
      <c r="H49" s="10">
        <f>IFERROR(VLOOKUP(B49,cubo!$A$6:$BE$37,15,0)-VLOOKUP(B49,#REF!,$H$2,0),0)</f>
        <v>0</v>
      </c>
      <c r="I49" s="9">
        <f>IFERROR(VLOOKUP(B49,cubo!$A$6:$BE$37,18,0)-VLOOKUP(B49,#REF!,$I$2,0),0)</f>
        <v>0</v>
      </c>
      <c r="J49" s="9">
        <f>IFERROR(VLOOKUP(B49,cubo!$A$6:$BE$37,24,0)-VLOOKUP(B49,#REF!,$J$2,0),0)</f>
        <v>0</v>
      </c>
      <c r="K49" s="9">
        <f>IFERROR(VLOOKUP(B49,cubo!$A$6:$BE$37,34,0)-VLOOKUP(B49,#REF!,$K$2,0),0)</f>
        <v>0</v>
      </c>
      <c r="L49" s="8">
        <f>IFERROR(VLOOKUP(B49,cubo!$A$6:$BE$37,38,0)-VLOOKUP(B49,#REF!,$L$2,0),0)</f>
        <v>0</v>
      </c>
      <c r="M49" s="15">
        <f>IFERROR(VLOOKUP(B49,cubo!$A$6:$BE$37,57,0)-VLOOKUP(B49,#REF!,$M$2,0),0)</f>
        <v>0</v>
      </c>
      <c r="N49" s="9">
        <f>IFERROR(VLOOKUP(B49,cubo!$A$6:$BK$37,41,0)-VLOOKUP(conciliacao_custos!B49,#REF!,18,0),0)</f>
        <v>0</v>
      </c>
      <c r="O49" s="9">
        <f>IFERROR(VLOOKUP(B49,cubo!$A$6:$BK$37,44,0)-VLOOKUP(conciliacao_custos!B49,#REF!,13,0),0)</f>
        <v>0</v>
      </c>
      <c r="P49" s="9">
        <f>IFERROR(VLOOKUP(B49,cubo!$A$6:$BK$37,47,0)-VLOOKUP(conciliacao_custos!B49,#REF!,14,0),0)</f>
        <v>0</v>
      </c>
      <c r="Q49" s="9">
        <f>IFERROR(VLOOKUP(B49,cubo!$A$6:$BK$37,58,0)-VLOOKUP(conciliacao_custos!B49,#REF!,16,0),0)</f>
        <v>0</v>
      </c>
      <c r="R49" s="9">
        <f>IFERROR(VLOOKUP(B49,cubo!$A$6:$BK$37,64,0)-VLOOKUP(conciliacao_custos!B49,#REF!,17,0),0)</f>
        <v>0</v>
      </c>
      <c r="S49" s="9">
        <f>IFERROR(VLOOKUP(B49,cubo!$A$6:$BK$37,61,0)-VLOOKUP(conciliacao_custos!B49,#REF!,15,0),0)</f>
        <v>0</v>
      </c>
    </row>
    <row r="50" spans="2:19" x14ac:dyDescent="0.25">
      <c r="B50" s="7">
        <f>[1]salario!A49</f>
        <v>0</v>
      </c>
      <c r="C50" s="8">
        <f>[1]salario!C49</f>
        <v>0</v>
      </c>
      <c r="D50" s="10">
        <f>IFERROR(VLOOKUP(B50,cubo!$A$6:$BE$37,6,0)-VLOOKUP(B50,#REF!,$D$2,0),0)</f>
        <v>0</v>
      </c>
      <c r="E50" s="10">
        <f>IFERROR(VLOOKUP(B50,cubo!$A$6:$BE$37,9,0)-VLOOKUP(B50,#REF!,$E$2,0),0)</f>
        <v>0</v>
      </c>
      <c r="F50" s="9">
        <f>IFERROR(VLOOKUP(B50,cubo!$A$6:$BE$37,12,0)-VLOOKUP(B50,#REF!,$F$2,0),0)</f>
        <v>0</v>
      </c>
      <c r="G50" s="9">
        <f>IFERROR(VLOOKUP(B50,cubo!$A$6:$BE$37,54,0)-VLOOKUP(B50,#REF!,$G$2,0),0)</f>
        <v>0</v>
      </c>
      <c r="H50" s="10">
        <f>IFERROR(VLOOKUP(B50,cubo!$A$6:$BE$37,15,0)-VLOOKUP(B50,#REF!,$H$2,0),0)</f>
        <v>0</v>
      </c>
      <c r="I50" s="9">
        <f>IFERROR(VLOOKUP(B50,cubo!$A$6:$BE$37,18,0)-VLOOKUP(B50,#REF!,$I$2,0),0)</f>
        <v>0</v>
      </c>
      <c r="J50" s="9">
        <f>IFERROR(VLOOKUP(B50,cubo!$A$6:$BE$37,24,0)-VLOOKUP(B50,#REF!,$J$2,0),0)</f>
        <v>0</v>
      </c>
      <c r="K50" s="9">
        <f>IFERROR(VLOOKUP(B50,cubo!$A$6:$BE$37,34,0)-VLOOKUP(B50,#REF!,$K$2,0),0)</f>
        <v>0</v>
      </c>
      <c r="L50" s="8">
        <f>IFERROR(VLOOKUP(B50,cubo!$A$6:$BE$37,38,0)-VLOOKUP(B50,#REF!,$L$2,0),0)</f>
        <v>0</v>
      </c>
      <c r="M50" s="15">
        <f>IFERROR(VLOOKUP(B50,cubo!$A$6:$BE$37,57,0)-VLOOKUP(B50,#REF!,$M$2,0),0)</f>
        <v>0</v>
      </c>
      <c r="N50" s="9">
        <f>IFERROR(VLOOKUP(B50,cubo!$A$6:$BK$37,41,0)-VLOOKUP(conciliacao_custos!B50,#REF!,18,0),0)</f>
        <v>0</v>
      </c>
      <c r="O50" s="9">
        <f>IFERROR(VLOOKUP(B50,cubo!$A$6:$BK$37,44,0)-VLOOKUP(conciliacao_custos!B50,#REF!,13,0),0)</f>
        <v>0</v>
      </c>
      <c r="P50" s="9">
        <f>IFERROR(VLOOKUP(B50,cubo!$A$6:$BK$37,47,0)-VLOOKUP(conciliacao_custos!B50,#REF!,14,0),0)</f>
        <v>0</v>
      </c>
      <c r="Q50" s="9">
        <f>IFERROR(VLOOKUP(B50,cubo!$A$6:$BK$37,58,0)-VLOOKUP(conciliacao_custos!B50,#REF!,16,0),0)</f>
        <v>0</v>
      </c>
      <c r="R50" s="9">
        <f>IFERROR(VLOOKUP(B50,cubo!$A$6:$BK$37,64,0)-VLOOKUP(conciliacao_custos!B50,#REF!,17,0),0)</f>
        <v>0</v>
      </c>
      <c r="S50" s="9">
        <f>IFERROR(VLOOKUP(B50,cubo!$A$6:$BK$37,61,0)-VLOOKUP(conciliacao_custos!B50,#REF!,15,0),0)</f>
        <v>0</v>
      </c>
    </row>
    <row r="51" spans="2:19" x14ac:dyDescent="0.25">
      <c r="B51" s="7">
        <f>[1]salario!A50</f>
        <v>0</v>
      </c>
      <c r="C51" s="8">
        <f>[1]salario!C50</f>
        <v>0</v>
      </c>
      <c r="D51" s="10">
        <f>IFERROR(VLOOKUP(B51,cubo!$A$6:$BE$37,6,0)-VLOOKUP(B51,#REF!,$D$2,0),0)</f>
        <v>0</v>
      </c>
      <c r="E51" s="10">
        <f>IFERROR(VLOOKUP(B51,cubo!$A$6:$BE$37,9,0)-VLOOKUP(B51,#REF!,$E$2,0),0)</f>
        <v>0</v>
      </c>
      <c r="F51" s="9">
        <f>IFERROR(VLOOKUP(B51,cubo!$A$6:$BE$37,12,0)-VLOOKUP(B51,#REF!,$F$2,0),0)</f>
        <v>0</v>
      </c>
      <c r="G51" s="9">
        <f>IFERROR(VLOOKUP(B51,cubo!$A$6:$BE$37,54,0)-VLOOKUP(B51,#REF!,$G$2,0),0)</f>
        <v>0</v>
      </c>
      <c r="H51" s="10">
        <f>IFERROR(VLOOKUP(B51,cubo!$A$6:$BE$37,15,0)-VLOOKUP(B51,#REF!,$H$2,0),0)</f>
        <v>0</v>
      </c>
      <c r="I51" s="9">
        <f>IFERROR(VLOOKUP(B51,cubo!$A$6:$BE$37,18,0)-VLOOKUP(B51,#REF!,$I$2,0),0)</f>
        <v>0</v>
      </c>
      <c r="J51" s="9">
        <f>IFERROR(VLOOKUP(B51,cubo!$A$6:$BE$37,24,0)-VLOOKUP(B51,#REF!,$J$2,0),0)</f>
        <v>0</v>
      </c>
      <c r="K51" s="9">
        <f>IFERROR(VLOOKUP(B51,cubo!$A$6:$BE$37,34,0)-VLOOKUP(B51,#REF!,$K$2,0),0)</f>
        <v>0</v>
      </c>
      <c r="L51" s="8">
        <f>IFERROR(VLOOKUP(B51,cubo!$A$6:$BE$37,38,0)-VLOOKUP(B51,#REF!,$L$2,0),0)</f>
        <v>0</v>
      </c>
      <c r="M51" s="15">
        <f>IFERROR(VLOOKUP(B51,cubo!$A$6:$BE$37,57,0)-VLOOKUP(B51,#REF!,$M$2,0),0)</f>
        <v>0</v>
      </c>
      <c r="N51" s="9">
        <f>IFERROR(VLOOKUP(B51,cubo!$A$6:$BK$37,41,0)-VLOOKUP(conciliacao_custos!B51,#REF!,18,0),0)</f>
        <v>0</v>
      </c>
      <c r="O51" s="9">
        <f>IFERROR(VLOOKUP(B51,cubo!$A$6:$BK$37,44,0)-VLOOKUP(conciliacao_custos!B51,#REF!,13,0),0)</f>
        <v>0</v>
      </c>
      <c r="P51" s="9">
        <f>IFERROR(VLOOKUP(B51,cubo!$A$6:$BK$37,47,0)-VLOOKUP(conciliacao_custos!B51,#REF!,14,0),0)</f>
        <v>0</v>
      </c>
      <c r="Q51" s="9">
        <f>IFERROR(VLOOKUP(B51,cubo!$A$6:$BK$37,58,0)-VLOOKUP(conciliacao_custos!B51,#REF!,16,0),0)</f>
        <v>0</v>
      </c>
      <c r="R51" s="9">
        <f>IFERROR(VLOOKUP(B51,cubo!$A$6:$BK$37,64,0)-VLOOKUP(conciliacao_custos!B51,#REF!,17,0),0)</f>
        <v>0</v>
      </c>
      <c r="S51" s="9">
        <f>IFERROR(VLOOKUP(B51,cubo!$A$6:$BK$37,61,0)-VLOOKUP(conciliacao_custos!B51,#REF!,15,0),0)</f>
        <v>0</v>
      </c>
    </row>
    <row r="52" spans="2:19" x14ac:dyDescent="0.25">
      <c r="B52" s="7">
        <f>[1]salario!A51</f>
        <v>0</v>
      </c>
      <c r="C52" s="8">
        <f>[1]salario!C51</f>
        <v>0</v>
      </c>
      <c r="D52" s="10">
        <f>IFERROR(VLOOKUP(B52,cubo!$A$6:$BE$37,6,0)-VLOOKUP(B52,#REF!,$D$2,0),0)</f>
        <v>0</v>
      </c>
      <c r="E52" s="10">
        <f>IFERROR(VLOOKUP(B52,cubo!$A$6:$BE$37,9,0)-VLOOKUP(B52,#REF!,$E$2,0),0)</f>
        <v>0</v>
      </c>
      <c r="F52" s="9">
        <f>IFERROR(VLOOKUP(B52,cubo!$A$6:$BE$37,12,0)-VLOOKUP(B52,#REF!,$F$2,0),0)</f>
        <v>0</v>
      </c>
      <c r="G52" s="9">
        <f>IFERROR(VLOOKUP(B52,cubo!$A$6:$BE$37,54,0)-VLOOKUP(B52,#REF!,$G$2,0),0)</f>
        <v>0</v>
      </c>
      <c r="H52" s="10">
        <f>IFERROR(VLOOKUP(B52,cubo!$A$6:$BE$37,15,0)-VLOOKUP(B52,#REF!,$H$2,0),0)</f>
        <v>0</v>
      </c>
      <c r="I52" s="9">
        <f>IFERROR(VLOOKUP(B52,cubo!$A$6:$BE$37,18,0)-VLOOKUP(B52,#REF!,$I$2,0),0)</f>
        <v>0</v>
      </c>
      <c r="J52" s="9">
        <f>IFERROR(VLOOKUP(B52,cubo!$A$6:$BE$37,24,0)-VLOOKUP(B52,#REF!,$J$2,0),0)</f>
        <v>0</v>
      </c>
      <c r="K52" s="9">
        <f>IFERROR(VLOOKUP(B52,cubo!$A$6:$BE$37,34,0)-VLOOKUP(B52,#REF!,$K$2,0),0)</f>
        <v>0</v>
      </c>
      <c r="L52" s="8">
        <f>IFERROR(VLOOKUP(B52,cubo!$A$6:$BE$37,38,0)-VLOOKUP(B52,#REF!,$L$2,0),0)</f>
        <v>0</v>
      </c>
      <c r="M52" s="15">
        <f>IFERROR(VLOOKUP(B52,cubo!$A$6:$BE$37,57,0)-VLOOKUP(B52,#REF!,$M$2,0),0)</f>
        <v>0</v>
      </c>
      <c r="N52" s="9">
        <f>IFERROR(VLOOKUP(B52,cubo!$A$6:$BK$37,41,0)-VLOOKUP(conciliacao_custos!B52,#REF!,18,0),0)</f>
        <v>0</v>
      </c>
      <c r="O52" s="9">
        <f>IFERROR(VLOOKUP(B52,cubo!$A$6:$BK$37,44,0)-VLOOKUP(conciliacao_custos!B52,#REF!,13,0),0)</f>
        <v>0</v>
      </c>
      <c r="P52" s="9">
        <f>IFERROR(VLOOKUP(B52,cubo!$A$6:$BK$37,47,0)-VLOOKUP(conciliacao_custos!B52,#REF!,14,0),0)</f>
        <v>0</v>
      </c>
      <c r="Q52" s="9">
        <f>IFERROR(VLOOKUP(B52,cubo!$A$6:$BK$37,58,0)-VLOOKUP(conciliacao_custos!B52,#REF!,16,0),0)</f>
        <v>0</v>
      </c>
      <c r="R52" s="9">
        <f>IFERROR(VLOOKUP(B52,cubo!$A$6:$BK$37,64,0)-VLOOKUP(conciliacao_custos!B52,#REF!,17,0),0)</f>
        <v>0</v>
      </c>
      <c r="S52" s="9">
        <f>IFERROR(VLOOKUP(B52,cubo!$A$6:$BK$37,61,0)-VLOOKUP(conciliacao_custos!B52,#REF!,15,0),0)</f>
        <v>0</v>
      </c>
    </row>
    <row r="53" spans="2:19" x14ac:dyDescent="0.25">
      <c r="B53" s="7">
        <f>[1]salario!A52</f>
        <v>0</v>
      </c>
      <c r="C53" s="8">
        <f>[1]salario!C52</f>
        <v>0</v>
      </c>
      <c r="D53" s="10">
        <f>IFERROR(VLOOKUP(B53,cubo!$A$6:$BE$37,6,0)-VLOOKUP(B53,#REF!,$D$2,0),0)</f>
        <v>0</v>
      </c>
      <c r="E53" s="10">
        <f>IFERROR(VLOOKUP(B53,cubo!$A$6:$BE$37,9,0)-VLOOKUP(B53,#REF!,$E$2,0),0)</f>
        <v>0</v>
      </c>
      <c r="F53" s="9">
        <f>IFERROR(VLOOKUP(B53,cubo!$A$6:$BE$37,12,0)-VLOOKUP(B53,#REF!,$F$2,0),0)</f>
        <v>0</v>
      </c>
      <c r="G53" s="9">
        <f>IFERROR(VLOOKUP(B53,cubo!$A$6:$BE$37,54,0)-VLOOKUP(B53,#REF!,$G$2,0),0)</f>
        <v>0</v>
      </c>
      <c r="H53" s="10">
        <f>IFERROR(VLOOKUP(B53,cubo!$A$6:$BE$37,15,0)-VLOOKUP(B53,#REF!,$H$2,0),0)</f>
        <v>0</v>
      </c>
      <c r="I53" s="9">
        <f>IFERROR(VLOOKUP(B53,cubo!$A$6:$BE$37,18,0)-VLOOKUP(B53,#REF!,$I$2,0),0)</f>
        <v>0</v>
      </c>
      <c r="J53" s="9">
        <f>IFERROR(VLOOKUP(B53,cubo!$A$6:$BE$37,24,0)-VLOOKUP(B53,#REF!,$J$2,0),0)</f>
        <v>0</v>
      </c>
      <c r="K53" s="9">
        <f>IFERROR(VLOOKUP(B53,cubo!$A$6:$BE$37,34,0)-VLOOKUP(B53,#REF!,$K$2,0),0)</f>
        <v>0</v>
      </c>
      <c r="L53" s="8">
        <f>IFERROR(VLOOKUP(B53,cubo!$A$6:$BE$37,38,0)-VLOOKUP(B53,#REF!,$L$2,0),0)</f>
        <v>0</v>
      </c>
      <c r="M53" s="15">
        <f>IFERROR(VLOOKUP(B53,cubo!$A$6:$BE$37,57,0)-VLOOKUP(B53,#REF!,$M$2,0),0)</f>
        <v>0</v>
      </c>
      <c r="N53" s="9">
        <f>IFERROR(VLOOKUP(B53,cubo!$A$6:$BK$37,41,0)-VLOOKUP(conciliacao_custos!B53,#REF!,18,0),0)</f>
        <v>0</v>
      </c>
      <c r="O53" s="9">
        <f>IFERROR(VLOOKUP(B53,cubo!$A$6:$BK$37,44,0)-VLOOKUP(conciliacao_custos!B53,#REF!,13,0),0)</f>
        <v>0</v>
      </c>
      <c r="P53" s="9">
        <f>IFERROR(VLOOKUP(B53,cubo!$A$6:$BK$37,47,0)-VLOOKUP(conciliacao_custos!B53,#REF!,14,0),0)</f>
        <v>0</v>
      </c>
      <c r="Q53" s="9">
        <f>IFERROR(VLOOKUP(B53,cubo!$A$6:$BK$37,58,0)-VLOOKUP(conciliacao_custos!B53,#REF!,16,0),0)</f>
        <v>0</v>
      </c>
      <c r="R53" s="9">
        <f>IFERROR(VLOOKUP(B53,cubo!$A$6:$BK$37,64,0)-VLOOKUP(conciliacao_custos!B53,#REF!,17,0),0)</f>
        <v>0</v>
      </c>
      <c r="S53" s="9">
        <f>IFERROR(VLOOKUP(B53,cubo!$A$6:$BK$37,61,0)-VLOOKUP(conciliacao_custos!B53,#REF!,15,0),0)</f>
        <v>0</v>
      </c>
    </row>
    <row r="54" spans="2:19" x14ac:dyDescent="0.25">
      <c r="B54" s="7">
        <f>[1]salario!A53</f>
        <v>0</v>
      </c>
      <c r="C54" s="8">
        <f>[1]salario!C53</f>
        <v>0</v>
      </c>
      <c r="D54" s="10">
        <f>IFERROR(VLOOKUP(B54,cubo!$A$6:$BE$37,6,0)-VLOOKUP(B54,#REF!,$D$2,0),0)</f>
        <v>0</v>
      </c>
      <c r="E54" s="10">
        <f>IFERROR(VLOOKUP(B54,cubo!$A$6:$BE$37,9,0)-VLOOKUP(B54,#REF!,$E$2,0),0)</f>
        <v>0</v>
      </c>
      <c r="F54" s="9">
        <f>IFERROR(VLOOKUP(B54,cubo!$A$6:$BE$37,12,0)-VLOOKUP(B54,#REF!,$F$2,0),0)</f>
        <v>0</v>
      </c>
      <c r="G54" s="9">
        <f>IFERROR(VLOOKUP(B54,cubo!$A$6:$BE$37,54,0)-VLOOKUP(B54,#REF!,$G$2,0),0)</f>
        <v>0</v>
      </c>
      <c r="H54" s="10">
        <f>IFERROR(VLOOKUP(B54,cubo!$A$6:$BE$37,15,0)-VLOOKUP(B54,#REF!,$H$2,0),0)</f>
        <v>0</v>
      </c>
      <c r="I54" s="9">
        <f>IFERROR(VLOOKUP(B54,cubo!$A$6:$BE$37,18,0)-VLOOKUP(B54,#REF!,$I$2,0),0)</f>
        <v>0</v>
      </c>
      <c r="J54" s="9">
        <f>IFERROR(VLOOKUP(B54,cubo!$A$6:$BE$37,24,0)-VLOOKUP(B54,#REF!,$J$2,0),0)</f>
        <v>0</v>
      </c>
      <c r="K54" s="9">
        <f>IFERROR(VLOOKUP(B54,cubo!$A$6:$BE$37,34,0)-VLOOKUP(B54,#REF!,$K$2,0),0)</f>
        <v>0</v>
      </c>
      <c r="L54" s="8">
        <f>IFERROR(VLOOKUP(B54,cubo!$A$6:$BE$37,38,0)-VLOOKUP(B54,#REF!,$L$2,0),0)</f>
        <v>0</v>
      </c>
      <c r="M54" s="15">
        <f>IFERROR(VLOOKUP(B54,cubo!$A$6:$BE$37,57,0)-VLOOKUP(B54,#REF!,$M$2,0),0)</f>
        <v>0</v>
      </c>
      <c r="N54" s="9">
        <f>IFERROR(VLOOKUP(B54,cubo!$A$6:$BK$37,41,0)-VLOOKUP(conciliacao_custos!B54,#REF!,18,0),0)</f>
        <v>0</v>
      </c>
      <c r="O54" s="9">
        <f>IFERROR(VLOOKUP(B54,cubo!$A$6:$BK$37,44,0)-VLOOKUP(conciliacao_custos!B54,#REF!,13,0),0)</f>
        <v>0</v>
      </c>
      <c r="P54" s="9">
        <f>IFERROR(VLOOKUP(B54,cubo!$A$6:$BK$37,47,0)-VLOOKUP(conciliacao_custos!B54,#REF!,14,0),0)</f>
        <v>0</v>
      </c>
      <c r="Q54" s="9">
        <f>IFERROR(VLOOKUP(B54,cubo!$A$6:$BK$37,58,0)-VLOOKUP(conciliacao_custos!B54,#REF!,16,0),0)</f>
        <v>0</v>
      </c>
      <c r="R54" s="9">
        <f>IFERROR(VLOOKUP(B54,cubo!$A$6:$BK$37,64,0)-VLOOKUP(conciliacao_custos!B54,#REF!,17,0),0)</f>
        <v>0</v>
      </c>
      <c r="S54" s="9">
        <f>IFERROR(VLOOKUP(B54,cubo!$A$6:$BK$37,61,0)-VLOOKUP(conciliacao_custos!B54,#REF!,15,0),0)</f>
        <v>0</v>
      </c>
    </row>
    <row r="55" spans="2:19" x14ac:dyDescent="0.25">
      <c r="B55" s="7">
        <f>[1]salario!A54</f>
        <v>0</v>
      </c>
      <c r="C55" s="8">
        <f>[1]salario!C54</f>
        <v>0</v>
      </c>
      <c r="D55" s="10">
        <f>IFERROR(VLOOKUP(B55,cubo!$A$6:$BE$37,6,0)-VLOOKUP(B55,#REF!,$D$2,0),0)</f>
        <v>0</v>
      </c>
      <c r="E55" s="10">
        <f>IFERROR(VLOOKUP(B55,cubo!$A$6:$BE$37,9,0)-VLOOKUP(B55,#REF!,$E$2,0),0)</f>
        <v>0</v>
      </c>
      <c r="F55" s="9">
        <f>IFERROR(VLOOKUP(B55,cubo!$A$6:$BE$37,12,0)-VLOOKUP(B55,#REF!,$F$2,0),0)</f>
        <v>0</v>
      </c>
      <c r="G55" s="9">
        <f>IFERROR(VLOOKUP(B55,cubo!$A$6:$BE$37,54,0)-VLOOKUP(B55,#REF!,$G$2,0),0)</f>
        <v>0</v>
      </c>
      <c r="H55" s="10">
        <f>IFERROR(VLOOKUP(B55,cubo!$A$6:$BE$37,15,0)-VLOOKUP(B55,#REF!,$H$2,0),0)</f>
        <v>0</v>
      </c>
      <c r="I55" s="9">
        <f>IFERROR(VLOOKUP(B55,cubo!$A$6:$BE$37,18,0)-VLOOKUP(B55,#REF!,$I$2,0),0)</f>
        <v>0</v>
      </c>
      <c r="J55" s="9">
        <f>IFERROR(VLOOKUP(B55,cubo!$A$6:$BE$37,24,0)-VLOOKUP(B55,#REF!,$J$2,0),0)</f>
        <v>0</v>
      </c>
      <c r="K55" s="9">
        <f>IFERROR(VLOOKUP(B55,cubo!$A$6:$BE$37,34,0)-VLOOKUP(B55,#REF!,$K$2,0),0)</f>
        <v>0</v>
      </c>
      <c r="L55" s="8">
        <f>IFERROR(VLOOKUP(B55,cubo!$A$6:$BE$37,38,0)-VLOOKUP(B55,#REF!,$L$2,0),0)</f>
        <v>0</v>
      </c>
      <c r="M55" s="15">
        <f>IFERROR(VLOOKUP(B55,cubo!$A$6:$BE$37,57,0)-VLOOKUP(B55,#REF!,$M$2,0),0)</f>
        <v>0</v>
      </c>
      <c r="N55" s="9">
        <f>IFERROR(VLOOKUP(B55,cubo!$A$6:$BK$37,41,0)-VLOOKUP(conciliacao_custos!B55,#REF!,18,0),0)</f>
        <v>0</v>
      </c>
      <c r="O55" s="9">
        <f>IFERROR(VLOOKUP(B55,cubo!$A$6:$BK$37,44,0)-VLOOKUP(conciliacao_custos!B55,#REF!,13,0),0)</f>
        <v>0</v>
      </c>
      <c r="P55" s="9">
        <f>IFERROR(VLOOKUP(B55,cubo!$A$6:$BK$37,47,0)-VLOOKUP(conciliacao_custos!B55,#REF!,14,0),0)</f>
        <v>0</v>
      </c>
      <c r="Q55" s="9">
        <f>IFERROR(VLOOKUP(B55,cubo!$A$6:$BK$37,58,0)-VLOOKUP(conciliacao_custos!B55,#REF!,16,0),0)</f>
        <v>0</v>
      </c>
      <c r="R55" s="9">
        <f>IFERROR(VLOOKUP(B55,cubo!$A$6:$BK$37,64,0)-VLOOKUP(conciliacao_custos!B55,#REF!,17,0),0)</f>
        <v>0</v>
      </c>
      <c r="S55" s="9">
        <f>IFERROR(VLOOKUP(B55,cubo!$A$6:$BK$37,61,0)-VLOOKUP(conciliacao_custos!B55,#REF!,15,0),0)</f>
        <v>0</v>
      </c>
    </row>
    <row r="56" spans="2:19" x14ac:dyDescent="0.25">
      <c r="B56" s="7">
        <f>[1]salario!A55</f>
        <v>0</v>
      </c>
      <c r="C56" s="8">
        <f>[1]salario!C55</f>
        <v>0</v>
      </c>
      <c r="D56" s="10">
        <f>IFERROR(VLOOKUP(B56,cubo!$A$6:$BE$37,6,0)-VLOOKUP(B56,#REF!,$D$2,0),0)</f>
        <v>0</v>
      </c>
      <c r="E56" s="10">
        <f>IFERROR(VLOOKUP(B56,cubo!$A$6:$BE$37,9,0)-VLOOKUP(B56,#REF!,$E$2,0),0)</f>
        <v>0</v>
      </c>
      <c r="F56" s="9">
        <f>IFERROR(VLOOKUP(B56,cubo!$A$6:$BE$37,12,0)-VLOOKUP(B56,#REF!,$F$2,0),0)</f>
        <v>0</v>
      </c>
      <c r="G56" s="9">
        <f>IFERROR(VLOOKUP(B56,cubo!$A$6:$BE$37,54,0)-VLOOKUP(B56,#REF!,$G$2,0),0)</f>
        <v>0</v>
      </c>
      <c r="H56" s="10">
        <f>IFERROR(VLOOKUP(B56,cubo!$A$6:$BE$37,15,0)-VLOOKUP(B56,#REF!,$H$2,0),0)</f>
        <v>0</v>
      </c>
      <c r="I56" s="9">
        <f>IFERROR(VLOOKUP(B56,cubo!$A$6:$BE$37,18,0)-VLOOKUP(B56,#REF!,$I$2,0),0)</f>
        <v>0</v>
      </c>
      <c r="J56" s="9">
        <f>IFERROR(VLOOKUP(B56,cubo!$A$6:$BE$37,24,0)-VLOOKUP(B56,#REF!,$J$2,0),0)</f>
        <v>0</v>
      </c>
      <c r="K56" s="9">
        <f>IFERROR(VLOOKUP(B56,cubo!$A$6:$BE$37,34,0)-VLOOKUP(B56,#REF!,$K$2,0),0)</f>
        <v>0</v>
      </c>
      <c r="L56" s="8">
        <f>IFERROR(VLOOKUP(B56,cubo!$A$6:$BE$37,38,0)-VLOOKUP(B56,#REF!,$L$2,0),0)</f>
        <v>0</v>
      </c>
      <c r="M56" s="15">
        <f>IFERROR(VLOOKUP(B56,cubo!$A$6:$BE$37,57,0)-VLOOKUP(B56,#REF!,$M$2,0),0)</f>
        <v>0</v>
      </c>
      <c r="N56" s="9">
        <f>IFERROR(VLOOKUP(B56,cubo!$A$6:$BK$37,41,0)-VLOOKUP(conciliacao_custos!B56,#REF!,18,0),0)</f>
        <v>0</v>
      </c>
      <c r="O56" s="9">
        <f>IFERROR(VLOOKUP(B56,cubo!$A$6:$BK$37,44,0)-VLOOKUP(conciliacao_custos!B56,#REF!,13,0),0)</f>
        <v>0</v>
      </c>
      <c r="P56" s="9">
        <f>IFERROR(VLOOKUP(B56,cubo!$A$6:$BK$37,47,0)-VLOOKUP(conciliacao_custos!B56,#REF!,14,0),0)</f>
        <v>0</v>
      </c>
      <c r="Q56" s="9">
        <f>IFERROR(VLOOKUP(B56,cubo!$A$6:$BK$37,58,0)-VLOOKUP(conciliacao_custos!B56,#REF!,16,0),0)</f>
        <v>0</v>
      </c>
      <c r="R56" s="9">
        <f>IFERROR(VLOOKUP(B56,cubo!$A$6:$BK$37,64,0)-VLOOKUP(conciliacao_custos!B56,#REF!,17,0),0)</f>
        <v>0</v>
      </c>
      <c r="S56" s="9">
        <f>IFERROR(VLOOKUP(B56,cubo!$A$6:$BK$37,61,0)-VLOOKUP(conciliacao_custos!B56,#REF!,15,0),0)</f>
        <v>0</v>
      </c>
    </row>
    <row r="57" spans="2:19" x14ac:dyDescent="0.25">
      <c r="B57" s="7">
        <f>[1]salario!A56</f>
        <v>0</v>
      </c>
      <c r="C57" s="8">
        <f>[1]salario!C56</f>
        <v>0</v>
      </c>
      <c r="D57" s="10">
        <f>IFERROR(VLOOKUP(B57,cubo!$A$6:$BE$37,6,0)-VLOOKUP(B57,#REF!,$D$2,0),0)</f>
        <v>0</v>
      </c>
      <c r="E57" s="10">
        <f>IFERROR(VLOOKUP(B57,cubo!$A$6:$BE$37,9,0)-VLOOKUP(B57,#REF!,$E$2,0),0)</f>
        <v>0</v>
      </c>
      <c r="F57" s="9">
        <f>IFERROR(VLOOKUP(B57,cubo!$A$6:$BE$37,12,0)-VLOOKUP(B57,#REF!,$F$2,0),0)</f>
        <v>0</v>
      </c>
      <c r="G57" s="9">
        <f>IFERROR(VLOOKUP(B57,cubo!$A$6:$BE$37,54,0)-VLOOKUP(B57,#REF!,$G$2,0),0)</f>
        <v>0</v>
      </c>
      <c r="H57" s="10">
        <f>IFERROR(VLOOKUP(B57,cubo!$A$6:$BE$37,15,0)-VLOOKUP(B57,#REF!,$H$2,0),0)</f>
        <v>0</v>
      </c>
      <c r="I57" s="9">
        <f>IFERROR(VLOOKUP(B57,cubo!$A$6:$BE$37,18,0)-VLOOKUP(B57,#REF!,$I$2,0),0)</f>
        <v>0</v>
      </c>
      <c r="J57" s="9">
        <f>IFERROR(VLOOKUP(B57,cubo!$A$6:$BE$37,24,0)-VLOOKUP(B57,#REF!,$J$2,0),0)</f>
        <v>0</v>
      </c>
      <c r="K57" s="9">
        <f>IFERROR(VLOOKUP(B57,cubo!$A$6:$BE$37,34,0)-VLOOKUP(B57,#REF!,$K$2,0),0)</f>
        <v>0</v>
      </c>
      <c r="L57" s="8">
        <f>IFERROR(VLOOKUP(B57,cubo!$A$6:$BE$37,38,0)-VLOOKUP(B57,#REF!,$L$2,0),0)</f>
        <v>0</v>
      </c>
      <c r="M57" s="15">
        <f>IFERROR(VLOOKUP(B57,cubo!$A$6:$BE$37,57,0)-VLOOKUP(B57,#REF!,$M$2,0),0)</f>
        <v>0</v>
      </c>
      <c r="N57" s="9">
        <f>IFERROR(VLOOKUP(B57,cubo!$A$6:$BK$37,41,0)-VLOOKUP(conciliacao_custos!B57,#REF!,18,0),0)</f>
        <v>0</v>
      </c>
      <c r="O57" s="9">
        <f>IFERROR(VLOOKUP(B57,cubo!$A$6:$BK$37,44,0)-VLOOKUP(conciliacao_custos!B57,#REF!,13,0),0)</f>
        <v>0</v>
      </c>
      <c r="P57" s="9">
        <f>IFERROR(VLOOKUP(B57,cubo!$A$6:$BK$37,47,0)-VLOOKUP(conciliacao_custos!B57,#REF!,14,0),0)</f>
        <v>0</v>
      </c>
      <c r="Q57" s="9">
        <f>IFERROR(VLOOKUP(B57,cubo!$A$6:$BK$37,58,0)-VLOOKUP(conciliacao_custos!B57,#REF!,16,0),0)</f>
        <v>0</v>
      </c>
      <c r="R57" s="9">
        <f>IFERROR(VLOOKUP(B57,cubo!$A$6:$BK$37,64,0)-VLOOKUP(conciliacao_custos!B57,#REF!,17,0),0)</f>
        <v>0</v>
      </c>
      <c r="S57" s="9">
        <f>IFERROR(VLOOKUP(B57,cubo!$A$6:$BK$37,61,0)-VLOOKUP(conciliacao_custos!B57,#REF!,15,0),0)</f>
        <v>0</v>
      </c>
    </row>
    <row r="58" spans="2:19" x14ac:dyDescent="0.25">
      <c r="B58" s="7">
        <f>[1]salario!A57</f>
        <v>0</v>
      </c>
      <c r="C58" s="8">
        <f>[1]salario!C57</f>
        <v>0</v>
      </c>
      <c r="D58" s="10">
        <f>IFERROR(VLOOKUP(B58,cubo!$A$6:$BE$37,6,0)-VLOOKUP(B58,#REF!,$D$2,0),0)</f>
        <v>0</v>
      </c>
      <c r="E58" s="10">
        <f>IFERROR(VLOOKUP(B58,cubo!$A$6:$BE$37,9,0)-VLOOKUP(B58,#REF!,$E$2,0),0)</f>
        <v>0</v>
      </c>
      <c r="F58" s="9">
        <f>IFERROR(VLOOKUP(B58,cubo!$A$6:$BE$37,12,0)-VLOOKUP(B58,#REF!,$F$2,0),0)</f>
        <v>0</v>
      </c>
      <c r="G58" s="9">
        <f>IFERROR(VLOOKUP(B58,cubo!$A$6:$BE$37,54,0)-VLOOKUP(B58,#REF!,$G$2,0),0)</f>
        <v>0</v>
      </c>
      <c r="H58" s="10">
        <f>IFERROR(VLOOKUP(B58,cubo!$A$6:$BE$37,15,0)-VLOOKUP(B58,#REF!,$H$2,0),0)</f>
        <v>0</v>
      </c>
      <c r="I58" s="9">
        <f>IFERROR(VLOOKUP(B58,cubo!$A$6:$BE$37,18,0)-VLOOKUP(B58,#REF!,$I$2,0),0)</f>
        <v>0</v>
      </c>
      <c r="J58" s="9">
        <f>IFERROR(VLOOKUP(B58,cubo!$A$6:$BE$37,24,0)-VLOOKUP(B58,#REF!,$J$2,0),0)</f>
        <v>0</v>
      </c>
      <c r="K58" s="9">
        <f>IFERROR(VLOOKUP(B58,cubo!$A$6:$BE$37,34,0)-VLOOKUP(B58,#REF!,$K$2,0),0)</f>
        <v>0</v>
      </c>
      <c r="L58" s="8">
        <f>IFERROR(VLOOKUP(B58,cubo!$A$6:$BE$37,38,0)-VLOOKUP(B58,#REF!,$L$2,0),0)</f>
        <v>0</v>
      </c>
      <c r="M58" s="15">
        <f>IFERROR(VLOOKUP(B58,cubo!$A$6:$BE$37,57,0)-VLOOKUP(B58,#REF!,$M$2,0),0)</f>
        <v>0</v>
      </c>
      <c r="N58" s="9">
        <f>IFERROR(VLOOKUP(B58,cubo!$A$6:$BK$37,41,0)-VLOOKUP(conciliacao_custos!B58,#REF!,18,0),0)</f>
        <v>0</v>
      </c>
      <c r="O58" s="9">
        <f>IFERROR(VLOOKUP(B58,cubo!$A$6:$BK$37,44,0)-VLOOKUP(conciliacao_custos!B58,#REF!,13,0),0)</f>
        <v>0</v>
      </c>
      <c r="P58" s="9">
        <f>IFERROR(VLOOKUP(B58,cubo!$A$6:$BK$37,47,0)-VLOOKUP(conciliacao_custos!B58,#REF!,14,0),0)</f>
        <v>0</v>
      </c>
      <c r="Q58" s="9">
        <f>IFERROR(VLOOKUP(B58,cubo!$A$6:$BK$37,58,0)-VLOOKUP(conciliacao_custos!B58,#REF!,16,0),0)</f>
        <v>0</v>
      </c>
      <c r="R58" s="9">
        <f>IFERROR(VLOOKUP(B58,cubo!$A$6:$BK$37,64,0)-VLOOKUP(conciliacao_custos!B58,#REF!,17,0),0)</f>
        <v>0</v>
      </c>
      <c r="S58" s="9">
        <f>IFERROR(VLOOKUP(B58,cubo!$A$6:$BK$37,61,0)-VLOOKUP(conciliacao_custos!B58,#REF!,15,0),0)</f>
        <v>0</v>
      </c>
    </row>
    <row r="59" spans="2:19" x14ac:dyDescent="0.25">
      <c r="B59" s="7">
        <f>[1]salario!A58</f>
        <v>0</v>
      </c>
      <c r="C59" s="8">
        <f>[1]salario!C58</f>
        <v>0</v>
      </c>
      <c r="D59" s="10">
        <f>IFERROR(VLOOKUP(B59,cubo!$A$6:$BE$37,6,0)-VLOOKUP(B59,#REF!,$D$2,0),0)</f>
        <v>0</v>
      </c>
      <c r="E59" s="10">
        <f>IFERROR(VLOOKUP(B59,cubo!$A$6:$BE$37,9,0)-VLOOKUP(B59,#REF!,$E$2,0),0)</f>
        <v>0</v>
      </c>
      <c r="F59" s="9">
        <f>IFERROR(VLOOKUP(B59,cubo!$A$6:$BE$37,12,0)-VLOOKUP(B59,#REF!,$F$2,0),0)</f>
        <v>0</v>
      </c>
      <c r="G59" s="9">
        <f>IFERROR(VLOOKUP(B59,cubo!$A$6:$BE$37,54,0)-VLOOKUP(B59,#REF!,$G$2,0),0)</f>
        <v>0</v>
      </c>
      <c r="H59" s="10">
        <f>IFERROR(VLOOKUP(B59,cubo!$A$6:$BE$37,15,0)-VLOOKUP(B59,#REF!,$H$2,0),0)</f>
        <v>0</v>
      </c>
      <c r="I59" s="9">
        <f>IFERROR(VLOOKUP(B59,cubo!$A$6:$BE$37,18,0)-VLOOKUP(B59,#REF!,$I$2,0),0)</f>
        <v>0</v>
      </c>
      <c r="J59" s="9">
        <f>IFERROR(VLOOKUP(B59,cubo!$A$6:$BE$37,24,0)-VLOOKUP(B59,#REF!,$J$2,0),0)</f>
        <v>0</v>
      </c>
      <c r="K59" s="9">
        <f>IFERROR(VLOOKUP(B59,cubo!$A$6:$BE$37,34,0)-VLOOKUP(B59,#REF!,$K$2,0),0)</f>
        <v>0</v>
      </c>
      <c r="L59" s="8">
        <f>IFERROR(VLOOKUP(B59,cubo!$A$6:$BE$37,38,0)-VLOOKUP(B59,#REF!,$L$2,0),0)</f>
        <v>0</v>
      </c>
      <c r="M59" s="15">
        <f>IFERROR(VLOOKUP(B59,cubo!$A$6:$BE$37,57,0)-VLOOKUP(B59,#REF!,$M$2,0),0)</f>
        <v>0</v>
      </c>
      <c r="N59" s="9">
        <f>IFERROR(VLOOKUP(B59,cubo!$A$6:$BK$37,41,0)-VLOOKUP(conciliacao_custos!B59,#REF!,18,0),0)</f>
        <v>0</v>
      </c>
      <c r="O59" s="9">
        <f>IFERROR(VLOOKUP(B59,cubo!$A$6:$BK$37,44,0)-VLOOKUP(conciliacao_custos!B59,#REF!,13,0),0)</f>
        <v>0</v>
      </c>
      <c r="P59" s="9">
        <f>IFERROR(VLOOKUP(B59,cubo!$A$6:$BK$37,47,0)-VLOOKUP(conciliacao_custos!B59,#REF!,14,0),0)</f>
        <v>0</v>
      </c>
      <c r="Q59" s="9">
        <f>IFERROR(VLOOKUP(B59,cubo!$A$6:$BK$37,58,0)-VLOOKUP(conciliacao_custos!B59,#REF!,16,0),0)</f>
        <v>0</v>
      </c>
      <c r="R59" s="9">
        <f>IFERROR(VLOOKUP(B59,cubo!$A$6:$BK$37,64,0)-VLOOKUP(conciliacao_custos!B59,#REF!,17,0),0)</f>
        <v>0</v>
      </c>
      <c r="S59" s="9">
        <f>IFERROR(VLOOKUP(B59,cubo!$A$6:$BK$37,61,0)-VLOOKUP(conciliacao_custos!B59,#REF!,15,0),0)</f>
        <v>0</v>
      </c>
    </row>
    <row r="60" spans="2:19" x14ac:dyDescent="0.25">
      <c r="B60" s="7">
        <f>[1]salario!A59</f>
        <v>0</v>
      </c>
      <c r="C60" s="8">
        <f>[1]salario!C59</f>
        <v>0</v>
      </c>
      <c r="D60" s="10">
        <f>IFERROR(VLOOKUP(B60,cubo!$A$6:$BE$37,6,0)-VLOOKUP(B60,#REF!,$D$2,0),0)</f>
        <v>0</v>
      </c>
      <c r="E60" s="10">
        <f>IFERROR(VLOOKUP(B60,cubo!$A$6:$BE$37,9,0)-VLOOKUP(B60,#REF!,$E$2,0),0)</f>
        <v>0</v>
      </c>
      <c r="F60" s="9">
        <f>IFERROR(VLOOKUP(B60,cubo!$A$6:$BE$37,12,0)-VLOOKUP(B60,#REF!,$F$2,0),0)</f>
        <v>0</v>
      </c>
      <c r="G60" s="9">
        <f>IFERROR(VLOOKUP(B60,cubo!$A$6:$BE$37,54,0)-VLOOKUP(B60,#REF!,$G$2,0),0)</f>
        <v>0</v>
      </c>
      <c r="H60" s="10">
        <f>IFERROR(VLOOKUP(B60,cubo!$A$6:$BE$37,15,0)-VLOOKUP(B60,#REF!,$H$2,0),0)</f>
        <v>0</v>
      </c>
      <c r="I60" s="9">
        <f>IFERROR(VLOOKUP(B60,cubo!$A$6:$BE$37,18,0)-VLOOKUP(B60,#REF!,$I$2,0),0)</f>
        <v>0</v>
      </c>
      <c r="J60" s="9">
        <f>IFERROR(VLOOKUP(B60,cubo!$A$6:$BE$37,24,0)-VLOOKUP(B60,#REF!,$J$2,0),0)</f>
        <v>0</v>
      </c>
      <c r="K60" s="9">
        <f>IFERROR(VLOOKUP(B60,cubo!$A$6:$BE$37,34,0)-VLOOKUP(B60,#REF!,$K$2,0),0)</f>
        <v>0</v>
      </c>
      <c r="L60" s="8">
        <f>IFERROR(VLOOKUP(B60,cubo!$A$6:$BE$37,38,0)-VLOOKUP(B60,#REF!,$L$2,0),0)</f>
        <v>0</v>
      </c>
      <c r="M60" s="15">
        <f>IFERROR(VLOOKUP(B60,cubo!$A$6:$BE$37,57,0)-VLOOKUP(B60,#REF!,$M$2,0),0)</f>
        <v>0</v>
      </c>
      <c r="N60" s="9">
        <f>IFERROR(VLOOKUP(B60,cubo!$A$6:$BK$37,41,0)-VLOOKUP(conciliacao_custos!B60,#REF!,18,0),0)</f>
        <v>0</v>
      </c>
      <c r="O60" s="9">
        <f>IFERROR(VLOOKUP(B60,cubo!$A$6:$BK$37,44,0)-VLOOKUP(conciliacao_custos!B60,#REF!,13,0),0)</f>
        <v>0</v>
      </c>
      <c r="P60" s="9">
        <f>IFERROR(VLOOKUP(B60,cubo!$A$6:$BK$37,47,0)-VLOOKUP(conciliacao_custos!B60,#REF!,14,0),0)</f>
        <v>0</v>
      </c>
      <c r="Q60" s="9">
        <f>IFERROR(VLOOKUP(B60,cubo!$A$6:$BK$37,58,0)-VLOOKUP(conciliacao_custos!B60,#REF!,16,0),0)</f>
        <v>0</v>
      </c>
      <c r="R60" s="9">
        <f>IFERROR(VLOOKUP(B60,cubo!$A$6:$BK$37,64,0)-VLOOKUP(conciliacao_custos!B60,#REF!,17,0),0)</f>
        <v>0</v>
      </c>
      <c r="S60" s="9">
        <f>IFERROR(VLOOKUP(B60,cubo!$A$6:$BK$37,61,0)-VLOOKUP(conciliacao_custos!B60,#REF!,15,0),0)</f>
        <v>0</v>
      </c>
    </row>
    <row r="61" spans="2:19" x14ac:dyDescent="0.25">
      <c r="B61" s="7">
        <f>[1]salario!A60</f>
        <v>0</v>
      </c>
      <c r="C61" s="8">
        <f>[1]salario!C60</f>
        <v>0</v>
      </c>
      <c r="D61" s="10">
        <f>IFERROR(VLOOKUP(B61,cubo!$A$6:$BE$37,6,0)-VLOOKUP(B61,#REF!,$D$2,0),0)</f>
        <v>0</v>
      </c>
      <c r="E61" s="10">
        <f>IFERROR(VLOOKUP(B61,cubo!$A$6:$BE$37,9,0)-VLOOKUP(B61,#REF!,$E$2,0),0)</f>
        <v>0</v>
      </c>
      <c r="F61" s="9">
        <f>IFERROR(VLOOKUP(B61,cubo!$A$6:$BE$37,12,0)-VLOOKUP(B61,#REF!,$F$2,0),0)</f>
        <v>0</v>
      </c>
      <c r="G61" s="9">
        <f>IFERROR(VLOOKUP(B61,cubo!$A$6:$BE$37,54,0)-VLOOKUP(B61,#REF!,$G$2,0),0)</f>
        <v>0</v>
      </c>
      <c r="H61" s="10">
        <f>IFERROR(VLOOKUP(B61,cubo!$A$6:$BE$37,15,0)-VLOOKUP(B61,#REF!,$H$2,0),0)</f>
        <v>0</v>
      </c>
      <c r="I61" s="9">
        <f>IFERROR(VLOOKUP(B61,cubo!$A$6:$BE$37,18,0)-VLOOKUP(B61,#REF!,$I$2,0),0)</f>
        <v>0</v>
      </c>
      <c r="J61" s="9">
        <f>IFERROR(VLOOKUP(B61,cubo!$A$6:$BE$37,24,0)-VLOOKUP(B61,#REF!,$J$2,0),0)</f>
        <v>0</v>
      </c>
      <c r="K61" s="9">
        <f>IFERROR(VLOOKUP(B61,cubo!$A$6:$BE$37,34,0)-VLOOKUP(B61,#REF!,$K$2,0),0)</f>
        <v>0</v>
      </c>
      <c r="L61" s="8">
        <f>IFERROR(VLOOKUP(B61,cubo!$A$6:$BE$37,38,0)-VLOOKUP(B61,#REF!,$L$2,0),0)</f>
        <v>0</v>
      </c>
      <c r="M61" s="15">
        <f>IFERROR(VLOOKUP(B61,cubo!$A$6:$BE$37,57,0)-VLOOKUP(B61,#REF!,$M$2,0),0)</f>
        <v>0</v>
      </c>
      <c r="N61" s="9">
        <f>IFERROR(VLOOKUP(B61,cubo!$A$6:$BK$37,41,0)-VLOOKUP(conciliacao_custos!B61,#REF!,18,0),0)</f>
        <v>0</v>
      </c>
      <c r="O61" s="9">
        <f>IFERROR(VLOOKUP(B61,cubo!$A$6:$BK$37,44,0)-VLOOKUP(conciliacao_custos!B61,#REF!,13,0),0)</f>
        <v>0</v>
      </c>
      <c r="P61" s="9">
        <f>IFERROR(VLOOKUP(B61,cubo!$A$6:$BK$37,47,0)-VLOOKUP(conciliacao_custos!B61,#REF!,14,0),0)</f>
        <v>0</v>
      </c>
      <c r="Q61" s="9">
        <f>IFERROR(VLOOKUP(B61,cubo!$A$6:$BK$37,58,0)-VLOOKUP(conciliacao_custos!B61,#REF!,16,0),0)</f>
        <v>0</v>
      </c>
      <c r="R61" s="9">
        <f>IFERROR(VLOOKUP(B61,cubo!$A$6:$BK$37,64,0)-VLOOKUP(conciliacao_custos!B61,#REF!,17,0),0)</f>
        <v>0</v>
      </c>
      <c r="S61" s="9">
        <f>IFERROR(VLOOKUP(B61,cubo!$A$6:$BK$37,61,0)-VLOOKUP(conciliacao_custos!B61,#REF!,15,0),0)</f>
        <v>0</v>
      </c>
    </row>
    <row r="62" spans="2:19" x14ac:dyDescent="0.25">
      <c r="B62" s="7">
        <f>[1]salario!A61</f>
        <v>0</v>
      </c>
      <c r="C62" s="8">
        <f>[1]salario!C61</f>
        <v>0</v>
      </c>
      <c r="D62" s="10">
        <f>IFERROR(VLOOKUP(B62,cubo!$A$6:$BE$37,6,0)-VLOOKUP(B62,#REF!,$D$2,0),0)</f>
        <v>0</v>
      </c>
      <c r="E62" s="10">
        <f>IFERROR(VLOOKUP(B62,cubo!$A$6:$BE$37,9,0)-VLOOKUP(B62,#REF!,$E$2,0),0)</f>
        <v>0</v>
      </c>
      <c r="F62" s="9">
        <f>IFERROR(VLOOKUP(B62,cubo!$A$6:$BE$37,12,0)-VLOOKUP(B62,#REF!,$F$2,0),0)</f>
        <v>0</v>
      </c>
      <c r="G62" s="9">
        <f>IFERROR(VLOOKUP(B62,cubo!$A$6:$BE$37,54,0)-VLOOKUP(B62,#REF!,$G$2,0),0)</f>
        <v>0</v>
      </c>
      <c r="H62" s="10">
        <f>IFERROR(VLOOKUP(B62,cubo!$A$6:$BE$37,15,0)-VLOOKUP(B62,#REF!,$H$2,0),0)</f>
        <v>0</v>
      </c>
      <c r="I62" s="9">
        <f>IFERROR(VLOOKUP(B62,cubo!$A$6:$BE$37,18,0)-VLOOKUP(B62,#REF!,$I$2,0),0)</f>
        <v>0</v>
      </c>
      <c r="J62" s="9">
        <f>IFERROR(VLOOKUP(B62,cubo!$A$6:$BE$37,24,0)-VLOOKUP(B62,#REF!,$J$2,0),0)</f>
        <v>0</v>
      </c>
      <c r="K62" s="9">
        <f>IFERROR(VLOOKUP(B62,cubo!$A$6:$BE$37,34,0)-VLOOKUP(B62,#REF!,$K$2,0),0)</f>
        <v>0</v>
      </c>
      <c r="L62" s="8">
        <f>IFERROR(VLOOKUP(B62,cubo!$A$6:$BE$37,38,0)-VLOOKUP(B62,#REF!,$L$2,0),0)</f>
        <v>0</v>
      </c>
      <c r="M62" s="15">
        <f>IFERROR(VLOOKUP(B62,cubo!$A$6:$BE$37,57,0)-VLOOKUP(B62,#REF!,$M$2,0),0)</f>
        <v>0</v>
      </c>
      <c r="N62" s="9">
        <f>IFERROR(VLOOKUP(B62,cubo!$A$6:$BK$37,41,0)-VLOOKUP(conciliacao_custos!B62,#REF!,18,0),0)</f>
        <v>0</v>
      </c>
      <c r="O62" s="9">
        <f>IFERROR(VLOOKUP(B62,cubo!$A$6:$BK$37,44,0)-VLOOKUP(conciliacao_custos!B62,#REF!,13,0),0)</f>
        <v>0</v>
      </c>
      <c r="P62" s="9">
        <f>IFERROR(VLOOKUP(B62,cubo!$A$6:$BK$37,47,0)-VLOOKUP(conciliacao_custos!B62,#REF!,14,0),0)</f>
        <v>0</v>
      </c>
      <c r="Q62" s="9">
        <f>IFERROR(VLOOKUP(B62,cubo!$A$6:$BK$37,58,0)-VLOOKUP(conciliacao_custos!B62,#REF!,16,0),0)</f>
        <v>0</v>
      </c>
      <c r="R62" s="9">
        <f>IFERROR(VLOOKUP(B62,cubo!$A$6:$BK$37,64,0)-VLOOKUP(conciliacao_custos!B62,#REF!,17,0),0)</f>
        <v>0</v>
      </c>
      <c r="S62" s="9">
        <f>IFERROR(VLOOKUP(B62,cubo!$A$6:$BK$37,61,0)-VLOOKUP(conciliacao_custos!B62,#REF!,15,0),0)</f>
        <v>0</v>
      </c>
    </row>
    <row r="63" spans="2:19" x14ac:dyDescent="0.25">
      <c r="B63" s="7">
        <f>[1]salario!A62</f>
        <v>0</v>
      </c>
      <c r="C63" s="8">
        <f>[1]salario!C62</f>
        <v>0</v>
      </c>
      <c r="D63" s="10">
        <f>IFERROR(VLOOKUP(B63,cubo!$A$6:$BE$37,6,0)-VLOOKUP(B63,#REF!,$D$2,0),0)</f>
        <v>0</v>
      </c>
      <c r="E63" s="10">
        <f>IFERROR(VLOOKUP(B63,cubo!$A$6:$BE$37,9,0)-VLOOKUP(B63,#REF!,$E$2,0),0)</f>
        <v>0</v>
      </c>
      <c r="F63" s="9">
        <f>IFERROR(VLOOKUP(B63,cubo!$A$6:$BE$37,12,0)-VLOOKUP(B63,#REF!,$F$2,0),0)</f>
        <v>0</v>
      </c>
      <c r="G63" s="9">
        <f>IFERROR(VLOOKUP(B63,cubo!$A$6:$BE$37,54,0)-VLOOKUP(B63,#REF!,$G$2,0),0)</f>
        <v>0</v>
      </c>
      <c r="H63" s="10">
        <f>IFERROR(VLOOKUP(B63,cubo!$A$6:$BE$37,15,0)-VLOOKUP(B63,#REF!,$H$2,0),0)</f>
        <v>0</v>
      </c>
      <c r="I63" s="9">
        <f>IFERROR(VLOOKUP(B63,cubo!$A$6:$BE$37,18,0)-VLOOKUP(B63,#REF!,$I$2,0),0)</f>
        <v>0</v>
      </c>
      <c r="J63" s="9">
        <f>IFERROR(VLOOKUP(B63,cubo!$A$6:$BE$37,24,0)-VLOOKUP(B63,#REF!,$J$2,0),0)</f>
        <v>0</v>
      </c>
      <c r="K63" s="9">
        <f>IFERROR(VLOOKUP(B63,cubo!$A$6:$BE$37,34,0)-VLOOKUP(B63,#REF!,$K$2,0),0)</f>
        <v>0</v>
      </c>
      <c r="L63" s="8">
        <f>IFERROR(VLOOKUP(B63,cubo!$A$6:$BE$37,38,0)-VLOOKUP(B63,#REF!,$L$2,0),0)</f>
        <v>0</v>
      </c>
      <c r="M63" s="15">
        <f>IFERROR(VLOOKUP(B63,cubo!$A$6:$BE$37,57,0)-VLOOKUP(B63,#REF!,$M$2,0),0)</f>
        <v>0</v>
      </c>
      <c r="N63" s="9">
        <f>IFERROR(VLOOKUP(B63,cubo!$A$6:$BK$37,41,0)-VLOOKUP(conciliacao_custos!B63,#REF!,18,0),0)</f>
        <v>0</v>
      </c>
      <c r="O63" s="9">
        <f>IFERROR(VLOOKUP(B63,cubo!$A$6:$BK$37,44,0)-VLOOKUP(conciliacao_custos!B63,#REF!,13,0),0)</f>
        <v>0</v>
      </c>
      <c r="P63" s="9">
        <f>IFERROR(VLOOKUP(B63,cubo!$A$6:$BK$37,47,0)-VLOOKUP(conciliacao_custos!B63,#REF!,14,0),0)</f>
        <v>0</v>
      </c>
      <c r="Q63" s="9">
        <f>IFERROR(VLOOKUP(B63,cubo!$A$6:$BK$37,58,0)-VLOOKUP(conciliacao_custos!B63,#REF!,16,0),0)</f>
        <v>0</v>
      </c>
      <c r="R63" s="9">
        <f>IFERROR(VLOOKUP(B63,cubo!$A$6:$BK$37,64,0)-VLOOKUP(conciliacao_custos!B63,#REF!,17,0),0)</f>
        <v>0</v>
      </c>
      <c r="S63" s="9">
        <f>IFERROR(VLOOKUP(B63,cubo!$A$6:$BK$37,61,0)-VLOOKUP(conciliacao_custos!B63,#REF!,15,0),0)</f>
        <v>0</v>
      </c>
    </row>
    <row r="64" spans="2:19" x14ac:dyDescent="0.25">
      <c r="B64" s="7">
        <f>[1]salario!A63</f>
        <v>0</v>
      </c>
      <c r="C64" s="8">
        <f>[1]salario!C63</f>
        <v>0</v>
      </c>
      <c r="D64" s="10">
        <f>IFERROR(VLOOKUP(B64,cubo!$A$6:$BE$37,6,0)-VLOOKUP(B64,#REF!,$D$2,0),0)</f>
        <v>0</v>
      </c>
      <c r="E64" s="10">
        <f>IFERROR(VLOOKUP(B64,cubo!$A$6:$BE$37,9,0)-VLOOKUP(B64,#REF!,$E$2,0),0)</f>
        <v>0</v>
      </c>
      <c r="F64" s="9">
        <f>IFERROR(VLOOKUP(B64,cubo!$A$6:$BE$37,12,0)-VLOOKUP(B64,#REF!,$F$2,0),0)</f>
        <v>0</v>
      </c>
      <c r="G64" s="9">
        <f>IFERROR(VLOOKUP(B64,cubo!$A$6:$BE$37,54,0)-VLOOKUP(B64,#REF!,$G$2,0),0)</f>
        <v>0</v>
      </c>
      <c r="H64" s="10">
        <f>IFERROR(VLOOKUP(B64,cubo!$A$6:$BE$37,15,0)-VLOOKUP(B64,#REF!,$H$2,0),0)</f>
        <v>0</v>
      </c>
      <c r="I64" s="9">
        <f>IFERROR(VLOOKUP(B64,cubo!$A$6:$BE$37,18,0)-VLOOKUP(B64,#REF!,$I$2,0),0)</f>
        <v>0</v>
      </c>
      <c r="J64" s="9">
        <f>IFERROR(VLOOKUP(B64,cubo!$A$6:$BE$37,24,0)-VLOOKUP(B64,#REF!,$J$2,0),0)</f>
        <v>0</v>
      </c>
      <c r="K64" s="9">
        <f>IFERROR(VLOOKUP(B64,cubo!$A$6:$BE$37,34,0)-VLOOKUP(B64,#REF!,$K$2,0),0)</f>
        <v>0</v>
      </c>
      <c r="L64" s="8">
        <f>IFERROR(VLOOKUP(B64,cubo!$A$6:$BE$37,38,0)-VLOOKUP(B64,#REF!,$L$2,0),0)</f>
        <v>0</v>
      </c>
      <c r="M64" s="15">
        <f>IFERROR(VLOOKUP(B64,cubo!$A$6:$BE$37,57,0)-VLOOKUP(B64,#REF!,$M$2,0),0)</f>
        <v>0</v>
      </c>
      <c r="N64" s="9">
        <f>IFERROR(VLOOKUP(B64,cubo!$A$6:$BK$37,41,0)-VLOOKUP(conciliacao_custos!B64,#REF!,18,0),0)</f>
        <v>0</v>
      </c>
      <c r="O64" s="9">
        <f>IFERROR(VLOOKUP(B64,cubo!$A$6:$BK$37,44,0)-VLOOKUP(conciliacao_custos!B64,#REF!,13,0),0)</f>
        <v>0</v>
      </c>
      <c r="P64" s="9">
        <f>IFERROR(VLOOKUP(B64,cubo!$A$6:$BK$37,47,0)-VLOOKUP(conciliacao_custos!B64,#REF!,14,0),0)</f>
        <v>0</v>
      </c>
      <c r="Q64" s="9">
        <f>IFERROR(VLOOKUP(B64,cubo!$A$6:$BK$37,58,0)-VLOOKUP(conciliacao_custos!B64,#REF!,16,0),0)</f>
        <v>0</v>
      </c>
      <c r="R64" s="9">
        <f>IFERROR(VLOOKUP(B64,cubo!$A$6:$BK$37,64,0)-VLOOKUP(conciliacao_custos!B64,#REF!,17,0),0)</f>
        <v>0</v>
      </c>
      <c r="S64" s="9">
        <f>IFERROR(VLOOKUP(B64,cubo!$A$6:$BK$37,61,0)-VLOOKUP(conciliacao_custos!B64,#REF!,15,0),0)</f>
        <v>0</v>
      </c>
    </row>
    <row r="65" spans="2:19" x14ac:dyDescent="0.25">
      <c r="B65" s="7">
        <f>[1]salario!A64</f>
        <v>0</v>
      </c>
      <c r="C65" s="8">
        <f>[1]salario!C64</f>
        <v>0</v>
      </c>
      <c r="D65" s="10">
        <f>IFERROR(VLOOKUP(B65,cubo!$A$6:$BE$37,6,0)-VLOOKUP(B65,#REF!,$D$2,0),0)</f>
        <v>0</v>
      </c>
      <c r="E65" s="10">
        <f>IFERROR(VLOOKUP(B65,cubo!$A$6:$BE$37,9,0)-VLOOKUP(B65,#REF!,$E$2,0),0)</f>
        <v>0</v>
      </c>
      <c r="F65" s="9">
        <f>IFERROR(VLOOKUP(B65,cubo!$A$6:$BE$37,12,0)-VLOOKUP(B65,#REF!,$F$2,0),0)</f>
        <v>0</v>
      </c>
      <c r="G65" s="9">
        <f>IFERROR(VLOOKUP(B65,cubo!$A$6:$BE$37,54,0)-VLOOKUP(B65,#REF!,$G$2,0),0)</f>
        <v>0</v>
      </c>
      <c r="H65" s="10">
        <f>IFERROR(VLOOKUP(B65,cubo!$A$6:$BE$37,15,0)-VLOOKUP(B65,#REF!,$H$2,0),0)</f>
        <v>0</v>
      </c>
      <c r="I65" s="9">
        <f>IFERROR(VLOOKUP(B65,cubo!$A$6:$BE$37,18,0)-VLOOKUP(B65,#REF!,$I$2,0),0)</f>
        <v>0</v>
      </c>
      <c r="J65" s="9">
        <f>IFERROR(VLOOKUP(B65,cubo!$A$6:$BE$37,24,0)-VLOOKUP(B65,#REF!,$J$2,0),0)</f>
        <v>0</v>
      </c>
      <c r="K65" s="9">
        <f>IFERROR(VLOOKUP(B65,cubo!$A$6:$BE$37,34,0)-VLOOKUP(B65,#REF!,$K$2,0),0)</f>
        <v>0</v>
      </c>
      <c r="L65" s="8">
        <f>IFERROR(VLOOKUP(B65,cubo!$A$6:$BE$37,38,0)-VLOOKUP(B65,#REF!,$L$2,0),0)</f>
        <v>0</v>
      </c>
      <c r="M65" s="15">
        <f>IFERROR(VLOOKUP(B65,cubo!$A$6:$BE$37,57,0)-VLOOKUP(B65,#REF!,$M$2,0),0)</f>
        <v>0</v>
      </c>
      <c r="N65" s="9">
        <f>IFERROR(VLOOKUP(B65,cubo!$A$6:$BK$37,41,0)-VLOOKUP(conciliacao_custos!B65,#REF!,18,0),0)</f>
        <v>0</v>
      </c>
      <c r="O65" s="9">
        <f>IFERROR(VLOOKUP(B65,cubo!$A$6:$BK$37,44,0)-VLOOKUP(conciliacao_custos!B65,#REF!,13,0),0)</f>
        <v>0</v>
      </c>
      <c r="P65" s="9">
        <f>IFERROR(VLOOKUP(B65,cubo!$A$6:$BK$37,47,0)-VLOOKUP(conciliacao_custos!B65,#REF!,14,0),0)</f>
        <v>0</v>
      </c>
      <c r="Q65" s="9">
        <f>IFERROR(VLOOKUP(B65,cubo!$A$6:$BK$37,58,0)-VLOOKUP(conciliacao_custos!B65,#REF!,16,0),0)</f>
        <v>0</v>
      </c>
      <c r="R65" s="9">
        <f>IFERROR(VLOOKUP(B65,cubo!$A$6:$BK$37,64,0)-VLOOKUP(conciliacao_custos!B65,#REF!,17,0),0)</f>
        <v>0</v>
      </c>
      <c r="S65" s="9">
        <f>IFERROR(VLOOKUP(B65,cubo!$A$6:$BK$37,61,0)-VLOOKUP(conciliacao_custos!B65,#REF!,15,0),0)</f>
        <v>0</v>
      </c>
    </row>
    <row r="66" spans="2:19" x14ac:dyDescent="0.25">
      <c r="B66" s="7">
        <f>[1]salario!A65</f>
        <v>0</v>
      </c>
      <c r="C66" s="8">
        <f>[1]salario!C65</f>
        <v>0</v>
      </c>
      <c r="D66" s="10">
        <f>IFERROR(VLOOKUP(B66,cubo!$A$6:$BE$37,6,0)-VLOOKUP(B66,#REF!,$D$2,0),0)</f>
        <v>0</v>
      </c>
      <c r="E66" s="10">
        <f>IFERROR(VLOOKUP(B66,cubo!$A$6:$BE$37,9,0)-VLOOKUP(B66,#REF!,$E$2,0),0)</f>
        <v>0</v>
      </c>
      <c r="F66" s="9">
        <f>IFERROR(VLOOKUP(B66,cubo!$A$6:$BE$37,12,0)-VLOOKUP(B66,#REF!,$F$2,0),0)</f>
        <v>0</v>
      </c>
      <c r="G66" s="9">
        <f>IFERROR(VLOOKUP(B66,cubo!$A$6:$BE$37,54,0)-VLOOKUP(B66,#REF!,$G$2,0),0)</f>
        <v>0</v>
      </c>
      <c r="H66" s="10">
        <f>IFERROR(VLOOKUP(B66,cubo!$A$6:$BE$37,15,0)-VLOOKUP(B66,#REF!,$H$2,0),0)</f>
        <v>0</v>
      </c>
      <c r="I66" s="9">
        <f>IFERROR(VLOOKUP(B66,cubo!$A$6:$BE$37,18,0)-VLOOKUP(B66,#REF!,$I$2,0),0)</f>
        <v>0</v>
      </c>
      <c r="J66" s="9">
        <f>IFERROR(VLOOKUP(B66,cubo!$A$6:$BE$37,24,0)-VLOOKUP(B66,#REF!,$J$2,0),0)</f>
        <v>0</v>
      </c>
      <c r="K66" s="9">
        <f>IFERROR(VLOOKUP(B66,cubo!$A$6:$BE$37,34,0)-VLOOKUP(B66,#REF!,$K$2,0),0)</f>
        <v>0</v>
      </c>
      <c r="L66" s="8">
        <f>IFERROR(VLOOKUP(B66,cubo!$A$6:$BE$37,38,0)-VLOOKUP(B66,#REF!,$L$2,0),0)</f>
        <v>0</v>
      </c>
      <c r="M66" s="15">
        <f>IFERROR(VLOOKUP(B66,cubo!$A$6:$BE$37,57,0)-VLOOKUP(B66,#REF!,$M$2,0),0)</f>
        <v>0</v>
      </c>
      <c r="N66" s="9">
        <f>IFERROR(VLOOKUP(B66,cubo!$A$6:$BK$37,41,0)-VLOOKUP(conciliacao_custos!B66,#REF!,18,0),0)</f>
        <v>0</v>
      </c>
      <c r="O66" s="9">
        <f>IFERROR(VLOOKUP(B66,cubo!$A$6:$BK$37,44,0)-VLOOKUP(conciliacao_custos!B66,#REF!,13,0),0)</f>
        <v>0</v>
      </c>
      <c r="P66" s="9">
        <f>IFERROR(VLOOKUP(B66,cubo!$A$6:$BK$37,47,0)-VLOOKUP(conciliacao_custos!B66,#REF!,14,0),0)</f>
        <v>0</v>
      </c>
      <c r="Q66" s="9">
        <f>IFERROR(VLOOKUP(B66,cubo!$A$6:$BK$37,58,0)-VLOOKUP(conciliacao_custos!B66,#REF!,16,0),0)</f>
        <v>0</v>
      </c>
      <c r="R66" s="9">
        <f>IFERROR(VLOOKUP(B66,cubo!$A$6:$BK$37,64,0)-VLOOKUP(conciliacao_custos!B66,#REF!,17,0),0)</f>
        <v>0</v>
      </c>
      <c r="S66" s="9">
        <f>IFERROR(VLOOKUP(B66,cubo!$A$6:$BK$37,61,0)-VLOOKUP(conciliacao_custos!B66,#REF!,15,0),0)</f>
        <v>0</v>
      </c>
    </row>
    <row r="67" spans="2:19" x14ac:dyDescent="0.25">
      <c r="B67" s="7">
        <f>[1]salario!A66</f>
        <v>0</v>
      </c>
      <c r="C67" s="8">
        <f>[1]salario!C66</f>
        <v>0</v>
      </c>
      <c r="D67" s="10">
        <f>IFERROR(VLOOKUP(B67,cubo!$A$6:$BE$37,6,0)-VLOOKUP(B67,#REF!,$D$2,0),0)</f>
        <v>0</v>
      </c>
      <c r="E67" s="10">
        <f>IFERROR(VLOOKUP(B67,cubo!$A$6:$BE$37,9,0)-VLOOKUP(B67,#REF!,$E$2,0),0)</f>
        <v>0</v>
      </c>
      <c r="F67" s="9">
        <f>IFERROR(VLOOKUP(B67,cubo!$A$6:$BE$37,12,0)-VLOOKUP(B67,#REF!,$F$2,0),0)</f>
        <v>0</v>
      </c>
      <c r="G67" s="9">
        <f>IFERROR(VLOOKUP(B67,cubo!$A$6:$BE$37,54,0)-VLOOKUP(B67,#REF!,$G$2,0),0)</f>
        <v>0</v>
      </c>
      <c r="H67" s="10">
        <f>IFERROR(VLOOKUP(B67,cubo!$A$6:$BE$37,15,0)-VLOOKUP(B67,#REF!,$H$2,0),0)</f>
        <v>0</v>
      </c>
      <c r="I67" s="9">
        <f>IFERROR(VLOOKUP(B67,cubo!$A$6:$BE$37,18,0)-VLOOKUP(B67,#REF!,$I$2,0),0)</f>
        <v>0</v>
      </c>
      <c r="J67" s="9">
        <f>IFERROR(VLOOKUP(B67,cubo!$A$6:$BE$37,24,0)-VLOOKUP(B67,#REF!,$J$2,0),0)</f>
        <v>0</v>
      </c>
      <c r="K67" s="9">
        <f>IFERROR(VLOOKUP(B67,cubo!$A$6:$BE$37,34,0)-VLOOKUP(B67,#REF!,$K$2,0),0)</f>
        <v>0</v>
      </c>
      <c r="L67" s="8">
        <f>IFERROR(VLOOKUP(B67,cubo!$A$6:$BE$37,38,0)-VLOOKUP(B67,#REF!,$L$2,0),0)</f>
        <v>0</v>
      </c>
      <c r="M67" s="15">
        <f>IFERROR(VLOOKUP(B67,cubo!$A$6:$BE$37,57,0)-VLOOKUP(B67,#REF!,$M$2,0),0)</f>
        <v>0</v>
      </c>
      <c r="N67" s="9">
        <f>IFERROR(VLOOKUP(B67,cubo!$A$6:$BK$37,41,0)-VLOOKUP(conciliacao_custos!B67,#REF!,18,0),0)</f>
        <v>0</v>
      </c>
      <c r="O67" s="9">
        <f>IFERROR(VLOOKUP(B67,cubo!$A$6:$BK$37,44,0)-VLOOKUP(conciliacao_custos!B67,#REF!,13,0),0)</f>
        <v>0</v>
      </c>
      <c r="P67" s="9">
        <f>IFERROR(VLOOKUP(B67,cubo!$A$6:$BK$37,47,0)-VLOOKUP(conciliacao_custos!B67,#REF!,14,0),0)</f>
        <v>0</v>
      </c>
      <c r="Q67" s="9">
        <f>IFERROR(VLOOKUP(B67,cubo!$A$6:$BK$37,58,0)-VLOOKUP(conciliacao_custos!B67,#REF!,16,0),0)</f>
        <v>0</v>
      </c>
      <c r="R67" s="9">
        <f>IFERROR(VLOOKUP(B67,cubo!$A$6:$BK$37,64,0)-VLOOKUP(conciliacao_custos!B67,#REF!,17,0),0)</f>
        <v>0</v>
      </c>
      <c r="S67" s="9">
        <f>IFERROR(VLOOKUP(B67,cubo!$A$6:$BK$37,61,0)-VLOOKUP(conciliacao_custos!B67,#REF!,15,0),0)</f>
        <v>0</v>
      </c>
    </row>
    <row r="68" spans="2:19" x14ac:dyDescent="0.25">
      <c r="B68" s="7">
        <f>[1]salario!A67</f>
        <v>0</v>
      </c>
      <c r="C68" s="8">
        <f>[1]salario!C67</f>
        <v>0</v>
      </c>
      <c r="D68" s="10">
        <f>IFERROR(VLOOKUP(B68,cubo!$A$6:$BE$37,6,0)-VLOOKUP(B68,#REF!,$D$2,0),0)</f>
        <v>0</v>
      </c>
      <c r="E68" s="10">
        <f>IFERROR(VLOOKUP(B68,cubo!$A$6:$BE$37,9,0)-VLOOKUP(B68,#REF!,$E$2,0),0)</f>
        <v>0</v>
      </c>
      <c r="F68" s="9">
        <f>IFERROR(VLOOKUP(B68,cubo!$A$6:$BE$37,12,0)-VLOOKUP(B68,#REF!,$F$2,0),0)</f>
        <v>0</v>
      </c>
      <c r="G68" s="9">
        <f>IFERROR(VLOOKUP(B68,cubo!$A$6:$BE$37,54,0)-VLOOKUP(B68,#REF!,$G$2,0),0)</f>
        <v>0</v>
      </c>
      <c r="H68" s="10">
        <f>IFERROR(VLOOKUP(B68,cubo!$A$6:$BE$37,15,0)-VLOOKUP(B68,#REF!,$H$2,0),0)</f>
        <v>0</v>
      </c>
      <c r="I68" s="9">
        <f>IFERROR(VLOOKUP(B68,cubo!$A$6:$BE$37,18,0)-VLOOKUP(B68,#REF!,$I$2,0),0)</f>
        <v>0</v>
      </c>
      <c r="J68" s="9">
        <f>IFERROR(VLOOKUP(B68,cubo!$A$6:$BE$37,24,0)-VLOOKUP(B68,#REF!,$J$2,0),0)</f>
        <v>0</v>
      </c>
      <c r="K68" s="9">
        <f>IFERROR(VLOOKUP(B68,cubo!$A$6:$BE$37,34,0)-VLOOKUP(B68,#REF!,$K$2,0),0)</f>
        <v>0</v>
      </c>
      <c r="L68" s="8">
        <f>IFERROR(VLOOKUP(B68,cubo!$A$6:$BE$37,38,0)-VLOOKUP(B68,#REF!,$L$2,0),0)</f>
        <v>0</v>
      </c>
      <c r="M68" s="15">
        <f>IFERROR(VLOOKUP(B68,cubo!$A$6:$BE$37,57,0)-VLOOKUP(B68,#REF!,$M$2,0),0)</f>
        <v>0</v>
      </c>
      <c r="N68" s="9">
        <f>IFERROR(VLOOKUP(B68,cubo!$A$6:$BK$37,41,0)-VLOOKUP(conciliacao_custos!B68,#REF!,18,0),0)</f>
        <v>0</v>
      </c>
      <c r="O68" s="9">
        <f>IFERROR(VLOOKUP(B68,cubo!$A$6:$BK$37,44,0)-VLOOKUP(conciliacao_custos!B68,#REF!,13,0),0)</f>
        <v>0</v>
      </c>
      <c r="P68" s="9">
        <f>IFERROR(VLOOKUP(B68,cubo!$A$6:$BK$37,47,0)-VLOOKUP(conciliacao_custos!B68,#REF!,14,0),0)</f>
        <v>0</v>
      </c>
      <c r="Q68" s="9">
        <f>IFERROR(VLOOKUP(B68,cubo!$A$6:$BK$37,58,0)-VLOOKUP(conciliacao_custos!B68,#REF!,16,0),0)</f>
        <v>0</v>
      </c>
      <c r="R68" s="9">
        <f>IFERROR(VLOOKUP(B68,cubo!$A$6:$BK$37,64,0)-VLOOKUP(conciliacao_custos!B68,#REF!,17,0),0)</f>
        <v>0</v>
      </c>
      <c r="S68" s="9">
        <f>IFERROR(VLOOKUP(B68,cubo!$A$6:$BK$37,61,0)-VLOOKUP(conciliacao_custos!B68,#REF!,15,0),0)</f>
        <v>0</v>
      </c>
    </row>
    <row r="69" spans="2:19" x14ac:dyDescent="0.25">
      <c r="B69" s="7">
        <f>[1]salario!A68</f>
        <v>0</v>
      </c>
      <c r="C69" s="8">
        <f>[1]salario!C68</f>
        <v>0</v>
      </c>
      <c r="D69" s="10">
        <f>IFERROR(VLOOKUP(B69,cubo!$A$6:$BE$37,6,0)-VLOOKUP(B69,#REF!,$D$2,0),0)</f>
        <v>0</v>
      </c>
      <c r="E69" s="10">
        <f>IFERROR(VLOOKUP(B69,cubo!$A$6:$BE$37,9,0)-VLOOKUP(B69,#REF!,$E$2,0),0)</f>
        <v>0</v>
      </c>
      <c r="F69" s="9">
        <f>IFERROR(VLOOKUP(B69,cubo!$A$6:$BE$37,12,0)-VLOOKUP(B69,#REF!,$F$2,0),0)</f>
        <v>0</v>
      </c>
      <c r="G69" s="9">
        <f>IFERROR(VLOOKUP(B69,cubo!$A$6:$BE$37,54,0)-VLOOKUP(B69,#REF!,$G$2,0),0)</f>
        <v>0</v>
      </c>
      <c r="H69" s="10">
        <f>IFERROR(VLOOKUP(B69,cubo!$A$6:$BE$37,15,0)-VLOOKUP(B69,#REF!,$H$2,0),0)</f>
        <v>0</v>
      </c>
      <c r="I69" s="9">
        <f>IFERROR(VLOOKUP(B69,cubo!$A$6:$BE$37,18,0)-VLOOKUP(B69,#REF!,$I$2,0),0)</f>
        <v>0</v>
      </c>
      <c r="J69" s="9">
        <f>IFERROR(VLOOKUP(B69,cubo!$A$6:$BE$37,24,0)-VLOOKUP(B69,#REF!,$J$2,0),0)</f>
        <v>0</v>
      </c>
      <c r="K69" s="9">
        <f>IFERROR(VLOOKUP(B69,cubo!$A$6:$BE$37,34,0)-VLOOKUP(B69,#REF!,$K$2,0),0)</f>
        <v>0</v>
      </c>
      <c r="L69" s="8">
        <f>IFERROR(VLOOKUP(B69,cubo!$A$6:$BE$37,38,0)-VLOOKUP(B69,#REF!,$L$2,0),0)</f>
        <v>0</v>
      </c>
      <c r="M69" s="15">
        <f>IFERROR(VLOOKUP(B69,cubo!$A$6:$BE$37,57,0)-VLOOKUP(B69,#REF!,$M$2,0),0)</f>
        <v>0</v>
      </c>
      <c r="N69" s="9">
        <f>IFERROR(VLOOKUP(B69,cubo!$A$6:$BK$37,41,0)-VLOOKUP(conciliacao_custos!B69,#REF!,18,0),0)</f>
        <v>0</v>
      </c>
      <c r="O69" s="9">
        <f>IFERROR(VLOOKUP(B69,cubo!$A$6:$BK$37,44,0)-VLOOKUP(conciliacao_custos!B69,#REF!,13,0),0)</f>
        <v>0</v>
      </c>
      <c r="P69" s="9">
        <f>IFERROR(VLOOKUP(B69,cubo!$A$6:$BK$37,47,0)-VLOOKUP(conciliacao_custos!B69,#REF!,14,0),0)</f>
        <v>0</v>
      </c>
      <c r="Q69" s="9">
        <f>IFERROR(VLOOKUP(B69,cubo!$A$6:$BK$37,58,0)-VLOOKUP(conciliacao_custos!B69,#REF!,16,0),0)</f>
        <v>0</v>
      </c>
      <c r="R69" s="9">
        <f>IFERROR(VLOOKUP(B69,cubo!$A$6:$BK$37,64,0)-VLOOKUP(conciliacao_custos!B69,#REF!,17,0),0)</f>
        <v>0</v>
      </c>
      <c r="S69" s="9">
        <f>IFERROR(VLOOKUP(B69,cubo!$A$6:$BK$37,61,0)-VLOOKUP(conciliacao_custos!B69,#REF!,15,0),0)</f>
        <v>0</v>
      </c>
    </row>
    <row r="70" spans="2:19" x14ac:dyDescent="0.25">
      <c r="B70" s="7">
        <f>[1]salario!A69</f>
        <v>0</v>
      </c>
      <c r="C70" s="8">
        <f>[1]salario!C69</f>
        <v>0</v>
      </c>
      <c r="D70" s="10">
        <f>IFERROR(VLOOKUP(B70,cubo!$A$6:$BE$37,6,0)-VLOOKUP(B70,#REF!,$D$2,0),0)</f>
        <v>0</v>
      </c>
      <c r="E70" s="10">
        <f>IFERROR(VLOOKUP(B70,cubo!$A$6:$BE$37,9,0)-VLOOKUP(B70,#REF!,$E$2,0),0)</f>
        <v>0</v>
      </c>
      <c r="F70" s="9">
        <f>IFERROR(VLOOKUP(B70,cubo!$A$6:$BE$37,12,0)-VLOOKUP(B70,#REF!,$F$2,0),0)</f>
        <v>0</v>
      </c>
      <c r="G70" s="9">
        <f>IFERROR(VLOOKUP(B70,cubo!$A$6:$BE$37,54,0)-VLOOKUP(B70,#REF!,$G$2,0),0)</f>
        <v>0</v>
      </c>
      <c r="H70" s="10">
        <f>IFERROR(VLOOKUP(B70,cubo!$A$6:$BE$37,15,0)-VLOOKUP(B70,#REF!,$H$2,0),0)</f>
        <v>0</v>
      </c>
      <c r="I70" s="9">
        <f>IFERROR(VLOOKUP(B70,cubo!$A$6:$BE$37,18,0)-VLOOKUP(B70,#REF!,$I$2,0),0)</f>
        <v>0</v>
      </c>
      <c r="J70" s="9">
        <f>IFERROR(VLOOKUP(B70,cubo!$A$6:$BE$37,24,0)-VLOOKUP(B70,#REF!,$J$2,0),0)</f>
        <v>0</v>
      </c>
      <c r="K70" s="9">
        <f>IFERROR(VLOOKUP(B70,cubo!$A$6:$BE$37,34,0)-VLOOKUP(B70,#REF!,$K$2,0),0)</f>
        <v>0</v>
      </c>
      <c r="L70" s="8">
        <f>IFERROR(VLOOKUP(B70,cubo!$A$6:$BE$37,38,0)-VLOOKUP(B70,#REF!,$L$2,0),0)</f>
        <v>0</v>
      </c>
      <c r="M70" s="15">
        <f>IFERROR(VLOOKUP(B70,cubo!$A$6:$BE$37,57,0)-VLOOKUP(B70,#REF!,$M$2,0),0)</f>
        <v>0</v>
      </c>
      <c r="N70" s="9">
        <f>IFERROR(VLOOKUP(B70,cubo!$A$6:$BK$37,41,0)-VLOOKUP(conciliacao_custos!B70,#REF!,18,0),0)</f>
        <v>0</v>
      </c>
      <c r="O70" s="9">
        <f>IFERROR(VLOOKUP(B70,cubo!$A$6:$BK$37,44,0)-VLOOKUP(conciliacao_custos!B70,#REF!,13,0),0)</f>
        <v>0</v>
      </c>
      <c r="P70" s="9">
        <f>IFERROR(VLOOKUP(B70,cubo!$A$6:$BK$37,47,0)-VLOOKUP(conciliacao_custos!B70,#REF!,14,0),0)</f>
        <v>0</v>
      </c>
      <c r="Q70" s="9">
        <f>IFERROR(VLOOKUP(B70,cubo!$A$6:$BK$37,58,0)-VLOOKUP(conciliacao_custos!B70,#REF!,16,0),0)</f>
        <v>0</v>
      </c>
      <c r="R70" s="9">
        <f>IFERROR(VLOOKUP(B70,cubo!$A$6:$BK$37,64,0)-VLOOKUP(conciliacao_custos!B70,#REF!,17,0),0)</f>
        <v>0</v>
      </c>
      <c r="S70" s="9">
        <f>IFERROR(VLOOKUP(B70,cubo!$A$6:$BK$37,61,0)-VLOOKUP(conciliacao_custos!B70,#REF!,15,0),0)</f>
        <v>0</v>
      </c>
    </row>
    <row r="71" spans="2:19" x14ac:dyDescent="0.25">
      <c r="B71" s="7">
        <f>[1]salario!A70</f>
        <v>0</v>
      </c>
      <c r="C71" s="8">
        <f>[1]salario!C70</f>
        <v>0</v>
      </c>
      <c r="D71" s="10">
        <f>IFERROR(VLOOKUP(B71,cubo!$A$6:$BE$37,6,0)-VLOOKUP(B71,#REF!,$D$2,0),0)</f>
        <v>0</v>
      </c>
      <c r="E71" s="10">
        <f>IFERROR(VLOOKUP(B71,cubo!$A$6:$BE$37,9,0)-VLOOKUP(B71,#REF!,$E$2,0),0)</f>
        <v>0</v>
      </c>
      <c r="F71" s="9">
        <f>IFERROR(VLOOKUP(B71,cubo!$A$6:$BE$37,12,0)-VLOOKUP(B71,#REF!,$F$2,0),0)</f>
        <v>0</v>
      </c>
      <c r="G71" s="9">
        <f>IFERROR(VLOOKUP(B71,cubo!$A$6:$BE$37,54,0)-VLOOKUP(B71,#REF!,$G$2,0),0)</f>
        <v>0</v>
      </c>
      <c r="H71" s="10">
        <f>IFERROR(VLOOKUP(B71,cubo!$A$6:$BE$37,15,0)-VLOOKUP(B71,#REF!,$H$2,0),0)</f>
        <v>0</v>
      </c>
      <c r="I71" s="9">
        <f>IFERROR(VLOOKUP(B71,cubo!$A$6:$BE$37,18,0)-VLOOKUP(B71,#REF!,$I$2,0),0)</f>
        <v>0</v>
      </c>
      <c r="J71" s="9">
        <f>IFERROR(VLOOKUP(B71,cubo!$A$6:$BE$37,24,0)-VLOOKUP(B71,#REF!,$J$2,0),0)</f>
        <v>0</v>
      </c>
      <c r="K71" s="9">
        <f>IFERROR(VLOOKUP(B71,cubo!$A$6:$BE$37,34,0)-VLOOKUP(B71,#REF!,$K$2,0),0)</f>
        <v>0</v>
      </c>
      <c r="L71" s="8">
        <f>IFERROR(VLOOKUP(B71,cubo!$A$6:$BE$37,38,0)-VLOOKUP(B71,#REF!,$L$2,0),0)</f>
        <v>0</v>
      </c>
      <c r="M71" s="15">
        <f>IFERROR(VLOOKUP(B71,cubo!$A$6:$BE$37,57,0)-VLOOKUP(B71,#REF!,$M$2,0),0)</f>
        <v>0</v>
      </c>
      <c r="N71" s="9">
        <f>IFERROR(VLOOKUP(B71,cubo!$A$6:$BK$37,41,0)-VLOOKUP(conciliacao_custos!B71,#REF!,18,0),0)</f>
        <v>0</v>
      </c>
      <c r="O71" s="9">
        <f>IFERROR(VLOOKUP(B71,cubo!$A$6:$BK$37,44,0)-VLOOKUP(conciliacao_custos!B71,#REF!,13,0),0)</f>
        <v>0</v>
      </c>
      <c r="P71" s="9">
        <f>IFERROR(VLOOKUP(B71,cubo!$A$6:$BK$37,47,0)-VLOOKUP(conciliacao_custos!B71,#REF!,14,0),0)</f>
        <v>0</v>
      </c>
      <c r="Q71" s="9">
        <f>IFERROR(VLOOKUP(B71,cubo!$A$6:$BK$37,58,0)-VLOOKUP(conciliacao_custos!B71,#REF!,16,0),0)</f>
        <v>0</v>
      </c>
      <c r="R71" s="9">
        <f>IFERROR(VLOOKUP(B71,cubo!$A$6:$BK$37,64,0)-VLOOKUP(conciliacao_custos!B71,#REF!,17,0),0)</f>
        <v>0</v>
      </c>
      <c r="S71" s="9">
        <f>IFERROR(VLOOKUP(B71,cubo!$A$6:$BK$37,61,0)-VLOOKUP(conciliacao_custos!B71,#REF!,15,0),0)</f>
        <v>0</v>
      </c>
    </row>
    <row r="72" spans="2:19" x14ac:dyDescent="0.25">
      <c r="B72" s="7">
        <f>[1]salario!A71</f>
        <v>0</v>
      </c>
      <c r="C72" s="8">
        <f>[1]salario!C71</f>
        <v>0</v>
      </c>
      <c r="D72" s="10">
        <f>IFERROR(VLOOKUP(B72,cubo!$A$6:$BE$37,6,0)-VLOOKUP(B72,#REF!,$D$2,0),0)</f>
        <v>0</v>
      </c>
      <c r="E72" s="10">
        <f>IFERROR(VLOOKUP(B72,cubo!$A$6:$BE$37,9,0)-VLOOKUP(B72,#REF!,$E$2,0),0)</f>
        <v>0</v>
      </c>
      <c r="F72" s="9">
        <f>IFERROR(VLOOKUP(B72,cubo!$A$6:$BE$37,12,0)-VLOOKUP(B72,#REF!,$F$2,0),0)</f>
        <v>0</v>
      </c>
      <c r="G72" s="9">
        <f>IFERROR(VLOOKUP(B72,cubo!$A$6:$BE$37,54,0)-VLOOKUP(B72,#REF!,$G$2,0),0)</f>
        <v>0</v>
      </c>
      <c r="H72" s="10">
        <f>IFERROR(VLOOKUP(B72,cubo!$A$6:$BE$37,15,0)-VLOOKUP(B72,#REF!,$H$2,0),0)</f>
        <v>0</v>
      </c>
      <c r="I72" s="9">
        <f>IFERROR(VLOOKUP(B72,cubo!$A$6:$BE$37,18,0)-VLOOKUP(B72,#REF!,$I$2,0),0)</f>
        <v>0</v>
      </c>
      <c r="J72" s="9">
        <f>IFERROR(VLOOKUP(B72,cubo!$A$6:$BE$37,24,0)-VLOOKUP(B72,#REF!,$J$2,0),0)</f>
        <v>0</v>
      </c>
      <c r="K72" s="9">
        <f>IFERROR(VLOOKUP(B72,cubo!$A$6:$BE$37,34,0)-VLOOKUP(B72,#REF!,$K$2,0),0)</f>
        <v>0</v>
      </c>
      <c r="L72" s="8">
        <f>IFERROR(VLOOKUP(B72,cubo!$A$6:$BE$37,38,0)-VLOOKUP(B72,#REF!,$L$2,0),0)</f>
        <v>0</v>
      </c>
      <c r="M72" s="15">
        <f>IFERROR(VLOOKUP(B72,cubo!$A$6:$BE$37,57,0)-VLOOKUP(B72,#REF!,$M$2,0),0)</f>
        <v>0</v>
      </c>
      <c r="N72" s="9">
        <f>IFERROR(VLOOKUP(B72,cubo!$A$6:$BK$37,41,0)-VLOOKUP(conciliacao_custos!B72,#REF!,18,0),0)</f>
        <v>0</v>
      </c>
      <c r="O72" s="9">
        <f>IFERROR(VLOOKUP(B72,cubo!$A$6:$BK$37,44,0)-VLOOKUP(conciliacao_custos!B72,#REF!,13,0),0)</f>
        <v>0</v>
      </c>
      <c r="P72" s="9">
        <f>IFERROR(VLOOKUP(B72,cubo!$A$6:$BK$37,47,0)-VLOOKUP(conciliacao_custos!B72,#REF!,14,0),0)</f>
        <v>0</v>
      </c>
      <c r="Q72" s="9">
        <f>IFERROR(VLOOKUP(B72,cubo!$A$6:$BK$37,58,0)-VLOOKUP(conciliacao_custos!B72,#REF!,16,0),0)</f>
        <v>0</v>
      </c>
      <c r="R72" s="9">
        <f>IFERROR(VLOOKUP(B72,cubo!$A$6:$BK$37,64,0)-VLOOKUP(conciliacao_custos!B72,#REF!,17,0),0)</f>
        <v>0</v>
      </c>
      <c r="S72" s="9">
        <f>IFERROR(VLOOKUP(B72,cubo!$A$6:$BK$37,61,0)-VLOOKUP(conciliacao_custos!B72,#REF!,15,0),0)</f>
        <v>0</v>
      </c>
    </row>
    <row r="73" spans="2:19" x14ac:dyDescent="0.25">
      <c r="B73" s="7">
        <f>[1]salario!A72</f>
        <v>0</v>
      </c>
      <c r="C73" s="8">
        <f>[1]salario!C72</f>
        <v>0</v>
      </c>
      <c r="D73" s="10">
        <f>IFERROR(VLOOKUP(B73,cubo!$A$6:$BE$37,6,0)-VLOOKUP(B73,#REF!,$D$2,0),0)</f>
        <v>0</v>
      </c>
      <c r="E73" s="10">
        <f>IFERROR(VLOOKUP(B73,cubo!$A$6:$BE$37,9,0)-VLOOKUP(B73,#REF!,$E$2,0),0)</f>
        <v>0</v>
      </c>
      <c r="F73" s="9">
        <f>IFERROR(VLOOKUP(B73,cubo!$A$6:$BE$37,12,0)-VLOOKUP(B73,#REF!,$F$2,0),0)</f>
        <v>0</v>
      </c>
      <c r="G73" s="9">
        <f>IFERROR(VLOOKUP(B73,cubo!$A$6:$BE$37,54,0)-VLOOKUP(B73,#REF!,$G$2,0),0)</f>
        <v>0</v>
      </c>
      <c r="H73" s="10">
        <f>IFERROR(VLOOKUP(B73,cubo!$A$6:$BE$37,15,0)-VLOOKUP(B73,#REF!,$H$2,0),0)</f>
        <v>0</v>
      </c>
      <c r="I73" s="9">
        <f>IFERROR(VLOOKUP(B73,cubo!$A$6:$BE$37,18,0)-VLOOKUP(B73,#REF!,$I$2,0),0)</f>
        <v>0</v>
      </c>
      <c r="J73" s="9">
        <f>IFERROR(VLOOKUP(B73,cubo!$A$6:$BE$37,24,0)-VLOOKUP(B73,#REF!,$J$2,0),0)</f>
        <v>0</v>
      </c>
      <c r="K73" s="9">
        <f>IFERROR(VLOOKUP(B73,cubo!$A$6:$BE$37,34,0)-VLOOKUP(B73,#REF!,$K$2,0),0)</f>
        <v>0</v>
      </c>
      <c r="L73" s="8">
        <f>IFERROR(VLOOKUP(B73,cubo!$A$6:$BE$37,38,0)-VLOOKUP(B73,#REF!,$L$2,0),0)</f>
        <v>0</v>
      </c>
      <c r="M73" s="15">
        <f>IFERROR(VLOOKUP(B73,cubo!$A$6:$BE$37,57,0)-VLOOKUP(B73,#REF!,$M$2,0),0)</f>
        <v>0</v>
      </c>
      <c r="N73" s="9">
        <f>IFERROR(VLOOKUP(B73,cubo!$A$6:$BK$37,41,0)-VLOOKUP(conciliacao_custos!B73,#REF!,18,0),0)</f>
        <v>0</v>
      </c>
      <c r="O73" s="9">
        <f>IFERROR(VLOOKUP(B73,cubo!$A$6:$BK$37,44,0)-VLOOKUP(conciliacao_custos!B73,#REF!,13,0),0)</f>
        <v>0</v>
      </c>
      <c r="P73" s="9">
        <f>IFERROR(VLOOKUP(B73,cubo!$A$6:$BK$37,47,0)-VLOOKUP(conciliacao_custos!B73,#REF!,14,0),0)</f>
        <v>0</v>
      </c>
      <c r="Q73" s="9">
        <f>IFERROR(VLOOKUP(B73,cubo!$A$6:$BK$37,58,0)-VLOOKUP(conciliacao_custos!B73,#REF!,16,0),0)</f>
        <v>0</v>
      </c>
      <c r="R73" s="9">
        <f>IFERROR(VLOOKUP(B73,cubo!$A$6:$BK$37,64,0)-VLOOKUP(conciliacao_custos!B73,#REF!,17,0),0)</f>
        <v>0</v>
      </c>
      <c r="S73" s="9">
        <f>IFERROR(VLOOKUP(B73,cubo!$A$6:$BK$37,61,0)-VLOOKUP(conciliacao_custos!B73,#REF!,15,0),0)</f>
        <v>0</v>
      </c>
    </row>
    <row r="74" spans="2:19" x14ac:dyDescent="0.25">
      <c r="B74" s="7">
        <f>[1]salario!A73</f>
        <v>0</v>
      </c>
      <c r="C74" s="8">
        <f>[1]salario!C73</f>
        <v>0</v>
      </c>
      <c r="D74" s="10">
        <f>IFERROR(VLOOKUP(B74,cubo!$A$6:$BE$37,6,0)-VLOOKUP(B74,#REF!,$D$2,0),0)</f>
        <v>0</v>
      </c>
      <c r="E74" s="10">
        <f>IFERROR(VLOOKUP(B74,cubo!$A$6:$BE$37,9,0)-VLOOKUP(B74,#REF!,$E$2,0),0)</f>
        <v>0</v>
      </c>
      <c r="F74" s="9">
        <f>IFERROR(VLOOKUP(B74,cubo!$A$6:$BE$37,12,0)-VLOOKUP(B74,#REF!,$F$2,0),0)</f>
        <v>0</v>
      </c>
      <c r="G74" s="9">
        <f>IFERROR(VLOOKUP(B74,cubo!$A$6:$BE$37,54,0)-VLOOKUP(B74,#REF!,$G$2,0),0)</f>
        <v>0</v>
      </c>
      <c r="H74" s="10">
        <f>IFERROR(VLOOKUP(B74,cubo!$A$6:$BE$37,15,0)-VLOOKUP(B74,#REF!,$H$2,0),0)</f>
        <v>0</v>
      </c>
      <c r="I74" s="9">
        <f>IFERROR(VLOOKUP(B74,cubo!$A$6:$BE$37,18,0)-VLOOKUP(B74,#REF!,$I$2,0),0)</f>
        <v>0</v>
      </c>
      <c r="J74" s="9">
        <f>IFERROR(VLOOKUP(B74,cubo!$A$6:$BE$37,24,0)-VLOOKUP(B74,#REF!,$J$2,0),0)</f>
        <v>0</v>
      </c>
      <c r="K74" s="9">
        <f>IFERROR(VLOOKUP(B74,cubo!$A$6:$BE$37,34,0)-VLOOKUP(B74,#REF!,$K$2,0),0)</f>
        <v>0</v>
      </c>
      <c r="L74" s="8">
        <f>IFERROR(VLOOKUP(B74,cubo!$A$6:$BE$37,38,0)-VLOOKUP(B74,#REF!,$L$2,0),0)</f>
        <v>0</v>
      </c>
      <c r="M74" s="15">
        <f>IFERROR(VLOOKUP(B74,cubo!$A$6:$BE$37,57,0)-VLOOKUP(B74,#REF!,$M$2,0),0)</f>
        <v>0</v>
      </c>
      <c r="N74" s="9">
        <f>IFERROR(VLOOKUP(B74,cubo!$A$6:$BK$37,41,0)-VLOOKUP(conciliacao_custos!B74,#REF!,18,0),0)</f>
        <v>0</v>
      </c>
      <c r="O74" s="9">
        <f>IFERROR(VLOOKUP(B74,cubo!$A$6:$BK$37,44,0)-VLOOKUP(conciliacao_custos!B74,#REF!,13,0),0)</f>
        <v>0</v>
      </c>
      <c r="P74" s="9">
        <f>IFERROR(VLOOKUP(B74,cubo!$A$6:$BK$37,47,0)-VLOOKUP(conciliacao_custos!B74,#REF!,14,0),0)</f>
        <v>0</v>
      </c>
      <c r="Q74" s="9">
        <f>IFERROR(VLOOKUP(B74,cubo!$A$6:$BK$37,58,0)-VLOOKUP(conciliacao_custos!B74,#REF!,16,0),0)</f>
        <v>0</v>
      </c>
      <c r="R74" s="9">
        <f>IFERROR(VLOOKUP(B74,cubo!$A$6:$BK$37,64,0)-VLOOKUP(conciliacao_custos!B74,#REF!,17,0),0)</f>
        <v>0</v>
      </c>
      <c r="S74" s="9">
        <f>IFERROR(VLOOKUP(B74,cubo!$A$6:$BK$37,61,0)-VLOOKUP(conciliacao_custos!B74,#REF!,15,0),0)</f>
        <v>0</v>
      </c>
    </row>
    <row r="75" spans="2:19" x14ac:dyDescent="0.25">
      <c r="B75" s="7">
        <f>[1]salario!A74</f>
        <v>0</v>
      </c>
      <c r="C75" s="8">
        <f>[1]salario!C74</f>
        <v>0</v>
      </c>
      <c r="D75" s="10">
        <f>IFERROR(VLOOKUP(B75,cubo!$A$6:$BE$37,6,0)-VLOOKUP(B75,#REF!,$D$2,0),0)</f>
        <v>0</v>
      </c>
      <c r="E75" s="10">
        <f>IFERROR(VLOOKUP(B75,cubo!$A$6:$BE$37,9,0)-VLOOKUP(B75,#REF!,$E$2,0),0)</f>
        <v>0</v>
      </c>
      <c r="F75" s="9">
        <f>IFERROR(VLOOKUP(B75,cubo!$A$6:$BE$37,12,0)-VLOOKUP(B75,#REF!,$F$2,0),0)</f>
        <v>0</v>
      </c>
      <c r="G75" s="9">
        <f>IFERROR(VLOOKUP(B75,cubo!$A$6:$BE$37,54,0)-VLOOKUP(B75,#REF!,$G$2,0),0)</f>
        <v>0</v>
      </c>
      <c r="H75" s="10">
        <f>IFERROR(VLOOKUP(B75,cubo!$A$6:$BE$37,15,0)-VLOOKUP(B75,#REF!,$H$2,0),0)</f>
        <v>0</v>
      </c>
      <c r="I75" s="9">
        <f>IFERROR(VLOOKUP(B75,cubo!$A$6:$BE$37,18,0)-VLOOKUP(B75,#REF!,$I$2,0),0)</f>
        <v>0</v>
      </c>
      <c r="J75" s="9">
        <f>IFERROR(VLOOKUP(B75,cubo!$A$6:$BE$37,24,0)-VLOOKUP(B75,#REF!,$J$2,0),0)</f>
        <v>0</v>
      </c>
      <c r="K75" s="9">
        <f>IFERROR(VLOOKUP(B75,cubo!$A$6:$BE$37,34,0)-VLOOKUP(B75,#REF!,$K$2,0),0)</f>
        <v>0</v>
      </c>
      <c r="L75" s="8">
        <f>IFERROR(VLOOKUP(B75,cubo!$A$6:$BE$37,38,0)-VLOOKUP(B75,#REF!,$L$2,0),0)</f>
        <v>0</v>
      </c>
      <c r="M75" s="15">
        <f>IFERROR(VLOOKUP(B75,cubo!$A$6:$BE$37,57,0)-VLOOKUP(B75,#REF!,$M$2,0),0)</f>
        <v>0</v>
      </c>
      <c r="N75" s="9">
        <f>IFERROR(VLOOKUP(B75,cubo!$A$6:$BK$37,41,0)-VLOOKUP(conciliacao_custos!B75,#REF!,18,0),0)</f>
        <v>0</v>
      </c>
      <c r="O75" s="9">
        <f>IFERROR(VLOOKUP(B75,cubo!$A$6:$BK$37,44,0)-VLOOKUP(conciliacao_custos!B75,#REF!,13,0),0)</f>
        <v>0</v>
      </c>
      <c r="P75" s="9">
        <f>IFERROR(VLOOKUP(B75,cubo!$A$6:$BK$37,47,0)-VLOOKUP(conciliacao_custos!B75,#REF!,14,0),0)</f>
        <v>0</v>
      </c>
      <c r="Q75" s="9">
        <f>IFERROR(VLOOKUP(B75,cubo!$A$6:$BK$37,58,0)-VLOOKUP(conciliacao_custos!B75,#REF!,16,0),0)</f>
        <v>0</v>
      </c>
      <c r="R75" s="9">
        <f>IFERROR(VLOOKUP(B75,cubo!$A$6:$BK$37,64,0)-VLOOKUP(conciliacao_custos!B75,#REF!,17,0),0)</f>
        <v>0</v>
      </c>
      <c r="S75" s="9">
        <f>IFERROR(VLOOKUP(B75,cubo!$A$6:$BK$37,61,0)-VLOOKUP(conciliacao_custos!B75,#REF!,15,0),0)</f>
        <v>0</v>
      </c>
    </row>
    <row r="76" spans="2:19" x14ac:dyDescent="0.25">
      <c r="B76" s="7">
        <f>[1]salario!A75</f>
        <v>0</v>
      </c>
      <c r="C76" s="8">
        <f>[1]salario!C75</f>
        <v>0</v>
      </c>
      <c r="D76" s="10">
        <f>IFERROR(VLOOKUP(B76,cubo!$A$6:$BE$37,6,0)-VLOOKUP(B76,#REF!,$D$2,0),0)</f>
        <v>0</v>
      </c>
      <c r="E76" s="10">
        <f>IFERROR(VLOOKUP(B76,cubo!$A$6:$BE$37,9,0)-VLOOKUP(B76,#REF!,$E$2,0),0)</f>
        <v>0</v>
      </c>
      <c r="F76" s="9">
        <f>IFERROR(VLOOKUP(B76,cubo!$A$6:$BE$37,12,0)-VLOOKUP(B76,#REF!,$F$2,0),0)</f>
        <v>0</v>
      </c>
      <c r="G76" s="9">
        <f>IFERROR(VLOOKUP(B76,cubo!$A$6:$BE$37,54,0)-VLOOKUP(B76,#REF!,$G$2,0),0)</f>
        <v>0</v>
      </c>
      <c r="H76" s="10">
        <f>IFERROR(VLOOKUP(B76,cubo!$A$6:$BE$37,15,0)-VLOOKUP(B76,#REF!,$H$2,0),0)</f>
        <v>0</v>
      </c>
      <c r="I76" s="9">
        <f>IFERROR(VLOOKUP(B76,cubo!$A$6:$BE$37,18,0)-VLOOKUP(B76,#REF!,$I$2,0),0)</f>
        <v>0</v>
      </c>
      <c r="J76" s="9">
        <f>IFERROR(VLOOKUP(B76,cubo!$A$6:$BE$37,24,0)-VLOOKUP(B76,#REF!,$J$2,0),0)</f>
        <v>0</v>
      </c>
      <c r="K76" s="9">
        <f>IFERROR(VLOOKUP(B76,cubo!$A$6:$BE$37,34,0)-VLOOKUP(B76,#REF!,$K$2,0),0)</f>
        <v>0</v>
      </c>
      <c r="L76" s="8">
        <f>IFERROR(VLOOKUP(B76,cubo!$A$6:$BE$37,38,0)-VLOOKUP(B76,#REF!,$L$2,0),0)</f>
        <v>0</v>
      </c>
      <c r="M76" s="15">
        <f>IFERROR(VLOOKUP(B76,cubo!$A$6:$BE$37,57,0)-VLOOKUP(B76,#REF!,$M$2,0),0)</f>
        <v>0</v>
      </c>
      <c r="N76" s="9">
        <f>IFERROR(VLOOKUP(B76,cubo!$A$6:$BK$37,41,0)-VLOOKUP(conciliacao_custos!B76,#REF!,18,0),0)</f>
        <v>0</v>
      </c>
      <c r="O76" s="9">
        <f>IFERROR(VLOOKUP(B76,cubo!$A$6:$BK$37,44,0)-VLOOKUP(conciliacao_custos!B76,#REF!,13,0),0)</f>
        <v>0</v>
      </c>
      <c r="P76" s="9">
        <f>IFERROR(VLOOKUP(B76,cubo!$A$6:$BK$37,47,0)-VLOOKUP(conciliacao_custos!B76,#REF!,14,0),0)</f>
        <v>0</v>
      </c>
      <c r="Q76" s="9">
        <f>IFERROR(VLOOKUP(B76,cubo!$A$6:$BK$37,58,0)-VLOOKUP(conciliacao_custos!B76,#REF!,16,0),0)</f>
        <v>0</v>
      </c>
      <c r="R76" s="9">
        <f>IFERROR(VLOOKUP(B76,cubo!$A$6:$BK$37,64,0)-VLOOKUP(conciliacao_custos!B76,#REF!,17,0),0)</f>
        <v>0</v>
      </c>
      <c r="S76" s="9">
        <f>IFERROR(VLOOKUP(B76,cubo!$A$6:$BK$37,61,0)-VLOOKUP(conciliacao_custos!B76,#REF!,15,0),0)</f>
        <v>0</v>
      </c>
    </row>
    <row r="77" spans="2:19" x14ac:dyDescent="0.25">
      <c r="B77" s="7">
        <f>[1]salario!A76</f>
        <v>0</v>
      </c>
      <c r="C77" s="8">
        <f>[1]salario!C76</f>
        <v>0</v>
      </c>
      <c r="D77" s="10">
        <f>IFERROR(VLOOKUP(B77,cubo!$A$6:$BE$37,6,0)-VLOOKUP(B77,#REF!,$D$2,0),0)</f>
        <v>0</v>
      </c>
      <c r="E77" s="10">
        <f>IFERROR(VLOOKUP(B77,cubo!$A$6:$BE$37,9,0)-VLOOKUP(B77,#REF!,$E$2,0),0)</f>
        <v>0</v>
      </c>
      <c r="F77" s="9">
        <f>IFERROR(VLOOKUP(B77,cubo!$A$6:$BE$37,12,0)-VLOOKUP(B77,#REF!,$F$2,0),0)</f>
        <v>0</v>
      </c>
      <c r="G77" s="9">
        <f>IFERROR(VLOOKUP(B77,cubo!$A$6:$BE$37,54,0)-VLOOKUP(B77,#REF!,$G$2,0),0)</f>
        <v>0</v>
      </c>
      <c r="H77" s="10">
        <f>IFERROR(VLOOKUP(B77,cubo!$A$6:$BE$37,15,0)-VLOOKUP(B77,#REF!,$H$2,0),0)</f>
        <v>0</v>
      </c>
      <c r="I77" s="9">
        <f>IFERROR(VLOOKUP(B77,cubo!$A$6:$BE$37,18,0)-VLOOKUP(B77,#REF!,$I$2,0),0)</f>
        <v>0</v>
      </c>
      <c r="J77" s="9">
        <f>IFERROR(VLOOKUP(B77,cubo!$A$6:$BE$37,24,0)-VLOOKUP(B77,#REF!,$J$2,0),0)</f>
        <v>0</v>
      </c>
      <c r="K77" s="9">
        <f>IFERROR(VLOOKUP(B77,cubo!$A$6:$BE$37,34,0)-VLOOKUP(B77,#REF!,$K$2,0),0)</f>
        <v>0</v>
      </c>
      <c r="L77" s="8">
        <f>IFERROR(VLOOKUP(B77,cubo!$A$6:$BE$37,38,0)-VLOOKUP(B77,#REF!,$L$2,0),0)</f>
        <v>0</v>
      </c>
      <c r="M77" s="15">
        <f>IFERROR(VLOOKUP(B77,cubo!$A$6:$BE$37,57,0)-VLOOKUP(B77,#REF!,$M$2,0),0)</f>
        <v>0</v>
      </c>
      <c r="N77" s="9">
        <f>IFERROR(VLOOKUP(B77,cubo!$A$6:$BK$37,41,0)-VLOOKUP(conciliacao_custos!B77,#REF!,18,0),0)</f>
        <v>0</v>
      </c>
      <c r="O77" s="9">
        <f>IFERROR(VLOOKUP(B77,cubo!$A$6:$BK$37,44,0)-VLOOKUP(conciliacao_custos!B77,#REF!,13,0),0)</f>
        <v>0</v>
      </c>
      <c r="P77" s="9">
        <f>IFERROR(VLOOKUP(B77,cubo!$A$6:$BK$37,47,0)-VLOOKUP(conciliacao_custos!B77,#REF!,14,0),0)</f>
        <v>0</v>
      </c>
      <c r="Q77" s="9">
        <f>IFERROR(VLOOKUP(B77,cubo!$A$6:$BK$37,58,0)-VLOOKUP(conciliacao_custos!B77,#REF!,16,0),0)</f>
        <v>0</v>
      </c>
      <c r="R77" s="9">
        <f>IFERROR(VLOOKUP(B77,cubo!$A$6:$BK$37,64,0)-VLOOKUP(conciliacao_custos!B77,#REF!,17,0),0)</f>
        <v>0</v>
      </c>
      <c r="S77" s="9">
        <f>IFERROR(VLOOKUP(B77,cubo!$A$6:$BK$37,61,0)-VLOOKUP(conciliacao_custos!B77,#REF!,15,0),0)</f>
        <v>0</v>
      </c>
    </row>
    <row r="78" spans="2:19" x14ac:dyDescent="0.25">
      <c r="B78" s="7">
        <f>[1]salario!A77</f>
        <v>0</v>
      </c>
      <c r="C78" s="8">
        <f>[1]salario!C77</f>
        <v>0</v>
      </c>
      <c r="D78" s="10">
        <f>IFERROR(VLOOKUP(B78,cubo!$A$6:$BE$37,6,0)-VLOOKUP(B78,#REF!,$D$2,0),0)</f>
        <v>0</v>
      </c>
      <c r="E78" s="10">
        <f>IFERROR(VLOOKUP(B78,cubo!$A$6:$BE$37,9,0)-VLOOKUP(B78,#REF!,$E$2,0),0)</f>
        <v>0</v>
      </c>
      <c r="F78" s="9">
        <f>IFERROR(VLOOKUP(B78,cubo!$A$6:$BE$37,12,0)-VLOOKUP(B78,#REF!,$F$2,0),0)</f>
        <v>0</v>
      </c>
      <c r="G78" s="9">
        <f>IFERROR(VLOOKUP(B78,cubo!$A$6:$BE$37,54,0)-VLOOKUP(B78,#REF!,$G$2,0),0)</f>
        <v>0</v>
      </c>
      <c r="H78" s="10">
        <f>IFERROR(VLOOKUP(B78,cubo!$A$6:$BE$37,15,0)-VLOOKUP(B78,#REF!,$H$2,0),0)</f>
        <v>0</v>
      </c>
      <c r="I78" s="9">
        <f>IFERROR(VLOOKUP(B78,cubo!$A$6:$BE$37,18,0)-VLOOKUP(B78,#REF!,$I$2,0),0)</f>
        <v>0</v>
      </c>
      <c r="J78" s="9">
        <f>IFERROR(VLOOKUP(B78,cubo!$A$6:$BE$37,24,0)-VLOOKUP(B78,#REF!,$J$2,0),0)</f>
        <v>0</v>
      </c>
      <c r="K78" s="9">
        <f>IFERROR(VLOOKUP(B78,cubo!$A$6:$BE$37,34,0)-VLOOKUP(B78,#REF!,$K$2,0),0)</f>
        <v>0</v>
      </c>
      <c r="L78" s="8">
        <f>IFERROR(VLOOKUP(B78,cubo!$A$6:$BE$37,38,0)-VLOOKUP(B78,#REF!,$L$2,0),0)</f>
        <v>0</v>
      </c>
      <c r="M78" s="15">
        <f>IFERROR(VLOOKUP(B78,cubo!$A$6:$BE$37,57,0)-VLOOKUP(B78,#REF!,$M$2,0),0)</f>
        <v>0</v>
      </c>
      <c r="N78" s="9">
        <f>IFERROR(VLOOKUP(B78,cubo!$A$6:$BK$37,41,0)-VLOOKUP(conciliacao_custos!B78,#REF!,18,0),0)</f>
        <v>0</v>
      </c>
      <c r="O78" s="9">
        <f>IFERROR(VLOOKUP(B78,cubo!$A$6:$BK$37,44,0)-VLOOKUP(conciliacao_custos!B78,#REF!,13,0),0)</f>
        <v>0</v>
      </c>
      <c r="P78" s="9">
        <f>IFERROR(VLOOKUP(B78,cubo!$A$6:$BK$37,47,0)-VLOOKUP(conciliacao_custos!B78,#REF!,14,0),0)</f>
        <v>0</v>
      </c>
      <c r="Q78" s="9">
        <f>IFERROR(VLOOKUP(B78,cubo!$A$6:$BK$37,58,0)-VLOOKUP(conciliacao_custos!B78,#REF!,16,0),0)</f>
        <v>0</v>
      </c>
      <c r="R78" s="9">
        <f>IFERROR(VLOOKUP(B78,cubo!$A$6:$BK$37,64,0)-VLOOKUP(conciliacao_custos!B78,#REF!,17,0),0)</f>
        <v>0</v>
      </c>
      <c r="S78" s="9">
        <f>IFERROR(VLOOKUP(B78,cubo!$A$6:$BK$37,61,0)-VLOOKUP(conciliacao_custos!B78,#REF!,15,0),0)</f>
        <v>0</v>
      </c>
    </row>
    <row r="79" spans="2:19" x14ac:dyDescent="0.25">
      <c r="B79" s="7">
        <f>[1]salario!A78</f>
        <v>0</v>
      </c>
      <c r="C79" s="8">
        <f>[1]salario!C78</f>
        <v>0</v>
      </c>
      <c r="D79" s="10">
        <f>IFERROR(VLOOKUP(B79,cubo!$A$6:$BE$37,6,0)-VLOOKUP(B79,#REF!,$D$2,0),0)</f>
        <v>0</v>
      </c>
      <c r="E79" s="10">
        <f>IFERROR(VLOOKUP(B79,cubo!$A$6:$BE$37,9,0)-VLOOKUP(B79,#REF!,$E$2,0),0)</f>
        <v>0</v>
      </c>
      <c r="F79" s="9">
        <f>IFERROR(VLOOKUP(B79,cubo!$A$6:$BE$37,12,0)-VLOOKUP(B79,#REF!,$F$2,0),0)</f>
        <v>0</v>
      </c>
      <c r="G79" s="9">
        <f>IFERROR(VLOOKUP(B79,cubo!$A$6:$BE$37,54,0)-VLOOKUP(B79,#REF!,$G$2,0),0)</f>
        <v>0</v>
      </c>
      <c r="H79" s="10">
        <f>IFERROR(VLOOKUP(B79,cubo!$A$6:$BE$37,15,0)-VLOOKUP(B79,#REF!,$H$2,0),0)</f>
        <v>0</v>
      </c>
      <c r="I79" s="9">
        <f>IFERROR(VLOOKUP(B79,cubo!$A$6:$BE$37,18,0)-VLOOKUP(B79,#REF!,$I$2,0),0)</f>
        <v>0</v>
      </c>
      <c r="J79" s="9">
        <f>IFERROR(VLOOKUP(B79,cubo!$A$6:$BE$37,24,0)-VLOOKUP(B79,#REF!,$J$2,0),0)</f>
        <v>0</v>
      </c>
      <c r="K79" s="9">
        <f>IFERROR(VLOOKUP(B79,cubo!$A$6:$BE$37,34,0)-VLOOKUP(B79,#REF!,$K$2,0),0)</f>
        <v>0</v>
      </c>
      <c r="L79" s="8">
        <f>IFERROR(VLOOKUP(B79,cubo!$A$6:$BE$37,38,0)-VLOOKUP(B79,#REF!,$L$2,0),0)</f>
        <v>0</v>
      </c>
      <c r="M79" s="15">
        <f>IFERROR(VLOOKUP(B79,cubo!$A$6:$BE$37,57,0)-VLOOKUP(B79,#REF!,$M$2,0),0)</f>
        <v>0</v>
      </c>
      <c r="N79" s="9">
        <f>IFERROR(VLOOKUP(B79,cubo!$A$6:$BK$37,41,0)-VLOOKUP(conciliacao_custos!B79,#REF!,18,0),0)</f>
        <v>0</v>
      </c>
      <c r="O79" s="9">
        <f>IFERROR(VLOOKUP(B79,cubo!$A$6:$BK$37,44,0)-VLOOKUP(conciliacao_custos!B79,#REF!,13,0),0)</f>
        <v>0</v>
      </c>
      <c r="P79" s="9">
        <f>IFERROR(VLOOKUP(B79,cubo!$A$6:$BK$37,47,0)-VLOOKUP(conciliacao_custos!B79,#REF!,14,0),0)</f>
        <v>0</v>
      </c>
      <c r="Q79" s="9">
        <f>IFERROR(VLOOKUP(B79,cubo!$A$6:$BK$37,58,0)-VLOOKUP(conciliacao_custos!B79,#REF!,16,0),0)</f>
        <v>0</v>
      </c>
      <c r="R79" s="9">
        <f>IFERROR(VLOOKUP(B79,cubo!$A$6:$BK$37,64,0)-VLOOKUP(conciliacao_custos!B79,#REF!,17,0),0)</f>
        <v>0</v>
      </c>
      <c r="S79" s="9">
        <f>IFERROR(VLOOKUP(B79,cubo!$A$6:$BK$37,61,0)-VLOOKUP(conciliacao_custos!B79,#REF!,15,0),0)</f>
        <v>0</v>
      </c>
    </row>
    <row r="80" spans="2:19" x14ac:dyDescent="0.25">
      <c r="B80" s="7">
        <f>[1]salario!A79</f>
        <v>0</v>
      </c>
      <c r="C80" s="8">
        <f>[1]salario!C79</f>
        <v>0</v>
      </c>
      <c r="D80" s="10">
        <f>IFERROR(VLOOKUP(B80,cubo!$A$6:$BE$37,6,0)-VLOOKUP(B80,#REF!,$D$2,0),0)</f>
        <v>0</v>
      </c>
      <c r="E80" s="10">
        <f>IFERROR(VLOOKUP(B80,cubo!$A$6:$BE$37,9,0)-VLOOKUP(B80,#REF!,$E$2,0),0)</f>
        <v>0</v>
      </c>
      <c r="F80" s="9">
        <f>IFERROR(VLOOKUP(B80,cubo!$A$6:$BE$37,12,0)-VLOOKUP(B80,#REF!,$F$2,0),0)</f>
        <v>0</v>
      </c>
      <c r="G80" s="9">
        <f>IFERROR(VLOOKUP(B80,cubo!$A$6:$BE$37,54,0)-VLOOKUP(B80,#REF!,$G$2,0),0)</f>
        <v>0</v>
      </c>
      <c r="H80" s="10">
        <f>IFERROR(VLOOKUP(B80,cubo!$A$6:$BE$37,15,0)-VLOOKUP(B80,#REF!,$H$2,0),0)</f>
        <v>0</v>
      </c>
      <c r="I80" s="9">
        <f>IFERROR(VLOOKUP(B80,cubo!$A$6:$BE$37,18,0)-VLOOKUP(B80,#REF!,$I$2,0),0)</f>
        <v>0</v>
      </c>
      <c r="J80" s="9">
        <f>IFERROR(VLOOKUP(B80,cubo!$A$6:$BE$37,24,0)-VLOOKUP(B80,#REF!,$J$2,0),0)</f>
        <v>0</v>
      </c>
      <c r="K80" s="9">
        <f>IFERROR(VLOOKUP(B80,cubo!$A$6:$BE$37,34,0)-VLOOKUP(B80,#REF!,$K$2,0),0)</f>
        <v>0</v>
      </c>
      <c r="L80" s="8">
        <f>IFERROR(VLOOKUP(B80,cubo!$A$6:$BE$37,38,0)-VLOOKUP(B80,#REF!,$L$2,0),0)</f>
        <v>0</v>
      </c>
      <c r="M80" s="15">
        <f>IFERROR(VLOOKUP(B80,cubo!$A$6:$BE$37,57,0)-VLOOKUP(B80,#REF!,$M$2,0),0)</f>
        <v>0</v>
      </c>
      <c r="N80" s="9">
        <f>IFERROR(VLOOKUP(B80,cubo!$A$6:$BK$37,41,0)-VLOOKUP(conciliacao_custos!B80,#REF!,18,0),0)</f>
        <v>0</v>
      </c>
      <c r="O80" s="9">
        <f>IFERROR(VLOOKUP(B80,cubo!$A$6:$BK$37,44,0)-VLOOKUP(conciliacao_custos!B80,#REF!,13,0),0)</f>
        <v>0</v>
      </c>
      <c r="P80" s="9">
        <f>IFERROR(VLOOKUP(B80,cubo!$A$6:$BK$37,47,0)-VLOOKUP(conciliacao_custos!B80,#REF!,14,0),0)</f>
        <v>0</v>
      </c>
      <c r="Q80" s="9">
        <f>IFERROR(VLOOKUP(B80,cubo!$A$6:$BK$37,58,0)-VLOOKUP(conciliacao_custos!B80,#REF!,16,0),0)</f>
        <v>0</v>
      </c>
      <c r="R80" s="9">
        <f>IFERROR(VLOOKUP(B80,cubo!$A$6:$BK$37,64,0)-VLOOKUP(conciliacao_custos!B80,#REF!,17,0),0)</f>
        <v>0</v>
      </c>
      <c r="S80" s="9">
        <f>IFERROR(VLOOKUP(B80,cubo!$A$6:$BK$37,61,0)-VLOOKUP(conciliacao_custos!B80,#REF!,15,0),0)</f>
        <v>0</v>
      </c>
    </row>
    <row r="81" spans="2:19" x14ac:dyDescent="0.25">
      <c r="B81" s="7">
        <f>[1]salario!A80</f>
        <v>0</v>
      </c>
      <c r="C81" s="8">
        <f>[1]salario!C80</f>
        <v>0</v>
      </c>
      <c r="D81" s="10">
        <f>IFERROR(VLOOKUP(B81,cubo!$A$6:$BE$37,6,0)-VLOOKUP(B81,#REF!,$D$2,0),0)</f>
        <v>0</v>
      </c>
      <c r="E81" s="10">
        <f>IFERROR(VLOOKUP(B81,cubo!$A$6:$BE$37,9,0)-VLOOKUP(B81,#REF!,$E$2,0),0)</f>
        <v>0</v>
      </c>
      <c r="F81" s="9">
        <f>IFERROR(VLOOKUP(B81,cubo!$A$6:$BE$37,12,0)-VLOOKUP(B81,#REF!,$F$2,0),0)</f>
        <v>0</v>
      </c>
      <c r="G81" s="9">
        <f>IFERROR(VLOOKUP(B81,cubo!$A$6:$BE$37,54,0)-VLOOKUP(B81,#REF!,$G$2,0),0)</f>
        <v>0</v>
      </c>
      <c r="H81" s="10">
        <f>IFERROR(VLOOKUP(B81,cubo!$A$6:$BE$37,15,0)-VLOOKUP(B81,#REF!,$H$2,0),0)</f>
        <v>0</v>
      </c>
      <c r="I81" s="9">
        <f>IFERROR(VLOOKUP(B81,cubo!$A$6:$BE$37,18,0)-VLOOKUP(B81,#REF!,$I$2,0),0)</f>
        <v>0</v>
      </c>
      <c r="J81" s="9">
        <f>IFERROR(VLOOKUP(B81,cubo!$A$6:$BE$37,24,0)-VLOOKUP(B81,#REF!,$J$2,0),0)</f>
        <v>0</v>
      </c>
      <c r="K81" s="9">
        <f>IFERROR(VLOOKUP(B81,cubo!$A$6:$BE$37,34,0)-VLOOKUP(B81,#REF!,$K$2,0),0)</f>
        <v>0</v>
      </c>
      <c r="L81" s="8">
        <f>IFERROR(VLOOKUP(B81,cubo!$A$6:$BE$37,38,0)-VLOOKUP(B81,#REF!,$L$2,0),0)</f>
        <v>0</v>
      </c>
      <c r="M81" s="15">
        <f>IFERROR(VLOOKUP(B81,cubo!$A$6:$BE$37,57,0)-VLOOKUP(B81,#REF!,$M$2,0),0)</f>
        <v>0</v>
      </c>
      <c r="N81" s="9">
        <f>IFERROR(VLOOKUP(B81,cubo!$A$6:$BK$37,41,0)-VLOOKUP(conciliacao_custos!B81,#REF!,18,0),0)</f>
        <v>0</v>
      </c>
      <c r="O81" s="9">
        <f>IFERROR(VLOOKUP(B81,cubo!$A$6:$BK$37,44,0)-VLOOKUP(conciliacao_custos!B81,#REF!,13,0),0)</f>
        <v>0</v>
      </c>
      <c r="P81" s="9">
        <f>IFERROR(VLOOKUP(B81,cubo!$A$6:$BK$37,47,0)-VLOOKUP(conciliacao_custos!B81,#REF!,14,0),0)</f>
        <v>0</v>
      </c>
      <c r="Q81" s="9">
        <f>IFERROR(VLOOKUP(B81,cubo!$A$6:$BK$37,58,0)-VLOOKUP(conciliacao_custos!B81,#REF!,16,0),0)</f>
        <v>0</v>
      </c>
      <c r="R81" s="9">
        <f>IFERROR(VLOOKUP(B81,cubo!$A$6:$BK$37,64,0)-VLOOKUP(conciliacao_custos!B81,#REF!,17,0),0)</f>
        <v>0</v>
      </c>
      <c r="S81" s="9">
        <f>IFERROR(VLOOKUP(B81,cubo!$A$6:$BK$37,61,0)-VLOOKUP(conciliacao_custos!B81,#REF!,15,0),0)</f>
        <v>0</v>
      </c>
    </row>
    <row r="82" spans="2:19" x14ac:dyDescent="0.25">
      <c r="B82" s="7">
        <f>[1]salario!A81</f>
        <v>0</v>
      </c>
      <c r="C82" s="8">
        <f>[1]salario!C81</f>
        <v>0</v>
      </c>
      <c r="D82" s="10">
        <f>IFERROR(VLOOKUP(B82,cubo!$A$6:$BE$37,6,0)-VLOOKUP(B82,#REF!,$D$2,0),0)</f>
        <v>0</v>
      </c>
      <c r="E82" s="10">
        <f>IFERROR(VLOOKUP(B82,cubo!$A$6:$BE$37,9,0)-VLOOKUP(B82,#REF!,$E$2,0),0)</f>
        <v>0</v>
      </c>
      <c r="F82" s="9">
        <f>IFERROR(VLOOKUP(B82,cubo!$A$6:$BE$37,12,0)-VLOOKUP(B82,#REF!,$F$2,0),0)</f>
        <v>0</v>
      </c>
      <c r="G82" s="9">
        <f>IFERROR(VLOOKUP(B82,cubo!$A$6:$BE$37,54,0)-VLOOKUP(B82,#REF!,$G$2,0),0)</f>
        <v>0</v>
      </c>
      <c r="H82" s="10">
        <f>IFERROR(VLOOKUP(B82,cubo!$A$6:$BE$37,15,0)-VLOOKUP(B82,#REF!,$H$2,0),0)</f>
        <v>0</v>
      </c>
      <c r="I82" s="9">
        <f>IFERROR(VLOOKUP(B82,cubo!$A$6:$BE$37,18,0)-VLOOKUP(B82,#REF!,$I$2,0),0)</f>
        <v>0</v>
      </c>
      <c r="J82" s="9">
        <f>IFERROR(VLOOKUP(B82,cubo!$A$6:$BE$37,24,0)-VLOOKUP(B82,#REF!,$J$2,0),0)</f>
        <v>0</v>
      </c>
      <c r="K82" s="9">
        <f>IFERROR(VLOOKUP(B82,cubo!$A$6:$BE$37,34,0)-VLOOKUP(B82,#REF!,$K$2,0),0)</f>
        <v>0</v>
      </c>
      <c r="L82" s="8">
        <f>IFERROR(VLOOKUP(B82,cubo!$A$6:$BE$37,38,0)-VLOOKUP(B82,#REF!,$L$2,0),0)</f>
        <v>0</v>
      </c>
      <c r="M82" s="15">
        <f>IFERROR(VLOOKUP(B82,cubo!$A$6:$BE$37,57,0)-VLOOKUP(B82,#REF!,$M$2,0),0)</f>
        <v>0</v>
      </c>
      <c r="N82" s="9">
        <f>IFERROR(VLOOKUP(B82,cubo!$A$6:$BK$37,41,0)-VLOOKUP(conciliacao_custos!B82,#REF!,18,0),0)</f>
        <v>0</v>
      </c>
      <c r="O82" s="9">
        <f>IFERROR(VLOOKUP(B82,cubo!$A$6:$BK$37,44,0)-VLOOKUP(conciliacao_custos!B82,#REF!,13,0),0)</f>
        <v>0</v>
      </c>
      <c r="P82" s="9">
        <f>IFERROR(VLOOKUP(B82,cubo!$A$6:$BK$37,47,0)-VLOOKUP(conciliacao_custos!B82,#REF!,14,0),0)</f>
        <v>0</v>
      </c>
      <c r="Q82" s="9">
        <f>IFERROR(VLOOKUP(B82,cubo!$A$6:$BK$37,58,0)-VLOOKUP(conciliacao_custos!B82,#REF!,16,0),0)</f>
        <v>0</v>
      </c>
      <c r="R82" s="9">
        <f>IFERROR(VLOOKUP(B82,cubo!$A$6:$BK$37,64,0)-VLOOKUP(conciliacao_custos!B82,#REF!,17,0),0)</f>
        <v>0</v>
      </c>
      <c r="S82" s="9">
        <f>IFERROR(VLOOKUP(B82,cubo!$A$6:$BK$37,61,0)-VLOOKUP(conciliacao_custos!B82,#REF!,15,0),0)</f>
        <v>0</v>
      </c>
    </row>
    <row r="83" spans="2:19" x14ac:dyDescent="0.25">
      <c r="B83" s="7">
        <f>[1]salario!A82</f>
        <v>0</v>
      </c>
      <c r="C83" s="8">
        <f>[1]salario!C82</f>
        <v>0</v>
      </c>
      <c r="D83" s="10">
        <f>IFERROR(VLOOKUP(B83,cubo!$A$6:$BE$37,6,0)-VLOOKUP(B83,#REF!,$D$2,0),0)</f>
        <v>0</v>
      </c>
      <c r="E83" s="10">
        <f>IFERROR(VLOOKUP(B83,cubo!$A$6:$BE$37,9,0)-VLOOKUP(B83,#REF!,$E$2,0),0)</f>
        <v>0</v>
      </c>
      <c r="F83" s="9">
        <f>IFERROR(VLOOKUP(B83,cubo!$A$6:$BE$37,12,0)-VLOOKUP(B83,#REF!,$F$2,0),0)</f>
        <v>0</v>
      </c>
      <c r="G83" s="9">
        <f>IFERROR(VLOOKUP(B83,cubo!$A$6:$BE$37,54,0)-VLOOKUP(B83,#REF!,$G$2,0),0)</f>
        <v>0</v>
      </c>
      <c r="H83" s="10">
        <f>IFERROR(VLOOKUP(B83,cubo!$A$6:$BE$37,15,0)-VLOOKUP(B83,#REF!,$H$2,0),0)</f>
        <v>0</v>
      </c>
      <c r="I83" s="9">
        <f>IFERROR(VLOOKUP(B83,cubo!$A$6:$BE$37,18,0)-VLOOKUP(B83,#REF!,$I$2,0),0)</f>
        <v>0</v>
      </c>
      <c r="J83" s="9">
        <f>IFERROR(VLOOKUP(B83,cubo!$A$6:$BE$37,24,0)-VLOOKUP(B83,#REF!,$J$2,0),0)</f>
        <v>0</v>
      </c>
      <c r="K83" s="9">
        <f>IFERROR(VLOOKUP(B83,cubo!$A$6:$BE$37,34,0)-VLOOKUP(B83,#REF!,$K$2,0),0)</f>
        <v>0</v>
      </c>
      <c r="L83" s="8">
        <f>IFERROR(VLOOKUP(B83,cubo!$A$6:$BE$37,38,0)-VLOOKUP(B83,#REF!,$L$2,0),0)</f>
        <v>0</v>
      </c>
      <c r="M83" s="15">
        <f>IFERROR(VLOOKUP(B83,cubo!$A$6:$BE$37,57,0)-VLOOKUP(B83,#REF!,$M$2,0),0)</f>
        <v>0</v>
      </c>
      <c r="N83" s="9">
        <f>IFERROR(VLOOKUP(B83,cubo!$A$6:$BK$37,41,0)-VLOOKUP(conciliacao_custos!B83,#REF!,18,0),0)</f>
        <v>0</v>
      </c>
      <c r="O83" s="9">
        <f>IFERROR(VLOOKUP(B83,cubo!$A$6:$BK$37,44,0)-VLOOKUP(conciliacao_custos!B83,#REF!,13,0),0)</f>
        <v>0</v>
      </c>
      <c r="P83" s="9">
        <f>IFERROR(VLOOKUP(B83,cubo!$A$6:$BK$37,47,0)-VLOOKUP(conciliacao_custos!B83,#REF!,14,0),0)</f>
        <v>0</v>
      </c>
      <c r="Q83" s="9">
        <f>IFERROR(VLOOKUP(B83,cubo!$A$6:$BK$37,58,0)-VLOOKUP(conciliacao_custos!B83,#REF!,16,0),0)</f>
        <v>0</v>
      </c>
      <c r="R83" s="9">
        <f>IFERROR(VLOOKUP(B83,cubo!$A$6:$BK$37,64,0)-VLOOKUP(conciliacao_custos!B83,#REF!,17,0),0)</f>
        <v>0</v>
      </c>
      <c r="S83" s="9">
        <f>IFERROR(VLOOKUP(B83,cubo!$A$6:$BK$37,61,0)-VLOOKUP(conciliacao_custos!B83,#REF!,15,0),0)</f>
        <v>0</v>
      </c>
    </row>
    <row r="84" spans="2:19" x14ac:dyDescent="0.25">
      <c r="B84" s="7">
        <f>[1]salario!A83</f>
        <v>0</v>
      </c>
      <c r="C84" s="8">
        <f>[1]salario!C83</f>
        <v>0</v>
      </c>
      <c r="D84" s="10">
        <f>IFERROR(VLOOKUP(B84,cubo!$A$6:$BE$37,6,0)-VLOOKUP(B84,#REF!,$D$2,0),0)</f>
        <v>0</v>
      </c>
      <c r="E84" s="10">
        <f>IFERROR(VLOOKUP(B84,cubo!$A$6:$BE$37,9,0)-VLOOKUP(B84,#REF!,$E$2,0),0)</f>
        <v>0</v>
      </c>
      <c r="F84" s="9">
        <f>IFERROR(VLOOKUP(B84,cubo!$A$6:$BE$37,12,0)-VLOOKUP(B84,#REF!,$F$2,0),0)</f>
        <v>0</v>
      </c>
      <c r="G84" s="9">
        <f>IFERROR(VLOOKUP(B84,cubo!$A$6:$BE$37,54,0)-VLOOKUP(B84,#REF!,$G$2,0),0)</f>
        <v>0</v>
      </c>
      <c r="H84" s="10">
        <f>IFERROR(VLOOKUP(B84,cubo!$A$6:$BE$37,15,0)-VLOOKUP(B84,#REF!,$H$2,0),0)</f>
        <v>0</v>
      </c>
      <c r="I84" s="9">
        <f>IFERROR(VLOOKUP(B84,cubo!$A$6:$BE$37,18,0)-VLOOKUP(B84,#REF!,$I$2,0),0)</f>
        <v>0</v>
      </c>
      <c r="J84" s="9">
        <f>IFERROR(VLOOKUP(B84,cubo!$A$6:$BE$37,24,0)-VLOOKUP(B84,#REF!,$J$2,0),0)</f>
        <v>0</v>
      </c>
      <c r="K84" s="9">
        <f>IFERROR(VLOOKUP(B84,cubo!$A$6:$BE$37,34,0)-VLOOKUP(B84,#REF!,$K$2,0),0)</f>
        <v>0</v>
      </c>
      <c r="L84" s="8">
        <f>IFERROR(VLOOKUP(B84,cubo!$A$6:$BE$37,38,0)-VLOOKUP(B84,#REF!,$L$2,0),0)</f>
        <v>0</v>
      </c>
      <c r="M84" s="15">
        <f>IFERROR(VLOOKUP(B84,cubo!$A$6:$BE$37,57,0)-VLOOKUP(B84,#REF!,$M$2,0),0)</f>
        <v>0</v>
      </c>
      <c r="N84" s="9">
        <f>IFERROR(VLOOKUP(B84,cubo!$A$6:$BK$37,41,0)-VLOOKUP(conciliacao_custos!B84,#REF!,18,0),0)</f>
        <v>0</v>
      </c>
      <c r="O84" s="9">
        <f>IFERROR(VLOOKUP(B84,cubo!$A$6:$BK$37,44,0)-VLOOKUP(conciliacao_custos!B84,#REF!,13,0),0)</f>
        <v>0</v>
      </c>
      <c r="P84" s="9">
        <f>IFERROR(VLOOKUP(B84,cubo!$A$6:$BK$37,47,0)-VLOOKUP(conciliacao_custos!B84,#REF!,14,0),0)</f>
        <v>0</v>
      </c>
      <c r="Q84" s="9">
        <f>IFERROR(VLOOKUP(B84,cubo!$A$6:$BK$37,58,0)-VLOOKUP(conciliacao_custos!B84,#REF!,16,0),0)</f>
        <v>0</v>
      </c>
      <c r="R84" s="9">
        <f>IFERROR(VLOOKUP(B84,cubo!$A$6:$BK$37,64,0)-VLOOKUP(conciliacao_custos!B84,#REF!,17,0),0)</f>
        <v>0</v>
      </c>
      <c r="S84" s="9">
        <f>IFERROR(VLOOKUP(B84,cubo!$A$6:$BK$37,61,0)-VLOOKUP(conciliacao_custos!B84,#REF!,15,0),0)</f>
        <v>0</v>
      </c>
    </row>
    <row r="85" spans="2:19" x14ac:dyDescent="0.25">
      <c r="B85" s="7">
        <f>[1]salario!A84</f>
        <v>0</v>
      </c>
      <c r="C85" s="8">
        <f>[1]salario!C84</f>
        <v>0</v>
      </c>
      <c r="D85" s="10">
        <f>IFERROR(VLOOKUP(B85,cubo!$A$6:$BE$37,6,0)-VLOOKUP(B85,#REF!,$D$2,0),0)</f>
        <v>0</v>
      </c>
      <c r="E85" s="10">
        <f>IFERROR(VLOOKUP(B85,cubo!$A$6:$BE$37,9,0)-VLOOKUP(B85,#REF!,$E$2,0),0)</f>
        <v>0</v>
      </c>
      <c r="F85" s="9">
        <f>IFERROR(VLOOKUP(B85,cubo!$A$6:$BE$37,12,0)-VLOOKUP(B85,#REF!,$F$2,0),0)</f>
        <v>0</v>
      </c>
      <c r="G85" s="9">
        <f>IFERROR(VLOOKUP(B85,cubo!$A$6:$BE$37,54,0)-VLOOKUP(B85,#REF!,$G$2,0),0)</f>
        <v>0</v>
      </c>
      <c r="H85" s="10">
        <f>IFERROR(VLOOKUP(B85,cubo!$A$6:$BE$37,15,0)-VLOOKUP(B85,#REF!,$H$2,0),0)</f>
        <v>0</v>
      </c>
      <c r="I85" s="9">
        <f>IFERROR(VLOOKUP(B85,cubo!$A$6:$BE$37,18,0)-VLOOKUP(B85,#REF!,$I$2,0),0)</f>
        <v>0</v>
      </c>
      <c r="J85" s="9">
        <f>IFERROR(VLOOKUP(B85,cubo!$A$6:$BE$37,24,0)-VLOOKUP(B85,#REF!,$J$2,0),0)</f>
        <v>0</v>
      </c>
      <c r="K85" s="9">
        <f>IFERROR(VLOOKUP(B85,cubo!$A$6:$BE$37,34,0)-VLOOKUP(B85,#REF!,$K$2,0),0)</f>
        <v>0</v>
      </c>
      <c r="L85" s="8">
        <f>IFERROR(VLOOKUP(B85,cubo!$A$6:$BE$37,38,0)-VLOOKUP(B85,#REF!,$L$2,0),0)</f>
        <v>0</v>
      </c>
      <c r="M85" s="15">
        <f>IFERROR(VLOOKUP(B85,cubo!$A$6:$BE$37,57,0)-VLOOKUP(B85,#REF!,$M$2,0),0)</f>
        <v>0</v>
      </c>
      <c r="N85" s="9">
        <f>IFERROR(VLOOKUP(B85,cubo!$A$6:$BK$37,41,0)-VLOOKUP(conciliacao_custos!B85,#REF!,18,0),0)</f>
        <v>0</v>
      </c>
      <c r="O85" s="9">
        <f>IFERROR(VLOOKUP(B85,cubo!$A$6:$BK$37,44,0)-VLOOKUP(conciliacao_custos!B85,#REF!,13,0),0)</f>
        <v>0</v>
      </c>
      <c r="P85" s="9">
        <f>IFERROR(VLOOKUP(B85,cubo!$A$6:$BK$37,47,0)-VLOOKUP(conciliacao_custos!B85,#REF!,14,0),0)</f>
        <v>0</v>
      </c>
      <c r="Q85" s="9">
        <f>IFERROR(VLOOKUP(B85,cubo!$A$6:$BK$37,58,0)-VLOOKUP(conciliacao_custos!B85,#REF!,16,0),0)</f>
        <v>0</v>
      </c>
      <c r="R85" s="9">
        <f>IFERROR(VLOOKUP(B85,cubo!$A$6:$BK$37,64,0)-VLOOKUP(conciliacao_custos!B85,#REF!,17,0),0)</f>
        <v>0</v>
      </c>
      <c r="S85" s="9">
        <f>IFERROR(VLOOKUP(B85,cubo!$A$6:$BK$37,61,0)-VLOOKUP(conciliacao_custos!B85,#REF!,15,0),0)</f>
        <v>0</v>
      </c>
    </row>
    <row r="86" spans="2:19" x14ac:dyDescent="0.25">
      <c r="B86" s="7">
        <f>[1]salario!A85</f>
        <v>0</v>
      </c>
      <c r="C86" s="8">
        <f>[1]salario!C85</f>
        <v>0</v>
      </c>
      <c r="D86" s="10">
        <f>IFERROR(VLOOKUP(B86,cubo!$A$6:$BE$37,6,0)-VLOOKUP(B86,#REF!,$D$2,0),0)</f>
        <v>0</v>
      </c>
      <c r="E86" s="10">
        <f>IFERROR(VLOOKUP(B86,cubo!$A$6:$BE$37,9,0)-VLOOKUP(B86,#REF!,$E$2,0),0)</f>
        <v>0</v>
      </c>
      <c r="F86" s="9">
        <f>IFERROR(VLOOKUP(B86,cubo!$A$6:$BE$37,12,0)-VLOOKUP(B86,#REF!,$F$2,0),0)</f>
        <v>0</v>
      </c>
      <c r="G86" s="9">
        <f>IFERROR(VLOOKUP(B86,cubo!$A$6:$BE$37,54,0)-VLOOKUP(B86,#REF!,$G$2,0),0)</f>
        <v>0</v>
      </c>
      <c r="H86" s="10">
        <f>IFERROR(VLOOKUP(B86,cubo!$A$6:$BE$37,15,0)-VLOOKUP(B86,#REF!,$H$2,0),0)</f>
        <v>0</v>
      </c>
      <c r="I86" s="9">
        <f>IFERROR(VLOOKUP(B86,cubo!$A$6:$BE$37,18,0)-VLOOKUP(B86,#REF!,$I$2,0),0)</f>
        <v>0</v>
      </c>
      <c r="J86" s="9">
        <f>IFERROR(VLOOKUP(B86,cubo!$A$6:$BE$37,24,0)-VLOOKUP(B86,#REF!,$J$2,0),0)</f>
        <v>0</v>
      </c>
      <c r="K86" s="9">
        <f>IFERROR(VLOOKUP(B86,cubo!$A$6:$BE$37,34,0)-VLOOKUP(B86,#REF!,$K$2,0),0)</f>
        <v>0</v>
      </c>
      <c r="L86" s="8">
        <f>IFERROR(VLOOKUP(B86,cubo!$A$6:$BE$37,38,0)-VLOOKUP(B86,#REF!,$L$2,0),0)</f>
        <v>0</v>
      </c>
      <c r="M86" s="15">
        <f>IFERROR(VLOOKUP(B86,cubo!$A$6:$BE$37,57,0)-VLOOKUP(B86,#REF!,$M$2,0),0)</f>
        <v>0</v>
      </c>
      <c r="N86" s="9">
        <f>IFERROR(VLOOKUP(B86,cubo!$A$6:$BK$37,41,0)-VLOOKUP(conciliacao_custos!B86,#REF!,18,0),0)</f>
        <v>0</v>
      </c>
      <c r="O86" s="9">
        <f>IFERROR(VLOOKUP(B86,cubo!$A$6:$BK$37,44,0)-VLOOKUP(conciliacao_custos!B86,#REF!,13,0),0)</f>
        <v>0</v>
      </c>
      <c r="P86" s="9">
        <f>IFERROR(VLOOKUP(B86,cubo!$A$6:$BK$37,47,0)-VLOOKUP(conciliacao_custos!B86,#REF!,14,0),0)</f>
        <v>0</v>
      </c>
      <c r="Q86" s="9">
        <f>IFERROR(VLOOKUP(B86,cubo!$A$6:$BK$37,58,0)-VLOOKUP(conciliacao_custos!B86,#REF!,16,0),0)</f>
        <v>0</v>
      </c>
      <c r="R86" s="9">
        <f>IFERROR(VLOOKUP(B86,cubo!$A$6:$BK$37,64,0)-VLOOKUP(conciliacao_custos!B86,#REF!,17,0),0)</f>
        <v>0</v>
      </c>
      <c r="S86" s="9">
        <f>IFERROR(VLOOKUP(B86,cubo!$A$6:$BK$37,61,0)-VLOOKUP(conciliacao_custos!B86,#REF!,15,0),0)</f>
        <v>0</v>
      </c>
    </row>
    <row r="87" spans="2:19" x14ac:dyDescent="0.25">
      <c r="B87" s="7">
        <f>[1]salario!A86</f>
        <v>0</v>
      </c>
      <c r="C87" s="8">
        <f>[1]salario!C86</f>
        <v>0</v>
      </c>
      <c r="D87" s="10">
        <f>IFERROR(VLOOKUP(B87,cubo!$A$6:$BE$37,6,0)-VLOOKUP(B87,#REF!,$D$2,0),0)</f>
        <v>0</v>
      </c>
      <c r="E87" s="10">
        <f>IFERROR(VLOOKUP(B87,cubo!$A$6:$BE$37,9,0)-VLOOKUP(B87,#REF!,$E$2,0),0)</f>
        <v>0</v>
      </c>
      <c r="F87" s="9">
        <f>IFERROR(VLOOKUP(B87,cubo!$A$6:$BE$37,12,0)-VLOOKUP(B87,#REF!,$F$2,0),0)</f>
        <v>0</v>
      </c>
      <c r="G87" s="9">
        <f>IFERROR(VLOOKUP(B87,cubo!$A$6:$BE$37,54,0)-VLOOKUP(B87,#REF!,$G$2,0),0)</f>
        <v>0</v>
      </c>
      <c r="H87" s="10">
        <f>IFERROR(VLOOKUP(B87,cubo!$A$6:$BE$37,15,0)-VLOOKUP(B87,#REF!,$H$2,0),0)</f>
        <v>0</v>
      </c>
      <c r="I87" s="9">
        <f>IFERROR(VLOOKUP(B87,cubo!$A$6:$BE$37,18,0)-VLOOKUP(B87,#REF!,$I$2,0),0)</f>
        <v>0</v>
      </c>
      <c r="J87" s="9">
        <f>IFERROR(VLOOKUP(B87,cubo!$A$6:$BE$37,24,0)-VLOOKUP(B87,#REF!,$J$2,0),0)</f>
        <v>0</v>
      </c>
      <c r="K87" s="9">
        <f>IFERROR(VLOOKUP(B87,cubo!$A$6:$BE$37,34,0)-VLOOKUP(B87,#REF!,$K$2,0),0)</f>
        <v>0</v>
      </c>
      <c r="L87" s="8">
        <f>IFERROR(VLOOKUP(B87,cubo!$A$6:$BE$37,38,0)-VLOOKUP(B87,#REF!,$L$2,0),0)</f>
        <v>0</v>
      </c>
      <c r="M87" s="15">
        <f>IFERROR(VLOOKUP(B87,cubo!$A$6:$BE$37,57,0)-VLOOKUP(B87,#REF!,$M$2,0),0)</f>
        <v>0</v>
      </c>
      <c r="N87" s="9">
        <f>IFERROR(VLOOKUP(B87,cubo!$A$6:$BK$37,41,0)-VLOOKUP(conciliacao_custos!B87,#REF!,18,0),0)</f>
        <v>0</v>
      </c>
      <c r="O87" s="9">
        <f>IFERROR(VLOOKUP(B87,cubo!$A$6:$BK$37,44,0)-VLOOKUP(conciliacao_custos!B87,#REF!,13,0),0)</f>
        <v>0</v>
      </c>
      <c r="P87" s="9">
        <f>IFERROR(VLOOKUP(B87,cubo!$A$6:$BK$37,47,0)-VLOOKUP(conciliacao_custos!B87,#REF!,14,0),0)</f>
        <v>0</v>
      </c>
      <c r="Q87" s="9">
        <f>IFERROR(VLOOKUP(B87,cubo!$A$6:$BK$37,58,0)-VLOOKUP(conciliacao_custos!B87,#REF!,16,0),0)</f>
        <v>0</v>
      </c>
      <c r="R87" s="9">
        <f>IFERROR(VLOOKUP(B87,cubo!$A$6:$BK$37,64,0)-VLOOKUP(conciliacao_custos!B87,#REF!,17,0),0)</f>
        <v>0</v>
      </c>
      <c r="S87" s="9">
        <f>IFERROR(VLOOKUP(B87,cubo!$A$6:$BK$37,61,0)-VLOOKUP(conciliacao_custos!B87,#REF!,15,0),0)</f>
        <v>0</v>
      </c>
    </row>
    <row r="88" spans="2:19" x14ac:dyDescent="0.25">
      <c r="B88" s="7">
        <f>[1]salario!A87</f>
        <v>0</v>
      </c>
      <c r="C88" s="8">
        <f>[1]salario!C87</f>
        <v>0</v>
      </c>
      <c r="D88" s="10">
        <f>IFERROR(VLOOKUP(B88,cubo!$A$6:$BE$37,6,0)-VLOOKUP(B88,#REF!,$D$2,0),0)</f>
        <v>0</v>
      </c>
      <c r="E88" s="10">
        <f>IFERROR(VLOOKUP(B88,cubo!$A$6:$BE$37,9,0)-VLOOKUP(B88,#REF!,$E$2,0),0)</f>
        <v>0</v>
      </c>
      <c r="F88" s="9">
        <f>IFERROR(VLOOKUP(B88,cubo!$A$6:$BE$37,12,0)-VLOOKUP(B88,#REF!,$F$2,0),0)</f>
        <v>0</v>
      </c>
      <c r="G88" s="9">
        <f>IFERROR(VLOOKUP(B88,cubo!$A$6:$BE$37,54,0)-VLOOKUP(B88,#REF!,$G$2,0),0)</f>
        <v>0</v>
      </c>
      <c r="H88" s="10">
        <f>IFERROR(VLOOKUP(B88,cubo!$A$6:$BE$37,15,0)-VLOOKUP(B88,#REF!,$H$2,0),0)</f>
        <v>0</v>
      </c>
      <c r="I88" s="9">
        <f>IFERROR(VLOOKUP(B88,cubo!$A$6:$BE$37,18,0)-VLOOKUP(B88,#REF!,$I$2,0),0)</f>
        <v>0</v>
      </c>
      <c r="J88" s="9">
        <f>IFERROR(VLOOKUP(B88,cubo!$A$6:$BE$37,24,0)-VLOOKUP(B88,#REF!,$J$2,0),0)</f>
        <v>0</v>
      </c>
      <c r="K88" s="9">
        <f>IFERROR(VLOOKUP(B88,cubo!$A$6:$BE$37,34,0)-VLOOKUP(B88,#REF!,$K$2,0),0)</f>
        <v>0</v>
      </c>
      <c r="L88" s="8">
        <f>IFERROR(VLOOKUP(B88,cubo!$A$6:$BE$37,38,0)-VLOOKUP(B88,#REF!,$L$2,0),0)</f>
        <v>0</v>
      </c>
      <c r="M88" s="15">
        <f>IFERROR(VLOOKUP(B88,cubo!$A$6:$BE$37,57,0)-VLOOKUP(B88,#REF!,$M$2,0),0)</f>
        <v>0</v>
      </c>
      <c r="N88" s="9">
        <f>IFERROR(VLOOKUP(B88,cubo!$A$6:$BK$37,41,0)-VLOOKUP(conciliacao_custos!B88,#REF!,18,0),0)</f>
        <v>0</v>
      </c>
      <c r="O88" s="9">
        <f>IFERROR(VLOOKUP(B88,cubo!$A$6:$BK$37,44,0)-VLOOKUP(conciliacao_custos!B88,#REF!,13,0),0)</f>
        <v>0</v>
      </c>
      <c r="P88" s="9">
        <f>IFERROR(VLOOKUP(B88,cubo!$A$6:$BK$37,47,0)-VLOOKUP(conciliacao_custos!B88,#REF!,14,0),0)</f>
        <v>0</v>
      </c>
      <c r="Q88" s="9">
        <f>IFERROR(VLOOKUP(B88,cubo!$A$6:$BK$37,58,0)-VLOOKUP(conciliacao_custos!B88,#REF!,16,0),0)</f>
        <v>0</v>
      </c>
      <c r="R88" s="9">
        <f>IFERROR(VLOOKUP(B88,cubo!$A$6:$BK$37,64,0)-VLOOKUP(conciliacao_custos!B88,#REF!,17,0),0)</f>
        <v>0</v>
      </c>
      <c r="S88" s="9">
        <f>IFERROR(VLOOKUP(B88,cubo!$A$6:$BK$37,61,0)-VLOOKUP(conciliacao_custos!B88,#REF!,15,0),0)</f>
        <v>0</v>
      </c>
    </row>
    <row r="89" spans="2:19" x14ac:dyDescent="0.25">
      <c r="B89" s="7">
        <f>[1]salario!A88</f>
        <v>0</v>
      </c>
      <c r="C89" s="8">
        <f>[1]salario!C88</f>
        <v>0</v>
      </c>
      <c r="D89" s="10">
        <f>IFERROR(VLOOKUP(B89,cubo!$A$6:$BE$37,6,0)-VLOOKUP(B89,#REF!,$D$2,0),0)</f>
        <v>0</v>
      </c>
      <c r="E89" s="10">
        <f>IFERROR(VLOOKUP(B89,cubo!$A$6:$BE$37,9,0)-VLOOKUP(B89,#REF!,$E$2,0),0)</f>
        <v>0</v>
      </c>
      <c r="F89" s="9">
        <f>IFERROR(VLOOKUP(B89,cubo!$A$6:$BE$37,12,0)-VLOOKUP(B89,#REF!,$F$2,0),0)</f>
        <v>0</v>
      </c>
      <c r="G89" s="9">
        <f>IFERROR(VLOOKUP(B89,cubo!$A$6:$BE$37,54,0)-VLOOKUP(B89,#REF!,$G$2,0),0)</f>
        <v>0</v>
      </c>
      <c r="H89" s="10">
        <f>IFERROR(VLOOKUP(B89,cubo!$A$6:$BE$37,15,0)-VLOOKUP(B89,#REF!,$H$2,0),0)</f>
        <v>0</v>
      </c>
      <c r="I89" s="9">
        <f>IFERROR(VLOOKUP(B89,cubo!$A$6:$BE$37,18,0)-VLOOKUP(B89,#REF!,$I$2,0),0)</f>
        <v>0</v>
      </c>
      <c r="J89" s="9">
        <f>IFERROR(VLOOKUP(B89,cubo!$A$6:$BE$37,24,0)-VLOOKUP(B89,#REF!,$J$2,0),0)</f>
        <v>0</v>
      </c>
      <c r="K89" s="9">
        <f>IFERROR(VLOOKUP(B89,cubo!$A$6:$BE$37,34,0)-VLOOKUP(B89,#REF!,$K$2,0),0)</f>
        <v>0</v>
      </c>
      <c r="L89" s="8">
        <f>IFERROR(VLOOKUP(B89,cubo!$A$6:$BE$37,38,0)-VLOOKUP(B89,#REF!,$L$2,0),0)</f>
        <v>0</v>
      </c>
      <c r="M89" s="15">
        <f>IFERROR(VLOOKUP(B89,cubo!$A$6:$BE$37,57,0)-VLOOKUP(B89,#REF!,$M$2,0),0)</f>
        <v>0</v>
      </c>
      <c r="N89" s="9">
        <f>IFERROR(VLOOKUP(B89,cubo!$A$6:$BK$37,41,0)-VLOOKUP(conciliacao_custos!B89,#REF!,18,0),0)</f>
        <v>0</v>
      </c>
      <c r="O89" s="9">
        <f>IFERROR(VLOOKUP(B89,cubo!$A$6:$BK$37,44,0)-VLOOKUP(conciliacao_custos!B89,#REF!,13,0),0)</f>
        <v>0</v>
      </c>
      <c r="P89" s="9">
        <f>IFERROR(VLOOKUP(B89,cubo!$A$6:$BK$37,47,0)-VLOOKUP(conciliacao_custos!B89,#REF!,14,0),0)</f>
        <v>0</v>
      </c>
      <c r="Q89" s="9">
        <f>IFERROR(VLOOKUP(B89,cubo!$A$6:$BK$37,58,0)-VLOOKUP(conciliacao_custos!B89,#REF!,16,0),0)</f>
        <v>0</v>
      </c>
      <c r="R89" s="9">
        <f>IFERROR(VLOOKUP(B89,cubo!$A$6:$BK$37,64,0)-VLOOKUP(conciliacao_custos!B89,#REF!,17,0),0)</f>
        <v>0</v>
      </c>
      <c r="S89" s="9">
        <f>IFERROR(VLOOKUP(B89,cubo!$A$6:$BK$37,61,0)-VLOOKUP(conciliacao_custos!B89,#REF!,15,0),0)</f>
        <v>0</v>
      </c>
    </row>
    <row r="90" spans="2:19" x14ac:dyDescent="0.25">
      <c r="B90" s="7">
        <f>[1]salario!A89</f>
        <v>0</v>
      </c>
      <c r="C90" s="8">
        <f>[1]salario!C89</f>
        <v>0</v>
      </c>
      <c r="D90" s="10">
        <f>IFERROR(VLOOKUP(B90,cubo!$A$6:$BE$37,6,0)-VLOOKUP(B90,#REF!,$D$2,0),0)</f>
        <v>0</v>
      </c>
      <c r="E90" s="10">
        <f>IFERROR(VLOOKUP(B90,cubo!$A$6:$BE$37,9,0)-VLOOKUP(B90,#REF!,$E$2,0),0)</f>
        <v>0</v>
      </c>
      <c r="F90" s="9">
        <f>IFERROR(VLOOKUP(B90,cubo!$A$6:$BE$37,12,0)-VLOOKUP(B90,#REF!,$F$2,0),0)</f>
        <v>0</v>
      </c>
      <c r="G90" s="9">
        <f>IFERROR(VLOOKUP(B90,cubo!$A$6:$BE$37,54,0)-VLOOKUP(B90,#REF!,$G$2,0),0)</f>
        <v>0</v>
      </c>
      <c r="H90" s="10">
        <f>IFERROR(VLOOKUP(B90,cubo!$A$6:$BE$37,15,0)-VLOOKUP(B90,#REF!,$H$2,0),0)</f>
        <v>0</v>
      </c>
      <c r="I90" s="9">
        <f>IFERROR(VLOOKUP(B90,cubo!$A$6:$BE$37,18,0)-VLOOKUP(B90,#REF!,$I$2,0),0)</f>
        <v>0</v>
      </c>
      <c r="J90" s="9">
        <f>IFERROR(VLOOKUP(B90,cubo!$A$6:$BE$37,24,0)-VLOOKUP(B90,#REF!,$J$2,0),0)</f>
        <v>0</v>
      </c>
      <c r="K90" s="9">
        <f>IFERROR(VLOOKUP(B90,cubo!$A$6:$BE$37,34,0)-VLOOKUP(B90,#REF!,$K$2,0),0)</f>
        <v>0</v>
      </c>
      <c r="L90" s="8">
        <f>IFERROR(VLOOKUP(B90,cubo!$A$6:$BE$37,38,0)-VLOOKUP(B90,#REF!,$L$2,0),0)</f>
        <v>0</v>
      </c>
      <c r="M90" s="15">
        <f>IFERROR(VLOOKUP(B90,cubo!$A$6:$BE$37,57,0)-VLOOKUP(B90,#REF!,$M$2,0),0)</f>
        <v>0</v>
      </c>
      <c r="N90" s="9">
        <f>IFERROR(VLOOKUP(B90,cubo!$A$6:$BK$37,41,0)-VLOOKUP(conciliacao_custos!B90,#REF!,18,0),0)</f>
        <v>0</v>
      </c>
      <c r="O90" s="9">
        <f>IFERROR(VLOOKUP(B90,cubo!$A$6:$BK$37,44,0)-VLOOKUP(conciliacao_custos!B90,#REF!,13,0),0)</f>
        <v>0</v>
      </c>
      <c r="P90" s="9">
        <f>IFERROR(VLOOKUP(B90,cubo!$A$6:$BK$37,47,0)-VLOOKUP(conciliacao_custos!B90,#REF!,14,0),0)</f>
        <v>0</v>
      </c>
      <c r="Q90" s="9">
        <f>IFERROR(VLOOKUP(B90,cubo!$A$6:$BK$37,58,0)-VLOOKUP(conciliacao_custos!B90,#REF!,16,0),0)</f>
        <v>0</v>
      </c>
      <c r="R90" s="9">
        <f>IFERROR(VLOOKUP(B90,cubo!$A$6:$BK$37,64,0)-VLOOKUP(conciliacao_custos!B90,#REF!,17,0),0)</f>
        <v>0</v>
      </c>
      <c r="S90" s="9">
        <f>IFERROR(VLOOKUP(B90,cubo!$A$6:$BK$37,61,0)-VLOOKUP(conciliacao_custos!B90,#REF!,15,0),0)</f>
        <v>0</v>
      </c>
    </row>
    <row r="91" spans="2:19" x14ac:dyDescent="0.25">
      <c r="B91" s="7">
        <f>[1]salario!A90</f>
        <v>0</v>
      </c>
      <c r="C91" s="8">
        <f>[1]salario!C90</f>
        <v>0</v>
      </c>
      <c r="D91" s="10">
        <f>IFERROR(VLOOKUP(B91,cubo!$A$6:$BE$37,6,0)-VLOOKUP(B91,#REF!,$D$2,0),0)</f>
        <v>0</v>
      </c>
      <c r="E91" s="10">
        <f>IFERROR(VLOOKUP(B91,cubo!$A$6:$BE$37,9,0)-VLOOKUP(B91,#REF!,$E$2,0),0)</f>
        <v>0</v>
      </c>
      <c r="F91" s="9">
        <f>IFERROR(VLOOKUP(B91,cubo!$A$6:$BE$37,12,0)-VLOOKUP(B91,#REF!,$F$2,0),0)</f>
        <v>0</v>
      </c>
      <c r="G91" s="9">
        <f>IFERROR(VLOOKUP(B91,cubo!$A$6:$BE$37,54,0)-VLOOKUP(B91,#REF!,$G$2,0),0)</f>
        <v>0</v>
      </c>
      <c r="H91" s="10">
        <f>IFERROR(VLOOKUP(B91,cubo!$A$6:$BE$37,15,0)-VLOOKUP(B91,#REF!,$H$2,0),0)</f>
        <v>0</v>
      </c>
      <c r="I91" s="9">
        <f>IFERROR(VLOOKUP(B91,cubo!$A$6:$BE$37,18,0)-VLOOKUP(B91,#REF!,$I$2,0),0)</f>
        <v>0</v>
      </c>
      <c r="J91" s="9">
        <f>IFERROR(VLOOKUP(B91,cubo!$A$6:$BE$37,24,0)-VLOOKUP(B91,#REF!,$J$2,0),0)</f>
        <v>0</v>
      </c>
      <c r="K91" s="9">
        <f>IFERROR(VLOOKUP(B91,cubo!$A$6:$BE$37,34,0)-VLOOKUP(B91,#REF!,$K$2,0),0)</f>
        <v>0</v>
      </c>
      <c r="L91" s="8">
        <f>IFERROR(VLOOKUP(B91,cubo!$A$6:$BE$37,38,0)-VLOOKUP(B91,#REF!,$L$2,0),0)</f>
        <v>0</v>
      </c>
      <c r="M91" s="15">
        <f>IFERROR(VLOOKUP(B91,cubo!$A$6:$BE$37,57,0)-VLOOKUP(B91,#REF!,$M$2,0),0)</f>
        <v>0</v>
      </c>
      <c r="N91" s="9">
        <f>IFERROR(VLOOKUP(B91,cubo!$A$6:$BK$37,41,0)-VLOOKUP(conciliacao_custos!B91,#REF!,18,0),0)</f>
        <v>0</v>
      </c>
      <c r="O91" s="9">
        <f>IFERROR(VLOOKUP(B91,cubo!$A$6:$BK$37,44,0)-VLOOKUP(conciliacao_custos!B91,#REF!,13,0),0)</f>
        <v>0</v>
      </c>
      <c r="P91" s="9">
        <f>IFERROR(VLOOKUP(B91,cubo!$A$6:$BK$37,47,0)-VLOOKUP(conciliacao_custos!B91,#REF!,14,0),0)</f>
        <v>0</v>
      </c>
      <c r="Q91" s="9">
        <f>IFERROR(VLOOKUP(B91,cubo!$A$6:$BK$37,58,0)-VLOOKUP(conciliacao_custos!B91,#REF!,16,0),0)</f>
        <v>0</v>
      </c>
      <c r="R91" s="9">
        <f>IFERROR(VLOOKUP(B91,cubo!$A$6:$BK$37,64,0)-VLOOKUP(conciliacao_custos!B91,#REF!,17,0),0)</f>
        <v>0</v>
      </c>
      <c r="S91" s="9">
        <f>IFERROR(VLOOKUP(B91,cubo!$A$6:$BK$37,61,0)-VLOOKUP(conciliacao_custos!B91,#REF!,15,0),0)</f>
        <v>0</v>
      </c>
    </row>
    <row r="92" spans="2:19" x14ac:dyDescent="0.25">
      <c r="B92" s="7">
        <f>[1]salario!A91</f>
        <v>0</v>
      </c>
      <c r="C92" s="8">
        <f>[1]salario!C91</f>
        <v>0</v>
      </c>
      <c r="D92" s="10">
        <f>IFERROR(VLOOKUP(B92,cubo!$A$6:$BE$37,6,0)-VLOOKUP(B92,#REF!,$D$2,0),0)</f>
        <v>0</v>
      </c>
      <c r="E92" s="10">
        <f>IFERROR(VLOOKUP(B92,cubo!$A$6:$BE$37,9,0)-VLOOKUP(B92,#REF!,$E$2,0),0)</f>
        <v>0</v>
      </c>
      <c r="F92" s="9">
        <f>IFERROR(VLOOKUP(B92,cubo!$A$6:$BE$37,12,0)-VLOOKUP(B92,#REF!,$F$2,0),0)</f>
        <v>0</v>
      </c>
      <c r="G92" s="9">
        <f>IFERROR(VLOOKUP(B92,cubo!$A$6:$BE$37,54,0)-VLOOKUP(B92,#REF!,$G$2,0),0)</f>
        <v>0</v>
      </c>
      <c r="H92" s="10">
        <f>IFERROR(VLOOKUP(B92,cubo!$A$6:$BE$37,15,0)-VLOOKUP(B92,#REF!,$H$2,0),0)</f>
        <v>0</v>
      </c>
      <c r="I92" s="9">
        <f>IFERROR(VLOOKUP(B92,cubo!$A$6:$BE$37,18,0)-VLOOKUP(B92,#REF!,$I$2,0),0)</f>
        <v>0</v>
      </c>
      <c r="J92" s="9">
        <f>IFERROR(VLOOKUP(B92,cubo!$A$6:$BE$37,24,0)-VLOOKUP(B92,#REF!,$J$2,0),0)</f>
        <v>0</v>
      </c>
      <c r="K92" s="9">
        <f>IFERROR(VLOOKUP(B92,cubo!$A$6:$BE$37,34,0)-VLOOKUP(B92,#REF!,$K$2,0),0)</f>
        <v>0</v>
      </c>
      <c r="L92" s="8">
        <f>IFERROR(VLOOKUP(B92,cubo!$A$6:$BE$37,38,0)-VLOOKUP(B92,#REF!,$L$2,0),0)</f>
        <v>0</v>
      </c>
      <c r="M92" s="15">
        <f>IFERROR(VLOOKUP(B92,cubo!$A$6:$BE$37,57,0)-VLOOKUP(B92,#REF!,$M$2,0),0)</f>
        <v>0</v>
      </c>
      <c r="N92" s="9">
        <f>IFERROR(VLOOKUP(B92,cubo!$A$6:$BK$37,41,0)-VLOOKUP(conciliacao_custos!B92,#REF!,18,0),0)</f>
        <v>0</v>
      </c>
      <c r="O92" s="9">
        <f>IFERROR(VLOOKUP(B92,cubo!$A$6:$BK$37,44,0)-VLOOKUP(conciliacao_custos!B92,#REF!,13,0),0)</f>
        <v>0</v>
      </c>
      <c r="P92" s="9">
        <f>IFERROR(VLOOKUP(B92,cubo!$A$6:$BK$37,47,0)-VLOOKUP(conciliacao_custos!B92,#REF!,14,0),0)</f>
        <v>0</v>
      </c>
      <c r="Q92" s="9">
        <f>IFERROR(VLOOKUP(B92,cubo!$A$6:$BK$37,58,0)-VLOOKUP(conciliacao_custos!B92,#REF!,16,0),0)</f>
        <v>0</v>
      </c>
      <c r="R92" s="9">
        <f>IFERROR(VLOOKUP(B92,cubo!$A$6:$BK$37,64,0)-VLOOKUP(conciliacao_custos!B92,#REF!,17,0),0)</f>
        <v>0</v>
      </c>
      <c r="S92" s="9">
        <f>IFERROR(VLOOKUP(B92,cubo!$A$6:$BK$37,61,0)-VLOOKUP(conciliacao_custos!B92,#REF!,15,0),0)</f>
        <v>0</v>
      </c>
    </row>
    <row r="93" spans="2:19" x14ac:dyDescent="0.25">
      <c r="B93" s="7">
        <f>[1]salario!A92</f>
        <v>0</v>
      </c>
      <c r="C93" s="8">
        <f>[1]salario!C92</f>
        <v>0</v>
      </c>
      <c r="D93" s="10">
        <f>IFERROR(VLOOKUP(B93,cubo!$A$6:$BE$37,6,0)-VLOOKUP(B93,#REF!,$D$2,0),0)</f>
        <v>0</v>
      </c>
      <c r="E93" s="10">
        <f>IFERROR(VLOOKUP(B93,cubo!$A$6:$BE$37,9,0)-VLOOKUP(B93,#REF!,$E$2,0),0)</f>
        <v>0</v>
      </c>
      <c r="F93" s="9">
        <f>IFERROR(VLOOKUP(B93,cubo!$A$6:$BE$37,12,0)-VLOOKUP(B93,#REF!,$F$2,0),0)</f>
        <v>0</v>
      </c>
      <c r="G93" s="9">
        <f>IFERROR(VLOOKUP(B93,cubo!$A$6:$BE$37,54,0)-VLOOKUP(B93,#REF!,$G$2,0),0)</f>
        <v>0</v>
      </c>
      <c r="H93" s="10">
        <f>IFERROR(VLOOKUP(B93,cubo!$A$6:$BE$37,15,0)-VLOOKUP(B93,#REF!,$H$2,0),0)</f>
        <v>0</v>
      </c>
      <c r="I93" s="9">
        <f>IFERROR(VLOOKUP(B93,cubo!$A$6:$BE$37,18,0)-VLOOKUP(B93,#REF!,$I$2,0),0)</f>
        <v>0</v>
      </c>
      <c r="J93" s="9">
        <f>IFERROR(VLOOKUP(B93,cubo!$A$6:$BE$37,24,0)-VLOOKUP(B93,#REF!,$J$2,0),0)</f>
        <v>0</v>
      </c>
      <c r="K93" s="9">
        <f>IFERROR(VLOOKUP(B93,cubo!$A$6:$BE$37,34,0)-VLOOKUP(B93,#REF!,$K$2,0),0)</f>
        <v>0</v>
      </c>
      <c r="L93" s="8">
        <f>IFERROR(VLOOKUP(B93,cubo!$A$6:$BE$37,38,0)-VLOOKUP(B93,#REF!,$L$2,0),0)</f>
        <v>0</v>
      </c>
      <c r="M93" s="15">
        <f>IFERROR(VLOOKUP(B93,cubo!$A$6:$BE$37,57,0)-VLOOKUP(B93,#REF!,$M$2,0),0)</f>
        <v>0</v>
      </c>
      <c r="N93" s="9">
        <f>IFERROR(VLOOKUP(B93,cubo!$A$6:$BK$37,41,0)-VLOOKUP(conciliacao_custos!B93,#REF!,18,0),0)</f>
        <v>0</v>
      </c>
      <c r="O93" s="9">
        <f>IFERROR(VLOOKUP(B93,cubo!$A$6:$BK$37,44,0)-VLOOKUP(conciliacao_custos!B93,#REF!,13,0),0)</f>
        <v>0</v>
      </c>
      <c r="P93" s="9">
        <f>IFERROR(VLOOKUP(B93,cubo!$A$6:$BK$37,47,0)-VLOOKUP(conciliacao_custos!B93,#REF!,14,0),0)</f>
        <v>0</v>
      </c>
      <c r="Q93" s="9">
        <f>IFERROR(VLOOKUP(B93,cubo!$A$6:$BK$37,58,0)-VLOOKUP(conciliacao_custos!B93,#REF!,16,0),0)</f>
        <v>0</v>
      </c>
      <c r="R93" s="9">
        <f>IFERROR(VLOOKUP(B93,cubo!$A$6:$BK$37,64,0)-VLOOKUP(conciliacao_custos!B93,#REF!,17,0),0)</f>
        <v>0</v>
      </c>
      <c r="S93" s="9">
        <f>IFERROR(VLOOKUP(B93,cubo!$A$6:$BK$37,61,0)-VLOOKUP(conciliacao_custos!B93,#REF!,15,0),0)</f>
        <v>0</v>
      </c>
    </row>
    <row r="94" spans="2:19" x14ac:dyDescent="0.25">
      <c r="B94" s="7">
        <f>[1]salario!A93</f>
        <v>0</v>
      </c>
      <c r="C94" s="8">
        <f>[1]salario!C93</f>
        <v>0</v>
      </c>
      <c r="D94" s="10">
        <f>IFERROR(VLOOKUP(B94,cubo!$A$6:$BE$37,6,0)-VLOOKUP(B94,#REF!,$D$2,0),0)</f>
        <v>0</v>
      </c>
      <c r="E94" s="10">
        <f>IFERROR(VLOOKUP(B94,cubo!$A$6:$BE$37,9,0)-VLOOKUP(B94,#REF!,$E$2,0),0)</f>
        <v>0</v>
      </c>
      <c r="F94" s="9">
        <f>IFERROR(VLOOKUP(B94,cubo!$A$6:$BE$37,12,0)-VLOOKUP(B94,#REF!,$F$2,0),0)</f>
        <v>0</v>
      </c>
      <c r="G94" s="9">
        <f>IFERROR(VLOOKUP(B94,cubo!$A$6:$BE$37,54,0)-VLOOKUP(B94,#REF!,$G$2,0),0)</f>
        <v>0</v>
      </c>
      <c r="H94" s="10">
        <f>IFERROR(VLOOKUP(B94,cubo!$A$6:$BE$37,15,0)-VLOOKUP(B94,#REF!,$H$2,0),0)</f>
        <v>0</v>
      </c>
      <c r="I94" s="9">
        <f>IFERROR(VLOOKUP(B94,cubo!$A$6:$BE$37,18,0)-VLOOKUP(B94,#REF!,$I$2,0),0)</f>
        <v>0</v>
      </c>
      <c r="J94" s="9">
        <f>IFERROR(VLOOKUP(B94,cubo!$A$6:$BE$37,24,0)-VLOOKUP(B94,#REF!,$J$2,0),0)</f>
        <v>0</v>
      </c>
      <c r="K94" s="9">
        <f>IFERROR(VLOOKUP(B94,cubo!$A$6:$BE$37,34,0)-VLOOKUP(B94,#REF!,$K$2,0),0)</f>
        <v>0</v>
      </c>
      <c r="L94" s="8">
        <f>IFERROR(VLOOKUP(B94,cubo!$A$6:$BE$37,38,0)-VLOOKUP(B94,#REF!,$L$2,0),0)</f>
        <v>0</v>
      </c>
      <c r="M94" s="15">
        <f>IFERROR(VLOOKUP(B94,cubo!$A$6:$BE$37,57,0)-VLOOKUP(B94,#REF!,$M$2,0),0)</f>
        <v>0</v>
      </c>
      <c r="N94" s="9">
        <f>IFERROR(VLOOKUP(B94,cubo!$A$6:$BK$37,41,0)-VLOOKUP(conciliacao_custos!B94,#REF!,18,0),0)</f>
        <v>0</v>
      </c>
      <c r="O94" s="9">
        <f>IFERROR(VLOOKUP(B94,cubo!$A$6:$BK$37,44,0)-VLOOKUP(conciliacao_custos!B94,#REF!,13,0),0)</f>
        <v>0</v>
      </c>
      <c r="P94" s="9">
        <f>IFERROR(VLOOKUP(B94,cubo!$A$6:$BK$37,47,0)-VLOOKUP(conciliacao_custos!B94,#REF!,14,0),0)</f>
        <v>0</v>
      </c>
      <c r="Q94" s="9">
        <f>IFERROR(VLOOKUP(B94,cubo!$A$6:$BK$37,58,0)-VLOOKUP(conciliacao_custos!B94,#REF!,16,0),0)</f>
        <v>0</v>
      </c>
      <c r="R94" s="9">
        <f>IFERROR(VLOOKUP(B94,cubo!$A$6:$BK$37,64,0)-VLOOKUP(conciliacao_custos!B94,#REF!,17,0),0)</f>
        <v>0</v>
      </c>
      <c r="S94" s="9">
        <f>IFERROR(VLOOKUP(B94,cubo!$A$6:$BK$37,61,0)-VLOOKUP(conciliacao_custos!B94,#REF!,15,0),0)</f>
        <v>0</v>
      </c>
    </row>
    <row r="95" spans="2:19" x14ac:dyDescent="0.25">
      <c r="B95" s="7">
        <f>[1]salario!A94</f>
        <v>0</v>
      </c>
      <c r="C95" s="8">
        <f>[1]salario!C94</f>
        <v>0</v>
      </c>
      <c r="D95" s="10">
        <f>IFERROR(VLOOKUP(B95,cubo!$A$6:$BE$37,6,0)-VLOOKUP(B95,#REF!,$D$2,0),0)</f>
        <v>0</v>
      </c>
      <c r="E95" s="10">
        <f>IFERROR(VLOOKUP(B95,cubo!$A$6:$BE$37,9,0)-VLOOKUP(B95,#REF!,$E$2,0),0)</f>
        <v>0</v>
      </c>
      <c r="F95" s="9">
        <f>IFERROR(VLOOKUP(B95,cubo!$A$6:$BE$37,12,0)-VLOOKUP(B95,#REF!,$F$2,0),0)</f>
        <v>0</v>
      </c>
      <c r="G95" s="9">
        <f>IFERROR(VLOOKUP(B95,cubo!$A$6:$BE$37,54,0)-VLOOKUP(B95,#REF!,$G$2,0),0)</f>
        <v>0</v>
      </c>
      <c r="H95" s="10">
        <f>IFERROR(VLOOKUP(B95,cubo!$A$6:$BE$37,15,0)-VLOOKUP(B95,#REF!,$H$2,0),0)</f>
        <v>0</v>
      </c>
      <c r="I95" s="9">
        <f>IFERROR(VLOOKUP(B95,cubo!$A$6:$BE$37,18,0)-VLOOKUP(B95,#REF!,$I$2,0),0)</f>
        <v>0</v>
      </c>
      <c r="J95" s="9">
        <f>IFERROR(VLOOKUP(B95,cubo!$A$6:$BE$37,24,0)-VLOOKUP(B95,#REF!,$J$2,0),0)</f>
        <v>0</v>
      </c>
      <c r="K95" s="9">
        <f>IFERROR(VLOOKUP(B95,cubo!$A$6:$BE$37,34,0)-VLOOKUP(B95,#REF!,$K$2,0),0)</f>
        <v>0</v>
      </c>
      <c r="L95" s="8">
        <f>IFERROR(VLOOKUP(B95,cubo!$A$6:$BE$37,38,0)-VLOOKUP(B95,#REF!,$L$2,0),0)</f>
        <v>0</v>
      </c>
      <c r="M95" s="15">
        <f>IFERROR(VLOOKUP(B95,cubo!$A$6:$BE$37,57,0)-VLOOKUP(B95,#REF!,$M$2,0),0)</f>
        <v>0</v>
      </c>
      <c r="N95" s="9">
        <f>IFERROR(VLOOKUP(B95,cubo!$A$6:$BK$37,41,0)-VLOOKUP(conciliacao_custos!B95,#REF!,18,0),0)</f>
        <v>0</v>
      </c>
      <c r="O95" s="9">
        <f>IFERROR(VLOOKUP(B95,cubo!$A$6:$BK$37,44,0)-VLOOKUP(conciliacao_custos!B95,#REF!,13,0),0)</f>
        <v>0</v>
      </c>
      <c r="P95" s="9">
        <f>IFERROR(VLOOKUP(B95,cubo!$A$6:$BK$37,47,0)-VLOOKUP(conciliacao_custos!B95,#REF!,14,0),0)</f>
        <v>0</v>
      </c>
      <c r="Q95" s="9">
        <f>IFERROR(VLOOKUP(B95,cubo!$A$6:$BK$37,58,0)-VLOOKUP(conciliacao_custos!B95,#REF!,16,0),0)</f>
        <v>0</v>
      </c>
      <c r="R95" s="9">
        <f>IFERROR(VLOOKUP(B95,cubo!$A$6:$BK$37,64,0)-VLOOKUP(conciliacao_custos!B95,#REF!,17,0),0)</f>
        <v>0</v>
      </c>
      <c r="S95" s="9">
        <f>IFERROR(VLOOKUP(B95,cubo!$A$6:$BK$37,61,0)-VLOOKUP(conciliacao_custos!B95,#REF!,15,0),0)</f>
        <v>0</v>
      </c>
    </row>
    <row r="96" spans="2:19" x14ac:dyDescent="0.25">
      <c r="B96" s="7">
        <f>[1]salario!A95</f>
        <v>0</v>
      </c>
      <c r="C96" s="8">
        <f>[1]salario!C95</f>
        <v>0</v>
      </c>
      <c r="D96" s="10">
        <f>IFERROR(VLOOKUP(B96,cubo!$A$6:$BE$37,6,0)-VLOOKUP(B96,#REF!,$D$2,0),0)</f>
        <v>0</v>
      </c>
      <c r="E96" s="10">
        <f>IFERROR(VLOOKUP(B96,cubo!$A$6:$BE$37,9,0)-VLOOKUP(B96,#REF!,$E$2,0),0)</f>
        <v>0</v>
      </c>
      <c r="F96" s="9">
        <f>IFERROR(VLOOKUP(B96,cubo!$A$6:$BE$37,12,0)-VLOOKUP(B96,#REF!,$F$2,0),0)</f>
        <v>0</v>
      </c>
      <c r="G96" s="9">
        <f>IFERROR(VLOOKUP(B96,cubo!$A$6:$BE$37,54,0)-VLOOKUP(B96,#REF!,$G$2,0),0)</f>
        <v>0</v>
      </c>
      <c r="H96" s="10">
        <f>IFERROR(VLOOKUP(B96,cubo!$A$6:$BE$37,15,0)-VLOOKUP(B96,#REF!,$H$2,0),0)</f>
        <v>0</v>
      </c>
      <c r="I96" s="9">
        <f>IFERROR(VLOOKUP(B96,cubo!$A$6:$BE$37,18,0)-VLOOKUP(B96,#REF!,$I$2,0),0)</f>
        <v>0</v>
      </c>
      <c r="J96" s="9">
        <f>IFERROR(VLOOKUP(B96,cubo!$A$6:$BE$37,24,0)-VLOOKUP(B96,#REF!,$J$2,0),0)</f>
        <v>0</v>
      </c>
      <c r="K96" s="9">
        <f>IFERROR(VLOOKUP(B96,cubo!$A$6:$BE$37,34,0)-VLOOKUP(B96,#REF!,$K$2,0),0)</f>
        <v>0</v>
      </c>
      <c r="L96" s="8">
        <f>IFERROR(VLOOKUP(B96,cubo!$A$6:$BE$37,38,0)-VLOOKUP(B96,#REF!,$L$2,0),0)</f>
        <v>0</v>
      </c>
      <c r="M96" s="15">
        <f>IFERROR(VLOOKUP(B96,cubo!$A$6:$BE$37,57,0)-VLOOKUP(B96,#REF!,$M$2,0),0)</f>
        <v>0</v>
      </c>
      <c r="N96" s="9">
        <f>IFERROR(VLOOKUP(B96,cubo!$A$6:$BK$37,41,0)-VLOOKUP(conciliacao_custos!B96,#REF!,18,0),0)</f>
        <v>0</v>
      </c>
      <c r="O96" s="9">
        <f>IFERROR(VLOOKUP(B96,cubo!$A$6:$BK$37,44,0)-VLOOKUP(conciliacao_custos!B96,#REF!,13,0),0)</f>
        <v>0</v>
      </c>
      <c r="P96" s="9">
        <f>IFERROR(VLOOKUP(B96,cubo!$A$6:$BK$37,47,0)-VLOOKUP(conciliacao_custos!B96,#REF!,14,0),0)</f>
        <v>0</v>
      </c>
      <c r="Q96" s="9">
        <f>IFERROR(VLOOKUP(B96,cubo!$A$6:$BK$37,58,0)-VLOOKUP(conciliacao_custos!B96,#REF!,16,0),0)</f>
        <v>0</v>
      </c>
      <c r="R96" s="9">
        <f>IFERROR(VLOOKUP(B96,cubo!$A$6:$BK$37,64,0)-VLOOKUP(conciliacao_custos!B96,#REF!,17,0),0)</f>
        <v>0</v>
      </c>
      <c r="S96" s="9">
        <f>IFERROR(VLOOKUP(B96,cubo!$A$6:$BK$37,61,0)-VLOOKUP(conciliacao_custos!B96,#REF!,15,0),0)</f>
        <v>0</v>
      </c>
    </row>
    <row r="97" spans="2:19" x14ac:dyDescent="0.25">
      <c r="B97" s="7">
        <f>[1]salario!A96</f>
        <v>0</v>
      </c>
      <c r="C97" s="8">
        <f>[1]salario!C96</f>
        <v>0</v>
      </c>
      <c r="D97" s="10">
        <f>IFERROR(VLOOKUP(B97,cubo!$A$6:$BE$37,6,0)-VLOOKUP(B97,#REF!,$D$2,0),0)</f>
        <v>0</v>
      </c>
      <c r="E97" s="10">
        <f>IFERROR(VLOOKUP(B97,cubo!$A$6:$BE$37,9,0)-VLOOKUP(B97,#REF!,$E$2,0),0)</f>
        <v>0</v>
      </c>
      <c r="F97" s="9">
        <f>IFERROR(VLOOKUP(B97,cubo!$A$6:$BE$37,12,0)-VLOOKUP(B97,#REF!,$F$2,0),0)</f>
        <v>0</v>
      </c>
      <c r="G97" s="9">
        <f>IFERROR(VLOOKUP(B97,cubo!$A$6:$BE$37,54,0)-VLOOKUP(B97,#REF!,$G$2,0),0)</f>
        <v>0</v>
      </c>
      <c r="H97" s="10">
        <f>IFERROR(VLOOKUP(B97,cubo!$A$6:$BE$37,15,0)-VLOOKUP(B97,#REF!,$H$2,0),0)</f>
        <v>0</v>
      </c>
      <c r="I97" s="9">
        <f>IFERROR(VLOOKUP(B97,cubo!$A$6:$BE$37,18,0)-VLOOKUP(B97,#REF!,$I$2,0),0)</f>
        <v>0</v>
      </c>
      <c r="J97" s="9">
        <f>IFERROR(VLOOKUP(B97,cubo!$A$6:$BE$37,24,0)-VLOOKUP(B97,#REF!,$J$2,0),0)</f>
        <v>0</v>
      </c>
      <c r="K97" s="9">
        <f>IFERROR(VLOOKUP(B97,cubo!$A$6:$BE$37,34,0)-VLOOKUP(B97,#REF!,$K$2,0),0)</f>
        <v>0</v>
      </c>
      <c r="L97" s="8">
        <f>IFERROR(VLOOKUP(B97,cubo!$A$6:$BE$37,38,0)-VLOOKUP(B97,#REF!,$L$2,0),0)</f>
        <v>0</v>
      </c>
      <c r="M97" s="15">
        <f>IFERROR(VLOOKUP(B97,cubo!$A$6:$BE$37,57,0)-VLOOKUP(B97,#REF!,$M$2,0),0)</f>
        <v>0</v>
      </c>
      <c r="N97" s="9">
        <f>IFERROR(VLOOKUP(B97,cubo!$A$6:$BK$37,41,0)-VLOOKUP(conciliacao_custos!B97,#REF!,18,0),0)</f>
        <v>0</v>
      </c>
      <c r="O97" s="9">
        <f>IFERROR(VLOOKUP(B97,cubo!$A$6:$BK$37,44,0)-VLOOKUP(conciliacao_custos!B97,#REF!,13,0),0)</f>
        <v>0</v>
      </c>
      <c r="P97" s="9">
        <f>IFERROR(VLOOKUP(B97,cubo!$A$6:$BK$37,47,0)-VLOOKUP(conciliacao_custos!B97,#REF!,14,0),0)</f>
        <v>0</v>
      </c>
      <c r="Q97" s="9">
        <f>IFERROR(VLOOKUP(B97,cubo!$A$6:$BK$37,58,0)-VLOOKUP(conciliacao_custos!B97,#REF!,16,0),0)</f>
        <v>0</v>
      </c>
      <c r="R97" s="9">
        <f>IFERROR(VLOOKUP(B97,cubo!$A$6:$BK$37,64,0)-VLOOKUP(conciliacao_custos!B97,#REF!,17,0),0)</f>
        <v>0</v>
      </c>
      <c r="S97" s="9">
        <f>IFERROR(VLOOKUP(B97,cubo!$A$6:$BK$37,61,0)-VLOOKUP(conciliacao_custos!B97,#REF!,15,0),0)</f>
        <v>0</v>
      </c>
    </row>
    <row r="98" spans="2:19" x14ac:dyDescent="0.25">
      <c r="B98" s="7">
        <f>[1]salario!A97</f>
        <v>0</v>
      </c>
      <c r="C98" s="8">
        <f>[1]salario!C97</f>
        <v>0</v>
      </c>
      <c r="D98" s="10">
        <f>IFERROR(VLOOKUP(B98,cubo!$A$6:$BE$37,6,0)-VLOOKUP(B98,#REF!,$D$2,0),0)</f>
        <v>0</v>
      </c>
      <c r="E98" s="10">
        <f>IFERROR(VLOOKUP(B98,cubo!$A$6:$BE$37,9,0)-VLOOKUP(B98,#REF!,$E$2,0),0)</f>
        <v>0</v>
      </c>
      <c r="F98" s="9">
        <f>IFERROR(VLOOKUP(B98,cubo!$A$6:$BE$37,12,0)-VLOOKUP(B98,#REF!,$F$2,0),0)</f>
        <v>0</v>
      </c>
      <c r="G98" s="9">
        <f>IFERROR(VLOOKUP(B98,cubo!$A$6:$BE$37,54,0)-VLOOKUP(B98,#REF!,$G$2,0),0)</f>
        <v>0</v>
      </c>
      <c r="H98" s="10">
        <f>IFERROR(VLOOKUP(B98,cubo!$A$6:$BE$37,15,0)-VLOOKUP(B98,#REF!,$H$2,0),0)</f>
        <v>0</v>
      </c>
      <c r="I98" s="9">
        <f>IFERROR(VLOOKUP(B98,cubo!$A$6:$BE$37,18,0)-VLOOKUP(B98,#REF!,$I$2,0),0)</f>
        <v>0</v>
      </c>
      <c r="J98" s="9">
        <f>IFERROR(VLOOKUP(B98,cubo!$A$6:$BE$37,24,0)-VLOOKUP(B98,#REF!,$J$2,0),0)</f>
        <v>0</v>
      </c>
      <c r="K98" s="9">
        <f>IFERROR(VLOOKUP(B98,cubo!$A$6:$BE$37,34,0)-VLOOKUP(B98,#REF!,$K$2,0),0)</f>
        <v>0</v>
      </c>
      <c r="L98" s="8">
        <f>IFERROR(VLOOKUP(B98,cubo!$A$6:$BE$37,38,0)-VLOOKUP(B98,#REF!,$L$2,0),0)</f>
        <v>0</v>
      </c>
      <c r="M98" s="15">
        <f>IFERROR(VLOOKUP(B98,cubo!$A$6:$BE$37,57,0)-VLOOKUP(B98,#REF!,$M$2,0),0)</f>
        <v>0</v>
      </c>
      <c r="N98" s="9">
        <f>IFERROR(VLOOKUP(B98,cubo!$A$6:$BK$37,41,0)-VLOOKUP(conciliacao_custos!B98,#REF!,18,0),0)</f>
        <v>0</v>
      </c>
      <c r="O98" s="9">
        <f>IFERROR(VLOOKUP(B98,cubo!$A$6:$BK$37,44,0)-VLOOKUP(conciliacao_custos!B98,#REF!,13,0),0)</f>
        <v>0</v>
      </c>
      <c r="P98" s="9">
        <f>IFERROR(VLOOKUP(B98,cubo!$A$6:$BK$37,47,0)-VLOOKUP(conciliacao_custos!B98,#REF!,14,0),0)</f>
        <v>0</v>
      </c>
      <c r="Q98" s="9">
        <f>IFERROR(VLOOKUP(B98,cubo!$A$6:$BK$37,58,0)-VLOOKUP(conciliacao_custos!B98,#REF!,16,0),0)</f>
        <v>0</v>
      </c>
      <c r="R98" s="9">
        <f>IFERROR(VLOOKUP(B98,cubo!$A$6:$BK$37,64,0)-VLOOKUP(conciliacao_custos!B98,#REF!,17,0),0)</f>
        <v>0</v>
      </c>
      <c r="S98" s="9">
        <f>IFERROR(VLOOKUP(B98,cubo!$A$6:$BK$37,61,0)-VLOOKUP(conciliacao_custos!B98,#REF!,15,0),0)</f>
        <v>0</v>
      </c>
    </row>
    <row r="99" spans="2:19" x14ac:dyDescent="0.25">
      <c r="B99" s="7">
        <f>[1]salario!A98</f>
        <v>0</v>
      </c>
      <c r="C99" s="8">
        <f>[1]salario!C98</f>
        <v>0</v>
      </c>
      <c r="D99" s="10">
        <f>IFERROR(VLOOKUP(B99,cubo!$A$6:$BE$37,6,0)-VLOOKUP(B99,#REF!,$D$2,0),0)</f>
        <v>0</v>
      </c>
      <c r="E99" s="10">
        <f>IFERROR(VLOOKUP(B99,cubo!$A$6:$BE$37,9,0)-VLOOKUP(B99,#REF!,$E$2,0),0)</f>
        <v>0</v>
      </c>
      <c r="F99" s="9">
        <f>IFERROR(VLOOKUP(B99,cubo!$A$6:$BE$37,12,0)-VLOOKUP(B99,#REF!,$F$2,0),0)</f>
        <v>0</v>
      </c>
      <c r="G99" s="9">
        <f>IFERROR(VLOOKUP(B99,cubo!$A$6:$BE$37,54,0)-VLOOKUP(B99,#REF!,$G$2,0),0)</f>
        <v>0</v>
      </c>
      <c r="H99" s="10">
        <f>IFERROR(VLOOKUP(B99,cubo!$A$6:$BE$37,15,0)-VLOOKUP(B99,#REF!,$H$2,0),0)</f>
        <v>0</v>
      </c>
      <c r="I99" s="9">
        <f>IFERROR(VLOOKUP(B99,cubo!$A$6:$BE$37,18,0)-VLOOKUP(B99,#REF!,$I$2,0),0)</f>
        <v>0</v>
      </c>
      <c r="J99" s="9">
        <f>IFERROR(VLOOKUP(B99,cubo!$A$6:$BE$37,24,0)-VLOOKUP(B99,#REF!,$J$2,0),0)</f>
        <v>0</v>
      </c>
      <c r="K99" s="9">
        <f>IFERROR(VLOOKUP(B99,cubo!$A$6:$BE$37,34,0)-VLOOKUP(B99,#REF!,$K$2,0),0)</f>
        <v>0</v>
      </c>
      <c r="L99" s="8">
        <f>IFERROR(VLOOKUP(B99,cubo!$A$6:$BE$37,38,0)-VLOOKUP(B99,#REF!,$L$2,0),0)</f>
        <v>0</v>
      </c>
      <c r="M99" s="15">
        <f>IFERROR(VLOOKUP(B99,cubo!$A$6:$BE$37,57,0)-VLOOKUP(B99,#REF!,$M$2,0),0)</f>
        <v>0</v>
      </c>
      <c r="N99" s="9">
        <f>IFERROR(VLOOKUP(B99,cubo!$A$6:$BK$37,41,0)-VLOOKUP(conciliacao_custos!B99,#REF!,18,0),0)</f>
        <v>0</v>
      </c>
      <c r="O99" s="9">
        <f>IFERROR(VLOOKUP(B99,cubo!$A$6:$BK$37,44,0)-VLOOKUP(conciliacao_custos!B99,#REF!,13,0),0)</f>
        <v>0</v>
      </c>
      <c r="P99" s="9">
        <f>IFERROR(VLOOKUP(B99,cubo!$A$6:$BK$37,47,0)-VLOOKUP(conciliacao_custos!B99,#REF!,14,0),0)</f>
        <v>0</v>
      </c>
      <c r="Q99" s="9">
        <f>IFERROR(VLOOKUP(B99,cubo!$A$6:$BK$37,58,0)-VLOOKUP(conciliacao_custos!B99,#REF!,16,0),0)</f>
        <v>0</v>
      </c>
      <c r="R99" s="9">
        <f>IFERROR(VLOOKUP(B99,cubo!$A$6:$BK$37,64,0)-VLOOKUP(conciliacao_custos!B99,#REF!,17,0),0)</f>
        <v>0</v>
      </c>
      <c r="S99" s="9">
        <f>IFERROR(VLOOKUP(B99,cubo!$A$6:$BK$37,61,0)-VLOOKUP(conciliacao_custos!B99,#REF!,15,0),0)</f>
        <v>0</v>
      </c>
    </row>
    <row r="100" spans="2:19" x14ac:dyDescent="0.25">
      <c r="B100" s="7">
        <f>[1]salario!A99</f>
        <v>0</v>
      </c>
      <c r="C100" s="8">
        <f>[1]salario!C99</f>
        <v>0</v>
      </c>
      <c r="D100" s="10">
        <f>IFERROR(VLOOKUP(B100,cubo!$A$6:$BE$37,6,0)-VLOOKUP(B100,#REF!,$D$2,0),0)</f>
        <v>0</v>
      </c>
      <c r="E100" s="10">
        <f>IFERROR(VLOOKUP(B100,cubo!$A$6:$BE$37,9,0)-VLOOKUP(B100,#REF!,$E$2,0),0)</f>
        <v>0</v>
      </c>
      <c r="F100" s="9">
        <f>IFERROR(VLOOKUP(B100,cubo!$A$6:$BE$37,12,0)-VLOOKUP(B100,#REF!,$F$2,0),0)</f>
        <v>0</v>
      </c>
      <c r="G100" s="9">
        <f>IFERROR(VLOOKUP(B100,cubo!$A$6:$BE$37,54,0)-VLOOKUP(B100,#REF!,$G$2,0),0)</f>
        <v>0</v>
      </c>
      <c r="H100" s="10">
        <f>IFERROR(VLOOKUP(B100,cubo!$A$6:$BE$37,15,0)-VLOOKUP(B100,#REF!,$H$2,0),0)</f>
        <v>0</v>
      </c>
      <c r="I100" s="9">
        <f>IFERROR(VLOOKUP(B100,cubo!$A$6:$BE$37,18,0)-VLOOKUP(B100,#REF!,$I$2,0),0)</f>
        <v>0</v>
      </c>
      <c r="J100" s="9">
        <f>IFERROR(VLOOKUP(B100,cubo!$A$6:$BE$37,24,0)-VLOOKUP(B100,#REF!,$J$2,0),0)</f>
        <v>0</v>
      </c>
      <c r="K100" s="9">
        <f>IFERROR(VLOOKUP(B100,cubo!$A$6:$BE$37,34,0)-VLOOKUP(B100,#REF!,$K$2,0),0)</f>
        <v>0</v>
      </c>
      <c r="L100" s="8">
        <f>IFERROR(VLOOKUP(B100,cubo!$A$6:$BE$37,38,0)-VLOOKUP(B100,#REF!,$L$2,0),0)</f>
        <v>0</v>
      </c>
      <c r="M100" s="15">
        <f>IFERROR(VLOOKUP(B100,cubo!$A$6:$BE$37,57,0)-VLOOKUP(B100,#REF!,$M$2,0),0)</f>
        <v>0</v>
      </c>
      <c r="N100" s="9">
        <f>IFERROR(VLOOKUP(B100,cubo!$A$6:$BK$37,41,0)-VLOOKUP(conciliacao_custos!B100,#REF!,18,0),0)</f>
        <v>0</v>
      </c>
      <c r="O100" s="9">
        <f>IFERROR(VLOOKUP(B100,cubo!$A$6:$BK$37,44,0)-VLOOKUP(conciliacao_custos!B100,#REF!,13,0),0)</f>
        <v>0</v>
      </c>
      <c r="P100" s="9">
        <f>IFERROR(VLOOKUP(B100,cubo!$A$6:$BK$37,47,0)-VLOOKUP(conciliacao_custos!B100,#REF!,14,0),0)</f>
        <v>0</v>
      </c>
      <c r="Q100" s="9">
        <f>IFERROR(VLOOKUP(B100,cubo!$A$6:$BK$37,58,0)-VLOOKUP(conciliacao_custos!B100,#REF!,16,0),0)</f>
        <v>0</v>
      </c>
      <c r="R100" s="9">
        <f>IFERROR(VLOOKUP(B100,cubo!$A$6:$BK$37,64,0)-VLOOKUP(conciliacao_custos!B100,#REF!,17,0),0)</f>
        <v>0</v>
      </c>
      <c r="S100" s="9">
        <f>IFERROR(VLOOKUP(B100,cubo!$A$6:$BK$37,61,0)-VLOOKUP(conciliacao_custos!B100,#REF!,15,0),0)</f>
        <v>0</v>
      </c>
    </row>
    <row r="101" spans="2:19" x14ac:dyDescent="0.25">
      <c r="B101" s="7">
        <f>[1]salario!A100</f>
        <v>0</v>
      </c>
      <c r="C101" s="8">
        <f>[1]salario!C100</f>
        <v>0</v>
      </c>
      <c r="D101" s="10">
        <f>IFERROR(VLOOKUP(B101,cubo!$A$6:$BE$37,6,0)-VLOOKUP(B101,#REF!,$D$2,0),0)</f>
        <v>0</v>
      </c>
      <c r="E101" s="10">
        <f>IFERROR(VLOOKUP(B101,cubo!$A$6:$BE$37,9,0)-VLOOKUP(B101,#REF!,$E$2,0),0)</f>
        <v>0</v>
      </c>
      <c r="F101" s="9">
        <f>IFERROR(VLOOKUP(B101,cubo!$A$6:$BE$37,12,0)-VLOOKUP(B101,#REF!,$F$2,0),0)</f>
        <v>0</v>
      </c>
      <c r="G101" s="9">
        <f>IFERROR(VLOOKUP(B101,cubo!$A$6:$BE$37,54,0)-VLOOKUP(B101,#REF!,$G$2,0),0)</f>
        <v>0</v>
      </c>
      <c r="H101" s="10">
        <f>IFERROR(VLOOKUP(B101,cubo!$A$6:$BE$37,15,0)-VLOOKUP(B101,#REF!,$H$2,0),0)</f>
        <v>0</v>
      </c>
      <c r="I101" s="9">
        <f>IFERROR(VLOOKUP(B101,cubo!$A$6:$BE$37,18,0)-VLOOKUP(B101,#REF!,$I$2,0),0)</f>
        <v>0</v>
      </c>
      <c r="J101" s="9">
        <f>IFERROR(VLOOKUP(B101,cubo!$A$6:$BE$37,24,0)-VLOOKUP(B101,#REF!,$J$2,0),0)</f>
        <v>0</v>
      </c>
      <c r="K101" s="9">
        <f>IFERROR(VLOOKUP(B101,cubo!$A$6:$BE$37,34,0)-VLOOKUP(B101,#REF!,$K$2,0),0)</f>
        <v>0</v>
      </c>
      <c r="L101" s="8">
        <f>IFERROR(VLOOKUP(B101,cubo!$A$6:$BE$37,38,0)-VLOOKUP(B101,#REF!,$L$2,0),0)</f>
        <v>0</v>
      </c>
      <c r="M101" s="15">
        <f>IFERROR(VLOOKUP(B101,cubo!$A$6:$BE$37,57,0)-VLOOKUP(B101,#REF!,$M$2,0),0)</f>
        <v>0</v>
      </c>
      <c r="N101" s="9">
        <f>IFERROR(VLOOKUP(B101,cubo!$A$6:$BK$37,41,0)-VLOOKUP(conciliacao_custos!B101,#REF!,18,0),0)</f>
        <v>0</v>
      </c>
      <c r="O101" s="9">
        <f>IFERROR(VLOOKUP(B101,cubo!$A$6:$BK$37,44,0)-VLOOKUP(conciliacao_custos!B101,#REF!,13,0),0)</f>
        <v>0</v>
      </c>
      <c r="P101" s="9">
        <f>IFERROR(VLOOKUP(B101,cubo!$A$6:$BK$37,47,0)-VLOOKUP(conciliacao_custos!B101,#REF!,14,0),0)</f>
        <v>0</v>
      </c>
      <c r="Q101" s="9">
        <f>IFERROR(VLOOKUP(B101,cubo!$A$6:$BK$37,58,0)-VLOOKUP(conciliacao_custos!B101,#REF!,16,0),0)</f>
        <v>0</v>
      </c>
      <c r="R101" s="9">
        <f>IFERROR(VLOOKUP(B101,cubo!$A$6:$BK$37,64,0)-VLOOKUP(conciliacao_custos!B101,#REF!,17,0),0)</f>
        <v>0</v>
      </c>
      <c r="S101" s="9">
        <f>IFERROR(VLOOKUP(B101,cubo!$A$6:$BK$37,61,0)-VLOOKUP(conciliacao_custos!B101,#REF!,15,0),0)</f>
        <v>0</v>
      </c>
    </row>
    <row r="102" spans="2:19" x14ac:dyDescent="0.25">
      <c r="B102" s="7">
        <f>[1]salario!A101</f>
        <v>0</v>
      </c>
      <c r="C102" s="8">
        <f>[1]salario!C101</f>
        <v>0</v>
      </c>
      <c r="D102" s="10">
        <f>IFERROR(VLOOKUP(B102,cubo!$A$6:$BE$37,6,0)-VLOOKUP(B102,#REF!,$D$2,0),0)</f>
        <v>0</v>
      </c>
      <c r="E102" s="10">
        <f>IFERROR(VLOOKUP(B102,cubo!$A$6:$BE$37,9,0)-VLOOKUP(B102,#REF!,$E$2,0),0)</f>
        <v>0</v>
      </c>
      <c r="F102" s="9">
        <f>IFERROR(VLOOKUP(B102,cubo!$A$6:$BE$37,12,0)-VLOOKUP(B102,#REF!,$F$2,0),0)</f>
        <v>0</v>
      </c>
      <c r="G102" s="9">
        <f>IFERROR(VLOOKUP(B102,cubo!$A$6:$BE$37,54,0)-VLOOKUP(B102,#REF!,$G$2,0),0)</f>
        <v>0</v>
      </c>
      <c r="H102" s="10">
        <f>IFERROR(VLOOKUP(B102,cubo!$A$6:$BE$37,15,0)-VLOOKUP(B102,#REF!,$H$2,0),0)</f>
        <v>0</v>
      </c>
      <c r="I102" s="9">
        <f>IFERROR(VLOOKUP(B102,cubo!$A$6:$BE$37,18,0)-VLOOKUP(B102,#REF!,$I$2,0),0)</f>
        <v>0</v>
      </c>
      <c r="J102" s="9">
        <f>IFERROR(VLOOKUP(B102,cubo!$A$6:$BE$37,24,0)-VLOOKUP(B102,#REF!,$J$2,0),0)</f>
        <v>0</v>
      </c>
      <c r="K102" s="9">
        <f>IFERROR(VLOOKUP(B102,cubo!$A$6:$BE$37,34,0)-VLOOKUP(B102,#REF!,$K$2,0),0)</f>
        <v>0</v>
      </c>
      <c r="L102" s="8">
        <f>IFERROR(VLOOKUP(B102,cubo!$A$6:$BE$37,38,0)-VLOOKUP(B102,#REF!,$L$2,0),0)</f>
        <v>0</v>
      </c>
      <c r="M102" s="15">
        <f>IFERROR(VLOOKUP(B102,cubo!$A$6:$BE$37,57,0)-VLOOKUP(B102,#REF!,$M$2,0),0)</f>
        <v>0</v>
      </c>
      <c r="N102" s="9">
        <f>IFERROR(VLOOKUP(B102,cubo!$A$6:$BK$37,41,0)-VLOOKUP(conciliacao_custos!B102,#REF!,18,0),0)</f>
        <v>0</v>
      </c>
      <c r="O102" s="9">
        <f>IFERROR(VLOOKUP(B102,cubo!$A$6:$BK$37,44,0)-VLOOKUP(conciliacao_custos!B102,#REF!,13,0),0)</f>
        <v>0</v>
      </c>
      <c r="P102" s="9">
        <f>IFERROR(VLOOKUP(B102,cubo!$A$6:$BK$37,47,0)-VLOOKUP(conciliacao_custos!B102,#REF!,14,0),0)</f>
        <v>0</v>
      </c>
      <c r="Q102" s="9">
        <f>IFERROR(VLOOKUP(B102,cubo!$A$6:$BK$37,58,0)-VLOOKUP(conciliacao_custos!B102,#REF!,16,0),0)</f>
        <v>0</v>
      </c>
      <c r="R102" s="9">
        <f>IFERROR(VLOOKUP(B102,cubo!$A$6:$BK$37,64,0)-VLOOKUP(conciliacao_custos!B102,#REF!,17,0),0)</f>
        <v>0</v>
      </c>
      <c r="S102" s="9">
        <f>IFERROR(VLOOKUP(B102,cubo!$A$6:$BK$37,61,0)-VLOOKUP(conciliacao_custos!B102,#REF!,15,0),0)</f>
        <v>0</v>
      </c>
    </row>
    <row r="103" spans="2:19" x14ac:dyDescent="0.25">
      <c r="B103" s="7">
        <f>[1]salario!A102</f>
        <v>0</v>
      </c>
      <c r="C103" s="8">
        <f>[1]salario!C102</f>
        <v>0</v>
      </c>
      <c r="D103" s="10">
        <f>IFERROR(VLOOKUP(B103,cubo!$A$6:$BE$37,6,0)-VLOOKUP(B103,#REF!,$D$2,0),0)</f>
        <v>0</v>
      </c>
      <c r="E103" s="10">
        <f>IFERROR(VLOOKUP(B103,cubo!$A$6:$BE$37,9,0)-VLOOKUP(B103,#REF!,$E$2,0),0)</f>
        <v>0</v>
      </c>
      <c r="F103" s="9">
        <f>IFERROR(VLOOKUP(B103,cubo!$A$6:$BE$37,12,0)-VLOOKUP(B103,#REF!,$F$2,0),0)</f>
        <v>0</v>
      </c>
      <c r="G103" s="9">
        <f>IFERROR(VLOOKUP(B103,cubo!$A$6:$BE$37,54,0)-VLOOKUP(B103,#REF!,$G$2,0),0)</f>
        <v>0</v>
      </c>
      <c r="H103" s="10">
        <f>IFERROR(VLOOKUP(B103,cubo!$A$6:$BE$37,15,0)-VLOOKUP(B103,#REF!,$H$2,0),0)</f>
        <v>0</v>
      </c>
      <c r="I103" s="9">
        <f>IFERROR(VLOOKUP(B103,cubo!$A$6:$BE$37,18,0)-VLOOKUP(B103,#REF!,$I$2,0),0)</f>
        <v>0</v>
      </c>
      <c r="J103" s="9">
        <f>IFERROR(VLOOKUP(B103,cubo!$A$6:$BE$37,24,0)-VLOOKUP(B103,#REF!,$J$2,0),0)</f>
        <v>0</v>
      </c>
      <c r="K103" s="9">
        <f>IFERROR(VLOOKUP(B103,cubo!$A$6:$BE$37,34,0)-VLOOKUP(B103,#REF!,$K$2,0),0)</f>
        <v>0</v>
      </c>
      <c r="L103" s="8">
        <f>IFERROR(VLOOKUP(B103,cubo!$A$6:$BE$37,38,0)-VLOOKUP(B103,#REF!,$L$2,0),0)</f>
        <v>0</v>
      </c>
      <c r="M103" s="15">
        <f>IFERROR(VLOOKUP(B103,cubo!$A$6:$BE$37,57,0)-VLOOKUP(B103,#REF!,$M$2,0),0)</f>
        <v>0</v>
      </c>
      <c r="N103" s="9">
        <f>IFERROR(VLOOKUP(B103,cubo!$A$6:$BK$37,41,0)-VLOOKUP(conciliacao_custos!B103,#REF!,18,0),0)</f>
        <v>0</v>
      </c>
      <c r="O103" s="9">
        <f>IFERROR(VLOOKUP(B103,cubo!$A$6:$BK$37,44,0)-VLOOKUP(conciliacao_custos!B103,#REF!,13,0),0)</f>
        <v>0</v>
      </c>
      <c r="P103" s="9">
        <f>IFERROR(VLOOKUP(B103,cubo!$A$6:$BK$37,47,0)-VLOOKUP(conciliacao_custos!B103,#REF!,14,0),0)</f>
        <v>0</v>
      </c>
      <c r="Q103" s="9">
        <f>IFERROR(VLOOKUP(B103,cubo!$A$6:$BK$37,58,0)-VLOOKUP(conciliacao_custos!B103,#REF!,16,0),0)</f>
        <v>0</v>
      </c>
      <c r="R103" s="9">
        <f>IFERROR(VLOOKUP(B103,cubo!$A$6:$BK$37,64,0)-VLOOKUP(conciliacao_custos!B103,#REF!,17,0),0)</f>
        <v>0</v>
      </c>
      <c r="S103" s="9">
        <f>IFERROR(VLOOKUP(B103,cubo!$A$6:$BK$37,61,0)-VLOOKUP(conciliacao_custos!B103,#REF!,15,0),0)</f>
        <v>0</v>
      </c>
    </row>
    <row r="104" spans="2:19" x14ac:dyDescent="0.25">
      <c r="B104" s="7">
        <f>[1]salario!A103</f>
        <v>0</v>
      </c>
      <c r="C104" s="8">
        <f>[1]salario!C103</f>
        <v>0</v>
      </c>
      <c r="D104" s="10">
        <f>IFERROR(VLOOKUP(B104,cubo!$A$6:$BE$37,6,0)-VLOOKUP(B104,#REF!,$D$2,0),0)</f>
        <v>0</v>
      </c>
      <c r="E104" s="10">
        <f>IFERROR(VLOOKUP(B104,cubo!$A$6:$BE$37,9,0)-VLOOKUP(B104,#REF!,$E$2,0),0)</f>
        <v>0</v>
      </c>
      <c r="F104" s="9">
        <f>IFERROR(VLOOKUP(B104,cubo!$A$6:$BE$37,12,0)-VLOOKUP(B104,#REF!,$F$2,0),0)</f>
        <v>0</v>
      </c>
      <c r="G104" s="9">
        <f>IFERROR(VLOOKUP(B104,cubo!$A$6:$BE$37,54,0)-VLOOKUP(B104,#REF!,$G$2,0),0)</f>
        <v>0</v>
      </c>
      <c r="H104" s="10">
        <f>IFERROR(VLOOKUP(B104,cubo!$A$6:$BE$37,15,0)-VLOOKUP(B104,#REF!,$H$2,0),0)</f>
        <v>0</v>
      </c>
      <c r="I104" s="9">
        <f>IFERROR(VLOOKUP(B104,cubo!$A$6:$BE$37,18,0)-VLOOKUP(B104,#REF!,$I$2,0),0)</f>
        <v>0</v>
      </c>
      <c r="J104" s="9">
        <f>IFERROR(VLOOKUP(B104,cubo!$A$6:$BE$37,24,0)-VLOOKUP(B104,#REF!,$J$2,0),0)</f>
        <v>0</v>
      </c>
      <c r="K104" s="9">
        <f>IFERROR(VLOOKUP(B104,cubo!$A$6:$BE$37,34,0)-VLOOKUP(B104,#REF!,$K$2,0),0)</f>
        <v>0</v>
      </c>
      <c r="L104" s="8">
        <f>IFERROR(VLOOKUP(B104,cubo!$A$6:$BE$37,38,0)-VLOOKUP(B104,#REF!,$L$2,0),0)</f>
        <v>0</v>
      </c>
      <c r="M104" s="15">
        <f>IFERROR(VLOOKUP(B104,cubo!$A$6:$BE$37,57,0)-VLOOKUP(B104,#REF!,$M$2,0),0)</f>
        <v>0</v>
      </c>
      <c r="N104" s="9">
        <f>IFERROR(VLOOKUP(B104,cubo!$A$6:$BK$37,41,0)-VLOOKUP(conciliacao_custos!B104,#REF!,18,0),0)</f>
        <v>0</v>
      </c>
      <c r="O104" s="9">
        <f>IFERROR(VLOOKUP(B104,cubo!$A$6:$BK$37,44,0)-VLOOKUP(conciliacao_custos!B104,#REF!,13,0),0)</f>
        <v>0</v>
      </c>
      <c r="P104" s="9">
        <f>IFERROR(VLOOKUP(B104,cubo!$A$6:$BK$37,47,0)-VLOOKUP(conciliacao_custos!B104,#REF!,14,0),0)</f>
        <v>0</v>
      </c>
      <c r="Q104" s="9">
        <f>IFERROR(VLOOKUP(B104,cubo!$A$6:$BK$37,58,0)-VLOOKUP(conciliacao_custos!B104,#REF!,16,0),0)</f>
        <v>0</v>
      </c>
      <c r="R104" s="9">
        <f>IFERROR(VLOOKUP(B104,cubo!$A$6:$BK$37,64,0)-VLOOKUP(conciliacao_custos!B104,#REF!,17,0),0)</f>
        <v>0</v>
      </c>
      <c r="S104" s="9">
        <f>IFERROR(VLOOKUP(B104,cubo!$A$6:$BK$37,61,0)-VLOOKUP(conciliacao_custos!B104,#REF!,15,0),0)</f>
        <v>0</v>
      </c>
    </row>
    <row r="105" spans="2:19" x14ac:dyDescent="0.25">
      <c r="B105" s="7">
        <f>[1]salario!A104</f>
        <v>0</v>
      </c>
      <c r="C105" s="8">
        <f>[1]salario!C104</f>
        <v>0</v>
      </c>
      <c r="D105" s="10">
        <f>IFERROR(VLOOKUP(B105,cubo!$A$6:$BE$37,6,0)-VLOOKUP(B105,#REF!,$D$2,0),0)</f>
        <v>0</v>
      </c>
      <c r="E105" s="10">
        <f>IFERROR(VLOOKUP(B105,cubo!$A$6:$BE$37,9,0)-VLOOKUP(B105,#REF!,$E$2,0),0)</f>
        <v>0</v>
      </c>
      <c r="F105" s="9">
        <f>IFERROR(VLOOKUP(B105,cubo!$A$6:$BE$37,12,0)-VLOOKUP(B105,#REF!,$F$2,0),0)</f>
        <v>0</v>
      </c>
      <c r="G105" s="9">
        <f>IFERROR(VLOOKUP(B105,cubo!$A$6:$BE$37,54,0)-VLOOKUP(B105,#REF!,$G$2,0),0)</f>
        <v>0</v>
      </c>
      <c r="H105" s="10">
        <f>IFERROR(VLOOKUP(B105,cubo!$A$6:$BE$37,15,0)-VLOOKUP(B105,#REF!,$H$2,0),0)</f>
        <v>0</v>
      </c>
      <c r="I105" s="9">
        <f>IFERROR(VLOOKUP(B105,cubo!$A$6:$BE$37,18,0)-VLOOKUP(B105,#REF!,$I$2,0),0)</f>
        <v>0</v>
      </c>
      <c r="J105" s="9">
        <f>IFERROR(VLOOKUP(B105,cubo!$A$6:$BE$37,24,0)-VLOOKUP(B105,#REF!,$J$2,0),0)</f>
        <v>0</v>
      </c>
      <c r="K105" s="9">
        <f>IFERROR(VLOOKUP(B105,cubo!$A$6:$BE$37,34,0)-VLOOKUP(B105,#REF!,$K$2,0),0)</f>
        <v>0</v>
      </c>
      <c r="L105" s="8">
        <f>IFERROR(VLOOKUP(B105,cubo!$A$6:$BE$37,38,0)-VLOOKUP(B105,#REF!,$L$2,0),0)</f>
        <v>0</v>
      </c>
      <c r="M105" s="15">
        <f>IFERROR(VLOOKUP(B105,cubo!$A$6:$BE$37,57,0)-VLOOKUP(B105,#REF!,$M$2,0),0)</f>
        <v>0</v>
      </c>
      <c r="N105" s="9">
        <f>IFERROR(VLOOKUP(B105,cubo!$A$6:$BK$37,41,0)-VLOOKUP(conciliacao_custos!B105,#REF!,18,0),0)</f>
        <v>0</v>
      </c>
      <c r="O105" s="9">
        <f>IFERROR(VLOOKUP(B105,cubo!$A$6:$BK$37,44,0)-VLOOKUP(conciliacao_custos!B105,#REF!,13,0),0)</f>
        <v>0</v>
      </c>
      <c r="P105" s="9">
        <f>IFERROR(VLOOKUP(B105,cubo!$A$6:$BK$37,47,0)-VLOOKUP(conciliacao_custos!B105,#REF!,14,0),0)</f>
        <v>0</v>
      </c>
      <c r="Q105" s="9">
        <f>IFERROR(VLOOKUP(B105,cubo!$A$6:$BK$37,58,0)-VLOOKUP(conciliacao_custos!B105,#REF!,16,0),0)</f>
        <v>0</v>
      </c>
      <c r="R105" s="9">
        <f>IFERROR(VLOOKUP(B105,cubo!$A$6:$BK$37,64,0)-VLOOKUP(conciliacao_custos!B105,#REF!,17,0),0)</f>
        <v>0</v>
      </c>
      <c r="S105" s="9">
        <f>IFERROR(VLOOKUP(B105,cubo!$A$6:$BK$37,61,0)-VLOOKUP(conciliacao_custos!B105,#REF!,15,0),0)</f>
        <v>0</v>
      </c>
    </row>
    <row r="106" spans="2:19" x14ac:dyDescent="0.25">
      <c r="B106" s="7">
        <f>[1]salario!A105</f>
        <v>0</v>
      </c>
      <c r="C106" s="8">
        <f>[1]salario!C105</f>
        <v>0</v>
      </c>
      <c r="D106" s="10">
        <f>IFERROR(VLOOKUP(B106,cubo!$A$6:$BE$37,6,0)-VLOOKUP(B106,#REF!,$D$2,0),0)</f>
        <v>0</v>
      </c>
      <c r="E106" s="10">
        <f>IFERROR(VLOOKUP(B106,cubo!$A$6:$BE$37,9,0)-VLOOKUP(B106,#REF!,$E$2,0),0)</f>
        <v>0</v>
      </c>
      <c r="F106" s="9">
        <f>IFERROR(VLOOKUP(B106,cubo!$A$6:$BE$37,12,0)-VLOOKUP(B106,#REF!,$F$2,0),0)</f>
        <v>0</v>
      </c>
      <c r="G106" s="9">
        <f>IFERROR(VLOOKUP(B106,cubo!$A$6:$BE$37,54,0)-VLOOKUP(B106,#REF!,$G$2,0),0)</f>
        <v>0</v>
      </c>
      <c r="H106" s="10">
        <f>IFERROR(VLOOKUP(B106,cubo!$A$6:$BE$37,15,0)-VLOOKUP(B106,#REF!,$H$2,0),0)</f>
        <v>0</v>
      </c>
      <c r="I106" s="9">
        <f>IFERROR(VLOOKUP(B106,cubo!$A$6:$BE$37,18,0)-VLOOKUP(B106,#REF!,$I$2,0),0)</f>
        <v>0</v>
      </c>
      <c r="J106" s="9">
        <f>IFERROR(VLOOKUP(B106,cubo!$A$6:$BE$37,24,0)-VLOOKUP(B106,#REF!,$J$2,0),0)</f>
        <v>0</v>
      </c>
      <c r="K106" s="9">
        <f>IFERROR(VLOOKUP(B106,cubo!$A$6:$BE$37,34,0)-VLOOKUP(B106,#REF!,$K$2,0),0)</f>
        <v>0</v>
      </c>
      <c r="L106" s="8">
        <f>IFERROR(VLOOKUP(B106,cubo!$A$6:$BE$37,38,0)-VLOOKUP(B106,#REF!,$L$2,0),0)</f>
        <v>0</v>
      </c>
      <c r="M106" s="15">
        <f>IFERROR(VLOOKUP(B106,cubo!$A$6:$BE$37,57,0)-VLOOKUP(B106,#REF!,$M$2,0),0)</f>
        <v>0</v>
      </c>
      <c r="N106" s="9">
        <f>IFERROR(VLOOKUP(B106,cubo!$A$6:$BK$37,41,0)-VLOOKUP(conciliacao_custos!B106,#REF!,18,0),0)</f>
        <v>0</v>
      </c>
      <c r="O106" s="9">
        <f>IFERROR(VLOOKUP(B106,cubo!$A$6:$BK$37,44,0)-VLOOKUP(conciliacao_custos!B106,#REF!,13,0),0)</f>
        <v>0</v>
      </c>
      <c r="P106" s="9">
        <f>IFERROR(VLOOKUP(B106,cubo!$A$6:$BK$37,47,0)-VLOOKUP(conciliacao_custos!B106,#REF!,14,0),0)</f>
        <v>0</v>
      </c>
      <c r="Q106" s="9">
        <f>IFERROR(VLOOKUP(B106,cubo!$A$6:$BK$37,58,0)-VLOOKUP(conciliacao_custos!B106,#REF!,16,0),0)</f>
        <v>0</v>
      </c>
      <c r="R106" s="9">
        <f>IFERROR(VLOOKUP(B106,cubo!$A$6:$BK$37,64,0)-VLOOKUP(conciliacao_custos!B106,#REF!,17,0),0)</f>
        <v>0</v>
      </c>
      <c r="S106" s="9">
        <f>IFERROR(VLOOKUP(B106,cubo!$A$6:$BK$37,61,0)-VLOOKUP(conciliacao_custos!B106,#REF!,15,0),0)</f>
        <v>0</v>
      </c>
    </row>
    <row r="107" spans="2:19" x14ac:dyDescent="0.25">
      <c r="B107" s="7">
        <f>[1]salario!A106</f>
        <v>0</v>
      </c>
      <c r="C107" s="8">
        <f>[1]salario!C106</f>
        <v>0</v>
      </c>
      <c r="D107" s="10">
        <f>IFERROR(VLOOKUP(B107,cubo!$A$6:$BE$37,6,0)-VLOOKUP(B107,#REF!,$D$2,0),0)</f>
        <v>0</v>
      </c>
      <c r="E107" s="10">
        <f>IFERROR(VLOOKUP(B107,cubo!$A$6:$BE$37,9,0)-VLOOKUP(B107,#REF!,$E$2,0),0)</f>
        <v>0</v>
      </c>
      <c r="F107" s="9">
        <f>IFERROR(VLOOKUP(B107,cubo!$A$6:$BE$37,12,0)-VLOOKUP(B107,#REF!,$F$2,0),0)</f>
        <v>0</v>
      </c>
      <c r="G107" s="9">
        <f>IFERROR(VLOOKUP(B107,cubo!$A$6:$BE$37,54,0)-VLOOKUP(B107,#REF!,$G$2,0),0)</f>
        <v>0</v>
      </c>
      <c r="H107" s="10">
        <f>IFERROR(VLOOKUP(B107,cubo!$A$6:$BE$37,15,0)-VLOOKUP(B107,#REF!,$H$2,0),0)</f>
        <v>0</v>
      </c>
      <c r="I107" s="9">
        <f>IFERROR(VLOOKUP(B107,cubo!$A$6:$BE$37,18,0)-VLOOKUP(B107,#REF!,$I$2,0),0)</f>
        <v>0</v>
      </c>
      <c r="J107" s="9">
        <f>IFERROR(VLOOKUP(B107,cubo!$A$6:$BE$37,24,0)-VLOOKUP(B107,#REF!,$J$2,0),0)</f>
        <v>0</v>
      </c>
      <c r="K107" s="9">
        <f>IFERROR(VLOOKUP(B107,cubo!$A$6:$BE$37,34,0)-VLOOKUP(B107,#REF!,$K$2,0),0)</f>
        <v>0</v>
      </c>
      <c r="L107" s="8">
        <f>IFERROR(VLOOKUP(B107,cubo!$A$6:$BE$37,38,0)-VLOOKUP(B107,#REF!,$L$2,0),0)</f>
        <v>0</v>
      </c>
      <c r="M107" s="15">
        <f>IFERROR(VLOOKUP(B107,cubo!$A$6:$BE$37,57,0)-VLOOKUP(B107,#REF!,$M$2,0),0)</f>
        <v>0</v>
      </c>
      <c r="N107" s="9">
        <f>IFERROR(VLOOKUP(B107,cubo!$A$6:$BK$37,41,0)-VLOOKUP(conciliacao_custos!B107,#REF!,18,0),0)</f>
        <v>0</v>
      </c>
      <c r="O107" s="9">
        <f>IFERROR(VLOOKUP(B107,cubo!$A$6:$BK$37,44,0)-VLOOKUP(conciliacao_custos!B107,#REF!,13,0),0)</f>
        <v>0</v>
      </c>
      <c r="P107" s="9">
        <f>IFERROR(VLOOKUP(B107,cubo!$A$6:$BK$37,47,0)-VLOOKUP(conciliacao_custos!B107,#REF!,14,0),0)</f>
        <v>0</v>
      </c>
      <c r="Q107" s="9">
        <f>IFERROR(VLOOKUP(B107,cubo!$A$6:$BK$37,58,0)-VLOOKUP(conciliacao_custos!B107,#REF!,16,0),0)</f>
        <v>0</v>
      </c>
      <c r="R107" s="9">
        <f>IFERROR(VLOOKUP(B107,cubo!$A$6:$BK$37,64,0)-VLOOKUP(conciliacao_custos!B107,#REF!,17,0),0)</f>
        <v>0</v>
      </c>
      <c r="S107" s="9">
        <f>IFERROR(VLOOKUP(B107,cubo!$A$6:$BK$37,61,0)-VLOOKUP(conciliacao_custos!B107,#REF!,15,0),0)</f>
        <v>0</v>
      </c>
    </row>
    <row r="108" spans="2:19" x14ac:dyDescent="0.25">
      <c r="B108" s="7">
        <f>[1]salario!A107</f>
        <v>0</v>
      </c>
      <c r="C108" s="8">
        <f>[1]salario!C107</f>
        <v>0</v>
      </c>
      <c r="D108" s="10">
        <f>IFERROR(VLOOKUP(B108,cubo!$A$6:$BE$37,6,0)-VLOOKUP(B108,#REF!,$D$2,0),0)</f>
        <v>0</v>
      </c>
      <c r="E108" s="10">
        <f>IFERROR(VLOOKUP(B108,cubo!$A$6:$BE$37,9,0)-VLOOKUP(B108,#REF!,$E$2,0),0)</f>
        <v>0</v>
      </c>
      <c r="F108" s="9">
        <f>IFERROR(VLOOKUP(B108,cubo!$A$6:$BE$37,12,0)-VLOOKUP(B108,#REF!,$F$2,0),0)</f>
        <v>0</v>
      </c>
      <c r="G108" s="9">
        <f>IFERROR(VLOOKUP(B108,cubo!$A$6:$BE$37,54,0)-VLOOKUP(B108,#REF!,$G$2,0),0)</f>
        <v>0</v>
      </c>
      <c r="H108" s="10">
        <f>IFERROR(VLOOKUP(B108,cubo!$A$6:$BE$37,15,0)-VLOOKUP(B108,#REF!,$H$2,0),0)</f>
        <v>0</v>
      </c>
      <c r="I108" s="9">
        <f>IFERROR(VLOOKUP(B108,cubo!$A$6:$BE$37,18,0)-VLOOKUP(B108,#REF!,$I$2,0),0)</f>
        <v>0</v>
      </c>
      <c r="J108" s="9">
        <f>IFERROR(VLOOKUP(B108,cubo!$A$6:$BE$37,24,0)-VLOOKUP(B108,#REF!,$J$2,0),0)</f>
        <v>0</v>
      </c>
      <c r="K108" s="9">
        <f>IFERROR(VLOOKUP(B108,cubo!$A$6:$BE$37,34,0)-VLOOKUP(B108,#REF!,$K$2,0),0)</f>
        <v>0</v>
      </c>
      <c r="L108" s="8">
        <f>IFERROR(VLOOKUP(B108,cubo!$A$6:$BE$37,38,0)-VLOOKUP(B108,#REF!,$L$2,0),0)</f>
        <v>0</v>
      </c>
      <c r="M108" s="15">
        <f>IFERROR(VLOOKUP(B108,cubo!$A$6:$BE$37,57,0)-VLOOKUP(B108,#REF!,$M$2,0),0)</f>
        <v>0</v>
      </c>
      <c r="N108" s="9">
        <f>IFERROR(VLOOKUP(B108,cubo!$A$6:$BK$37,41,0)-VLOOKUP(conciliacao_custos!B108,#REF!,18,0),0)</f>
        <v>0</v>
      </c>
      <c r="O108" s="9">
        <f>IFERROR(VLOOKUP(B108,cubo!$A$6:$BK$37,44,0)-VLOOKUP(conciliacao_custos!B108,#REF!,13,0),0)</f>
        <v>0</v>
      </c>
      <c r="P108" s="9">
        <f>IFERROR(VLOOKUP(B108,cubo!$A$6:$BK$37,47,0)-VLOOKUP(conciliacao_custos!B108,#REF!,14,0),0)</f>
        <v>0</v>
      </c>
      <c r="Q108" s="9">
        <f>IFERROR(VLOOKUP(B108,cubo!$A$6:$BK$37,58,0)-VLOOKUP(conciliacao_custos!B108,#REF!,16,0),0)</f>
        <v>0</v>
      </c>
      <c r="R108" s="9">
        <f>IFERROR(VLOOKUP(B108,cubo!$A$6:$BK$37,64,0)-VLOOKUP(conciliacao_custos!B108,#REF!,17,0),0)</f>
        <v>0</v>
      </c>
      <c r="S108" s="9">
        <f>IFERROR(VLOOKUP(B108,cubo!$A$6:$BK$37,61,0)-VLOOKUP(conciliacao_custos!B108,#REF!,15,0),0)</f>
        <v>0</v>
      </c>
    </row>
    <row r="109" spans="2:19" x14ac:dyDescent="0.25">
      <c r="B109" s="7">
        <f>[1]salario!A108</f>
        <v>0</v>
      </c>
      <c r="C109" s="8">
        <f>[1]salario!C108</f>
        <v>0</v>
      </c>
      <c r="D109" s="10">
        <f>IFERROR(VLOOKUP(B109,cubo!$A$6:$BE$37,6,0)-VLOOKUP(B109,#REF!,$D$2,0),0)</f>
        <v>0</v>
      </c>
      <c r="E109" s="10">
        <f>IFERROR(VLOOKUP(B109,cubo!$A$6:$BE$37,9,0)-VLOOKUP(B109,#REF!,$E$2,0),0)</f>
        <v>0</v>
      </c>
      <c r="F109" s="9">
        <f>IFERROR(VLOOKUP(B109,cubo!$A$6:$BE$37,12,0)-VLOOKUP(B109,#REF!,$F$2,0),0)</f>
        <v>0</v>
      </c>
      <c r="G109" s="9">
        <f>IFERROR(VLOOKUP(B109,cubo!$A$6:$BE$37,54,0)-VLOOKUP(B109,#REF!,$G$2,0),0)</f>
        <v>0</v>
      </c>
      <c r="H109" s="10">
        <f>IFERROR(VLOOKUP(B109,cubo!$A$6:$BE$37,15,0)-VLOOKUP(B109,#REF!,$H$2,0),0)</f>
        <v>0</v>
      </c>
      <c r="I109" s="9">
        <f>IFERROR(VLOOKUP(B109,cubo!$A$6:$BE$37,18,0)-VLOOKUP(B109,#REF!,$I$2,0),0)</f>
        <v>0</v>
      </c>
      <c r="J109" s="9">
        <f>IFERROR(VLOOKUP(B109,cubo!$A$6:$BE$37,24,0)-VLOOKUP(B109,#REF!,$J$2,0),0)</f>
        <v>0</v>
      </c>
      <c r="K109" s="9">
        <f>IFERROR(VLOOKUP(B109,cubo!$A$6:$BE$37,34,0)-VLOOKUP(B109,#REF!,$K$2,0),0)</f>
        <v>0</v>
      </c>
      <c r="L109" s="8">
        <f>IFERROR(VLOOKUP(B109,cubo!$A$6:$BE$37,38,0)-VLOOKUP(B109,#REF!,$L$2,0),0)</f>
        <v>0</v>
      </c>
      <c r="M109" s="15">
        <f>IFERROR(VLOOKUP(B109,cubo!$A$6:$BE$37,57,0)-VLOOKUP(B109,#REF!,$M$2,0),0)</f>
        <v>0</v>
      </c>
      <c r="N109" s="9">
        <f>IFERROR(VLOOKUP(B109,cubo!$A$6:$BK$37,41,0)-VLOOKUP(conciliacao_custos!B109,#REF!,18,0),0)</f>
        <v>0</v>
      </c>
      <c r="O109" s="9">
        <f>IFERROR(VLOOKUP(B109,cubo!$A$6:$BK$37,44,0)-VLOOKUP(conciliacao_custos!B109,#REF!,13,0),0)</f>
        <v>0</v>
      </c>
      <c r="P109" s="9">
        <f>IFERROR(VLOOKUP(B109,cubo!$A$6:$BK$37,47,0)-VLOOKUP(conciliacao_custos!B109,#REF!,14,0),0)</f>
        <v>0</v>
      </c>
      <c r="Q109" s="9">
        <f>IFERROR(VLOOKUP(B109,cubo!$A$6:$BK$37,58,0)-VLOOKUP(conciliacao_custos!B109,#REF!,16,0),0)</f>
        <v>0</v>
      </c>
      <c r="R109" s="9">
        <f>IFERROR(VLOOKUP(B109,cubo!$A$6:$BK$37,64,0)-VLOOKUP(conciliacao_custos!B109,#REF!,17,0),0)</f>
        <v>0</v>
      </c>
      <c r="S109" s="9">
        <f>IFERROR(VLOOKUP(B109,cubo!$A$6:$BK$37,61,0)-VLOOKUP(conciliacao_custos!B109,#REF!,15,0),0)</f>
        <v>0</v>
      </c>
    </row>
    <row r="110" spans="2:19" x14ac:dyDescent="0.25">
      <c r="B110" s="7">
        <f>[1]salario!A109</f>
        <v>0</v>
      </c>
      <c r="C110" s="8">
        <f>[1]salario!C109</f>
        <v>0</v>
      </c>
      <c r="D110" s="10">
        <f>IFERROR(VLOOKUP(B110,cubo!$A$6:$BE$37,6,0)-VLOOKUP(B110,#REF!,$D$2,0),0)</f>
        <v>0</v>
      </c>
      <c r="E110" s="10">
        <f>IFERROR(VLOOKUP(B110,cubo!$A$6:$BE$37,9,0)-VLOOKUP(B110,#REF!,$E$2,0),0)</f>
        <v>0</v>
      </c>
      <c r="F110" s="9">
        <f>IFERROR(VLOOKUP(B110,cubo!$A$6:$BE$37,12,0)-VLOOKUP(B110,#REF!,$F$2,0),0)</f>
        <v>0</v>
      </c>
      <c r="G110" s="9">
        <f>IFERROR(VLOOKUP(B110,cubo!$A$6:$BE$37,54,0)-VLOOKUP(B110,#REF!,$G$2,0),0)</f>
        <v>0</v>
      </c>
      <c r="H110" s="10">
        <f>IFERROR(VLOOKUP(B110,cubo!$A$6:$BE$37,15,0)-VLOOKUP(B110,#REF!,$H$2,0),0)</f>
        <v>0</v>
      </c>
      <c r="I110" s="9">
        <f>IFERROR(VLOOKUP(B110,cubo!$A$6:$BE$37,18,0)-VLOOKUP(B110,#REF!,$I$2,0),0)</f>
        <v>0</v>
      </c>
      <c r="J110" s="9">
        <f>IFERROR(VLOOKUP(B110,cubo!$A$6:$BE$37,24,0)-VLOOKUP(B110,#REF!,$J$2,0),0)</f>
        <v>0</v>
      </c>
      <c r="K110" s="9">
        <f>IFERROR(VLOOKUP(B110,cubo!$A$6:$BE$37,34,0)-VLOOKUP(B110,#REF!,$K$2,0),0)</f>
        <v>0</v>
      </c>
      <c r="L110" s="8">
        <f>IFERROR(VLOOKUP(B110,cubo!$A$6:$BE$37,38,0)-VLOOKUP(B110,#REF!,$L$2,0),0)</f>
        <v>0</v>
      </c>
      <c r="M110" s="15">
        <f>IFERROR(VLOOKUP(B110,cubo!$A$6:$BE$37,57,0)-VLOOKUP(B110,#REF!,$M$2,0),0)</f>
        <v>0</v>
      </c>
      <c r="N110" s="9">
        <f>IFERROR(VLOOKUP(B110,cubo!$A$6:$BK$37,41,0)-VLOOKUP(conciliacao_custos!B110,#REF!,18,0),0)</f>
        <v>0</v>
      </c>
      <c r="O110" s="9">
        <f>IFERROR(VLOOKUP(B110,cubo!$A$6:$BK$37,44,0)-VLOOKUP(conciliacao_custos!B110,#REF!,13,0),0)</f>
        <v>0</v>
      </c>
      <c r="P110" s="9">
        <f>IFERROR(VLOOKUP(B110,cubo!$A$6:$BK$37,47,0)-VLOOKUP(conciliacao_custos!B110,#REF!,14,0),0)</f>
        <v>0</v>
      </c>
      <c r="Q110" s="9">
        <f>IFERROR(VLOOKUP(B110,cubo!$A$6:$BK$37,58,0)-VLOOKUP(conciliacao_custos!B110,#REF!,16,0),0)</f>
        <v>0</v>
      </c>
      <c r="R110" s="9">
        <f>IFERROR(VLOOKUP(B110,cubo!$A$6:$BK$37,64,0)-VLOOKUP(conciliacao_custos!B110,#REF!,17,0),0)</f>
        <v>0</v>
      </c>
      <c r="S110" s="9">
        <f>IFERROR(VLOOKUP(B110,cubo!$A$6:$BK$37,61,0)-VLOOKUP(conciliacao_custos!B110,#REF!,15,0),0)</f>
        <v>0</v>
      </c>
    </row>
    <row r="111" spans="2:19" x14ac:dyDescent="0.25">
      <c r="B111" s="7">
        <f>[1]salario!A110</f>
        <v>0</v>
      </c>
      <c r="C111" s="8">
        <f>[1]salario!C110</f>
        <v>0</v>
      </c>
      <c r="D111" s="10">
        <f>IFERROR(VLOOKUP(B111,cubo!$A$6:$BE$37,6,0)-VLOOKUP(B111,#REF!,$D$2,0),0)</f>
        <v>0</v>
      </c>
      <c r="E111" s="10">
        <f>IFERROR(VLOOKUP(B111,cubo!$A$6:$BE$37,9,0)-VLOOKUP(B111,#REF!,$E$2,0),0)</f>
        <v>0</v>
      </c>
      <c r="F111" s="9">
        <f>IFERROR(VLOOKUP(B111,cubo!$A$6:$BE$37,12,0)-VLOOKUP(B111,#REF!,$F$2,0),0)</f>
        <v>0</v>
      </c>
      <c r="G111" s="9">
        <f>IFERROR(VLOOKUP(B111,cubo!$A$6:$BE$37,54,0)-VLOOKUP(B111,#REF!,$G$2,0),0)</f>
        <v>0</v>
      </c>
      <c r="H111" s="10">
        <f>IFERROR(VLOOKUP(B111,cubo!$A$6:$BE$37,15,0)-VLOOKUP(B111,#REF!,$H$2,0),0)</f>
        <v>0</v>
      </c>
      <c r="I111" s="9">
        <f>IFERROR(VLOOKUP(B111,cubo!$A$6:$BE$37,18,0)-VLOOKUP(B111,#REF!,$I$2,0),0)</f>
        <v>0</v>
      </c>
      <c r="J111" s="9">
        <f>IFERROR(VLOOKUP(B111,cubo!$A$6:$BE$37,24,0)-VLOOKUP(B111,#REF!,$J$2,0),0)</f>
        <v>0</v>
      </c>
      <c r="K111" s="9">
        <f>IFERROR(VLOOKUP(B111,cubo!$A$6:$BE$37,34,0)-VLOOKUP(B111,#REF!,$K$2,0),0)</f>
        <v>0</v>
      </c>
      <c r="L111" s="8">
        <f>IFERROR(VLOOKUP(B111,cubo!$A$6:$BE$37,38,0)-VLOOKUP(B111,#REF!,$L$2,0),0)</f>
        <v>0</v>
      </c>
      <c r="M111" s="15">
        <f>IFERROR(VLOOKUP(B111,cubo!$A$6:$BE$37,57,0)-VLOOKUP(B111,#REF!,$M$2,0),0)</f>
        <v>0</v>
      </c>
      <c r="N111" s="9">
        <f>IFERROR(VLOOKUP(B111,cubo!$A$6:$BK$37,41,0)-VLOOKUP(conciliacao_custos!B111,#REF!,18,0),0)</f>
        <v>0</v>
      </c>
      <c r="O111" s="9">
        <f>IFERROR(VLOOKUP(B111,cubo!$A$6:$BK$37,44,0)-VLOOKUP(conciliacao_custos!B111,#REF!,13,0),0)</f>
        <v>0</v>
      </c>
      <c r="P111" s="9">
        <f>IFERROR(VLOOKUP(B111,cubo!$A$6:$BK$37,47,0)-VLOOKUP(conciliacao_custos!B111,#REF!,14,0),0)</f>
        <v>0</v>
      </c>
      <c r="Q111" s="9">
        <f>IFERROR(VLOOKUP(B111,cubo!$A$6:$BK$37,58,0)-VLOOKUP(conciliacao_custos!B111,#REF!,16,0),0)</f>
        <v>0</v>
      </c>
      <c r="R111" s="9">
        <f>IFERROR(VLOOKUP(B111,cubo!$A$6:$BK$37,64,0)-VLOOKUP(conciliacao_custos!B111,#REF!,17,0),0)</f>
        <v>0</v>
      </c>
      <c r="S111" s="9">
        <f>IFERROR(VLOOKUP(B111,cubo!$A$6:$BK$37,61,0)-VLOOKUP(conciliacao_custos!B111,#REF!,15,0),0)</f>
        <v>0</v>
      </c>
    </row>
    <row r="112" spans="2:19" x14ac:dyDescent="0.25">
      <c r="B112" s="7">
        <f>[1]salario!A111</f>
        <v>0</v>
      </c>
      <c r="C112" s="8">
        <f>[1]salario!C111</f>
        <v>0</v>
      </c>
      <c r="D112" s="10">
        <f>IFERROR(VLOOKUP(B112,cubo!$A$6:$BE$37,6,0)-VLOOKUP(B112,#REF!,$D$2,0),0)</f>
        <v>0</v>
      </c>
      <c r="E112" s="10">
        <f>IFERROR(VLOOKUP(B112,cubo!$A$6:$BE$37,9,0)-VLOOKUP(B112,#REF!,$E$2,0),0)</f>
        <v>0</v>
      </c>
      <c r="F112" s="9">
        <f>IFERROR(VLOOKUP(B112,cubo!$A$6:$BE$37,12,0)-VLOOKUP(B112,#REF!,$F$2,0),0)</f>
        <v>0</v>
      </c>
      <c r="G112" s="9">
        <f>IFERROR(VLOOKUP(B112,cubo!$A$6:$BE$37,54,0)-VLOOKUP(B112,#REF!,$G$2,0),0)</f>
        <v>0</v>
      </c>
      <c r="H112" s="10">
        <f>IFERROR(VLOOKUP(B112,cubo!$A$6:$BE$37,15,0)-VLOOKUP(B112,#REF!,$H$2,0),0)</f>
        <v>0</v>
      </c>
      <c r="I112" s="9">
        <f>IFERROR(VLOOKUP(B112,cubo!$A$6:$BE$37,18,0)-VLOOKUP(B112,#REF!,$I$2,0),0)</f>
        <v>0</v>
      </c>
      <c r="J112" s="9">
        <f>IFERROR(VLOOKUP(B112,cubo!$A$6:$BE$37,24,0)-VLOOKUP(B112,#REF!,$J$2,0),0)</f>
        <v>0</v>
      </c>
      <c r="K112" s="9">
        <f>IFERROR(VLOOKUP(B112,cubo!$A$6:$BE$37,34,0)-VLOOKUP(B112,#REF!,$K$2,0),0)</f>
        <v>0</v>
      </c>
      <c r="L112" s="8">
        <f>IFERROR(VLOOKUP(B112,cubo!$A$6:$BE$37,38,0)-VLOOKUP(B112,#REF!,$L$2,0),0)</f>
        <v>0</v>
      </c>
      <c r="M112" s="15">
        <f>IFERROR(VLOOKUP(B112,cubo!$A$6:$BE$37,57,0)-VLOOKUP(B112,#REF!,$M$2,0),0)</f>
        <v>0</v>
      </c>
      <c r="N112" s="9">
        <f>IFERROR(VLOOKUP(B112,cubo!$A$6:$BK$37,41,0)-VLOOKUP(conciliacao_custos!B112,#REF!,18,0),0)</f>
        <v>0</v>
      </c>
      <c r="O112" s="9">
        <f>IFERROR(VLOOKUP(B112,cubo!$A$6:$BK$37,44,0)-VLOOKUP(conciliacao_custos!B112,#REF!,13,0),0)</f>
        <v>0</v>
      </c>
      <c r="P112" s="9">
        <f>IFERROR(VLOOKUP(B112,cubo!$A$6:$BK$37,47,0)-VLOOKUP(conciliacao_custos!B112,#REF!,14,0),0)</f>
        <v>0</v>
      </c>
      <c r="Q112" s="9">
        <f>IFERROR(VLOOKUP(B112,cubo!$A$6:$BK$37,58,0)-VLOOKUP(conciliacao_custos!B112,#REF!,16,0),0)</f>
        <v>0</v>
      </c>
      <c r="R112" s="9">
        <f>IFERROR(VLOOKUP(B112,cubo!$A$6:$BK$37,64,0)-VLOOKUP(conciliacao_custos!B112,#REF!,17,0),0)</f>
        <v>0</v>
      </c>
      <c r="S112" s="9">
        <f>IFERROR(VLOOKUP(B112,cubo!$A$6:$BK$37,61,0)-VLOOKUP(conciliacao_custos!B112,#REF!,15,0),0)</f>
        <v>0</v>
      </c>
    </row>
    <row r="113" spans="2:19" x14ac:dyDescent="0.25">
      <c r="B113" s="7">
        <f>[1]salario!A112</f>
        <v>0</v>
      </c>
      <c r="C113" s="8">
        <f>[1]salario!C112</f>
        <v>0</v>
      </c>
      <c r="D113" s="10">
        <f>IFERROR(VLOOKUP(B113,cubo!$A$6:$BE$37,6,0)-VLOOKUP(B113,#REF!,$D$2,0),0)</f>
        <v>0</v>
      </c>
      <c r="E113" s="10">
        <f>IFERROR(VLOOKUP(B113,cubo!$A$6:$BE$37,9,0)-VLOOKUP(B113,#REF!,$E$2,0),0)</f>
        <v>0</v>
      </c>
      <c r="F113" s="9">
        <f>IFERROR(VLOOKUP(B113,cubo!$A$6:$BE$37,12,0)-VLOOKUP(B113,#REF!,$F$2,0),0)</f>
        <v>0</v>
      </c>
      <c r="G113" s="9">
        <f>IFERROR(VLOOKUP(B113,cubo!$A$6:$BE$37,54,0)-VLOOKUP(B113,#REF!,$G$2,0),0)</f>
        <v>0</v>
      </c>
      <c r="H113" s="10">
        <f>IFERROR(VLOOKUP(B113,cubo!$A$6:$BE$37,15,0)-VLOOKUP(B113,#REF!,$H$2,0),0)</f>
        <v>0</v>
      </c>
      <c r="I113" s="9">
        <f>IFERROR(VLOOKUP(B113,cubo!$A$6:$BE$37,18,0)-VLOOKUP(B113,#REF!,$I$2,0),0)</f>
        <v>0</v>
      </c>
      <c r="J113" s="9">
        <f>IFERROR(VLOOKUP(B113,cubo!$A$6:$BE$37,24,0)-VLOOKUP(B113,#REF!,$J$2,0),0)</f>
        <v>0</v>
      </c>
      <c r="K113" s="9">
        <f>IFERROR(VLOOKUP(B113,cubo!$A$6:$BE$37,34,0)-VLOOKUP(B113,#REF!,$K$2,0),0)</f>
        <v>0</v>
      </c>
      <c r="L113" s="8">
        <f>IFERROR(VLOOKUP(B113,cubo!$A$6:$BE$37,38,0)-VLOOKUP(B113,#REF!,$L$2,0),0)</f>
        <v>0</v>
      </c>
      <c r="M113" s="15">
        <f>IFERROR(VLOOKUP(B113,cubo!$A$6:$BE$37,57,0)-VLOOKUP(B113,#REF!,$M$2,0),0)</f>
        <v>0</v>
      </c>
      <c r="N113" s="9">
        <f>IFERROR(VLOOKUP(B113,cubo!$A$6:$BK$37,41,0)-VLOOKUP(conciliacao_custos!B113,#REF!,18,0),0)</f>
        <v>0</v>
      </c>
      <c r="O113" s="9">
        <f>IFERROR(VLOOKUP(B113,cubo!$A$6:$BK$37,44,0)-VLOOKUP(conciliacao_custos!B113,#REF!,13,0),0)</f>
        <v>0</v>
      </c>
      <c r="P113" s="9">
        <f>IFERROR(VLOOKUP(B113,cubo!$A$6:$BK$37,47,0)-VLOOKUP(conciliacao_custos!B113,#REF!,14,0),0)</f>
        <v>0</v>
      </c>
      <c r="Q113" s="9">
        <f>IFERROR(VLOOKUP(B113,cubo!$A$6:$BK$37,58,0)-VLOOKUP(conciliacao_custos!B113,#REF!,16,0),0)</f>
        <v>0</v>
      </c>
      <c r="R113" s="9">
        <f>IFERROR(VLOOKUP(B113,cubo!$A$6:$BK$37,64,0)-VLOOKUP(conciliacao_custos!B113,#REF!,17,0),0)</f>
        <v>0</v>
      </c>
      <c r="S113" s="9">
        <f>IFERROR(VLOOKUP(B113,cubo!$A$6:$BK$37,61,0)-VLOOKUP(conciliacao_custos!B113,#REF!,15,0),0)</f>
        <v>0</v>
      </c>
    </row>
    <row r="114" spans="2:19" x14ac:dyDescent="0.25">
      <c r="B114" s="7">
        <f>[1]salario!A113</f>
        <v>0</v>
      </c>
      <c r="C114" s="8">
        <f>[1]salario!C113</f>
        <v>0</v>
      </c>
      <c r="D114" s="10">
        <f>IFERROR(VLOOKUP(B114,cubo!$A$6:$BE$37,6,0)-VLOOKUP(B114,#REF!,$D$2,0),0)</f>
        <v>0</v>
      </c>
      <c r="E114" s="10">
        <f>IFERROR(VLOOKUP(B114,cubo!$A$6:$BE$37,9,0)-VLOOKUP(B114,#REF!,$E$2,0),0)</f>
        <v>0</v>
      </c>
      <c r="F114" s="9">
        <f>IFERROR(VLOOKUP(B114,cubo!$A$6:$BE$37,12,0)-VLOOKUP(B114,#REF!,$F$2,0),0)</f>
        <v>0</v>
      </c>
      <c r="G114" s="9">
        <f>IFERROR(VLOOKUP(B114,cubo!$A$6:$BE$37,54,0)-VLOOKUP(B114,#REF!,$G$2,0),0)</f>
        <v>0</v>
      </c>
      <c r="H114" s="10">
        <f>IFERROR(VLOOKUP(B114,cubo!$A$6:$BE$37,15,0)-VLOOKUP(B114,#REF!,$H$2,0),0)</f>
        <v>0</v>
      </c>
      <c r="I114" s="9">
        <f>IFERROR(VLOOKUP(B114,cubo!$A$6:$BE$37,18,0)-VLOOKUP(B114,#REF!,$I$2,0),0)</f>
        <v>0</v>
      </c>
      <c r="J114" s="9">
        <f>IFERROR(VLOOKUP(B114,cubo!$A$6:$BE$37,24,0)-VLOOKUP(B114,#REF!,$J$2,0),0)</f>
        <v>0</v>
      </c>
      <c r="K114" s="9">
        <f>IFERROR(VLOOKUP(B114,cubo!$A$6:$BE$37,34,0)-VLOOKUP(B114,#REF!,$K$2,0),0)</f>
        <v>0</v>
      </c>
      <c r="L114" s="8">
        <f>IFERROR(VLOOKUP(B114,cubo!$A$6:$BE$37,38,0)-VLOOKUP(B114,#REF!,$L$2,0),0)</f>
        <v>0</v>
      </c>
      <c r="M114" s="15">
        <f>IFERROR(VLOOKUP(B114,cubo!$A$6:$BE$37,57,0)-VLOOKUP(B114,#REF!,$M$2,0),0)</f>
        <v>0</v>
      </c>
      <c r="N114" s="9">
        <f>IFERROR(VLOOKUP(B114,cubo!$A$6:$BK$37,41,0)-VLOOKUP(conciliacao_custos!B114,#REF!,18,0),0)</f>
        <v>0</v>
      </c>
      <c r="O114" s="9">
        <f>IFERROR(VLOOKUP(B114,cubo!$A$6:$BK$37,44,0)-VLOOKUP(conciliacao_custos!B114,#REF!,13,0),0)</f>
        <v>0</v>
      </c>
      <c r="P114" s="9">
        <f>IFERROR(VLOOKUP(B114,cubo!$A$6:$BK$37,47,0)-VLOOKUP(conciliacao_custos!B114,#REF!,14,0),0)</f>
        <v>0</v>
      </c>
      <c r="Q114" s="9">
        <f>IFERROR(VLOOKUP(B114,cubo!$A$6:$BK$37,58,0)-VLOOKUP(conciliacao_custos!B114,#REF!,16,0),0)</f>
        <v>0</v>
      </c>
      <c r="R114" s="9">
        <f>IFERROR(VLOOKUP(B114,cubo!$A$6:$BK$37,64,0)-VLOOKUP(conciliacao_custos!B114,#REF!,17,0),0)</f>
        <v>0</v>
      </c>
      <c r="S114" s="9">
        <f>IFERROR(VLOOKUP(B114,cubo!$A$6:$BK$37,61,0)-VLOOKUP(conciliacao_custos!B114,#REF!,15,0),0)</f>
        <v>0</v>
      </c>
    </row>
    <row r="115" spans="2:19" x14ac:dyDescent="0.25">
      <c r="B115" s="7">
        <f>[1]salario!A114</f>
        <v>0</v>
      </c>
      <c r="C115" s="8">
        <f>[1]salario!C114</f>
        <v>0</v>
      </c>
      <c r="D115" s="10">
        <f>IFERROR(VLOOKUP(B115,cubo!$A$6:$BE$37,6,0)-VLOOKUP(B115,#REF!,$D$2,0),0)</f>
        <v>0</v>
      </c>
      <c r="E115" s="10">
        <f>IFERROR(VLOOKUP(B115,cubo!$A$6:$BE$37,9,0)-VLOOKUP(B115,#REF!,$E$2,0),0)</f>
        <v>0</v>
      </c>
      <c r="F115" s="9">
        <f>IFERROR(VLOOKUP(B115,cubo!$A$6:$BE$37,12,0)-VLOOKUP(B115,#REF!,$F$2,0),0)</f>
        <v>0</v>
      </c>
      <c r="G115" s="9">
        <f>IFERROR(VLOOKUP(B115,cubo!$A$6:$BE$37,54,0)-VLOOKUP(B115,#REF!,$G$2,0),0)</f>
        <v>0</v>
      </c>
      <c r="H115" s="10">
        <f>IFERROR(VLOOKUP(B115,cubo!$A$6:$BE$37,15,0)-VLOOKUP(B115,#REF!,$H$2,0),0)</f>
        <v>0</v>
      </c>
      <c r="I115" s="9">
        <f>IFERROR(VLOOKUP(B115,cubo!$A$6:$BE$37,18,0)-VLOOKUP(B115,#REF!,$I$2,0),0)</f>
        <v>0</v>
      </c>
      <c r="J115" s="9">
        <f>IFERROR(VLOOKUP(B115,cubo!$A$6:$BE$37,24,0)-VLOOKUP(B115,#REF!,$J$2,0),0)</f>
        <v>0</v>
      </c>
      <c r="K115" s="9">
        <f>IFERROR(VLOOKUP(B115,cubo!$A$6:$BE$37,34,0)-VLOOKUP(B115,#REF!,$K$2,0),0)</f>
        <v>0</v>
      </c>
      <c r="L115" s="8">
        <f>IFERROR(VLOOKUP(B115,cubo!$A$6:$BE$37,38,0)-VLOOKUP(B115,#REF!,$L$2,0),0)</f>
        <v>0</v>
      </c>
      <c r="M115" s="15">
        <f>IFERROR(VLOOKUP(B115,cubo!$A$6:$BE$37,57,0)-VLOOKUP(B115,#REF!,$M$2,0),0)</f>
        <v>0</v>
      </c>
      <c r="N115" s="9">
        <f>IFERROR(VLOOKUP(B115,cubo!$A$6:$BK$37,41,0)-VLOOKUP(conciliacao_custos!B115,#REF!,18,0),0)</f>
        <v>0</v>
      </c>
      <c r="O115" s="9">
        <f>IFERROR(VLOOKUP(B115,cubo!$A$6:$BK$37,44,0)-VLOOKUP(conciliacao_custos!B115,#REF!,13,0),0)</f>
        <v>0</v>
      </c>
      <c r="P115" s="9">
        <f>IFERROR(VLOOKUP(B115,cubo!$A$6:$BK$37,47,0)-VLOOKUP(conciliacao_custos!B115,#REF!,14,0),0)</f>
        <v>0</v>
      </c>
      <c r="Q115" s="9">
        <f>IFERROR(VLOOKUP(B115,cubo!$A$6:$BK$37,58,0)-VLOOKUP(conciliacao_custos!B115,#REF!,16,0),0)</f>
        <v>0</v>
      </c>
      <c r="R115" s="9">
        <f>IFERROR(VLOOKUP(B115,cubo!$A$6:$BK$37,64,0)-VLOOKUP(conciliacao_custos!B115,#REF!,17,0),0)</f>
        <v>0</v>
      </c>
      <c r="S115" s="9">
        <f>IFERROR(VLOOKUP(B115,cubo!$A$6:$BK$37,61,0)-VLOOKUP(conciliacao_custos!B115,#REF!,15,0),0)</f>
        <v>0</v>
      </c>
    </row>
    <row r="116" spans="2:19" x14ac:dyDescent="0.25">
      <c r="B116" s="7">
        <f>[1]salario!A115</f>
        <v>0</v>
      </c>
      <c r="C116" s="8">
        <f>[1]salario!C115</f>
        <v>0</v>
      </c>
      <c r="D116" s="10">
        <f>IFERROR(VLOOKUP(B116,cubo!$A$6:$BE$37,6,0)-VLOOKUP(B116,#REF!,$D$2,0),0)</f>
        <v>0</v>
      </c>
      <c r="E116" s="10">
        <f>IFERROR(VLOOKUP(B116,cubo!$A$6:$BE$37,9,0)-VLOOKUP(B116,#REF!,$E$2,0),0)</f>
        <v>0</v>
      </c>
      <c r="F116" s="9">
        <f>IFERROR(VLOOKUP(B116,cubo!$A$6:$BE$37,12,0)-VLOOKUP(B116,#REF!,$F$2,0),0)</f>
        <v>0</v>
      </c>
      <c r="G116" s="9">
        <f>IFERROR(VLOOKUP(B116,cubo!$A$6:$BE$37,54,0)-VLOOKUP(B116,#REF!,$G$2,0),0)</f>
        <v>0</v>
      </c>
      <c r="H116" s="10">
        <f>IFERROR(VLOOKUP(B116,cubo!$A$6:$BE$37,15,0)-VLOOKUP(B116,#REF!,$H$2,0),0)</f>
        <v>0</v>
      </c>
      <c r="I116" s="9">
        <f>IFERROR(VLOOKUP(B116,cubo!$A$6:$BE$37,18,0)-VLOOKUP(B116,#REF!,$I$2,0),0)</f>
        <v>0</v>
      </c>
      <c r="J116" s="9">
        <f>IFERROR(VLOOKUP(B116,cubo!$A$6:$BE$37,24,0)-VLOOKUP(B116,#REF!,$J$2,0),0)</f>
        <v>0</v>
      </c>
      <c r="K116" s="9">
        <f>IFERROR(VLOOKUP(B116,cubo!$A$6:$BE$37,34,0)-VLOOKUP(B116,#REF!,$K$2,0),0)</f>
        <v>0</v>
      </c>
      <c r="L116" s="8">
        <f>IFERROR(VLOOKUP(B116,cubo!$A$6:$BE$37,38,0)-VLOOKUP(B116,#REF!,$L$2,0),0)</f>
        <v>0</v>
      </c>
      <c r="M116" s="15">
        <f>IFERROR(VLOOKUP(B116,cubo!$A$6:$BE$37,57,0)-VLOOKUP(B116,#REF!,$M$2,0),0)</f>
        <v>0</v>
      </c>
      <c r="N116" s="9">
        <f>IFERROR(VLOOKUP(B116,cubo!$A$6:$BK$37,41,0)-VLOOKUP(conciliacao_custos!B116,#REF!,18,0),0)</f>
        <v>0</v>
      </c>
      <c r="O116" s="9">
        <f>IFERROR(VLOOKUP(B116,cubo!$A$6:$BK$37,44,0)-VLOOKUP(conciliacao_custos!B116,#REF!,13,0),0)</f>
        <v>0</v>
      </c>
      <c r="P116" s="9">
        <f>IFERROR(VLOOKUP(B116,cubo!$A$6:$BK$37,47,0)-VLOOKUP(conciliacao_custos!B116,#REF!,14,0),0)</f>
        <v>0</v>
      </c>
      <c r="Q116" s="9">
        <f>IFERROR(VLOOKUP(B116,cubo!$A$6:$BK$37,58,0)-VLOOKUP(conciliacao_custos!B116,#REF!,16,0),0)</f>
        <v>0</v>
      </c>
      <c r="R116" s="9">
        <f>IFERROR(VLOOKUP(B116,cubo!$A$6:$BK$37,64,0)-VLOOKUP(conciliacao_custos!B116,#REF!,17,0),0)</f>
        <v>0</v>
      </c>
      <c r="S116" s="9">
        <f>IFERROR(VLOOKUP(B116,cubo!$A$6:$BK$37,61,0)-VLOOKUP(conciliacao_custos!B116,#REF!,15,0),0)</f>
        <v>0</v>
      </c>
    </row>
    <row r="117" spans="2:19" x14ac:dyDescent="0.25">
      <c r="B117" s="7">
        <f>[1]salario!A116</f>
        <v>0</v>
      </c>
      <c r="C117" s="8">
        <f>[1]salario!C116</f>
        <v>0</v>
      </c>
      <c r="D117" s="10">
        <f>IFERROR(VLOOKUP(B117,cubo!$A$6:$BE$37,6,0)-VLOOKUP(B117,#REF!,$D$2,0),0)</f>
        <v>0</v>
      </c>
      <c r="E117" s="10">
        <f>IFERROR(VLOOKUP(B117,cubo!$A$6:$BE$37,9,0)-VLOOKUP(B117,#REF!,$E$2,0),0)</f>
        <v>0</v>
      </c>
      <c r="F117" s="9">
        <f>IFERROR(VLOOKUP(B117,cubo!$A$6:$BE$37,12,0)-VLOOKUP(B117,#REF!,$F$2,0),0)</f>
        <v>0</v>
      </c>
      <c r="G117" s="9">
        <f>IFERROR(VLOOKUP(B117,cubo!$A$6:$BE$37,54,0)-VLOOKUP(B117,#REF!,$G$2,0),0)</f>
        <v>0</v>
      </c>
      <c r="H117" s="10">
        <f>IFERROR(VLOOKUP(B117,cubo!$A$6:$BE$37,15,0)-VLOOKUP(B117,#REF!,$H$2,0),0)</f>
        <v>0</v>
      </c>
      <c r="I117" s="9">
        <f>IFERROR(VLOOKUP(B117,cubo!$A$6:$BE$37,18,0)-VLOOKUP(B117,#REF!,$I$2,0),0)</f>
        <v>0</v>
      </c>
      <c r="J117" s="9">
        <f>IFERROR(VLOOKUP(B117,cubo!$A$6:$BE$37,24,0)-VLOOKUP(B117,#REF!,$J$2,0),0)</f>
        <v>0</v>
      </c>
      <c r="K117" s="9">
        <f>IFERROR(VLOOKUP(B117,cubo!$A$6:$BE$37,34,0)-VLOOKUP(B117,#REF!,$K$2,0),0)</f>
        <v>0</v>
      </c>
      <c r="L117" s="8">
        <f>IFERROR(VLOOKUP(B117,cubo!$A$6:$BE$37,38,0)-VLOOKUP(B117,#REF!,$L$2,0),0)</f>
        <v>0</v>
      </c>
      <c r="M117" s="15">
        <f>IFERROR(VLOOKUP(B117,cubo!$A$6:$BE$37,57,0)-VLOOKUP(B117,#REF!,$M$2,0),0)</f>
        <v>0</v>
      </c>
      <c r="N117" s="9">
        <f>IFERROR(VLOOKUP(B117,cubo!$A$6:$BK$37,41,0)-VLOOKUP(conciliacao_custos!B117,#REF!,18,0),0)</f>
        <v>0</v>
      </c>
      <c r="O117" s="9">
        <f>IFERROR(VLOOKUP(B117,cubo!$A$6:$BK$37,44,0)-VLOOKUP(conciliacao_custos!B117,#REF!,13,0),0)</f>
        <v>0</v>
      </c>
      <c r="P117" s="9">
        <f>IFERROR(VLOOKUP(B117,cubo!$A$6:$BK$37,47,0)-VLOOKUP(conciliacao_custos!B117,#REF!,14,0),0)</f>
        <v>0</v>
      </c>
      <c r="Q117" s="9">
        <f>IFERROR(VLOOKUP(B117,cubo!$A$6:$BK$37,58,0)-VLOOKUP(conciliacao_custos!B117,#REF!,16,0),0)</f>
        <v>0</v>
      </c>
      <c r="R117" s="9">
        <f>IFERROR(VLOOKUP(B117,cubo!$A$6:$BK$37,64,0)-VLOOKUP(conciliacao_custos!B117,#REF!,17,0),0)</f>
        <v>0</v>
      </c>
      <c r="S117" s="9">
        <f>IFERROR(VLOOKUP(B117,cubo!$A$6:$BK$37,61,0)-VLOOKUP(conciliacao_custos!B117,#REF!,15,0),0)</f>
        <v>0</v>
      </c>
    </row>
    <row r="118" spans="2:19" x14ac:dyDescent="0.25">
      <c r="B118" s="7">
        <f>[1]salario!A117</f>
        <v>0</v>
      </c>
      <c r="C118" s="8">
        <f>[1]salario!C117</f>
        <v>0</v>
      </c>
      <c r="D118" s="10">
        <f>IFERROR(VLOOKUP(B118,cubo!$A$6:$BE$37,6,0)-VLOOKUP(B118,#REF!,$D$2,0),0)</f>
        <v>0</v>
      </c>
      <c r="E118" s="10">
        <f>IFERROR(VLOOKUP(B118,cubo!$A$6:$BE$37,9,0)-VLOOKUP(B118,#REF!,$E$2,0),0)</f>
        <v>0</v>
      </c>
      <c r="F118" s="9">
        <f>IFERROR(VLOOKUP(B118,cubo!$A$6:$BE$37,12,0)-VLOOKUP(B118,#REF!,$F$2,0),0)</f>
        <v>0</v>
      </c>
      <c r="G118" s="9">
        <f>IFERROR(VLOOKUP(B118,cubo!$A$6:$BE$37,54,0)-VLOOKUP(B118,#REF!,$G$2,0),0)</f>
        <v>0</v>
      </c>
      <c r="H118" s="10">
        <f>IFERROR(VLOOKUP(B118,cubo!$A$6:$BE$37,15,0)-VLOOKUP(B118,#REF!,$H$2,0),0)</f>
        <v>0</v>
      </c>
      <c r="I118" s="9">
        <f>IFERROR(VLOOKUP(B118,cubo!$A$6:$BE$37,18,0)-VLOOKUP(B118,#REF!,$I$2,0),0)</f>
        <v>0</v>
      </c>
      <c r="J118" s="9">
        <f>IFERROR(VLOOKUP(B118,cubo!$A$6:$BE$37,24,0)-VLOOKUP(B118,#REF!,$J$2,0),0)</f>
        <v>0</v>
      </c>
      <c r="K118" s="9">
        <f>IFERROR(VLOOKUP(B118,cubo!$A$6:$BE$37,34,0)-VLOOKUP(B118,#REF!,$K$2,0),0)</f>
        <v>0</v>
      </c>
      <c r="L118" s="8">
        <f>IFERROR(VLOOKUP(B118,cubo!$A$6:$BE$37,38,0)-VLOOKUP(B118,#REF!,$L$2,0),0)</f>
        <v>0</v>
      </c>
      <c r="M118" s="15">
        <f>IFERROR(VLOOKUP(B118,cubo!$A$6:$BE$37,57,0)-VLOOKUP(B118,#REF!,$M$2,0),0)</f>
        <v>0</v>
      </c>
      <c r="N118" s="9">
        <f>IFERROR(VLOOKUP(B118,cubo!$A$6:$BK$37,41,0)-VLOOKUP(conciliacao_custos!B118,#REF!,18,0),0)</f>
        <v>0</v>
      </c>
      <c r="O118" s="9">
        <f>IFERROR(VLOOKUP(B118,cubo!$A$6:$BK$37,44,0)-VLOOKUP(conciliacao_custos!B118,#REF!,13,0),0)</f>
        <v>0</v>
      </c>
      <c r="P118" s="9">
        <f>IFERROR(VLOOKUP(B118,cubo!$A$6:$BK$37,47,0)-VLOOKUP(conciliacao_custos!B118,#REF!,14,0),0)</f>
        <v>0</v>
      </c>
      <c r="Q118" s="9">
        <f>IFERROR(VLOOKUP(B118,cubo!$A$6:$BK$37,58,0)-VLOOKUP(conciliacao_custos!B118,#REF!,16,0),0)</f>
        <v>0</v>
      </c>
      <c r="R118" s="9">
        <f>IFERROR(VLOOKUP(B118,cubo!$A$6:$BK$37,64,0)-VLOOKUP(conciliacao_custos!B118,#REF!,17,0),0)</f>
        <v>0</v>
      </c>
      <c r="S118" s="9">
        <f>IFERROR(VLOOKUP(B118,cubo!$A$6:$BK$37,61,0)-VLOOKUP(conciliacao_custos!B118,#REF!,15,0),0)</f>
        <v>0</v>
      </c>
    </row>
    <row r="119" spans="2:19" x14ac:dyDescent="0.25">
      <c r="B119" s="7">
        <f>[1]salario!A118</f>
        <v>0</v>
      </c>
      <c r="C119" s="8">
        <f>[1]salario!C118</f>
        <v>0</v>
      </c>
      <c r="D119" s="10">
        <f>IFERROR(VLOOKUP(B119,cubo!$A$6:$BE$37,6,0)-VLOOKUP(B119,#REF!,$D$2,0),0)</f>
        <v>0</v>
      </c>
      <c r="E119" s="10">
        <f>IFERROR(VLOOKUP(B119,cubo!$A$6:$BE$37,9,0)-VLOOKUP(B119,#REF!,$E$2,0),0)</f>
        <v>0</v>
      </c>
      <c r="F119" s="9">
        <f>IFERROR(VLOOKUP(B119,cubo!$A$6:$BE$37,12,0)-VLOOKUP(B119,#REF!,$F$2,0),0)</f>
        <v>0</v>
      </c>
      <c r="G119" s="9">
        <f>IFERROR(VLOOKUP(B119,cubo!$A$6:$BE$37,54,0)-VLOOKUP(B119,#REF!,$G$2,0),0)</f>
        <v>0</v>
      </c>
      <c r="H119" s="10">
        <f>IFERROR(VLOOKUP(B119,cubo!$A$6:$BE$37,15,0)-VLOOKUP(B119,#REF!,$H$2,0),0)</f>
        <v>0</v>
      </c>
      <c r="I119" s="9">
        <f>IFERROR(VLOOKUP(B119,cubo!$A$6:$BE$37,18,0)-VLOOKUP(B119,#REF!,$I$2,0),0)</f>
        <v>0</v>
      </c>
      <c r="J119" s="9">
        <f>IFERROR(VLOOKUP(B119,cubo!$A$6:$BE$37,24,0)-VLOOKUP(B119,#REF!,$J$2,0),0)</f>
        <v>0</v>
      </c>
      <c r="K119" s="9">
        <f>IFERROR(VLOOKUP(B119,cubo!$A$6:$BE$37,34,0)-VLOOKUP(B119,#REF!,$K$2,0),0)</f>
        <v>0</v>
      </c>
      <c r="L119" s="8">
        <f>IFERROR(VLOOKUP(B119,cubo!$A$6:$BE$37,38,0)-VLOOKUP(B119,#REF!,$L$2,0),0)</f>
        <v>0</v>
      </c>
      <c r="M119" s="15">
        <f>IFERROR(VLOOKUP(B119,cubo!$A$6:$BE$37,57,0)-VLOOKUP(B119,#REF!,$M$2,0),0)</f>
        <v>0</v>
      </c>
      <c r="N119" s="9">
        <f>IFERROR(VLOOKUP(B119,cubo!$A$6:$BK$37,41,0)-VLOOKUP(conciliacao_custos!B119,#REF!,18,0),0)</f>
        <v>0</v>
      </c>
      <c r="O119" s="9">
        <f>IFERROR(VLOOKUP(B119,cubo!$A$6:$BK$37,44,0)-VLOOKUP(conciliacao_custos!B119,#REF!,13,0),0)</f>
        <v>0</v>
      </c>
      <c r="P119" s="9">
        <f>IFERROR(VLOOKUP(B119,cubo!$A$6:$BK$37,47,0)-VLOOKUP(conciliacao_custos!B119,#REF!,14,0),0)</f>
        <v>0</v>
      </c>
      <c r="Q119" s="9">
        <f>IFERROR(VLOOKUP(B119,cubo!$A$6:$BK$37,58,0)-VLOOKUP(conciliacao_custos!B119,#REF!,16,0),0)</f>
        <v>0</v>
      </c>
      <c r="R119" s="9">
        <f>IFERROR(VLOOKUP(B119,cubo!$A$6:$BK$37,64,0)-VLOOKUP(conciliacao_custos!B119,#REF!,17,0),0)</f>
        <v>0</v>
      </c>
      <c r="S119" s="9">
        <f>IFERROR(VLOOKUP(B119,cubo!$A$6:$BK$37,61,0)-VLOOKUP(conciliacao_custos!B119,#REF!,15,0),0)</f>
        <v>0</v>
      </c>
    </row>
    <row r="120" spans="2:19" x14ac:dyDescent="0.25">
      <c r="B120" s="7">
        <f>[1]salario!A119</f>
        <v>0</v>
      </c>
      <c r="C120" s="8">
        <f>[1]salario!C119</f>
        <v>0</v>
      </c>
      <c r="D120" s="10">
        <f>IFERROR(VLOOKUP(B120,cubo!$A$6:$BE$37,6,0)-VLOOKUP(B120,#REF!,$D$2,0),0)</f>
        <v>0</v>
      </c>
      <c r="E120" s="10">
        <f>IFERROR(VLOOKUP(B120,cubo!$A$6:$BE$37,9,0)-VLOOKUP(B120,#REF!,$E$2,0),0)</f>
        <v>0</v>
      </c>
      <c r="F120" s="9">
        <f>IFERROR(VLOOKUP(B120,cubo!$A$6:$BE$37,12,0)-VLOOKUP(B120,#REF!,$F$2,0),0)</f>
        <v>0</v>
      </c>
      <c r="G120" s="9">
        <f>IFERROR(VLOOKUP(B120,cubo!$A$6:$BE$37,54,0)-VLOOKUP(B120,#REF!,$G$2,0),0)</f>
        <v>0</v>
      </c>
      <c r="H120" s="10">
        <f>IFERROR(VLOOKUP(B120,cubo!$A$6:$BE$37,15,0)-VLOOKUP(B120,#REF!,$H$2,0),0)</f>
        <v>0</v>
      </c>
      <c r="I120" s="9">
        <f>IFERROR(VLOOKUP(B120,cubo!$A$6:$BE$37,18,0)-VLOOKUP(B120,#REF!,$I$2,0),0)</f>
        <v>0</v>
      </c>
      <c r="J120" s="9">
        <f>IFERROR(VLOOKUP(B120,cubo!$A$6:$BE$37,24,0)-VLOOKUP(B120,#REF!,$J$2,0),0)</f>
        <v>0</v>
      </c>
      <c r="K120" s="9">
        <f>IFERROR(VLOOKUP(B120,cubo!$A$6:$BE$37,34,0)-VLOOKUP(B120,#REF!,$K$2,0),0)</f>
        <v>0</v>
      </c>
      <c r="L120" s="8">
        <f>IFERROR(VLOOKUP(B120,cubo!$A$6:$BE$37,38,0)-VLOOKUP(B120,#REF!,$L$2,0),0)</f>
        <v>0</v>
      </c>
      <c r="M120" s="15">
        <f>IFERROR(VLOOKUP(B120,cubo!$A$6:$BE$37,57,0)-VLOOKUP(B120,#REF!,$M$2,0),0)</f>
        <v>0</v>
      </c>
      <c r="N120" s="9">
        <f>IFERROR(VLOOKUP(B120,cubo!$A$6:$BK$37,41,0)-VLOOKUP(conciliacao_custos!B120,#REF!,18,0),0)</f>
        <v>0</v>
      </c>
      <c r="O120" s="9">
        <f>IFERROR(VLOOKUP(B120,cubo!$A$6:$BK$37,44,0)-VLOOKUP(conciliacao_custos!B120,#REF!,13,0),0)</f>
        <v>0</v>
      </c>
      <c r="P120" s="9">
        <f>IFERROR(VLOOKUP(B120,cubo!$A$6:$BK$37,47,0)-VLOOKUP(conciliacao_custos!B120,#REF!,14,0),0)</f>
        <v>0</v>
      </c>
      <c r="Q120" s="9">
        <f>IFERROR(VLOOKUP(B120,cubo!$A$6:$BK$37,58,0)-VLOOKUP(conciliacao_custos!B120,#REF!,16,0),0)</f>
        <v>0</v>
      </c>
      <c r="R120" s="9">
        <f>IFERROR(VLOOKUP(B120,cubo!$A$6:$BK$37,64,0)-VLOOKUP(conciliacao_custos!B120,#REF!,17,0),0)</f>
        <v>0</v>
      </c>
      <c r="S120" s="9">
        <f>IFERROR(VLOOKUP(B120,cubo!$A$6:$BK$37,61,0)-VLOOKUP(conciliacao_custos!B120,#REF!,15,0),0)</f>
        <v>0</v>
      </c>
    </row>
    <row r="121" spans="2:19" x14ac:dyDescent="0.25">
      <c r="B121" s="7">
        <f>[1]salario!A120</f>
        <v>0</v>
      </c>
      <c r="C121" s="8">
        <f>[1]salario!C120</f>
        <v>0</v>
      </c>
      <c r="D121" s="10">
        <f>IFERROR(VLOOKUP(B121,cubo!$A$6:$BE$37,6,0)-VLOOKUP(B121,#REF!,$D$2,0),0)</f>
        <v>0</v>
      </c>
      <c r="E121" s="10">
        <f>IFERROR(VLOOKUP(B121,cubo!$A$6:$BE$37,9,0)-VLOOKUP(B121,#REF!,$E$2,0),0)</f>
        <v>0</v>
      </c>
      <c r="F121" s="9">
        <f>IFERROR(VLOOKUP(B121,cubo!$A$6:$BE$37,12,0)-VLOOKUP(B121,#REF!,$F$2,0),0)</f>
        <v>0</v>
      </c>
      <c r="G121" s="9">
        <f>IFERROR(VLOOKUP(B121,cubo!$A$6:$BE$37,54,0)-VLOOKUP(B121,#REF!,$G$2,0),0)</f>
        <v>0</v>
      </c>
      <c r="H121" s="10">
        <f>IFERROR(VLOOKUP(B121,cubo!$A$6:$BE$37,15,0)-VLOOKUP(B121,#REF!,$H$2,0),0)</f>
        <v>0</v>
      </c>
      <c r="I121" s="9">
        <f>IFERROR(VLOOKUP(B121,cubo!$A$6:$BE$37,18,0)-VLOOKUP(B121,#REF!,$I$2,0),0)</f>
        <v>0</v>
      </c>
      <c r="J121" s="9">
        <f>IFERROR(VLOOKUP(B121,cubo!$A$6:$BE$37,24,0)-VLOOKUP(B121,#REF!,$J$2,0),0)</f>
        <v>0</v>
      </c>
      <c r="K121" s="9">
        <f>IFERROR(VLOOKUP(B121,cubo!$A$6:$BE$37,34,0)-VLOOKUP(B121,#REF!,$K$2,0),0)</f>
        <v>0</v>
      </c>
      <c r="L121" s="8">
        <f>IFERROR(VLOOKUP(B121,cubo!$A$6:$BE$37,38,0)-VLOOKUP(B121,#REF!,$L$2,0),0)</f>
        <v>0</v>
      </c>
      <c r="M121" s="15">
        <f>IFERROR(VLOOKUP(B121,cubo!$A$6:$BE$37,57,0)-VLOOKUP(B121,#REF!,$M$2,0),0)</f>
        <v>0</v>
      </c>
      <c r="N121" s="9">
        <f>IFERROR(VLOOKUP(B121,cubo!$A$6:$BK$37,41,0)-VLOOKUP(conciliacao_custos!B121,#REF!,18,0),0)</f>
        <v>0</v>
      </c>
      <c r="O121" s="9">
        <f>IFERROR(VLOOKUP(B121,cubo!$A$6:$BK$37,44,0)-VLOOKUP(conciliacao_custos!B121,#REF!,13,0),0)</f>
        <v>0</v>
      </c>
      <c r="P121" s="9">
        <f>IFERROR(VLOOKUP(B121,cubo!$A$6:$BK$37,47,0)-VLOOKUP(conciliacao_custos!B121,#REF!,14,0),0)</f>
        <v>0</v>
      </c>
      <c r="Q121" s="9">
        <f>IFERROR(VLOOKUP(B121,cubo!$A$6:$BK$37,58,0)-VLOOKUP(conciliacao_custos!B121,#REF!,16,0),0)</f>
        <v>0</v>
      </c>
      <c r="R121" s="9">
        <f>IFERROR(VLOOKUP(B121,cubo!$A$6:$BK$37,64,0)-VLOOKUP(conciliacao_custos!B121,#REF!,17,0),0)</f>
        <v>0</v>
      </c>
      <c r="S121" s="9">
        <f>IFERROR(VLOOKUP(B121,cubo!$A$6:$BK$37,61,0)-VLOOKUP(conciliacao_custos!B121,#REF!,15,0),0)</f>
        <v>0</v>
      </c>
    </row>
    <row r="122" spans="2:19" x14ac:dyDescent="0.25">
      <c r="B122" s="7">
        <f>[1]salario!A121</f>
        <v>0</v>
      </c>
      <c r="C122" s="8">
        <f>[1]salario!C121</f>
        <v>0</v>
      </c>
      <c r="D122" s="10">
        <f>IFERROR(VLOOKUP(B122,cubo!$A$6:$BE$37,6,0)-VLOOKUP(B122,#REF!,$D$2,0),0)</f>
        <v>0</v>
      </c>
      <c r="E122" s="10">
        <f>IFERROR(VLOOKUP(B122,cubo!$A$6:$BE$37,9,0)-VLOOKUP(B122,#REF!,$E$2,0),0)</f>
        <v>0</v>
      </c>
      <c r="F122" s="9">
        <f>IFERROR(VLOOKUP(B122,cubo!$A$6:$BE$37,12,0)-VLOOKUP(B122,#REF!,$F$2,0),0)</f>
        <v>0</v>
      </c>
      <c r="G122" s="9">
        <f>IFERROR(VLOOKUP(B122,cubo!$A$6:$BE$37,54,0)-VLOOKUP(B122,#REF!,$G$2,0),0)</f>
        <v>0</v>
      </c>
      <c r="H122" s="10">
        <f>IFERROR(VLOOKUP(B122,cubo!$A$6:$BE$37,15,0)-VLOOKUP(B122,#REF!,$H$2,0),0)</f>
        <v>0</v>
      </c>
      <c r="I122" s="9">
        <f>IFERROR(VLOOKUP(B122,cubo!$A$6:$BE$37,18,0)-VLOOKUP(B122,#REF!,$I$2,0),0)</f>
        <v>0</v>
      </c>
      <c r="J122" s="9">
        <f>IFERROR(VLOOKUP(B122,cubo!$A$6:$BE$37,24,0)-VLOOKUP(B122,#REF!,$J$2,0),0)</f>
        <v>0</v>
      </c>
      <c r="K122" s="9">
        <f>IFERROR(VLOOKUP(B122,cubo!$A$6:$BE$37,34,0)-VLOOKUP(B122,#REF!,$K$2,0),0)</f>
        <v>0</v>
      </c>
      <c r="L122" s="8">
        <f>IFERROR(VLOOKUP(B122,cubo!$A$6:$BE$37,38,0)-VLOOKUP(B122,#REF!,$L$2,0),0)</f>
        <v>0</v>
      </c>
      <c r="M122" s="15">
        <f>IFERROR(VLOOKUP(B122,cubo!$A$6:$BE$37,57,0)-VLOOKUP(B122,#REF!,$M$2,0),0)</f>
        <v>0</v>
      </c>
      <c r="N122" s="9">
        <f>IFERROR(VLOOKUP(B122,cubo!$A$6:$BK$37,41,0)-VLOOKUP(conciliacao_custos!B122,#REF!,18,0),0)</f>
        <v>0</v>
      </c>
      <c r="O122" s="9">
        <f>IFERROR(VLOOKUP(B122,cubo!$A$6:$BK$37,44,0)-VLOOKUP(conciliacao_custos!B122,#REF!,13,0),0)</f>
        <v>0</v>
      </c>
      <c r="P122" s="9">
        <f>IFERROR(VLOOKUP(B122,cubo!$A$6:$BK$37,47,0)-VLOOKUP(conciliacao_custos!B122,#REF!,14,0),0)</f>
        <v>0</v>
      </c>
      <c r="Q122" s="9">
        <f>IFERROR(VLOOKUP(B122,cubo!$A$6:$BK$37,58,0)-VLOOKUP(conciliacao_custos!B122,#REF!,16,0),0)</f>
        <v>0</v>
      </c>
      <c r="R122" s="9">
        <f>IFERROR(VLOOKUP(B122,cubo!$A$6:$BK$37,64,0)-VLOOKUP(conciliacao_custos!B122,#REF!,17,0),0)</f>
        <v>0</v>
      </c>
      <c r="S122" s="9">
        <f>IFERROR(VLOOKUP(B122,cubo!$A$6:$BK$37,61,0)-VLOOKUP(conciliacao_custos!B122,#REF!,15,0),0)</f>
        <v>0</v>
      </c>
    </row>
    <row r="123" spans="2:19" x14ac:dyDescent="0.25">
      <c r="B123" s="7">
        <f>[1]salario!A122</f>
        <v>0</v>
      </c>
      <c r="C123" s="8">
        <f>[1]salario!C122</f>
        <v>0</v>
      </c>
      <c r="D123" s="10">
        <f>IFERROR(VLOOKUP(B123,cubo!$A$6:$BE$37,6,0)-VLOOKUP(B123,#REF!,$D$2,0),0)</f>
        <v>0</v>
      </c>
      <c r="E123" s="10">
        <f>IFERROR(VLOOKUP(B123,cubo!$A$6:$BE$37,9,0)-VLOOKUP(B123,#REF!,$E$2,0),0)</f>
        <v>0</v>
      </c>
      <c r="F123" s="9">
        <f>IFERROR(VLOOKUP(B123,cubo!$A$6:$BE$37,12,0)-VLOOKUP(B123,#REF!,$F$2,0),0)</f>
        <v>0</v>
      </c>
      <c r="G123" s="9">
        <f>IFERROR(VLOOKUP(B123,cubo!$A$6:$BE$37,54,0)-VLOOKUP(B123,#REF!,$G$2,0),0)</f>
        <v>0</v>
      </c>
      <c r="H123" s="10">
        <f>IFERROR(VLOOKUP(B123,cubo!$A$6:$BE$37,15,0)-VLOOKUP(B123,#REF!,$H$2,0),0)</f>
        <v>0</v>
      </c>
      <c r="I123" s="9">
        <f>IFERROR(VLOOKUP(B123,cubo!$A$6:$BE$37,18,0)-VLOOKUP(B123,#REF!,$I$2,0),0)</f>
        <v>0</v>
      </c>
      <c r="J123" s="9">
        <f>IFERROR(VLOOKUP(B123,cubo!$A$6:$BE$37,24,0)-VLOOKUP(B123,#REF!,$J$2,0),0)</f>
        <v>0</v>
      </c>
      <c r="K123" s="9">
        <f>IFERROR(VLOOKUP(B123,cubo!$A$6:$BE$37,34,0)-VLOOKUP(B123,#REF!,$K$2,0),0)</f>
        <v>0</v>
      </c>
      <c r="L123" s="8">
        <f>IFERROR(VLOOKUP(B123,cubo!$A$6:$BE$37,38,0)-VLOOKUP(B123,#REF!,$L$2,0),0)</f>
        <v>0</v>
      </c>
      <c r="M123" s="15">
        <f>IFERROR(VLOOKUP(B123,cubo!$A$6:$BE$37,57,0)-VLOOKUP(B123,#REF!,$M$2,0),0)</f>
        <v>0</v>
      </c>
      <c r="N123" s="9">
        <f>IFERROR(VLOOKUP(B123,cubo!$A$6:$BK$37,41,0)-VLOOKUP(conciliacao_custos!B123,#REF!,18,0),0)</f>
        <v>0</v>
      </c>
      <c r="O123" s="9">
        <f>IFERROR(VLOOKUP(B123,cubo!$A$6:$BK$37,44,0)-VLOOKUP(conciliacao_custos!B123,#REF!,13,0),0)</f>
        <v>0</v>
      </c>
      <c r="P123" s="9">
        <f>IFERROR(VLOOKUP(B123,cubo!$A$6:$BK$37,47,0)-VLOOKUP(conciliacao_custos!B123,#REF!,14,0),0)</f>
        <v>0</v>
      </c>
      <c r="Q123" s="9">
        <f>IFERROR(VLOOKUP(B123,cubo!$A$6:$BK$37,58,0)-VLOOKUP(conciliacao_custos!B123,#REF!,16,0),0)</f>
        <v>0</v>
      </c>
      <c r="R123" s="9">
        <f>IFERROR(VLOOKUP(B123,cubo!$A$6:$BK$37,64,0)-VLOOKUP(conciliacao_custos!B123,#REF!,17,0),0)</f>
        <v>0</v>
      </c>
      <c r="S123" s="9">
        <f>IFERROR(VLOOKUP(B123,cubo!$A$6:$BK$37,61,0)-VLOOKUP(conciliacao_custos!B123,#REF!,15,0),0)</f>
        <v>0</v>
      </c>
    </row>
    <row r="124" spans="2:19" x14ac:dyDescent="0.25">
      <c r="B124" s="7">
        <f>[1]salario!A123</f>
        <v>0</v>
      </c>
      <c r="C124" s="8">
        <f>[1]salario!C123</f>
        <v>0</v>
      </c>
      <c r="D124" s="10">
        <f>IFERROR(VLOOKUP(B124,cubo!$A$6:$BE$37,6,0)-VLOOKUP(B124,#REF!,$D$2,0),0)</f>
        <v>0</v>
      </c>
      <c r="E124" s="10">
        <f>IFERROR(VLOOKUP(B124,cubo!$A$6:$BE$37,9,0)-VLOOKUP(B124,#REF!,$E$2,0),0)</f>
        <v>0</v>
      </c>
      <c r="F124" s="9">
        <f>IFERROR(VLOOKUP(B124,cubo!$A$6:$BE$37,12,0)-VLOOKUP(B124,#REF!,$F$2,0),0)</f>
        <v>0</v>
      </c>
      <c r="G124" s="9">
        <f>IFERROR(VLOOKUP(B124,cubo!$A$6:$BE$37,54,0)-VLOOKUP(B124,#REF!,$G$2,0),0)</f>
        <v>0</v>
      </c>
      <c r="H124" s="10">
        <f>IFERROR(VLOOKUP(B124,cubo!$A$6:$BE$37,15,0)-VLOOKUP(B124,#REF!,$H$2,0),0)</f>
        <v>0</v>
      </c>
      <c r="I124" s="9">
        <f>IFERROR(VLOOKUP(B124,cubo!$A$6:$BE$37,18,0)-VLOOKUP(B124,#REF!,$I$2,0),0)</f>
        <v>0</v>
      </c>
      <c r="J124" s="9">
        <f>IFERROR(VLOOKUP(B124,cubo!$A$6:$BE$37,24,0)-VLOOKUP(B124,#REF!,$J$2,0),0)</f>
        <v>0</v>
      </c>
      <c r="K124" s="9">
        <f>IFERROR(VLOOKUP(B124,cubo!$A$6:$BE$37,34,0)-VLOOKUP(B124,#REF!,$K$2,0),0)</f>
        <v>0</v>
      </c>
      <c r="L124" s="8">
        <f>IFERROR(VLOOKUP(B124,cubo!$A$6:$BE$37,38,0)-VLOOKUP(B124,#REF!,$L$2,0),0)</f>
        <v>0</v>
      </c>
      <c r="M124" s="15">
        <f>IFERROR(VLOOKUP(B124,cubo!$A$6:$BE$37,57,0)-VLOOKUP(B124,#REF!,$M$2,0),0)</f>
        <v>0</v>
      </c>
      <c r="N124" s="9">
        <f>IFERROR(VLOOKUP(B124,cubo!$A$6:$BK$37,41,0)-VLOOKUP(conciliacao_custos!B124,#REF!,18,0),0)</f>
        <v>0</v>
      </c>
      <c r="O124" s="9">
        <f>IFERROR(VLOOKUP(B124,cubo!$A$6:$BK$37,44,0)-VLOOKUP(conciliacao_custos!B124,#REF!,13,0),0)</f>
        <v>0</v>
      </c>
      <c r="P124" s="9">
        <f>IFERROR(VLOOKUP(B124,cubo!$A$6:$BK$37,47,0)-VLOOKUP(conciliacao_custos!B124,#REF!,14,0),0)</f>
        <v>0</v>
      </c>
      <c r="Q124" s="9">
        <f>IFERROR(VLOOKUP(B124,cubo!$A$6:$BK$37,58,0)-VLOOKUP(conciliacao_custos!B124,#REF!,16,0),0)</f>
        <v>0</v>
      </c>
      <c r="R124" s="9">
        <f>IFERROR(VLOOKUP(B124,cubo!$A$6:$BK$37,64,0)-VLOOKUP(conciliacao_custos!B124,#REF!,17,0),0)</f>
        <v>0</v>
      </c>
      <c r="S124" s="9">
        <f>IFERROR(VLOOKUP(B124,cubo!$A$6:$BK$37,61,0)-VLOOKUP(conciliacao_custos!B124,#REF!,15,0),0)</f>
        <v>0</v>
      </c>
    </row>
    <row r="125" spans="2:19" x14ac:dyDescent="0.25">
      <c r="B125" s="7">
        <f>[1]salario!A124</f>
        <v>0</v>
      </c>
      <c r="C125" s="8">
        <f>[1]salario!C124</f>
        <v>0</v>
      </c>
      <c r="D125" s="10">
        <f>IFERROR(VLOOKUP(B125,cubo!$A$6:$BE$37,6,0)-VLOOKUP(B125,#REF!,$D$2,0),0)</f>
        <v>0</v>
      </c>
      <c r="E125" s="10">
        <f>IFERROR(VLOOKUP(B125,cubo!$A$6:$BE$37,9,0)-VLOOKUP(B125,#REF!,$E$2,0),0)</f>
        <v>0</v>
      </c>
      <c r="F125" s="9">
        <f>IFERROR(VLOOKUP(B125,cubo!$A$6:$BE$37,12,0)-VLOOKUP(B125,#REF!,$F$2,0),0)</f>
        <v>0</v>
      </c>
      <c r="G125" s="9">
        <f>IFERROR(VLOOKUP(B125,cubo!$A$6:$BE$37,54,0)-VLOOKUP(B125,#REF!,$G$2,0),0)</f>
        <v>0</v>
      </c>
      <c r="H125" s="10">
        <f>IFERROR(VLOOKUP(B125,cubo!$A$6:$BE$37,15,0)-VLOOKUP(B125,#REF!,$H$2,0),0)</f>
        <v>0</v>
      </c>
      <c r="I125" s="9">
        <f>IFERROR(VLOOKUP(B125,cubo!$A$6:$BE$37,18,0)-VLOOKUP(B125,#REF!,$I$2,0),0)</f>
        <v>0</v>
      </c>
      <c r="J125" s="9">
        <f>IFERROR(VLOOKUP(B125,cubo!$A$6:$BE$37,24,0)-VLOOKUP(B125,#REF!,$J$2,0),0)</f>
        <v>0</v>
      </c>
      <c r="K125" s="9">
        <f>IFERROR(VLOOKUP(B125,cubo!$A$6:$BE$37,34,0)-VLOOKUP(B125,#REF!,$K$2,0),0)</f>
        <v>0</v>
      </c>
      <c r="L125" s="8">
        <f>IFERROR(VLOOKUP(B125,cubo!$A$6:$BE$37,38,0)-VLOOKUP(B125,#REF!,$L$2,0),0)</f>
        <v>0</v>
      </c>
      <c r="M125" s="15">
        <f>IFERROR(VLOOKUP(B125,cubo!$A$6:$BE$37,57,0)-VLOOKUP(B125,#REF!,$M$2,0),0)</f>
        <v>0</v>
      </c>
      <c r="N125" s="9">
        <f>IFERROR(VLOOKUP(B125,cubo!$A$6:$BK$37,41,0)-VLOOKUP(conciliacao_custos!B125,#REF!,18,0),0)</f>
        <v>0</v>
      </c>
      <c r="O125" s="9">
        <f>IFERROR(VLOOKUP(B125,cubo!$A$6:$BK$37,44,0)-VLOOKUP(conciliacao_custos!B125,#REF!,13,0),0)</f>
        <v>0</v>
      </c>
      <c r="P125" s="9">
        <f>IFERROR(VLOOKUP(B125,cubo!$A$6:$BK$37,47,0)-VLOOKUP(conciliacao_custos!B125,#REF!,14,0),0)</f>
        <v>0</v>
      </c>
      <c r="Q125" s="9">
        <f>IFERROR(VLOOKUP(B125,cubo!$A$6:$BK$37,58,0)-VLOOKUP(conciliacao_custos!B125,#REF!,16,0),0)</f>
        <v>0</v>
      </c>
      <c r="R125" s="9">
        <f>IFERROR(VLOOKUP(B125,cubo!$A$6:$BK$37,64,0)-VLOOKUP(conciliacao_custos!B125,#REF!,17,0),0)</f>
        <v>0</v>
      </c>
      <c r="S125" s="9">
        <f>IFERROR(VLOOKUP(B125,cubo!$A$6:$BK$37,61,0)-VLOOKUP(conciliacao_custos!B125,#REF!,15,0),0)</f>
        <v>0</v>
      </c>
    </row>
    <row r="126" spans="2:19" x14ac:dyDescent="0.25">
      <c r="B126" s="7">
        <f>[1]salario!A125</f>
        <v>0</v>
      </c>
      <c r="C126" s="8">
        <f>[1]salario!C125</f>
        <v>0</v>
      </c>
      <c r="D126" s="10">
        <f>IFERROR(VLOOKUP(B126,cubo!$A$6:$BE$37,6,0)-VLOOKUP(B126,#REF!,$D$2,0),0)</f>
        <v>0</v>
      </c>
      <c r="E126" s="10">
        <f>IFERROR(VLOOKUP(B126,cubo!$A$6:$BE$37,9,0)-VLOOKUP(B126,#REF!,$E$2,0),0)</f>
        <v>0</v>
      </c>
      <c r="F126" s="9">
        <f>IFERROR(VLOOKUP(B126,cubo!$A$6:$BE$37,12,0)-VLOOKUP(B126,#REF!,$F$2,0),0)</f>
        <v>0</v>
      </c>
      <c r="G126" s="9">
        <f>IFERROR(VLOOKUP(B126,cubo!$A$6:$BE$37,54,0)-VLOOKUP(B126,#REF!,$G$2,0),0)</f>
        <v>0</v>
      </c>
      <c r="H126" s="10">
        <f>IFERROR(VLOOKUP(B126,cubo!$A$6:$BE$37,15,0)-VLOOKUP(B126,#REF!,$H$2,0),0)</f>
        <v>0</v>
      </c>
      <c r="I126" s="9">
        <f>IFERROR(VLOOKUP(B126,cubo!$A$6:$BE$37,18,0)-VLOOKUP(B126,#REF!,$I$2,0),0)</f>
        <v>0</v>
      </c>
      <c r="J126" s="9">
        <f>IFERROR(VLOOKUP(B126,cubo!$A$6:$BE$37,24,0)-VLOOKUP(B126,#REF!,$J$2,0),0)</f>
        <v>0</v>
      </c>
      <c r="K126" s="9">
        <f>IFERROR(VLOOKUP(B126,cubo!$A$6:$BE$37,34,0)-VLOOKUP(B126,#REF!,$K$2,0),0)</f>
        <v>0</v>
      </c>
      <c r="L126" s="8">
        <f>IFERROR(VLOOKUP(B126,cubo!$A$6:$BE$37,38,0)-VLOOKUP(B126,#REF!,$L$2,0),0)</f>
        <v>0</v>
      </c>
      <c r="M126" s="15">
        <f>IFERROR(VLOOKUP(B126,cubo!$A$6:$BE$37,57,0)-VLOOKUP(B126,#REF!,$M$2,0),0)</f>
        <v>0</v>
      </c>
      <c r="N126" s="9">
        <f>IFERROR(VLOOKUP(B126,cubo!$A$6:$BK$37,41,0)-VLOOKUP(conciliacao_custos!B126,#REF!,18,0),0)</f>
        <v>0</v>
      </c>
      <c r="O126" s="9">
        <f>IFERROR(VLOOKUP(B126,cubo!$A$6:$BK$37,44,0)-VLOOKUP(conciliacao_custos!B126,#REF!,13,0),0)</f>
        <v>0</v>
      </c>
      <c r="P126" s="9">
        <f>IFERROR(VLOOKUP(B126,cubo!$A$6:$BK$37,47,0)-VLOOKUP(conciliacao_custos!B126,#REF!,14,0),0)</f>
        <v>0</v>
      </c>
      <c r="Q126" s="9">
        <f>IFERROR(VLOOKUP(B126,cubo!$A$6:$BK$37,58,0)-VLOOKUP(conciliacao_custos!B126,#REF!,16,0),0)</f>
        <v>0</v>
      </c>
      <c r="R126" s="9">
        <f>IFERROR(VLOOKUP(B126,cubo!$A$6:$BK$37,64,0)-VLOOKUP(conciliacao_custos!B126,#REF!,17,0),0)</f>
        <v>0</v>
      </c>
      <c r="S126" s="9">
        <f>IFERROR(VLOOKUP(B126,cubo!$A$6:$BK$37,61,0)-VLOOKUP(conciliacao_custos!B126,#REF!,15,0),0)</f>
        <v>0</v>
      </c>
    </row>
    <row r="127" spans="2:19" x14ac:dyDescent="0.25">
      <c r="B127" s="7">
        <f>[1]salario!A126</f>
        <v>0</v>
      </c>
      <c r="C127" s="8">
        <f>[1]salario!C126</f>
        <v>0</v>
      </c>
      <c r="D127" s="10">
        <f>IFERROR(VLOOKUP(B127,cubo!$A$6:$BE$37,6,0)-VLOOKUP(B127,#REF!,$D$2,0),0)</f>
        <v>0</v>
      </c>
      <c r="E127" s="10">
        <f>IFERROR(VLOOKUP(B127,cubo!$A$6:$BE$37,9,0)-VLOOKUP(B127,#REF!,$E$2,0),0)</f>
        <v>0</v>
      </c>
      <c r="F127" s="9">
        <f>IFERROR(VLOOKUP(B127,cubo!$A$6:$BE$37,12,0)-VLOOKUP(B127,#REF!,$F$2,0),0)</f>
        <v>0</v>
      </c>
      <c r="G127" s="9">
        <f>IFERROR(VLOOKUP(B127,cubo!$A$6:$BE$37,54,0)-VLOOKUP(B127,#REF!,$G$2,0),0)</f>
        <v>0</v>
      </c>
      <c r="H127" s="10">
        <f>IFERROR(VLOOKUP(B127,cubo!$A$6:$BE$37,15,0)-VLOOKUP(B127,#REF!,$H$2,0),0)</f>
        <v>0</v>
      </c>
      <c r="I127" s="9">
        <f>IFERROR(VLOOKUP(B127,cubo!$A$6:$BE$37,18,0)-VLOOKUP(B127,#REF!,$I$2,0),0)</f>
        <v>0</v>
      </c>
      <c r="J127" s="9">
        <f>IFERROR(VLOOKUP(B127,cubo!$A$6:$BE$37,24,0)-VLOOKUP(B127,#REF!,$J$2,0),0)</f>
        <v>0</v>
      </c>
      <c r="K127" s="9">
        <f>IFERROR(VLOOKUP(B127,cubo!$A$6:$BE$37,34,0)-VLOOKUP(B127,#REF!,$K$2,0),0)</f>
        <v>0</v>
      </c>
      <c r="L127" s="8">
        <f>IFERROR(VLOOKUP(B127,cubo!$A$6:$BE$37,38,0)-VLOOKUP(B127,#REF!,$L$2,0),0)</f>
        <v>0</v>
      </c>
      <c r="M127" s="15">
        <f>IFERROR(VLOOKUP(B127,cubo!$A$6:$BE$37,57,0)-VLOOKUP(B127,#REF!,$M$2,0),0)</f>
        <v>0</v>
      </c>
      <c r="N127" s="9">
        <f>IFERROR(VLOOKUP(B127,cubo!$A$6:$BK$37,41,0)-VLOOKUP(conciliacao_custos!B127,#REF!,18,0),0)</f>
        <v>0</v>
      </c>
      <c r="O127" s="9">
        <f>IFERROR(VLOOKUP(B127,cubo!$A$6:$BK$37,44,0)-VLOOKUP(conciliacao_custos!B127,#REF!,13,0),0)</f>
        <v>0</v>
      </c>
      <c r="P127" s="9">
        <f>IFERROR(VLOOKUP(B127,cubo!$A$6:$BK$37,47,0)-VLOOKUP(conciliacao_custos!B127,#REF!,14,0),0)</f>
        <v>0</v>
      </c>
      <c r="Q127" s="9">
        <f>IFERROR(VLOOKUP(B127,cubo!$A$6:$BK$37,58,0)-VLOOKUP(conciliacao_custos!B127,#REF!,16,0),0)</f>
        <v>0</v>
      </c>
      <c r="R127" s="9">
        <f>IFERROR(VLOOKUP(B127,cubo!$A$6:$BK$37,64,0)-VLOOKUP(conciliacao_custos!B127,#REF!,17,0),0)</f>
        <v>0</v>
      </c>
      <c r="S127" s="9">
        <f>IFERROR(VLOOKUP(B127,cubo!$A$6:$BK$37,61,0)-VLOOKUP(conciliacao_custos!B127,#REF!,15,0),0)</f>
        <v>0</v>
      </c>
    </row>
    <row r="128" spans="2:19" x14ac:dyDescent="0.25">
      <c r="B128" s="7">
        <f>[1]salario!A127</f>
        <v>0</v>
      </c>
      <c r="C128" s="8">
        <f>[1]salario!C127</f>
        <v>0</v>
      </c>
      <c r="D128" s="10">
        <f>IFERROR(VLOOKUP(B128,cubo!$A$6:$BE$37,6,0)-VLOOKUP(B128,#REF!,$D$2,0),0)</f>
        <v>0</v>
      </c>
      <c r="E128" s="10">
        <f>IFERROR(VLOOKUP(B128,cubo!$A$6:$BE$37,9,0)-VLOOKUP(B128,#REF!,$E$2,0),0)</f>
        <v>0</v>
      </c>
      <c r="F128" s="9">
        <f>IFERROR(VLOOKUP(B128,cubo!$A$6:$BE$37,12,0)-VLOOKUP(B128,#REF!,$F$2,0),0)</f>
        <v>0</v>
      </c>
      <c r="G128" s="9">
        <f>IFERROR(VLOOKUP(B128,cubo!$A$6:$BE$37,54,0)-VLOOKUP(B128,#REF!,$G$2,0),0)</f>
        <v>0</v>
      </c>
      <c r="H128" s="10">
        <f>IFERROR(VLOOKUP(B128,cubo!$A$6:$BE$37,15,0)-VLOOKUP(B128,#REF!,$H$2,0),0)</f>
        <v>0</v>
      </c>
      <c r="I128" s="9">
        <f>IFERROR(VLOOKUP(B128,cubo!$A$6:$BE$37,18,0)-VLOOKUP(B128,#REF!,$I$2,0),0)</f>
        <v>0</v>
      </c>
      <c r="J128" s="9">
        <f>IFERROR(VLOOKUP(B128,cubo!$A$6:$BE$37,24,0)-VLOOKUP(B128,#REF!,$J$2,0),0)</f>
        <v>0</v>
      </c>
      <c r="K128" s="9">
        <f>IFERROR(VLOOKUP(B128,cubo!$A$6:$BE$37,34,0)-VLOOKUP(B128,#REF!,$K$2,0),0)</f>
        <v>0</v>
      </c>
      <c r="L128" s="8">
        <f>IFERROR(VLOOKUP(B128,cubo!$A$6:$BE$37,38,0)-VLOOKUP(B128,#REF!,$L$2,0),0)</f>
        <v>0</v>
      </c>
      <c r="M128" s="15">
        <f>IFERROR(VLOOKUP(B128,cubo!$A$6:$BE$37,57,0)-VLOOKUP(B128,#REF!,$M$2,0),0)</f>
        <v>0</v>
      </c>
      <c r="N128" s="9">
        <f>IFERROR(VLOOKUP(B128,cubo!$A$6:$BK$37,41,0)-VLOOKUP(conciliacao_custos!B128,#REF!,18,0),0)</f>
        <v>0</v>
      </c>
      <c r="O128" s="9">
        <f>IFERROR(VLOOKUP(B128,cubo!$A$6:$BK$37,44,0)-VLOOKUP(conciliacao_custos!B128,#REF!,13,0),0)</f>
        <v>0</v>
      </c>
      <c r="P128" s="9">
        <f>IFERROR(VLOOKUP(B128,cubo!$A$6:$BK$37,47,0)-VLOOKUP(conciliacao_custos!B128,#REF!,14,0),0)</f>
        <v>0</v>
      </c>
      <c r="Q128" s="9">
        <f>IFERROR(VLOOKUP(B128,cubo!$A$6:$BK$37,58,0)-VLOOKUP(conciliacao_custos!B128,#REF!,16,0),0)</f>
        <v>0</v>
      </c>
      <c r="R128" s="9">
        <f>IFERROR(VLOOKUP(B128,cubo!$A$6:$BK$37,64,0)-VLOOKUP(conciliacao_custos!B128,#REF!,17,0),0)</f>
        <v>0</v>
      </c>
      <c r="S128" s="9">
        <f>IFERROR(VLOOKUP(B128,cubo!$A$6:$BK$37,61,0)-VLOOKUP(conciliacao_custos!B128,#REF!,15,0),0)</f>
        <v>0</v>
      </c>
    </row>
    <row r="129" spans="2:19" x14ac:dyDescent="0.25">
      <c r="B129" s="7">
        <f>[1]salario!A128</f>
        <v>0</v>
      </c>
      <c r="C129" s="8">
        <f>[1]salario!C128</f>
        <v>0</v>
      </c>
      <c r="D129" s="10">
        <f>IFERROR(VLOOKUP(B129,cubo!$A$6:$BE$37,6,0)-VLOOKUP(B129,#REF!,$D$2,0),0)</f>
        <v>0</v>
      </c>
      <c r="E129" s="10">
        <f>IFERROR(VLOOKUP(B129,cubo!$A$6:$BE$37,9,0)-VLOOKUP(B129,#REF!,$E$2,0),0)</f>
        <v>0</v>
      </c>
      <c r="F129" s="9">
        <f>IFERROR(VLOOKUP(B129,cubo!$A$6:$BE$37,12,0)-VLOOKUP(B129,#REF!,$F$2,0),0)</f>
        <v>0</v>
      </c>
      <c r="G129" s="9">
        <f>IFERROR(VLOOKUP(B129,cubo!$A$6:$BE$37,54,0)-VLOOKUP(B129,#REF!,$G$2,0),0)</f>
        <v>0</v>
      </c>
      <c r="H129" s="10">
        <f>IFERROR(VLOOKUP(B129,cubo!$A$6:$BE$37,15,0)-VLOOKUP(B129,#REF!,$H$2,0),0)</f>
        <v>0</v>
      </c>
      <c r="I129" s="9">
        <f>IFERROR(VLOOKUP(B129,cubo!$A$6:$BE$37,18,0)-VLOOKUP(B129,#REF!,$I$2,0),0)</f>
        <v>0</v>
      </c>
      <c r="J129" s="9">
        <f>IFERROR(VLOOKUP(B129,cubo!$A$6:$BE$37,24,0)-VLOOKUP(B129,#REF!,$J$2,0),0)</f>
        <v>0</v>
      </c>
      <c r="K129" s="9">
        <f>IFERROR(VLOOKUP(B129,cubo!$A$6:$BE$37,34,0)-VLOOKUP(B129,#REF!,$K$2,0),0)</f>
        <v>0</v>
      </c>
      <c r="L129" s="8">
        <f>IFERROR(VLOOKUP(B129,cubo!$A$6:$BE$37,38,0)-VLOOKUP(B129,#REF!,$L$2,0),0)</f>
        <v>0</v>
      </c>
      <c r="M129" s="15">
        <f>IFERROR(VLOOKUP(B129,cubo!$A$6:$BE$37,57,0)-VLOOKUP(B129,#REF!,$M$2,0),0)</f>
        <v>0</v>
      </c>
      <c r="N129" s="9">
        <f>IFERROR(VLOOKUP(B129,cubo!$A$6:$BK$37,41,0)-VLOOKUP(conciliacao_custos!B129,#REF!,18,0),0)</f>
        <v>0</v>
      </c>
      <c r="O129" s="9">
        <f>IFERROR(VLOOKUP(B129,cubo!$A$6:$BK$37,44,0)-VLOOKUP(conciliacao_custos!B129,#REF!,13,0),0)</f>
        <v>0</v>
      </c>
      <c r="P129" s="9">
        <f>IFERROR(VLOOKUP(B129,cubo!$A$6:$BK$37,47,0)-VLOOKUP(conciliacao_custos!B129,#REF!,14,0),0)</f>
        <v>0</v>
      </c>
      <c r="Q129" s="9">
        <f>IFERROR(VLOOKUP(B129,cubo!$A$6:$BK$37,58,0)-VLOOKUP(conciliacao_custos!B129,#REF!,16,0),0)</f>
        <v>0</v>
      </c>
      <c r="R129" s="9">
        <f>IFERROR(VLOOKUP(B129,cubo!$A$6:$BK$37,64,0)-VLOOKUP(conciliacao_custos!B129,#REF!,17,0),0)</f>
        <v>0</v>
      </c>
      <c r="S129" s="9">
        <f>IFERROR(VLOOKUP(B129,cubo!$A$6:$BK$37,61,0)-VLOOKUP(conciliacao_custos!B129,#REF!,15,0),0)</f>
        <v>0</v>
      </c>
    </row>
    <row r="130" spans="2:19" x14ac:dyDescent="0.25">
      <c r="B130" s="7">
        <f>[1]salario!A129</f>
        <v>0</v>
      </c>
      <c r="C130" s="8">
        <f>[1]salario!C129</f>
        <v>0</v>
      </c>
      <c r="D130" s="10">
        <f>IFERROR(VLOOKUP(B130,cubo!$A$6:$BE$37,6,0)-VLOOKUP(B130,#REF!,$D$2,0),0)</f>
        <v>0</v>
      </c>
      <c r="E130" s="10">
        <f>IFERROR(VLOOKUP(B130,cubo!$A$6:$BE$37,9,0)-VLOOKUP(B130,#REF!,$E$2,0),0)</f>
        <v>0</v>
      </c>
      <c r="F130" s="9">
        <f>IFERROR(VLOOKUP(B130,cubo!$A$6:$BE$37,12,0)-VLOOKUP(B130,#REF!,$F$2,0),0)</f>
        <v>0</v>
      </c>
      <c r="G130" s="9">
        <f>IFERROR(VLOOKUP(B130,cubo!$A$6:$BE$37,54,0)-VLOOKUP(B130,#REF!,$G$2,0),0)</f>
        <v>0</v>
      </c>
      <c r="H130" s="10">
        <f>IFERROR(VLOOKUP(B130,cubo!$A$6:$BE$37,15,0)-VLOOKUP(B130,#REF!,$H$2,0),0)</f>
        <v>0</v>
      </c>
      <c r="I130" s="9">
        <f>IFERROR(VLOOKUP(B130,cubo!$A$6:$BE$37,18,0)-VLOOKUP(B130,#REF!,$I$2,0),0)</f>
        <v>0</v>
      </c>
      <c r="J130" s="9">
        <f>IFERROR(VLOOKUP(B130,cubo!$A$6:$BE$37,24,0)-VLOOKUP(B130,#REF!,$J$2,0),0)</f>
        <v>0</v>
      </c>
      <c r="K130" s="9">
        <f>IFERROR(VLOOKUP(B130,cubo!$A$6:$BE$37,34,0)-VLOOKUP(B130,#REF!,$K$2,0),0)</f>
        <v>0</v>
      </c>
      <c r="L130" s="8">
        <f>IFERROR(VLOOKUP(B130,cubo!$A$6:$BE$37,38,0)-VLOOKUP(B130,#REF!,$L$2,0),0)</f>
        <v>0</v>
      </c>
      <c r="M130" s="15">
        <f>IFERROR(VLOOKUP(B130,cubo!$A$6:$BE$37,57,0)-VLOOKUP(B130,#REF!,$M$2,0),0)</f>
        <v>0</v>
      </c>
      <c r="N130" s="9">
        <f>IFERROR(VLOOKUP(B130,cubo!$A$6:$BK$37,41,0)-VLOOKUP(conciliacao_custos!B130,#REF!,18,0),0)</f>
        <v>0</v>
      </c>
      <c r="O130" s="9">
        <f>IFERROR(VLOOKUP(B130,cubo!$A$6:$BK$37,44,0)-VLOOKUP(conciliacao_custos!B130,#REF!,13,0),0)</f>
        <v>0</v>
      </c>
      <c r="P130" s="9">
        <f>IFERROR(VLOOKUP(B130,cubo!$A$6:$BK$37,47,0)-VLOOKUP(conciliacao_custos!B130,#REF!,14,0),0)</f>
        <v>0</v>
      </c>
      <c r="Q130" s="9">
        <f>IFERROR(VLOOKUP(B130,cubo!$A$6:$BK$37,58,0)-VLOOKUP(conciliacao_custos!B130,#REF!,16,0),0)</f>
        <v>0</v>
      </c>
      <c r="R130" s="9">
        <f>IFERROR(VLOOKUP(B130,cubo!$A$6:$BK$37,64,0)-VLOOKUP(conciliacao_custos!B130,#REF!,17,0),0)</f>
        <v>0</v>
      </c>
      <c r="S130" s="9">
        <f>IFERROR(VLOOKUP(B130,cubo!$A$6:$BK$37,61,0)-VLOOKUP(conciliacao_custos!B130,#REF!,15,0),0)</f>
        <v>0</v>
      </c>
    </row>
    <row r="131" spans="2:19" x14ac:dyDescent="0.25">
      <c r="B131" s="7">
        <f>[1]salario!A130</f>
        <v>0</v>
      </c>
      <c r="C131" s="8">
        <f>[1]salario!C130</f>
        <v>0</v>
      </c>
      <c r="D131" s="10">
        <f>IFERROR(VLOOKUP(B131,cubo!$A$6:$BE$37,6,0)-VLOOKUP(B131,#REF!,$D$2,0),0)</f>
        <v>0</v>
      </c>
      <c r="E131" s="10">
        <f>IFERROR(VLOOKUP(B131,cubo!$A$6:$BE$37,9,0)-VLOOKUP(B131,#REF!,$E$2,0),0)</f>
        <v>0</v>
      </c>
      <c r="F131" s="9">
        <f>IFERROR(VLOOKUP(B131,cubo!$A$6:$BE$37,12,0)-VLOOKUP(B131,#REF!,$F$2,0),0)</f>
        <v>0</v>
      </c>
      <c r="G131" s="9">
        <f>IFERROR(VLOOKUP(B131,cubo!$A$6:$BE$37,54,0)-VLOOKUP(B131,#REF!,$G$2,0),0)</f>
        <v>0</v>
      </c>
      <c r="H131" s="10">
        <f>IFERROR(VLOOKUP(B131,cubo!$A$6:$BE$37,15,0)-VLOOKUP(B131,#REF!,$H$2,0),0)</f>
        <v>0</v>
      </c>
      <c r="I131" s="9">
        <f>IFERROR(VLOOKUP(B131,cubo!$A$6:$BE$37,18,0)-VLOOKUP(B131,#REF!,$I$2,0),0)</f>
        <v>0</v>
      </c>
      <c r="J131" s="9">
        <f>IFERROR(VLOOKUP(B131,cubo!$A$6:$BE$37,24,0)-VLOOKUP(B131,#REF!,$J$2,0),0)</f>
        <v>0</v>
      </c>
      <c r="K131" s="9">
        <f>IFERROR(VLOOKUP(B131,cubo!$A$6:$BE$37,34,0)-VLOOKUP(B131,#REF!,$K$2,0),0)</f>
        <v>0</v>
      </c>
      <c r="L131" s="8">
        <f>IFERROR(VLOOKUP(B131,cubo!$A$6:$BE$37,38,0)-VLOOKUP(B131,#REF!,$L$2,0),0)</f>
        <v>0</v>
      </c>
      <c r="M131" s="15">
        <f>IFERROR(VLOOKUP(B131,cubo!$A$6:$BE$37,57,0)-VLOOKUP(B131,#REF!,$M$2,0),0)</f>
        <v>0</v>
      </c>
      <c r="N131" s="9">
        <f>IFERROR(VLOOKUP(B131,cubo!$A$6:$BK$37,41,0)-VLOOKUP(conciliacao_custos!B131,#REF!,18,0),0)</f>
        <v>0</v>
      </c>
      <c r="O131" s="9">
        <f>IFERROR(VLOOKUP(B131,cubo!$A$6:$BK$37,44,0)-VLOOKUP(conciliacao_custos!B131,#REF!,13,0),0)</f>
        <v>0</v>
      </c>
      <c r="P131" s="9">
        <f>IFERROR(VLOOKUP(B131,cubo!$A$6:$BK$37,47,0)-VLOOKUP(conciliacao_custos!B131,#REF!,14,0),0)</f>
        <v>0</v>
      </c>
      <c r="Q131" s="9">
        <f>IFERROR(VLOOKUP(B131,cubo!$A$6:$BK$37,58,0)-VLOOKUP(conciliacao_custos!B131,#REF!,16,0),0)</f>
        <v>0</v>
      </c>
      <c r="R131" s="9">
        <f>IFERROR(VLOOKUP(B131,cubo!$A$6:$BK$37,64,0)-VLOOKUP(conciliacao_custos!B131,#REF!,17,0),0)</f>
        <v>0</v>
      </c>
      <c r="S131" s="9">
        <f>IFERROR(VLOOKUP(B131,cubo!$A$6:$BK$37,61,0)-VLOOKUP(conciliacao_custos!B131,#REF!,15,0),0)</f>
        <v>0</v>
      </c>
    </row>
    <row r="132" spans="2:19" x14ac:dyDescent="0.25">
      <c r="B132" s="7">
        <f>[1]salario!A131</f>
        <v>0</v>
      </c>
      <c r="C132" s="8">
        <f>[1]salario!C131</f>
        <v>0</v>
      </c>
      <c r="D132" s="10">
        <f>IFERROR(VLOOKUP(B132,cubo!$A$6:$BE$37,6,0)-VLOOKUP(B132,#REF!,$D$2,0),0)</f>
        <v>0</v>
      </c>
      <c r="E132" s="10">
        <f>IFERROR(VLOOKUP(B132,cubo!$A$6:$BE$37,9,0)-VLOOKUP(B132,#REF!,$E$2,0),0)</f>
        <v>0</v>
      </c>
      <c r="F132" s="9">
        <f>IFERROR(VLOOKUP(B132,cubo!$A$6:$BE$37,12,0)-VLOOKUP(B132,#REF!,$F$2,0),0)</f>
        <v>0</v>
      </c>
      <c r="G132" s="9">
        <f>IFERROR(VLOOKUP(B132,cubo!$A$6:$BE$37,54,0)-VLOOKUP(B132,#REF!,$G$2,0),0)</f>
        <v>0</v>
      </c>
      <c r="H132" s="10">
        <f>IFERROR(VLOOKUP(B132,cubo!$A$6:$BE$37,15,0)-VLOOKUP(B132,#REF!,$H$2,0),0)</f>
        <v>0</v>
      </c>
      <c r="I132" s="9">
        <f>IFERROR(VLOOKUP(B132,cubo!$A$6:$BE$37,18,0)-VLOOKUP(B132,#REF!,$I$2,0),0)</f>
        <v>0</v>
      </c>
      <c r="J132" s="9">
        <f>IFERROR(VLOOKUP(B132,cubo!$A$6:$BE$37,24,0)-VLOOKUP(B132,#REF!,$J$2,0),0)</f>
        <v>0</v>
      </c>
      <c r="K132" s="9">
        <f>IFERROR(VLOOKUP(B132,cubo!$A$6:$BE$37,34,0)-VLOOKUP(B132,#REF!,$K$2,0),0)</f>
        <v>0</v>
      </c>
      <c r="L132" s="8">
        <f>IFERROR(VLOOKUP(B132,cubo!$A$6:$BE$37,38,0)-VLOOKUP(B132,#REF!,$L$2,0),0)</f>
        <v>0</v>
      </c>
      <c r="M132" s="15">
        <f>IFERROR(VLOOKUP(B132,cubo!$A$6:$BE$37,57,0)-VLOOKUP(B132,#REF!,$M$2,0),0)</f>
        <v>0</v>
      </c>
      <c r="N132" s="9">
        <f>IFERROR(VLOOKUP(B132,cubo!$A$6:$BK$37,41,0)-VLOOKUP(conciliacao_custos!B132,#REF!,18,0),0)</f>
        <v>0</v>
      </c>
      <c r="O132" s="9">
        <f>IFERROR(VLOOKUP(B132,cubo!$A$6:$BK$37,44,0)-VLOOKUP(conciliacao_custos!B132,#REF!,13,0),0)</f>
        <v>0</v>
      </c>
      <c r="P132" s="9">
        <f>IFERROR(VLOOKUP(B132,cubo!$A$6:$BK$37,47,0)-VLOOKUP(conciliacao_custos!B132,#REF!,14,0),0)</f>
        <v>0</v>
      </c>
      <c r="Q132" s="9">
        <f>IFERROR(VLOOKUP(B132,cubo!$A$6:$BK$37,58,0)-VLOOKUP(conciliacao_custos!B132,#REF!,16,0),0)</f>
        <v>0</v>
      </c>
      <c r="R132" s="9">
        <f>IFERROR(VLOOKUP(B132,cubo!$A$6:$BK$37,64,0)-VLOOKUP(conciliacao_custos!B132,#REF!,17,0),0)</f>
        <v>0</v>
      </c>
      <c r="S132" s="9">
        <f>IFERROR(VLOOKUP(B132,cubo!$A$6:$BK$37,61,0)-VLOOKUP(conciliacao_custos!B132,#REF!,15,0),0)</f>
        <v>0</v>
      </c>
    </row>
    <row r="133" spans="2:19" x14ac:dyDescent="0.25">
      <c r="B133" s="7">
        <f>[1]salario!A132</f>
        <v>0</v>
      </c>
      <c r="C133" s="8">
        <f>[1]salario!C132</f>
        <v>0</v>
      </c>
      <c r="D133" s="10">
        <f>IFERROR(VLOOKUP(B133,cubo!$A$6:$BE$37,6,0)-VLOOKUP(B133,#REF!,$D$2,0),0)</f>
        <v>0</v>
      </c>
      <c r="E133" s="10">
        <f>IFERROR(VLOOKUP(B133,cubo!$A$6:$BE$37,9,0)-VLOOKUP(B133,#REF!,$E$2,0),0)</f>
        <v>0</v>
      </c>
      <c r="F133" s="9">
        <f>IFERROR(VLOOKUP(B133,cubo!$A$6:$BE$37,12,0)-VLOOKUP(B133,#REF!,$F$2,0),0)</f>
        <v>0</v>
      </c>
      <c r="G133" s="9">
        <f>IFERROR(VLOOKUP(B133,cubo!$A$6:$BE$37,54,0)-VLOOKUP(B133,#REF!,$G$2,0),0)</f>
        <v>0</v>
      </c>
      <c r="H133" s="10">
        <f>IFERROR(VLOOKUP(B133,cubo!$A$6:$BE$37,15,0)-VLOOKUP(B133,#REF!,$H$2,0),0)</f>
        <v>0</v>
      </c>
      <c r="I133" s="9">
        <f>IFERROR(VLOOKUP(B133,cubo!$A$6:$BE$37,18,0)-VLOOKUP(B133,#REF!,$I$2,0),0)</f>
        <v>0</v>
      </c>
      <c r="J133" s="9">
        <f>IFERROR(VLOOKUP(B133,cubo!$A$6:$BE$37,24,0)-VLOOKUP(B133,#REF!,$J$2,0),0)</f>
        <v>0</v>
      </c>
      <c r="K133" s="9">
        <f>IFERROR(VLOOKUP(B133,cubo!$A$6:$BE$37,34,0)-VLOOKUP(B133,#REF!,$K$2,0),0)</f>
        <v>0</v>
      </c>
      <c r="L133" s="8">
        <f>IFERROR(VLOOKUP(B133,cubo!$A$6:$BE$37,38,0)-VLOOKUP(B133,#REF!,$L$2,0),0)</f>
        <v>0</v>
      </c>
      <c r="M133" s="15">
        <f>IFERROR(VLOOKUP(B133,cubo!$A$6:$BE$37,57,0)-VLOOKUP(B133,#REF!,$M$2,0),0)</f>
        <v>0</v>
      </c>
      <c r="N133" s="9">
        <f>IFERROR(VLOOKUP(B133,cubo!$A$6:$BK$37,41,0)-VLOOKUP(conciliacao_custos!B133,#REF!,18,0),0)</f>
        <v>0</v>
      </c>
      <c r="O133" s="9">
        <f>IFERROR(VLOOKUP(B133,cubo!$A$6:$BK$37,44,0)-VLOOKUP(conciliacao_custos!B133,#REF!,13,0),0)</f>
        <v>0</v>
      </c>
      <c r="P133" s="9">
        <f>IFERROR(VLOOKUP(B133,cubo!$A$6:$BK$37,47,0)-VLOOKUP(conciliacao_custos!B133,#REF!,14,0),0)</f>
        <v>0</v>
      </c>
      <c r="Q133" s="9">
        <f>IFERROR(VLOOKUP(B133,cubo!$A$6:$BK$37,58,0)-VLOOKUP(conciliacao_custos!B133,#REF!,16,0),0)</f>
        <v>0</v>
      </c>
      <c r="R133" s="9">
        <f>IFERROR(VLOOKUP(B133,cubo!$A$6:$BK$37,64,0)-VLOOKUP(conciliacao_custos!B133,#REF!,17,0),0)</f>
        <v>0</v>
      </c>
      <c r="S133" s="9">
        <f>IFERROR(VLOOKUP(B133,cubo!$A$6:$BK$37,61,0)-VLOOKUP(conciliacao_custos!B133,#REF!,15,0),0)</f>
        <v>0</v>
      </c>
    </row>
    <row r="134" spans="2:19" x14ac:dyDescent="0.25">
      <c r="B134" s="7">
        <f>[1]salario!A133</f>
        <v>0</v>
      </c>
      <c r="C134" s="8">
        <f>[1]salario!C133</f>
        <v>0</v>
      </c>
      <c r="D134" s="10">
        <f>IFERROR(VLOOKUP(B134,cubo!$A$6:$BE$37,6,0)-VLOOKUP(B134,#REF!,$D$2,0),0)</f>
        <v>0</v>
      </c>
      <c r="E134" s="10">
        <f>IFERROR(VLOOKUP(B134,cubo!$A$6:$BE$37,9,0)-VLOOKUP(B134,#REF!,$E$2,0),0)</f>
        <v>0</v>
      </c>
      <c r="F134" s="9">
        <f>IFERROR(VLOOKUP(B134,cubo!$A$6:$BE$37,12,0)-VLOOKUP(B134,#REF!,$F$2,0),0)</f>
        <v>0</v>
      </c>
      <c r="G134" s="9">
        <f>IFERROR(VLOOKUP(B134,cubo!$A$6:$BE$37,54,0)-VLOOKUP(B134,#REF!,$G$2,0),0)</f>
        <v>0</v>
      </c>
      <c r="H134" s="10">
        <f>IFERROR(VLOOKUP(B134,cubo!$A$6:$BE$37,15,0)-VLOOKUP(B134,#REF!,$H$2,0),0)</f>
        <v>0</v>
      </c>
      <c r="I134" s="9">
        <f>IFERROR(VLOOKUP(B134,cubo!$A$6:$BE$37,18,0)-VLOOKUP(B134,#REF!,$I$2,0),0)</f>
        <v>0</v>
      </c>
      <c r="J134" s="9">
        <f>IFERROR(VLOOKUP(B134,cubo!$A$6:$BE$37,24,0)-VLOOKUP(B134,#REF!,$J$2,0),0)</f>
        <v>0</v>
      </c>
      <c r="K134" s="9">
        <f>IFERROR(VLOOKUP(B134,cubo!$A$6:$BE$37,34,0)-VLOOKUP(B134,#REF!,$K$2,0),0)</f>
        <v>0</v>
      </c>
      <c r="L134" s="8">
        <f>IFERROR(VLOOKUP(B134,cubo!$A$6:$BE$37,38,0)-VLOOKUP(B134,#REF!,$L$2,0),0)</f>
        <v>0</v>
      </c>
      <c r="M134" s="15">
        <f>IFERROR(VLOOKUP(B134,cubo!$A$6:$BE$37,57,0)-VLOOKUP(B134,#REF!,$M$2,0),0)</f>
        <v>0</v>
      </c>
      <c r="N134" s="9">
        <f>IFERROR(VLOOKUP(B134,cubo!$A$6:$BK$37,41,0)-VLOOKUP(conciliacao_custos!B134,#REF!,18,0),0)</f>
        <v>0</v>
      </c>
      <c r="O134" s="9">
        <f>IFERROR(VLOOKUP(B134,cubo!$A$6:$BK$37,44,0)-VLOOKUP(conciliacao_custos!B134,#REF!,13,0),0)</f>
        <v>0</v>
      </c>
      <c r="P134" s="9">
        <f>IFERROR(VLOOKUP(B134,cubo!$A$6:$BK$37,47,0)-VLOOKUP(conciliacao_custos!B134,#REF!,14,0),0)</f>
        <v>0</v>
      </c>
      <c r="Q134" s="9">
        <f>IFERROR(VLOOKUP(B134,cubo!$A$6:$BK$37,58,0)-VLOOKUP(conciliacao_custos!B134,#REF!,16,0),0)</f>
        <v>0</v>
      </c>
      <c r="R134" s="9">
        <f>IFERROR(VLOOKUP(B134,cubo!$A$6:$BK$37,64,0)-VLOOKUP(conciliacao_custos!B134,#REF!,17,0),0)</f>
        <v>0</v>
      </c>
      <c r="S134" s="9">
        <f>IFERROR(VLOOKUP(B134,cubo!$A$6:$BK$37,61,0)-VLOOKUP(conciliacao_custos!B134,#REF!,15,0),0)</f>
        <v>0</v>
      </c>
    </row>
    <row r="135" spans="2:19" x14ac:dyDescent="0.25">
      <c r="B135" s="7">
        <f>[1]salario!A134</f>
        <v>0</v>
      </c>
      <c r="C135" s="8">
        <f>[1]salario!C134</f>
        <v>0</v>
      </c>
      <c r="D135" s="10">
        <f>IFERROR(VLOOKUP(B135,cubo!$A$6:$BE$37,6,0)-VLOOKUP(B135,#REF!,$D$2,0),0)</f>
        <v>0</v>
      </c>
      <c r="E135" s="10">
        <f>IFERROR(VLOOKUP(B135,cubo!$A$6:$BE$37,9,0)-VLOOKUP(B135,#REF!,$E$2,0),0)</f>
        <v>0</v>
      </c>
      <c r="F135" s="9">
        <f>IFERROR(VLOOKUP(B135,cubo!$A$6:$BE$37,12,0)-VLOOKUP(B135,#REF!,$F$2,0),0)</f>
        <v>0</v>
      </c>
      <c r="G135" s="9">
        <f>IFERROR(VLOOKUP(B135,cubo!$A$6:$BE$37,54,0)-VLOOKUP(B135,#REF!,$G$2,0),0)</f>
        <v>0</v>
      </c>
      <c r="H135" s="10">
        <f>IFERROR(VLOOKUP(B135,cubo!$A$6:$BE$37,15,0)-VLOOKUP(B135,#REF!,$H$2,0),0)</f>
        <v>0</v>
      </c>
      <c r="I135" s="9">
        <f>IFERROR(VLOOKUP(B135,cubo!$A$6:$BE$37,18,0)-VLOOKUP(B135,#REF!,$I$2,0),0)</f>
        <v>0</v>
      </c>
      <c r="J135" s="9">
        <f>IFERROR(VLOOKUP(B135,cubo!$A$6:$BE$37,24,0)-VLOOKUP(B135,#REF!,$J$2,0),0)</f>
        <v>0</v>
      </c>
      <c r="K135" s="9">
        <f>IFERROR(VLOOKUP(B135,cubo!$A$6:$BE$37,34,0)-VLOOKUP(B135,#REF!,$K$2,0),0)</f>
        <v>0</v>
      </c>
      <c r="L135" s="8">
        <f>IFERROR(VLOOKUP(B135,cubo!$A$6:$BE$37,38,0)-VLOOKUP(B135,#REF!,$L$2,0),0)</f>
        <v>0</v>
      </c>
      <c r="M135" s="15">
        <f>IFERROR(VLOOKUP(B135,cubo!$A$6:$BE$37,57,0)-VLOOKUP(B135,#REF!,$M$2,0),0)</f>
        <v>0</v>
      </c>
      <c r="N135" s="9">
        <f>IFERROR(VLOOKUP(B135,cubo!$A$6:$BK$37,41,0)-VLOOKUP(conciliacao_custos!B135,#REF!,18,0),0)</f>
        <v>0</v>
      </c>
      <c r="O135" s="9">
        <f>IFERROR(VLOOKUP(B135,cubo!$A$6:$BK$37,44,0)-VLOOKUP(conciliacao_custos!B135,#REF!,13,0),0)</f>
        <v>0</v>
      </c>
      <c r="P135" s="9">
        <f>IFERROR(VLOOKUP(B135,cubo!$A$6:$BK$37,47,0)-VLOOKUP(conciliacao_custos!B135,#REF!,14,0),0)</f>
        <v>0</v>
      </c>
      <c r="Q135" s="9">
        <f>IFERROR(VLOOKUP(B135,cubo!$A$6:$BK$37,58,0)-VLOOKUP(conciliacao_custos!B135,#REF!,16,0),0)</f>
        <v>0</v>
      </c>
      <c r="R135" s="9">
        <f>IFERROR(VLOOKUP(B135,cubo!$A$6:$BK$37,64,0)-VLOOKUP(conciliacao_custos!B135,#REF!,17,0),0)</f>
        <v>0</v>
      </c>
      <c r="S135" s="9">
        <f>IFERROR(VLOOKUP(B135,cubo!$A$6:$BK$37,61,0)-VLOOKUP(conciliacao_custos!B135,#REF!,15,0),0)</f>
        <v>0</v>
      </c>
    </row>
    <row r="136" spans="2:19" x14ac:dyDescent="0.25">
      <c r="B136" s="7">
        <f>[1]salario!A135</f>
        <v>0</v>
      </c>
      <c r="C136" s="8">
        <f>[1]salario!C135</f>
        <v>0</v>
      </c>
      <c r="D136" s="10">
        <f>IFERROR(VLOOKUP(B136,cubo!$A$6:$BE$37,6,0)-VLOOKUP(B136,#REF!,$D$2,0),0)</f>
        <v>0</v>
      </c>
      <c r="E136" s="10">
        <f>IFERROR(VLOOKUP(B136,cubo!$A$6:$BE$37,9,0)-VLOOKUP(B136,#REF!,$E$2,0),0)</f>
        <v>0</v>
      </c>
      <c r="F136" s="9">
        <f>IFERROR(VLOOKUP(B136,cubo!$A$6:$BE$37,12,0)-VLOOKUP(B136,#REF!,$F$2,0),0)</f>
        <v>0</v>
      </c>
      <c r="G136" s="9">
        <f>IFERROR(VLOOKUP(B136,cubo!$A$6:$BE$37,54,0)-VLOOKUP(B136,#REF!,$G$2,0),0)</f>
        <v>0</v>
      </c>
      <c r="H136" s="10">
        <f>IFERROR(VLOOKUP(B136,cubo!$A$6:$BE$37,15,0)-VLOOKUP(B136,#REF!,$H$2,0),0)</f>
        <v>0</v>
      </c>
      <c r="I136" s="9">
        <f>IFERROR(VLOOKUP(B136,cubo!$A$6:$BE$37,18,0)-VLOOKUP(B136,#REF!,$I$2,0),0)</f>
        <v>0</v>
      </c>
      <c r="J136" s="9">
        <f>IFERROR(VLOOKUP(B136,cubo!$A$6:$BE$37,24,0)-VLOOKUP(B136,#REF!,$J$2,0),0)</f>
        <v>0</v>
      </c>
      <c r="K136" s="9">
        <f>IFERROR(VLOOKUP(B136,cubo!$A$6:$BE$37,34,0)-VLOOKUP(B136,#REF!,$K$2,0),0)</f>
        <v>0</v>
      </c>
      <c r="L136" s="8">
        <f>IFERROR(VLOOKUP(B136,cubo!$A$6:$BE$37,38,0)-VLOOKUP(B136,#REF!,$L$2,0),0)</f>
        <v>0</v>
      </c>
      <c r="M136" s="15">
        <f>IFERROR(VLOOKUP(B136,cubo!$A$6:$BE$37,57,0)-VLOOKUP(B136,#REF!,$M$2,0),0)</f>
        <v>0</v>
      </c>
      <c r="N136" s="9">
        <f>IFERROR(VLOOKUP(B136,cubo!$A$6:$BK$37,41,0)-VLOOKUP(conciliacao_custos!B136,#REF!,18,0),0)</f>
        <v>0</v>
      </c>
      <c r="O136" s="9">
        <f>IFERROR(VLOOKUP(B136,cubo!$A$6:$BK$37,44,0)-VLOOKUP(conciliacao_custos!B136,#REF!,13,0),0)</f>
        <v>0</v>
      </c>
      <c r="P136" s="9">
        <f>IFERROR(VLOOKUP(B136,cubo!$A$6:$BK$37,47,0)-VLOOKUP(conciliacao_custos!B136,#REF!,14,0),0)</f>
        <v>0</v>
      </c>
      <c r="Q136" s="9">
        <f>IFERROR(VLOOKUP(B136,cubo!$A$6:$BK$37,58,0)-VLOOKUP(conciliacao_custos!B136,#REF!,16,0),0)</f>
        <v>0</v>
      </c>
      <c r="R136" s="9">
        <f>IFERROR(VLOOKUP(B136,cubo!$A$6:$BK$37,64,0)-VLOOKUP(conciliacao_custos!B136,#REF!,17,0),0)</f>
        <v>0</v>
      </c>
      <c r="S136" s="9">
        <f>IFERROR(VLOOKUP(B136,cubo!$A$6:$BK$37,61,0)-VLOOKUP(conciliacao_custos!B136,#REF!,15,0),0)</f>
        <v>0</v>
      </c>
    </row>
    <row r="137" spans="2:19" x14ac:dyDescent="0.25">
      <c r="B137" s="7">
        <f>[1]salario!A136</f>
        <v>0</v>
      </c>
      <c r="C137" s="8">
        <f>[1]salario!C136</f>
        <v>0</v>
      </c>
      <c r="D137" s="10">
        <f>IFERROR(VLOOKUP(B137,cubo!$A$6:$BE$37,6,0)-VLOOKUP(B137,#REF!,$D$2,0),0)</f>
        <v>0</v>
      </c>
      <c r="E137" s="10">
        <f>IFERROR(VLOOKUP(B137,cubo!$A$6:$BE$37,9,0)-VLOOKUP(B137,#REF!,$E$2,0),0)</f>
        <v>0</v>
      </c>
      <c r="F137" s="9">
        <f>IFERROR(VLOOKUP(B137,cubo!$A$6:$BE$37,12,0)-VLOOKUP(B137,#REF!,$F$2,0),0)</f>
        <v>0</v>
      </c>
      <c r="G137" s="9">
        <f>IFERROR(VLOOKUP(B137,cubo!$A$6:$BE$37,54,0)-VLOOKUP(B137,#REF!,$G$2,0),0)</f>
        <v>0</v>
      </c>
      <c r="H137" s="10">
        <f>IFERROR(VLOOKUP(B137,cubo!$A$6:$BE$37,15,0)-VLOOKUP(B137,#REF!,$H$2,0),0)</f>
        <v>0</v>
      </c>
      <c r="I137" s="9">
        <f>IFERROR(VLOOKUP(B137,cubo!$A$6:$BE$37,18,0)-VLOOKUP(B137,#REF!,$I$2,0),0)</f>
        <v>0</v>
      </c>
      <c r="J137" s="9">
        <f>IFERROR(VLOOKUP(B137,cubo!$A$6:$BE$37,24,0)-VLOOKUP(B137,#REF!,$J$2,0),0)</f>
        <v>0</v>
      </c>
      <c r="K137" s="9">
        <f>IFERROR(VLOOKUP(B137,cubo!$A$6:$BE$37,34,0)-VLOOKUP(B137,#REF!,$K$2,0),0)</f>
        <v>0</v>
      </c>
      <c r="L137" s="8">
        <f>IFERROR(VLOOKUP(B137,cubo!$A$6:$BE$37,38,0)-VLOOKUP(B137,#REF!,$L$2,0),0)</f>
        <v>0</v>
      </c>
      <c r="M137" s="15">
        <f>IFERROR(VLOOKUP(B137,cubo!$A$6:$BE$37,57,0)-VLOOKUP(B137,#REF!,$M$2,0),0)</f>
        <v>0</v>
      </c>
      <c r="N137" s="9">
        <f>IFERROR(VLOOKUP(B137,cubo!$A$6:$BK$37,41,0)-VLOOKUP(conciliacao_custos!B137,#REF!,18,0),0)</f>
        <v>0</v>
      </c>
      <c r="O137" s="9">
        <f>IFERROR(VLOOKUP(B137,cubo!$A$6:$BK$37,44,0)-VLOOKUP(conciliacao_custos!B137,#REF!,13,0),0)</f>
        <v>0</v>
      </c>
      <c r="P137" s="9">
        <f>IFERROR(VLOOKUP(B137,cubo!$A$6:$BK$37,47,0)-VLOOKUP(conciliacao_custos!B137,#REF!,14,0),0)</f>
        <v>0</v>
      </c>
      <c r="Q137" s="9">
        <f>IFERROR(VLOOKUP(B137,cubo!$A$6:$BK$37,58,0)-VLOOKUP(conciliacao_custos!B137,#REF!,16,0),0)</f>
        <v>0</v>
      </c>
      <c r="R137" s="9">
        <f>IFERROR(VLOOKUP(B137,cubo!$A$6:$BK$37,64,0)-VLOOKUP(conciliacao_custos!B137,#REF!,17,0),0)</f>
        <v>0</v>
      </c>
      <c r="S137" s="9">
        <f>IFERROR(VLOOKUP(B137,cubo!$A$6:$BK$37,61,0)-VLOOKUP(conciliacao_custos!B137,#REF!,15,0),0)</f>
        <v>0</v>
      </c>
    </row>
    <row r="138" spans="2:19" x14ac:dyDescent="0.25">
      <c r="B138" s="7">
        <f>[1]salario!A137</f>
        <v>0</v>
      </c>
      <c r="C138" s="8">
        <f>[1]salario!C137</f>
        <v>0</v>
      </c>
      <c r="D138" s="10">
        <f>IFERROR(VLOOKUP(B138,cubo!$A$6:$BE$37,6,0)-VLOOKUP(B138,#REF!,$D$2,0),0)</f>
        <v>0</v>
      </c>
      <c r="E138" s="10">
        <f>IFERROR(VLOOKUP(B138,cubo!$A$6:$BE$37,9,0)-VLOOKUP(B138,#REF!,$E$2,0),0)</f>
        <v>0</v>
      </c>
      <c r="F138" s="9">
        <f>IFERROR(VLOOKUP(B138,cubo!$A$6:$BE$37,12,0)-VLOOKUP(B138,#REF!,$F$2,0),0)</f>
        <v>0</v>
      </c>
      <c r="G138" s="9">
        <f>IFERROR(VLOOKUP(B138,cubo!$A$6:$BE$37,54,0)-VLOOKUP(B138,#REF!,$G$2,0),0)</f>
        <v>0</v>
      </c>
      <c r="H138" s="10">
        <f>IFERROR(VLOOKUP(B138,cubo!$A$6:$BE$37,15,0)-VLOOKUP(B138,#REF!,$H$2,0),0)</f>
        <v>0</v>
      </c>
      <c r="I138" s="9">
        <f>IFERROR(VLOOKUP(B138,cubo!$A$6:$BE$37,18,0)-VLOOKUP(B138,#REF!,$I$2,0),0)</f>
        <v>0</v>
      </c>
      <c r="J138" s="9">
        <f>IFERROR(VLOOKUP(B138,cubo!$A$6:$BE$37,24,0)-VLOOKUP(B138,#REF!,$J$2,0),0)</f>
        <v>0</v>
      </c>
      <c r="K138" s="9">
        <f>IFERROR(VLOOKUP(B138,cubo!$A$6:$BE$37,34,0)-VLOOKUP(B138,#REF!,$K$2,0),0)</f>
        <v>0</v>
      </c>
      <c r="L138" s="8">
        <f>IFERROR(VLOOKUP(B138,cubo!$A$6:$BE$37,38,0)-VLOOKUP(B138,#REF!,$L$2,0),0)</f>
        <v>0</v>
      </c>
      <c r="M138" s="15">
        <f>IFERROR(VLOOKUP(B138,cubo!$A$6:$BE$37,57,0)-VLOOKUP(B138,#REF!,$M$2,0),0)</f>
        <v>0</v>
      </c>
      <c r="N138" s="9">
        <f>IFERROR(VLOOKUP(B138,cubo!$A$6:$BK$37,41,0)-VLOOKUP(conciliacao_custos!B138,#REF!,18,0),0)</f>
        <v>0</v>
      </c>
      <c r="O138" s="9">
        <f>IFERROR(VLOOKUP(B138,cubo!$A$6:$BK$37,44,0)-VLOOKUP(conciliacao_custos!B138,#REF!,13,0),0)</f>
        <v>0</v>
      </c>
      <c r="P138" s="9">
        <f>IFERROR(VLOOKUP(B138,cubo!$A$6:$BK$37,47,0)-VLOOKUP(conciliacao_custos!B138,#REF!,14,0),0)</f>
        <v>0</v>
      </c>
      <c r="Q138" s="9">
        <f>IFERROR(VLOOKUP(B138,cubo!$A$6:$BK$37,58,0)-VLOOKUP(conciliacao_custos!B138,#REF!,16,0),0)</f>
        <v>0</v>
      </c>
      <c r="R138" s="9">
        <f>IFERROR(VLOOKUP(B138,cubo!$A$6:$BK$37,64,0)-VLOOKUP(conciliacao_custos!B138,#REF!,17,0),0)</f>
        <v>0</v>
      </c>
      <c r="S138" s="9">
        <f>IFERROR(VLOOKUP(B138,cubo!$A$6:$BK$37,61,0)-VLOOKUP(conciliacao_custos!B138,#REF!,15,0),0)</f>
        <v>0</v>
      </c>
    </row>
    <row r="139" spans="2:19" x14ac:dyDescent="0.25">
      <c r="B139" s="7">
        <f>[1]salario!A138</f>
        <v>0</v>
      </c>
      <c r="C139" s="8">
        <f>[1]salario!C138</f>
        <v>0</v>
      </c>
      <c r="D139" s="10">
        <f>IFERROR(VLOOKUP(B139,cubo!$A$6:$BE$37,6,0)-VLOOKUP(B139,#REF!,$D$2,0),0)</f>
        <v>0</v>
      </c>
      <c r="E139" s="10">
        <f>IFERROR(VLOOKUP(B139,cubo!$A$6:$BE$37,9,0)-VLOOKUP(B139,#REF!,$E$2,0),0)</f>
        <v>0</v>
      </c>
      <c r="F139" s="9">
        <f>IFERROR(VLOOKUP(B139,cubo!$A$6:$BE$37,12,0)-VLOOKUP(B139,#REF!,$F$2,0),0)</f>
        <v>0</v>
      </c>
      <c r="G139" s="9">
        <f>IFERROR(VLOOKUP(B139,cubo!$A$6:$BE$37,54,0)-VLOOKUP(B139,#REF!,$G$2,0),0)</f>
        <v>0</v>
      </c>
      <c r="H139" s="10">
        <f>IFERROR(VLOOKUP(B139,cubo!$A$6:$BE$37,15,0)-VLOOKUP(B139,#REF!,$H$2,0),0)</f>
        <v>0</v>
      </c>
      <c r="I139" s="9">
        <f>IFERROR(VLOOKUP(B139,cubo!$A$6:$BE$37,18,0)-VLOOKUP(B139,#REF!,$I$2,0),0)</f>
        <v>0</v>
      </c>
      <c r="J139" s="9">
        <f>IFERROR(VLOOKUP(B139,cubo!$A$6:$BE$37,24,0)-VLOOKUP(B139,#REF!,$J$2,0),0)</f>
        <v>0</v>
      </c>
      <c r="K139" s="9">
        <f>IFERROR(VLOOKUP(B139,cubo!$A$6:$BE$37,34,0)-VLOOKUP(B139,#REF!,$K$2,0),0)</f>
        <v>0</v>
      </c>
      <c r="L139" s="8">
        <f>IFERROR(VLOOKUP(B139,cubo!$A$6:$BE$37,38,0)-VLOOKUP(B139,#REF!,$L$2,0),0)</f>
        <v>0</v>
      </c>
      <c r="M139" s="15">
        <f>IFERROR(VLOOKUP(B139,cubo!$A$6:$BE$37,57,0)-VLOOKUP(B139,#REF!,$M$2,0),0)</f>
        <v>0</v>
      </c>
      <c r="N139" s="9">
        <f>IFERROR(VLOOKUP(B139,cubo!$A$6:$BK$37,41,0)-VLOOKUP(conciliacao_custos!B139,#REF!,18,0),0)</f>
        <v>0</v>
      </c>
      <c r="O139" s="9">
        <f>IFERROR(VLOOKUP(B139,cubo!$A$6:$BK$37,44,0)-VLOOKUP(conciliacao_custos!B139,#REF!,13,0),0)</f>
        <v>0</v>
      </c>
      <c r="P139" s="9">
        <f>IFERROR(VLOOKUP(B139,cubo!$A$6:$BK$37,47,0)-VLOOKUP(conciliacao_custos!B139,#REF!,14,0),0)</f>
        <v>0</v>
      </c>
      <c r="Q139" s="9">
        <f>IFERROR(VLOOKUP(B139,cubo!$A$6:$BK$37,58,0)-VLOOKUP(conciliacao_custos!B139,#REF!,16,0),0)</f>
        <v>0</v>
      </c>
      <c r="R139" s="9">
        <f>IFERROR(VLOOKUP(B139,cubo!$A$6:$BK$37,64,0)-VLOOKUP(conciliacao_custos!B139,#REF!,17,0),0)</f>
        <v>0</v>
      </c>
      <c r="S139" s="9">
        <f>IFERROR(VLOOKUP(B139,cubo!$A$6:$BK$37,61,0)-VLOOKUP(conciliacao_custos!B139,#REF!,15,0),0)</f>
        <v>0</v>
      </c>
    </row>
    <row r="140" spans="2:19" x14ac:dyDescent="0.25">
      <c r="B140" s="7">
        <f>[1]salario!A139</f>
        <v>0</v>
      </c>
      <c r="C140" s="8">
        <f>[1]salario!C139</f>
        <v>0</v>
      </c>
      <c r="D140" s="10">
        <f>IFERROR(VLOOKUP(B140,cubo!$A$6:$BE$37,6,0)-VLOOKUP(B140,#REF!,$D$2,0),0)</f>
        <v>0</v>
      </c>
      <c r="E140" s="10">
        <f>IFERROR(VLOOKUP(B140,cubo!$A$6:$BE$37,9,0)-VLOOKUP(B140,#REF!,$E$2,0),0)</f>
        <v>0</v>
      </c>
      <c r="F140" s="9">
        <f>IFERROR(VLOOKUP(B140,cubo!$A$6:$BE$37,12,0)-VLOOKUP(B140,#REF!,$F$2,0),0)</f>
        <v>0</v>
      </c>
      <c r="G140" s="9">
        <f>IFERROR(VLOOKUP(B140,cubo!$A$6:$BE$37,54,0)-VLOOKUP(B140,#REF!,$G$2,0),0)</f>
        <v>0</v>
      </c>
      <c r="H140" s="10">
        <f>IFERROR(VLOOKUP(B140,cubo!$A$6:$BE$37,15,0)-VLOOKUP(B140,#REF!,$H$2,0),0)</f>
        <v>0</v>
      </c>
      <c r="I140" s="9">
        <f>IFERROR(VLOOKUP(B140,cubo!$A$6:$BE$37,18,0)-VLOOKUP(B140,#REF!,$I$2,0),0)</f>
        <v>0</v>
      </c>
      <c r="J140" s="9">
        <f>IFERROR(VLOOKUP(B140,cubo!$A$6:$BE$37,24,0)-VLOOKUP(B140,#REF!,$J$2,0),0)</f>
        <v>0</v>
      </c>
      <c r="K140" s="9">
        <f>IFERROR(VLOOKUP(B140,cubo!$A$6:$BE$37,34,0)-VLOOKUP(B140,#REF!,$K$2,0),0)</f>
        <v>0</v>
      </c>
      <c r="L140" s="8">
        <f>IFERROR(VLOOKUP(B140,cubo!$A$6:$BE$37,38,0)-VLOOKUP(B140,#REF!,$L$2,0),0)</f>
        <v>0</v>
      </c>
      <c r="M140" s="15">
        <f>IFERROR(VLOOKUP(B140,cubo!$A$6:$BE$37,57,0)-VLOOKUP(B140,#REF!,$M$2,0),0)</f>
        <v>0</v>
      </c>
      <c r="N140" s="9">
        <f>IFERROR(VLOOKUP(B140,cubo!$A$6:$BK$37,41,0)-VLOOKUP(conciliacao_custos!B140,#REF!,18,0),0)</f>
        <v>0</v>
      </c>
      <c r="O140" s="9">
        <f>IFERROR(VLOOKUP(B140,cubo!$A$6:$BK$37,44,0)-VLOOKUP(conciliacao_custos!B140,#REF!,13,0),0)</f>
        <v>0</v>
      </c>
      <c r="P140" s="9">
        <f>IFERROR(VLOOKUP(B140,cubo!$A$6:$BK$37,47,0)-VLOOKUP(conciliacao_custos!B140,#REF!,14,0),0)</f>
        <v>0</v>
      </c>
      <c r="Q140" s="9">
        <f>IFERROR(VLOOKUP(B140,cubo!$A$6:$BK$37,58,0)-VLOOKUP(conciliacao_custos!B140,#REF!,16,0),0)</f>
        <v>0</v>
      </c>
      <c r="R140" s="9">
        <f>IFERROR(VLOOKUP(B140,cubo!$A$6:$BK$37,64,0)-VLOOKUP(conciliacao_custos!B140,#REF!,17,0),0)</f>
        <v>0</v>
      </c>
      <c r="S140" s="9">
        <f>IFERROR(VLOOKUP(B140,cubo!$A$6:$BK$37,61,0)-VLOOKUP(conciliacao_custos!B140,#REF!,15,0),0)</f>
        <v>0</v>
      </c>
    </row>
    <row r="141" spans="2:19" x14ac:dyDescent="0.25">
      <c r="B141" s="7">
        <f>[1]salario!A140</f>
        <v>0</v>
      </c>
      <c r="C141" s="8">
        <f>[1]salario!C140</f>
        <v>0</v>
      </c>
      <c r="D141" s="10">
        <f>IFERROR(VLOOKUP(B141,cubo!$A$6:$BE$37,6,0)-VLOOKUP(B141,#REF!,$D$2,0),0)</f>
        <v>0</v>
      </c>
      <c r="E141" s="10">
        <f>IFERROR(VLOOKUP(B141,cubo!$A$6:$BE$37,9,0)-VLOOKUP(B141,#REF!,$E$2,0),0)</f>
        <v>0</v>
      </c>
      <c r="F141" s="9">
        <f>IFERROR(VLOOKUP(B141,cubo!$A$6:$BE$37,12,0)-VLOOKUP(B141,#REF!,$F$2,0),0)</f>
        <v>0</v>
      </c>
      <c r="G141" s="9">
        <f>IFERROR(VLOOKUP(B141,cubo!$A$6:$BE$37,54,0)-VLOOKUP(B141,#REF!,$G$2,0),0)</f>
        <v>0</v>
      </c>
      <c r="H141" s="10">
        <f>IFERROR(VLOOKUP(B141,cubo!$A$6:$BE$37,15,0)-VLOOKUP(B141,#REF!,$H$2,0),0)</f>
        <v>0</v>
      </c>
      <c r="I141" s="9">
        <f>IFERROR(VLOOKUP(B141,cubo!$A$6:$BE$37,18,0)-VLOOKUP(B141,#REF!,$I$2,0),0)</f>
        <v>0</v>
      </c>
      <c r="J141" s="9">
        <f>IFERROR(VLOOKUP(B141,cubo!$A$6:$BE$37,24,0)-VLOOKUP(B141,#REF!,$J$2,0),0)</f>
        <v>0</v>
      </c>
      <c r="K141" s="9">
        <f>IFERROR(VLOOKUP(B141,cubo!$A$6:$BE$37,34,0)-VLOOKUP(B141,#REF!,$K$2,0),0)</f>
        <v>0</v>
      </c>
      <c r="L141" s="8">
        <f>IFERROR(VLOOKUP(B141,cubo!$A$6:$BE$37,38,0)-VLOOKUP(B141,#REF!,$L$2,0),0)</f>
        <v>0</v>
      </c>
      <c r="M141" s="15">
        <f>IFERROR(VLOOKUP(B141,cubo!$A$6:$BE$37,57,0)-VLOOKUP(B141,#REF!,$M$2,0),0)</f>
        <v>0</v>
      </c>
      <c r="N141" s="9">
        <f>IFERROR(VLOOKUP(B141,cubo!$A$6:$BK$37,41,0)-VLOOKUP(conciliacao_custos!B141,#REF!,18,0),0)</f>
        <v>0</v>
      </c>
      <c r="O141" s="9">
        <f>IFERROR(VLOOKUP(B141,cubo!$A$6:$BK$37,44,0)-VLOOKUP(conciliacao_custos!B141,#REF!,13,0),0)</f>
        <v>0</v>
      </c>
      <c r="P141" s="9">
        <f>IFERROR(VLOOKUP(B141,cubo!$A$6:$BK$37,47,0)-VLOOKUP(conciliacao_custos!B141,#REF!,14,0),0)</f>
        <v>0</v>
      </c>
      <c r="Q141" s="9">
        <f>IFERROR(VLOOKUP(B141,cubo!$A$6:$BK$37,58,0)-VLOOKUP(conciliacao_custos!B141,#REF!,16,0),0)</f>
        <v>0</v>
      </c>
      <c r="R141" s="9">
        <f>IFERROR(VLOOKUP(B141,cubo!$A$6:$BK$37,64,0)-VLOOKUP(conciliacao_custos!B141,#REF!,17,0),0)</f>
        <v>0</v>
      </c>
      <c r="S141" s="9">
        <f>IFERROR(VLOOKUP(B141,cubo!$A$6:$BK$37,61,0)-VLOOKUP(conciliacao_custos!B141,#REF!,15,0),0)</f>
        <v>0</v>
      </c>
    </row>
    <row r="142" spans="2:19" x14ac:dyDescent="0.25">
      <c r="B142" s="7">
        <f>[1]salario!A141</f>
        <v>0</v>
      </c>
      <c r="C142" s="8">
        <f>[1]salario!C141</f>
        <v>0</v>
      </c>
      <c r="D142" s="10">
        <f>IFERROR(VLOOKUP(B142,cubo!$A$6:$BE$37,6,0)-VLOOKUP(B142,#REF!,$D$2,0),0)</f>
        <v>0</v>
      </c>
      <c r="E142" s="10">
        <f>IFERROR(VLOOKUP(B142,cubo!$A$6:$BE$37,9,0)-VLOOKUP(B142,#REF!,$E$2,0),0)</f>
        <v>0</v>
      </c>
      <c r="F142" s="9">
        <f>IFERROR(VLOOKUP(B142,cubo!$A$6:$BE$37,12,0)-VLOOKUP(B142,#REF!,$F$2,0),0)</f>
        <v>0</v>
      </c>
      <c r="G142" s="9">
        <f>IFERROR(VLOOKUP(B142,cubo!$A$6:$BE$37,54,0)-VLOOKUP(B142,#REF!,$G$2,0),0)</f>
        <v>0</v>
      </c>
      <c r="H142" s="10">
        <f>IFERROR(VLOOKUP(B142,cubo!$A$6:$BE$37,15,0)-VLOOKUP(B142,#REF!,$H$2,0),0)</f>
        <v>0</v>
      </c>
      <c r="I142" s="9">
        <f>IFERROR(VLOOKUP(B142,cubo!$A$6:$BE$37,18,0)-VLOOKUP(B142,#REF!,$I$2,0),0)</f>
        <v>0</v>
      </c>
      <c r="J142" s="9">
        <f>IFERROR(VLOOKUP(B142,cubo!$A$6:$BE$37,24,0)-VLOOKUP(B142,#REF!,$J$2,0),0)</f>
        <v>0</v>
      </c>
      <c r="K142" s="9">
        <f>IFERROR(VLOOKUP(B142,cubo!$A$6:$BE$37,34,0)-VLOOKUP(B142,#REF!,$K$2,0),0)</f>
        <v>0</v>
      </c>
      <c r="L142" s="8">
        <f>IFERROR(VLOOKUP(B142,cubo!$A$6:$BE$37,38,0)-VLOOKUP(B142,#REF!,$L$2,0),0)</f>
        <v>0</v>
      </c>
      <c r="M142" s="15">
        <f>IFERROR(VLOOKUP(B142,cubo!$A$6:$BE$37,57,0)-VLOOKUP(B142,#REF!,$M$2,0),0)</f>
        <v>0</v>
      </c>
      <c r="N142" s="9">
        <f>IFERROR(VLOOKUP(B142,cubo!$A$6:$BK$37,41,0)-VLOOKUP(conciliacao_custos!B142,#REF!,18,0),0)</f>
        <v>0</v>
      </c>
      <c r="O142" s="9">
        <f>IFERROR(VLOOKUP(B142,cubo!$A$6:$BK$37,44,0)-VLOOKUP(conciliacao_custos!B142,#REF!,13,0),0)</f>
        <v>0</v>
      </c>
      <c r="P142" s="9">
        <f>IFERROR(VLOOKUP(B142,cubo!$A$6:$BK$37,47,0)-VLOOKUP(conciliacao_custos!B142,#REF!,14,0),0)</f>
        <v>0</v>
      </c>
      <c r="Q142" s="9">
        <f>IFERROR(VLOOKUP(B142,cubo!$A$6:$BK$37,58,0)-VLOOKUP(conciliacao_custos!B142,#REF!,16,0),0)</f>
        <v>0</v>
      </c>
      <c r="R142" s="9">
        <f>IFERROR(VLOOKUP(B142,cubo!$A$6:$BK$37,64,0)-VLOOKUP(conciliacao_custos!B142,#REF!,17,0),0)</f>
        <v>0</v>
      </c>
      <c r="S142" s="9">
        <f>IFERROR(VLOOKUP(B142,cubo!$A$6:$BK$37,61,0)-VLOOKUP(conciliacao_custos!B142,#REF!,15,0),0)</f>
        <v>0</v>
      </c>
    </row>
    <row r="143" spans="2:19" x14ac:dyDescent="0.25">
      <c r="B143" s="7">
        <f>[1]salario!A142</f>
        <v>0</v>
      </c>
      <c r="C143" s="8">
        <f>[1]salario!C142</f>
        <v>0</v>
      </c>
      <c r="D143" s="10">
        <f>IFERROR(VLOOKUP(B143,cubo!$A$6:$BE$37,6,0)-VLOOKUP(B143,#REF!,$D$2,0),0)</f>
        <v>0</v>
      </c>
      <c r="E143" s="10">
        <f>IFERROR(VLOOKUP(B143,cubo!$A$6:$BE$37,9,0)-VLOOKUP(B143,#REF!,$E$2,0),0)</f>
        <v>0</v>
      </c>
      <c r="F143" s="9">
        <f>IFERROR(VLOOKUP(B143,cubo!$A$6:$BE$37,12,0)-VLOOKUP(B143,#REF!,$F$2,0),0)</f>
        <v>0</v>
      </c>
      <c r="G143" s="9">
        <f>IFERROR(VLOOKUP(B143,cubo!$A$6:$BE$37,54,0)-VLOOKUP(B143,#REF!,$G$2,0),0)</f>
        <v>0</v>
      </c>
      <c r="H143" s="10">
        <f>IFERROR(VLOOKUP(B143,cubo!$A$6:$BE$37,15,0)-VLOOKUP(B143,#REF!,$H$2,0),0)</f>
        <v>0</v>
      </c>
      <c r="I143" s="9">
        <f>IFERROR(VLOOKUP(B143,cubo!$A$6:$BE$37,18,0)-VLOOKUP(B143,#REF!,$I$2,0),0)</f>
        <v>0</v>
      </c>
      <c r="J143" s="9">
        <f>IFERROR(VLOOKUP(B143,cubo!$A$6:$BE$37,24,0)-VLOOKUP(B143,#REF!,$J$2,0),0)</f>
        <v>0</v>
      </c>
      <c r="K143" s="9">
        <f>IFERROR(VLOOKUP(B143,cubo!$A$6:$BE$37,34,0)-VLOOKUP(B143,#REF!,$K$2,0),0)</f>
        <v>0</v>
      </c>
      <c r="L143" s="8">
        <f>IFERROR(VLOOKUP(B143,cubo!$A$6:$BE$37,38,0)-VLOOKUP(B143,#REF!,$L$2,0),0)</f>
        <v>0</v>
      </c>
      <c r="M143" s="15">
        <f>IFERROR(VLOOKUP(B143,cubo!$A$6:$BE$37,57,0)-VLOOKUP(B143,#REF!,$M$2,0),0)</f>
        <v>0</v>
      </c>
      <c r="N143" s="9">
        <f>IFERROR(VLOOKUP(B143,cubo!$A$6:$BK$37,41,0)-VLOOKUP(conciliacao_custos!B143,#REF!,18,0),0)</f>
        <v>0</v>
      </c>
      <c r="O143" s="9">
        <f>IFERROR(VLOOKUP(B143,cubo!$A$6:$BK$37,44,0)-VLOOKUP(conciliacao_custos!B143,#REF!,13,0),0)</f>
        <v>0</v>
      </c>
      <c r="P143" s="9">
        <f>IFERROR(VLOOKUP(B143,cubo!$A$6:$BK$37,47,0)-VLOOKUP(conciliacao_custos!B143,#REF!,14,0),0)</f>
        <v>0</v>
      </c>
      <c r="Q143" s="9">
        <f>IFERROR(VLOOKUP(B143,cubo!$A$6:$BK$37,58,0)-VLOOKUP(conciliacao_custos!B143,#REF!,16,0),0)</f>
        <v>0</v>
      </c>
      <c r="R143" s="9">
        <f>IFERROR(VLOOKUP(B143,cubo!$A$6:$BK$37,64,0)-VLOOKUP(conciliacao_custos!B143,#REF!,17,0),0)</f>
        <v>0</v>
      </c>
      <c r="S143" s="9">
        <f>IFERROR(VLOOKUP(B143,cubo!$A$6:$BK$37,61,0)-VLOOKUP(conciliacao_custos!B143,#REF!,15,0),0)</f>
        <v>0</v>
      </c>
    </row>
    <row r="144" spans="2:19" x14ac:dyDescent="0.25">
      <c r="B144" s="7">
        <f>[1]salario!A143</f>
        <v>0</v>
      </c>
      <c r="C144" s="8">
        <f>[1]salario!C143</f>
        <v>0</v>
      </c>
      <c r="D144" s="10">
        <f>IFERROR(VLOOKUP(B144,cubo!$A$6:$BE$37,6,0)-VLOOKUP(B144,#REF!,$D$2,0),0)</f>
        <v>0</v>
      </c>
      <c r="E144" s="10">
        <f>IFERROR(VLOOKUP(B144,cubo!$A$6:$BE$37,9,0)-VLOOKUP(B144,#REF!,$E$2,0),0)</f>
        <v>0</v>
      </c>
      <c r="F144" s="9">
        <f>IFERROR(VLOOKUP(B144,cubo!$A$6:$BE$37,12,0)-VLOOKUP(B144,#REF!,$F$2,0),0)</f>
        <v>0</v>
      </c>
      <c r="G144" s="9">
        <f>IFERROR(VLOOKUP(B144,cubo!$A$6:$BE$37,54,0)-VLOOKUP(B144,#REF!,$G$2,0),0)</f>
        <v>0</v>
      </c>
      <c r="H144" s="10">
        <f>IFERROR(VLOOKUP(B144,cubo!$A$6:$BE$37,15,0)-VLOOKUP(B144,#REF!,$H$2,0),0)</f>
        <v>0</v>
      </c>
      <c r="I144" s="9">
        <f>IFERROR(VLOOKUP(B144,cubo!$A$6:$BE$37,18,0)-VLOOKUP(B144,#REF!,$I$2,0),0)</f>
        <v>0</v>
      </c>
      <c r="J144" s="9">
        <f>IFERROR(VLOOKUP(B144,cubo!$A$6:$BE$37,24,0)-VLOOKUP(B144,#REF!,$J$2,0),0)</f>
        <v>0</v>
      </c>
      <c r="K144" s="9">
        <f>IFERROR(VLOOKUP(B144,cubo!$A$6:$BE$37,34,0)-VLOOKUP(B144,#REF!,$K$2,0),0)</f>
        <v>0</v>
      </c>
      <c r="L144" s="8">
        <f>IFERROR(VLOOKUP(B144,cubo!$A$6:$BE$37,38,0)-VLOOKUP(B144,#REF!,$L$2,0),0)</f>
        <v>0</v>
      </c>
      <c r="M144" s="15">
        <f>IFERROR(VLOOKUP(B144,cubo!$A$6:$BE$37,57,0)-VLOOKUP(B144,#REF!,$M$2,0),0)</f>
        <v>0</v>
      </c>
      <c r="N144" s="9">
        <f>IFERROR(VLOOKUP(B144,cubo!$A$6:$BK$37,41,0)-VLOOKUP(conciliacao_custos!B144,#REF!,18,0),0)</f>
        <v>0</v>
      </c>
      <c r="O144" s="9">
        <f>IFERROR(VLOOKUP(B144,cubo!$A$6:$BK$37,44,0)-VLOOKUP(conciliacao_custos!B144,#REF!,13,0),0)</f>
        <v>0</v>
      </c>
      <c r="P144" s="9">
        <f>IFERROR(VLOOKUP(B144,cubo!$A$6:$BK$37,47,0)-VLOOKUP(conciliacao_custos!B144,#REF!,14,0),0)</f>
        <v>0</v>
      </c>
      <c r="Q144" s="9">
        <f>IFERROR(VLOOKUP(B144,cubo!$A$6:$BK$37,58,0)-VLOOKUP(conciliacao_custos!B144,#REF!,16,0),0)</f>
        <v>0</v>
      </c>
      <c r="R144" s="9">
        <f>IFERROR(VLOOKUP(B144,cubo!$A$6:$BK$37,64,0)-VLOOKUP(conciliacao_custos!B144,#REF!,17,0),0)</f>
        <v>0</v>
      </c>
      <c r="S144" s="9">
        <f>IFERROR(VLOOKUP(B144,cubo!$A$6:$BK$37,61,0)-VLOOKUP(conciliacao_custos!B144,#REF!,15,0),0)</f>
        <v>0</v>
      </c>
    </row>
    <row r="145" spans="2:19" x14ac:dyDescent="0.25">
      <c r="B145" s="7">
        <f>[1]salario!A144</f>
        <v>0</v>
      </c>
      <c r="C145" s="8">
        <f>[1]salario!C144</f>
        <v>0</v>
      </c>
      <c r="D145" s="10">
        <f>IFERROR(VLOOKUP(B145,cubo!$A$6:$BE$37,6,0)-VLOOKUP(B145,#REF!,$D$2,0),0)</f>
        <v>0</v>
      </c>
      <c r="E145" s="10">
        <f>IFERROR(VLOOKUP(B145,cubo!$A$6:$BE$37,9,0)-VLOOKUP(B145,#REF!,$E$2,0),0)</f>
        <v>0</v>
      </c>
      <c r="F145" s="9">
        <f>IFERROR(VLOOKUP(B145,cubo!$A$6:$BE$37,12,0)-VLOOKUP(B145,#REF!,$F$2,0),0)</f>
        <v>0</v>
      </c>
      <c r="G145" s="9">
        <f>IFERROR(VLOOKUP(B145,cubo!$A$6:$BE$37,54,0)-VLOOKUP(B145,#REF!,$G$2,0),0)</f>
        <v>0</v>
      </c>
      <c r="H145" s="10">
        <f>IFERROR(VLOOKUP(B145,cubo!$A$6:$BE$37,15,0)-VLOOKUP(B145,#REF!,$H$2,0),0)</f>
        <v>0</v>
      </c>
      <c r="I145" s="9">
        <f>IFERROR(VLOOKUP(B145,cubo!$A$6:$BE$37,18,0)-VLOOKUP(B145,#REF!,$I$2,0),0)</f>
        <v>0</v>
      </c>
      <c r="J145" s="9">
        <f>IFERROR(VLOOKUP(B145,cubo!$A$6:$BE$37,24,0)-VLOOKUP(B145,#REF!,$J$2,0),0)</f>
        <v>0</v>
      </c>
      <c r="K145" s="9">
        <f>IFERROR(VLOOKUP(B145,cubo!$A$6:$BE$37,34,0)-VLOOKUP(B145,#REF!,$K$2,0),0)</f>
        <v>0</v>
      </c>
      <c r="L145" s="8">
        <f>IFERROR(VLOOKUP(B145,cubo!$A$6:$BE$37,38,0)-VLOOKUP(B145,#REF!,$L$2,0),0)</f>
        <v>0</v>
      </c>
      <c r="M145" s="15">
        <f>IFERROR(VLOOKUP(B145,cubo!$A$6:$BE$37,57,0)-VLOOKUP(B145,#REF!,$M$2,0),0)</f>
        <v>0</v>
      </c>
      <c r="N145" s="9">
        <f>IFERROR(VLOOKUP(B145,cubo!$A$6:$BK$37,41,0)-VLOOKUP(conciliacao_custos!B145,#REF!,18,0),0)</f>
        <v>0</v>
      </c>
      <c r="O145" s="9">
        <f>IFERROR(VLOOKUP(B145,cubo!$A$6:$BK$37,44,0)-VLOOKUP(conciliacao_custos!B145,#REF!,13,0),0)</f>
        <v>0</v>
      </c>
      <c r="P145" s="9">
        <f>IFERROR(VLOOKUP(B145,cubo!$A$6:$BK$37,47,0)-VLOOKUP(conciliacao_custos!B145,#REF!,14,0),0)</f>
        <v>0</v>
      </c>
      <c r="Q145" s="9">
        <f>IFERROR(VLOOKUP(B145,cubo!$A$6:$BK$37,58,0)-VLOOKUP(conciliacao_custos!B145,#REF!,16,0),0)</f>
        <v>0</v>
      </c>
      <c r="R145" s="9">
        <f>IFERROR(VLOOKUP(B145,cubo!$A$6:$BK$37,64,0)-VLOOKUP(conciliacao_custos!B145,#REF!,17,0),0)</f>
        <v>0</v>
      </c>
      <c r="S145" s="9">
        <f>IFERROR(VLOOKUP(B145,cubo!$A$6:$BK$37,61,0)-VLOOKUP(conciliacao_custos!B145,#REF!,15,0),0)</f>
        <v>0</v>
      </c>
    </row>
    <row r="146" spans="2:19" x14ac:dyDescent="0.25">
      <c r="B146" s="7">
        <f>[1]salario!A145</f>
        <v>0</v>
      </c>
      <c r="C146" s="8">
        <f>[1]salario!C145</f>
        <v>0</v>
      </c>
      <c r="D146" s="10">
        <f>IFERROR(VLOOKUP(B146,cubo!$A$6:$BE$37,6,0)-VLOOKUP(B146,#REF!,$D$2,0),0)</f>
        <v>0</v>
      </c>
      <c r="E146" s="10">
        <f>IFERROR(VLOOKUP(B146,cubo!$A$6:$BE$37,9,0)-VLOOKUP(B146,#REF!,$E$2,0),0)</f>
        <v>0</v>
      </c>
      <c r="F146" s="9">
        <f>IFERROR(VLOOKUP(B146,cubo!$A$6:$BE$37,12,0)-VLOOKUP(B146,#REF!,$F$2,0),0)</f>
        <v>0</v>
      </c>
      <c r="G146" s="9">
        <f>IFERROR(VLOOKUP(B146,cubo!$A$6:$BE$37,54,0)-VLOOKUP(B146,#REF!,$G$2,0),0)</f>
        <v>0</v>
      </c>
      <c r="H146" s="10">
        <f>IFERROR(VLOOKUP(B146,cubo!$A$6:$BE$37,15,0)-VLOOKUP(B146,#REF!,$H$2,0),0)</f>
        <v>0</v>
      </c>
      <c r="I146" s="9">
        <f>IFERROR(VLOOKUP(B146,cubo!$A$6:$BE$37,18,0)-VLOOKUP(B146,#REF!,$I$2,0),0)</f>
        <v>0</v>
      </c>
      <c r="J146" s="9">
        <f>IFERROR(VLOOKUP(B146,cubo!$A$6:$BE$37,24,0)-VLOOKUP(B146,#REF!,$J$2,0),0)</f>
        <v>0</v>
      </c>
      <c r="K146" s="9">
        <f>IFERROR(VLOOKUP(B146,cubo!$A$6:$BE$37,34,0)-VLOOKUP(B146,#REF!,$K$2,0),0)</f>
        <v>0</v>
      </c>
      <c r="L146" s="8">
        <f>IFERROR(VLOOKUP(B146,cubo!$A$6:$BE$37,38,0)-VLOOKUP(B146,#REF!,$L$2,0),0)</f>
        <v>0</v>
      </c>
      <c r="M146" s="15">
        <f>IFERROR(VLOOKUP(B146,cubo!$A$6:$BE$37,57,0)-VLOOKUP(B146,#REF!,$M$2,0),0)</f>
        <v>0</v>
      </c>
      <c r="N146" s="9">
        <f>IFERROR(VLOOKUP(B146,cubo!$A$6:$BK$37,41,0)-VLOOKUP(conciliacao_custos!B146,#REF!,18,0),0)</f>
        <v>0</v>
      </c>
      <c r="O146" s="9">
        <f>IFERROR(VLOOKUP(B146,cubo!$A$6:$BK$37,44,0)-VLOOKUP(conciliacao_custos!B146,#REF!,13,0),0)</f>
        <v>0</v>
      </c>
      <c r="P146" s="9">
        <f>IFERROR(VLOOKUP(B146,cubo!$A$6:$BK$37,47,0)-VLOOKUP(conciliacao_custos!B146,#REF!,14,0),0)</f>
        <v>0</v>
      </c>
      <c r="Q146" s="9">
        <f>IFERROR(VLOOKUP(B146,cubo!$A$6:$BK$37,58,0)-VLOOKUP(conciliacao_custos!B146,#REF!,16,0),0)</f>
        <v>0</v>
      </c>
      <c r="R146" s="9">
        <f>IFERROR(VLOOKUP(B146,cubo!$A$6:$BK$37,64,0)-VLOOKUP(conciliacao_custos!B146,#REF!,17,0),0)</f>
        <v>0</v>
      </c>
      <c r="S146" s="9">
        <f>IFERROR(VLOOKUP(B146,cubo!$A$6:$BK$37,61,0)-VLOOKUP(conciliacao_custos!B146,#REF!,15,0),0)</f>
        <v>0</v>
      </c>
    </row>
    <row r="147" spans="2:19" x14ac:dyDescent="0.25">
      <c r="B147" s="7">
        <f>[1]salario!A146</f>
        <v>0</v>
      </c>
      <c r="C147" s="8">
        <f>[1]salario!C146</f>
        <v>0</v>
      </c>
      <c r="D147" s="10">
        <f>IFERROR(VLOOKUP(B147,cubo!$A$6:$BE$37,6,0)-VLOOKUP(B147,#REF!,$D$2,0),0)</f>
        <v>0</v>
      </c>
      <c r="E147" s="10">
        <f>IFERROR(VLOOKUP(B147,cubo!$A$6:$BE$37,9,0)-VLOOKUP(B147,#REF!,$E$2,0),0)</f>
        <v>0</v>
      </c>
      <c r="F147" s="9">
        <f>IFERROR(VLOOKUP(B147,cubo!$A$6:$BE$37,12,0)-VLOOKUP(B147,#REF!,$F$2,0),0)</f>
        <v>0</v>
      </c>
      <c r="G147" s="9">
        <f>IFERROR(VLOOKUP(B147,cubo!$A$6:$BE$37,54,0)-VLOOKUP(B147,#REF!,$G$2,0),0)</f>
        <v>0</v>
      </c>
      <c r="H147" s="10">
        <f>IFERROR(VLOOKUP(B147,cubo!$A$6:$BE$37,15,0)-VLOOKUP(B147,#REF!,$H$2,0),0)</f>
        <v>0</v>
      </c>
      <c r="I147" s="9">
        <f>IFERROR(VLOOKUP(B147,cubo!$A$6:$BE$37,18,0)-VLOOKUP(B147,#REF!,$I$2,0),0)</f>
        <v>0</v>
      </c>
      <c r="J147" s="9">
        <f>IFERROR(VLOOKUP(B147,cubo!$A$6:$BE$37,24,0)-VLOOKUP(B147,#REF!,$J$2,0),0)</f>
        <v>0</v>
      </c>
      <c r="K147" s="9">
        <f>IFERROR(VLOOKUP(B147,cubo!$A$6:$BE$37,34,0)-VLOOKUP(B147,#REF!,$K$2,0),0)</f>
        <v>0</v>
      </c>
      <c r="L147" s="8">
        <f>IFERROR(VLOOKUP(B147,cubo!$A$6:$BE$37,38,0)-VLOOKUP(B147,#REF!,$L$2,0),0)</f>
        <v>0</v>
      </c>
      <c r="M147" s="15">
        <f>IFERROR(VLOOKUP(B147,cubo!$A$6:$BE$37,57,0)-VLOOKUP(B147,#REF!,$M$2,0),0)</f>
        <v>0</v>
      </c>
      <c r="N147" s="9">
        <f>IFERROR(VLOOKUP(B147,cubo!$A$6:$BK$37,41,0)-VLOOKUP(conciliacao_custos!B147,#REF!,18,0),0)</f>
        <v>0</v>
      </c>
      <c r="O147" s="9">
        <f>IFERROR(VLOOKUP(B147,cubo!$A$6:$BK$37,44,0)-VLOOKUP(conciliacao_custos!B147,#REF!,13,0),0)</f>
        <v>0</v>
      </c>
      <c r="P147" s="9">
        <f>IFERROR(VLOOKUP(B147,cubo!$A$6:$BK$37,47,0)-VLOOKUP(conciliacao_custos!B147,#REF!,14,0),0)</f>
        <v>0</v>
      </c>
      <c r="Q147" s="9">
        <f>IFERROR(VLOOKUP(B147,cubo!$A$6:$BK$37,58,0)-VLOOKUP(conciliacao_custos!B147,#REF!,16,0),0)</f>
        <v>0</v>
      </c>
      <c r="R147" s="9">
        <f>IFERROR(VLOOKUP(B147,cubo!$A$6:$BK$37,64,0)-VLOOKUP(conciliacao_custos!B147,#REF!,17,0),0)</f>
        <v>0</v>
      </c>
      <c r="S147" s="9">
        <f>IFERROR(VLOOKUP(B147,cubo!$A$6:$BK$37,61,0)-VLOOKUP(conciliacao_custos!B147,#REF!,15,0),0)</f>
        <v>0</v>
      </c>
    </row>
    <row r="148" spans="2:19" x14ac:dyDescent="0.25">
      <c r="B148" s="7">
        <f>[1]salario!A147</f>
        <v>0</v>
      </c>
      <c r="C148" s="8">
        <f>[1]salario!C147</f>
        <v>0</v>
      </c>
      <c r="D148" s="10">
        <f>IFERROR(VLOOKUP(B148,cubo!$A$6:$BE$37,6,0)-VLOOKUP(B148,#REF!,$D$2,0),0)</f>
        <v>0</v>
      </c>
      <c r="E148" s="10">
        <f>IFERROR(VLOOKUP(B148,cubo!$A$6:$BE$37,9,0)-VLOOKUP(B148,#REF!,$E$2,0),0)</f>
        <v>0</v>
      </c>
      <c r="F148" s="9">
        <f>IFERROR(VLOOKUP(B148,cubo!$A$6:$BE$37,12,0)-VLOOKUP(B148,#REF!,$F$2,0),0)</f>
        <v>0</v>
      </c>
      <c r="G148" s="9">
        <f>IFERROR(VLOOKUP(B148,cubo!$A$6:$BE$37,54,0)-VLOOKUP(B148,#REF!,$G$2,0),0)</f>
        <v>0</v>
      </c>
      <c r="H148" s="10">
        <f>IFERROR(VLOOKUP(B148,cubo!$A$6:$BE$37,15,0)-VLOOKUP(B148,#REF!,$H$2,0),0)</f>
        <v>0</v>
      </c>
      <c r="I148" s="9">
        <f>IFERROR(VLOOKUP(B148,cubo!$A$6:$BE$37,18,0)-VLOOKUP(B148,#REF!,$I$2,0),0)</f>
        <v>0</v>
      </c>
      <c r="J148" s="9">
        <f>IFERROR(VLOOKUP(B148,cubo!$A$6:$BE$37,24,0)-VLOOKUP(B148,#REF!,$J$2,0),0)</f>
        <v>0</v>
      </c>
      <c r="K148" s="9">
        <f>IFERROR(VLOOKUP(B148,cubo!$A$6:$BE$37,34,0)-VLOOKUP(B148,#REF!,$K$2,0),0)</f>
        <v>0</v>
      </c>
      <c r="L148" s="8">
        <f>IFERROR(VLOOKUP(B148,cubo!$A$6:$BE$37,38,0)-VLOOKUP(B148,#REF!,$L$2,0),0)</f>
        <v>0</v>
      </c>
      <c r="M148" s="15">
        <f>IFERROR(VLOOKUP(B148,cubo!$A$6:$BE$37,57,0)-VLOOKUP(B148,#REF!,$M$2,0),0)</f>
        <v>0</v>
      </c>
      <c r="N148" s="9">
        <f>IFERROR(VLOOKUP(B148,cubo!$A$6:$BK$37,41,0)-VLOOKUP(conciliacao_custos!B148,#REF!,18,0),0)</f>
        <v>0</v>
      </c>
      <c r="O148" s="9">
        <f>IFERROR(VLOOKUP(B148,cubo!$A$6:$BK$37,44,0)-VLOOKUP(conciliacao_custos!B148,#REF!,13,0),0)</f>
        <v>0</v>
      </c>
      <c r="P148" s="9">
        <f>IFERROR(VLOOKUP(B148,cubo!$A$6:$BK$37,47,0)-VLOOKUP(conciliacao_custos!B148,#REF!,14,0),0)</f>
        <v>0</v>
      </c>
      <c r="Q148" s="9">
        <f>IFERROR(VLOOKUP(B148,cubo!$A$6:$BK$37,58,0)-VLOOKUP(conciliacao_custos!B148,#REF!,16,0),0)</f>
        <v>0</v>
      </c>
      <c r="R148" s="9">
        <f>IFERROR(VLOOKUP(B148,cubo!$A$6:$BK$37,64,0)-VLOOKUP(conciliacao_custos!B148,#REF!,17,0),0)</f>
        <v>0</v>
      </c>
      <c r="S148" s="9">
        <f>IFERROR(VLOOKUP(B148,cubo!$A$6:$BK$37,61,0)-VLOOKUP(conciliacao_custos!B148,#REF!,15,0),0)</f>
        <v>0</v>
      </c>
    </row>
    <row r="149" spans="2:19" x14ac:dyDescent="0.25">
      <c r="B149" s="7">
        <f>[1]salario!A148</f>
        <v>0</v>
      </c>
      <c r="C149" s="8">
        <f>[1]salario!C148</f>
        <v>0</v>
      </c>
      <c r="D149" s="10">
        <f>IFERROR(VLOOKUP(B149,cubo!$A$6:$BE$37,6,0)-VLOOKUP(B149,#REF!,$D$2,0),0)</f>
        <v>0</v>
      </c>
      <c r="E149" s="10">
        <f>IFERROR(VLOOKUP(B149,cubo!$A$6:$BE$37,9,0)-VLOOKUP(B149,#REF!,$E$2,0),0)</f>
        <v>0</v>
      </c>
      <c r="F149" s="9">
        <f>IFERROR(VLOOKUP(B149,cubo!$A$6:$BE$37,12,0)-VLOOKUP(B149,#REF!,$F$2,0),0)</f>
        <v>0</v>
      </c>
      <c r="G149" s="9">
        <f>IFERROR(VLOOKUP(B149,cubo!$A$6:$BE$37,54,0)-VLOOKUP(B149,#REF!,$G$2,0),0)</f>
        <v>0</v>
      </c>
      <c r="H149" s="10">
        <f>IFERROR(VLOOKUP(B149,cubo!$A$6:$BE$37,15,0)-VLOOKUP(B149,#REF!,$H$2,0),0)</f>
        <v>0</v>
      </c>
      <c r="I149" s="9">
        <f>IFERROR(VLOOKUP(B149,cubo!$A$6:$BE$37,18,0)-VLOOKUP(B149,#REF!,$I$2,0),0)</f>
        <v>0</v>
      </c>
      <c r="J149" s="9">
        <f>IFERROR(VLOOKUP(B149,cubo!$A$6:$BE$37,24,0)-VLOOKUP(B149,#REF!,$J$2,0),0)</f>
        <v>0</v>
      </c>
      <c r="K149" s="9">
        <f>IFERROR(VLOOKUP(B149,cubo!$A$6:$BE$37,34,0)-VLOOKUP(B149,#REF!,$K$2,0),0)</f>
        <v>0</v>
      </c>
      <c r="L149" s="8">
        <f>IFERROR(VLOOKUP(B149,cubo!$A$6:$BE$37,38,0)-VLOOKUP(B149,#REF!,$L$2,0),0)</f>
        <v>0</v>
      </c>
      <c r="M149" s="15">
        <f>IFERROR(VLOOKUP(B149,cubo!$A$6:$BE$37,57,0)-VLOOKUP(B149,#REF!,$M$2,0),0)</f>
        <v>0</v>
      </c>
      <c r="N149" s="9">
        <f>IFERROR(VLOOKUP(B149,cubo!$A$6:$BK$37,41,0)-VLOOKUP(conciliacao_custos!B149,#REF!,18,0),0)</f>
        <v>0</v>
      </c>
      <c r="O149" s="9">
        <f>IFERROR(VLOOKUP(B149,cubo!$A$6:$BK$37,44,0)-VLOOKUP(conciliacao_custos!B149,#REF!,13,0),0)</f>
        <v>0</v>
      </c>
      <c r="P149" s="9">
        <f>IFERROR(VLOOKUP(B149,cubo!$A$6:$BK$37,47,0)-VLOOKUP(conciliacao_custos!B149,#REF!,14,0),0)</f>
        <v>0</v>
      </c>
      <c r="Q149" s="9">
        <f>IFERROR(VLOOKUP(B149,cubo!$A$6:$BK$37,58,0)-VLOOKUP(conciliacao_custos!B149,#REF!,16,0),0)</f>
        <v>0</v>
      </c>
      <c r="R149" s="9">
        <f>IFERROR(VLOOKUP(B149,cubo!$A$6:$BK$37,64,0)-VLOOKUP(conciliacao_custos!B149,#REF!,17,0),0)</f>
        <v>0</v>
      </c>
      <c r="S149" s="9">
        <f>IFERROR(VLOOKUP(B149,cubo!$A$6:$BK$37,61,0)-VLOOKUP(conciliacao_custos!B149,#REF!,15,0),0)</f>
        <v>0</v>
      </c>
    </row>
    <row r="150" spans="2:19" x14ac:dyDescent="0.25">
      <c r="B150" s="7">
        <f>[1]salario!A149</f>
        <v>0</v>
      </c>
      <c r="C150" s="8">
        <f>[1]salario!C149</f>
        <v>0</v>
      </c>
      <c r="D150" s="10">
        <f>IFERROR(VLOOKUP(B150,cubo!$A$6:$BE$37,6,0)-VLOOKUP(B150,#REF!,$D$2,0),0)</f>
        <v>0</v>
      </c>
      <c r="E150" s="10">
        <f>IFERROR(VLOOKUP(B150,cubo!$A$6:$BE$37,9,0)-VLOOKUP(B150,#REF!,$E$2,0),0)</f>
        <v>0</v>
      </c>
      <c r="F150" s="9">
        <f>IFERROR(VLOOKUP(B150,cubo!$A$6:$BE$37,12,0)-VLOOKUP(B150,#REF!,$F$2,0),0)</f>
        <v>0</v>
      </c>
      <c r="G150" s="9">
        <f>IFERROR(VLOOKUP(B150,cubo!$A$6:$BE$37,54,0)-VLOOKUP(B150,#REF!,$G$2,0),0)</f>
        <v>0</v>
      </c>
      <c r="H150" s="10">
        <f>IFERROR(VLOOKUP(B150,cubo!$A$6:$BE$37,15,0)-VLOOKUP(B150,#REF!,$H$2,0),0)</f>
        <v>0</v>
      </c>
      <c r="I150" s="9">
        <f>IFERROR(VLOOKUP(B150,cubo!$A$6:$BE$37,18,0)-VLOOKUP(B150,#REF!,$I$2,0),0)</f>
        <v>0</v>
      </c>
      <c r="J150" s="9">
        <f>IFERROR(VLOOKUP(B150,cubo!$A$6:$BE$37,24,0)-VLOOKUP(B150,#REF!,$J$2,0),0)</f>
        <v>0</v>
      </c>
      <c r="K150" s="9">
        <f>IFERROR(VLOOKUP(B150,cubo!$A$6:$BE$37,34,0)-VLOOKUP(B150,#REF!,$K$2,0),0)</f>
        <v>0</v>
      </c>
      <c r="L150" s="8">
        <f>IFERROR(VLOOKUP(B150,cubo!$A$6:$BE$37,38,0)-VLOOKUP(B150,#REF!,$L$2,0),0)</f>
        <v>0</v>
      </c>
      <c r="M150" s="15">
        <f>IFERROR(VLOOKUP(B150,cubo!$A$6:$BE$37,57,0)-VLOOKUP(B150,#REF!,$M$2,0),0)</f>
        <v>0</v>
      </c>
      <c r="N150" s="9">
        <f>IFERROR(VLOOKUP(B150,cubo!$A$6:$BK$37,41,0)-VLOOKUP(conciliacao_custos!B150,#REF!,18,0),0)</f>
        <v>0</v>
      </c>
      <c r="O150" s="9">
        <f>IFERROR(VLOOKUP(B150,cubo!$A$6:$BK$37,44,0)-VLOOKUP(conciliacao_custos!B150,#REF!,13,0),0)</f>
        <v>0</v>
      </c>
      <c r="P150" s="9">
        <f>IFERROR(VLOOKUP(B150,cubo!$A$6:$BK$37,47,0)-VLOOKUP(conciliacao_custos!B150,#REF!,14,0),0)</f>
        <v>0</v>
      </c>
      <c r="Q150" s="9">
        <f>IFERROR(VLOOKUP(B150,cubo!$A$6:$BK$37,58,0)-VLOOKUP(conciliacao_custos!B150,#REF!,16,0),0)</f>
        <v>0</v>
      </c>
      <c r="R150" s="9">
        <f>IFERROR(VLOOKUP(B150,cubo!$A$6:$BK$37,64,0)-VLOOKUP(conciliacao_custos!B150,#REF!,17,0),0)</f>
        <v>0</v>
      </c>
      <c r="S150" s="9">
        <f>IFERROR(VLOOKUP(B150,cubo!$A$6:$BK$37,61,0)-VLOOKUP(conciliacao_custos!B150,#REF!,15,0),0)</f>
        <v>0</v>
      </c>
    </row>
    <row r="151" spans="2:19" x14ac:dyDescent="0.25">
      <c r="B151" s="7">
        <f>[1]salario!A150</f>
        <v>0</v>
      </c>
      <c r="C151" s="8">
        <f>[1]salario!C150</f>
        <v>0</v>
      </c>
      <c r="D151" s="10">
        <f>IFERROR(VLOOKUP(B151,cubo!$A$6:$BE$37,6,0)-VLOOKUP(B151,#REF!,$D$2,0),0)</f>
        <v>0</v>
      </c>
      <c r="E151" s="10">
        <f>IFERROR(VLOOKUP(B151,cubo!$A$6:$BE$37,9,0)-VLOOKUP(B151,#REF!,$E$2,0),0)</f>
        <v>0</v>
      </c>
      <c r="F151" s="9">
        <f>IFERROR(VLOOKUP(B151,cubo!$A$6:$BE$37,12,0)-VLOOKUP(B151,#REF!,$F$2,0),0)</f>
        <v>0</v>
      </c>
      <c r="G151" s="9">
        <f>IFERROR(VLOOKUP(B151,cubo!$A$6:$BE$37,54,0)-VLOOKUP(B151,#REF!,$G$2,0),0)</f>
        <v>0</v>
      </c>
      <c r="H151" s="10">
        <f>IFERROR(VLOOKUP(B151,cubo!$A$6:$BE$37,15,0)-VLOOKUP(B151,#REF!,$H$2,0),0)</f>
        <v>0</v>
      </c>
      <c r="I151" s="9">
        <f>IFERROR(VLOOKUP(B151,cubo!$A$6:$BE$37,18,0)-VLOOKUP(B151,#REF!,$I$2,0),0)</f>
        <v>0</v>
      </c>
      <c r="J151" s="9">
        <f>IFERROR(VLOOKUP(B151,cubo!$A$6:$BE$37,24,0)-VLOOKUP(B151,#REF!,$J$2,0),0)</f>
        <v>0</v>
      </c>
      <c r="K151" s="9">
        <f>IFERROR(VLOOKUP(B151,cubo!$A$6:$BE$37,34,0)-VLOOKUP(B151,#REF!,$K$2,0),0)</f>
        <v>0</v>
      </c>
      <c r="L151" s="8">
        <f>IFERROR(VLOOKUP(B151,cubo!$A$6:$BE$37,38,0)-VLOOKUP(B151,#REF!,$L$2,0),0)</f>
        <v>0</v>
      </c>
      <c r="M151" s="15">
        <f>IFERROR(VLOOKUP(B151,cubo!$A$6:$BE$37,57,0)-VLOOKUP(B151,#REF!,$M$2,0),0)</f>
        <v>0</v>
      </c>
      <c r="N151" s="9">
        <f>IFERROR(VLOOKUP(B151,cubo!$A$6:$BK$37,41,0)-VLOOKUP(conciliacao_custos!B151,#REF!,18,0),0)</f>
        <v>0</v>
      </c>
      <c r="O151" s="9">
        <f>IFERROR(VLOOKUP(B151,cubo!$A$6:$BK$37,44,0)-VLOOKUP(conciliacao_custos!B151,#REF!,13,0),0)</f>
        <v>0</v>
      </c>
      <c r="P151" s="9">
        <f>IFERROR(VLOOKUP(B151,cubo!$A$6:$BK$37,47,0)-VLOOKUP(conciliacao_custos!B151,#REF!,14,0),0)</f>
        <v>0</v>
      </c>
      <c r="Q151" s="9">
        <f>IFERROR(VLOOKUP(B151,cubo!$A$6:$BK$37,58,0)-VLOOKUP(conciliacao_custos!B151,#REF!,16,0),0)</f>
        <v>0</v>
      </c>
      <c r="R151" s="9">
        <f>IFERROR(VLOOKUP(B151,cubo!$A$6:$BK$37,64,0)-VLOOKUP(conciliacao_custos!B151,#REF!,17,0),0)</f>
        <v>0</v>
      </c>
      <c r="S151" s="9">
        <f>IFERROR(VLOOKUP(B151,cubo!$A$6:$BK$37,61,0)-VLOOKUP(conciliacao_custos!B151,#REF!,15,0),0)</f>
        <v>0</v>
      </c>
    </row>
    <row r="152" spans="2:19" x14ac:dyDescent="0.25">
      <c r="B152" s="7">
        <f>[1]salario!A151</f>
        <v>0</v>
      </c>
      <c r="C152" s="8">
        <f>[1]salario!C151</f>
        <v>0</v>
      </c>
      <c r="D152" s="10">
        <f>IFERROR(VLOOKUP(B152,cubo!$A$6:$BE$37,6,0)-VLOOKUP(B152,#REF!,$D$2,0),0)</f>
        <v>0</v>
      </c>
      <c r="E152" s="10">
        <f>IFERROR(VLOOKUP(B152,cubo!$A$6:$BE$37,9,0)-VLOOKUP(B152,#REF!,$E$2,0),0)</f>
        <v>0</v>
      </c>
      <c r="F152" s="9">
        <f>IFERROR(VLOOKUP(B152,cubo!$A$6:$BE$37,12,0)-VLOOKUP(B152,#REF!,$F$2,0),0)</f>
        <v>0</v>
      </c>
      <c r="G152" s="9">
        <f>IFERROR(VLOOKUP(B152,cubo!$A$6:$BE$37,54,0)-VLOOKUP(B152,#REF!,$G$2,0),0)</f>
        <v>0</v>
      </c>
      <c r="H152" s="10">
        <f>IFERROR(VLOOKUP(B152,cubo!$A$6:$BE$37,15,0)-VLOOKUP(B152,#REF!,$H$2,0),0)</f>
        <v>0</v>
      </c>
      <c r="I152" s="9">
        <f>IFERROR(VLOOKUP(B152,cubo!$A$6:$BE$37,18,0)-VLOOKUP(B152,#REF!,$I$2,0),0)</f>
        <v>0</v>
      </c>
      <c r="J152" s="9">
        <f>IFERROR(VLOOKUP(B152,cubo!$A$6:$BE$37,24,0)-VLOOKUP(B152,#REF!,$J$2,0),0)</f>
        <v>0</v>
      </c>
      <c r="K152" s="9">
        <f>IFERROR(VLOOKUP(B152,cubo!$A$6:$BE$37,34,0)-VLOOKUP(B152,#REF!,$K$2,0),0)</f>
        <v>0</v>
      </c>
      <c r="L152" s="8">
        <f>IFERROR(VLOOKUP(B152,cubo!$A$6:$BE$37,38,0)-VLOOKUP(B152,#REF!,$L$2,0),0)</f>
        <v>0</v>
      </c>
      <c r="M152" s="15">
        <f>IFERROR(VLOOKUP(B152,cubo!$A$6:$BE$37,57,0)-VLOOKUP(B152,#REF!,$M$2,0),0)</f>
        <v>0</v>
      </c>
      <c r="N152" s="9">
        <f>IFERROR(VLOOKUP(B152,cubo!$A$6:$BK$37,41,0)-VLOOKUP(conciliacao_custos!B152,#REF!,18,0),0)</f>
        <v>0</v>
      </c>
      <c r="O152" s="9">
        <f>IFERROR(VLOOKUP(B152,cubo!$A$6:$BK$37,44,0)-VLOOKUP(conciliacao_custos!B152,#REF!,13,0),0)</f>
        <v>0</v>
      </c>
      <c r="P152" s="9">
        <f>IFERROR(VLOOKUP(B152,cubo!$A$6:$BK$37,47,0)-VLOOKUP(conciliacao_custos!B152,#REF!,14,0),0)</f>
        <v>0</v>
      </c>
      <c r="Q152" s="9">
        <f>IFERROR(VLOOKUP(B152,cubo!$A$6:$BK$37,58,0)-VLOOKUP(conciliacao_custos!B152,#REF!,16,0),0)</f>
        <v>0</v>
      </c>
      <c r="R152" s="9">
        <f>IFERROR(VLOOKUP(B152,cubo!$A$6:$BK$37,64,0)-VLOOKUP(conciliacao_custos!B152,#REF!,17,0),0)</f>
        <v>0</v>
      </c>
      <c r="S152" s="9">
        <f>IFERROR(VLOOKUP(B152,cubo!$A$6:$BK$37,61,0)-VLOOKUP(conciliacao_custos!B152,#REF!,15,0),0)</f>
        <v>0</v>
      </c>
    </row>
    <row r="153" spans="2:19" x14ac:dyDescent="0.25">
      <c r="B153" s="7">
        <f>[1]salario!A152</f>
        <v>0</v>
      </c>
      <c r="C153" s="8">
        <f>[1]salario!C152</f>
        <v>0</v>
      </c>
      <c r="D153" s="10">
        <f>IFERROR(VLOOKUP(B153,cubo!$A$6:$BE$37,6,0)-VLOOKUP(B153,#REF!,$D$2,0),0)</f>
        <v>0</v>
      </c>
      <c r="E153" s="10">
        <f>IFERROR(VLOOKUP(B153,cubo!$A$6:$BE$37,9,0)-VLOOKUP(B153,#REF!,$E$2,0),0)</f>
        <v>0</v>
      </c>
      <c r="F153" s="9">
        <f>IFERROR(VLOOKUP(B153,cubo!$A$6:$BE$37,12,0)-VLOOKUP(B153,#REF!,$F$2,0),0)</f>
        <v>0</v>
      </c>
      <c r="G153" s="9">
        <f>IFERROR(VLOOKUP(B153,cubo!$A$6:$BE$37,54,0)-VLOOKUP(B153,#REF!,$G$2,0),0)</f>
        <v>0</v>
      </c>
      <c r="H153" s="10">
        <f>IFERROR(VLOOKUP(B153,cubo!$A$6:$BE$37,15,0)-VLOOKUP(B153,#REF!,$H$2,0),0)</f>
        <v>0</v>
      </c>
      <c r="I153" s="9">
        <f>IFERROR(VLOOKUP(B153,cubo!$A$6:$BE$37,18,0)-VLOOKUP(B153,#REF!,$I$2,0),0)</f>
        <v>0</v>
      </c>
      <c r="J153" s="9">
        <f>IFERROR(VLOOKUP(B153,cubo!$A$6:$BE$37,24,0)-VLOOKUP(B153,#REF!,$J$2,0),0)</f>
        <v>0</v>
      </c>
      <c r="K153" s="9">
        <f>IFERROR(VLOOKUP(B153,cubo!$A$6:$BE$37,34,0)-VLOOKUP(B153,#REF!,$K$2,0),0)</f>
        <v>0</v>
      </c>
      <c r="L153" s="8">
        <f>IFERROR(VLOOKUP(B153,cubo!$A$6:$BE$37,38,0)-VLOOKUP(B153,#REF!,$L$2,0),0)</f>
        <v>0</v>
      </c>
      <c r="M153" s="15">
        <f>IFERROR(VLOOKUP(B153,cubo!$A$6:$BE$37,57,0)-VLOOKUP(B153,#REF!,$M$2,0),0)</f>
        <v>0</v>
      </c>
      <c r="N153" s="9">
        <f>IFERROR(VLOOKUP(B153,cubo!$A$6:$BK$37,41,0)-VLOOKUP(conciliacao_custos!B153,#REF!,18,0),0)</f>
        <v>0</v>
      </c>
      <c r="O153" s="9">
        <f>IFERROR(VLOOKUP(B153,cubo!$A$6:$BK$37,44,0)-VLOOKUP(conciliacao_custos!B153,#REF!,13,0),0)</f>
        <v>0</v>
      </c>
      <c r="P153" s="9">
        <f>IFERROR(VLOOKUP(B153,cubo!$A$6:$BK$37,47,0)-VLOOKUP(conciliacao_custos!B153,#REF!,14,0),0)</f>
        <v>0</v>
      </c>
      <c r="Q153" s="9">
        <f>IFERROR(VLOOKUP(B153,cubo!$A$6:$BK$37,58,0)-VLOOKUP(conciliacao_custos!B153,#REF!,16,0),0)</f>
        <v>0</v>
      </c>
      <c r="R153" s="9">
        <f>IFERROR(VLOOKUP(B153,cubo!$A$6:$BK$37,64,0)-VLOOKUP(conciliacao_custos!B153,#REF!,17,0),0)</f>
        <v>0</v>
      </c>
      <c r="S153" s="9">
        <f>IFERROR(VLOOKUP(B153,cubo!$A$6:$BK$37,61,0)-VLOOKUP(conciliacao_custos!B153,#REF!,15,0),0)</f>
        <v>0</v>
      </c>
    </row>
    <row r="154" spans="2:19" x14ac:dyDescent="0.25">
      <c r="B154" s="7">
        <f>[1]salario!A153</f>
        <v>0</v>
      </c>
      <c r="C154" s="8">
        <f>[1]salario!C153</f>
        <v>0</v>
      </c>
      <c r="D154" s="10">
        <f>IFERROR(VLOOKUP(B154,cubo!$A$6:$BE$37,6,0)-VLOOKUP(B154,#REF!,$D$2,0),0)</f>
        <v>0</v>
      </c>
      <c r="E154" s="10">
        <f>IFERROR(VLOOKUP(B154,cubo!$A$6:$BE$37,9,0)-VLOOKUP(B154,#REF!,$E$2,0),0)</f>
        <v>0</v>
      </c>
      <c r="F154" s="9">
        <f>IFERROR(VLOOKUP(B154,cubo!$A$6:$BE$37,12,0)-VLOOKUP(B154,#REF!,$F$2,0),0)</f>
        <v>0</v>
      </c>
      <c r="G154" s="9">
        <f>IFERROR(VLOOKUP(B154,cubo!$A$6:$BE$37,54,0)-VLOOKUP(B154,#REF!,$G$2,0),0)</f>
        <v>0</v>
      </c>
      <c r="H154" s="10">
        <f>IFERROR(VLOOKUP(B154,cubo!$A$6:$BE$37,15,0)-VLOOKUP(B154,#REF!,$H$2,0),0)</f>
        <v>0</v>
      </c>
      <c r="I154" s="9">
        <f>IFERROR(VLOOKUP(B154,cubo!$A$6:$BE$37,18,0)-VLOOKUP(B154,#REF!,$I$2,0),0)</f>
        <v>0</v>
      </c>
      <c r="J154" s="9">
        <f>IFERROR(VLOOKUP(B154,cubo!$A$6:$BE$37,24,0)-VLOOKUP(B154,#REF!,$J$2,0),0)</f>
        <v>0</v>
      </c>
      <c r="K154" s="9">
        <f>IFERROR(VLOOKUP(B154,cubo!$A$6:$BE$37,34,0)-VLOOKUP(B154,#REF!,$K$2,0),0)</f>
        <v>0</v>
      </c>
      <c r="L154" s="8">
        <f>IFERROR(VLOOKUP(B154,cubo!$A$6:$BE$37,38,0)-VLOOKUP(B154,#REF!,$L$2,0),0)</f>
        <v>0</v>
      </c>
      <c r="M154" s="15">
        <f>IFERROR(VLOOKUP(B154,cubo!$A$6:$BE$37,57,0)-VLOOKUP(B154,#REF!,$M$2,0),0)</f>
        <v>0</v>
      </c>
      <c r="N154" s="9">
        <f>IFERROR(VLOOKUP(B154,cubo!$A$6:$BK$37,41,0)-VLOOKUP(conciliacao_custos!B154,#REF!,18,0),0)</f>
        <v>0</v>
      </c>
      <c r="O154" s="9">
        <f>IFERROR(VLOOKUP(B154,cubo!$A$6:$BK$37,44,0)-VLOOKUP(conciliacao_custos!B154,#REF!,13,0),0)</f>
        <v>0</v>
      </c>
      <c r="P154" s="9">
        <f>IFERROR(VLOOKUP(B154,cubo!$A$6:$BK$37,47,0)-VLOOKUP(conciliacao_custos!B154,#REF!,14,0),0)</f>
        <v>0</v>
      </c>
      <c r="Q154" s="9">
        <f>IFERROR(VLOOKUP(B154,cubo!$A$6:$BK$37,58,0)-VLOOKUP(conciliacao_custos!B154,#REF!,16,0),0)</f>
        <v>0</v>
      </c>
      <c r="R154" s="9">
        <f>IFERROR(VLOOKUP(B154,cubo!$A$6:$BK$37,64,0)-VLOOKUP(conciliacao_custos!B154,#REF!,17,0),0)</f>
        <v>0</v>
      </c>
      <c r="S154" s="9">
        <f>IFERROR(VLOOKUP(B154,cubo!$A$6:$BK$37,61,0)-VLOOKUP(conciliacao_custos!B154,#REF!,15,0),0)</f>
        <v>0</v>
      </c>
    </row>
    <row r="155" spans="2:19" x14ac:dyDescent="0.25">
      <c r="B155" s="7">
        <f>[1]salario!A154</f>
        <v>0</v>
      </c>
      <c r="C155" s="8">
        <f>[1]salario!C154</f>
        <v>0</v>
      </c>
      <c r="D155" s="10">
        <f>IFERROR(VLOOKUP(B155,cubo!$A$6:$BE$37,6,0)-VLOOKUP(B155,#REF!,$D$2,0),0)</f>
        <v>0</v>
      </c>
      <c r="E155" s="10">
        <f>IFERROR(VLOOKUP(B155,cubo!$A$6:$BE$37,9,0)-VLOOKUP(B155,#REF!,$E$2,0),0)</f>
        <v>0</v>
      </c>
      <c r="F155" s="9">
        <f>IFERROR(VLOOKUP(B155,cubo!$A$6:$BE$37,12,0)-VLOOKUP(B155,#REF!,$F$2,0),0)</f>
        <v>0</v>
      </c>
      <c r="G155" s="9">
        <f>IFERROR(VLOOKUP(B155,cubo!$A$6:$BE$37,54,0)-VLOOKUP(B155,#REF!,$G$2,0),0)</f>
        <v>0</v>
      </c>
      <c r="H155" s="10">
        <f>IFERROR(VLOOKUP(B155,cubo!$A$6:$BE$37,15,0)-VLOOKUP(B155,#REF!,$H$2,0),0)</f>
        <v>0</v>
      </c>
      <c r="I155" s="9">
        <f>IFERROR(VLOOKUP(B155,cubo!$A$6:$BE$37,18,0)-VLOOKUP(B155,#REF!,$I$2,0),0)</f>
        <v>0</v>
      </c>
      <c r="J155" s="9">
        <f>IFERROR(VLOOKUP(B155,cubo!$A$6:$BE$37,24,0)-VLOOKUP(B155,#REF!,$J$2,0),0)</f>
        <v>0</v>
      </c>
      <c r="K155" s="9">
        <f>IFERROR(VLOOKUP(B155,cubo!$A$6:$BE$37,34,0)-VLOOKUP(B155,#REF!,$K$2,0),0)</f>
        <v>0</v>
      </c>
      <c r="L155" s="8">
        <f>IFERROR(VLOOKUP(B155,cubo!$A$6:$BE$37,38,0)-VLOOKUP(B155,#REF!,$L$2,0),0)</f>
        <v>0</v>
      </c>
      <c r="M155" s="15">
        <f>IFERROR(VLOOKUP(B155,cubo!$A$6:$BE$37,57,0)-VLOOKUP(B155,#REF!,$M$2,0),0)</f>
        <v>0</v>
      </c>
      <c r="N155" s="9">
        <f>IFERROR(VLOOKUP(B155,cubo!$A$6:$BK$37,41,0)-VLOOKUP(conciliacao_custos!B155,#REF!,18,0),0)</f>
        <v>0</v>
      </c>
      <c r="O155" s="9">
        <f>IFERROR(VLOOKUP(B155,cubo!$A$6:$BK$37,44,0)-VLOOKUP(conciliacao_custos!B155,#REF!,13,0),0)</f>
        <v>0</v>
      </c>
      <c r="P155" s="9">
        <f>IFERROR(VLOOKUP(B155,cubo!$A$6:$BK$37,47,0)-VLOOKUP(conciliacao_custos!B155,#REF!,14,0),0)</f>
        <v>0</v>
      </c>
      <c r="Q155" s="9">
        <f>IFERROR(VLOOKUP(B155,cubo!$A$6:$BK$37,58,0)-VLOOKUP(conciliacao_custos!B155,#REF!,16,0),0)</f>
        <v>0</v>
      </c>
      <c r="R155" s="9">
        <f>IFERROR(VLOOKUP(B155,cubo!$A$6:$BK$37,64,0)-VLOOKUP(conciliacao_custos!B155,#REF!,17,0),0)</f>
        <v>0</v>
      </c>
      <c r="S155" s="9">
        <f>IFERROR(VLOOKUP(B155,cubo!$A$6:$BK$37,61,0)-VLOOKUP(conciliacao_custos!B155,#REF!,15,0),0)</f>
        <v>0</v>
      </c>
    </row>
    <row r="156" spans="2:19" x14ac:dyDescent="0.25">
      <c r="B156" s="7">
        <f>[1]salario!A155</f>
        <v>0</v>
      </c>
      <c r="C156" s="8">
        <f>[1]salario!C155</f>
        <v>0</v>
      </c>
      <c r="D156" s="10">
        <f>IFERROR(VLOOKUP(B156,cubo!$A$6:$BE$37,6,0)-VLOOKUP(B156,#REF!,$D$2,0),0)</f>
        <v>0</v>
      </c>
      <c r="E156" s="10">
        <f>IFERROR(VLOOKUP(B156,cubo!$A$6:$BE$37,9,0)-VLOOKUP(B156,#REF!,$E$2,0),0)</f>
        <v>0</v>
      </c>
      <c r="F156" s="9">
        <f>IFERROR(VLOOKUP(B156,cubo!$A$6:$BE$37,12,0)-VLOOKUP(B156,#REF!,$F$2,0),0)</f>
        <v>0</v>
      </c>
      <c r="G156" s="9">
        <f>IFERROR(VLOOKUP(B156,cubo!$A$6:$BE$37,54,0)-VLOOKUP(B156,#REF!,$G$2,0),0)</f>
        <v>0</v>
      </c>
      <c r="H156" s="10">
        <f>IFERROR(VLOOKUP(B156,cubo!$A$6:$BE$37,15,0)-VLOOKUP(B156,#REF!,$H$2,0),0)</f>
        <v>0</v>
      </c>
      <c r="I156" s="9">
        <f>IFERROR(VLOOKUP(B156,cubo!$A$6:$BE$37,18,0)-VLOOKUP(B156,#REF!,$I$2,0),0)</f>
        <v>0</v>
      </c>
      <c r="J156" s="9">
        <f>IFERROR(VLOOKUP(B156,cubo!$A$6:$BE$37,24,0)-VLOOKUP(B156,#REF!,$J$2,0),0)</f>
        <v>0</v>
      </c>
      <c r="K156" s="9">
        <f>IFERROR(VLOOKUP(B156,cubo!$A$6:$BE$37,34,0)-VLOOKUP(B156,#REF!,$K$2,0),0)</f>
        <v>0</v>
      </c>
      <c r="L156" s="8">
        <f>IFERROR(VLOOKUP(B156,cubo!$A$6:$BE$37,38,0)-VLOOKUP(B156,#REF!,$L$2,0),0)</f>
        <v>0</v>
      </c>
      <c r="M156" s="15">
        <f>IFERROR(VLOOKUP(B156,cubo!$A$6:$BE$37,57,0)-VLOOKUP(B156,#REF!,$M$2,0),0)</f>
        <v>0</v>
      </c>
      <c r="N156" s="9">
        <f>IFERROR(VLOOKUP(B156,cubo!$A$6:$BK$37,41,0)-VLOOKUP(conciliacao_custos!B156,#REF!,18,0),0)</f>
        <v>0</v>
      </c>
      <c r="O156" s="9">
        <f>IFERROR(VLOOKUP(B156,cubo!$A$6:$BK$37,44,0)-VLOOKUP(conciliacao_custos!B156,#REF!,13,0),0)</f>
        <v>0</v>
      </c>
      <c r="P156" s="9">
        <f>IFERROR(VLOOKUP(B156,cubo!$A$6:$BK$37,47,0)-VLOOKUP(conciliacao_custos!B156,#REF!,14,0),0)</f>
        <v>0</v>
      </c>
      <c r="Q156" s="9">
        <f>IFERROR(VLOOKUP(B156,cubo!$A$6:$BK$37,58,0)-VLOOKUP(conciliacao_custos!B156,#REF!,16,0),0)</f>
        <v>0</v>
      </c>
      <c r="R156" s="9">
        <f>IFERROR(VLOOKUP(B156,cubo!$A$6:$BK$37,64,0)-VLOOKUP(conciliacao_custos!B156,#REF!,17,0),0)</f>
        <v>0</v>
      </c>
      <c r="S156" s="9">
        <f>IFERROR(VLOOKUP(B156,cubo!$A$6:$BK$37,61,0)-VLOOKUP(conciliacao_custos!B156,#REF!,15,0),0)</f>
        <v>0</v>
      </c>
    </row>
    <row r="157" spans="2:19" x14ac:dyDescent="0.25">
      <c r="B157" s="7">
        <f>[1]salario!A156</f>
        <v>0</v>
      </c>
      <c r="C157" s="8">
        <f>[1]salario!C156</f>
        <v>0</v>
      </c>
      <c r="D157" s="10">
        <f>IFERROR(VLOOKUP(B157,cubo!$A$6:$BE$37,6,0)-VLOOKUP(B157,#REF!,$D$2,0),0)</f>
        <v>0</v>
      </c>
      <c r="E157" s="10">
        <f>IFERROR(VLOOKUP(B157,cubo!$A$6:$BE$37,9,0)-VLOOKUP(B157,#REF!,$E$2,0),0)</f>
        <v>0</v>
      </c>
      <c r="F157" s="9">
        <f>IFERROR(VLOOKUP(B157,cubo!$A$6:$BE$37,12,0)-VLOOKUP(B157,#REF!,$F$2,0),0)</f>
        <v>0</v>
      </c>
      <c r="G157" s="9">
        <f>IFERROR(VLOOKUP(B157,cubo!$A$6:$BE$37,54,0)-VLOOKUP(B157,#REF!,$G$2,0),0)</f>
        <v>0</v>
      </c>
      <c r="H157" s="10">
        <f>IFERROR(VLOOKUP(B157,cubo!$A$6:$BE$37,15,0)-VLOOKUP(B157,#REF!,$H$2,0),0)</f>
        <v>0</v>
      </c>
      <c r="I157" s="9">
        <f>IFERROR(VLOOKUP(B157,cubo!$A$6:$BE$37,18,0)-VLOOKUP(B157,#REF!,$I$2,0),0)</f>
        <v>0</v>
      </c>
      <c r="J157" s="9">
        <f>IFERROR(VLOOKUP(B157,cubo!$A$6:$BE$37,24,0)-VLOOKUP(B157,#REF!,$J$2,0),0)</f>
        <v>0</v>
      </c>
      <c r="K157" s="9">
        <f>IFERROR(VLOOKUP(B157,cubo!$A$6:$BE$37,34,0)-VLOOKUP(B157,#REF!,$K$2,0),0)</f>
        <v>0</v>
      </c>
      <c r="L157" s="8">
        <f>IFERROR(VLOOKUP(B157,cubo!$A$6:$BE$37,38,0)-VLOOKUP(B157,#REF!,$L$2,0),0)</f>
        <v>0</v>
      </c>
      <c r="M157" s="15">
        <f>IFERROR(VLOOKUP(B157,cubo!$A$6:$BE$37,57,0)-VLOOKUP(B157,#REF!,$M$2,0),0)</f>
        <v>0</v>
      </c>
      <c r="N157" s="9">
        <f>IFERROR(VLOOKUP(B157,cubo!$A$6:$BK$37,41,0)-VLOOKUP(conciliacao_custos!B157,#REF!,18,0),0)</f>
        <v>0</v>
      </c>
      <c r="O157" s="9">
        <f>IFERROR(VLOOKUP(B157,cubo!$A$6:$BK$37,44,0)-VLOOKUP(conciliacao_custos!B157,#REF!,13,0),0)</f>
        <v>0</v>
      </c>
      <c r="P157" s="9">
        <f>IFERROR(VLOOKUP(B157,cubo!$A$6:$BK$37,47,0)-VLOOKUP(conciliacao_custos!B157,#REF!,14,0),0)</f>
        <v>0</v>
      </c>
      <c r="Q157" s="9">
        <f>IFERROR(VLOOKUP(B157,cubo!$A$6:$BK$37,58,0)-VLOOKUP(conciliacao_custos!B157,#REF!,16,0),0)</f>
        <v>0</v>
      </c>
      <c r="R157" s="9">
        <f>IFERROR(VLOOKUP(B157,cubo!$A$6:$BK$37,64,0)-VLOOKUP(conciliacao_custos!B157,#REF!,17,0),0)</f>
        <v>0</v>
      </c>
      <c r="S157" s="9">
        <f>IFERROR(VLOOKUP(B157,cubo!$A$6:$BK$37,61,0)-VLOOKUP(conciliacao_custos!B157,#REF!,15,0),0)</f>
        <v>0</v>
      </c>
    </row>
    <row r="158" spans="2:19" x14ac:dyDescent="0.25">
      <c r="B158" s="7">
        <f>[1]salario!A157</f>
        <v>0</v>
      </c>
      <c r="C158" s="8">
        <f>[1]salario!C157</f>
        <v>0</v>
      </c>
      <c r="D158" s="10">
        <f>IFERROR(VLOOKUP(B158,cubo!$A$6:$BE$37,6,0)-VLOOKUP(B158,#REF!,$D$2,0),0)</f>
        <v>0</v>
      </c>
      <c r="E158" s="10">
        <f>IFERROR(VLOOKUP(B158,cubo!$A$6:$BE$37,9,0)-VLOOKUP(B158,#REF!,$E$2,0),0)</f>
        <v>0</v>
      </c>
      <c r="F158" s="9">
        <f>IFERROR(VLOOKUP(B158,cubo!$A$6:$BE$37,12,0)-VLOOKUP(B158,#REF!,$F$2,0),0)</f>
        <v>0</v>
      </c>
      <c r="G158" s="9">
        <f>IFERROR(VLOOKUP(B158,cubo!$A$6:$BE$37,54,0)-VLOOKUP(B158,#REF!,$G$2,0),0)</f>
        <v>0</v>
      </c>
      <c r="H158" s="10">
        <f>IFERROR(VLOOKUP(B158,cubo!$A$6:$BE$37,15,0)-VLOOKUP(B158,#REF!,$H$2,0),0)</f>
        <v>0</v>
      </c>
      <c r="I158" s="9">
        <f>IFERROR(VLOOKUP(B158,cubo!$A$6:$BE$37,18,0)-VLOOKUP(B158,#REF!,$I$2,0),0)</f>
        <v>0</v>
      </c>
      <c r="J158" s="9">
        <f>IFERROR(VLOOKUP(B158,cubo!$A$6:$BE$37,24,0)-VLOOKUP(B158,#REF!,$J$2,0),0)</f>
        <v>0</v>
      </c>
      <c r="K158" s="9">
        <f>IFERROR(VLOOKUP(B158,cubo!$A$6:$BE$37,34,0)-VLOOKUP(B158,#REF!,$K$2,0),0)</f>
        <v>0</v>
      </c>
      <c r="L158" s="8">
        <f>IFERROR(VLOOKUP(B158,cubo!$A$6:$BE$37,38,0)-VLOOKUP(B158,#REF!,$L$2,0),0)</f>
        <v>0</v>
      </c>
      <c r="M158" s="15">
        <f>IFERROR(VLOOKUP(B158,cubo!$A$6:$BE$37,57,0)-VLOOKUP(B158,#REF!,$M$2,0),0)</f>
        <v>0</v>
      </c>
      <c r="N158" s="9">
        <f>IFERROR(VLOOKUP(B158,cubo!$A$6:$BK$37,41,0)-VLOOKUP(conciliacao_custos!B158,#REF!,18,0),0)</f>
        <v>0</v>
      </c>
      <c r="O158" s="9">
        <f>IFERROR(VLOOKUP(B158,cubo!$A$6:$BK$37,44,0)-VLOOKUP(conciliacao_custos!B158,#REF!,13,0),0)</f>
        <v>0</v>
      </c>
      <c r="P158" s="9">
        <f>IFERROR(VLOOKUP(B158,cubo!$A$6:$BK$37,47,0)-VLOOKUP(conciliacao_custos!B158,#REF!,14,0),0)</f>
        <v>0</v>
      </c>
      <c r="Q158" s="9">
        <f>IFERROR(VLOOKUP(B158,cubo!$A$6:$BK$37,58,0)-VLOOKUP(conciliacao_custos!B158,#REF!,16,0),0)</f>
        <v>0</v>
      </c>
      <c r="R158" s="9">
        <f>IFERROR(VLOOKUP(B158,cubo!$A$6:$BK$37,64,0)-VLOOKUP(conciliacao_custos!B158,#REF!,17,0),0)</f>
        <v>0</v>
      </c>
      <c r="S158" s="9">
        <f>IFERROR(VLOOKUP(B158,cubo!$A$6:$BK$37,61,0)-VLOOKUP(conciliacao_custos!B158,#REF!,15,0),0)</f>
        <v>0</v>
      </c>
    </row>
    <row r="159" spans="2:19" x14ac:dyDescent="0.25">
      <c r="B159" s="7">
        <f>[1]salario!A158</f>
        <v>0</v>
      </c>
      <c r="C159" s="8">
        <f>[1]salario!C158</f>
        <v>0</v>
      </c>
      <c r="D159" s="10">
        <f>IFERROR(VLOOKUP(B159,cubo!$A$6:$BE$37,6,0)-VLOOKUP(B159,#REF!,$D$2,0),0)</f>
        <v>0</v>
      </c>
      <c r="E159" s="10">
        <f>IFERROR(VLOOKUP(B159,cubo!$A$6:$BE$37,9,0)-VLOOKUP(B159,#REF!,$E$2,0),0)</f>
        <v>0</v>
      </c>
      <c r="F159" s="9">
        <f>IFERROR(VLOOKUP(B159,cubo!$A$6:$BE$37,12,0)-VLOOKUP(B159,#REF!,$F$2,0),0)</f>
        <v>0</v>
      </c>
      <c r="G159" s="9">
        <f>IFERROR(VLOOKUP(B159,cubo!$A$6:$BE$37,54,0)-VLOOKUP(B159,#REF!,$G$2,0),0)</f>
        <v>0</v>
      </c>
      <c r="H159" s="10">
        <f>IFERROR(VLOOKUP(B159,cubo!$A$6:$BE$37,15,0)-VLOOKUP(B159,#REF!,$H$2,0),0)</f>
        <v>0</v>
      </c>
      <c r="I159" s="9">
        <f>IFERROR(VLOOKUP(B159,cubo!$A$6:$BE$37,18,0)-VLOOKUP(B159,#REF!,$I$2,0),0)</f>
        <v>0</v>
      </c>
      <c r="J159" s="9">
        <f>IFERROR(VLOOKUP(B159,cubo!$A$6:$BE$37,24,0)-VLOOKUP(B159,#REF!,$J$2,0),0)</f>
        <v>0</v>
      </c>
      <c r="K159" s="9">
        <f>IFERROR(VLOOKUP(B159,cubo!$A$6:$BE$37,34,0)-VLOOKUP(B159,#REF!,$K$2,0),0)</f>
        <v>0</v>
      </c>
      <c r="L159" s="8">
        <f>IFERROR(VLOOKUP(B159,cubo!$A$6:$BE$37,38,0)-VLOOKUP(B159,#REF!,$L$2,0),0)</f>
        <v>0</v>
      </c>
      <c r="M159" s="15">
        <f>IFERROR(VLOOKUP(B159,cubo!$A$6:$BE$37,57,0)-VLOOKUP(B159,#REF!,$M$2,0),0)</f>
        <v>0</v>
      </c>
      <c r="N159" s="9">
        <f>IFERROR(VLOOKUP(B159,cubo!$A$6:$BK$37,41,0)-VLOOKUP(conciliacao_custos!B159,#REF!,18,0),0)</f>
        <v>0</v>
      </c>
      <c r="O159" s="9">
        <f>IFERROR(VLOOKUP(B159,cubo!$A$6:$BK$37,44,0)-VLOOKUP(conciliacao_custos!B159,#REF!,13,0),0)</f>
        <v>0</v>
      </c>
      <c r="P159" s="9">
        <f>IFERROR(VLOOKUP(B159,cubo!$A$6:$BK$37,47,0)-VLOOKUP(conciliacao_custos!B159,#REF!,14,0),0)</f>
        <v>0</v>
      </c>
      <c r="Q159" s="9">
        <f>IFERROR(VLOOKUP(B159,cubo!$A$6:$BK$37,58,0)-VLOOKUP(conciliacao_custos!B159,#REF!,16,0),0)</f>
        <v>0</v>
      </c>
      <c r="R159" s="9">
        <f>IFERROR(VLOOKUP(B159,cubo!$A$6:$BK$37,64,0)-VLOOKUP(conciliacao_custos!B159,#REF!,17,0),0)</f>
        <v>0</v>
      </c>
      <c r="S159" s="9">
        <f>IFERROR(VLOOKUP(B159,cubo!$A$6:$BK$37,61,0)-VLOOKUP(conciliacao_custos!B159,#REF!,15,0),0)</f>
        <v>0</v>
      </c>
    </row>
    <row r="160" spans="2:19" x14ac:dyDescent="0.25">
      <c r="B160" s="7">
        <f>[1]salario!A159</f>
        <v>0</v>
      </c>
      <c r="C160" s="8">
        <f>[1]salario!C159</f>
        <v>0</v>
      </c>
      <c r="D160" s="10">
        <f>IFERROR(VLOOKUP(B160,cubo!$A$6:$BE$37,6,0)-VLOOKUP(B160,#REF!,$D$2,0),0)</f>
        <v>0</v>
      </c>
      <c r="E160" s="10">
        <f>IFERROR(VLOOKUP(B160,cubo!$A$6:$BE$37,9,0)-VLOOKUP(B160,#REF!,$E$2,0),0)</f>
        <v>0</v>
      </c>
      <c r="F160" s="9">
        <f>IFERROR(VLOOKUP(B160,cubo!$A$6:$BE$37,12,0)-VLOOKUP(B160,#REF!,$F$2,0),0)</f>
        <v>0</v>
      </c>
      <c r="G160" s="9">
        <f>IFERROR(VLOOKUP(B160,cubo!$A$6:$BE$37,54,0)-VLOOKUP(B160,#REF!,$G$2,0),0)</f>
        <v>0</v>
      </c>
      <c r="H160" s="10">
        <f>IFERROR(VLOOKUP(B160,cubo!$A$6:$BE$37,15,0)-VLOOKUP(B160,#REF!,$H$2,0),0)</f>
        <v>0</v>
      </c>
      <c r="I160" s="9">
        <f>IFERROR(VLOOKUP(B160,cubo!$A$6:$BE$37,18,0)-VLOOKUP(B160,#REF!,$I$2,0),0)</f>
        <v>0</v>
      </c>
      <c r="J160" s="9">
        <f>IFERROR(VLOOKUP(B160,cubo!$A$6:$BE$37,24,0)-VLOOKUP(B160,#REF!,$J$2,0),0)</f>
        <v>0</v>
      </c>
      <c r="K160" s="9">
        <f>IFERROR(VLOOKUP(B160,cubo!$A$6:$BE$37,34,0)-VLOOKUP(B160,#REF!,$K$2,0),0)</f>
        <v>0</v>
      </c>
      <c r="L160" s="8">
        <f>IFERROR(VLOOKUP(B160,cubo!$A$6:$BE$37,38,0)-VLOOKUP(B160,#REF!,$L$2,0),0)</f>
        <v>0</v>
      </c>
      <c r="M160" s="15">
        <f>IFERROR(VLOOKUP(B160,cubo!$A$6:$BE$37,57,0)-VLOOKUP(B160,#REF!,$M$2,0),0)</f>
        <v>0</v>
      </c>
      <c r="N160" s="9">
        <f>IFERROR(VLOOKUP(B160,cubo!$A$6:$BK$37,41,0)-VLOOKUP(conciliacao_custos!B160,#REF!,18,0),0)</f>
        <v>0</v>
      </c>
      <c r="O160" s="9">
        <f>IFERROR(VLOOKUP(B160,cubo!$A$6:$BK$37,44,0)-VLOOKUP(conciliacao_custos!B160,#REF!,13,0),0)</f>
        <v>0</v>
      </c>
      <c r="P160" s="9">
        <f>IFERROR(VLOOKUP(B160,cubo!$A$6:$BK$37,47,0)-VLOOKUP(conciliacao_custos!B160,#REF!,14,0),0)</f>
        <v>0</v>
      </c>
      <c r="Q160" s="9">
        <f>IFERROR(VLOOKUP(B160,cubo!$A$6:$BK$37,58,0)-VLOOKUP(conciliacao_custos!B160,#REF!,16,0),0)</f>
        <v>0</v>
      </c>
      <c r="R160" s="9">
        <f>IFERROR(VLOOKUP(B160,cubo!$A$6:$BK$37,64,0)-VLOOKUP(conciliacao_custos!B160,#REF!,17,0),0)</f>
        <v>0</v>
      </c>
      <c r="S160" s="9">
        <f>IFERROR(VLOOKUP(B160,cubo!$A$6:$BK$37,61,0)-VLOOKUP(conciliacao_custos!B160,#REF!,15,0),0)</f>
        <v>0</v>
      </c>
    </row>
    <row r="161" spans="2:19" x14ac:dyDescent="0.25">
      <c r="B161" s="7">
        <f>[1]salario!A160</f>
        <v>0</v>
      </c>
      <c r="C161" s="8">
        <f>[1]salario!C160</f>
        <v>0</v>
      </c>
      <c r="D161" s="10">
        <f>IFERROR(VLOOKUP(B161,cubo!$A$6:$BE$37,6,0)-VLOOKUP(B161,#REF!,$D$2,0),0)</f>
        <v>0</v>
      </c>
      <c r="E161" s="10">
        <f>IFERROR(VLOOKUP(B161,cubo!$A$6:$BE$37,9,0)-VLOOKUP(B161,#REF!,$E$2,0),0)</f>
        <v>0</v>
      </c>
      <c r="F161" s="9">
        <f>IFERROR(VLOOKUP(B161,cubo!$A$6:$BE$37,12,0)-VLOOKUP(B161,#REF!,$F$2,0),0)</f>
        <v>0</v>
      </c>
      <c r="G161" s="9">
        <f>IFERROR(VLOOKUP(B161,cubo!$A$6:$BE$37,54,0)-VLOOKUP(B161,#REF!,$G$2,0),0)</f>
        <v>0</v>
      </c>
      <c r="H161" s="10">
        <f>IFERROR(VLOOKUP(B161,cubo!$A$6:$BE$37,15,0)-VLOOKUP(B161,#REF!,$H$2,0),0)</f>
        <v>0</v>
      </c>
      <c r="I161" s="9">
        <f>IFERROR(VLOOKUP(B161,cubo!$A$6:$BE$37,18,0)-VLOOKUP(B161,#REF!,$I$2,0),0)</f>
        <v>0</v>
      </c>
      <c r="J161" s="9">
        <f>IFERROR(VLOOKUP(B161,cubo!$A$6:$BE$37,24,0)-VLOOKUP(B161,#REF!,$J$2,0),0)</f>
        <v>0</v>
      </c>
      <c r="K161" s="9">
        <f>IFERROR(VLOOKUP(B161,cubo!$A$6:$BE$37,34,0)-VLOOKUP(B161,#REF!,$K$2,0),0)</f>
        <v>0</v>
      </c>
      <c r="L161" s="8">
        <f>IFERROR(VLOOKUP(B161,cubo!$A$6:$BE$37,38,0)-VLOOKUP(B161,#REF!,$L$2,0),0)</f>
        <v>0</v>
      </c>
      <c r="M161" s="15">
        <f>IFERROR(VLOOKUP(B161,cubo!$A$6:$BE$37,57,0)-VLOOKUP(B161,#REF!,$M$2,0),0)</f>
        <v>0</v>
      </c>
      <c r="N161" s="9">
        <f>IFERROR(VLOOKUP(B161,cubo!$A$6:$BK$37,41,0)-VLOOKUP(conciliacao_custos!B161,#REF!,18,0),0)</f>
        <v>0</v>
      </c>
      <c r="O161" s="9">
        <f>IFERROR(VLOOKUP(B161,cubo!$A$6:$BK$37,44,0)-VLOOKUP(conciliacao_custos!B161,#REF!,13,0),0)</f>
        <v>0</v>
      </c>
      <c r="P161" s="9">
        <f>IFERROR(VLOOKUP(B161,cubo!$A$6:$BK$37,47,0)-VLOOKUP(conciliacao_custos!B161,#REF!,14,0),0)</f>
        <v>0</v>
      </c>
      <c r="Q161" s="9">
        <f>IFERROR(VLOOKUP(B161,cubo!$A$6:$BK$37,58,0)-VLOOKUP(conciliacao_custos!B161,#REF!,16,0),0)</f>
        <v>0</v>
      </c>
      <c r="R161" s="9">
        <f>IFERROR(VLOOKUP(B161,cubo!$A$6:$BK$37,64,0)-VLOOKUP(conciliacao_custos!B161,#REF!,17,0),0)</f>
        <v>0</v>
      </c>
      <c r="S161" s="9">
        <f>IFERROR(VLOOKUP(B161,cubo!$A$6:$BK$37,61,0)-VLOOKUP(conciliacao_custos!B161,#REF!,15,0),0)</f>
        <v>0</v>
      </c>
    </row>
    <row r="162" spans="2:19" x14ac:dyDescent="0.25">
      <c r="B162" s="7">
        <f>[1]salario!A161</f>
        <v>0</v>
      </c>
      <c r="C162" s="8">
        <f>[1]salario!C161</f>
        <v>0</v>
      </c>
      <c r="D162" s="10">
        <f>IFERROR(VLOOKUP(B162,cubo!$A$6:$BE$37,6,0)-VLOOKUP(B162,#REF!,$D$2,0),0)</f>
        <v>0</v>
      </c>
      <c r="E162" s="10">
        <f>IFERROR(VLOOKUP(B162,cubo!$A$6:$BE$37,9,0)-VLOOKUP(B162,#REF!,$E$2,0),0)</f>
        <v>0</v>
      </c>
      <c r="F162" s="9">
        <f>IFERROR(VLOOKUP(B162,cubo!$A$6:$BE$37,12,0)-VLOOKUP(B162,#REF!,$F$2,0),0)</f>
        <v>0</v>
      </c>
      <c r="G162" s="9">
        <f>IFERROR(VLOOKUP(B162,cubo!$A$6:$BE$37,54,0)-VLOOKUP(B162,#REF!,$G$2,0),0)</f>
        <v>0</v>
      </c>
      <c r="H162" s="10">
        <f>IFERROR(VLOOKUP(B162,cubo!$A$6:$BE$37,15,0)-VLOOKUP(B162,#REF!,$H$2,0),0)</f>
        <v>0</v>
      </c>
      <c r="I162" s="9">
        <f>IFERROR(VLOOKUP(B162,cubo!$A$6:$BE$37,18,0)-VLOOKUP(B162,#REF!,$I$2,0),0)</f>
        <v>0</v>
      </c>
      <c r="J162" s="9">
        <f>IFERROR(VLOOKUP(B162,cubo!$A$6:$BE$37,24,0)-VLOOKUP(B162,#REF!,$J$2,0),0)</f>
        <v>0</v>
      </c>
      <c r="K162" s="9">
        <f>IFERROR(VLOOKUP(B162,cubo!$A$6:$BE$37,34,0)-VLOOKUP(B162,#REF!,$K$2,0),0)</f>
        <v>0</v>
      </c>
      <c r="L162" s="8">
        <f>IFERROR(VLOOKUP(B162,cubo!$A$6:$BE$37,38,0)-VLOOKUP(B162,#REF!,$L$2,0),0)</f>
        <v>0</v>
      </c>
      <c r="M162" s="15">
        <f>IFERROR(VLOOKUP(B162,cubo!$A$6:$BE$37,57,0)-VLOOKUP(B162,#REF!,$M$2,0),0)</f>
        <v>0</v>
      </c>
      <c r="N162" s="9">
        <f>IFERROR(VLOOKUP(B162,cubo!$A$6:$BK$37,41,0)-VLOOKUP(conciliacao_custos!B162,#REF!,18,0),0)</f>
        <v>0</v>
      </c>
      <c r="O162" s="9">
        <f>IFERROR(VLOOKUP(B162,cubo!$A$6:$BK$37,44,0)-VLOOKUP(conciliacao_custos!B162,#REF!,13,0),0)</f>
        <v>0</v>
      </c>
      <c r="P162" s="9">
        <f>IFERROR(VLOOKUP(B162,cubo!$A$6:$BK$37,47,0)-VLOOKUP(conciliacao_custos!B162,#REF!,14,0),0)</f>
        <v>0</v>
      </c>
      <c r="Q162" s="9">
        <f>IFERROR(VLOOKUP(B162,cubo!$A$6:$BK$37,58,0)-VLOOKUP(conciliacao_custos!B162,#REF!,16,0),0)</f>
        <v>0</v>
      </c>
      <c r="R162" s="9">
        <f>IFERROR(VLOOKUP(B162,cubo!$A$6:$BK$37,64,0)-VLOOKUP(conciliacao_custos!B162,#REF!,17,0),0)</f>
        <v>0</v>
      </c>
      <c r="S162" s="9">
        <f>IFERROR(VLOOKUP(B162,cubo!$A$6:$BK$37,61,0)-VLOOKUP(conciliacao_custos!B162,#REF!,15,0),0)</f>
        <v>0</v>
      </c>
    </row>
    <row r="163" spans="2:19" x14ac:dyDescent="0.25">
      <c r="B163" s="7">
        <f>[1]salario!A162</f>
        <v>0</v>
      </c>
      <c r="C163" s="8">
        <f>[1]salario!C162</f>
        <v>0</v>
      </c>
      <c r="D163" s="10">
        <f>IFERROR(VLOOKUP(B163,cubo!$A$6:$BE$37,6,0)-VLOOKUP(B163,#REF!,$D$2,0),0)</f>
        <v>0</v>
      </c>
      <c r="E163" s="10">
        <f>IFERROR(VLOOKUP(B163,cubo!$A$6:$BE$37,9,0)-VLOOKUP(B163,#REF!,$E$2,0),0)</f>
        <v>0</v>
      </c>
      <c r="F163" s="9">
        <f>IFERROR(VLOOKUP(B163,cubo!$A$6:$BE$37,12,0)-VLOOKUP(B163,#REF!,$F$2,0),0)</f>
        <v>0</v>
      </c>
      <c r="G163" s="9">
        <f>IFERROR(VLOOKUP(B163,cubo!$A$6:$BE$37,54,0)-VLOOKUP(B163,#REF!,$G$2,0),0)</f>
        <v>0</v>
      </c>
      <c r="H163" s="10">
        <f>IFERROR(VLOOKUP(B163,cubo!$A$6:$BE$37,15,0)-VLOOKUP(B163,#REF!,$H$2,0),0)</f>
        <v>0</v>
      </c>
      <c r="I163" s="9">
        <f>IFERROR(VLOOKUP(B163,cubo!$A$6:$BE$37,18,0)-VLOOKUP(B163,#REF!,$I$2,0),0)</f>
        <v>0</v>
      </c>
      <c r="J163" s="9">
        <f>IFERROR(VLOOKUP(B163,cubo!$A$6:$BE$37,24,0)-VLOOKUP(B163,#REF!,$J$2,0),0)</f>
        <v>0</v>
      </c>
      <c r="K163" s="9">
        <f>IFERROR(VLOOKUP(B163,cubo!$A$6:$BE$37,34,0)-VLOOKUP(B163,#REF!,$K$2,0),0)</f>
        <v>0</v>
      </c>
      <c r="L163" s="8">
        <f>IFERROR(VLOOKUP(B163,cubo!$A$6:$BE$37,38,0)-VLOOKUP(B163,#REF!,$L$2,0),0)</f>
        <v>0</v>
      </c>
      <c r="M163" s="15">
        <f>IFERROR(VLOOKUP(B163,cubo!$A$6:$BE$37,57,0)-VLOOKUP(B163,#REF!,$M$2,0),0)</f>
        <v>0</v>
      </c>
      <c r="N163" s="9">
        <f>IFERROR(VLOOKUP(B163,cubo!$A$6:$BK$37,41,0)-VLOOKUP(conciliacao_custos!B163,#REF!,18,0),0)</f>
        <v>0</v>
      </c>
      <c r="O163" s="9">
        <f>IFERROR(VLOOKUP(B163,cubo!$A$6:$BK$37,44,0)-VLOOKUP(conciliacao_custos!B163,#REF!,13,0),0)</f>
        <v>0</v>
      </c>
      <c r="P163" s="9">
        <f>IFERROR(VLOOKUP(B163,cubo!$A$6:$BK$37,47,0)-VLOOKUP(conciliacao_custos!B163,#REF!,14,0),0)</f>
        <v>0</v>
      </c>
      <c r="Q163" s="9">
        <f>IFERROR(VLOOKUP(B163,cubo!$A$6:$BK$37,58,0)-VLOOKUP(conciliacao_custos!B163,#REF!,16,0),0)</f>
        <v>0</v>
      </c>
      <c r="R163" s="9">
        <f>IFERROR(VLOOKUP(B163,cubo!$A$6:$BK$37,64,0)-VLOOKUP(conciliacao_custos!B163,#REF!,17,0),0)</f>
        <v>0</v>
      </c>
      <c r="S163" s="9">
        <f>IFERROR(VLOOKUP(B163,cubo!$A$6:$BK$37,61,0)-VLOOKUP(conciliacao_custos!B163,#REF!,15,0),0)</f>
        <v>0</v>
      </c>
    </row>
    <row r="164" spans="2:19" x14ac:dyDescent="0.25">
      <c r="B164" s="7">
        <f>[1]salario!A163</f>
        <v>0</v>
      </c>
      <c r="C164" s="8">
        <f>[1]salario!C163</f>
        <v>0</v>
      </c>
      <c r="D164" s="10">
        <f>IFERROR(VLOOKUP(B164,cubo!$A$6:$BE$37,6,0)-VLOOKUP(B164,#REF!,$D$2,0),0)</f>
        <v>0</v>
      </c>
      <c r="E164" s="10">
        <f>IFERROR(VLOOKUP(B164,cubo!$A$6:$BE$37,9,0)-VLOOKUP(B164,#REF!,$E$2,0),0)</f>
        <v>0</v>
      </c>
      <c r="F164" s="9">
        <f>IFERROR(VLOOKUP(B164,cubo!$A$6:$BE$37,12,0)-VLOOKUP(B164,#REF!,$F$2,0),0)</f>
        <v>0</v>
      </c>
      <c r="G164" s="9">
        <f>IFERROR(VLOOKUP(B164,cubo!$A$6:$BE$37,54,0)-VLOOKUP(B164,#REF!,$G$2,0),0)</f>
        <v>0</v>
      </c>
      <c r="H164" s="10">
        <f>IFERROR(VLOOKUP(B164,cubo!$A$6:$BE$37,15,0)-VLOOKUP(B164,#REF!,$H$2,0),0)</f>
        <v>0</v>
      </c>
      <c r="I164" s="9">
        <f>IFERROR(VLOOKUP(B164,cubo!$A$6:$BE$37,18,0)-VLOOKUP(B164,#REF!,$I$2,0),0)</f>
        <v>0</v>
      </c>
      <c r="J164" s="9">
        <f>IFERROR(VLOOKUP(B164,cubo!$A$6:$BE$37,24,0)-VLOOKUP(B164,#REF!,$J$2,0),0)</f>
        <v>0</v>
      </c>
      <c r="K164" s="9">
        <f>IFERROR(VLOOKUP(B164,cubo!$A$6:$BE$37,34,0)-VLOOKUP(B164,#REF!,$K$2,0),0)</f>
        <v>0</v>
      </c>
      <c r="L164" s="8">
        <f>IFERROR(VLOOKUP(B164,cubo!$A$6:$BE$37,38,0)-VLOOKUP(B164,#REF!,$L$2,0),0)</f>
        <v>0</v>
      </c>
      <c r="M164" s="15">
        <f>IFERROR(VLOOKUP(B164,cubo!$A$6:$BE$37,57,0)-VLOOKUP(B164,#REF!,$M$2,0),0)</f>
        <v>0</v>
      </c>
      <c r="N164" s="9">
        <f>IFERROR(VLOOKUP(B164,cubo!$A$6:$BK$37,41,0)-VLOOKUP(conciliacao_custos!B164,#REF!,18,0),0)</f>
        <v>0</v>
      </c>
      <c r="O164" s="9">
        <f>IFERROR(VLOOKUP(B164,cubo!$A$6:$BK$37,44,0)-VLOOKUP(conciliacao_custos!B164,#REF!,13,0),0)</f>
        <v>0</v>
      </c>
      <c r="P164" s="9">
        <f>IFERROR(VLOOKUP(B164,cubo!$A$6:$BK$37,47,0)-VLOOKUP(conciliacao_custos!B164,#REF!,14,0),0)</f>
        <v>0</v>
      </c>
      <c r="Q164" s="9">
        <f>IFERROR(VLOOKUP(B164,cubo!$A$6:$BK$37,58,0)-VLOOKUP(conciliacao_custos!B164,#REF!,16,0),0)</f>
        <v>0</v>
      </c>
      <c r="R164" s="9">
        <f>IFERROR(VLOOKUP(B164,cubo!$A$6:$BK$37,64,0)-VLOOKUP(conciliacao_custos!B164,#REF!,17,0),0)</f>
        <v>0</v>
      </c>
      <c r="S164" s="9">
        <f>IFERROR(VLOOKUP(B164,cubo!$A$6:$BK$37,61,0)-VLOOKUP(conciliacao_custos!B164,#REF!,15,0),0)</f>
        <v>0</v>
      </c>
    </row>
    <row r="165" spans="2:19" x14ac:dyDescent="0.25">
      <c r="B165" s="7">
        <f>[1]salario!A164</f>
        <v>0</v>
      </c>
      <c r="C165" s="8">
        <f>[1]salario!C164</f>
        <v>0</v>
      </c>
      <c r="D165" s="10">
        <f>IFERROR(VLOOKUP(B165,cubo!$A$6:$BE$37,6,0)-VLOOKUP(B165,#REF!,$D$2,0),0)</f>
        <v>0</v>
      </c>
      <c r="E165" s="10">
        <f>IFERROR(VLOOKUP(B165,cubo!$A$6:$BE$37,9,0)-VLOOKUP(B165,#REF!,$E$2,0),0)</f>
        <v>0</v>
      </c>
      <c r="F165" s="9">
        <f>IFERROR(VLOOKUP(B165,cubo!$A$6:$BE$37,12,0)-VLOOKUP(B165,#REF!,$F$2,0),0)</f>
        <v>0</v>
      </c>
      <c r="G165" s="9">
        <f>IFERROR(VLOOKUP(B165,cubo!$A$6:$BE$37,54,0)-VLOOKUP(B165,#REF!,$G$2,0),0)</f>
        <v>0</v>
      </c>
      <c r="H165" s="10">
        <f>IFERROR(VLOOKUP(B165,cubo!$A$6:$BE$37,15,0)-VLOOKUP(B165,#REF!,$H$2,0),0)</f>
        <v>0</v>
      </c>
      <c r="I165" s="9">
        <f>IFERROR(VLOOKUP(B165,cubo!$A$6:$BE$37,18,0)-VLOOKUP(B165,#REF!,$I$2,0),0)</f>
        <v>0</v>
      </c>
      <c r="J165" s="9">
        <f>IFERROR(VLOOKUP(B165,cubo!$A$6:$BE$37,24,0)-VLOOKUP(B165,#REF!,$J$2,0),0)</f>
        <v>0</v>
      </c>
      <c r="K165" s="9">
        <f>IFERROR(VLOOKUP(B165,cubo!$A$6:$BE$37,34,0)-VLOOKUP(B165,#REF!,$K$2,0),0)</f>
        <v>0</v>
      </c>
      <c r="L165" s="8">
        <f>IFERROR(VLOOKUP(B165,cubo!$A$6:$BE$37,38,0)-VLOOKUP(B165,#REF!,$L$2,0),0)</f>
        <v>0</v>
      </c>
      <c r="M165" s="15">
        <f>IFERROR(VLOOKUP(B165,cubo!$A$6:$BE$37,57,0)-VLOOKUP(B165,#REF!,$M$2,0),0)</f>
        <v>0</v>
      </c>
      <c r="N165" s="9">
        <f>IFERROR(VLOOKUP(B165,cubo!$A$6:$BK$37,41,0)-VLOOKUP(conciliacao_custos!B165,#REF!,18,0),0)</f>
        <v>0</v>
      </c>
      <c r="O165" s="9">
        <f>IFERROR(VLOOKUP(B165,cubo!$A$6:$BK$37,44,0)-VLOOKUP(conciliacao_custos!B165,#REF!,13,0),0)</f>
        <v>0</v>
      </c>
      <c r="P165" s="9">
        <f>IFERROR(VLOOKUP(B165,cubo!$A$6:$BK$37,47,0)-VLOOKUP(conciliacao_custos!B165,#REF!,14,0),0)</f>
        <v>0</v>
      </c>
      <c r="Q165" s="9">
        <f>IFERROR(VLOOKUP(B165,cubo!$A$6:$BK$37,58,0)-VLOOKUP(conciliacao_custos!B165,#REF!,16,0),0)</f>
        <v>0</v>
      </c>
      <c r="R165" s="9">
        <f>IFERROR(VLOOKUP(B165,cubo!$A$6:$BK$37,64,0)-VLOOKUP(conciliacao_custos!B165,#REF!,17,0),0)</f>
        <v>0</v>
      </c>
      <c r="S165" s="9">
        <f>IFERROR(VLOOKUP(B165,cubo!$A$6:$BK$37,61,0)-VLOOKUP(conciliacao_custos!B165,#REF!,15,0),0)</f>
        <v>0</v>
      </c>
    </row>
    <row r="166" spans="2:19" x14ac:dyDescent="0.25">
      <c r="B166" s="7">
        <f>[1]salario!A165</f>
        <v>0</v>
      </c>
      <c r="C166" s="8">
        <f>[1]salario!C165</f>
        <v>0</v>
      </c>
      <c r="D166" s="10">
        <f>IFERROR(VLOOKUP(B166,cubo!$A$6:$BE$37,6,0)-VLOOKUP(B166,#REF!,$D$2,0),0)</f>
        <v>0</v>
      </c>
      <c r="E166" s="10">
        <f>IFERROR(VLOOKUP(B166,cubo!$A$6:$BE$37,9,0)-VLOOKUP(B166,#REF!,$E$2,0),0)</f>
        <v>0</v>
      </c>
      <c r="F166" s="9">
        <f>IFERROR(VLOOKUP(B166,cubo!$A$6:$BE$37,12,0)-VLOOKUP(B166,#REF!,$F$2,0),0)</f>
        <v>0</v>
      </c>
      <c r="G166" s="9">
        <f>IFERROR(VLOOKUP(B166,cubo!$A$6:$BE$37,54,0)-VLOOKUP(B166,#REF!,$G$2,0),0)</f>
        <v>0</v>
      </c>
      <c r="H166" s="10">
        <f>IFERROR(VLOOKUP(B166,cubo!$A$6:$BE$37,15,0)-VLOOKUP(B166,#REF!,$H$2,0),0)</f>
        <v>0</v>
      </c>
      <c r="I166" s="9">
        <f>IFERROR(VLOOKUP(B166,cubo!$A$6:$BE$37,18,0)-VLOOKUP(B166,#REF!,$I$2,0),0)</f>
        <v>0</v>
      </c>
      <c r="J166" s="9">
        <f>IFERROR(VLOOKUP(B166,cubo!$A$6:$BE$37,24,0)-VLOOKUP(B166,#REF!,$J$2,0),0)</f>
        <v>0</v>
      </c>
      <c r="K166" s="9">
        <f>IFERROR(VLOOKUP(B166,cubo!$A$6:$BE$37,34,0)-VLOOKUP(B166,#REF!,$K$2,0),0)</f>
        <v>0</v>
      </c>
      <c r="L166" s="8">
        <f>IFERROR(VLOOKUP(B166,cubo!$A$6:$BE$37,38,0)-VLOOKUP(B166,#REF!,$L$2,0),0)</f>
        <v>0</v>
      </c>
      <c r="M166" s="15">
        <f>IFERROR(VLOOKUP(B166,cubo!$A$6:$BE$37,57,0)-VLOOKUP(B166,#REF!,$M$2,0),0)</f>
        <v>0</v>
      </c>
      <c r="N166" s="9">
        <f>IFERROR(VLOOKUP(B166,cubo!$A$6:$BK$37,41,0)-VLOOKUP(conciliacao_custos!B166,#REF!,18,0),0)</f>
        <v>0</v>
      </c>
      <c r="O166" s="9">
        <f>IFERROR(VLOOKUP(B166,cubo!$A$6:$BK$37,44,0)-VLOOKUP(conciliacao_custos!B166,#REF!,13,0),0)</f>
        <v>0</v>
      </c>
      <c r="P166" s="9">
        <f>IFERROR(VLOOKUP(B166,cubo!$A$6:$BK$37,47,0)-VLOOKUP(conciliacao_custos!B166,#REF!,14,0),0)</f>
        <v>0</v>
      </c>
      <c r="Q166" s="9">
        <f>IFERROR(VLOOKUP(B166,cubo!$A$6:$BK$37,58,0)-VLOOKUP(conciliacao_custos!B166,#REF!,16,0),0)</f>
        <v>0</v>
      </c>
      <c r="R166" s="9">
        <f>IFERROR(VLOOKUP(B166,cubo!$A$6:$BK$37,64,0)-VLOOKUP(conciliacao_custos!B166,#REF!,17,0),0)</f>
        <v>0</v>
      </c>
      <c r="S166" s="9">
        <f>IFERROR(VLOOKUP(B166,cubo!$A$6:$BK$37,61,0)-VLOOKUP(conciliacao_custos!B166,#REF!,15,0),0)</f>
        <v>0</v>
      </c>
    </row>
    <row r="167" spans="2:19" x14ac:dyDescent="0.25">
      <c r="B167" s="7">
        <f>[1]salario!A166</f>
        <v>0</v>
      </c>
      <c r="C167" s="8">
        <f>[1]salario!C166</f>
        <v>0</v>
      </c>
      <c r="D167" s="10">
        <f>IFERROR(VLOOKUP(B167,cubo!$A$6:$BE$37,6,0)-VLOOKUP(B167,#REF!,$D$2,0),0)</f>
        <v>0</v>
      </c>
      <c r="E167" s="10">
        <f>IFERROR(VLOOKUP(B167,cubo!$A$6:$BE$37,9,0)-VLOOKUP(B167,#REF!,$E$2,0),0)</f>
        <v>0</v>
      </c>
      <c r="F167" s="9">
        <f>IFERROR(VLOOKUP(B167,cubo!$A$6:$BE$37,12,0)-VLOOKUP(B167,#REF!,$F$2,0),0)</f>
        <v>0</v>
      </c>
      <c r="G167" s="9">
        <f>IFERROR(VLOOKUP(B167,cubo!$A$6:$BE$37,54,0)-VLOOKUP(B167,#REF!,$G$2,0),0)</f>
        <v>0</v>
      </c>
      <c r="H167" s="10">
        <f>IFERROR(VLOOKUP(B167,cubo!$A$6:$BE$37,15,0)-VLOOKUP(B167,#REF!,$H$2,0),0)</f>
        <v>0</v>
      </c>
      <c r="I167" s="9">
        <f>IFERROR(VLOOKUP(B167,cubo!$A$6:$BE$37,18,0)-VLOOKUP(B167,#REF!,$I$2,0),0)</f>
        <v>0</v>
      </c>
      <c r="J167" s="9">
        <f>IFERROR(VLOOKUP(B167,cubo!$A$6:$BE$37,24,0)-VLOOKUP(B167,#REF!,$J$2,0),0)</f>
        <v>0</v>
      </c>
      <c r="K167" s="9">
        <f>IFERROR(VLOOKUP(B167,cubo!$A$6:$BE$37,34,0)-VLOOKUP(B167,#REF!,$K$2,0),0)</f>
        <v>0</v>
      </c>
      <c r="L167" s="8">
        <f>IFERROR(VLOOKUP(B167,cubo!$A$6:$BE$37,38,0)-VLOOKUP(B167,#REF!,$L$2,0),0)</f>
        <v>0</v>
      </c>
      <c r="M167" s="15">
        <f>IFERROR(VLOOKUP(B167,cubo!$A$6:$BE$37,57,0)-VLOOKUP(B167,#REF!,$M$2,0),0)</f>
        <v>0</v>
      </c>
      <c r="N167" s="9">
        <f>IFERROR(VLOOKUP(B167,cubo!$A$6:$BK$37,41,0)-VLOOKUP(conciliacao_custos!B167,#REF!,18,0),0)</f>
        <v>0</v>
      </c>
      <c r="O167" s="9">
        <f>IFERROR(VLOOKUP(B167,cubo!$A$6:$BK$37,44,0)-VLOOKUP(conciliacao_custos!B167,#REF!,13,0),0)</f>
        <v>0</v>
      </c>
      <c r="P167" s="9">
        <f>IFERROR(VLOOKUP(B167,cubo!$A$6:$BK$37,47,0)-VLOOKUP(conciliacao_custos!B167,#REF!,14,0),0)</f>
        <v>0</v>
      </c>
      <c r="Q167" s="9">
        <f>IFERROR(VLOOKUP(B167,cubo!$A$6:$BK$37,58,0)-VLOOKUP(conciliacao_custos!B167,#REF!,16,0),0)</f>
        <v>0</v>
      </c>
      <c r="R167" s="9">
        <f>IFERROR(VLOOKUP(B167,cubo!$A$6:$BK$37,64,0)-VLOOKUP(conciliacao_custos!B167,#REF!,17,0),0)</f>
        <v>0</v>
      </c>
      <c r="S167" s="9">
        <f>IFERROR(VLOOKUP(B167,cubo!$A$6:$BK$37,61,0)-VLOOKUP(conciliacao_custos!B167,#REF!,15,0),0)</f>
        <v>0</v>
      </c>
    </row>
    <row r="168" spans="2:19" x14ac:dyDescent="0.25">
      <c r="B168" s="7">
        <f>[1]salario!A167</f>
        <v>0</v>
      </c>
      <c r="C168" s="8">
        <f>[1]salario!C167</f>
        <v>0</v>
      </c>
      <c r="D168" s="10">
        <f>IFERROR(VLOOKUP(B168,cubo!$A$6:$BE$37,6,0)-VLOOKUP(B168,#REF!,$D$2,0),0)</f>
        <v>0</v>
      </c>
      <c r="E168" s="10">
        <f>IFERROR(VLOOKUP(B168,cubo!$A$6:$BE$37,9,0)-VLOOKUP(B168,#REF!,$E$2,0),0)</f>
        <v>0</v>
      </c>
      <c r="F168" s="9">
        <f>IFERROR(VLOOKUP(B168,cubo!$A$6:$BE$37,12,0)-VLOOKUP(B168,#REF!,$F$2,0),0)</f>
        <v>0</v>
      </c>
      <c r="G168" s="9">
        <f>IFERROR(VLOOKUP(B168,cubo!$A$6:$BE$37,54,0)-VLOOKUP(B168,#REF!,$G$2,0),0)</f>
        <v>0</v>
      </c>
      <c r="H168" s="10">
        <f>IFERROR(VLOOKUP(B168,cubo!$A$6:$BE$37,15,0)-VLOOKUP(B168,#REF!,$H$2,0),0)</f>
        <v>0</v>
      </c>
      <c r="I168" s="9">
        <f>IFERROR(VLOOKUP(B168,cubo!$A$6:$BE$37,18,0)-VLOOKUP(B168,#REF!,$I$2,0),0)</f>
        <v>0</v>
      </c>
      <c r="J168" s="9">
        <f>IFERROR(VLOOKUP(B168,cubo!$A$6:$BE$37,24,0)-VLOOKUP(B168,#REF!,$J$2,0),0)</f>
        <v>0</v>
      </c>
      <c r="K168" s="9">
        <f>IFERROR(VLOOKUP(B168,cubo!$A$6:$BE$37,34,0)-VLOOKUP(B168,#REF!,$K$2,0),0)</f>
        <v>0</v>
      </c>
      <c r="L168" s="8">
        <f>IFERROR(VLOOKUP(B168,cubo!$A$6:$BE$37,38,0)-VLOOKUP(B168,#REF!,$L$2,0),0)</f>
        <v>0</v>
      </c>
      <c r="M168" s="15">
        <f>IFERROR(VLOOKUP(B168,cubo!$A$6:$BE$37,57,0)-VLOOKUP(B168,#REF!,$M$2,0),0)</f>
        <v>0</v>
      </c>
      <c r="N168" s="9">
        <f>IFERROR(VLOOKUP(B168,cubo!$A$6:$BK$37,41,0)-VLOOKUP(conciliacao_custos!B168,#REF!,18,0),0)</f>
        <v>0</v>
      </c>
      <c r="O168" s="9">
        <f>IFERROR(VLOOKUP(B168,cubo!$A$6:$BK$37,44,0)-VLOOKUP(conciliacao_custos!B168,#REF!,13,0),0)</f>
        <v>0</v>
      </c>
      <c r="P168" s="9">
        <f>IFERROR(VLOOKUP(B168,cubo!$A$6:$BK$37,47,0)-VLOOKUP(conciliacao_custos!B168,#REF!,14,0),0)</f>
        <v>0</v>
      </c>
      <c r="Q168" s="9">
        <f>IFERROR(VLOOKUP(B168,cubo!$A$6:$BK$37,58,0)-VLOOKUP(conciliacao_custos!B168,#REF!,16,0),0)</f>
        <v>0</v>
      </c>
      <c r="R168" s="9">
        <f>IFERROR(VLOOKUP(B168,cubo!$A$6:$BK$37,64,0)-VLOOKUP(conciliacao_custos!B168,#REF!,17,0),0)</f>
        <v>0</v>
      </c>
      <c r="S168" s="9">
        <f>IFERROR(VLOOKUP(B168,cubo!$A$6:$BK$37,61,0)-VLOOKUP(conciliacao_custos!B168,#REF!,15,0),0)</f>
        <v>0</v>
      </c>
    </row>
    <row r="169" spans="2:19" x14ac:dyDescent="0.25">
      <c r="B169" s="7">
        <f>[1]salario!A168</f>
        <v>0</v>
      </c>
      <c r="C169" s="8">
        <f>[1]salario!C168</f>
        <v>0</v>
      </c>
      <c r="D169" s="10">
        <f>IFERROR(VLOOKUP(B169,cubo!$A$6:$BE$37,6,0)-VLOOKUP(B169,#REF!,$D$2,0),0)</f>
        <v>0</v>
      </c>
      <c r="E169" s="10">
        <f>IFERROR(VLOOKUP(B169,cubo!$A$6:$BE$37,9,0)-VLOOKUP(B169,#REF!,$E$2,0),0)</f>
        <v>0</v>
      </c>
      <c r="F169" s="9">
        <f>IFERROR(VLOOKUP(B169,cubo!$A$6:$BE$37,12,0)-VLOOKUP(B169,#REF!,$F$2,0),0)</f>
        <v>0</v>
      </c>
      <c r="G169" s="9">
        <f>IFERROR(VLOOKUP(B169,cubo!$A$6:$BE$37,54,0)-VLOOKUP(B169,#REF!,$G$2,0),0)</f>
        <v>0</v>
      </c>
      <c r="H169" s="10">
        <f>IFERROR(VLOOKUP(B169,cubo!$A$6:$BE$37,15,0)-VLOOKUP(B169,#REF!,$H$2,0),0)</f>
        <v>0</v>
      </c>
      <c r="I169" s="9">
        <f>IFERROR(VLOOKUP(B169,cubo!$A$6:$BE$37,18,0)-VLOOKUP(B169,#REF!,$I$2,0),0)</f>
        <v>0</v>
      </c>
      <c r="J169" s="9">
        <f>IFERROR(VLOOKUP(B169,cubo!$A$6:$BE$37,24,0)-VLOOKUP(B169,#REF!,$J$2,0),0)</f>
        <v>0</v>
      </c>
      <c r="K169" s="9">
        <f>IFERROR(VLOOKUP(B169,cubo!$A$6:$BE$37,34,0)-VLOOKUP(B169,#REF!,$K$2,0),0)</f>
        <v>0</v>
      </c>
      <c r="L169" s="8">
        <f>IFERROR(VLOOKUP(B169,cubo!$A$6:$BE$37,38,0)-VLOOKUP(B169,#REF!,$L$2,0),0)</f>
        <v>0</v>
      </c>
      <c r="M169" s="15">
        <f>IFERROR(VLOOKUP(B169,cubo!$A$6:$BE$37,57,0)-VLOOKUP(B169,#REF!,$M$2,0),0)</f>
        <v>0</v>
      </c>
      <c r="N169" s="9">
        <f>IFERROR(VLOOKUP(B169,cubo!$A$6:$BK$37,41,0)-VLOOKUP(conciliacao_custos!B169,#REF!,18,0),0)</f>
        <v>0</v>
      </c>
      <c r="O169" s="9">
        <f>IFERROR(VLOOKUP(B169,cubo!$A$6:$BK$37,44,0)-VLOOKUP(conciliacao_custos!B169,#REF!,13,0),0)</f>
        <v>0</v>
      </c>
      <c r="P169" s="9">
        <f>IFERROR(VLOOKUP(B169,cubo!$A$6:$BK$37,47,0)-VLOOKUP(conciliacao_custos!B169,#REF!,14,0),0)</f>
        <v>0</v>
      </c>
      <c r="Q169" s="9">
        <f>IFERROR(VLOOKUP(B169,cubo!$A$6:$BK$37,58,0)-VLOOKUP(conciliacao_custos!B169,#REF!,16,0),0)</f>
        <v>0</v>
      </c>
      <c r="R169" s="9">
        <f>IFERROR(VLOOKUP(B169,cubo!$A$6:$BK$37,64,0)-VLOOKUP(conciliacao_custos!B169,#REF!,17,0),0)</f>
        <v>0</v>
      </c>
      <c r="S169" s="9">
        <f>IFERROR(VLOOKUP(B169,cubo!$A$6:$BK$37,61,0)-VLOOKUP(conciliacao_custos!B169,#REF!,15,0),0)</f>
        <v>0</v>
      </c>
    </row>
    <row r="170" spans="2:19" x14ac:dyDescent="0.25">
      <c r="B170" s="7">
        <f>[1]salario!A169</f>
        <v>0</v>
      </c>
      <c r="C170" s="8">
        <f>[1]salario!C169</f>
        <v>0</v>
      </c>
      <c r="D170" s="10">
        <f>IFERROR(VLOOKUP(B170,cubo!$A$6:$BE$37,6,0)-VLOOKUP(B170,#REF!,$D$2,0),0)</f>
        <v>0</v>
      </c>
      <c r="E170" s="10">
        <f>IFERROR(VLOOKUP(B170,cubo!$A$6:$BE$37,9,0)-VLOOKUP(B170,#REF!,$E$2,0),0)</f>
        <v>0</v>
      </c>
      <c r="F170" s="9">
        <f>IFERROR(VLOOKUP(B170,cubo!$A$6:$BE$37,12,0)-VLOOKUP(B170,#REF!,$F$2,0),0)</f>
        <v>0</v>
      </c>
      <c r="G170" s="9">
        <f>IFERROR(VLOOKUP(B170,cubo!$A$6:$BE$37,54,0)-VLOOKUP(B170,#REF!,$G$2,0),0)</f>
        <v>0</v>
      </c>
      <c r="H170" s="10">
        <f>IFERROR(VLOOKUP(B170,cubo!$A$6:$BE$37,15,0)-VLOOKUP(B170,#REF!,$H$2,0),0)</f>
        <v>0</v>
      </c>
      <c r="I170" s="9">
        <f>IFERROR(VLOOKUP(B170,cubo!$A$6:$BE$37,18,0)-VLOOKUP(B170,#REF!,$I$2,0),0)</f>
        <v>0</v>
      </c>
      <c r="J170" s="9">
        <f>IFERROR(VLOOKUP(B170,cubo!$A$6:$BE$37,24,0)-VLOOKUP(B170,#REF!,$J$2,0),0)</f>
        <v>0</v>
      </c>
      <c r="K170" s="9">
        <f>IFERROR(VLOOKUP(B170,cubo!$A$6:$BE$37,34,0)-VLOOKUP(B170,#REF!,$K$2,0),0)</f>
        <v>0</v>
      </c>
      <c r="L170" s="8">
        <f>IFERROR(VLOOKUP(B170,cubo!$A$6:$BE$37,38,0)-VLOOKUP(B170,#REF!,$L$2,0),0)</f>
        <v>0</v>
      </c>
      <c r="M170" s="15">
        <f>IFERROR(VLOOKUP(B170,cubo!$A$6:$BE$37,57,0)-VLOOKUP(B170,#REF!,$M$2,0),0)</f>
        <v>0</v>
      </c>
      <c r="N170" s="9">
        <f>IFERROR(VLOOKUP(B170,cubo!$A$6:$BK$37,41,0)-VLOOKUP(conciliacao_custos!B170,#REF!,18,0),0)</f>
        <v>0</v>
      </c>
      <c r="O170" s="9">
        <f>IFERROR(VLOOKUP(B170,cubo!$A$6:$BK$37,44,0)-VLOOKUP(conciliacao_custos!B170,#REF!,13,0),0)</f>
        <v>0</v>
      </c>
      <c r="P170" s="9">
        <f>IFERROR(VLOOKUP(B170,cubo!$A$6:$BK$37,47,0)-VLOOKUP(conciliacao_custos!B170,#REF!,14,0),0)</f>
        <v>0</v>
      </c>
      <c r="Q170" s="9">
        <f>IFERROR(VLOOKUP(B170,cubo!$A$6:$BK$37,58,0)-VLOOKUP(conciliacao_custos!B170,#REF!,16,0),0)</f>
        <v>0</v>
      </c>
      <c r="R170" s="9">
        <f>IFERROR(VLOOKUP(B170,cubo!$A$6:$BK$37,64,0)-VLOOKUP(conciliacao_custos!B170,#REF!,17,0),0)</f>
        <v>0</v>
      </c>
      <c r="S170" s="9">
        <f>IFERROR(VLOOKUP(B170,cubo!$A$6:$BK$37,61,0)-VLOOKUP(conciliacao_custos!B170,#REF!,15,0),0)</f>
        <v>0</v>
      </c>
    </row>
    <row r="171" spans="2:19" x14ac:dyDescent="0.25">
      <c r="B171" s="7">
        <f>[1]salario!A170</f>
        <v>0</v>
      </c>
      <c r="C171" s="8">
        <f>[1]salario!C170</f>
        <v>0</v>
      </c>
      <c r="D171" s="10">
        <f>IFERROR(VLOOKUP(B171,cubo!$A$6:$BE$37,6,0)-VLOOKUP(B171,#REF!,$D$2,0),0)</f>
        <v>0</v>
      </c>
      <c r="E171" s="10">
        <f>IFERROR(VLOOKUP(B171,cubo!$A$6:$BE$37,9,0)-VLOOKUP(B171,#REF!,$E$2,0),0)</f>
        <v>0</v>
      </c>
      <c r="F171" s="9">
        <f>IFERROR(VLOOKUP(B171,cubo!$A$6:$BE$37,12,0)-VLOOKUP(B171,#REF!,$F$2,0),0)</f>
        <v>0</v>
      </c>
      <c r="G171" s="9">
        <f>IFERROR(VLOOKUP(B171,cubo!$A$6:$BE$37,54,0)-VLOOKUP(B171,#REF!,$G$2,0),0)</f>
        <v>0</v>
      </c>
      <c r="H171" s="10">
        <f>IFERROR(VLOOKUP(B171,cubo!$A$6:$BE$37,15,0)-VLOOKUP(B171,#REF!,$H$2,0),0)</f>
        <v>0</v>
      </c>
      <c r="I171" s="9">
        <f>IFERROR(VLOOKUP(B171,cubo!$A$6:$BE$37,18,0)-VLOOKUP(B171,#REF!,$I$2,0),0)</f>
        <v>0</v>
      </c>
      <c r="J171" s="9">
        <f>IFERROR(VLOOKUP(B171,cubo!$A$6:$BE$37,24,0)-VLOOKUP(B171,#REF!,$J$2,0),0)</f>
        <v>0</v>
      </c>
      <c r="K171" s="9">
        <f>IFERROR(VLOOKUP(B171,cubo!$A$6:$BE$37,34,0)-VLOOKUP(B171,#REF!,$K$2,0),0)</f>
        <v>0</v>
      </c>
      <c r="L171" s="8">
        <f>IFERROR(VLOOKUP(B171,cubo!$A$6:$BE$37,38,0)-VLOOKUP(B171,#REF!,$L$2,0),0)</f>
        <v>0</v>
      </c>
      <c r="M171" s="15">
        <f>IFERROR(VLOOKUP(B171,cubo!$A$6:$BE$37,57,0)-VLOOKUP(B171,#REF!,$M$2,0),0)</f>
        <v>0</v>
      </c>
      <c r="N171" s="9">
        <f>IFERROR(VLOOKUP(B171,cubo!$A$6:$BK$37,41,0)-VLOOKUP(conciliacao_custos!B171,#REF!,18,0),0)</f>
        <v>0</v>
      </c>
      <c r="O171" s="9">
        <f>IFERROR(VLOOKUP(B171,cubo!$A$6:$BK$37,44,0)-VLOOKUP(conciliacao_custos!B171,#REF!,13,0),0)</f>
        <v>0</v>
      </c>
      <c r="P171" s="9">
        <f>IFERROR(VLOOKUP(B171,cubo!$A$6:$BK$37,47,0)-VLOOKUP(conciliacao_custos!B171,#REF!,14,0),0)</f>
        <v>0</v>
      </c>
      <c r="Q171" s="9">
        <f>IFERROR(VLOOKUP(B171,cubo!$A$6:$BK$37,58,0)-VLOOKUP(conciliacao_custos!B171,#REF!,16,0),0)</f>
        <v>0</v>
      </c>
      <c r="R171" s="9">
        <f>IFERROR(VLOOKUP(B171,cubo!$A$6:$BK$37,64,0)-VLOOKUP(conciliacao_custos!B171,#REF!,17,0),0)</f>
        <v>0</v>
      </c>
      <c r="S171" s="9">
        <f>IFERROR(VLOOKUP(B171,cubo!$A$6:$BK$37,61,0)-VLOOKUP(conciliacao_custos!B171,#REF!,15,0),0)</f>
        <v>0</v>
      </c>
    </row>
    <row r="172" spans="2:19" x14ac:dyDescent="0.25">
      <c r="B172" s="7">
        <f>[1]salario!A171</f>
        <v>0</v>
      </c>
      <c r="C172" s="8">
        <f>[1]salario!C171</f>
        <v>0</v>
      </c>
      <c r="D172" s="10">
        <f>IFERROR(VLOOKUP(B172,cubo!$A$6:$BE$37,6,0)-VLOOKUP(B172,#REF!,$D$2,0),0)</f>
        <v>0</v>
      </c>
      <c r="E172" s="10">
        <f>IFERROR(VLOOKUP(B172,cubo!$A$6:$BE$37,9,0)-VLOOKUP(B172,#REF!,$E$2,0),0)</f>
        <v>0</v>
      </c>
      <c r="F172" s="9">
        <f>IFERROR(VLOOKUP(B172,cubo!$A$6:$BE$37,12,0)-VLOOKUP(B172,#REF!,$F$2,0),0)</f>
        <v>0</v>
      </c>
      <c r="G172" s="9">
        <f>IFERROR(VLOOKUP(B172,cubo!$A$6:$BE$37,54,0)-VLOOKUP(B172,#REF!,$G$2,0),0)</f>
        <v>0</v>
      </c>
      <c r="H172" s="10">
        <f>IFERROR(VLOOKUP(B172,cubo!$A$6:$BE$37,15,0)-VLOOKUP(B172,#REF!,$H$2,0),0)</f>
        <v>0</v>
      </c>
      <c r="I172" s="9">
        <f>IFERROR(VLOOKUP(B172,cubo!$A$6:$BE$37,18,0)-VLOOKUP(B172,#REF!,$I$2,0),0)</f>
        <v>0</v>
      </c>
      <c r="J172" s="9">
        <f>IFERROR(VLOOKUP(B172,cubo!$A$6:$BE$37,24,0)-VLOOKUP(B172,#REF!,$J$2,0),0)</f>
        <v>0</v>
      </c>
      <c r="K172" s="9">
        <f>IFERROR(VLOOKUP(B172,cubo!$A$6:$BE$37,34,0)-VLOOKUP(B172,#REF!,$K$2,0),0)</f>
        <v>0</v>
      </c>
      <c r="L172" s="8">
        <f>IFERROR(VLOOKUP(B172,cubo!$A$6:$BE$37,38,0)-VLOOKUP(B172,#REF!,$L$2,0),0)</f>
        <v>0</v>
      </c>
      <c r="M172" s="15">
        <f>IFERROR(VLOOKUP(B172,cubo!$A$6:$BE$37,57,0)-VLOOKUP(B172,#REF!,$M$2,0),0)</f>
        <v>0</v>
      </c>
      <c r="N172" s="9">
        <f>IFERROR(VLOOKUP(B172,cubo!$A$6:$BK$37,41,0)-VLOOKUP(conciliacao_custos!B172,#REF!,18,0),0)</f>
        <v>0</v>
      </c>
      <c r="O172" s="9">
        <f>IFERROR(VLOOKUP(B172,cubo!$A$6:$BK$37,44,0)-VLOOKUP(conciliacao_custos!B172,#REF!,13,0),0)</f>
        <v>0</v>
      </c>
      <c r="P172" s="9">
        <f>IFERROR(VLOOKUP(B172,cubo!$A$6:$BK$37,47,0)-VLOOKUP(conciliacao_custos!B172,#REF!,14,0),0)</f>
        <v>0</v>
      </c>
      <c r="Q172" s="9">
        <f>IFERROR(VLOOKUP(B172,cubo!$A$6:$BK$37,58,0)-VLOOKUP(conciliacao_custos!B172,#REF!,16,0),0)</f>
        <v>0</v>
      </c>
      <c r="R172" s="9">
        <f>IFERROR(VLOOKUP(B172,cubo!$A$6:$BK$37,64,0)-VLOOKUP(conciliacao_custos!B172,#REF!,17,0),0)</f>
        <v>0</v>
      </c>
      <c r="S172" s="9">
        <f>IFERROR(VLOOKUP(B172,cubo!$A$6:$BK$37,61,0)-VLOOKUP(conciliacao_custos!B172,#REF!,15,0),0)</f>
        <v>0</v>
      </c>
    </row>
    <row r="173" spans="2:19" x14ac:dyDescent="0.25">
      <c r="B173" s="7">
        <f>[1]salario!A172</f>
        <v>0</v>
      </c>
      <c r="C173" s="8">
        <f>[1]salario!C172</f>
        <v>0</v>
      </c>
      <c r="D173" s="10">
        <f>IFERROR(VLOOKUP(B173,cubo!$A$6:$BE$37,6,0)-VLOOKUP(B173,#REF!,$D$2,0),0)</f>
        <v>0</v>
      </c>
      <c r="E173" s="10">
        <f>IFERROR(VLOOKUP(B173,cubo!$A$6:$BE$37,9,0)-VLOOKUP(B173,#REF!,$E$2,0),0)</f>
        <v>0</v>
      </c>
      <c r="F173" s="9">
        <f>IFERROR(VLOOKUP(B173,cubo!$A$6:$BE$37,12,0)-VLOOKUP(B173,#REF!,$F$2,0),0)</f>
        <v>0</v>
      </c>
      <c r="G173" s="9">
        <f>IFERROR(VLOOKUP(B173,cubo!$A$6:$BE$37,54,0)-VLOOKUP(B173,#REF!,$G$2,0),0)</f>
        <v>0</v>
      </c>
      <c r="H173" s="10">
        <f>IFERROR(VLOOKUP(B173,cubo!$A$6:$BE$37,15,0)-VLOOKUP(B173,#REF!,$H$2,0),0)</f>
        <v>0</v>
      </c>
      <c r="I173" s="9">
        <f>IFERROR(VLOOKUP(B173,cubo!$A$6:$BE$37,18,0)-VLOOKUP(B173,#REF!,$I$2,0),0)</f>
        <v>0</v>
      </c>
      <c r="J173" s="9">
        <f>IFERROR(VLOOKUP(B173,cubo!$A$6:$BE$37,24,0)-VLOOKUP(B173,#REF!,$J$2,0),0)</f>
        <v>0</v>
      </c>
      <c r="K173" s="9">
        <f>IFERROR(VLOOKUP(B173,cubo!$A$6:$BE$37,34,0)-VLOOKUP(B173,#REF!,$K$2,0),0)</f>
        <v>0</v>
      </c>
      <c r="L173" s="8">
        <f>IFERROR(VLOOKUP(B173,cubo!$A$6:$BE$37,38,0)-VLOOKUP(B173,#REF!,$L$2,0),0)</f>
        <v>0</v>
      </c>
      <c r="M173" s="15">
        <f>IFERROR(VLOOKUP(B173,cubo!$A$6:$BE$37,57,0)-VLOOKUP(B173,#REF!,$M$2,0),0)</f>
        <v>0</v>
      </c>
      <c r="N173" s="9">
        <f>IFERROR(VLOOKUP(B173,cubo!$A$6:$BK$37,41,0)-VLOOKUP(conciliacao_custos!B173,#REF!,18,0),0)</f>
        <v>0</v>
      </c>
      <c r="O173" s="9">
        <f>IFERROR(VLOOKUP(B173,cubo!$A$6:$BK$37,44,0)-VLOOKUP(conciliacao_custos!B173,#REF!,13,0),0)</f>
        <v>0</v>
      </c>
      <c r="P173" s="9">
        <f>IFERROR(VLOOKUP(B173,cubo!$A$6:$BK$37,47,0)-VLOOKUP(conciliacao_custos!B173,#REF!,14,0),0)</f>
        <v>0</v>
      </c>
      <c r="Q173" s="9">
        <f>IFERROR(VLOOKUP(B173,cubo!$A$6:$BK$37,58,0)-VLOOKUP(conciliacao_custos!B173,#REF!,16,0),0)</f>
        <v>0</v>
      </c>
      <c r="R173" s="9">
        <f>IFERROR(VLOOKUP(B173,cubo!$A$6:$BK$37,64,0)-VLOOKUP(conciliacao_custos!B173,#REF!,17,0),0)</f>
        <v>0</v>
      </c>
      <c r="S173" s="9">
        <f>IFERROR(VLOOKUP(B173,cubo!$A$6:$BK$37,61,0)-VLOOKUP(conciliacao_custos!B173,#REF!,15,0),0)</f>
        <v>0</v>
      </c>
    </row>
    <row r="174" spans="2:19" x14ac:dyDescent="0.25">
      <c r="B174" s="7">
        <f>[1]salario!A173</f>
        <v>0</v>
      </c>
      <c r="C174" s="8">
        <f>[1]salario!C173</f>
        <v>0</v>
      </c>
      <c r="D174" s="10">
        <f>IFERROR(VLOOKUP(B174,cubo!$A$6:$BE$37,6,0)-VLOOKUP(B174,#REF!,$D$2,0),0)</f>
        <v>0</v>
      </c>
      <c r="E174" s="10">
        <f>IFERROR(VLOOKUP(B174,cubo!$A$6:$BE$37,9,0)-VLOOKUP(B174,#REF!,$E$2,0),0)</f>
        <v>0</v>
      </c>
      <c r="F174" s="9">
        <f>IFERROR(VLOOKUP(B174,cubo!$A$6:$BE$37,12,0)-VLOOKUP(B174,#REF!,$F$2,0),0)</f>
        <v>0</v>
      </c>
      <c r="G174" s="9">
        <f>IFERROR(VLOOKUP(B174,cubo!$A$6:$BE$37,54,0)-VLOOKUP(B174,#REF!,$G$2,0),0)</f>
        <v>0</v>
      </c>
      <c r="H174" s="10">
        <f>IFERROR(VLOOKUP(B174,cubo!$A$6:$BE$37,15,0)-VLOOKUP(B174,#REF!,$H$2,0),0)</f>
        <v>0</v>
      </c>
      <c r="I174" s="9">
        <f>IFERROR(VLOOKUP(B174,cubo!$A$6:$BE$37,18,0)-VLOOKUP(B174,#REF!,$I$2,0),0)</f>
        <v>0</v>
      </c>
      <c r="J174" s="9">
        <f>IFERROR(VLOOKUP(B174,cubo!$A$6:$BE$37,24,0)-VLOOKUP(B174,#REF!,$J$2,0),0)</f>
        <v>0</v>
      </c>
      <c r="K174" s="9">
        <f>IFERROR(VLOOKUP(B174,cubo!$A$6:$BE$37,34,0)-VLOOKUP(B174,#REF!,$K$2,0),0)</f>
        <v>0</v>
      </c>
      <c r="L174" s="8">
        <f>IFERROR(VLOOKUP(B174,cubo!$A$6:$BE$37,38,0)-VLOOKUP(B174,#REF!,$L$2,0),0)</f>
        <v>0</v>
      </c>
      <c r="M174" s="15">
        <f>IFERROR(VLOOKUP(B174,cubo!$A$6:$BE$37,57,0)-VLOOKUP(B174,#REF!,$M$2,0),0)</f>
        <v>0</v>
      </c>
      <c r="N174" s="9">
        <f>IFERROR(VLOOKUP(B174,cubo!$A$6:$BK$37,41,0)-VLOOKUP(conciliacao_custos!B174,#REF!,18,0),0)</f>
        <v>0</v>
      </c>
      <c r="O174" s="9">
        <f>IFERROR(VLOOKUP(B174,cubo!$A$6:$BK$37,44,0)-VLOOKUP(conciliacao_custos!B174,#REF!,13,0),0)</f>
        <v>0</v>
      </c>
      <c r="P174" s="9">
        <f>IFERROR(VLOOKUP(B174,cubo!$A$6:$BK$37,47,0)-VLOOKUP(conciliacao_custos!B174,#REF!,14,0),0)</f>
        <v>0</v>
      </c>
      <c r="Q174" s="9">
        <f>IFERROR(VLOOKUP(B174,cubo!$A$6:$BK$37,58,0)-VLOOKUP(conciliacao_custos!B174,#REF!,16,0),0)</f>
        <v>0</v>
      </c>
      <c r="R174" s="9">
        <f>IFERROR(VLOOKUP(B174,cubo!$A$6:$BK$37,64,0)-VLOOKUP(conciliacao_custos!B174,#REF!,17,0),0)</f>
        <v>0</v>
      </c>
      <c r="S174" s="9">
        <f>IFERROR(VLOOKUP(B174,cubo!$A$6:$BK$37,61,0)-VLOOKUP(conciliacao_custos!B174,#REF!,15,0),0)</f>
        <v>0</v>
      </c>
    </row>
    <row r="175" spans="2:19" x14ac:dyDescent="0.25">
      <c r="B175" s="7">
        <f>[1]salario!A174</f>
        <v>0</v>
      </c>
      <c r="C175" s="8">
        <f>[1]salario!C174</f>
        <v>0</v>
      </c>
      <c r="D175" s="10">
        <f>IFERROR(VLOOKUP(B175,cubo!$A$6:$BE$37,6,0)-VLOOKUP(B175,#REF!,$D$2,0),0)</f>
        <v>0</v>
      </c>
      <c r="E175" s="10">
        <f>IFERROR(VLOOKUP(B175,cubo!$A$6:$BE$37,9,0)-VLOOKUP(B175,#REF!,$E$2,0),0)</f>
        <v>0</v>
      </c>
      <c r="F175" s="9">
        <f>IFERROR(VLOOKUP(B175,cubo!$A$6:$BE$37,12,0)-VLOOKUP(B175,#REF!,$F$2,0),0)</f>
        <v>0</v>
      </c>
      <c r="G175" s="9">
        <f>IFERROR(VLOOKUP(B175,cubo!$A$6:$BE$37,54,0)-VLOOKUP(B175,#REF!,$G$2,0),0)</f>
        <v>0</v>
      </c>
      <c r="H175" s="10">
        <f>IFERROR(VLOOKUP(B175,cubo!$A$6:$BE$37,15,0)-VLOOKUP(B175,#REF!,$H$2,0),0)</f>
        <v>0</v>
      </c>
      <c r="I175" s="9">
        <f>IFERROR(VLOOKUP(B175,cubo!$A$6:$BE$37,18,0)-VLOOKUP(B175,#REF!,$I$2,0),0)</f>
        <v>0</v>
      </c>
      <c r="J175" s="9">
        <f>IFERROR(VLOOKUP(B175,cubo!$A$6:$BE$37,24,0)-VLOOKUP(B175,#REF!,$J$2,0),0)</f>
        <v>0</v>
      </c>
      <c r="K175" s="9">
        <f>IFERROR(VLOOKUP(B175,cubo!$A$6:$BE$37,34,0)-VLOOKUP(B175,#REF!,$K$2,0),0)</f>
        <v>0</v>
      </c>
      <c r="L175" s="8">
        <f>IFERROR(VLOOKUP(B175,cubo!$A$6:$BE$37,38,0)-VLOOKUP(B175,#REF!,$L$2,0),0)</f>
        <v>0</v>
      </c>
      <c r="M175" s="15">
        <f>IFERROR(VLOOKUP(B175,cubo!$A$6:$BE$37,57,0)-VLOOKUP(B175,#REF!,$M$2,0),0)</f>
        <v>0</v>
      </c>
      <c r="N175" s="9">
        <f>IFERROR(VLOOKUP(B175,cubo!$A$6:$BK$37,41,0)-VLOOKUP(conciliacao_custos!B175,#REF!,18,0),0)</f>
        <v>0</v>
      </c>
      <c r="O175" s="9">
        <f>IFERROR(VLOOKUP(B175,cubo!$A$6:$BK$37,44,0)-VLOOKUP(conciliacao_custos!B175,#REF!,13,0),0)</f>
        <v>0</v>
      </c>
      <c r="P175" s="9">
        <f>IFERROR(VLOOKUP(B175,cubo!$A$6:$BK$37,47,0)-VLOOKUP(conciliacao_custos!B175,#REF!,14,0),0)</f>
        <v>0</v>
      </c>
      <c r="Q175" s="9">
        <f>IFERROR(VLOOKUP(B175,cubo!$A$6:$BK$37,58,0)-VLOOKUP(conciliacao_custos!B175,#REF!,16,0),0)</f>
        <v>0</v>
      </c>
      <c r="R175" s="9">
        <f>IFERROR(VLOOKUP(B175,cubo!$A$6:$BK$37,64,0)-VLOOKUP(conciliacao_custos!B175,#REF!,17,0),0)</f>
        <v>0</v>
      </c>
      <c r="S175" s="9">
        <f>IFERROR(VLOOKUP(B175,cubo!$A$6:$BK$37,61,0)-VLOOKUP(conciliacao_custos!B175,#REF!,15,0),0)</f>
        <v>0</v>
      </c>
    </row>
    <row r="176" spans="2:19" x14ac:dyDescent="0.25">
      <c r="B176" s="7">
        <f>[1]salario!A175</f>
        <v>0</v>
      </c>
      <c r="C176" s="8">
        <f>[1]salario!C175</f>
        <v>0</v>
      </c>
      <c r="D176" s="10">
        <f>IFERROR(VLOOKUP(B176,cubo!$A$6:$BE$37,6,0)-VLOOKUP(B176,#REF!,$D$2,0),0)</f>
        <v>0</v>
      </c>
      <c r="E176" s="10">
        <f>IFERROR(VLOOKUP(B176,cubo!$A$6:$BE$37,9,0)-VLOOKUP(B176,#REF!,$E$2,0),0)</f>
        <v>0</v>
      </c>
      <c r="F176" s="9">
        <f>IFERROR(VLOOKUP(B176,cubo!$A$6:$BE$37,12,0)-VLOOKUP(B176,#REF!,$F$2,0),0)</f>
        <v>0</v>
      </c>
      <c r="G176" s="9">
        <f>IFERROR(VLOOKUP(B176,cubo!$A$6:$BE$37,54,0)-VLOOKUP(B176,#REF!,$G$2,0),0)</f>
        <v>0</v>
      </c>
      <c r="H176" s="10">
        <f>IFERROR(VLOOKUP(B176,cubo!$A$6:$BE$37,15,0)-VLOOKUP(B176,#REF!,$H$2,0),0)</f>
        <v>0</v>
      </c>
      <c r="I176" s="9">
        <f>IFERROR(VLOOKUP(B176,cubo!$A$6:$BE$37,18,0)-VLOOKUP(B176,#REF!,$I$2,0),0)</f>
        <v>0</v>
      </c>
      <c r="J176" s="9">
        <f>IFERROR(VLOOKUP(B176,cubo!$A$6:$BE$37,24,0)-VLOOKUP(B176,#REF!,$J$2,0),0)</f>
        <v>0</v>
      </c>
      <c r="K176" s="9">
        <f>IFERROR(VLOOKUP(B176,cubo!$A$6:$BE$37,34,0)-VLOOKUP(B176,#REF!,$K$2,0),0)</f>
        <v>0</v>
      </c>
      <c r="L176" s="8">
        <f>IFERROR(VLOOKUP(B176,cubo!$A$6:$BE$37,38,0)-VLOOKUP(B176,#REF!,$L$2,0),0)</f>
        <v>0</v>
      </c>
      <c r="M176" s="15">
        <f>IFERROR(VLOOKUP(B176,cubo!$A$6:$BE$37,57,0)-VLOOKUP(B176,#REF!,$M$2,0),0)</f>
        <v>0</v>
      </c>
      <c r="N176" s="9">
        <f>IFERROR(VLOOKUP(B176,cubo!$A$6:$BK$37,41,0)-VLOOKUP(conciliacao_custos!B176,#REF!,18,0),0)</f>
        <v>0</v>
      </c>
      <c r="O176" s="9">
        <f>IFERROR(VLOOKUP(B176,cubo!$A$6:$BK$37,44,0)-VLOOKUP(conciliacao_custos!B176,#REF!,13,0),0)</f>
        <v>0</v>
      </c>
      <c r="P176" s="9">
        <f>IFERROR(VLOOKUP(B176,cubo!$A$6:$BK$37,47,0)-VLOOKUP(conciliacao_custos!B176,#REF!,14,0),0)</f>
        <v>0</v>
      </c>
      <c r="Q176" s="9">
        <f>IFERROR(VLOOKUP(B176,cubo!$A$6:$BK$37,58,0)-VLOOKUP(conciliacao_custos!B176,#REF!,16,0),0)</f>
        <v>0</v>
      </c>
      <c r="R176" s="9">
        <f>IFERROR(VLOOKUP(B176,cubo!$A$6:$BK$37,64,0)-VLOOKUP(conciliacao_custos!B176,#REF!,17,0),0)</f>
        <v>0</v>
      </c>
      <c r="S176" s="9">
        <f>IFERROR(VLOOKUP(B176,cubo!$A$6:$BK$37,61,0)-VLOOKUP(conciliacao_custos!B176,#REF!,15,0),0)</f>
        <v>0</v>
      </c>
    </row>
    <row r="177" spans="2:19" x14ac:dyDescent="0.25">
      <c r="B177" s="7">
        <f>[1]salario!A176</f>
        <v>0</v>
      </c>
      <c r="C177" s="8">
        <f>[1]salario!C176</f>
        <v>0</v>
      </c>
      <c r="D177" s="10">
        <f>IFERROR(VLOOKUP(B177,cubo!$A$6:$BE$37,6,0)-VLOOKUP(B177,#REF!,$D$2,0),0)</f>
        <v>0</v>
      </c>
      <c r="E177" s="10">
        <f>IFERROR(VLOOKUP(B177,cubo!$A$6:$BE$37,9,0)-VLOOKUP(B177,#REF!,$E$2,0),0)</f>
        <v>0</v>
      </c>
      <c r="F177" s="9">
        <f>IFERROR(VLOOKUP(B177,cubo!$A$6:$BE$37,12,0)-VLOOKUP(B177,#REF!,$F$2,0),0)</f>
        <v>0</v>
      </c>
      <c r="G177" s="9">
        <f>IFERROR(VLOOKUP(B177,cubo!$A$6:$BE$37,54,0)-VLOOKUP(B177,#REF!,$G$2,0),0)</f>
        <v>0</v>
      </c>
      <c r="H177" s="10">
        <f>IFERROR(VLOOKUP(B177,cubo!$A$6:$BE$37,15,0)-VLOOKUP(B177,#REF!,$H$2,0),0)</f>
        <v>0</v>
      </c>
      <c r="I177" s="9">
        <f>IFERROR(VLOOKUP(B177,cubo!$A$6:$BE$37,18,0)-VLOOKUP(B177,#REF!,$I$2,0),0)</f>
        <v>0</v>
      </c>
      <c r="J177" s="9">
        <f>IFERROR(VLOOKUP(B177,cubo!$A$6:$BE$37,24,0)-VLOOKUP(B177,#REF!,$J$2,0),0)</f>
        <v>0</v>
      </c>
      <c r="K177" s="9">
        <f>IFERROR(VLOOKUP(B177,cubo!$A$6:$BE$37,34,0)-VLOOKUP(B177,#REF!,$K$2,0),0)</f>
        <v>0</v>
      </c>
      <c r="L177" s="8">
        <f>IFERROR(VLOOKUP(B177,cubo!$A$6:$BE$37,38,0)-VLOOKUP(B177,#REF!,$L$2,0),0)</f>
        <v>0</v>
      </c>
      <c r="M177" s="15">
        <f>IFERROR(VLOOKUP(B177,cubo!$A$6:$BE$37,57,0)-VLOOKUP(B177,#REF!,$M$2,0),0)</f>
        <v>0</v>
      </c>
      <c r="N177" s="9">
        <f>IFERROR(VLOOKUP(B177,cubo!$A$6:$BK$37,41,0)-VLOOKUP(conciliacao_custos!B177,#REF!,18,0),0)</f>
        <v>0</v>
      </c>
      <c r="O177" s="9">
        <f>IFERROR(VLOOKUP(B177,cubo!$A$6:$BK$37,44,0)-VLOOKUP(conciliacao_custos!B177,#REF!,13,0),0)</f>
        <v>0</v>
      </c>
      <c r="P177" s="9">
        <f>IFERROR(VLOOKUP(B177,cubo!$A$6:$BK$37,47,0)-VLOOKUP(conciliacao_custos!B177,#REF!,14,0),0)</f>
        <v>0</v>
      </c>
      <c r="Q177" s="9">
        <f>IFERROR(VLOOKUP(B177,cubo!$A$6:$BK$37,58,0)-VLOOKUP(conciliacao_custos!B177,#REF!,16,0),0)</f>
        <v>0</v>
      </c>
      <c r="R177" s="9">
        <f>IFERROR(VLOOKUP(B177,cubo!$A$6:$BK$37,64,0)-VLOOKUP(conciliacao_custos!B177,#REF!,17,0),0)</f>
        <v>0</v>
      </c>
      <c r="S177" s="9">
        <f>IFERROR(VLOOKUP(B177,cubo!$A$6:$BK$37,61,0)-VLOOKUP(conciliacao_custos!B177,#REF!,15,0),0)</f>
        <v>0</v>
      </c>
    </row>
    <row r="178" spans="2:19" x14ac:dyDescent="0.25">
      <c r="B178" s="7">
        <f>[1]salario!A177</f>
        <v>0</v>
      </c>
      <c r="C178" s="8">
        <f>[1]salario!C177</f>
        <v>0</v>
      </c>
      <c r="D178" s="10">
        <f>IFERROR(VLOOKUP(B178,cubo!$A$6:$BE$37,6,0)-VLOOKUP(B178,#REF!,$D$2,0),0)</f>
        <v>0</v>
      </c>
      <c r="E178" s="10">
        <f>IFERROR(VLOOKUP(B178,cubo!$A$6:$BE$37,9,0)-VLOOKUP(B178,#REF!,$E$2,0),0)</f>
        <v>0</v>
      </c>
      <c r="F178" s="9">
        <f>IFERROR(VLOOKUP(B178,cubo!$A$6:$BE$37,12,0)-VLOOKUP(B178,#REF!,$F$2,0),0)</f>
        <v>0</v>
      </c>
      <c r="G178" s="9">
        <f>IFERROR(VLOOKUP(B178,cubo!$A$6:$BE$37,54,0)-VLOOKUP(B178,#REF!,$G$2,0),0)</f>
        <v>0</v>
      </c>
      <c r="H178" s="10">
        <f>IFERROR(VLOOKUP(B178,cubo!$A$6:$BE$37,15,0)-VLOOKUP(B178,#REF!,$H$2,0),0)</f>
        <v>0</v>
      </c>
      <c r="I178" s="9">
        <f>IFERROR(VLOOKUP(B178,cubo!$A$6:$BE$37,18,0)-VLOOKUP(B178,#REF!,$I$2,0),0)</f>
        <v>0</v>
      </c>
      <c r="J178" s="9">
        <f>IFERROR(VLOOKUP(B178,cubo!$A$6:$BE$37,24,0)-VLOOKUP(B178,#REF!,$J$2,0),0)</f>
        <v>0</v>
      </c>
      <c r="K178" s="9">
        <f>IFERROR(VLOOKUP(B178,cubo!$A$6:$BE$37,34,0)-VLOOKUP(B178,#REF!,$K$2,0),0)</f>
        <v>0</v>
      </c>
      <c r="L178" s="8">
        <f>IFERROR(VLOOKUP(B178,cubo!$A$6:$BE$37,38,0)-VLOOKUP(B178,#REF!,$L$2,0),0)</f>
        <v>0</v>
      </c>
      <c r="M178" s="15">
        <f>IFERROR(VLOOKUP(B178,cubo!$A$6:$BE$37,57,0)-VLOOKUP(B178,#REF!,$M$2,0),0)</f>
        <v>0</v>
      </c>
      <c r="N178" s="9">
        <f>IFERROR(VLOOKUP(B178,cubo!$A$6:$BK$37,41,0)-VLOOKUP(conciliacao_custos!B178,#REF!,18,0),0)</f>
        <v>0</v>
      </c>
      <c r="O178" s="9">
        <f>IFERROR(VLOOKUP(B178,cubo!$A$6:$BK$37,44,0)-VLOOKUP(conciliacao_custos!B178,#REF!,13,0),0)</f>
        <v>0</v>
      </c>
      <c r="P178" s="9">
        <f>IFERROR(VLOOKUP(B178,cubo!$A$6:$BK$37,47,0)-VLOOKUP(conciliacao_custos!B178,#REF!,14,0),0)</f>
        <v>0</v>
      </c>
      <c r="Q178" s="9">
        <f>IFERROR(VLOOKUP(B178,cubo!$A$6:$BK$37,58,0)-VLOOKUP(conciliacao_custos!B178,#REF!,16,0),0)</f>
        <v>0</v>
      </c>
      <c r="R178" s="9">
        <f>IFERROR(VLOOKUP(B178,cubo!$A$6:$BK$37,64,0)-VLOOKUP(conciliacao_custos!B178,#REF!,17,0),0)</f>
        <v>0</v>
      </c>
      <c r="S178" s="9">
        <f>IFERROR(VLOOKUP(B178,cubo!$A$6:$BK$37,61,0)-VLOOKUP(conciliacao_custos!B178,#REF!,15,0),0)</f>
        <v>0</v>
      </c>
    </row>
    <row r="179" spans="2:19" x14ac:dyDescent="0.25">
      <c r="B179" s="7">
        <f>[1]salario!A178</f>
        <v>0</v>
      </c>
      <c r="C179" s="8">
        <f>[1]salario!C178</f>
        <v>0</v>
      </c>
      <c r="D179" s="10">
        <f>IFERROR(VLOOKUP(B179,cubo!$A$6:$BE$37,6,0)-VLOOKUP(B179,#REF!,$D$2,0),0)</f>
        <v>0</v>
      </c>
      <c r="E179" s="10">
        <f>IFERROR(VLOOKUP(B179,cubo!$A$6:$BE$37,9,0)-VLOOKUP(B179,#REF!,$E$2,0),0)</f>
        <v>0</v>
      </c>
      <c r="F179" s="9">
        <f>IFERROR(VLOOKUP(B179,cubo!$A$6:$BE$37,12,0)-VLOOKUP(B179,#REF!,$F$2,0),0)</f>
        <v>0</v>
      </c>
      <c r="G179" s="9">
        <f>IFERROR(VLOOKUP(B179,cubo!$A$6:$BE$37,54,0)-VLOOKUP(B179,#REF!,$G$2,0),0)</f>
        <v>0</v>
      </c>
      <c r="H179" s="10">
        <f>IFERROR(VLOOKUP(B179,cubo!$A$6:$BE$37,15,0)-VLOOKUP(B179,#REF!,$H$2,0),0)</f>
        <v>0</v>
      </c>
      <c r="I179" s="9">
        <f>IFERROR(VLOOKUP(B179,cubo!$A$6:$BE$37,18,0)-VLOOKUP(B179,#REF!,$I$2,0),0)</f>
        <v>0</v>
      </c>
      <c r="J179" s="9">
        <f>IFERROR(VLOOKUP(B179,cubo!$A$6:$BE$37,24,0)-VLOOKUP(B179,#REF!,$J$2,0),0)</f>
        <v>0</v>
      </c>
      <c r="K179" s="9">
        <f>IFERROR(VLOOKUP(B179,cubo!$A$6:$BE$37,34,0)-VLOOKUP(B179,#REF!,$K$2,0),0)</f>
        <v>0</v>
      </c>
      <c r="L179" s="8">
        <f>IFERROR(VLOOKUP(B179,cubo!$A$6:$BE$37,38,0)-VLOOKUP(B179,#REF!,$L$2,0),0)</f>
        <v>0</v>
      </c>
      <c r="M179" s="15">
        <f>IFERROR(VLOOKUP(B179,cubo!$A$6:$BE$37,57,0)-VLOOKUP(B179,#REF!,$M$2,0),0)</f>
        <v>0</v>
      </c>
      <c r="N179" s="9">
        <f>IFERROR(VLOOKUP(B179,cubo!$A$6:$BK$37,41,0)-VLOOKUP(conciliacao_custos!B179,#REF!,18,0),0)</f>
        <v>0</v>
      </c>
      <c r="O179" s="9">
        <f>IFERROR(VLOOKUP(B179,cubo!$A$6:$BK$37,44,0)-VLOOKUP(conciliacao_custos!B179,#REF!,13,0),0)</f>
        <v>0</v>
      </c>
      <c r="P179" s="9">
        <f>IFERROR(VLOOKUP(B179,cubo!$A$6:$BK$37,47,0)-VLOOKUP(conciliacao_custos!B179,#REF!,14,0),0)</f>
        <v>0</v>
      </c>
      <c r="Q179" s="9">
        <f>IFERROR(VLOOKUP(B179,cubo!$A$6:$BK$37,58,0)-VLOOKUP(conciliacao_custos!B179,#REF!,16,0),0)</f>
        <v>0</v>
      </c>
      <c r="R179" s="9">
        <f>IFERROR(VLOOKUP(B179,cubo!$A$6:$BK$37,64,0)-VLOOKUP(conciliacao_custos!B179,#REF!,17,0),0)</f>
        <v>0</v>
      </c>
      <c r="S179" s="9">
        <f>IFERROR(VLOOKUP(B179,cubo!$A$6:$BK$37,61,0)-VLOOKUP(conciliacao_custos!B179,#REF!,15,0),0)</f>
        <v>0</v>
      </c>
    </row>
    <row r="180" spans="2:19" x14ac:dyDescent="0.25">
      <c r="B180" s="7">
        <f>[1]salario!A179</f>
        <v>0</v>
      </c>
      <c r="C180" s="8">
        <f>[1]salario!C179</f>
        <v>0</v>
      </c>
      <c r="D180" s="10">
        <f>IFERROR(VLOOKUP(B180,cubo!$A$6:$BE$37,6,0)-VLOOKUP(B180,#REF!,$D$2,0),0)</f>
        <v>0</v>
      </c>
      <c r="E180" s="10">
        <f>IFERROR(VLOOKUP(B180,cubo!$A$6:$BE$37,9,0)-VLOOKUP(B180,#REF!,$E$2,0),0)</f>
        <v>0</v>
      </c>
      <c r="F180" s="9">
        <f>IFERROR(VLOOKUP(B180,cubo!$A$6:$BE$37,12,0)-VLOOKUP(B180,#REF!,$F$2,0),0)</f>
        <v>0</v>
      </c>
      <c r="G180" s="9">
        <f>IFERROR(VLOOKUP(B180,cubo!$A$6:$BE$37,54,0)-VLOOKUP(B180,#REF!,$G$2,0),0)</f>
        <v>0</v>
      </c>
      <c r="H180" s="10">
        <f>IFERROR(VLOOKUP(B180,cubo!$A$6:$BE$37,15,0)-VLOOKUP(B180,#REF!,$H$2,0),0)</f>
        <v>0</v>
      </c>
      <c r="I180" s="9">
        <f>IFERROR(VLOOKUP(B180,cubo!$A$6:$BE$37,18,0)-VLOOKUP(B180,#REF!,$I$2,0),0)</f>
        <v>0</v>
      </c>
      <c r="J180" s="9">
        <f>IFERROR(VLOOKUP(B180,cubo!$A$6:$BE$37,24,0)-VLOOKUP(B180,#REF!,$J$2,0),0)</f>
        <v>0</v>
      </c>
      <c r="K180" s="9">
        <f>IFERROR(VLOOKUP(B180,cubo!$A$6:$BE$37,34,0)-VLOOKUP(B180,#REF!,$K$2,0),0)</f>
        <v>0</v>
      </c>
      <c r="L180" s="8">
        <f>IFERROR(VLOOKUP(B180,cubo!$A$6:$BE$37,38,0)-VLOOKUP(B180,#REF!,$L$2,0),0)</f>
        <v>0</v>
      </c>
      <c r="M180" s="15">
        <f>IFERROR(VLOOKUP(B180,cubo!$A$6:$BE$37,57,0)-VLOOKUP(B180,#REF!,$M$2,0),0)</f>
        <v>0</v>
      </c>
      <c r="N180" s="9">
        <f>IFERROR(VLOOKUP(B180,cubo!$A$6:$BK$37,41,0)-VLOOKUP(conciliacao_custos!B180,#REF!,18,0),0)</f>
        <v>0</v>
      </c>
      <c r="O180" s="9">
        <f>IFERROR(VLOOKUP(B180,cubo!$A$6:$BK$37,44,0)-VLOOKUP(conciliacao_custos!B180,#REF!,13,0),0)</f>
        <v>0</v>
      </c>
      <c r="P180" s="9">
        <f>IFERROR(VLOOKUP(B180,cubo!$A$6:$BK$37,47,0)-VLOOKUP(conciliacao_custos!B180,#REF!,14,0),0)</f>
        <v>0</v>
      </c>
      <c r="Q180" s="9">
        <f>IFERROR(VLOOKUP(B180,cubo!$A$6:$BK$37,58,0)-VLOOKUP(conciliacao_custos!B180,#REF!,16,0),0)</f>
        <v>0</v>
      </c>
      <c r="R180" s="9">
        <f>IFERROR(VLOOKUP(B180,cubo!$A$6:$BK$37,64,0)-VLOOKUP(conciliacao_custos!B180,#REF!,17,0),0)</f>
        <v>0</v>
      </c>
      <c r="S180" s="9">
        <f>IFERROR(VLOOKUP(B180,cubo!$A$6:$BK$37,61,0)-VLOOKUP(conciliacao_custos!B180,#REF!,15,0),0)</f>
        <v>0</v>
      </c>
    </row>
    <row r="181" spans="2:19" x14ac:dyDescent="0.25">
      <c r="B181" s="7">
        <f>[1]salario!A180</f>
        <v>0</v>
      </c>
      <c r="C181" s="8">
        <f>[1]salario!C180</f>
        <v>0</v>
      </c>
      <c r="D181" s="10">
        <f>IFERROR(VLOOKUP(B181,cubo!$A$6:$BE$37,6,0)-VLOOKUP(B181,#REF!,$D$2,0),0)</f>
        <v>0</v>
      </c>
      <c r="E181" s="10">
        <f>IFERROR(VLOOKUP(B181,cubo!$A$6:$BE$37,9,0)-VLOOKUP(B181,#REF!,$E$2,0),0)</f>
        <v>0</v>
      </c>
      <c r="F181" s="9">
        <f>IFERROR(VLOOKUP(B181,cubo!$A$6:$BE$37,12,0)-VLOOKUP(B181,#REF!,$F$2,0),0)</f>
        <v>0</v>
      </c>
      <c r="G181" s="9">
        <f>IFERROR(VLOOKUP(B181,cubo!$A$6:$BE$37,54,0)-VLOOKUP(B181,#REF!,$G$2,0),0)</f>
        <v>0</v>
      </c>
      <c r="H181" s="10">
        <f>IFERROR(VLOOKUP(B181,cubo!$A$6:$BE$37,15,0)-VLOOKUP(B181,#REF!,$H$2,0),0)</f>
        <v>0</v>
      </c>
      <c r="I181" s="9">
        <f>IFERROR(VLOOKUP(B181,cubo!$A$6:$BE$37,18,0)-VLOOKUP(B181,#REF!,$I$2,0),0)</f>
        <v>0</v>
      </c>
      <c r="J181" s="9">
        <f>IFERROR(VLOOKUP(B181,cubo!$A$6:$BE$37,24,0)-VLOOKUP(B181,#REF!,$J$2,0),0)</f>
        <v>0</v>
      </c>
      <c r="K181" s="9">
        <f>IFERROR(VLOOKUP(B181,cubo!$A$6:$BE$37,34,0)-VLOOKUP(B181,#REF!,$K$2,0),0)</f>
        <v>0</v>
      </c>
      <c r="L181" s="8">
        <f>IFERROR(VLOOKUP(B181,cubo!$A$6:$BE$37,38,0)-VLOOKUP(B181,#REF!,$L$2,0),0)</f>
        <v>0</v>
      </c>
      <c r="M181" s="15">
        <f>IFERROR(VLOOKUP(B181,cubo!$A$6:$BE$37,57,0)-VLOOKUP(B181,#REF!,$M$2,0),0)</f>
        <v>0</v>
      </c>
      <c r="N181" s="9">
        <f>IFERROR(VLOOKUP(B181,cubo!$A$6:$BK$37,41,0)-VLOOKUP(conciliacao_custos!B181,#REF!,18,0),0)</f>
        <v>0</v>
      </c>
      <c r="O181" s="9">
        <f>IFERROR(VLOOKUP(B181,cubo!$A$6:$BK$37,44,0)-VLOOKUP(conciliacao_custos!B181,#REF!,13,0),0)</f>
        <v>0</v>
      </c>
      <c r="P181" s="9">
        <f>IFERROR(VLOOKUP(B181,cubo!$A$6:$BK$37,47,0)-VLOOKUP(conciliacao_custos!B181,#REF!,14,0),0)</f>
        <v>0</v>
      </c>
      <c r="Q181" s="9">
        <f>IFERROR(VLOOKUP(B181,cubo!$A$6:$BK$37,58,0)-VLOOKUP(conciliacao_custos!B181,#REF!,16,0),0)</f>
        <v>0</v>
      </c>
      <c r="R181" s="9">
        <f>IFERROR(VLOOKUP(B181,cubo!$A$6:$BK$37,64,0)-VLOOKUP(conciliacao_custos!B181,#REF!,17,0),0)</f>
        <v>0</v>
      </c>
      <c r="S181" s="9">
        <f>IFERROR(VLOOKUP(B181,cubo!$A$6:$BK$37,61,0)-VLOOKUP(conciliacao_custos!B181,#REF!,15,0),0)</f>
        <v>0</v>
      </c>
    </row>
    <row r="182" spans="2:19" x14ac:dyDescent="0.25">
      <c r="B182" s="7">
        <f>[1]salario!A181</f>
        <v>0</v>
      </c>
      <c r="C182" s="8">
        <f>[1]salario!C181</f>
        <v>0</v>
      </c>
      <c r="D182" s="10">
        <f>IFERROR(VLOOKUP(B182,cubo!$A$6:$BE$37,6,0)-VLOOKUP(B182,#REF!,$D$2,0),0)</f>
        <v>0</v>
      </c>
      <c r="E182" s="10">
        <f>IFERROR(VLOOKUP(B182,cubo!$A$6:$BE$37,9,0)-VLOOKUP(B182,#REF!,$E$2,0),0)</f>
        <v>0</v>
      </c>
      <c r="F182" s="9">
        <f>IFERROR(VLOOKUP(B182,cubo!$A$6:$BE$37,12,0)-VLOOKUP(B182,#REF!,$F$2,0),0)</f>
        <v>0</v>
      </c>
      <c r="G182" s="9">
        <f>IFERROR(VLOOKUP(B182,cubo!$A$6:$BE$37,54,0)-VLOOKUP(B182,#REF!,$G$2,0),0)</f>
        <v>0</v>
      </c>
      <c r="H182" s="10">
        <f>IFERROR(VLOOKUP(B182,cubo!$A$6:$BE$37,15,0)-VLOOKUP(B182,#REF!,$H$2,0),0)</f>
        <v>0</v>
      </c>
      <c r="I182" s="9">
        <f>IFERROR(VLOOKUP(B182,cubo!$A$6:$BE$37,18,0)-VLOOKUP(B182,#REF!,$I$2,0),0)</f>
        <v>0</v>
      </c>
      <c r="J182" s="9">
        <f>IFERROR(VLOOKUP(B182,cubo!$A$6:$BE$37,24,0)-VLOOKUP(B182,#REF!,$J$2,0),0)</f>
        <v>0</v>
      </c>
      <c r="K182" s="9">
        <f>IFERROR(VLOOKUP(B182,cubo!$A$6:$BE$37,34,0)-VLOOKUP(B182,#REF!,$K$2,0),0)</f>
        <v>0</v>
      </c>
      <c r="L182" s="8">
        <f>IFERROR(VLOOKUP(B182,cubo!$A$6:$BE$37,38,0)-VLOOKUP(B182,#REF!,$L$2,0),0)</f>
        <v>0</v>
      </c>
      <c r="M182" s="15">
        <f>IFERROR(VLOOKUP(B182,cubo!$A$6:$BE$37,57,0)-VLOOKUP(B182,#REF!,$M$2,0),0)</f>
        <v>0</v>
      </c>
      <c r="N182" s="9">
        <f>IFERROR(VLOOKUP(B182,cubo!$A$6:$BK$37,41,0)-VLOOKUP(conciliacao_custos!B182,#REF!,18,0),0)</f>
        <v>0</v>
      </c>
      <c r="O182" s="9">
        <f>IFERROR(VLOOKUP(B182,cubo!$A$6:$BK$37,44,0)-VLOOKUP(conciliacao_custos!B182,#REF!,13,0),0)</f>
        <v>0</v>
      </c>
      <c r="P182" s="9">
        <f>IFERROR(VLOOKUP(B182,cubo!$A$6:$BK$37,47,0)-VLOOKUP(conciliacao_custos!B182,#REF!,14,0),0)</f>
        <v>0</v>
      </c>
      <c r="Q182" s="9">
        <f>IFERROR(VLOOKUP(B182,cubo!$A$6:$BK$37,58,0)-VLOOKUP(conciliacao_custos!B182,#REF!,16,0),0)</f>
        <v>0</v>
      </c>
      <c r="R182" s="9">
        <f>IFERROR(VLOOKUP(B182,cubo!$A$6:$BK$37,64,0)-VLOOKUP(conciliacao_custos!B182,#REF!,17,0),0)</f>
        <v>0</v>
      </c>
      <c r="S182" s="9">
        <f>IFERROR(VLOOKUP(B182,cubo!$A$6:$BK$37,61,0)-VLOOKUP(conciliacao_custos!B182,#REF!,15,0),0)</f>
        <v>0</v>
      </c>
    </row>
    <row r="183" spans="2:19" x14ac:dyDescent="0.25">
      <c r="B183" s="7">
        <f>[1]salario!A182</f>
        <v>0</v>
      </c>
      <c r="C183" s="8">
        <f>[1]salario!C182</f>
        <v>0</v>
      </c>
      <c r="D183" s="10">
        <f>IFERROR(VLOOKUP(B183,cubo!$A$6:$BE$37,6,0)-VLOOKUP(B183,#REF!,$D$2,0),0)</f>
        <v>0</v>
      </c>
      <c r="E183" s="10">
        <f>IFERROR(VLOOKUP(B183,cubo!$A$6:$BE$37,9,0)-VLOOKUP(B183,#REF!,$E$2,0),0)</f>
        <v>0</v>
      </c>
      <c r="F183" s="9">
        <f>IFERROR(VLOOKUP(B183,cubo!$A$6:$BE$37,12,0)-VLOOKUP(B183,#REF!,$F$2,0),0)</f>
        <v>0</v>
      </c>
      <c r="G183" s="9">
        <f>IFERROR(VLOOKUP(B183,cubo!$A$6:$BE$37,54,0)-VLOOKUP(B183,#REF!,$G$2,0),0)</f>
        <v>0</v>
      </c>
      <c r="H183" s="10">
        <f>IFERROR(VLOOKUP(B183,cubo!$A$6:$BE$37,15,0)-VLOOKUP(B183,#REF!,$H$2,0),0)</f>
        <v>0</v>
      </c>
      <c r="I183" s="9">
        <f>IFERROR(VLOOKUP(B183,cubo!$A$6:$BE$37,18,0)-VLOOKUP(B183,#REF!,$I$2,0),0)</f>
        <v>0</v>
      </c>
      <c r="J183" s="9">
        <f>IFERROR(VLOOKUP(B183,cubo!$A$6:$BE$37,24,0)-VLOOKUP(B183,#REF!,$J$2,0),0)</f>
        <v>0</v>
      </c>
      <c r="K183" s="9">
        <f>IFERROR(VLOOKUP(B183,cubo!$A$6:$BE$37,34,0)-VLOOKUP(B183,#REF!,$K$2,0),0)</f>
        <v>0</v>
      </c>
      <c r="L183" s="8">
        <f>IFERROR(VLOOKUP(B183,cubo!$A$6:$BE$37,38,0)-VLOOKUP(B183,#REF!,$L$2,0),0)</f>
        <v>0</v>
      </c>
      <c r="M183" s="15">
        <f>IFERROR(VLOOKUP(B183,cubo!$A$6:$BE$37,57,0)-VLOOKUP(B183,#REF!,$M$2,0),0)</f>
        <v>0</v>
      </c>
      <c r="N183" s="9">
        <f>IFERROR(VLOOKUP(B183,cubo!$A$6:$BK$37,41,0)-VLOOKUP(conciliacao_custos!B183,#REF!,18,0),0)</f>
        <v>0</v>
      </c>
      <c r="O183" s="9">
        <f>IFERROR(VLOOKUP(B183,cubo!$A$6:$BK$37,44,0)-VLOOKUP(conciliacao_custos!B183,#REF!,13,0),0)</f>
        <v>0</v>
      </c>
      <c r="P183" s="9">
        <f>IFERROR(VLOOKUP(B183,cubo!$A$6:$BK$37,47,0)-VLOOKUP(conciliacao_custos!B183,#REF!,14,0),0)</f>
        <v>0</v>
      </c>
      <c r="Q183" s="9">
        <f>IFERROR(VLOOKUP(B183,cubo!$A$6:$BK$37,58,0)-VLOOKUP(conciliacao_custos!B183,#REF!,16,0),0)</f>
        <v>0</v>
      </c>
      <c r="R183" s="9">
        <f>IFERROR(VLOOKUP(B183,cubo!$A$6:$BK$37,64,0)-VLOOKUP(conciliacao_custos!B183,#REF!,17,0),0)</f>
        <v>0</v>
      </c>
      <c r="S183" s="9">
        <f>IFERROR(VLOOKUP(B183,cubo!$A$6:$BK$37,61,0)-VLOOKUP(conciliacao_custos!B183,#REF!,15,0),0)</f>
        <v>0</v>
      </c>
    </row>
    <row r="184" spans="2:19" x14ac:dyDescent="0.25">
      <c r="B184" s="7">
        <f>[1]salario!A183</f>
        <v>0</v>
      </c>
      <c r="C184" s="8">
        <f>[1]salario!C183</f>
        <v>0</v>
      </c>
      <c r="D184" s="10">
        <f>IFERROR(VLOOKUP(B184,cubo!$A$6:$BE$37,6,0)-VLOOKUP(B184,#REF!,$D$2,0),0)</f>
        <v>0</v>
      </c>
      <c r="E184" s="10">
        <f>IFERROR(VLOOKUP(B184,cubo!$A$6:$BE$37,9,0)-VLOOKUP(B184,#REF!,$E$2,0),0)</f>
        <v>0</v>
      </c>
      <c r="F184" s="9">
        <f>IFERROR(VLOOKUP(B184,cubo!$A$6:$BE$37,12,0)-VLOOKUP(B184,#REF!,$F$2,0),0)</f>
        <v>0</v>
      </c>
      <c r="G184" s="9">
        <f>IFERROR(VLOOKUP(B184,cubo!$A$6:$BE$37,54,0)-VLOOKUP(B184,#REF!,$G$2,0),0)</f>
        <v>0</v>
      </c>
      <c r="H184" s="10">
        <f>IFERROR(VLOOKUP(B184,cubo!$A$6:$BE$37,15,0)-VLOOKUP(B184,#REF!,$H$2,0),0)</f>
        <v>0</v>
      </c>
      <c r="I184" s="9">
        <f>IFERROR(VLOOKUP(B184,cubo!$A$6:$BE$37,18,0)-VLOOKUP(B184,#REF!,$I$2,0),0)</f>
        <v>0</v>
      </c>
      <c r="J184" s="9">
        <f>IFERROR(VLOOKUP(B184,cubo!$A$6:$BE$37,24,0)-VLOOKUP(B184,#REF!,$J$2,0),0)</f>
        <v>0</v>
      </c>
      <c r="K184" s="9">
        <f>IFERROR(VLOOKUP(B184,cubo!$A$6:$BE$37,34,0)-VLOOKUP(B184,#REF!,$K$2,0),0)</f>
        <v>0</v>
      </c>
      <c r="L184" s="8">
        <f>IFERROR(VLOOKUP(B184,cubo!$A$6:$BE$37,38,0)-VLOOKUP(B184,#REF!,$L$2,0),0)</f>
        <v>0</v>
      </c>
      <c r="M184" s="15">
        <f>IFERROR(VLOOKUP(B184,cubo!$A$6:$BE$37,57,0)-VLOOKUP(B184,#REF!,$M$2,0),0)</f>
        <v>0</v>
      </c>
      <c r="N184" s="9">
        <f>IFERROR(VLOOKUP(B184,cubo!$A$6:$BK$37,41,0)-VLOOKUP(conciliacao_custos!B184,#REF!,18,0),0)</f>
        <v>0</v>
      </c>
      <c r="O184" s="9">
        <f>IFERROR(VLOOKUP(B184,cubo!$A$6:$BK$37,44,0)-VLOOKUP(conciliacao_custos!B184,#REF!,13,0),0)</f>
        <v>0</v>
      </c>
      <c r="P184" s="9">
        <f>IFERROR(VLOOKUP(B184,cubo!$A$6:$BK$37,47,0)-VLOOKUP(conciliacao_custos!B184,#REF!,14,0),0)</f>
        <v>0</v>
      </c>
      <c r="Q184" s="9">
        <f>IFERROR(VLOOKUP(B184,cubo!$A$6:$BK$37,58,0)-VLOOKUP(conciliacao_custos!B184,#REF!,16,0),0)</f>
        <v>0</v>
      </c>
      <c r="R184" s="9">
        <f>IFERROR(VLOOKUP(B184,cubo!$A$6:$BK$37,64,0)-VLOOKUP(conciliacao_custos!B184,#REF!,17,0),0)</f>
        <v>0</v>
      </c>
      <c r="S184" s="9">
        <f>IFERROR(VLOOKUP(B184,cubo!$A$6:$BK$37,61,0)-VLOOKUP(conciliacao_custos!B184,#REF!,15,0),0)</f>
        <v>0</v>
      </c>
    </row>
    <row r="185" spans="2:19" x14ac:dyDescent="0.25">
      <c r="B185" s="7">
        <f>[1]salario!A184</f>
        <v>0</v>
      </c>
      <c r="C185" s="14">
        <f>[1]salario!C184</f>
        <v>0</v>
      </c>
      <c r="D185" s="10">
        <f>IFERROR(VLOOKUP(B185,cubo!$A$6:$BE$37,6,0)-VLOOKUP(B185,#REF!,$D$2,0),0)</f>
        <v>0</v>
      </c>
      <c r="E185" s="10">
        <f>IFERROR(VLOOKUP(B185,cubo!$A$6:$BE$37,9,0)-VLOOKUP(B185,#REF!,$E$2,0),0)</f>
        <v>0</v>
      </c>
      <c r="F185" s="9">
        <f>IFERROR(VLOOKUP(B185,cubo!$A$6:$BE$37,12,0)-VLOOKUP(B185,#REF!,$F$2,0),0)</f>
        <v>0</v>
      </c>
      <c r="G185" s="9">
        <f>IFERROR(VLOOKUP(B185,cubo!$A$6:$BE$37,54,0)-VLOOKUP(B185,#REF!,$G$2,0),0)</f>
        <v>0</v>
      </c>
      <c r="H185" s="10">
        <f>IFERROR(VLOOKUP(B185,cubo!$A$6:$BE$37,15,0)-VLOOKUP(B185,#REF!,$H$2,0),0)</f>
        <v>0</v>
      </c>
      <c r="I185" s="9">
        <f>IFERROR(VLOOKUP(B185,cubo!$A$6:$BE$37,18,0)-VLOOKUP(B185,#REF!,$I$2,0),0)</f>
        <v>0</v>
      </c>
      <c r="J185" s="9">
        <f>IFERROR(VLOOKUP(B185,cubo!$A$6:$BE$37,24,0)-VLOOKUP(B185,#REF!,$J$2,0),0)</f>
        <v>0</v>
      </c>
      <c r="K185" s="9">
        <f>IFERROR(VLOOKUP(B185,cubo!$A$6:$BE$37,34,0)-VLOOKUP(B185,#REF!,$K$2,0),0)</f>
        <v>0</v>
      </c>
      <c r="L185" s="8">
        <f>IFERROR(VLOOKUP(B185,cubo!$A$6:$BE$37,38,0)-VLOOKUP(B185,#REF!,$L$2,0),0)</f>
        <v>0</v>
      </c>
      <c r="M185" s="15">
        <f>IFERROR(VLOOKUP(B185,cubo!$A$6:$BE$37,57,0)-VLOOKUP(B185,#REF!,$M$2,0),0)</f>
        <v>0</v>
      </c>
      <c r="N185" s="9">
        <f>IFERROR(VLOOKUP(B185,cubo!$A$6:$BK$37,41,0)-VLOOKUP(conciliacao_custos!B185,#REF!,18,0),0)</f>
        <v>0</v>
      </c>
      <c r="O185" s="9">
        <f>IFERROR(VLOOKUP(B185,cubo!$A$6:$BK$37,44,0)-VLOOKUP(conciliacao_custos!B185,#REF!,13,0),0)</f>
        <v>0</v>
      </c>
      <c r="P185" s="9">
        <f>IFERROR(VLOOKUP(B185,cubo!$A$6:$BK$37,47,0)-VLOOKUP(conciliacao_custos!B185,#REF!,14,0),0)</f>
        <v>0</v>
      </c>
      <c r="Q185" s="9">
        <f>IFERROR(VLOOKUP(B185,cubo!$A$6:$BK$37,58,0)-VLOOKUP(conciliacao_custos!B185,#REF!,16,0),0)</f>
        <v>0</v>
      </c>
      <c r="R185" s="9">
        <f>IFERROR(VLOOKUP(B185,cubo!$A$6:$BK$37,64,0)-VLOOKUP(conciliacao_custos!B185,#REF!,17,0),0)</f>
        <v>0</v>
      </c>
      <c r="S185" s="9">
        <f>IFERROR(VLOOKUP(B185,cubo!$A$6:$BK$37,61,0)-VLOOKUP(conciliacao_custos!B185,#REF!,15,0),0)</f>
        <v>0</v>
      </c>
    </row>
    <row r="186" spans="2:19" x14ac:dyDescent="0.25">
      <c r="B186" s="7">
        <f>[1]salario!A185</f>
        <v>0</v>
      </c>
      <c r="C186" s="14">
        <f>[1]salario!C185</f>
        <v>0</v>
      </c>
      <c r="D186" s="10">
        <f>IFERROR(VLOOKUP(B186,cubo!$A$6:$BE$37,6,0)-VLOOKUP(B186,#REF!,$D$2,0),0)</f>
        <v>0</v>
      </c>
      <c r="E186" s="10">
        <f>IFERROR(VLOOKUP(B186,cubo!$A$6:$BE$37,9,0)-VLOOKUP(B186,#REF!,$E$2,0),0)</f>
        <v>0</v>
      </c>
      <c r="F186" s="9">
        <f>IFERROR(VLOOKUP(B186,cubo!$A$6:$BE$37,12,0)-VLOOKUP(B186,#REF!,$F$2,0),0)</f>
        <v>0</v>
      </c>
      <c r="G186" s="9">
        <f>IFERROR(VLOOKUP(B186,cubo!$A$6:$BE$37,54,0)-VLOOKUP(B186,#REF!,$G$2,0),0)</f>
        <v>0</v>
      </c>
      <c r="H186" s="10">
        <f>IFERROR(VLOOKUP(B186,cubo!$A$6:$BE$37,15,0)-VLOOKUP(B186,#REF!,$H$2,0),0)</f>
        <v>0</v>
      </c>
      <c r="I186" s="9">
        <f>IFERROR(VLOOKUP(B186,cubo!$A$6:$BE$37,18,0)-VLOOKUP(B186,#REF!,$I$2,0),0)</f>
        <v>0</v>
      </c>
      <c r="J186" s="9">
        <f>IFERROR(VLOOKUP(B186,cubo!$A$6:$BE$37,24,0)-VLOOKUP(B186,#REF!,$J$2,0),0)</f>
        <v>0</v>
      </c>
      <c r="K186" s="9">
        <f>IFERROR(VLOOKUP(B186,cubo!$A$6:$BE$37,34,0)-VLOOKUP(B186,#REF!,$K$2,0),0)</f>
        <v>0</v>
      </c>
      <c r="L186" s="8">
        <f>IFERROR(VLOOKUP(B186,cubo!$A$6:$BE$37,38,0)-VLOOKUP(B186,#REF!,$L$2,0),0)</f>
        <v>0</v>
      </c>
      <c r="M186" s="15">
        <f>IFERROR(VLOOKUP(B186,cubo!$A$6:$BE$37,57,0)-VLOOKUP(B186,#REF!,$M$2,0),0)</f>
        <v>0</v>
      </c>
      <c r="N186" s="9">
        <f>IFERROR(VLOOKUP(B186,cubo!$A$6:$BK$37,41,0)-VLOOKUP(conciliacao_custos!B186,#REF!,18,0),0)</f>
        <v>0</v>
      </c>
      <c r="O186" s="9">
        <f>IFERROR(VLOOKUP(B186,cubo!$A$6:$BK$37,44,0)-VLOOKUP(conciliacao_custos!B186,#REF!,13,0),0)</f>
        <v>0</v>
      </c>
      <c r="P186" s="9">
        <f>IFERROR(VLOOKUP(B186,cubo!$A$6:$BK$37,47,0)-VLOOKUP(conciliacao_custos!B186,#REF!,14,0),0)</f>
        <v>0</v>
      </c>
      <c r="Q186" s="9">
        <f>IFERROR(VLOOKUP(B186,cubo!$A$6:$BK$37,58,0)-VLOOKUP(conciliacao_custos!B186,#REF!,16,0),0)</f>
        <v>0</v>
      </c>
      <c r="R186" s="9">
        <f>IFERROR(VLOOKUP(B186,cubo!$A$6:$BK$37,64,0)-VLOOKUP(conciliacao_custos!B186,#REF!,17,0),0)</f>
        <v>0</v>
      </c>
      <c r="S186" s="9">
        <f>IFERROR(VLOOKUP(B186,cubo!$A$6:$BK$37,61,0)-VLOOKUP(conciliacao_custos!B186,#REF!,15,0),0)</f>
        <v>0</v>
      </c>
    </row>
    <row r="187" spans="2:19" x14ac:dyDescent="0.25">
      <c r="B187" s="7">
        <f>[1]salario!A186</f>
        <v>0</v>
      </c>
      <c r="C187" s="14">
        <f>[1]salario!C186</f>
        <v>0</v>
      </c>
      <c r="D187" s="10">
        <f>IFERROR(VLOOKUP(B187,cubo!$A$6:$BE$37,6,0)-VLOOKUP(B187,#REF!,$D$2,0),0)</f>
        <v>0</v>
      </c>
      <c r="E187" s="10">
        <f>IFERROR(VLOOKUP(B187,cubo!$A$6:$BE$37,9,0)-VLOOKUP(B187,#REF!,$E$2,0),0)</f>
        <v>0</v>
      </c>
      <c r="F187" s="9">
        <f>IFERROR(VLOOKUP(B187,cubo!$A$6:$BE$37,12,0)-VLOOKUP(B187,#REF!,$F$2,0),0)</f>
        <v>0</v>
      </c>
      <c r="G187" s="9">
        <f>IFERROR(VLOOKUP(B187,cubo!$A$6:$BE$37,54,0)-VLOOKUP(B187,#REF!,$G$2,0),0)</f>
        <v>0</v>
      </c>
      <c r="H187" s="10">
        <f>IFERROR(VLOOKUP(B187,cubo!$A$6:$BE$37,15,0)-VLOOKUP(B187,#REF!,$H$2,0),0)</f>
        <v>0</v>
      </c>
      <c r="I187" s="9">
        <f>IFERROR(VLOOKUP(B187,cubo!$A$6:$BE$37,18,0)-VLOOKUP(B187,#REF!,$I$2,0),0)</f>
        <v>0</v>
      </c>
      <c r="J187" s="9">
        <f>IFERROR(VLOOKUP(B187,cubo!$A$6:$BE$37,24,0)-VLOOKUP(B187,#REF!,$J$2,0),0)</f>
        <v>0</v>
      </c>
      <c r="K187" s="9">
        <f>IFERROR(VLOOKUP(B187,cubo!$A$6:$BE$37,34,0)-VLOOKUP(B187,#REF!,$K$2,0),0)</f>
        <v>0</v>
      </c>
      <c r="L187" s="8">
        <f>IFERROR(VLOOKUP(B187,cubo!$A$6:$BE$37,38,0)-VLOOKUP(B187,#REF!,$L$2,0),0)</f>
        <v>0</v>
      </c>
      <c r="M187" s="15">
        <f>IFERROR(VLOOKUP(B187,cubo!$A$6:$BE$37,57,0)-VLOOKUP(B187,#REF!,$M$2,0),0)</f>
        <v>0</v>
      </c>
      <c r="N187" s="9">
        <f>IFERROR(VLOOKUP(B187,cubo!$A$6:$BK$37,41,0)-VLOOKUP(conciliacao_custos!B187,#REF!,18,0),0)</f>
        <v>0</v>
      </c>
      <c r="O187" s="9">
        <f>IFERROR(VLOOKUP(B187,cubo!$A$6:$BK$37,44,0)-VLOOKUP(conciliacao_custos!B187,#REF!,13,0),0)</f>
        <v>0</v>
      </c>
      <c r="P187" s="9">
        <f>IFERROR(VLOOKUP(B187,cubo!$A$6:$BK$37,47,0)-VLOOKUP(conciliacao_custos!B187,#REF!,14,0),0)</f>
        <v>0</v>
      </c>
      <c r="Q187" s="9">
        <f>IFERROR(VLOOKUP(B187,cubo!$A$6:$BK$37,58,0)-VLOOKUP(conciliacao_custos!B187,#REF!,16,0),0)</f>
        <v>0</v>
      </c>
      <c r="R187" s="9">
        <f>IFERROR(VLOOKUP(B187,cubo!$A$6:$BK$37,64,0)-VLOOKUP(conciliacao_custos!B187,#REF!,17,0),0)</f>
        <v>0</v>
      </c>
      <c r="S187" s="9">
        <f>IFERROR(VLOOKUP(B187,cubo!$A$6:$BK$37,61,0)-VLOOKUP(conciliacao_custos!B187,#REF!,15,0),0)</f>
        <v>0</v>
      </c>
    </row>
    <row r="188" spans="2:19" x14ac:dyDescent="0.25">
      <c r="B188" s="7">
        <f>[1]salario!A187</f>
        <v>0</v>
      </c>
      <c r="C188" s="14">
        <f>[1]salario!C187</f>
        <v>0</v>
      </c>
      <c r="D188" s="10">
        <f>IFERROR(VLOOKUP(B188,cubo!$A$6:$BE$37,6,0)-VLOOKUP(B188,#REF!,$D$2,0),0)</f>
        <v>0</v>
      </c>
      <c r="E188" s="10">
        <f>IFERROR(VLOOKUP(B188,cubo!$A$6:$BE$37,9,0)-VLOOKUP(B188,#REF!,$E$2,0),0)</f>
        <v>0</v>
      </c>
      <c r="F188" s="9">
        <f>IFERROR(VLOOKUP(B188,cubo!$A$6:$BE$37,12,0)-VLOOKUP(B188,#REF!,$F$2,0),0)</f>
        <v>0</v>
      </c>
      <c r="G188" s="9">
        <f>IFERROR(VLOOKUP(B188,cubo!$A$6:$BE$37,54,0)-VLOOKUP(B188,#REF!,$G$2,0),0)</f>
        <v>0</v>
      </c>
      <c r="H188" s="10">
        <f>IFERROR(VLOOKUP(B188,cubo!$A$6:$BE$37,15,0)-VLOOKUP(B188,#REF!,$H$2,0),0)</f>
        <v>0</v>
      </c>
      <c r="I188" s="9">
        <f>IFERROR(VLOOKUP(B188,cubo!$A$6:$BE$37,18,0)-VLOOKUP(B188,#REF!,$I$2,0),0)</f>
        <v>0</v>
      </c>
      <c r="J188" s="9">
        <f>IFERROR(VLOOKUP(B188,cubo!$A$6:$BE$37,24,0)-VLOOKUP(B188,#REF!,$J$2,0),0)</f>
        <v>0</v>
      </c>
      <c r="K188" s="9">
        <f>IFERROR(VLOOKUP(B188,cubo!$A$6:$BE$37,34,0)-VLOOKUP(B188,#REF!,$K$2,0),0)</f>
        <v>0</v>
      </c>
      <c r="L188" s="8">
        <f>IFERROR(VLOOKUP(B188,cubo!$A$6:$BE$37,38,0)-VLOOKUP(B188,#REF!,$L$2,0),0)</f>
        <v>0</v>
      </c>
      <c r="M188" s="15">
        <f>IFERROR(VLOOKUP(B188,cubo!$A$6:$BE$37,57,0)-VLOOKUP(B188,#REF!,$M$2,0),0)</f>
        <v>0</v>
      </c>
      <c r="N188" s="9">
        <f>IFERROR(VLOOKUP(B188,cubo!$A$6:$BK$37,41,0)-VLOOKUP(conciliacao_custos!B188,#REF!,18,0),0)</f>
        <v>0</v>
      </c>
      <c r="O188" s="9">
        <f>IFERROR(VLOOKUP(B188,cubo!$A$6:$BK$37,44,0)-VLOOKUP(conciliacao_custos!B188,#REF!,13,0),0)</f>
        <v>0</v>
      </c>
      <c r="P188" s="9">
        <f>IFERROR(VLOOKUP(B188,cubo!$A$6:$BK$37,47,0)-VLOOKUP(conciliacao_custos!B188,#REF!,14,0),0)</f>
        <v>0</v>
      </c>
      <c r="Q188" s="9">
        <f>IFERROR(VLOOKUP(B188,cubo!$A$6:$BK$37,58,0)-VLOOKUP(conciliacao_custos!B188,#REF!,16,0),0)</f>
        <v>0</v>
      </c>
      <c r="R188" s="9">
        <f>IFERROR(VLOOKUP(B188,cubo!$A$6:$BK$37,64,0)-VLOOKUP(conciliacao_custos!B188,#REF!,17,0),0)</f>
        <v>0</v>
      </c>
      <c r="S188" s="9">
        <f>IFERROR(VLOOKUP(B188,cubo!$A$6:$BK$37,61,0)-VLOOKUP(conciliacao_custos!B188,#REF!,15,0),0)</f>
        <v>0</v>
      </c>
    </row>
    <row r="189" spans="2:19" x14ac:dyDescent="0.25">
      <c r="B189" s="7">
        <f>[1]salario!A188</f>
        <v>0</v>
      </c>
      <c r="C189" s="14">
        <f>[1]salario!C188</f>
        <v>0</v>
      </c>
      <c r="D189" s="10">
        <f>IFERROR(VLOOKUP(B189,cubo!$A$6:$BE$37,6,0)-VLOOKUP(B189,#REF!,$D$2,0),0)</f>
        <v>0</v>
      </c>
      <c r="E189" s="10">
        <f>IFERROR(VLOOKUP(B189,cubo!$A$6:$BE$37,9,0)-VLOOKUP(B189,#REF!,$E$2,0),0)</f>
        <v>0</v>
      </c>
      <c r="F189" s="9">
        <f>IFERROR(VLOOKUP(B189,cubo!$A$6:$BE$37,12,0)-VLOOKUP(B189,#REF!,$F$2,0),0)</f>
        <v>0</v>
      </c>
      <c r="G189" s="9">
        <f>IFERROR(VLOOKUP(B189,cubo!$A$6:$BE$37,54,0)-VLOOKUP(B189,#REF!,$G$2,0),0)</f>
        <v>0</v>
      </c>
      <c r="H189" s="10">
        <f>IFERROR(VLOOKUP(B189,cubo!$A$6:$BE$37,15,0)-VLOOKUP(B189,#REF!,$H$2,0),0)</f>
        <v>0</v>
      </c>
      <c r="I189" s="9">
        <f>IFERROR(VLOOKUP(B189,cubo!$A$6:$BE$37,18,0)-VLOOKUP(B189,#REF!,$I$2,0),0)</f>
        <v>0</v>
      </c>
      <c r="J189" s="9">
        <f>IFERROR(VLOOKUP(B189,cubo!$A$6:$BE$37,24,0)-VLOOKUP(B189,#REF!,$J$2,0),0)</f>
        <v>0</v>
      </c>
      <c r="K189" s="9">
        <f>IFERROR(VLOOKUP(B189,cubo!$A$6:$BE$37,34,0)-VLOOKUP(B189,#REF!,$K$2,0),0)</f>
        <v>0</v>
      </c>
      <c r="L189" s="8">
        <f>IFERROR(VLOOKUP(B189,cubo!$A$6:$BE$37,38,0)-VLOOKUP(B189,#REF!,$L$2,0),0)</f>
        <v>0</v>
      </c>
      <c r="M189" s="15">
        <f>IFERROR(VLOOKUP(B189,cubo!$A$6:$BE$37,57,0)-VLOOKUP(B189,#REF!,$M$2,0),0)</f>
        <v>0</v>
      </c>
      <c r="N189" s="9">
        <f>IFERROR(VLOOKUP(B189,cubo!$A$6:$BK$37,41,0)-VLOOKUP(conciliacao_custos!B189,#REF!,18,0),0)</f>
        <v>0</v>
      </c>
      <c r="O189" s="9">
        <f>IFERROR(VLOOKUP(B189,cubo!$A$6:$BK$37,44,0)-VLOOKUP(conciliacao_custos!B189,#REF!,13,0),0)</f>
        <v>0</v>
      </c>
      <c r="P189" s="9">
        <f>IFERROR(VLOOKUP(B189,cubo!$A$6:$BK$37,47,0)-VLOOKUP(conciliacao_custos!B189,#REF!,14,0),0)</f>
        <v>0</v>
      </c>
      <c r="Q189" s="9">
        <f>IFERROR(VLOOKUP(B189,cubo!$A$6:$BK$37,58,0)-VLOOKUP(conciliacao_custos!B189,#REF!,16,0),0)</f>
        <v>0</v>
      </c>
      <c r="R189" s="9">
        <f>IFERROR(VLOOKUP(B189,cubo!$A$6:$BK$37,64,0)-VLOOKUP(conciliacao_custos!B189,#REF!,17,0),0)</f>
        <v>0</v>
      </c>
      <c r="S189" s="9">
        <f>IFERROR(VLOOKUP(B189,cubo!$A$6:$BK$37,61,0)-VLOOKUP(conciliacao_custos!B189,#REF!,15,0),0)</f>
        <v>0</v>
      </c>
    </row>
    <row r="190" spans="2:19" x14ac:dyDescent="0.25">
      <c r="B190" s="7">
        <f>[1]salario!A189</f>
        <v>0</v>
      </c>
      <c r="C190" s="14">
        <f>[1]salario!C189</f>
        <v>0</v>
      </c>
      <c r="D190" s="10">
        <f>IFERROR(VLOOKUP(B190,cubo!$A$6:$BE$37,6,0)-VLOOKUP(B190,#REF!,$D$2,0),0)</f>
        <v>0</v>
      </c>
      <c r="E190" s="10">
        <f>IFERROR(VLOOKUP(B190,cubo!$A$6:$BE$37,9,0)-VLOOKUP(B190,#REF!,$E$2,0),0)</f>
        <v>0</v>
      </c>
      <c r="F190" s="9">
        <f>IFERROR(VLOOKUP(B190,cubo!$A$6:$BE$37,12,0)-VLOOKUP(B190,#REF!,$F$2,0),0)</f>
        <v>0</v>
      </c>
      <c r="G190" s="9">
        <f>IFERROR(VLOOKUP(B190,cubo!$A$6:$BE$37,54,0)-VLOOKUP(B190,#REF!,$G$2,0),0)</f>
        <v>0</v>
      </c>
      <c r="H190" s="10">
        <f>IFERROR(VLOOKUP(B190,cubo!$A$6:$BE$37,15,0)-VLOOKUP(B190,#REF!,$H$2,0),0)</f>
        <v>0</v>
      </c>
      <c r="I190" s="9">
        <f>IFERROR(VLOOKUP(B190,cubo!$A$6:$BE$37,18,0)-VLOOKUP(B190,#REF!,$I$2,0),0)</f>
        <v>0</v>
      </c>
      <c r="J190" s="9">
        <f>IFERROR(VLOOKUP(B190,cubo!$A$6:$BE$37,24,0)-VLOOKUP(B190,#REF!,$J$2,0),0)</f>
        <v>0</v>
      </c>
      <c r="K190" s="9">
        <f>IFERROR(VLOOKUP(B190,cubo!$A$6:$BE$37,34,0)-VLOOKUP(B190,#REF!,$K$2,0),0)</f>
        <v>0</v>
      </c>
      <c r="L190" s="8">
        <f>IFERROR(VLOOKUP(B190,cubo!$A$6:$BE$37,38,0)-VLOOKUP(B190,#REF!,$L$2,0),0)</f>
        <v>0</v>
      </c>
      <c r="M190" s="15">
        <f>IFERROR(VLOOKUP(B190,cubo!$A$6:$BE$37,57,0)-VLOOKUP(B190,#REF!,$M$2,0),0)</f>
        <v>0</v>
      </c>
      <c r="N190" s="9">
        <f>IFERROR(VLOOKUP(B190,cubo!$A$6:$BK$37,41,0)-VLOOKUP(conciliacao_custos!B190,#REF!,18,0),0)</f>
        <v>0</v>
      </c>
      <c r="O190" s="9">
        <f>IFERROR(VLOOKUP(B190,cubo!$A$6:$BK$37,44,0)-VLOOKUP(conciliacao_custos!B190,#REF!,13,0),0)</f>
        <v>0</v>
      </c>
      <c r="P190" s="9">
        <f>IFERROR(VLOOKUP(B190,cubo!$A$6:$BK$37,47,0)-VLOOKUP(conciliacao_custos!B190,#REF!,14,0),0)</f>
        <v>0</v>
      </c>
      <c r="Q190" s="9">
        <f>IFERROR(VLOOKUP(B190,cubo!$A$6:$BK$37,58,0)-VLOOKUP(conciliacao_custos!B190,#REF!,16,0),0)</f>
        <v>0</v>
      </c>
      <c r="R190" s="9">
        <f>IFERROR(VLOOKUP(B190,cubo!$A$6:$BK$37,64,0)-VLOOKUP(conciliacao_custos!B190,#REF!,17,0),0)</f>
        <v>0</v>
      </c>
      <c r="S190" s="9">
        <f>IFERROR(VLOOKUP(B190,cubo!$A$6:$BK$37,61,0)-VLOOKUP(conciliacao_custos!B190,#REF!,15,0),0)</f>
        <v>0</v>
      </c>
    </row>
    <row r="191" spans="2:19" x14ac:dyDescent="0.25">
      <c r="B191" s="7">
        <f>[1]salario!A190</f>
        <v>0</v>
      </c>
      <c r="C191" s="14">
        <f>[1]salario!C190</f>
        <v>0</v>
      </c>
      <c r="D191" s="10">
        <f>IFERROR(VLOOKUP(B191,cubo!$A$6:$BE$37,6,0)-VLOOKUP(B191,#REF!,$D$2,0),0)</f>
        <v>0</v>
      </c>
      <c r="E191" s="10">
        <f>IFERROR(VLOOKUP(B191,cubo!$A$6:$BE$37,9,0)-VLOOKUP(B191,#REF!,$E$2,0),0)</f>
        <v>0</v>
      </c>
      <c r="F191" s="9">
        <f>IFERROR(VLOOKUP(B191,cubo!$A$6:$BE$37,12,0)-VLOOKUP(B191,#REF!,$F$2,0),0)</f>
        <v>0</v>
      </c>
      <c r="G191" s="9">
        <f>IFERROR(VLOOKUP(B191,cubo!$A$6:$BE$37,54,0)-VLOOKUP(B191,#REF!,$G$2,0),0)</f>
        <v>0</v>
      </c>
      <c r="H191" s="10">
        <f>IFERROR(VLOOKUP(B191,cubo!$A$6:$BE$37,15,0)-VLOOKUP(B191,#REF!,$H$2,0),0)</f>
        <v>0</v>
      </c>
      <c r="I191" s="9">
        <f>IFERROR(VLOOKUP(B191,cubo!$A$6:$BE$37,18,0)-VLOOKUP(B191,#REF!,$I$2,0),0)</f>
        <v>0</v>
      </c>
      <c r="J191" s="9">
        <f>IFERROR(VLOOKUP(B191,cubo!$A$6:$BE$37,24,0)-VLOOKUP(B191,#REF!,$J$2,0),0)</f>
        <v>0</v>
      </c>
      <c r="K191" s="9">
        <f>IFERROR(VLOOKUP(B191,cubo!$A$6:$BE$37,34,0)-VLOOKUP(B191,#REF!,$K$2,0),0)</f>
        <v>0</v>
      </c>
      <c r="L191" s="8">
        <f>IFERROR(VLOOKUP(B191,cubo!$A$6:$BE$37,38,0)-VLOOKUP(B191,#REF!,$L$2,0),0)</f>
        <v>0</v>
      </c>
      <c r="M191" s="15">
        <f>IFERROR(VLOOKUP(B191,cubo!$A$6:$BE$37,57,0)-VLOOKUP(B191,#REF!,$M$2,0),0)</f>
        <v>0</v>
      </c>
      <c r="N191" s="9">
        <f>IFERROR(VLOOKUP(B191,cubo!$A$6:$BK$37,41,0)-VLOOKUP(conciliacao_custos!B191,#REF!,18,0),0)</f>
        <v>0</v>
      </c>
      <c r="O191" s="9">
        <f>IFERROR(VLOOKUP(B191,cubo!$A$6:$BK$37,44,0)-VLOOKUP(conciliacao_custos!B191,#REF!,13,0),0)</f>
        <v>0</v>
      </c>
      <c r="P191" s="9">
        <f>IFERROR(VLOOKUP(B191,cubo!$A$6:$BK$37,47,0)-VLOOKUP(conciliacao_custos!B191,#REF!,14,0),0)</f>
        <v>0</v>
      </c>
      <c r="Q191" s="9">
        <f>IFERROR(VLOOKUP(B191,cubo!$A$6:$BK$37,58,0)-VLOOKUP(conciliacao_custos!B191,#REF!,16,0),0)</f>
        <v>0</v>
      </c>
      <c r="R191" s="9">
        <f>IFERROR(VLOOKUP(B191,cubo!$A$6:$BK$37,64,0)-VLOOKUP(conciliacao_custos!B191,#REF!,17,0),0)</f>
        <v>0</v>
      </c>
      <c r="S191" s="9">
        <f>IFERROR(VLOOKUP(B191,cubo!$A$6:$BK$37,61,0)-VLOOKUP(conciliacao_custos!B191,#REF!,15,0),0)</f>
        <v>0</v>
      </c>
    </row>
    <row r="192" spans="2:19" x14ac:dyDescent="0.25">
      <c r="B192" s="7">
        <f>[1]salario!A191</f>
        <v>0</v>
      </c>
      <c r="C192" s="14">
        <f>[1]salario!C191</f>
        <v>0</v>
      </c>
      <c r="D192" s="10">
        <f>IFERROR(VLOOKUP(B192,cubo!$A$6:$BE$37,6,0)-VLOOKUP(B192,#REF!,$D$2,0),0)</f>
        <v>0</v>
      </c>
      <c r="E192" s="10">
        <f>IFERROR(VLOOKUP(B192,cubo!$A$6:$BE$37,9,0)-VLOOKUP(B192,#REF!,$E$2,0),0)</f>
        <v>0</v>
      </c>
      <c r="F192" s="9">
        <f>IFERROR(VLOOKUP(B192,cubo!$A$6:$BE$37,12,0)-VLOOKUP(B192,#REF!,$F$2,0),0)</f>
        <v>0</v>
      </c>
      <c r="G192" s="9">
        <f>IFERROR(VLOOKUP(B192,cubo!$A$6:$BE$37,54,0)-VLOOKUP(B192,#REF!,$G$2,0),0)</f>
        <v>0</v>
      </c>
      <c r="H192" s="10">
        <f>IFERROR(VLOOKUP(B192,cubo!$A$6:$BE$37,15,0)-VLOOKUP(B192,#REF!,$H$2,0),0)</f>
        <v>0</v>
      </c>
      <c r="I192" s="9">
        <f>IFERROR(VLOOKUP(B192,cubo!$A$6:$BE$37,18,0)-VLOOKUP(B192,#REF!,$I$2,0),0)</f>
        <v>0</v>
      </c>
      <c r="J192" s="9">
        <f>IFERROR(VLOOKUP(B192,cubo!$A$6:$BE$37,24,0)-VLOOKUP(B192,#REF!,$J$2,0),0)</f>
        <v>0</v>
      </c>
      <c r="K192" s="9">
        <f>IFERROR(VLOOKUP(B192,cubo!$A$6:$BE$37,34,0)-VLOOKUP(B192,#REF!,$K$2,0),0)</f>
        <v>0</v>
      </c>
      <c r="L192" s="8">
        <f>IFERROR(VLOOKUP(B192,cubo!$A$6:$BE$37,38,0)-VLOOKUP(B192,#REF!,$L$2,0),0)</f>
        <v>0</v>
      </c>
      <c r="M192" s="15">
        <f>IFERROR(VLOOKUP(B192,cubo!$A$6:$BE$37,57,0)-VLOOKUP(B192,#REF!,$M$2,0),0)</f>
        <v>0</v>
      </c>
      <c r="N192" s="9">
        <f>IFERROR(VLOOKUP(B192,cubo!$A$6:$BK$37,41,0)-VLOOKUP(conciliacao_custos!B192,#REF!,18,0),0)</f>
        <v>0</v>
      </c>
      <c r="O192" s="9">
        <f>IFERROR(VLOOKUP(B192,cubo!$A$6:$BK$37,44,0)-VLOOKUP(conciliacao_custos!B192,#REF!,13,0),0)</f>
        <v>0</v>
      </c>
      <c r="P192" s="9">
        <f>IFERROR(VLOOKUP(B192,cubo!$A$6:$BK$37,47,0)-VLOOKUP(conciliacao_custos!B192,#REF!,14,0),0)</f>
        <v>0</v>
      </c>
      <c r="Q192" s="9">
        <f>IFERROR(VLOOKUP(B192,cubo!$A$6:$BK$37,58,0)-VLOOKUP(conciliacao_custos!B192,#REF!,16,0),0)</f>
        <v>0</v>
      </c>
      <c r="R192" s="9">
        <f>IFERROR(VLOOKUP(B192,cubo!$A$6:$BK$37,64,0)-VLOOKUP(conciliacao_custos!B192,#REF!,17,0),0)</f>
        <v>0</v>
      </c>
      <c r="S192" s="9">
        <f>IFERROR(VLOOKUP(B192,cubo!$A$6:$BK$37,61,0)-VLOOKUP(conciliacao_custos!B192,#REF!,15,0),0)</f>
        <v>0</v>
      </c>
    </row>
    <row r="193" spans="2:19" x14ac:dyDescent="0.25">
      <c r="B193" s="7">
        <f>[1]salario!A192</f>
        <v>0</v>
      </c>
      <c r="C193" s="14">
        <f>[1]salario!C192</f>
        <v>0</v>
      </c>
      <c r="D193" s="10">
        <f>IFERROR(VLOOKUP(B193,cubo!$A$6:$BE$37,6,0)-VLOOKUP(B193,#REF!,$D$2,0),0)</f>
        <v>0</v>
      </c>
      <c r="E193" s="10">
        <f>IFERROR(VLOOKUP(B193,cubo!$A$6:$BE$37,9,0)-VLOOKUP(B193,#REF!,$E$2,0),0)</f>
        <v>0</v>
      </c>
      <c r="F193" s="9">
        <f>IFERROR(VLOOKUP(B193,cubo!$A$6:$BE$37,12,0)-VLOOKUP(B193,#REF!,$F$2,0),0)</f>
        <v>0</v>
      </c>
      <c r="G193" s="9">
        <f>IFERROR(VLOOKUP(B193,cubo!$A$6:$BE$37,54,0)-VLOOKUP(B193,#REF!,$G$2,0),0)</f>
        <v>0</v>
      </c>
      <c r="H193" s="10">
        <f>IFERROR(VLOOKUP(B193,cubo!$A$6:$BE$37,15,0)-VLOOKUP(B193,#REF!,$H$2,0),0)</f>
        <v>0</v>
      </c>
      <c r="I193" s="9">
        <f>IFERROR(VLOOKUP(B193,cubo!$A$6:$BE$37,18,0)-VLOOKUP(B193,#REF!,$I$2,0),0)</f>
        <v>0</v>
      </c>
      <c r="J193" s="9">
        <f>IFERROR(VLOOKUP(B193,cubo!$A$6:$BE$37,24,0)-VLOOKUP(B193,#REF!,$J$2,0),0)</f>
        <v>0</v>
      </c>
      <c r="K193" s="9">
        <f>IFERROR(VLOOKUP(B193,cubo!$A$6:$BE$37,34,0)-VLOOKUP(B193,#REF!,$K$2,0),0)</f>
        <v>0</v>
      </c>
      <c r="L193" s="8">
        <f>IFERROR(VLOOKUP(B193,cubo!$A$6:$BE$37,38,0)-VLOOKUP(B193,#REF!,$L$2,0),0)</f>
        <v>0</v>
      </c>
      <c r="M193" s="15">
        <f>IFERROR(VLOOKUP(B193,cubo!$A$6:$BE$37,57,0)-VLOOKUP(B193,#REF!,$M$2,0),0)</f>
        <v>0</v>
      </c>
      <c r="N193" s="9">
        <f>IFERROR(VLOOKUP(B193,cubo!$A$6:$BK$37,41,0)-VLOOKUP(conciliacao_custos!B193,#REF!,18,0),0)</f>
        <v>0</v>
      </c>
      <c r="O193" s="9">
        <f>IFERROR(VLOOKUP(B193,cubo!$A$6:$BK$37,44,0)-VLOOKUP(conciliacao_custos!B193,#REF!,13,0),0)</f>
        <v>0</v>
      </c>
      <c r="P193" s="9">
        <f>IFERROR(VLOOKUP(B193,cubo!$A$6:$BK$37,47,0)-VLOOKUP(conciliacao_custos!B193,#REF!,14,0),0)</f>
        <v>0</v>
      </c>
      <c r="Q193" s="9">
        <f>IFERROR(VLOOKUP(B193,cubo!$A$6:$BK$37,58,0)-VLOOKUP(conciliacao_custos!B193,#REF!,16,0),0)</f>
        <v>0</v>
      </c>
      <c r="R193" s="9">
        <f>IFERROR(VLOOKUP(B193,cubo!$A$6:$BK$37,64,0)-VLOOKUP(conciliacao_custos!B193,#REF!,17,0),0)</f>
        <v>0</v>
      </c>
      <c r="S193" s="9">
        <f>IFERROR(VLOOKUP(B193,cubo!$A$6:$BK$37,61,0)-VLOOKUP(conciliacao_custos!B193,#REF!,15,0),0)</f>
        <v>0</v>
      </c>
    </row>
    <row r="194" spans="2:19" x14ac:dyDescent="0.25">
      <c r="B194" s="7">
        <f>[1]salario!A193</f>
        <v>0</v>
      </c>
      <c r="C194" s="14">
        <f>[1]salario!C193</f>
        <v>0</v>
      </c>
      <c r="D194" s="10">
        <f>IFERROR(VLOOKUP(B194,cubo!$A$6:$BE$37,6,0)-VLOOKUP(B194,#REF!,$D$2,0),0)</f>
        <v>0</v>
      </c>
      <c r="E194" s="10">
        <f>IFERROR(VLOOKUP(B194,cubo!$A$6:$BE$37,9,0)-VLOOKUP(B194,#REF!,$E$2,0),0)</f>
        <v>0</v>
      </c>
      <c r="F194" s="9">
        <f>IFERROR(VLOOKUP(B194,cubo!$A$6:$BE$37,12,0)-VLOOKUP(B194,#REF!,$F$2,0),0)</f>
        <v>0</v>
      </c>
      <c r="G194" s="9">
        <f>IFERROR(VLOOKUP(B194,cubo!$A$6:$BE$37,54,0)-VLOOKUP(B194,#REF!,$G$2,0),0)</f>
        <v>0</v>
      </c>
      <c r="H194" s="10">
        <f>IFERROR(VLOOKUP(B194,cubo!$A$6:$BE$37,15,0)-VLOOKUP(B194,#REF!,$H$2,0),0)</f>
        <v>0</v>
      </c>
      <c r="I194" s="9">
        <f>IFERROR(VLOOKUP(B194,cubo!$A$6:$BE$37,18,0)-VLOOKUP(B194,#REF!,$I$2,0),0)</f>
        <v>0</v>
      </c>
      <c r="J194" s="9">
        <f>IFERROR(VLOOKUP(B194,cubo!$A$6:$BE$37,24,0)-VLOOKUP(B194,#REF!,$J$2,0),0)</f>
        <v>0</v>
      </c>
      <c r="K194" s="9">
        <f>IFERROR(VLOOKUP(B194,cubo!$A$6:$BE$37,34,0)-VLOOKUP(B194,#REF!,$K$2,0),0)</f>
        <v>0</v>
      </c>
      <c r="L194" s="8">
        <f>IFERROR(VLOOKUP(B194,cubo!$A$6:$BE$37,38,0)-VLOOKUP(B194,#REF!,$L$2,0),0)</f>
        <v>0</v>
      </c>
      <c r="M194" s="15">
        <f>IFERROR(VLOOKUP(B194,cubo!$A$6:$BE$37,57,0)-VLOOKUP(B194,#REF!,$M$2,0),0)</f>
        <v>0</v>
      </c>
      <c r="N194" s="9">
        <f>IFERROR(VLOOKUP(B194,cubo!$A$6:$BK$37,41,0)-VLOOKUP(conciliacao_custos!B194,#REF!,18,0),0)</f>
        <v>0</v>
      </c>
      <c r="O194" s="9">
        <f>IFERROR(VLOOKUP(B194,cubo!$A$6:$BK$37,44,0)-VLOOKUP(conciliacao_custos!B194,#REF!,13,0),0)</f>
        <v>0</v>
      </c>
      <c r="P194" s="9">
        <f>IFERROR(VLOOKUP(B194,cubo!$A$6:$BK$37,47,0)-VLOOKUP(conciliacao_custos!B194,#REF!,14,0),0)</f>
        <v>0</v>
      </c>
      <c r="Q194" s="9">
        <f>IFERROR(VLOOKUP(B194,cubo!$A$6:$BK$37,58,0)-VLOOKUP(conciliacao_custos!B194,#REF!,16,0),0)</f>
        <v>0</v>
      </c>
      <c r="R194" s="9">
        <f>IFERROR(VLOOKUP(B194,cubo!$A$6:$BK$37,64,0)-VLOOKUP(conciliacao_custos!B194,#REF!,17,0),0)</f>
        <v>0</v>
      </c>
      <c r="S194" s="9">
        <f>IFERROR(VLOOKUP(B194,cubo!$A$6:$BK$37,61,0)-VLOOKUP(conciliacao_custos!B194,#REF!,15,0),0)</f>
        <v>0</v>
      </c>
    </row>
    <row r="195" spans="2:19" x14ac:dyDescent="0.25">
      <c r="B195" s="7">
        <f>[1]salario!A194</f>
        <v>0</v>
      </c>
      <c r="C195" s="14">
        <f>[1]salario!C194</f>
        <v>0</v>
      </c>
      <c r="D195" s="10">
        <f>IFERROR(VLOOKUP(B195,cubo!$A$6:$BE$37,6,0)-VLOOKUP(B195,#REF!,$D$2,0),0)</f>
        <v>0</v>
      </c>
      <c r="E195" s="10">
        <f>IFERROR(VLOOKUP(B195,cubo!$A$6:$BE$37,9,0)-VLOOKUP(B195,#REF!,$E$2,0),0)</f>
        <v>0</v>
      </c>
      <c r="F195" s="9">
        <f>IFERROR(VLOOKUP(B195,cubo!$A$6:$BE$37,12,0)-VLOOKUP(B195,#REF!,$F$2,0),0)</f>
        <v>0</v>
      </c>
      <c r="G195" s="9">
        <f>IFERROR(VLOOKUP(B195,cubo!$A$6:$BE$37,54,0)-VLOOKUP(B195,#REF!,$G$2,0),0)</f>
        <v>0</v>
      </c>
      <c r="H195" s="10">
        <f>IFERROR(VLOOKUP(B195,cubo!$A$6:$BE$37,15,0)-VLOOKUP(B195,#REF!,$H$2,0),0)</f>
        <v>0</v>
      </c>
      <c r="I195" s="9">
        <f>IFERROR(VLOOKUP(B195,cubo!$A$6:$BE$37,18,0)-VLOOKUP(B195,#REF!,$I$2,0),0)</f>
        <v>0</v>
      </c>
      <c r="J195" s="9">
        <f>IFERROR(VLOOKUP(B195,cubo!$A$6:$BE$37,24,0)-VLOOKUP(B195,#REF!,$J$2,0),0)</f>
        <v>0</v>
      </c>
      <c r="K195" s="9">
        <f>IFERROR(VLOOKUP(B195,cubo!$A$6:$BE$37,34,0)-VLOOKUP(B195,#REF!,$K$2,0),0)</f>
        <v>0</v>
      </c>
      <c r="L195" s="8">
        <f>IFERROR(VLOOKUP(B195,cubo!$A$6:$BE$37,38,0)-VLOOKUP(B195,#REF!,$L$2,0),0)</f>
        <v>0</v>
      </c>
      <c r="M195" s="15">
        <f>IFERROR(VLOOKUP(B195,cubo!$A$6:$BE$37,57,0)-VLOOKUP(B195,#REF!,$M$2,0),0)</f>
        <v>0</v>
      </c>
      <c r="N195" s="9">
        <f>IFERROR(VLOOKUP(B195,cubo!$A$6:$BK$37,41,0)-VLOOKUP(conciliacao_custos!B195,#REF!,18,0),0)</f>
        <v>0</v>
      </c>
      <c r="O195" s="9">
        <f>IFERROR(VLOOKUP(B195,cubo!$A$6:$BK$37,44,0)-VLOOKUP(conciliacao_custos!B195,#REF!,13,0),0)</f>
        <v>0</v>
      </c>
      <c r="P195" s="9">
        <f>IFERROR(VLOOKUP(B195,cubo!$A$6:$BK$37,47,0)-VLOOKUP(conciliacao_custos!B195,#REF!,14,0),0)</f>
        <v>0</v>
      </c>
      <c r="Q195" s="9">
        <f>IFERROR(VLOOKUP(B195,cubo!$A$6:$BK$37,58,0)-VLOOKUP(conciliacao_custos!B195,#REF!,16,0),0)</f>
        <v>0</v>
      </c>
      <c r="R195" s="9">
        <f>IFERROR(VLOOKUP(B195,cubo!$A$6:$BK$37,64,0)-VLOOKUP(conciliacao_custos!B195,#REF!,17,0),0)</f>
        <v>0</v>
      </c>
      <c r="S195" s="9">
        <f>IFERROR(VLOOKUP(B195,cubo!$A$6:$BK$37,61,0)-VLOOKUP(conciliacao_custos!B195,#REF!,15,0),0)</f>
        <v>0</v>
      </c>
    </row>
    <row r="196" spans="2:19" x14ac:dyDescent="0.25">
      <c r="B196" s="7">
        <f>[1]salario!A195</f>
        <v>0</v>
      </c>
      <c r="C196" s="14">
        <f>[1]salario!C195</f>
        <v>0</v>
      </c>
      <c r="D196" s="10">
        <f>IFERROR(VLOOKUP(B196,cubo!$A$6:$BE$37,6,0)-VLOOKUP(B196,#REF!,$D$2,0),0)</f>
        <v>0</v>
      </c>
      <c r="E196" s="10">
        <f>IFERROR(VLOOKUP(B196,cubo!$A$6:$BE$37,9,0)-VLOOKUP(B196,#REF!,$E$2,0),0)</f>
        <v>0</v>
      </c>
      <c r="F196" s="9">
        <f>IFERROR(VLOOKUP(B196,cubo!$A$6:$BE$37,12,0)-VLOOKUP(B196,#REF!,$F$2,0),0)</f>
        <v>0</v>
      </c>
      <c r="G196" s="9">
        <f>IFERROR(VLOOKUP(B196,cubo!$A$6:$BE$37,54,0)-VLOOKUP(B196,#REF!,$G$2,0),0)</f>
        <v>0</v>
      </c>
      <c r="H196" s="10">
        <f>IFERROR(VLOOKUP(B196,cubo!$A$6:$BE$37,15,0)-VLOOKUP(B196,#REF!,$H$2,0),0)</f>
        <v>0</v>
      </c>
      <c r="I196" s="9">
        <f>IFERROR(VLOOKUP(B196,cubo!$A$6:$BE$37,18,0)-VLOOKUP(B196,#REF!,$I$2,0),0)</f>
        <v>0</v>
      </c>
      <c r="J196" s="9">
        <f>IFERROR(VLOOKUP(B196,cubo!$A$6:$BE$37,24,0)-VLOOKUP(B196,#REF!,$J$2,0),0)</f>
        <v>0</v>
      </c>
      <c r="K196" s="9">
        <f>IFERROR(VLOOKUP(B196,cubo!$A$6:$BE$37,34,0)-VLOOKUP(B196,#REF!,$K$2,0),0)</f>
        <v>0</v>
      </c>
      <c r="L196" s="8">
        <f>IFERROR(VLOOKUP(B196,cubo!$A$6:$BE$37,38,0)-VLOOKUP(B196,#REF!,$L$2,0),0)</f>
        <v>0</v>
      </c>
      <c r="M196" s="15">
        <f>IFERROR(VLOOKUP(B196,cubo!$A$6:$BE$37,57,0)-VLOOKUP(B196,#REF!,$M$2,0),0)</f>
        <v>0</v>
      </c>
      <c r="N196" s="9">
        <f>IFERROR(VLOOKUP(B196,cubo!$A$6:$BK$37,41,0)-VLOOKUP(conciliacao_custos!B196,#REF!,18,0),0)</f>
        <v>0</v>
      </c>
      <c r="O196" s="9">
        <f>IFERROR(VLOOKUP(B196,cubo!$A$6:$BK$37,44,0)-VLOOKUP(conciliacao_custos!B196,#REF!,13,0),0)</f>
        <v>0</v>
      </c>
      <c r="P196" s="9">
        <f>IFERROR(VLOOKUP(B196,cubo!$A$6:$BK$37,47,0)-VLOOKUP(conciliacao_custos!B196,#REF!,14,0),0)</f>
        <v>0</v>
      </c>
      <c r="Q196" s="9">
        <f>IFERROR(VLOOKUP(B196,cubo!$A$6:$BK$37,58,0)-VLOOKUP(conciliacao_custos!B196,#REF!,16,0),0)</f>
        <v>0</v>
      </c>
      <c r="R196" s="9">
        <f>IFERROR(VLOOKUP(B196,cubo!$A$6:$BK$37,64,0)-VLOOKUP(conciliacao_custos!B196,#REF!,17,0),0)</f>
        <v>0</v>
      </c>
      <c r="S196" s="9">
        <f>IFERROR(VLOOKUP(B196,cubo!$A$6:$BK$37,61,0)-VLOOKUP(conciliacao_custos!B196,#REF!,15,0),0)</f>
        <v>0</v>
      </c>
    </row>
    <row r="197" spans="2:19" x14ac:dyDescent="0.25">
      <c r="B197" s="7">
        <f>[1]salario!A196</f>
        <v>0</v>
      </c>
      <c r="C197" s="14">
        <f>[1]salario!C196</f>
        <v>0</v>
      </c>
      <c r="D197" s="10">
        <f>IFERROR(VLOOKUP(B197,cubo!$A$6:$BE$37,6,0)-VLOOKUP(B197,#REF!,$D$2,0),0)</f>
        <v>0</v>
      </c>
      <c r="E197" s="10">
        <f>IFERROR(VLOOKUP(B197,cubo!$A$6:$BE$37,9,0)-VLOOKUP(B197,#REF!,$E$2,0),0)</f>
        <v>0</v>
      </c>
      <c r="F197" s="9">
        <f>IFERROR(VLOOKUP(B197,cubo!$A$6:$BE$37,12,0)-VLOOKUP(B197,#REF!,$F$2,0),0)</f>
        <v>0</v>
      </c>
      <c r="G197" s="9">
        <f>IFERROR(VLOOKUP(B197,cubo!$A$6:$BE$37,54,0)-VLOOKUP(B197,#REF!,$G$2,0),0)</f>
        <v>0</v>
      </c>
      <c r="H197" s="10">
        <f>IFERROR(VLOOKUP(B197,cubo!$A$6:$BE$37,15,0)-VLOOKUP(B197,#REF!,$H$2,0),0)</f>
        <v>0</v>
      </c>
      <c r="I197" s="9">
        <f>IFERROR(VLOOKUP(B197,cubo!$A$6:$BE$37,18,0)-VLOOKUP(B197,#REF!,$I$2,0),0)</f>
        <v>0</v>
      </c>
      <c r="J197" s="9">
        <f>IFERROR(VLOOKUP(B197,cubo!$A$6:$BE$37,24,0)-VLOOKUP(B197,#REF!,$J$2,0),0)</f>
        <v>0</v>
      </c>
      <c r="K197" s="9">
        <f>IFERROR(VLOOKUP(B197,cubo!$A$6:$BE$37,34,0)-VLOOKUP(B197,#REF!,$K$2,0),0)</f>
        <v>0</v>
      </c>
      <c r="L197" s="8">
        <f>IFERROR(VLOOKUP(B197,cubo!$A$6:$BE$37,38,0)-VLOOKUP(B197,#REF!,$L$2,0),0)</f>
        <v>0</v>
      </c>
      <c r="M197" s="15">
        <f>IFERROR(VLOOKUP(B197,cubo!$A$6:$BE$37,57,0)-VLOOKUP(B197,#REF!,$M$2,0),0)</f>
        <v>0</v>
      </c>
      <c r="N197" s="9">
        <f>IFERROR(VLOOKUP(B197,cubo!$A$6:$BK$37,41,0)-VLOOKUP(conciliacao_custos!B197,#REF!,18,0),0)</f>
        <v>0</v>
      </c>
      <c r="O197" s="9">
        <f>IFERROR(VLOOKUP(B197,cubo!$A$6:$BK$37,44,0)-VLOOKUP(conciliacao_custos!B197,#REF!,13,0),0)</f>
        <v>0</v>
      </c>
      <c r="P197" s="9">
        <f>IFERROR(VLOOKUP(B197,cubo!$A$6:$BK$37,47,0)-VLOOKUP(conciliacao_custos!B197,#REF!,14,0),0)</f>
        <v>0</v>
      </c>
      <c r="Q197" s="9">
        <f>IFERROR(VLOOKUP(B197,cubo!$A$6:$BK$37,58,0)-VLOOKUP(conciliacao_custos!B197,#REF!,16,0),0)</f>
        <v>0</v>
      </c>
      <c r="R197" s="9">
        <f>IFERROR(VLOOKUP(B197,cubo!$A$6:$BK$37,64,0)-VLOOKUP(conciliacao_custos!B197,#REF!,17,0),0)</f>
        <v>0</v>
      </c>
      <c r="S197" s="9">
        <f>IFERROR(VLOOKUP(B197,cubo!$A$6:$BK$37,61,0)-VLOOKUP(conciliacao_custos!B197,#REF!,15,0),0)</f>
        <v>0</v>
      </c>
    </row>
    <row r="198" spans="2:19" x14ac:dyDescent="0.25">
      <c r="B198" s="7">
        <f>[1]salario!A197</f>
        <v>0</v>
      </c>
      <c r="C198" s="14">
        <f>[1]salario!C197</f>
        <v>0</v>
      </c>
      <c r="D198" s="10">
        <f>IFERROR(VLOOKUP(B198,cubo!$A$6:$BE$37,6,0)-VLOOKUP(B198,#REF!,$D$2,0),0)</f>
        <v>0</v>
      </c>
      <c r="E198" s="10">
        <f>IFERROR(VLOOKUP(B198,cubo!$A$6:$BE$37,9,0)-VLOOKUP(B198,#REF!,$E$2,0),0)</f>
        <v>0</v>
      </c>
      <c r="F198" s="9">
        <f>IFERROR(VLOOKUP(B198,cubo!$A$6:$BE$37,12,0)-VLOOKUP(B198,#REF!,$F$2,0),0)</f>
        <v>0</v>
      </c>
      <c r="G198" s="9">
        <f>IFERROR(VLOOKUP(B198,cubo!$A$6:$BE$37,54,0)-VLOOKUP(B198,#REF!,$G$2,0),0)</f>
        <v>0</v>
      </c>
      <c r="H198" s="10">
        <f>IFERROR(VLOOKUP(B198,cubo!$A$6:$BE$37,15,0)-VLOOKUP(B198,#REF!,$H$2,0),0)</f>
        <v>0</v>
      </c>
      <c r="I198" s="9">
        <f>IFERROR(VLOOKUP(B198,cubo!$A$6:$BE$37,18,0)-VLOOKUP(B198,#REF!,$I$2,0),0)</f>
        <v>0</v>
      </c>
      <c r="J198" s="9">
        <f>IFERROR(VLOOKUP(B198,cubo!$A$6:$BE$37,24,0)-VLOOKUP(B198,#REF!,$J$2,0),0)</f>
        <v>0</v>
      </c>
      <c r="K198" s="9">
        <f>IFERROR(VLOOKUP(B198,cubo!$A$6:$BE$37,34,0)-VLOOKUP(B198,#REF!,$K$2,0),0)</f>
        <v>0</v>
      </c>
      <c r="L198" s="8">
        <f>IFERROR(VLOOKUP(B198,cubo!$A$6:$BE$37,38,0)-VLOOKUP(B198,#REF!,$L$2,0),0)</f>
        <v>0</v>
      </c>
      <c r="M198" s="15">
        <f>IFERROR(VLOOKUP(B198,cubo!$A$6:$BE$37,57,0)-VLOOKUP(B198,#REF!,$M$2,0),0)</f>
        <v>0</v>
      </c>
      <c r="N198" s="9">
        <f>IFERROR(VLOOKUP(B198,cubo!$A$6:$BK$37,41,0)-VLOOKUP(conciliacao_custos!B198,#REF!,18,0),0)</f>
        <v>0</v>
      </c>
      <c r="O198" s="9">
        <f>IFERROR(VLOOKUP(B198,cubo!$A$6:$BK$37,44,0)-VLOOKUP(conciliacao_custos!B198,#REF!,13,0),0)</f>
        <v>0</v>
      </c>
      <c r="P198" s="9">
        <f>IFERROR(VLOOKUP(B198,cubo!$A$6:$BK$37,47,0)-VLOOKUP(conciliacao_custos!B198,#REF!,14,0),0)</f>
        <v>0</v>
      </c>
      <c r="Q198" s="9">
        <f>IFERROR(VLOOKUP(B198,cubo!$A$6:$BK$37,58,0)-VLOOKUP(conciliacao_custos!B198,#REF!,16,0),0)</f>
        <v>0</v>
      </c>
      <c r="R198" s="9">
        <f>IFERROR(VLOOKUP(B198,cubo!$A$6:$BK$37,64,0)-VLOOKUP(conciliacao_custos!B198,#REF!,17,0),0)</f>
        <v>0</v>
      </c>
      <c r="S198" s="9">
        <f>IFERROR(VLOOKUP(B198,cubo!$A$6:$BK$37,61,0)-VLOOKUP(conciliacao_custos!B198,#REF!,15,0),0)</f>
        <v>0</v>
      </c>
    </row>
    <row r="199" spans="2:19" x14ac:dyDescent="0.25">
      <c r="B199" s="7">
        <f>[1]salario!A198</f>
        <v>0</v>
      </c>
      <c r="C199" s="14">
        <f>[1]salario!C198</f>
        <v>0</v>
      </c>
      <c r="D199" s="10">
        <f>IFERROR(VLOOKUP(B199,cubo!$A$6:$BE$37,6,0)-VLOOKUP(B199,#REF!,$D$2,0),0)</f>
        <v>0</v>
      </c>
      <c r="E199" s="10">
        <f>IFERROR(VLOOKUP(B199,cubo!$A$6:$BE$37,9,0)-VLOOKUP(B199,#REF!,$E$2,0),0)</f>
        <v>0</v>
      </c>
      <c r="F199" s="9">
        <f>IFERROR(VLOOKUP(B199,cubo!$A$6:$BE$37,12,0)-VLOOKUP(B199,#REF!,$F$2,0),0)</f>
        <v>0</v>
      </c>
      <c r="G199" s="9">
        <f>IFERROR(VLOOKUP(B199,cubo!$A$6:$BE$37,54,0)-VLOOKUP(B199,#REF!,$G$2,0),0)</f>
        <v>0</v>
      </c>
      <c r="H199" s="10">
        <f>IFERROR(VLOOKUP(B199,cubo!$A$6:$BE$37,15,0)-VLOOKUP(B199,#REF!,$H$2,0),0)</f>
        <v>0</v>
      </c>
      <c r="I199" s="9">
        <f>IFERROR(VLOOKUP(B199,cubo!$A$6:$BE$37,18,0)-VLOOKUP(B199,#REF!,$I$2,0),0)</f>
        <v>0</v>
      </c>
      <c r="J199" s="9">
        <f>IFERROR(VLOOKUP(B199,cubo!$A$6:$BE$37,24,0)-VLOOKUP(B199,#REF!,$J$2,0),0)</f>
        <v>0</v>
      </c>
      <c r="K199" s="9">
        <f>IFERROR(VLOOKUP(B199,cubo!$A$6:$BE$37,34,0)-VLOOKUP(B199,#REF!,$K$2,0),0)</f>
        <v>0</v>
      </c>
      <c r="L199" s="8">
        <f>IFERROR(VLOOKUP(B199,cubo!$A$6:$BE$37,38,0)-VLOOKUP(B199,#REF!,$L$2,0),0)</f>
        <v>0</v>
      </c>
      <c r="M199" s="15">
        <f>IFERROR(VLOOKUP(B199,cubo!$A$6:$BE$37,57,0)-VLOOKUP(B199,#REF!,$M$2,0),0)</f>
        <v>0</v>
      </c>
      <c r="N199" s="9">
        <f>IFERROR(VLOOKUP(B199,cubo!$A$6:$BK$37,41,0)-VLOOKUP(conciliacao_custos!B199,#REF!,18,0),0)</f>
        <v>0</v>
      </c>
      <c r="O199" s="9">
        <f>IFERROR(VLOOKUP(B199,cubo!$A$6:$BK$37,44,0)-VLOOKUP(conciliacao_custos!B199,#REF!,13,0),0)</f>
        <v>0</v>
      </c>
      <c r="P199" s="9">
        <f>IFERROR(VLOOKUP(B199,cubo!$A$6:$BK$37,47,0)-VLOOKUP(conciliacao_custos!B199,#REF!,14,0),0)</f>
        <v>0</v>
      </c>
      <c r="Q199" s="9">
        <f>IFERROR(VLOOKUP(B199,cubo!$A$6:$BK$37,58,0)-VLOOKUP(conciliacao_custos!B199,#REF!,16,0),0)</f>
        <v>0</v>
      </c>
      <c r="R199" s="9">
        <f>IFERROR(VLOOKUP(B199,cubo!$A$6:$BK$37,64,0)-VLOOKUP(conciliacao_custos!B199,#REF!,17,0),0)</f>
        <v>0</v>
      </c>
      <c r="S199" s="9">
        <f>IFERROR(VLOOKUP(B199,cubo!$A$6:$BK$37,61,0)-VLOOKUP(conciliacao_custos!B199,#REF!,15,0),0)</f>
        <v>0</v>
      </c>
    </row>
    <row r="200" spans="2:19" x14ac:dyDescent="0.25">
      <c r="B200" s="7">
        <f>[1]salario!A199</f>
        <v>0</v>
      </c>
      <c r="C200" s="14">
        <f>[1]salario!C199</f>
        <v>0</v>
      </c>
      <c r="D200" s="10">
        <f>IFERROR(VLOOKUP(B200,cubo!$A$6:$BE$37,6,0)-VLOOKUP(B200,#REF!,$D$2,0),0)</f>
        <v>0</v>
      </c>
      <c r="E200" s="10">
        <f>IFERROR(VLOOKUP(B200,cubo!$A$6:$BE$37,9,0)-VLOOKUP(B200,#REF!,$E$2,0),0)</f>
        <v>0</v>
      </c>
      <c r="F200" s="9">
        <f>IFERROR(VLOOKUP(B200,cubo!$A$6:$BE$37,12,0)-VLOOKUP(B200,#REF!,$F$2,0),0)</f>
        <v>0</v>
      </c>
      <c r="G200" s="9">
        <f>IFERROR(VLOOKUP(B200,cubo!$A$6:$BE$37,54,0)-VLOOKUP(B200,#REF!,$G$2,0),0)</f>
        <v>0</v>
      </c>
      <c r="H200" s="10">
        <f>IFERROR(VLOOKUP(B200,cubo!$A$6:$BE$37,15,0)-VLOOKUP(B200,#REF!,$H$2,0),0)</f>
        <v>0</v>
      </c>
      <c r="I200" s="9">
        <f>IFERROR(VLOOKUP(B200,cubo!$A$6:$BE$37,18,0)-VLOOKUP(B200,#REF!,$I$2,0),0)</f>
        <v>0</v>
      </c>
      <c r="J200" s="9">
        <f>IFERROR(VLOOKUP(B200,cubo!$A$6:$BE$37,24,0)-VLOOKUP(B200,#REF!,$J$2,0),0)</f>
        <v>0</v>
      </c>
      <c r="K200" s="9">
        <f>IFERROR(VLOOKUP(B200,cubo!$A$6:$BE$37,34,0)-VLOOKUP(B200,#REF!,$K$2,0),0)</f>
        <v>0</v>
      </c>
      <c r="L200" s="8">
        <f>IFERROR(VLOOKUP(B200,cubo!$A$6:$BE$37,38,0)-VLOOKUP(B200,#REF!,$L$2,0),0)</f>
        <v>0</v>
      </c>
      <c r="M200" s="15">
        <f>IFERROR(VLOOKUP(B200,cubo!$A$6:$BE$37,57,0)-VLOOKUP(B200,#REF!,$M$2,0),0)</f>
        <v>0</v>
      </c>
      <c r="N200" s="9">
        <f>IFERROR(VLOOKUP(B200,cubo!$A$6:$BK$37,41,0)-VLOOKUP(conciliacao_custos!B200,#REF!,18,0),0)</f>
        <v>0</v>
      </c>
      <c r="O200" s="9">
        <f>IFERROR(VLOOKUP(B200,cubo!$A$6:$BK$37,44,0)-VLOOKUP(conciliacao_custos!B200,#REF!,13,0),0)</f>
        <v>0</v>
      </c>
      <c r="P200" s="9">
        <f>IFERROR(VLOOKUP(B200,cubo!$A$6:$BK$37,47,0)-VLOOKUP(conciliacao_custos!B200,#REF!,14,0),0)</f>
        <v>0</v>
      </c>
      <c r="Q200" s="9">
        <f>IFERROR(VLOOKUP(B200,cubo!$A$6:$BK$37,58,0)-VLOOKUP(conciliacao_custos!B200,#REF!,16,0),0)</f>
        <v>0</v>
      </c>
      <c r="R200" s="9">
        <f>IFERROR(VLOOKUP(B200,cubo!$A$6:$BK$37,64,0)-VLOOKUP(conciliacao_custos!B200,#REF!,17,0),0)</f>
        <v>0</v>
      </c>
      <c r="S200" s="9">
        <f>IFERROR(VLOOKUP(B200,cubo!$A$6:$BK$37,61,0)-VLOOKUP(conciliacao_custos!B200,#REF!,15,0),0)</f>
        <v>0</v>
      </c>
    </row>
    <row r="201" spans="2:19" x14ac:dyDescent="0.25">
      <c r="B201" s="7">
        <f>[1]salario!A200</f>
        <v>0</v>
      </c>
      <c r="C201" s="14">
        <f>[1]salario!C200</f>
        <v>0</v>
      </c>
      <c r="D201" s="10">
        <f>IFERROR(VLOOKUP(B201,cubo!$A$6:$BE$37,6,0)-VLOOKUP(B201,#REF!,$D$2,0),0)</f>
        <v>0</v>
      </c>
      <c r="E201" s="10">
        <f>IFERROR(VLOOKUP(B201,cubo!$A$6:$BE$37,9,0)-VLOOKUP(B201,#REF!,$E$2,0),0)</f>
        <v>0</v>
      </c>
      <c r="F201" s="9">
        <f>IFERROR(VLOOKUP(B201,cubo!$A$6:$BE$37,12,0)-VLOOKUP(B201,#REF!,$F$2,0),0)</f>
        <v>0</v>
      </c>
      <c r="G201" s="9">
        <f>IFERROR(VLOOKUP(B201,cubo!$A$6:$BE$37,54,0)-VLOOKUP(B201,#REF!,$G$2,0),0)</f>
        <v>0</v>
      </c>
      <c r="H201" s="10">
        <f>IFERROR(VLOOKUP(B201,cubo!$A$6:$BE$37,15,0)-VLOOKUP(B201,#REF!,$H$2,0),0)</f>
        <v>0</v>
      </c>
      <c r="I201" s="9">
        <f>IFERROR(VLOOKUP(B201,cubo!$A$6:$BE$37,18,0)-VLOOKUP(B201,#REF!,$I$2,0),0)</f>
        <v>0</v>
      </c>
      <c r="J201" s="9">
        <f>IFERROR(VLOOKUP(B201,cubo!$A$6:$BE$37,24,0)-VLOOKUP(B201,#REF!,$J$2,0),0)</f>
        <v>0</v>
      </c>
      <c r="K201" s="9">
        <f>IFERROR(VLOOKUP(B201,cubo!$A$6:$BE$37,34,0)-VLOOKUP(B201,#REF!,$K$2,0),0)</f>
        <v>0</v>
      </c>
      <c r="L201" s="8">
        <f>IFERROR(VLOOKUP(B201,cubo!$A$6:$BE$37,38,0)-VLOOKUP(B201,#REF!,$L$2,0),0)</f>
        <v>0</v>
      </c>
      <c r="M201" s="15">
        <f>IFERROR(VLOOKUP(B201,cubo!$A$6:$BE$37,57,0)-VLOOKUP(B201,#REF!,$M$2,0),0)</f>
        <v>0</v>
      </c>
      <c r="N201" s="9">
        <f>IFERROR(VLOOKUP(B201,cubo!$A$6:$BK$37,41,0)-VLOOKUP(conciliacao_custos!B201,#REF!,18,0),0)</f>
        <v>0</v>
      </c>
      <c r="O201" s="9">
        <f>IFERROR(VLOOKUP(B201,cubo!$A$6:$BK$37,44,0)-VLOOKUP(conciliacao_custos!B201,#REF!,13,0),0)</f>
        <v>0</v>
      </c>
      <c r="P201" s="9">
        <f>IFERROR(VLOOKUP(B201,cubo!$A$6:$BK$37,47,0)-VLOOKUP(conciliacao_custos!B201,#REF!,14,0),0)</f>
        <v>0</v>
      </c>
      <c r="Q201" s="9">
        <f>IFERROR(VLOOKUP(B201,cubo!$A$6:$BK$37,58,0)-VLOOKUP(conciliacao_custos!B201,#REF!,16,0),0)</f>
        <v>0</v>
      </c>
      <c r="R201" s="9">
        <f>IFERROR(VLOOKUP(B201,cubo!$A$6:$BK$37,64,0)-VLOOKUP(conciliacao_custos!B201,#REF!,17,0),0)</f>
        <v>0</v>
      </c>
      <c r="S201" s="9">
        <f>IFERROR(VLOOKUP(B201,cubo!$A$6:$BK$37,61,0)-VLOOKUP(conciliacao_custos!B201,#REF!,15,0),0)</f>
        <v>0</v>
      </c>
    </row>
    <row r="202" spans="2:19" x14ac:dyDescent="0.25">
      <c r="B202" s="7">
        <f>[1]salario!A201</f>
        <v>0</v>
      </c>
      <c r="C202" s="14">
        <f>[1]salario!C201</f>
        <v>0</v>
      </c>
      <c r="D202" s="10">
        <f>IFERROR(VLOOKUP(B202,cubo!$A$6:$BE$37,6,0)-VLOOKUP(B202,#REF!,$D$2,0),0)</f>
        <v>0</v>
      </c>
      <c r="E202" s="10">
        <f>IFERROR(VLOOKUP(B202,cubo!$A$6:$BE$37,9,0)-VLOOKUP(B202,#REF!,$E$2,0),0)</f>
        <v>0</v>
      </c>
      <c r="F202" s="9">
        <f>IFERROR(VLOOKUP(B202,cubo!$A$6:$BE$37,12,0)-VLOOKUP(B202,#REF!,$F$2,0),0)</f>
        <v>0</v>
      </c>
      <c r="G202" s="9">
        <f>IFERROR(VLOOKUP(B202,cubo!$A$6:$BE$37,54,0)-VLOOKUP(B202,#REF!,$G$2,0),0)</f>
        <v>0</v>
      </c>
      <c r="H202" s="10">
        <f>IFERROR(VLOOKUP(B202,cubo!$A$6:$BE$37,15,0)-VLOOKUP(B202,#REF!,$H$2,0),0)</f>
        <v>0</v>
      </c>
      <c r="I202" s="9">
        <f>IFERROR(VLOOKUP(B202,cubo!$A$6:$BE$37,18,0)-VLOOKUP(B202,#REF!,$I$2,0),0)</f>
        <v>0</v>
      </c>
      <c r="J202" s="9">
        <f>IFERROR(VLOOKUP(B202,cubo!$A$6:$BE$37,24,0)-VLOOKUP(B202,#REF!,$J$2,0),0)</f>
        <v>0</v>
      </c>
      <c r="K202" s="9">
        <f>IFERROR(VLOOKUP(B202,cubo!$A$6:$BE$37,34,0)-VLOOKUP(B202,#REF!,$K$2,0),0)</f>
        <v>0</v>
      </c>
      <c r="L202" s="8">
        <f>IFERROR(VLOOKUP(B202,cubo!$A$6:$BE$37,38,0)-VLOOKUP(B202,#REF!,$L$2,0),0)</f>
        <v>0</v>
      </c>
      <c r="M202" s="15">
        <f>IFERROR(VLOOKUP(B202,cubo!$A$6:$BE$37,57,0)-VLOOKUP(B202,#REF!,$M$2,0),0)</f>
        <v>0</v>
      </c>
      <c r="N202" s="9">
        <f>IFERROR(VLOOKUP(B202,cubo!$A$6:$BK$37,41,0)-VLOOKUP(conciliacao_custos!B202,#REF!,18,0),0)</f>
        <v>0</v>
      </c>
      <c r="O202" s="9">
        <f>IFERROR(VLOOKUP(B202,cubo!$A$6:$BK$37,44,0)-VLOOKUP(conciliacao_custos!B202,#REF!,13,0),0)</f>
        <v>0</v>
      </c>
      <c r="P202" s="9">
        <f>IFERROR(VLOOKUP(B202,cubo!$A$6:$BK$37,47,0)-VLOOKUP(conciliacao_custos!B202,#REF!,14,0),0)</f>
        <v>0</v>
      </c>
      <c r="Q202" s="9">
        <f>IFERROR(VLOOKUP(B202,cubo!$A$6:$BK$37,58,0)-VLOOKUP(conciliacao_custos!B202,#REF!,16,0),0)</f>
        <v>0</v>
      </c>
      <c r="R202" s="9">
        <f>IFERROR(VLOOKUP(B202,cubo!$A$6:$BK$37,64,0)-VLOOKUP(conciliacao_custos!B202,#REF!,17,0),0)</f>
        <v>0</v>
      </c>
      <c r="S202" s="9">
        <f>IFERROR(VLOOKUP(B202,cubo!$A$6:$BK$37,61,0)-VLOOKUP(conciliacao_custos!B202,#REF!,15,0),0)</f>
        <v>0</v>
      </c>
    </row>
    <row r="203" spans="2:19" x14ac:dyDescent="0.25">
      <c r="B203" s="7">
        <f>[1]salario!A202</f>
        <v>0</v>
      </c>
      <c r="C203" s="14">
        <f>[1]salario!C202</f>
        <v>0</v>
      </c>
      <c r="D203" s="10">
        <f>IFERROR(VLOOKUP(B203,cubo!$A$6:$BE$37,6,0)-VLOOKUP(B203,#REF!,$D$2,0),0)</f>
        <v>0</v>
      </c>
      <c r="E203" s="10">
        <f>IFERROR(VLOOKUP(B203,cubo!$A$6:$BE$37,9,0)-VLOOKUP(B203,#REF!,$E$2,0),0)</f>
        <v>0</v>
      </c>
      <c r="F203" s="9">
        <f>IFERROR(VLOOKUP(B203,cubo!$A$6:$BE$37,12,0)-VLOOKUP(B203,#REF!,$F$2,0),0)</f>
        <v>0</v>
      </c>
      <c r="G203" s="9">
        <f>IFERROR(VLOOKUP(B203,cubo!$A$6:$BE$37,54,0)-VLOOKUP(B203,#REF!,$G$2,0),0)</f>
        <v>0</v>
      </c>
      <c r="H203" s="10">
        <f>IFERROR(VLOOKUP(B203,cubo!$A$6:$BE$37,15,0)-VLOOKUP(B203,#REF!,$H$2,0),0)</f>
        <v>0</v>
      </c>
      <c r="I203" s="9">
        <f>IFERROR(VLOOKUP(B203,cubo!$A$6:$BE$37,18,0)-VLOOKUP(B203,#REF!,$I$2,0),0)</f>
        <v>0</v>
      </c>
      <c r="J203" s="9">
        <f>IFERROR(VLOOKUP(B203,cubo!$A$6:$BE$37,24,0)-VLOOKUP(B203,#REF!,$J$2,0),0)</f>
        <v>0</v>
      </c>
      <c r="K203" s="9">
        <f>IFERROR(VLOOKUP(B203,cubo!$A$6:$BE$37,34,0)-VLOOKUP(B203,#REF!,$K$2,0),0)</f>
        <v>0</v>
      </c>
      <c r="L203" s="8">
        <f>IFERROR(VLOOKUP(B203,cubo!$A$6:$BE$37,38,0)-VLOOKUP(B203,#REF!,$L$2,0),0)</f>
        <v>0</v>
      </c>
      <c r="M203" s="15">
        <f>IFERROR(VLOOKUP(B203,cubo!$A$6:$BE$37,57,0)-VLOOKUP(B203,#REF!,$M$2,0),0)</f>
        <v>0</v>
      </c>
      <c r="N203" s="9">
        <f>IFERROR(VLOOKUP(B203,cubo!$A$6:$BK$37,41,0)-VLOOKUP(conciliacao_custos!B203,#REF!,18,0),0)</f>
        <v>0</v>
      </c>
      <c r="O203" s="9">
        <f>IFERROR(VLOOKUP(B203,cubo!$A$6:$BK$37,44,0)-VLOOKUP(conciliacao_custos!B203,#REF!,13,0),0)</f>
        <v>0</v>
      </c>
      <c r="P203" s="9">
        <f>IFERROR(VLOOKUP(B203,cubo!$A$6:$BK$37,47,0)-VLOOKUP(conciliacao_custos!B203,#REF!,14,0),0)</f>
        <v>0</v>
      </c>
      <c r="Q203" s="9">
        <f>IFERROR(VLOOKUP(B203,cubo!$A$6:$BK$37,58,0)-VLOOKUP(conciliacao_custos!B203,#REF!,16,0),0)</f>
        <v>0</v>
      </c>
      <c r="R203" s="9">
        <f>IFERROR(VLOOKUP(B203,cubo!$A$6:$BK$37,64,0)-VLOOKUP(conciliacao_custos!B203,#REF!,17,0),0)</f>
        <v>0</v>
      </c>
      <c r="S203" s="9">
        <f>IFERROR(VLOOKUP(B203,cubo!$A$6:$BK$37,61,0)-VLOOKUP(conciliacao_custos!B203,#REF!,15,0),0)</f>
        <v>0</v>
      </c>
    </row>
    <row r="204" spans="2:19" x14ac:dyDescent="0.25">
      <c r="B204" s="7">
        <f>[1]salario!A203</f>
        <v>0</v>
      </c>
      <c r="C204" s="14">
        <f>[1]salario!C203</f>
        <v>0</v>
      </c>
      <c r="D204" s="10">
        <f>IFERROR(VLOOKUP(B204,cubo!$A$6:$BE$37,6,0)-VLOOKUP(B204,#REF!,$D$2,0),0)</f>
        <v>0</v>
      </c>
      <c r="E204" s="10">
        <f>IFERROR(VLOOKUP(B204,cubo!$A$6:$BE$37,9,0)-VLOOKUP(B204,#REF!,$E$2,0),0)</f>
        <v>0</v>
      </c>
      <c r="F204" s="9">
        <f>IFERROR(VLOOKUP(B204,cubo!$A$6:$BE$37,12,0)-VLOOKUP(B204,#REF!,$F$2,0),0)</f>
        <v>0</v>
      </c>
      <c r="G204" s="9">
        <f>IFERROR(VLOOKUP(B204,cubo!$A$6:$BE$37,54,0)-VLOOKUP(B204,#REF!,$G$2,0),0)</f>
        <v>0</v>
      </c>
      <c r="H204" s="10">
        <f>IFERROR(VLOOKUP(B204,cubo!$A$6:$BE$37,15,0)-VLOOKUP(B204,#REF!,$H$2,0),0)</f>
        <v>0</v>
      </c>
      <c r="I204" s="9">
        <f>IFERROR(VLOOKUP(B204,cubo!$A$6:$BE$37,18,0)-VLOOKUP(B204,#REF!,$I$2,0),0)</f>
        <v>0</v>
      </c>
      <c r="J204" s="9">
        <f>IFERROR(VLOOKUP(B204,cubo!$A$6:$BE$37,24,0)-VLOOKUP(B204,#REF!,$J$2,0),0)</f>
        <v>0</v>
      </c>
      <c r="K204" s="9">
        <f>IFERROR(VLOOKUP(B204,cubo!$A$6:$BE$37,34,0)-VLOOKUP(B204,#REF!,$K$2,0),0)</f>
        <v>0</v>
      </c>
      <c r="L204" s="8">
        <f>IFERROR(VLOOKUP(B204,cubo!$A$6:$BE$37,38,0)-VLOOKUP(B204,#REF!,$L$2,0),0)</f>
        <v>0</v>
      </c>
      <c r="M204" s="15">
        <f>IFERROR(VLOOKUP(B204,cubo!$A$6:$BE$37,57,0)-VLOOKUP(B204,#REF!,$M$2,0),0)</f>
        <v>0</v>
      </c>
      <c r="N204" s="9">
        <f>IFERROR(VLOOKUP(B204,cubo!$A$6:$BK$37,41,0)-VLOOKUP(conciliacao_custos!B204,#REF!,18,0),0)</f>
        <v>0</v>
      </c>
      <c r="O204" s="9">
        <f>IFERROR(VLOOKUP(B204,cubo!$A$6:$BK$37,44,0)-VLOOKUP(conciliacao_custos!B204,#REF!,13,0),0)</f>
        <v>0</v>
      </c>
      <c r="P204" s="9">
        <f>IFERROR(VLOOKUP(B204,cubo!$A$6:$BK$37,47,0)-VLOOKUP(conciliacao_custos!B204,#REF!,14,0),0)</f>
        <v>0</v>
      </c>
      <c r="Q204" s="9">
        <f>IFERROR(VLOOKUP(B204,cubo!$A$6:$BK$37,58,0)-VLOOKUP(conciliacao_custos!B204,#REF!,16,0),0)</f>
        <v>0</v>
      </c>
      <c r="R204" s="9">
        <f>IFERROR(VLOOKUP(B204,cubo!$A$6:$BK$37,64,0)-VLOOKUP(conciliacao_custos!B204,#REF!,17,0),0)</f>
        <v>0</v>
      </c>
      <c r="S204" s="9">
        <f>IFERROR(VLOOKUP(B204,cubo!$A$6:$BK$37,61,0)-VLOOKUP(conciliacao_custos!B204,#REF!,15,0),0)</f>
        <v>0</v>
      </c>
    </row>
    <row r="205" spans="2:19" x14ac:dyDescent="0.25">
      <c r="B205" s="7">
        <f>[1]salario!A204</f>
        <v>0</v>
      </c>
      <c r="C205" s="14">
        <f>[1]salario!C204</f>
        <v>0</v>
      </c>
      <c r="D205" s="10">
        <f>IFERROR(VLOOKUP(B205,cubo!$A$6:$BE$37,6,0)-VLOOKUP(B205,#REF!,$D$2,0),0)</f>
        <v>0</v>
      </c>
      <c r="E205" s="10">
        <f>IFERROR(VLOOKUP(B205,cubo!$A$6:$BE$37,9,0)-VLOOKUP(B205,#REF!,$E$2,0),0)</f>
        <v>0</v>
      </c>
      <c r="F205" s="9">
        <f>IFERROR(VLOOKUP(B205,cubo!$A$6:$BE$37,12,0)-VLOOKUP(B205,#REF!,$F$2,0),0)</f>
        <v>0</v>
      </c>
      <c r="G205" s="9">
        <f>IFERROR(VLOOKUP(B205,cubo!$A$6:$BE$37,54,0)-VLOOKUP(B205,#REF!,$G$2,0),0)</f>
        <v>0</v>
      </c>
      <c r="H205" s="10">
        <f>IFERROR(VLOOKUP(B205,cubo!$A$6:$BE$37,15,0)-VLOOKUP(B205,#REF!,$H$2,0),0)</f>
        <v>0</v>
      </c>
      <c r="I205" s="9">
        <f>IFERROR(VLOOKUP(B205,cubo!$A$6:$BE$37,18,0)-VLOOKUP(B205,#REF!,$I$2,0),0)</f>
        <v>0</v>
      </c>
      <c r="J205" s="9">
        <f>IFERROR(VLOOKUP(B205,cubo!$A$6:$BE$37,24,0)-VLOOKUP(B205,#REF!,$J$2,0),0)</f>
        <v>0</v>
      </c>
      <c r="K205" s="9">
        <f>IFERROR(VLOOKUP(B205,cubo!$A$6:$BE$37,34,0)-VLOOKUP(B205,#REF!,$K$2,0),0)</f>
        <v>0</v>
      </c>
      <c r="L205" s="8">
        <f>IFERROR(VLOOKUP(B205,cubo!$A$6:$BE$37,38,0)-VLOOKUP(B205,#REF!,$L$2,0),0)</f>
        <v>0</v>
      </c>
      <c r="M205" s="15">
        <f>IFERROR(VLOOKUP(B205,cubo!$A$6:$BE$37,57,0)-VLOOKUP(B205,#REF!,$M$2,0),0)</f>
        <v>0</v>
      </c>
      <c r="N205" s="9">
        <f>IFERROR(VLOOKUP(B205,cubo!$A$6:$BK$37,41,0)-VLOOKUP(conciliacao_custos!B205,#REF!,18,0),0)</f>
        <v>0</v>
      </c>
      <c r="O205" s="9">
        <f>IFERROR(VLOOKUP(B205,cubo!$A$6:$BK$37,44,0)-VLOOKUP(conciliacao_custos!B205,#REF!,13,0),0)</f>
        <v>0</v>
      </c>
      <c r="P205" s="9">
        <f>IFERROR(VLOOKUP(B205,cubo!$A$6:$BK$37,47,0)-VLOOKUP(conciliacao_custos!B205,#REF!,14,0),0)</f>
        <v>0</v>
      </c>
      <c r="Q205" s="9">
        <f>IFERROR(VLOOKUP(B205,cubo!$A$6:$BK$37,58,0)-VLOOKUP(conciliacao_custos!B205,#REF!,16,0),0)</f>
        <v>0</v>
      </c>
      <c r="R205" s="9">
        <f>IFERROR(VLOOKUP(B205,cubo!$A$6:$BK$37,64,0)-VLOOKUP(conciliacao_custos!B205,#REF!,17,0),0)</f>
        <v>0</v>
      </c>
      <c r="S205" s="9">
        <f>IFERROR(VLOOKUP(B205,cubo!$A$6:$BK$37,61,0)-VLOOKUP(conciliacao_custos!B205,#REF!,15,0),0)</f>
        <v>0</v>
      </c>
    </row>
    <row r="206" spans="2:19" x14ac:dyDescent="0.25">
      <c r="B206" s="7">
        <f>[1]salario!A205</f>
        <v>0</v>
      </c>
      <c r="C206" s="14">
        <f>[1]salario!C205</f>
        <v>0</v>
      </c>
      <c r="D206" s="10">
        <f>IFERROR(VLOOKUP(B206,cubo!$A$6:$BE$37,6,0)-VLOOKUP(B206,#REF!,$D$2,0),0)</f>
        <v>0</v>
      </c>
      <c r="E206" s="10">
        <f>IFERROR(VLOOKUP(B206,cubo!$A$6:$BE$37,9,0)-VLOOKUP(B206,#REF!,$E$2,0),0)</f>
        <v>0</v>
      </c>
      <c r="F206" s="9">
        <f>IFERROR(VLOOKUP(B206,cubo!$A$6:$BE$37,12,0)-VLOOKUP(B206,#REF!,$F$2,0),0)</f>
        <v>0</v>
      </c>
      <c r="G206" s="9">
        <f>IFERROR(VLOOKUP(B206,cubo!$A$6:$BE$37,54,0)-VLOOKUP(B206,#REF!,$G$2,0),0)</f>
        <v>0</v>
      </c>
      <c r="H206" s="10">
        <f>IFERROR(VLOOKUP(B206,cubo!$A$6:$BE$37,15,0)-VLOOKUP(B206,#REF!,$H$2,0),0)</f>
        <v>0</v>
      </c>
      <c r="I206" s="9">
        <f>IFERROR(VLOOKUP(B206,cubo!$A$6:$BE$37,18,0)-VLOOKUP(B206,#REF!,$I$2,0),0)</f>
        <v>0</v>
      </c>
      <c r="J206" s="9">
        <f>IFERROR(VLOOKUP(B206,cubo!$A$6:$BE$37,24,0)-VLOOKUP(B206,#REF!,$J$2,0),0)</f>
        <v>0</v>
      </c>
      <c r="K206" s="9">
        <f>IFERROR(VLOOKUP(B206,cubo!$A$6:$BE$37,34,0)-VLOOKUP(B206,#REF!,$K$2,0),0)</f>
        <v>0</v>
      </c>
      <c r="L206" s="8">
        <f>IFERROR(VLOOKUP(B206,cubo!$A$6:$BE$37,38,0)-VLOOKUP(B206,#REF!,$L$2,0),0)</f>
        <v>0</v>
      </c>
      <c r="M206" s="15">
        <f>IFERROR(VLOOKUP(B206,cubo!$A$6:$BE$37,57,0)-VLOOKUP(B206,#REF!,$M$2,0),0)</f>
        <v>0</v>
      </c>
      <c r="N206" s="9">
        <f>IFERROR(VLOOKUP(B206,cubo!$A$6:$BK$37,41,0)-VLOOKUP(conciliacao_custos!B206,#REF!,18,0),0)</f>
        <v>0</v>
      </c>
      <c r="O206" s="9">
        <f>IFERROR(VLOOKUP(B206,cubo!$A$6:$BK$37,44,0)-VLOOKUP(conciliacao_custos!B206,#REF!,13,0),0)</f>
        <v>0</v>
      </c>
      <c r="P206" s="9">
        <f>IFERROR(VLOOKUP(B206,cubo!$A$6:$BK$37,47,0)-VLOOKUP(conciliacao_custos!B206,#REF!,14,0),0)</f>
        <v>0</v>
      </c>
      <c r="Q206" s="9">
        <f>IFERROR(VLOOKUP(B206,cubo!$A$6:$BK$37,58,0)-VLOOKUP(conciliacao_custos!B206,#REF!,16,0),0)</f>
        <v>0</v>
      </c>
      <c r="R206" s="9">
        <f>IFERROR(VLOOKUP(B206,cubo!$A$6:$BK$37,64,0)-VLOOKUP(conciliacao_custos!B206,#REF!,17,0),0)</f>
        <v>0</v>
      </c>
      <c r="S206" s="9">
        <f>IFERROR(VLOOKUP(B206,cubo!$A$6:$BK$37,61,0)-VLOOKUP(conciliacao_custos!B206,#REF!,15,0),0)</f>
        <v>0</v>
      </c>
    </row>
    <row r="207" spans="2:19" x14ac:dyDescent="0.25">
      <c r="B207" s="7">
        <f>[1]salario!A206</f>
        <v>0</v>
      </c>
      <c r="C207" s="14">
        <f>[1]salario!C206</f>
        <v>0</v>
      </c>
      <c r="D207" s="10">
        <f>IFERROR(VLOOKUP(B207,cubo!$A$6:$BE$37,6,0)-VLOOKUP(B207,#REF!,$D$2,0),0)</f>
        <v>0</v>
      </c>
      <c r="E207" s="10">
        <f>IFERROR(VLOOKUP(B207,cubo!$A$6:$BE$37,9,0)-VLOOKUP(B207,#REF!,$E$2,0),0)</f>
        <v>0</v>
      </c>
      <c r="F207" s="9">
        <f>IFERROR(VLOOKUP(B207,cubo!$A$6:$BE$37,12,0)-VLOOKUP(B207,#REF!,$F$2,0),0)</f>
        <v>0</v>
      </c>
      <c r="G207" s="9">
        <f>IFERROR(VLOOKUP(B207,cubo!$A$6:$BE$37,54,0)-VLOOKUP(B207,#REF!,$G$2,0),0)</f>
        <v>0</v>
      </c>
      <c r="H207" s="10">
        <f>IFERROR(VLOOKUP(B207,cubo!$A$6:$BE$37,15,0)-VLOOKUP(B207,#REF!,$H$2,0),0)</f>
        <v>0</v>
      </c>
      <c r="I207" s="9">
        <f>IFERROR(VLOOKUP(B207,cubo!$A$6:$BE$37,18,0)-VLOOKUP(B207,#REF!,$I$2,0),0)</f>
        <v>0</v>
      </c>
      <c r="J207" s="9">
        <f>IFERROR(VLOOKUP(B207,cubo!$A$6:$BE$37,24,0)-VLOOKUP(B207,#REF!,$J$2,0),0)</f>
        <v>0</v>
      </c>
      <c r="K207" s="9">
        <f>IFERROR(VLOOKUP(B207,cubo!$A$6:$BE$37,34,0)-VLOOKUP(B207,#REF!,$K$2,0),0)</f>
        <v>0</v>
      </c>
      <c r="L207" s="8">
        <f>IFERROR(VLOOKUP(B207,cubo!$A$6:$BE$37,38,0)-VLOOKUP(B207,#REF!,$L$2,0),0)</f>
        <v>0</v>
      </c>
      <c r="M207" s="15">
        <f>IFERROR(VLOOKUP(B207,cubo!$A$6:$BE$37,57,0)-VLOOKUP(B207,#REF!,$M$2,0),0)</f>
        <v>0</v>
      </c>
      <c r="N207" s="9">
        <f>IFERROR(VLOOKUP(B207,cubo!$A$6:$BK$37,41,0)-VLOOKUP(conciliacao_custos!B207,#REF!,18,0),0)</f>
        <v>0</v>
      </c>
      <c r="O207" s="9">
        <f>IFERROR(VLOOKUP(B207,cubo!$A$6:$BK$37,44,0)-VLOOKUP(conciliacao_custos!B207,#REF!,13,0),0)</f>
        <v>0</v>
      </c>
      <c r="P207" s="9">
        <f>IFERROR(VLOOKUP(B207,cubo!$A$6:$BK$37,47,0)-VLOOKUP(conciliacao_custos!B207,#REF!,14,0),0)</f>
        <v>0</v>
      </c>
      <c r="Q207" s="9">
        <f>IFERROR(VLOOKUP(B207,cubo!$A$6:$BK$37,58,0)-VLOOKUP(conciliacao_custos!B207,#REF!,16,0),0)</f>
        <v>0</v>
      </c>
      <c r="R207" s="9">
        <f>IFERROR(VLOOKUP(B207,cubo!$A$6:$BK$37,64,0)-VLOOKUP(conciliacao_custos!B207,#REF!,17,0),0)</f>
        <v>0</v>
      </c>
      <c r="S207" s="9">
        <f>IFERROR(VLOOKUP(B207,cubo!$A$6:$BK$37,61,0)-VLOOKUP(conciliacao_custos!B207,#REF!,15,0),0)</f>
        <v>0</v>
      </c>
    </row>
    <row r="208" spans="2:19" x14ac:dyDescent="0.25">
      <c r="B208" s="7">
        <f>[1]salario!A207</f>
        <v>0</v>
      </c>
      <c r="C208" s="14">
        <f>[1]salario!C207</f>
        <v>0</v>
      </c>
      <c r="D208" s="10">
        <f>IFERROR(VLOOKUP(B208,cubo!$A$6:$BE$37,6,0)-VLOOKUP(B208,#REF!,$D$2,0),0)</f>
        <v>0</v>
      </c>
      <c r="E208" s="10">
        <f>IFERROR(VLOOKUP(B208,cubo!$A$6:$BE$37,9,0)-VLOOKUP(B208,#REF!,$E$2,0),0)</f>
        <v>0</v>
      </c>
      <c r="F208" s="9">
        <f>IFERROR(VLOOKUP(B208,cubo!$A$6:$BE$37,12,0)-VLOOKUP(B208,#REF!,$F$2,0),0)</f>
        <v>0</v>
      </c>
      <c r="G208" s="9">
        <f>IFERROR(VLOOKUP(B208,cubo!$A$6:$BE$37,54,0)-VLOOKUP(B208,#REF!,$G$2,0),0)</f>
        <v>0</v>
      </c>
      <c r="H208" s="10">
        <f>IFERROR(VLOOKUP(B208,cubo!$A$6:$BE$37,15,0)-VLOOKUP(B208,#REF!,$H$2,0),0)</f>
        <v>0</v>
      </c>
      <c r="I208" s="9">
        <f>IFERROR(VLOOKUP(B208,cubo!$A$6:$BE$37,18,0)-VLOOKUP(B208,#REF!,$I$2,0),0)</f>
        <v>0</v>
      </c>
      <c r="J208" s="9">
        <f>IFERROR(VLOOKUP(B208,cubo!$A$6:$BE$37,24,0)-VLOOKUP(B208,#REF!,$J$2,0),0)</f>
        <v>0</v>
      </c>
      <c r="K208" s="9">
        <f>IFERROR(VLOOKUP(B208,cubo!$A$6:$BE$37,34,0)-VLOOKUP(B208,#REF!,$K$2,0),0)</f>
        <v>0</v>
      </c>
      <c r="L208" s="8">
        <f>IFERROR(VLOOKUP(B208,cubo!$A$6:$BE$37,38,0)-VLOOKUP(B208,#REF!,$L$2,0),0)</f>
        <v>0</v>
      </c>
      <c r="M208" s="15">
        <f>IFERROR(VLOOKUP(B208,cubo!$A$6:$BE$37,57,0)-VLOOKUP(B208,#REF!,$M$2,0),0)</f>
        <v>0</v>
      </c>
      <c r="N208" s="9">
        <f>IFERROR(VLOOKUP(B208,cubo!$A$6:$BK$37,41,0)-VLOOKUP(conciliacao_custos!B208,#REF!,18,0),0)</f>
        <v>0</v>
      </c>
      <c r="O208" s="9">
        <f>IFERROR(VLOOKUP(B208,cubo!$A$6:$BK$37,44,0)-VLOOKUP(conciliacao_custos!B208,#REF!,13,0),0)</f>
        <v>0</v>
      </c>
      <c r="P208" s="9">
        <f>IFERROR(VLOOKUP(B208,cubo!$A$6:$BK$37,47,0)-VLOOKUP(conciliacao_custos!B208,#REF!,14,0),0)</f>
        <v>0</v>
      </c>
      <c r="Q208" s="9">
        <f>IFERROR(VLOOKUP(B208,cubo!$A$6:$BK$37,58,0)-VLOOKUP(conciliacao_custos!B208,#REF!,16,0),0)</f>
        <v>0</v>
      </c>
      <c r="R208" s="9">
        <f>IFERROR(VLOOKUP(B208,cubo!$A$6:$BK$37,64,0)-VLOOKUP(conciliacao_custos!B208,#REF!,17,0),0)</f>
        <v>0</v>
      </c>
      <c r="S208" s="9">
        <f>IFERROR(VLOOKUP(B208,cubo!$A$6:$BK$37,61,0)-VLOOKUP(conciliacao_custos!B208,#REF!,15,0),0)</f>
        <v>0</v>
      </c>
    </row>
    <row r="209" spans="2:19" x14ac:dyDescent="0.25">
      <c r="B209" s="7">
        <f>[1]salario!A208</f>
        <v>0</v>
      </c>
      <c r="C209" s="14">
        <f>[1]salario!C208</f>
        <v>0</v>
      </c>
      <c r="D209" s="10">
        <f>IFERROR(VLOOKUP(B209,cubo!$A$6:$BE$37,6,0)-VLOOKUP(B209,#REF!,$D$2,0),0)</f>
        <v>0</v>
      </c>
      <c r="E209" s="10">
        <f>IFERROR(VLOOKUP(B209,cubo!$A$6:$BE$37,9,0)-VLOOKUP(B209,#REF!,$E$2,0),0)</f>
        <v>0</v>
      </c>
      <c r="F209" s="9">
        <f>IFERROR(VLOOKUP(B209,cubo!$A$6:$BE$37,12,0)-VLOOKUP(B209,#REF!,$F$2,0),0)</f>
        <v>0</v>
      </c>
      <c r="G209" s="9">
        <f>IFERROR(VLOOKUP(B209,cubo!$A$6:$BE$37,54,0)-VLOOKUP(B209,#REF!,$G$2,0),0)</f>
        <v>0</v>
      </c>
      <c r="H209" s="10">
        <f>IFERROR(VLOOKUP(B209,cubo!$A$6:$BE$37,15,0)-VLOOKUP(B209,#REF!,$H$2,0),0)</f>
        <v>0</v>
      </c>
      <c r="I209" s="9">
        <f>IFERROR(VLOOKUP(B209,cubo!$A$6:$BE$37,18,0)-VLOOKUP(B209,#REF!,$I$2,0),0)</f>
        <v>0</v>
      </c>
      <c r="J209" s="9">
        <f>IFERROR(VLOOKUP(B209,cubo!$A$6:$BE$37,24,0)-VLOOKUP(B209,#REF!,$J$2,0),0)</f>
        <v>0</v>
      </c>
      <c r="K209" s="9">
        <f>IFERROR(VLOOKUP(B209,cubo!$A$6:$BE$37,34,0)-VLOOKUP(B209,#REF!,$K$2,0),0)</f>
        <v>0</v>
      </c>
      <c r="L209" s="8">
        <f>IFERROR(VLOOKUP(B209,cubo!$A$6:$BE$37,38,0)-VLOOKUP(B209,#REF!,$L$2,0),0)</f>
        <v>0</v>
      </c>
      <c r="M209" s="15">
        <f>IFERROR(VLOOKUP(B209,cubo!$A$6:$BE$37,57,0)-VLOOKUP(B209,#REF!,$M$2,0),0)</f>
        <v>0</v>
      </c>
      <c r="N209" s="9">
        <f>IFERROR(VLOOKUP(B209,cubo!$A$6:$BK$37,41,0)-VLOOKUP(conciliacao_custos!B209,#REF!,18,0),0)</f>
        <v>0</v>
      </c>
      <c r="O209" s="9">
        <f>IFERROR(VLOOKUP(B209,cubo!$A$6:$BK$37,44,0)-VLOOKUP(conciliacao_custos!B209,#REF!,13,0),0)</f>
        <v>0</v>
      </c>
      <c r="P209" s="9">
        <f>IFERROR(VLOOKUP(B209,cubo!$A$6:$BK$37,47,0)-VLOOKUP(conciliacao_custos!B209,#REF!,14,0),0)</f>
        <v>0</v>
      </c>
      <c r="Q209" s="9">
        <f>IFERROR(VLOOKUP(B209,cubo!$A$6:$BK$37,58,0)-VLOOKUP(conciliacao_custos!B209,#REF!,16,0),0)</f>
        <v>0</v>
      </c>
      <c r="R209" s="9">
        <f>IFERROR(VLOOKUP(B209,cubo!$A$6:$BK$37,64,0)-VLOOKUP(conciliacao_custos!B209,#REF!,17,0),0)</f>
        <v>0</v>
      </c>
      <c r="S209" s="9">
        <f>IFERROR(VLOOKUP(B209,cubo!$A$6:$BK$37,61,0)-VLOOKUP(conciliacao_custos!B209,#REF!,15,0),0)</f>
        <v>0</v>
      </c>
    </row>
    <row r="210" spans="2:19" x14ac:dyDescent="0.25">
      <c r="B210" s="7">
        <f>[1]salario!A209</f>
        <v>0</v>
      </c>
      <c r="C210" s="14">
        <f>[1]salario!C209</f>
        <v>0</v>
      </c>
      <c r="D210" s="10">
        <f>IFERROR(VLOOKUP(B210,cubo!$A$6:$BE$37,6,0)-VLOOKUP(B210,#REF!,$D$2,0),0)</f>
        <v>0</v>
      </c>
      <c r="E210" s="10">
        <f>IFERROR(VLOOKUP(B210,cubo!$A$6:$BE$37,9,0)-VLOOKUP(B210,#REF!,$E$2,0),0)</f>
        <v>0</v>
      </c>
      <c r="F210" s="9">
        <f>IFERROR(VLOOKUP(B210,cubo!$A$6:$BE$37,12,0)-VLOOKUP(B210,#REF!,$F$2,0),0)</f>
        <v>0</v>
      </c>
      <c r="G210" s="9">
        <f>IFERROR(VLOOKUP(B210,cubo!$A$6:$BE$37,54,0)-VLOOKUP(B210,#REF!,$G$2,0),0)</f>
        <v>0</v>
      </c>
      <c r="H210" s="10">
        <f>IFERROR(VLOOKUP(B210,cubo!$A$6:$BE$37,15,0)-VLOOKUP(B210,#REF!,$H$2,0),0)</f>
        <v>0</v>
      </c>
      <c r="I210" s="9">
        <f>IFERROR(VLOOKUP(B210,cubo!$A$6:$BE$37,18,0)-VLOOKUP(B210,#REF!,$I$2,0),0)</f>
        <v>0</v>
      </c>
      <c r="J210" s="9">
        <f>IFERROR(VLOOKUP(B210,cubo!$A$6:$BE$37,24,0)-VLOOKUP(B210,#REF!,$J$2,0),0)</f>
        <v>0</v>
      </c>
      <c r="K210" s="9">
        <f>IFERROR(VLOOKUP(B210,cubo!$A$6:$BE$37,34,0)-VLOOKUP(B210,#REF!,$K$2,0),0)</f>
        <v>0</v>
      </c>
      <c r="L210" s="8">
        <f>IFERROR(VLOOKUP(B210,cubo!$A$6:$BE$37,38,0)-VLOOKUP(B210,#REF!,$L$2,0),0)</f>
        <v>0</v>
      </c>
      <c r="M210" s="15">
        <f>IFERROR(VLOOKUP(B210,cubo!$A$6:$BE$37,57,0)-VLOOKUP(B210,#REF!,$M$2,0),0)</f>
        <v>0</v>
      </c>
      <c r="N210" s="9">
        <f>IFERROR(VLOOKUP(B210,cubo!$A$6:$BK$37,41,0)-VLOOKUP(conciliacao_custos!B210,#REF!,18,0),0)</f>
        <v>0</v>
      </c>
      <c r="O210" s="9">
        <f>IFERROR(VLOOKUP(B210,cubo!$A$6:$BK$37,44,0)-VLOOKUP(conciliacao_custos!B210,#REF!,13,0),0)</f>
        <v>0</v>
      </c>
      <c r="P210" s="9">
        <f>IFERROR(VLOOKUP(B210,cubo!$A$6:$BK$37,47,0)-VLOOKUP(conciliacao_custos!B210,#REF!,14,0),0)</f>
        <v>0</v>
      </c>
      <c r="Q210" s="9">
        <f>IFERROR(VLOOKUP(B210,cubo!$A$6:$BK$37,58,0)-VLOOKUP(conciliacao_custos!B210,#REF!,16,0),0)</f>
        <v>0</v>
      </c>
      <c r="R210" s="9">
        <f>IFERROR(VLOOKUP(B210,cubo!$A$6:$BK$37,64,0)-VLOOKUP(conciliacao_custos!B210,#REF!,17,0),0)</f>
        <v>0</v>
      </c>
      <c r="S210" s="9">
        <f>IFERROR(VLOOKUP(B210,cubo!$A$6:$BK$37,61,0)-VLOOKUP(conciliacao_custos!B210,#REF!,15,0),0)</f>
        <v>0</v>
      </c>
    </row>
    <row r="211" spans="2:19" x14ac:dyDescent="0.25">
      <c r="B211" s="7">
        <f>[1]salario!A210</f>
        <v>0</v>
      </c>
      <c r="C211" s="14">
        <f>[1]salario!C210</f>
        <v>0</v>
      </c>
      <c r="D211" s="10">
        <f>IFERROR(VLOOKUP(B211,cubo!$A$6:$BE$37,6,0)-VLOOKUP(B211,#REF!,$D$2,0),0)</f>
        <v>0</v>
      </c>
      <c r="E211" s="10">
        <f>IFERROR(VLOOKUP(B211,cubo!$A$6:$BE$37,9,0)-VLOOKUP(B211,#REF!,$E$2,0),0)</f>
        <v>0</v>
      </c>
      <c r="F211" s="9">
        <f>IFERROR(VLOOKUP(B211,cubo!$A$6:$BE$37,12,0)-VLOOKUP(B211,#REF!,$F$2,0),0)</f>
        <v>0</v>
      </c>
      <c r="G211" s="9">
        <f>IFERROR(VLOOKUP(B211,cubo!$A$6:$BE$37,54,0)-VLOOKUP(B211,#REF!,$G$2,0),0)</f>
        <v>0</v>
      </c>
      <c r="H211" s="10">
        <f>IFERROR(VLOOKUP(B211,cubo!$A$6:$BE$37,15,0)-VLOOKUP(B211,#REF!,$H$2,0),0)</f>
        <v>0</v>
      </c>
      <c r="I211" s="9">
        <f>IFERROR(VLOOKUP(B211,cubo!$A$6:$BE$37,18,0)-VLOOKUP(B211,#REF!,$I$2,0),0)</f>
        <v>0</v>
      </c>
      <c r="J211" s="9">
        <f>IFERROR(VLOOKUP(B211,cubo!$A$6:$BE$37,24,0)-VLOOKUP(B211,#REF!,$J$2,0),0)</f>
        <v>0</v>
      </c>
      <c r="K211" s="9">
        <f>IFERROR(VLOOKUP(B211,cubo!$A$6:$BE$37,34,0)-VLOOKUP(B211,#REF!,$K$2,0),0)</f>
        <v>0</v>
      </c>
      <c r="L211" s="8">
        <f>IFERROR(VLOOKUP(B211,cubo!$A$6:$BE$37,38,0)-VLOOKUP(B211,#REF!,$L$2,0),0)</f>
        <v>0</v>
      </c>
      <c r="M211" s="15">
        <f>IFERROR(VLOOKUP(B211,cubo!$A$6:$BE$37,57,0)-VLOOKUP(B211,#REF!,$M$2,0),0)</f>
        <v>0</v>
      </c>
      <c r="N211" s="9">
        <f>IFERROR(VLOOKUP(B211,cubo!$A$6:$BK$37,41,0)-VLOOKUP(conciliacao_custos!B211,#REF!,18,0),0)</f>
        <v>0</v>
      </c>
      <c r="O211" s="9">
        <f>IFERROR(VLOOKUP(B211,cubo!$A$6:$BK$37,44,0)-VLOOKUP(conciliacao_custos!B211,#REF!,13,0),0)</f>
        <v>0</v>
      </c>
      <c r="P211" s="9">
        <f>IFERROR(VLOOKUP(B211,cubo!$A$6:$BK$37,47,0)-VLOOKUP(conciliacao_custos!B211,#REF!,14,0),0)</f>
        <v>0</v>
      </c>
      <c r="Q211" s="9">
        <f>IFERROR(VLOOKUP(B211,cubo!$A$6:$BK$37,58,0)-VLOOKUP(conciliacao_custos!B211,#REF!,16,0),0)</f>
        <v>0</v>
      </c>
      <c r="R211" s="9">
        <f>IFERROR(VLOOKUP(B211,cubo!$A$6:$BK$37,64,0)-VLOOKUP(conciliacao_custos!B211,#REF!,17,0),0)</f>
        <v>0</v>
      </c>
      <c r="S211" s="9">
        <f>IFERROR(VLOOKUP(B211,cubo!$A$6:$BK$37,61,0)-VLOOKUP(conciliacao_custos!B211,#REF!,15,0),0)</f>
        <v>0</v>
      </c>
    </row>
    <row r="212" spans="2:19" x14ac:dyDescent="0.25">
      <c r="B212" s="7">
        <f>[1]salario!A211</f>
        <v>0</v>
      </c>
      <c r="C212" s="14">
        <f>[1]salario!C211</f>
        <v>0</v>
      </c>
      <c r="D212" s="10">
        <f>IFERROR(VLOOKUP(B212,cubo!$A$6:$BE$37,6,0)-VLOOKUP(B212,#REF!,$D$2,0),0)</f>
        <v>0</v>
      </c>
      <c r="E212" s="10">
        <f>IFERROR(VLOOKUP(B212,cubo!$A$6:$BE$37,9,0)-VLOOKUP(B212,#REF!,$E$2,0),0)</f>
        <v>0</v>
      </c>
      <c r="F212" s="9">
        <f>IFERROR(VLOOKUP(B212,cubo!$A$6:$BE$37,12,0)-VLOOKUP(B212,#REF!,$F$2,0),0)</f>
        <v>0</v>
      </c>
      <c r="G212" s="9">
        <f>IFERROR(VLOOKUP(B212,cubo!$A$6:$BE$37,54,0)-VLOOKUP(B212,#REF!,$G$2,0),0)</f>
        <v>0</v>
      </c>
      <c r="H212" s="10">
        <f>IFERROR(VLOOKUP(B212,cubo!$A$6:$BE$37,15,0)-VLOOKUP(B212,#REF!,$H$2,0),0)</f>
        <v>0</v>
      </c>
      <c r="I212" s="9">
        <f>IFERROR(VLOOKUP(B212,cubo!$A$6:$BE$37,18,0)-VLOOKUP(B212,#REF!,$I$2,0),0)</f>
        <v>0</v>
      </c>
      <c r="J212" s="9">
        <f>IFERROR(VLOOKUP(B212,cubo!$A$6:$BE$37,24,0)-VLOOKUP(B212,#REF!,$J$2,0),0)</f>
        <v>0</v>
      </c>
      <c r="K212" s="9">
        <f>IFERROR(VLOOKUP(B212,cubo!$A$6:$BE$37,34,0)-VLOOKUP(B212,#REF!,$K$2,0),0)</f>
        <v>0</v>
      </c>
      <c r="L212" s="8">
        <f>IFERROR(VLOOKUP(B212,cubo!$A$6:$BE$37,38,0)-VLOOKUP(B212,#REF!,$L$2,0),0)</f>
        <v>0</v>
      </c>
      <c r="M212" s="15">
        <f>IFERROR(VLOOKUP(B212,cubo!$A$6:$BE$37,57,0)-VLOOKUP(B212,#REF!,$M$2,0),0)</f>
        <v>0</v>
      </c>
      <c r="N212" s="9">
        <f>IFERROR(VLOOKUP(B212,cubo!$A$6:$BK$37,41,0)-VLOOKUP(conciliacao_custos!B212,#REF!,18,0),0)</f>
        <v>0</v>
      </c>
      <c r="O212" s="9">
        <f>IFERROR(VLOOKUP(B212,cubo!$A$6:$BK$37,44,0)-VLOOKUP(conciliacao_custos!B212,#REF!,13,0),0)</f>
        <v>0</v>
      </c>
      <c r="P212" s="9">
        <f>IFERROR(VLOOKUP(B212,cubo!$A$6:$BK$37,47,0)-VLOOKUP(conciliacao_custos!B212,#REF!,14,0),0)</f>
        <v>0</v>
      </c>
      <c r="Q212" s="9">
        <f>IFERROR(VLOOKUP(B212,cubo!$A$6:$BK$37,58,0)-VLOOKUP(conciliacao_custos!B212,#REF!,16,0),0)</f>
        <v>0</v>
      </c>
      <c r="R212" s="9">
        <f>IFERROR(VLOOKUP(B212,cubo!$A$6:$BK$37,64,0)-VLOOKUP(conciliacao_custos!B212,#REF!,17,0),0)</f>
        <v>0</v>
      </c>
      <c r="S212" s="9">
        <f>IFERROR(VLOOKUP(B212,cubo!$A$6:$BK$37,61,0)-VLOOKUP(conciliacao_custos!B212,#REF!,15,0),0)</f>
        <v>0</v>
      </c>
    </row>
    <row r="213" spans="2:19" x14ac:dyDescent="0.25">
      <c r="B213" s="7">
        <f>[1]salario!A212</f>
        <v>0</v>
      </c>
      <c r="C213" s="14">
        <f>[1]salario!C212</f>
        <v>0</v>
      </c>
      <c r="D213" s="10">
        <f>IFERROR(VLOOKUP(B213,cubo!$A$6:$BE$37,6,0)-VLOOKUP(B213,#REF!,$D$2,0),0)</f>
        <v>0</v>
      </c>
      <c r="E213" s="10">
        <f>IFERROR(VLOOKUP(B213,cubo!$A$6:$BE$37,9,0)-VLOOKUP(B213,#REF!,$E$2,0),0)</f>
        <v>0</v>
      </c>
      <c r="F213" s="9">
        <f>IFERROR(VLOOKUP(B213,cubo!$A$6:$BE$37,12,0)-VLOOKUP(B213,#REF!,$F$2,0),0)</f>
        <v>0</v>
      </c>
      <c r="G213" s="9">
        <f>IFERROR(VLOOKUP(B213,cubo!$A$6:$BE$37,54,0)-VLOOKUP(B213,#REF!,$G$2,0),0)</f>
        <v>0</v>
      </c>
      <c r="H213" s="10">
        <f>IFERROR(VLOOKUP(B213,cubo!$A$6:$BE$37,15,0)-VLOOKUP(B213,#REF!,$H$2,0),0)</f>
        <v>0</v>
      </c>
      <c r="I213" s="9">
        <f>IFERROR(VLOOKUP(B213,cubo!$A$6:$BE$37,18,0)-VLOOKUP(B213,#REF!,$I$2,0),0)</f>
        <v>0</v>
      </c>
      <c r="J213" s="9">
        <f>IFERROR(VLOOKUP(B213,cubo!$A$6:$BE$37,24,0)-VLOOKUP(B213,#REF!,$J$2,0),0)</f>
        <v>0</v>
      </c>
      <c r="K213" s="9">
        <f>IFERROR(VLOOKUP(B213,cubo!$A$6:$BE$37,34,0)-VLOOKUP(B213,#REF!,$K$2,0),0)</f>
        <v>0</v>
      </c>
      <c r="L213" s="8">
        <f>IFERROR(VLOOKUP(B213,cubo!$A$6:$BE$37,38,0)-VLOOKUP(B213,#REF!,$L$2,0),0)</f>
        <v>0</v>
      </c>
      <c r="M213" s="15">
        <f>IFERROR(VLOOKUP(B213,cubo!$A$6:$BE$37,57,0)-VLOOKUP(B213,#REF!,$M$2,0),0)</f>
        <v>0</v>
      </c>
      <c r="N213" s="9">
        <f>IFERROR(VLOOKUP(B213,cubo!$A$6:$BK$37,41,0)-VLOOKUP(conciliacao_custos!B213,#REF!,18,0),0)</f>
        <v>0</v>
      </c>
      <c r="O213" s="9">
        <f>IFERROR(VLOOKUP(B213,cubo!$A$6:$BK$37,44,0)-VLOOKUP(conciliacao_custos!B213,#REF!,13,0),0)</f>
        <v>0</v>
      </c>
      <c r="P213" s="9">
        <f>IFERROR(VLOOKUP(B213,cubo!$A$6:$BK$37,47,0)-VLOOKUP(conciliacao_custos!B213,#REF!,14,0),0)</f>
        <v>0</v>
      </c>
      <c r="Q213" s="9">
        <f>IFERROR(VLOOKUP(B213,cubo!$A$6:$BK$37,58,0)-VLOOKUP(conciliacao_custos!B213,#REF!,16,0),0)</f>
        <v>0</v>
      </c>
      <c r="R213" s="9">
        <f>IFERROR(VLOOKUP(B213,cubo!$A$6:$BK$37,64,0)-VLOOKUP(conciliacao_custos!B213,#REF!,17,0),0)</f>
        <v>0</v>
      </c>
      <c r="S213" s="9">
        <f>IFERROR(VLOOKUP(B213,cubo!$A$6:$BK$37,61,0)-VLOOKUP(conciliacao_custos!B213,#REF!,15,0),0)</f>
        <v>0</v>
      </c>
    </row>
    <row r="214" spans="2:19" x14ac:dyDescent="0.25">
      <c r="B214" s="7">
        <f>[1]salario!A213</f>
        <v>0</v>
      </c>
      <c r="C214" s="14">
        <f>[1]salario!C213</f>
        <v>0</v>
      </c>
      <c r="D214" s="10">
        <f>IFERROR(VLOOKUP(B214,cubo!$A$6:$BE$37,6,0)-VLOOKUP(B214,#REF!,$D$2,0),0)</f>
        <v>0</v>
      </c>
      <c r="E214" s="10">
        <f>IFERROR(VLOOKUP(B214,cubo!$A$6:$BE$37,9,0)-VLOOKUP(B214,#REF!,$E$2,0),0)</f>
        <v>0</v>
      </c>
      <c r="F214" s="9">
        <f>IFERROR(VLOOKUP(B214,cubo!$A$6:$BE$37,12,0)-VLOOKUP(B214,#REF!,$F$2,0),0)</f>
        <v>0</v>
      </c>
      <c r="G214" s="9">
        <f>IFERROR(VLOOKUP(B214,cubo!$A$6:$BE$37,54,0)-VLOOKUP(B214,#REF!,$G$2,0),0)</f>
        <v>0</v>
      </c>
      <c r="H214" s="10">
        <f>IFERROR(VLOOKUP(B214,cubo!$A$6:$BE$37,15,0)-VLOOKUP(B214,#REF!,$H$2,0),0)</f>
        <v>0</v>
      </c>
      <c r="I214" s="9">
        <f>IFERROR(VLOOKUP(B214,cubo!$A$6:$BE$37,18,0)-VLOOKUP(B214,#REF!,$I$2,0),0)</f>
        <v>0</v>
      </c>
      <c r="J214" s="9">
        <f>IFERROR(VLOOKUP(B214,cubo!$A$6:$BE$37,24,0)-VLOOKUP(B214,#REF!,$J$2,0),0)</f>
        <v>0</v>
      </c>
      <c r="K214" s="9">
        <f>IFERROR(VLOOKUP(B214,cubo!$A$6:$BE$37,34,0)-VLOOKUP(B214,#REF!,$K$2,0),0)</f>
        <v>0</v>
      </c>
      <c r="L214" s="8">
        <f>IFERROR(VLOOKUP(B214,cubo!$A$6:$BE$37,38,0)-VLOOKUP(B214,#REF!,$L$2,0),0)</f>
        <v>0</v>
      </c>
      <c r="M214" s="15">
        <f>IFERROR(VLOOKUP(B214,cubo!$A$6:$BE$37,57,0)-VLOOKUP(B214,#REF!,$M$2,0),0)</f>
        <v>0</v>
      </c>
      <c r="N214" s="9">
        <f>IFERROR(VLOOKUP(B214,cubo!$A$6:$BK$37,41,0)-VLOOKUP(conciliacao_custos!B214,#REF!,18,0),0)</f>
        <v>0</v>
      </c>
      <c r="O214" s="9">
        <f>IFERROR(VLOOKUP(B214,cubo!$A$6:$BK$37,44,0)-VLOOKUP(conciliacao_custos!B214,#REF!,13,0),0)</f>
        <v>0</v>
      </c>
      <c r="P214" s="9">
        <f>IFERROR(VLOOKUP(B214,cubo!$A$6:$BK$37,47,0)-VLOOKUP(conciliacao_custos!B214,#REF!,14,0),0)</f>
        <v>0</v>
      </c>
      <c r="Q214" s="9">
        <f>IFERROR(VLOOKUP(B214,cubo!$A$6:$BK$37,58,0)-VLOOKUP(conciliacao_custos!B214,#REF!,16,0),0)</f>
        <v>0</v>
      </c>
      <c r="R214" s="9">
        <f>IFERROR(VLOOKUP(B214,cubo!$A$6:$BK$37,64,0)-VLOOKUP(conciliacao_custos!B214,#REF!,17,0),0)</f>
        <v>0</v>
      </c>
      <c r="S214" s="9">
        <f>IFERROR(VLOOKUP(B214,cubo!$A$6:$BK$37,61,0)-VLOOKUP(conciliacao_custos!B214,#REF!,15,0),0)</f>
        <v>0</v>
      </c>
    </row>
    <row r="215" spans="2:19" x14ac:dyDescent="0.25">
      <c r="B215" s="7">
        <f>[1]salario!A214</f>
        <v>0</v>
      </c>
      <c r="C215" s="14">
        <f>[1]salario!C214</f>
        <v>0</v>
      </c>
      <c r="D215" s="10">
        <f>IFERROR(VLOOKUP(B215,cubo!$A$6:$BE$37,6,0)-VLOOKUP(B215,#REF!,$D$2,0),0)</f>
        <v>0</v>
      </c>
      <c r="E215" s="10">
        <f>IFERROR(VLOOKUP(B215,cubo!$A$6:$BE$37,9,0)-VLOOKUP(B215,#REF!,$E$2,0),0)</f>
        <v>0</v>
      </c>
      <c r="F215" s="9">
        <f>IFERROR(VLOOKUP(B215,cubo!$A$6:$BE$37,12,0)-VLOOKUP(B215,#REF!,$F$2,0),0)</f>
        <v>0</v>
      </c>
      <c r="G215" s="9">
        <f>IFERROR(VLOOKUP(B215,cubo!$A$6:$BE$37,54,0)-VLOOKUP(B215,#REF!,$G$2,0),0)</f>
        <v>0</v>
      </c>
      <c r="H215" s="10">
        <f>IFERROR(VLOOKUP(B215,cubo!$A$6:$BE$37,15,0)-VLOOKUP(B215,#REF!,$H$2,0),0)</f>
        <v>0</v>
      </c>
      <c r="I215" s="9">
        <f>IFERROR(VLOOKUP(B215,cubo!$A$6:$BE$37,18,0)-VLOOKUP(B215,#REF!,$I$2,0),0)</f>
        <v>0</v>
      </c>
      <c r="J215" s="9">
        <f>IFERROR(VLOOKUP(B215,cubo!$A$6:$BE$37,24,0)-VLOOKUP(B215,#REF!,$J$2,0),0)</f>
        <v>0</v>
      </c>
      <c r="K215" s="9">
        <f>IFERROR(VLOOKUP(B215,cubo!$A$6:$BE$37,34,0)-VLOOKUP(B215,#REF!,$K$2,0),0)</f>
        <v>0</v>
      </c>
      <c r="L215" s="8">
        <f>IFERROR(VLOOKUP(B215,cubo!$A$6:$BE$37,38,0)-VLOOKUP(B215,#REF!,$L$2,0),0)</f>
        <v>0</v>
      </c>
      <c r="M215" s="15">
        <f>IFERROR(VLOOKUP(B215,cubo!$A$6:$BE$37,57,0)-VLOOKUP(B215,#REF!,$M$2,0),0)</f>
        <v>0</v>
      </c>
      <c r="N215" s="9">
        <f>IFERROR(VLOOKUP(B215,cubo!$A$6:$BK$37,41,0)-VLOOKUP(conciliacao_custos!B215,#REF!,18,0),0)</f>
        <v>0</v>
      </c>
      <c r="O215" s="9">
        <f>IFERROR(VLOOKUP(B215,cubo!$A$6:$BK$37,44,0)-VLOOKUP(conciliacao_custos!B215,#REF!,13,0),0)</f>
        <v>0</v>
      </c>
      <c r="P215" s="9">
        <f>IFERROR(VLOOKUP(B215,cubo!$A$6:$BK$37,47,0)-VLOOKUP(conciliacao_custos!B215,#REF!,14,0),0)</f>
        <v>0</v>
      </c>
      <c r="Q215" s="9">
        <f>IFERROR(VLOOKUP(B215,cubo!$A$6:$BK$37,58,0)-VLOOKUP(conciliacao_custos!B215,#REF!,16,0),0)</f>
        <v>0</v>
      </c>
      <c r="R215" s="9">
        <f>IFERROR(VLOOKUP(B215,cubo!$A$6:$BK$37,64,0)-VLOOKUP(conciliacao_custos!B215,#REF!,17,0),0)</f>
        <v>0</v>
      </c>
      <c r="S215" s="9">
        <f>IFERROR(VLOOKUP(B215,cubo!$A$6:$BK$37,61,0)-VLOOKUP(conciliacao_custos!B215,#REF!,15,0),0)</f>
        <v>0</v>
      </c>
    </row>
    <row r="216" spans="2:19" x14ac:dyDescent="0.25">
      <c r="B216" s="7">
        <f>[1]salario!A215</f>
        <v>0</v>
      </c>
      <c r="C216" s="14">
        <f>[1]salario!C215</f>
        <v>0</v>
      </c>
      <c r="D216" s="10">
        <f>IFERROR(VLOOKUP(B216,cubo!$A$6:$BE$37,6,0)-VLOOKUP(B216,#REF!,$D$2,0),0)</f>
        <v>0</v>
      </c>
      <c r="E216" s="10">
        <f>IFERROR(VLOOKUP(B216,cubo!$A$6:$BE$37,9,0)-VLOOKUP(B216,#REF!,$E$2,0),0)</f>
        <v>0</v>
      </c>
      <c r="F216" s="9">
        <f>IFERROR(VLOOKUP(B216,cubo!$A$6:$BE$37,12,0)-VLOOKUP(B216,#REF!,$F$2,0),0)</f>
        <v>0</v>
      </c>
      <c r="G216" s="9">
        <f>IFERROR(VLOOKUP(B216,cubo!$A$6:$BE$37,54,0)-VLOOKUP(B216,#REF!,$G$2,0),0)</f>
        <v>0</v>
      </c>
      <c r="H216" s="10">
        <f>IFERROR(VLOOKUP(B216,cubo!$A$6:$BE$37,15,0)-VLOOKUP(B216,#REF!,$H$2,0),0)</f>
        <v>0</v>
      </c>
      <c r="I216" s="9">
        <f>IFERROR(VLOOKUP(B216,cubo!$A$6:$BE$37,18,0)-VLOOKUP(B216,#REF!,$I$2,0),0)</f>
        <v>0</v>
      </c>
      <c r="J216" s="9">
        <f>IFERROR(VLOOKUP(B216,cubo!$A$6:$BE$37,24,0)-VLOOKUP(B216,#REF!,$J$2,0),0)</f>
        <v>0</v>
      </c>
      <c r="K216" s="9">
        <f>IFERROR(VLOOKUP(B216,cubo!$A$6:$BE$37,34,0)-VLOOKUP(B216,#REF!,$K$2,0),0)</f>
        <v>0</v>
      </c>
      <c r="L216" s="8">
        <f>IFERROR(VLOOKUP(B216,cubo!$A$6:$BE$37,38,0)-VLOOKUP(B216,#REF!,$L$2,0),0)</f>
        <v>0</v>
      </c>
      <c r="M216" s="15">
        <f>IFERROR(VLOOKUP(B216,cubo!$A$6:$BE$37,57,0)-VLOOKUP(B216,#REF!,$M$2,0),0)</f>
        <v>0</v>
      </c>
      <c r="N216" s="9">
        <f>IFERROR(VLOOKUP(B216,cubo!$A$6:$BK$37,41,0)-VLOOKUP(conciliacao_custos!B216,#REF!,18,0),0)</f>
        <v>0</v>
      </c>
      <c r="O216" s="9">
        <f>IFERROR(VLOOKUP(B216,cubo!$A$6:$BK$37,44,0)-VLOOKUP(conciliacao_custos!B216,#REF!,13,0),0)</f>
        <v>0</v>
      </c>
      <c r="P216" s="9">
        <f>IFERROR(VLOOKUP(B216,cubo!$A$6:$BK$37,47,0)-VLOOKUP(conciliacao_custos!B216,#REF!,14,0),0)</f>
        <v>0</v>
      </c>
      <c r="Q216" s="9">
        <f>IFERROR(VLOOKUP(B216,cubo!$A$6:$BK$37,58,0)-VLOOKUP(conciliacao_custos!B216,#REF!,16,0),0)</f>
        <v>0</v>
      </c>
      <c r="R216" s="9">
        <f>IFERROR(VLOOKUP(B216,cubo!$A$6:$BK$37,64,0)-VLOOKUP(conciliacao_custos!B216,#REF!,17,0),0)</f>
        <v>0</v>
      </c>
      <c r="S216" s="9">
        <f>IFERROR(VLOOKUP(B216,cubo!$A$6:$BK$37,61,0)-VLOOKUP(conciliacao_custos!B216,#REF!,15,0),0)</f>
        <v>0</v>
      </c>
    </row>
    <row r="217" spans="2:19" x14ac:dyDescent="0.25">
      <c r="B217" s="7">
        <f>[1]salario!A216</f>
        <v>0</v>
      </c>
      <c r="C217" s="14">
        <f>[1]salario!C216</f>
        <v>0</v>
      </c>
      <c r="D217" s="10">
        <f>IFERROR(VLOOKUP(B217,cubo!$A$6:$BE$37,6,0)-VLOOKUP(B217,#REF!,$D$2,0),0)</f>
        <v>0</v>
      </c>
      <c r="E217" s="10">
        <f>IFERROR(VLOOKUP(B217,cubo!$A$6:$BE$37,9,0)-VLOOKUP(B217,#REF!,$E$2,0),0)</f>
        <v>0</v>
      </c>
      <c r="F217" s="9">
        <f>IFERROR(VLOOKUP(B217,cubo!$A$6:$BE$37,12,0)-VLOOKUP(B217,#REF!,$F$2,0),0)</f>
        <v>0</v>
      </c>
      <c r="G217" s="9">
        <f>IFERROR(VLOOKUP(B217,cubo!$A$6:$BE$37,54,0)-VLOOKUP(B217,#REF!,$G$2,0),0)</f>
        <v>0</v>
      </c>
      <c r="H217" s="10">
        <f>IFERROR(VLOOKUP(B217,cubo!$A$6:$BE$37,15,0)-VLOOKUP(B217,#REF!,$H$2,0),0)</f>
        <v>0</v>
      </c>
      <c r="I217" s="9">
        <f>IFERROR(VLOOKUP(B217,cubo!$A$6:$BE$37,18,0)-VLOOKUP(B217,#REF!,$I$2,0),0)</f>
        <v>0</v>
      </c>
      <c r="J217" s="9">
        <f>IFERROR(VLOOKUP(B217,cubo!$A$6:$BE$37,24,0)-VLOOKUP(B217,#REF!,$J$2,0),0)</f>
        <v>0</v>
      </c>
      <c r="K217" s="9">
        <f>IFERROR(VLOOKUP(B217,cubo!$A$6:$BE$37,34,0)-VLOOKUP(B217,#REF!,$K$2,0),0)</f>
        <v>0</v>
      </c>
      <c r="L217" s="8">
        <f>IFERROR(VLOOKUP(B217,cubo!$A$6:$BE$37,38,0)-VLOOKUP(B217,#REF!,$L$2,0),0)</f>
        <v>0</v>
      </c>
      <c r="M217" s="15">
        <f>IFERROR(VLOOKUP(B217,cubo!$A$6:$BE$37,57,0)-VLOOKUP(B217,#REF!,$M$2,0),0)</f>
        <v>0</v>
      </c>
      <c r="N217" s="9">
        <f>IFERROR(VLOOKUP(B217,cubo!$A$6:$BK$37,41,0)-VLOOKUP(conciliacao_custos!B217,#REF!,18,0),0)</f>
        <v>0</v>
      </c>
      <c r="O217" s="9">
        <f>IFERROR(VLOOKUP(B217,cubo!$A$6:$BK$37,44,0)-VLOOKUP(conciliacao_custos!B217,#REF!,13,0),0)</f>
        <v>0</v>
      </c>
      <c r="P217" s="9">
        <f>IFERROR(VLOOKUP(B217,cubo!$A$6:$BK$37,47,0)-VLOOKUP(conciliacao_custos!B217,#REF!,14,0),0)</f>
        <v>0</v>
      </c>
      <c r="Q217" s="9">
        <f>IFERROR(VLOOKUP(B217,cubo!$A$6:$BK$37,58,0)-VLOOKUP(conciliacao_custos!B217,#REF!,16,0),0)</f>
        <v>0</v>
      </c>
      <c r="R217" s="9">
        <f>IFERROR(VLOOKUP(B217,cubo!$A$6:$BK$37,64,0)-VLOOKUP(conciliacao_custos!B217,#REF!,17,0),0)</f>
        <v>0</v>
      </c>
      <c r="S217" s="9">
        <f>IFERROR(VLOOKUP(B217,cubo!$A$6:$BK$37,61,0)-VLOOKUP(conciliacao_custos!B217,#REF!,15,0),0)</f>
        <v>0</v>
      </c>
    </row>
    <row r="218" spans="2:19" x14ac:dyDescent="0.25">
      <c r="B218" s="7">
        <f>[1]salario!A217</f>
        <v>0</v>
      </c>
      <c r="C218" s="14">
        <f>[1]salario!C217</f>
        <v>0</v>
      </c>
      <c r="D218" s="10">
        <f>IFERROR(VLOOKUP(B218,cubo!$A$6:$BE$37,6,0)-VLOOKUP(B218,#REF!,$D$2,0),0)</f>
        <v>0</v>
      </c>
      <c r="E218" s="10">
        <f>IFERROR(VLOOKUP(B218,cubo!$A$6:$BE$37,9,0)-VLOOKUP(B218,#REF!,$E$2,0),0)</f>
        <v>0</v>
      </c>
      <c r="F218" s="9">
        <f>IFERROR(VLOOKUP(B218,cubo!$A$6:$BE$37,12,0)-VLOOKUP(B218,#REF!,$F$2,0),0)</f>
        <v>0</v>
      </c>
      <c r="G218" s="9">
        <f>IFERROR(VLOOKUP(B218,cubo!$A$6:$BE$37,54,0)-VLOOKUP(B218,#REF!,$G$2,0),0)</f>
        <v>0</v>
      </c>
      <c r="H218" s="10">
        <f>IFERROR(VLOOKUP(B218,cubo!$A$6:$BE$37,15,0)-VLOOKUP(B218,#REF!,$H$2,0),0)</f>
        <v>0</v>
      </c>
      <c r="I218" s="9">
        <f>IFERROR(VLOOKUP(B218,cubo!$A$6:$BE$37,18,0)-VLOOKUP(B218,#REF!,$I$2,0),0)</f>
        <v>0</v>
      </c>
      <c r="J218" s="9">
        <f>IFERROR(VLOOKUP(B218,cubo!$A$6:$BE$37,24,0)-VLOOKUP(B218,#REF!,$J$2,0),0)</f>
        <v>0</v>
      </c>
      <c r="K218" s="9">
        <f>IFERROR(VLOOKUP(B218,cubo!$A$6:$BE$37,34,0)-VLOOKUP(B218,#REF!,$K$2,0),0)</f>
        <v>0</v>
      </c>
      <c r="L218" s="8">
        <f>IFERROR(VLOOKUP(B218,cubo!$A$6:$BE$37,38,0)-VLOOKUP(B218,#REF!,$L$2,0),0)</f>
        <v>0</v>
      </c>
      <c r="M218" s="15">
        <f>IFERROR(VLOOKUP(B218,cubo!$A$6:$BE$37,57,0)-VLOOKUP(B218,#REF!,$M$2,0),0)</f>
        <v>0</v>
      </c>
      <c r="N218" s="9">
        <f>IFERROR(VLOOKUP(B218,cubo!$A$6:$BK$37,41,0)-VLOOKUP(conciliacao_custos!B218,#REF!,18,0),0)</f>
        <v>0</v>
      </c>
      <c r="O218" s="9">
        <f>IFERROR(VLOOKUP(B218,cubo!$A$6:$BK$37,44,0)-VLOOKUP(conciliacao_custos!B218,#REF!,13,0),0)</f>
        <v>0</v>
      </c>
      <c r="P218" s="9">
        <f>IFERROR(VLOOKUP(B218,cubo!$A$6:$BK$37,47,0)-VLOOKUP(conciliacao_custos!B218,#REF!,14,0),0)</f>
        <v>0</v>
      </c>
      <c r="Q218" s="9">
        <f>IFERROR(VLOOKUP(B218,cubo!$A$6:$BK$37,58,0)-VLOOKUP(conciliacao_custos!B218,#REF!,16,0),0)</f>
        <v>0</v>
      </c>
      <c r="R218" s="9">
        <f>IFERROR(VLOOKUP(B218,cubo!$A$6:$BK$37,64,0)-VLOOKUP(conciliacao_custos!B218,#REF!,17,0),0)</f>
        <v>0</v>
      </c>
      <c r="S218" s="9">
        <f>IFERROR(VLOOKUP(B218,cubo!$A$6:$BK$37,61,0)-VLOOKUP(conciliacao_custos!B218,#REF!,15,0),0)</f>
        <v>0</v>
      </c>
    </row>
    <row r="219" spans="2:19" x14ac:dyDescent="0.25">
      <c r="B219" s="7">
        <f>[1]salario!A218</f>
        <v>0</v>
      </c>
      <c r="C219" s="14">
        <f>[1]salario!C218</f>
        <v>0</v>
      </c>
      <c r="D219" s="10">
        <f>IFERROR(VLOOKUP(B219,cubo!$A$6:$BE$37,6,0)-VLOOKUP(B219,#REF!,$D$2,0),0)</f>
        <v>0</v>
      </c>
      <c r="E219" s="10">
        <f>IFERROR(VLOOKUP(B219,cubo!$A$6:$BE$37,9,0)-VLOOKUP(B219,#REF!,$E$2,0),0)</f>
        <v>0</v>
      </c>
      <c r="F219" s="9">
        <f>IFERROR(VLOOKUP(B219,cubo!$A$6:$BE$37,12,0)-VLOOKUP(B219,#REF!,$F$2,0),0)</f>
        <v>0</v>
      </c>
      <c r="G219" s="9">
        <f>IFERROR(VLOOKUP(B219,cubo!$A$6:$BE$37,54,0)-VLOOKUP(B219,#REF!,$G$2,0),0)</f>
        <v>0</v>
      </c>
      <c r="H219" s="10">
        <f>IFERROR(VLOOKUP(B219,cubo!$A$6:$BE$37,15,0)-VLOOKUP(B219,#REF!,$H$2,0),0)</f>
        <v>0</v>
      </c>
      <c r="I219" s="9">
        <f>IFERROR(VLOOKUP(B219,cubo!$A$6:$BE$37,18,0)-VLOOKUP(B219,#REF!,$I$2,0),0)</f>
        <v>0</v>
      </c>
      <c r="J219" s="9">
        <f>IFERROR(VLOOKUP(B219,cubo!$A$6:$BE$37,24,0)-VLOOKUP(B219,#REF!,$J$2,0),0)</f>
        <v>0</v>
      </c>
      <c r="K219" s="9">
        <f>IFERROR(VLOOKUP(B219,cubo!$A$6:$BE$37,34,0)-VLOOKUP(B219,#REF!,$K$2,0),0)</f>
        <v>0</v>
      </c>
      <c r="L219" s="8">
        <f>IFERROR(VLOOKUP(B219,cubo!$A$6:$BE$37,38,0)-VLOOKUP(B219,#REF!,$L$2,0),0)</f>
        <v>0</v>
      </c>
      <c r="M219" s="15">
        <f>IFERROR(VLOOKUP(B219,cubo!$A$6:$BE$37,57,0)-VLOOKUP(B219,#REF!,$M$2,0),0)</f>
        <v>0</v>
      </c>
      <c r="N219" s="9">
        <f>IFERROR(VLOOKUP(B219,cubo!$A$6:$BK$37,41,0)-VLOOKUP(conciliacao_custos!B219,#REF!,18,0),0)</f>
        <v>0</v>
      </c>
      <c r="O219" s="9">
        <f>IFERROR(VLOOKUP(B219,cubo!$A$6:$BK$37,44,0)-VLOOKUP(conciliacao_custos!B219,#REF!,13,0),0)</f>
        <v>0</v>
      </c>
      <c r="P219" s="9">
        <f>IFERROR(VLOOKUP(B219,cubo!$A$6:$BK$37,47,0)-VLOOKUP(conciliacao_custos!B219,#REF!,14,0),0)</f>
        <v>0</v>
      </c>
      <c r="Q219" s="9">
        <f>IFERROR(VLOOKUP(B219,cubo!$A$6:$BK$37,58,0)-VLOOKUP(conciliacao_custos!B219,#REF!,16,0),0)</f>
        <v>0</v>
      </c>
      <c r="R219" s="9">
        <f>IFERROR(VLOOKUP(B219,cubo!$A$6:$BK$37,64,0)-VLOOKUP(conciliacao_custos!B219,#REF!,17,0),0)</f>
        <v>0</v>
      </c>
      <c r="S219" s="9">
        <f>IFERROR(VLOOKUP(B219,cubo!$A$6:$BK$37,61,0)-VLOOKUP(conciliacao_custos!B219,#REF!,15,0),0)</f>
        <v>0</v>
      </c>
    </row>
    <row r="220" spans="2:19" x14ac:dyDescent="0.25">
      <c r="B220" s="7">
        <f>[1]salario!A219</f>
        <v>0</v>
      </c>
      <c r="C220" s="14">
        <f>[1]salario!C219</f>
        <v>0</v>
      </c>
      <c r="D220" s="10">
        <f>IFERROR(VLOOKUP(B220,cubo!$A$6:$BE$37,6,0)-VLOOKUP(B220,#REF!,$D$2,0),0)</f>
        <v>0</v>
      </c>
      <c r="E220" s="10">
        <f>IFERROR(VLOOKUP(B220,cubo!$A$6:$BE$37,9,0)-VLOOKUP(B220,#REF!,$E$2,0),0)</f>
        <v>0</v>
      </c>
      <c r="F220" s="9">
        <f>IFERROR(VLOOKUP(B220,cubo!$A$6:$BE$37,12,0)-VLOOKUP(B220,#REF!,$F$2,0),0)</f>
        <v>0</v>
      </c>
      <c r="G220" s="9">
        <f>IFERROR(VLOOKUP(B220,cubo!$A$6:$BE$37,54,0)-VLOOKUP(B220,#REF!,$G$2,0),0)</f>
        <v>0</v>
      </c>
      <c r="H220" s="10">
        <f>IFERROR(VLOOKUP(B220,cubo!$A$6:$BE$37,15,0)-VLOOKUP(B220,#REF!,$H$2,0),0)</f>
        <v>0</v>
      </c>
      <c r="I220" s="9">
        <f>IFERROR(VLOOKUP(B220,cubo!$A$6:$BE$37,18,0)-VLOOKUP(B220,#REF!,$I$2,0),0)</f>
        <v>0</v>
      </c>
      <c r="J220" s="9">
        <f>IFERROR(VLOOKUP(B220,cubo!$A$6:$BE$37,24,0)-VLOOKUP(B220,#REF!,$J$2,0),0)</f>
        <v>0</v>
      </c>
      <c r="K220" s="9">
        <f>IFERROR(VLOOKUP(B220,cubo!$A$6:$BE$37,34,0)-VLOOKUP(B220,#REF!,$K$2,0),0)</f>
        <v>0</v>
      </c>
      <c r="L220" s="8">
        <f>IFERROR(VLOOKUP(B220,cubo!$A$6:$BE$37,38,0)-VLOOKUP(B220,#REF!,$L$2,0),0)</f>
        <v>0</v>
      </c>
      <c r="M220" s="15">
        <f>IFERROR(VLOOKUP(B220,cubo!$A$6:$BE$37,57,0)-VLOOKUP(B220,#REF!,$M$2,0),0)</f>
        <v>0</v>
      </c>
      <c r="N220" s="9">
        <f>IFERROR(VLOOKUP(B220,cubo!$A$6:$BK$37,41,0)-VLOOKUP(conciliacao_custos!B220,#REF!,18,0),0)</f>
        <v>0</v>
      </c>
      <c r="O220" s="9">
        <f>IFERROR(VLOOKUP(B220,cubo!$A$6:$BK$37,44,0)-VLOOKUP(conciliacao_custos!B220,#REF!,13,0),0)</f>
        <v>0</v>
      </c>
      <c r="P220" s="9">
        <f>IFERROR(VLOOKUP(B220,cubo!$A$6:$BK$37,47,0)-VLOOKUP(conciliacao_custos!B220,#REF!,14,0),0)</f>
        <v>0</v>
      </c>
      <c r="Q220" s="9">
        <f>IFERROR(VLOOKUP(B220,cubo!$A$6:$BK$37,58,0)-VLOOKUP(conciliacao_custos!B220,#REF!,16,0),0)</f>
        <v>0</v>
      </c>
      <c r="R220" s="9">
        <f>IFERROR(VLOOKUP(B220,cubo!$A$6:$BK$37,64,0)-VLOOKUP(conciliacao_custos!B220,#REF!,17,0),0)</f>
        <v>0</v>
      </c>
      <c r="S220" s="9">
        <f>IFERROR(VLOOKUP(B220,cubo!$A$6:$BK$37,61,0)-VLOOKUP(conciliacao_custos!B220,#REF!,15,0),0)</f>
        <v>0</v>
      </c>
    </row>
    <row r="221" spans="2:19" x14ac:dyDescent="0.25">
      <c r="B221" s="7">
        <f>[1]salario!A220</f>
        <v>0</v>
      </c>
      <c r="C221" s="14">
        <f>[1]salario!C220</f>
        <v>0</v>
      </c>
      <c r="D221" s="10">
        <f>IFERROR(VLOOKUP(B221,cubo!$A$6:$BE$37,6,0)-VLOOKUP(B221,#REF!,$D$2,0),0)</f>
        <v>0</v>
      </c>
      <c r="E221" s="10">
        <f>IFERROR(VLOOKUP(B221,cubo!$A$6:$BE$37,9,0)-VLOOKUP(B221,#REF!,$E$2,0),0)</f>
        <v>0</v>
      </c>
      <c r="F221" s="9">
        <f>IFERROR(VLOOKUP(B221,cubo!$A$6:$BE$37,12,0)-VLOOKUP(B221,#REF!,$F$2,0),0)</f>
        <v>0</v>
      </c>
      <c r="G221" s="9">
        <f>IFERROR(VLOOKUP(B221,cubo!$A$6:$BE$37,54,0)-VLOOKUP(B221,#REF!,$G$2,0),0)</f>
        <v>0</v>
      </c>
      <c r="H221" s="10">
        <f>IFERROR(VLOOKUP(B221,cubo!$A$6:$BE$37,15,0)-VLOOKUP(B221,#REF!,$H$2,0),0)</f>
        <v>0</v>
      </c>
      <c r="I221" s="9">
        <f>IFERROR(VLOOKUP(B221,cubo!$A$6:$BE$37,18,0)-VLOOKUP(B221,#REF!,$I$2,0),0)</f>
        <v>0</v>
      </c>
      <c r="J221" s="9">
        <f>IFERROR(VLOOKUP(B221,cubo!$A$6:$BE$37,24,0)-VLOOKUP(B221,#REF!,$J$2,0),0)</f>
        <v>0</v>
      </c>
      <c r="K221" s="9">
        <f>IFERROR(VLOOKUP(B221,cubo!$A$6:$BE$37,34,0)-VLOOKUP(B221,#REF!,$K$2,0),0)</f>
        <v>0</v>
      </c>
      <c r="L221" s="8">
        <f>IFERROR(VLOOKUP(B221,cubo!$A$6:$BE$37,38,0)-VLOOKUP(B221,#REF!,$L$2,0),0)</f>
        <v>0</v>
      </c>
      <c r="M221" s="15">
        <f>IFERROR(VLOOKUP(B221,cubo!$A$6:$BE$37,57,0)-VLOOKUP(B221,#REF!,$M$2,0),0)</f>
        <v>0</v>
      </c>
      <c r="N221" s="9">
        <f>IFERROR(VLOOKUP(B221,cubo!$A$6:$BK$37,41,0)-VLOOKUP(conciliacao_custos!B221,#REF!,18,0),0)</f>
        <v>0</v>
      </c>
      <c r="O221" s="9">
        <f>IFERROR(VLOOKUP(B221,cubo!$A$6:$BK$37,44,0)-VLOOKUP(conciliacao_custos!B221,#REF!,13,0),0)</f>
        <v>0</v>
      </c>
      <c r="P221" s="9">
        <f>IFERROR(VLOOKUP(B221,cubo!$A$6:$BK$37,47,0)-VLOOKUP(conciliacao_custos!B221,#REF!,14,0),0)</f>
        <v>0</v>
      </c>
      <c r="Q221" s="9">
        <f>IFERROR(VLOOKUP(B221,cubo!$A$6:$BK$37,58,0)-VLOOKUP(conciliacao_custos!B221,#REF!,16,0),0)</f>
        <v>0</v>
      </c>
      <c r="R221" s="9">
        <f>IFERROR(VLOOKUP(B221,cubo!$A$6:$BK$37,64,0)-VLOOKUP(conciliacao_custos!B221,#REF!,17,0),0)</f>
        <v>0</v>
      </c>
      <c r="S221" s="9">
        <f>IFERROR(VLOOKUP(B221,cubo!$A$6:$BK$37,61,0)-VLOOKUP(conciliacao_custos!B221,#REF!,15,0),0)</f>
        <v>0</v>
      </c>
    </row>
    <row r="222" spans="2:19" x14ac:dyDescent="0.25">
      <c r="B222" s="7">
        <f>[1]salario!A221</f>
        <v>0</v>
      </c>
      <c r="C222" s="14">
        <f>[1]salario!C221</f>
        <v>0</v>
      </c>
      <c r="D222" s="10">
        <f>IFERROR(VLOOKUP(B222,cubo!$A$6:$BE$37,6,0)-VLOOKUP(B222,#REF!,$D$2,0),0)</f>
        <v>0</v>
      </c>
      <c r="E222" s="10">
        <f>IFERROR(VLOOKUP(B222,cubo!$A$6:$BE$37,9,0)-VLOOKUP(B222,#REF!,$E$2,0),0)</f>
        <v>0</v>
      </c>
      <c r="F222" s="9">
        <f>IFERROR(VLOOKUP(B222,cubo!$A$6:$BE$37,12,0)-VLOOKUP(B222,#REF!,$F$2,0),0)</f>
        <v>0</v>
      </c>
      <c r="G222" s="9">
        <f>IFERROR(VLOOKUP(B222,cubo!$A$6:$BE$37,54,0)-VLOOKUP(B222,#REF!,$G$2,0),0)</f>
        <v>0</v>
      </c>
      <c r="H222" s="10">
        <f>IFERROR(VLOOKUP(B222,cubo!$A$6:$BE$37,15,0)-VLOOKUP(B222,#REF!,$H$2,0),0)</f>
        <v>0</v>
      </c>
      <c r="I222" s="9">
        <f>IFERROR(VLOOKUP(B222,cubo!$A$6:$BE$37,18,0)-VLOOKUP(B222,#REF!,$I$2,0),0)</f>
        <v>0</v>
      </c>
      <c r="J222" s="9">
        <f>IFERROR(VLOOKUP(B222,cubo!$A$6:$BE$37,24,0)-VLOOKUP(B222,#REF!,$J$2,0),0)</f>
        <v>0</v>
      </c>
      <c r="K222" s="9">
        <f>IFERROR(VLOOKUP(B222,cubo!$A$6:$BE$37,34,0)-VLOOKUP(B222,#REF!,$K$2,0),0)</f>
        <v>0</v>
      </c>
      <c r="L222" s="8">
        <f>IFERROR(VLOOKUP(B222,cubo!$A$6:$BE$37,38,0)-VLOOKUP(B222,#REF!,$L$2,0),0)</f>
        <v>0</v>
      </c>
      <c r="M222" s="15">
        <f>IFERROR(VLOOKUP(B222,cubo!$A$6:$BE$37,57,0)-VLOOKUP(B222,#REF!,$M$2,0),0)</f>
        <v>0</v>
      </c>
      <c r="N222" s="9">
        <f>IFERROR(VLOOKUP(B222,cubo!$A$6:$BK$37,41,0)-VLOOKUP(conciliacao_custos!B222,#REF!,18,0),0)</f>
        <v>0</v>
      </c>
      <c r="O222" s="9">
        <f>IFERROR(VLOOKUP(B222,cubo!$A$6:$BK$37,44,0)-VLOOKUP(conciliacao_custos!B222,#REF!,13,0),0)</f>
        <v>0</v>
      </c>
      <c r="P222" s="9">
        <f>IFERROR(VLOOKUP(B222,cubo!$A$6:$BK$37,47,0)-VLOOKUP(conciliacao_custos!B222,#REF!,14,0),0)</f>
        <v>0</v>
      </c>
      <c r="Q222" s="9">
        <f>IFERROR(VLOOKUP(B222,cubo!$A$6:$BK$37,58,0)-VLOOKUP(conciliacao_custos!B222,#REF!,16,0),0)</f>
        <v>0</v>
      </c>
      <c r="R222" s="9">
        <f>IFERROR(VLOOKUP(B222,cubo!$A$6:$BK$37,64,0)-VLOOKUP(conciliacao_custos!B222,#REF!,17,0),0)</f>
        <v>0</v>
      </c>
      <c r="S222" s="9">
        <f>IFERROR(VLOOKUP(B222,cubo!$A$6:$BK$37,61,0)-VLOOKUP(conciliacao_custos!B222,#REF!,15,0),0)</f>
        <v>0</v>
      </c>
    </row>
    <row r="223" spans="2:19" x14ac:dyDescent="0.25">
      <c r="B223" s="7">
        <f>[1]salario!A222</f>
        <v>0</v>
      </c>
      <c r="C223" s="8">
        <f>[1]salario!C222</f>
        <v>0</v>
      </c>
      <c r="D223" s="10">
        <f>IFERROR(VLOOKUP(B223,cubo!$A$6:$BE$37,6,0)-VLOOKUP(B223,#REF!,$D$2,0),0)</f>
        <v>0</v>
      </c>
      <c r="E223" s="10">
        <f>IFERROR(VLOOKUP(B223,cubo!$A$6:$BE$37,9,0)-VLOOKUP(B223,#REF!,$E$2,0),0)</f>
        <v>0</v>
      </c>
      <c r="F223" s="9">
        <f>IFERROR(VLOOKUP(B223,cubo!$A$6:$BE$37,12,0)-VLOOKUP(B223,#REF!,$F$2,0),0)</f>
        <v>0</v>
      </c>
      <c r="G223" s="9">
        <f>IFERROR(VLOOKUP(B223,cubo!$A$6:$BE$37,54,0)-VLOOKUP(B223,#REF!,$G$2,0),0)</f>
        <v>0</v>
      </c>
      <c r="H223" s="10">
        <f>IFERROR(VLOOKUP(B223,cubo!$A$6:$BE$37,15,0)-VLOOKUP(B223,#REF!,$H$2,0),0)</f>
        <v>0</v>
      </c>
      <c r="I223" s="9">
        <f>IFERROR(VLOOKUP(B223,cubo!$A$6:$BE$37,18,0)-VLOOKUP(B223,#REF!,$I$2,0),0)</f>
        <v>0</v>
      </c>
      <c r="J223" s="9">
        <f>IFERROR(VLOOKUP(B223,cubo!$A$6:$BE$37,24,0)-VLOOKUP(B223,#REF!,$J$2,0),0)</f>
        <v>0</v>
      </c>
      <c r="K223" s="9">
        <f>IFERROR(VLOOKUP(B223,cubo!$A$6:$BE$37,34,0)-VLOOKUP(B223,#REF!,$K$2,0),0)</f>
        <v>0</v>
      </c>
      <c r="L223" s="8">
        <f>IFERROR(VLOOKUP(B223,cubo!$A$6:$BE$37,38,0)-VLOOKUP(B223,#REF!,$L$2,0),0)</f>
        <v>0</v>
      </c>
      <c r="M223" s="15">
        <f>IFERROR(VLOOKUP(B223,cubo!$A$6:$BE$37,57,0)-VLOOKUP(B223,#REF!,$M$2,0),0)</f>
        <v>0</v>
      </c>
      <c r="N223" s="9">
        <f>IFERROR(VLOOKUP(B223,cubo!$A$6:$BK$37,41,0)-VLOOKUP(conciliacao_custos!B223,#REF!,18,0),0)</f>
        <v>0</v>
      </c>
      <c r="O223" s="9">
        <f>IFERROR(VLOOKUP(B223,cubo!$A$6:$BK$37,44,0)-VLOOKUP(conciliacao_custos!B223,#REF!,13,0),0)</f>
        <v>0</v>
      </c>
      <c r="P223" s="9">
        <f>IFERROR(VLOOKUP(B223,cubo!$A$6:$BK$37,47,0)-VLOOKUP(conciliacao_custos!B223,#REF!,14,0),0)</f>
        <v>0</v>
      </c>
      <c r="Q223" s="9">
        <f>IFERROR(VLOOKUP(B223,cubo!$A$6:$BK$37,58,0)-VLOOKUP(conciliacao_custos!B223,#REF!,16,0),0)</f>
        <v>0</v>
      </c>
      <c r="R223" s="9">
        <f>IFERROR(VLOOKUP(B223,cubo!$A$6:$BK$37,64,0)-VLOOKUP(conciliacao_custos!B223,#REF!,17,0),0)</f>
        <v>0</v>
      </c>
      <c r="S223" s="9">
        <f>IFERROR(VLOOKUP(B223,cubo!$A$6:$BK$37,61,0)-VLOOKUP(conciliacao_custos!B223,#REF!,15,0),0)</f>
        <v>0</v>
      </c>
    </row>
    <row r="224" spans="2:19" x14ac:dyDescent="0.25">
      <c r="B224" s="7">
        <f>[1]salario!A223</f>
        <v>0</v>
      </c>
      <c r="C224" s="8">
        <f>[1]salario!C223</f>
        <v>0</v>
      </c>
      <c r="D224" s="10">
        <f>IFERROR(VLOOKUP(B224,cubo!$A$6:$BE$37,6,0)-VLOOKUP(B224,#REF!,$D$2,0),0)</f>
        <v>0</v>
      </c>
      <c r="E224" s="10">
        <f>IFERROR(VLOOKUP(B224,cubo!$A$6:$BE$37,9,0)-VLOOKUP(B224,#REF!,$E$2,0),0)</f>
        <v>0</v>
      </c>
      <c r="F224" s="9">
        <f>IFERROR(VLOOKUP(B224,cubo!$A$6:$BE$37,12,0)-VLOOKUP(B224,#REF!,$F$2,0),0)</f>
        <v>0</v>
      </c>
      <c r="G224" s="9">
        <f>IFERROR(VLOOKUP(B224,cubo!$A$6:$BE$37,54,0)-VLOOKUP(B224,#REF!,$G$2,0),0)</f>
        <v>0</v>
      </c>
      <c r="H224" s="10">
        <f>IFERROR(VLOOKUP(B224,cubo!$A$6:$BE$37,15,0)-VLOOKUP(B224,#REF!,$H$2,0),0)</f>
        <v>0</v>
      </c>
      <c r="I224" s="9">
        <f>IFERROR(VLOOKUP(B224,cubo!$A$6:$BE$37,18,0)-VLOOKUP(B224,#REF!,$I$2,0),0)</f>
        <v>0</v>
      </c>
      <c r="J224" s="9">
        <f>IFERROR(VLOOKUP(B224,cubo!$A$6:$BE$37,24,0)-VLOOKUP(B224,#REF!,$J$2,0),0)</f>
        <v>0</v>
      </c>
      <c r="K224" s="9">
        <f>IFERROR(VLOOKUP(B224,cubo!$A$6:$BE$37,34,0)-VLOOKUP(B224,#REF!,$K$2,0),0)</f>
        <v>0</v>
      </c>
      <c r="L224" s="8">
        <f>IFERROR(VLOOKUP(B224,cubo!$A$6:$BE$37,38,0)-VLOOKUP(B224,#REF!,$L$2,0),0)</f>
        <v>0</v>
      </c>
      <c r="M224" s="15">
        <f>IFERROR(VLOOKUP(B224,cubo!$A$6:$BE$37,57,0)-VLOOKUP(B224,#REF!,$M$2,0),0)</f>
        <v>0</v>
      </c>
      <c r="N224" s="9">
        <f>IFERROR(VLOOKUP(B224,cubo!$A$6:$BK$37,41,0)-VLOOKUP(conciliacao_custos!B224,#REF!,18,0),0)</f>
        <v>0</v>
      </c>
      <c r="O224" s="9">
        <f>IFERROR(VLOOKUP(B224,cubo!$A$6:$BK$37,44,0)-VLOOKUP(conciliacao_custos!B224,#REF!,13,0),0)</f>
        <v>0</v>
      </c>
      <c r="P224" s="9">
        <f>IFERROR(VLOOKUP(B224,cubo!$A$6:$BK$37,47,0)-VLOOKUP(conciliacao_custos!B224,#REF!,14,0),0)</f>
        <v>0</v>
      </c>
      <c r="Q224" s="9">
        <f>IFERROR(VLOOKUP(B224,cubo!$A$6:$BK$37,58,0)-VLOOKUP(conciliacao_custos!B224,#REF!,16,0),0)</f>
        <v>0</v>
      </c>
      <c r="R224" s="9">
        <f>IFERROR(VLOOKUP(B224,cubo!$A$6:$BK$37,64,0)-VLOOKUP(conciliacao_custos!B224,#REF!,17,0),0)</f>
        <v>0</v>
      </c>
      <c r="S224" s="9">
        <f>IFERROR(VLOOKUP(B224,cubo!$A$6:$BK$37,61,0)-VLOOKUP(conciliacao_custos!B224,#REF!,15,0),0)</f>
        <v>0</v>
      </c>
    </row>
    <row r="225" spans="2:19" x14ac:dyDescent="0.25">
      <c r="B225" s="7">
        <f>[1]salario!A224</f>
        <v>0</v>
      </c>
      <c r="C225" s="8">
        <f>[1]salario!C224</f>
        <v>0</v>
      </c>
      <c r="D225" s="10">
        <f>IFERROR(VLOOKUP(B225,cubo!$A$6:$BE$37,6,0)-VLOOKUP(B225,#REF!,$D$2,0),0)</f>
        <v>0</v>
      </c>
      <c r="E225" s="10">
        <f>IFERROR(VLOOKUP(B225,cubo!$A$6:$BE$37,9,0)-VLOOKUP(B225,#REF!,$E$2,0),0)</f>
        <v>0</v>
      </c>
      <c r="F225" s="9">
        <f>IFERROR(VLOOKUP(B225,cubo!$A$6:$BE$37,12,0)-VLOOKUP(B225,#REF!,$F$2,0),0)</f>
        <v>0</v>
      </c>
      <c r="G225" s="9">
        <f>IFERROR(VLOOKUP(B225,cubo!$A$6:$BE$37,54,0)-VLOOKUP(B225,#REF!,$G$2,0),0)</f>
        <v>0</v>
      </c>
      <c r="H225" s="10">
        <f>IFERROR(VLOOKUP(B225,cubo!$A$6:$BE$37,15,0)-VLOOKUP(B225,#REF!,$H$2,0),0)</f>
        <v>0</v>
      </c>
      <c r="I225" s="9">
        <f>IFERROR(VLOOKUP(B225,cubo!$A$6:$BE$37,18,0)-VLOOKUP(B225,#REF!,$I$2,0),0)</f>
        <v>0</v>
      </c>
      <c r="J225" s="9">
        <f>IFERROR(VLOOKUP(B225,cubo!$A$6:$BE$37,24,0)-VLOOKUP(B225,#REF!,$J$2,0),0)</f>
        <v>0</v>
      </c>
      <c r="K225" s="9">
        <f>IFERROR(VLOOKUP(B225,cubo!$A$6:$BE$37,34,0)-VLOOKUP(B225,#REF!,$K$2,0),0)</f>
        <v>0</v>
      </c>
      <c r="L225" s="8">
        <f>IFERROR(VLOOKUP(B225,cubo!$A$6:$BE$37,38,0)-VLOOKUP(B225,#REF!,$L$2,0),0)</f>
        <v>0</v>
      </c>
      <c r="M225" s="15">
        <f>IFERROR(VLOOKUP(B225,cubo!$A$6:$BE$37,57,0)-VLOOKUP(B225,#REF!,$M$2,0),0)</f>
        <v>0</v>
      </c>
      <c r="N225" s="9">
        <f>IFERROR(VLOOKUP(B225,cubo!$A$6:$BK$37,41,0)-VLOOKUP(conciliacao_custos!B225,#REF!,18,0),0)</f>
        <v>0</v>
      </c>
      <c r="O225" s="9">
        <f>IFERROR(VLOOKUP(B225,cubo!$A$6:$BK$37,44,0)-VLOOKUP(conciliacao_custos!B225,#REF!,13,0),0)</f>
        <v>0</v>
      </c>
      <c r="P225" s="9">
        <f>IFERROR(VLOOKUP(B225,cubo!$A$6:$BK$37,47,0)-VLOOKUP(conciliacao_custos!B225,#REF!,14,0),0)</f>
        <v>0</v>
      </c>
      <c r="Q225" s="9">
        <f>IFERROR(VLOOKUP(B225,cubo!$A$6:$BK$37,58,0)-VLOOKUP(conciliacao_custos!B225,#REF!,16,0),0)</f>
        <v>0</v>
      </c>
      <c r="R225" s="9">
        <f>IFERROR(VLOOKUP(B225,cubo!$A$6:$BK$37,64,0)-VLOOKUP(conciliacao_custos!B225,#REF!,17,0),0)</f>
        <v>0</v>
      </c>
      <c r="S225" s="9">
        <f>IFERROR(VLOOKUP(B225,cubo!$A$6:$BK$37,61,0)-VLOOKUP(conciliacao_custos!B225,#REF!,15,0),0)</f>
        <v>0</v>
      </c>
    </row>
    <row r="226" spans="2:19" x14ac:dyDescent="0.25">
      <c r="B226" s="7">
        <f>[1]salario!A225</f>
        <v>0</v>
      </c>
      <c r="C226" s="8">
        <f>[1]salario!C225</f>
        <v>0</v>
      </c>
      <c r="D226" s="10">
        <f>IFERROR(VLOOKUP(B226,cubo!$A$6:$BE$37,6,0)-VLOOKUP(B226,#REF!,$D$2,0),0)</f>
        <v>0</v>
      </c>
      <c r="E226" s="10">
        <f>IFERROR(VLOOKUP(B226,cubo!$A$6:$BE$37,9,0)-VLOOKUP(B226,#REF!,$E$2,0),0)</f>
        <v>0</v>
      </c>
      <c r="F226" s="9">
        <f>IFERROR(VLOOKUP(B226,cubo!$A$6:$BE$37,12,0)-VLOOKUP(B226,#REF!,$F$2,0),0)</f>
        <v>0</v>
      </c>
      <c r="G226" s="9">
        <f>IFERROR(VLOOKUP(B226,cubo!$A$6:$BE$37,54,0)-VLOOKUP(B226,#REF!,$G$2,0),0)</f>
        <v>0</v>
      </c>
      <c r="H226" s="10">
        <f>IFERROR(VLOOKUP(B226,cubo!$A$6:$BE$37,15,0)-VLOOKUP(B226,#REF!,$H$2,0),0)</f>
        <v>0</v>
      </c>
      <c r="I226" s="9">
        <f>IFERROR(VLOOKUP(B226,cubo!$A$6:$BE$37,18,0)-VLOOKUP(B226,#REF!,$I$2,0),0)</f>
        <v>0</v>
      </c>
      <c r="J226" s="9">
        <f>IFERROR(VLOOKUP(B226,cubo!$A$6:$BE$37,24,0)-VLOOKUP(B226,#REF!,$J$2,0),0)</f>
        <v>0</v>
      </c>
      <c r="K226" s="9">
        <f>IFERROR(VLOOKUP(B226,cubo!$A$6:$BE$37,34,0)-VLOOKUP(B226,#REF!,$K$2,0),0)</f>
        <v>0</v>
      </c>
      <c r="L226" s="8">
        <f>IFERROR(VLOOKUP(B226,cubo!$A$6:$BE$37,38,0)-VLOOKUP(B226,#REF!,$L$2,0),0)</f>
        <v>0</v>
      </c>
      <c r="M226" s="15">
        <f>IFERROR(VLOOKUP(B226,cubo!$A$6:$BE$37,57,0)-VLOOKUP(B226,#REF!,$M$2,0),0)</f>
        <v>0</v>
      </c>
      <c r="N226" s="9">
        <f>IFERROR(VLOOKUP(B226,cubo!$A$6:$BK$37,41,0)-VLOOKUP(conciliacao_custos!B226,#REF!,18,0),0)</f>
        <v>0</v>
      </c>
      <c r="O226" s="9">
        <f>IFERROR(VLOOKUP(B226,cubo!$A$6:$BK$37,44,0)-VLOOKUP(conciliacao_custos!B226,#REF!,13,0),0)</f>
        <v>0</v>
      </c>
      <c r="P226" s="9">
        <f>IFERROR(VLOOKUP(B226,cubo!$A$6:$BK$37,47,0)-VLOOKUP(conciliacao_custos!B226,#REF!,14,0),0)</f>
        <v>0</v>
      </c>
      <c r="Q226" s="9">
        <f>IFERROR(VLOOKUP(B226,cubo!$A$6:$BK$37,58,0)-VLOOKUP(conciliacao_custos!B226,#REF!,16,0),0)</f>
        <v>0</v>
      </c>
      <c r="R226" s="9">
        <f>IFERROR(VLOOKUP(B226,cubo!$A$6:$BK$37,64,0)-VLOOKUP(conciliacao_custos!B226,#REF!,17,0),0)</f>
        <v>0</v>
      </c>
      <c r="S226" s="9">
        <f>IFERROR(VLOOKUP(B226,cubo!$A$6:$BK$37,61,0)-VLOOKUP(conciliacao_custos!B226,#REF!,15,0),0)</f>
        <v>0</v>
      </c>
    </row>
    <row r="227" spans="2:19" x14ac:dyDescent="0.25">
      <c r="B227" s="7">
        <f>[1]salario!A226</f>
        <v>0</v>
      </c>
      <c r="C227" s="8">
        <f>[1]salario!C226</f>
        <v>0</v>
      </c>
      <c r="D227" s="10">
        <f>IFERROR(VLOOKUP(B227,cubo!$A$6:$BE$37,6,0)-VLOOKUP(B227,#REF!,$D$2,0),0)</f>
        <v>0</v>
      </c>
      <c r="E227" s="10">
        <f>IFERROR(VLOOKUP(B227,cubo!$A$6:$BE$37,9,0)-VLOOKUP(B227,#REF!,$E$2,0),0)</f>
        <v>0</v>
      </c>
      <c r="F227" s="9">
        <f>IFERROR(VLOOKUP(B227,cubo!$A$6:$BE$37,12,0)-VLOOKUP(B227,#REF!,$F$2,0),0)</f>
        <v>0</v>
      </c>
      <c r="G227" s="9">
        <f>IFERROR(VLOOKUP(B227,cubo!$A$6:$BE$37,54,0)-VLOOKUP(B227,#REF!,$G$2,0),0)</f>
        <v>0</v>
      </c>
      <c r="H227" s="10">
        <f>IFERROR(VLOOKUP(B227,cubo!$A$6:$BE$37,15,0)-VLOOKUP(B227,#REF!,$H$2,0),0)</f>
        <v>0</v>
      </c>
      <c r="I227" s="9">
        <f>IFERROR(VLOOKUP(B227,cubo!$A$6:$BE$37,18,0)-VLOOKUP(B227,#REF!,$I$2,0),0)</f>
        <v>0</v>
      </c>
      <c r="J227" s="9">
        <f>IFERROR(VLOOKUP(B227,cubo!$A$6:$BE$37,24,0)-VLOOKUP(B227,#REF!,$J$2,0),0)</f>
        <v>0</v>
      </c>
      <c r="K227" s="9">
        <f>IFERROR(VLOOKUP(B227,cubo!$A$6:$BE$37,34,0)-VLOOKUP(B227,#REF!,$K$2,0),0)</f>
        <v>0</v>
      </c>
      <c r="L227" s="8">
        <f>IFERROR(VLOOKUP(B227,cubo!$A$6:$BE$37,38,0)-VLOOKUP(B227,#REF!,$L$2,0),0)</f>
        <v>0</v>
      </c>
      <c r="M227" s="15">
        <f>IFERROR(VLOOKUP(B227,cubo!$A$6:$BE$37,57,0)-VLOOKUP(B227,#REF!,$M$2,0),0)</f>
        <v>0</v>
      </c>
      <c r="N227" s="9">
        <f>IFERROR(VLOOKUP(B227,cubo!$A$6:$BK$37,41,0)-VLOOKUP(conciliacao_custos!B227,#REF!,18,0),0)</f>
        <v>0</v>
      </c>
      <c r="O227" s="9">
        <f>IFERROR(VLOOKUP(B227,cubo!$A$6:$BK$37,44,0)-VLOOKUP(conciliacao_custos!B227,#REF!,13,0),0)</f>
        <v>0</v>
      </c>
      <c r="P227" s="9">
        <f>IFERROR(VLOOKUP(B227,cubo!$A$6:$BK$37,47,0)-VLOOKUP(conciliacao_custos!B227,#REF!,14,0),0)</f>
        <v>0</v>
      </c>
      <c r="Q227" s="9">
        <f>IFERROR(VLOOKUP(B227,cubo!$A$6:$BK$37,58,0)-VLOOKUP(conciliacao_custos!B227,#REF!,16,0),0)</f>
        <v>0</v>
      </c>
      <c r="R227" s="9">
        <f>IFERROR(VLOOKUP(B227,cubo!$A$6:$BK$37,64,0)-VLOOKUP(conciliacao_custos!B227,#REF!,17,0),0)</f>
        <v>0</v>
      </c>
      <c r="S227" s="9">
        <f>IFERROR(VLOOKUP(B227,cubo!$A$6:$BK$37,61,0)-VLOOKUP(conciliacao_custos!B227,#REF!,15,0),0)</f>
        <v>0</v>
      </c>
    </row>
    <row r="228" spans="2:19" x14ac:dyDescent="0.25">
      <c r="B228" s="7">
        <f>[1]salario!A227</f>
        <v>0</v>
      </c>
      <c r="C228" s="8">
        <f>[1]salario!C227</f>
        <v>0</v>
      </c>
      <c r="D228" s="10">
        <f>IFERROR(VLOOKUP(B228,cubo!$A$6:$BE$37,6,0)-VLOOKUP(B228,#REF!,$D$2,0),0)</f>
        <v>0</v>
      </c>
      <c r="E228" s="10">
        <f>IFERROR(VLOOKUP(B228,cubo!$A$6:$BE$37,9,0)-VLOOKUP(B228,#REF!,$E$2,0),0)</f>
        <v>0</v>
      </c>
      <c r="F228" s="9">
        <f>IFERROR(VLOOKUP(B228,cubo!$A$6:$BE$37,12,0)-VLOOKUP(B228,#REF!,$F$2,0),0)</f>
        <v>0</v>
      </c>
      <c r="G228" s="9">
        <f>IFERROR(VLOOKUP(B228,cubo!$A$6:$BE$37,54,0)-VLOOKUP(B228,#REF!,$G$2,0),0)</f>
        <v>0</v>
      </c>
      <c r="H228" s="10">
        <f>IFERROR(VLOOKUP(B228,cubo!$A$6:$BE$37,15,0)-VLOOKUP(B228,#REF!,$H$2,0),0)</f>
        <v>0</v>
      </c>
      <c r="I228" s="9">
        <f>IFERROR(VLOOKUP(B228,cubo!$A$6:$BE$37,18,0)-VLOOKUP(B228,#REF!,$I$2,0),0)</f>
        <v>0</v>
      </c>
      <c r="J228" s="9">
        <f>IFERROR(VLOOKUP(B228,cubo!$A$6:$BE$37,24,0)-VLOOKUP(B228,#REF!,$J$2,0),0)</f>
        <v>0</v>
      </c>
      <c r="K228" s="9">
        <f>IFERROR(VLOOKUP(B228,cubo!$A$6:$BE$37,34,0)-VLOOKUP(B228,#REF!,$K$2,0),0)</f>
        <v>0</v>
      </c>
      <c r="L228" s="8">
        <f>IFERROR(VLOOKUP(B228,cubo!$A$6:$BE$37,38,0)-VLOOKUP(B228,#REF!,$L$2,0),0)</f>
        <v>0</v>
      </c>
      <c r="M228" s="15">
        <f>IFERROR(VLOOKUP(B228,cubo!$A$6:$BE$37,57,0)-VLOOKUP(B228,#REF!,$M$2,0),0)</f>
        <v>0</v>
      </c>
      <c r="N228" s="9">
        <f>IFERROR(VLOOKUP(B228,cubo!$A$6:$BK$37,41,0)-VLOOKUP(conciliacao_custos!B228,#REF!,18,0),0)</f>
        <v>0</v>
      </c>
      <c r="O228" s="9">
        <f>IFERROR(VLOOKUP(B228,cubo!$A$6:$BK$37,44,0)-VLOOKUP(conciliacao_custos!B228,#REF!,13,0),0)</f>
        <v>0</v>
      </c>
      <c r="P228" s="9">
        <f>IFERROR(VLOOKUP(B228,cubo!$A$6:$BK$37,47,0)-VLOOKUP(conciliacao_custos!B228,#REF!,14,0),0)</f>
        <v>0</v>
      </c>
      <c r="Q228" s="9">
        <f>IFERROR(VLOOKUP(B228,cubo!$A$6:$BK$37,58,0)-VLOOKUP(conciliacao_custos!B228,#REF!,16,0),0)</f>
        <v>0</v>
      </c>
      <c r="R228" s="9">
        <f>IFERROR(VLOOKUP(B228,cubo!$A$6:$BK$37,64,0)-VLOOKUP(conciliacao_custos!B228,#REF!,17,0),0)</f>
        <v>0</v>
      </c>
      <c r="S228" s="9">
        <f>IFERROR(VLOOKUP(B228,cubo!$A$6:$BK$37,61,0)-VLOOKUP(conciliacao_custos!B228,#REF!,15,0),0)</f>
        <v>0</v>
      </c>
    </row>
    <row r="229" spans="2:19" x14ac:dyDescent="0.25">
      <c r="B229" s="7">
        <f>[1]salario!A228</f>
        <v>0</v>
      </c>
      <c r="C229" s="8">
        <f>[1]salario!C228</f>
        <v>0</v>
      </c>
      <c r="D229" s="10">
        <f>IFERROR(VLOOKUP(B229,cubo!$A$6:$BE$37,6,0)-VLOOKUP(B229,#REF!,$D$2,0),0)</f>
        <v>0</v>
      </c>
      <c r="E229" s="10">
        <f>IFERROR(VLOOKUP(B229,cubo!$A$6:$BE$37,9,0)-VLOOKUP(B229,#REF!,$E$2,0),0)</f>
        <v>0</v>
      </c>
      <c r="F229" s="9">
        <f>IFERROR(VLOOKUP(B229,cubo!$A$6:$BE$37,12,0)-VLOOKUP(B229,#REF!,$F$2,0),0)</f>
        <v>0</v>
      </c>
      <c r="G229" s="9">
        <f>IFERROR(VLOOKUP(B229,cubo!$A$6:$BE$37,54,0)-VLOOKUP(B229,#REF!,$G$2,0),0)</f>
        <v>0</v>
      </c>
      <c r="H229" s="10">
        <f>IFERROR(VLOOKUP(B229,cubo!$A$6:$BE$37,15,0)-VLOOKUP(B229,#REF!,$H$2,0),0)</f>
        <v>0</v>
      </c>
      <c r="I229" s="9">
        <f>IFERROR(VLOOKUP(B229,cubo!$A$6:$BE$37,18,0)-VLOOKUP(B229,#REF!,$I$2,0),0)</f>
        <v>0</v>
      </c>
      <c r="J229" s="9">
        <f>IFERROR(VLOOKUP(B229,cubo!$A$6:$BE$37,24,0)-VLOOKUP(B229,#REF!,$J$2,0),0)</f>
        <v>0</v>
      </c>
      <c r="K229" s="9">
        <f>IFERROR(VLOOKUP(B229,cubo!$A$6:$BE$37,34,0)-VLOOKUP(B229,#REF!,$K$2,0),0)</f>
        <v>0</v>
      </c>
      <c r="L229" s="8">
        <f>IFERROR(VLOOKUP(B229,cubo!$A$6:$BE$37,38,0)-VLOOKUP(B229,#REF!,$L$2,0),0)</f>
        <v>0</v>
      </c>
      <c r="M229" s="15">
        <f>IFERROR(VLOOKUP(B229,cubo!$A$6:$BE$37,57,0)-VLOOKUP(B229,#REF!,$M$2,0),0)</f>
        <v>0</v>
      </c>
      <c r="N229" s="9">
        <f>IFERROR(VLOOKUP(B229,cubo!$A$6:$BK$37,41,0)-VLOOKUP(conciliacao_custos!B229,#REF!,18,0),0)</f>
        <v>0</v>
      </c>
      <c r="O229" s="9">
        <f>IFERROR(VLOOKUP(B229,cubo!$A$6:$BK$37,44,0)-VLOOKUP(conciliacao_custos!B229,#REF!,13,0),0)</f>
        <v>0</v>
      </c>
      <c r="P229" s="9">
        <f>IFERROR(VLOOKUP(B229,cubo!$A$6:$BK$37,47,0)-VLOOKUP(conciliacao_custos!B229,#REF!,14,0),0)</f>
        <v>0</v>
      </c>
      <c r="Q229" s="9">
        <f>IFERROR(VLOOKUP(B229,cubo!$A$6:$BK$37,58,0)-VLOOKUP(conciliacao_custos!B229,#REF!,16,0),0)</f>
        <v>0</v>
      </c>
      <c r="R229" s="9">
        <f>IFERROR(VLOOKUP(B229,cubo!$A$6:$BK$37,64,0)-VLOOKUP(conciliacao_custos!B229,#REF!,17,0),0)</f>
        <v>0</v>
      </c>
      <c r="S229" s="9">
        <f>IFERROR(VLOOKUP(B229,cubo!$A$6:$BK$37,61,0)-VLOOKUP(conciliacao_custos!B229,#REF!,15,0),0)</f>
        <v>0</v>
      </c>
    </row>
    <row r="230" spans="2:19" x14ac:dyDescent="0.25">
      <c r="B230" s="7">
        <f>[1]salario!A229</f>
        <v>0</v>
      </c>
      <c r="C230" s="8">
        <f>[1]salario!C229</f>
        <v>0</v>
      </c>
      <c r="D230" s="10">
        <f>IFERROR(VLOOKUP(B230,cubo!$A$6:$BE$37,6,0)-VLOOKUP(B230,#REF!,$D$2,0),0)</f>
        <v>0</v>
      </c>
      <c r="E230" s="10">
        <f>IFERROR(VLOOKUP(B230,cubo!$A$6:$BE$37,9,0)-VLOOKUP(B230,#REF!,$E$2,0),0)</f>
        <v>0</v>
      </c>
      <c r="F230" s="9">
        <f>IFERROR(VLOOKUP(B230,cubo!$A$6:$BE$37,12,0)-VLOOKUP(B230,#REF!,$F$2,0),0)</f>
        <v>0</v>
      </c>
      <c r="G230" s="9">
        <f>IFERROR(VLOOKUP(B230,cubo!$A$6:$BE$37,54,0)-VLOOKUP(B230,#REF!,$G$2,0),0)</f>
        <v>0</v>
      </c>
      <c r="H230" s="10">
        <f>IFERROR(VLOOKUP(B230,cubo!$A$6:$BE$37,15,0)-VLOOKUP(B230,#REF!,$H$2,0),0)</f>
        <v>0</v>
      </c>
      <c r="I230" s="9">
        <f>IFERROR(VLOOKUP(B230,cubo!$A$6:$BE$37,18,0)-VLOOKUP(B230,#REF!,$I$2,0),0)</f>
        <v>0</v>
      </c>
      <c r="J230" s="9">
        <f>IFERROR(VLOOKUP(B230,cubo!$A$6:$BE$37,24,0)-VLOOKUP(B230,#REF!,$J$2,0),0)</f>
        <v>0</v>
      </c>
      <c r="K230" s="9">
        <f>IFERROR(VLOOKUP(B230,cubo!$A$6:$BE$37,34,0)-VLOOKUP(B230,#REF!,$K$2,0),0)</f>
        <v>0</v>
      </c>
      <c r="L230" s="8">
        <f>IFERROR(VLOOKUP(B230,cubo!$A$6:$BE$37,38,0)-VLOOKUP(B230,#REF!,$L$2,0),0)</f>
        <v>0</v>
      </c>
      <c r="M230" s="15">
        <f>IFERROR(VLOOKUP(B230,cubo!$A$6:$BE$37,57,0)-VLOOKUP(B230,#REF!,$M$2,0),0)</f>
        <v>0</v>
      </c>
      <c r="N230" s="9">
        <f>IFERROR(VLOOKUP(B230,cubo!$A$6:$BK$37,41,0)-VLOOKUP(conciliacao_custos!B230,#REF!,18,0),0)</f>
        <v>0</v>
      </c>
      <c r="O230" s="9">
        <f>IFERROR(VLOOKUP(B230,cubo!$A$6:$BK$37,44,0)-VLOOKUP(conciliacao_custos!B230,#REF!,13,0),0)</f>
        <v>0</v>
      </c>
      <c r="P230" s="9">
        <f>IFERROR(VLOOKUP(B230,cubo!$A$6:$BK$37,47,0)-VLOOKUP(conciliacao_custos!B230,#REF!,14,0),0)</f>
        <v>0</v>
      </c>
      <c r="Q230" s="9">
        <f>IFERROR(VLOOKUP(B230,cubo!$A$6:$BK$37,58,0)-VLOOKUP(conciliacao_custos!B230,#REF!,16,0),0)</f>
        <v>0</v>
      </c>
      <c r="R230" s="9">
        <f>IFERROR(VLOOKUP(B230,cubo!$A$6:$BK$37,64,0)-VLOOKUP(conciliacao_custos!B230,#REF!,17,0),0)</f>
        <v>0</v>
      </c>
      <c r="S230" s="9">
        <f>IFERROR(VLOOKUP(B230,cubo!$A$6:$BK$37,61,0)-VLOOKUP(conciliacao_custos!B230,#REF!,15,0),0)</f>
        <v>0</v>
      </c>
    </row>
    <row r="231" spans="2:19" x14ac:dyDescent="0.25">
      <c r="B231" s="7">
        <f>[1]salario!A230</f>
        <v>0</v>
      </c>
      <c r="C231" s="8">
        <f>[1]salario!C230</f>
        <v>0</v>
      </c>
      <c r="D231" s="10">
        <f>IFERROR(VLOOKUP(B231,cubo!$A$6:$BE$37,6,0)-VLOOKUP(B231,#REF!,$D$2,0),0)</f>
        <v>0</v>
      </c>
      <c r="E231" s="10">
        <f>IFERROR(VLOOKUP(B231,cubo!$A$6:$BE$37,9,0)-VLOOKUP(B231,#REF!,$E$2,0),0)</f>
        <v>0</v>
      </c>
      <c r="F231" s="9">
        <f>IFERROR(VLOOKUP(B231,cubo!$A$6:$BE$37,12,0)-VLOOKUP(B231,#REF!,$F$2,0),0)</f>
        <v>0</v>
      </c>
      <c r="G231" s="9">
        <f>IFERROR(VLOOKUP(B231,cubo!$A$6:$BE$37,54,0)-VLOOKUP(B231,#REF!,$G$2,0),0)</f>
        <v>0</v>
      </c>
      <c r="H231" s="10">
        <f>IFERROR(VLOOKUP(B231,cubo!$A$6:$BE$37,15,0)-VLOOKUP(B231,#REF!,$H$2,0),0)</f>
        <v>0</v>
      </c>
      <c r="I231" s="9">
        <f>IFERROR(VLOOKUP(B231,cubo!$A$6:$BE$37,18,0)-VLOOKUP(B231,#REF!,$I$2,0),0)</f>
        <v>0</v>
      </c>
      <c r="J231" s="9">
        <f>IFERROR(VLOOKUP(B231,cubo!$A$6:$BE$37,24,0)-VLOOKUP(B231,#REF!,$J$2,0),0)</f>
        <v>0</v>
      </c>
      <c r="K231" s="9">
        <f>IFERROR(VLOOKUP(B231,cubo!$A$6:$BE$37,34,0)-VLOOKUP(B231,#REF!,$K$2,0),0)</f>
        <v>0</v>
      </c>
      <c r="L231" s="8">
        <f>IFERROR(VLOOKUP(B231,cubo!$A$6:$BE$37,38,0)-VLOOKUP(B231,#REF!,$L$2,0),0)</f>
        <v>0</v>
      </c>
      <c r="M231" s="15">
        <f>IFERROR(VLOOKUP(B231,cubo!$A$6:$BE$37,57,0)-VLOOKUP(B231,#REF!,$M$2,0),0)</f>
        <v>0</v>
      </c>
      <c r="N231" s="9">
        <f>IFERROR(VLOOKUP(B231,cubo!$A$6:$BK$37,41,0)-VLOOKUP(conciliacao_custos!B231,#REF!,18,0),0)</f>
        <v>0</v>
      </c>
      <c r="O231" s="9">
        <f>IFERROR(VLOOKUP(B231,cubo!$A$6:$BK$37,44,0)-VLOOKUP(conciliacao_custos!B231,#REF!,13,0),0)</f>
        <v>0</v>
      </c>
      <c r="P231" s="9">
        <f>IFERROR(VLOOKUP(B231,cubo!$A$6:$BK$37,47,0)-VLOOKUP(conciliacao_custos!B231,#REF!,14,0),0)</f>
        <v>0</v>
      </c>
      <c r="Q231" s="9">
        <f>IFERROR(VLOOKUP(B231,cubo!$A$6:$BK$37,58,0)-VLOOKUP(conciliacao_custos!B231,#REF!,16,0),0)</f>
        <v>0</v>
      </c>
      <c r="R231" s="9">
        <f>IFERROR(VLOOKUP(B231,cubo!$A$6:$BK$37,64,0)-VLOOKUP(conciliacao_custos!B231,#REF!,17,0),0)</f>
        <v>0</v>
      </c>
      <c r="S231" s="9">
        <f>IFERROR(VLOOKUP(B231,cubo!$A$6:$BK$37,61,0)-VLOOKUP(conciliacao_custos!B231,#REF!,15,0),0)</f>
        <v>0</v>
      </c>
    </row>
    <row r="232" spans="2:19" x14ac:dyDescent="0.25">
      <c r="B232" s="7">
        <f>[1]salario!A231</f>
        <v>0</v>
      </c>
      <c r="C232" s="8">
        <f>[1]salario!C231</f>
        <v>0</v>
      </c>
      <c r="D232" s="10">
        <f>IFERROR(VLOOKUP(B232,cubo!$A$6:$BE$37,6,0)-VLOOKUP(B232,#REF!,$D$2,0),0)</f>
        <v>0</v>
      </c>
      <c r="E232" s="10">
        <f>IFERROR(VLOOKUP(B232,cubo!$A$6:$BE$37,9,0)-VLOOKUP(B232,#REF!,$E$2,0),0)</f>
        <v>0</v>
      </c>
      <c r="F232" s="9">
        <f>IFERROR(VLOOKUP(B232,cubo!$A$6:$BE$37,12,0)-VLOOKUP(B232,#REF!,$F$2,0),0)</f>
        <v>0</v>
      </c>
      <c r="G232" s="9">
        <f>IFERROR(VLOOKUP(B232,cubo!$A$6:$BE$37,54,0)-VLOOKUP(B232,#REF!,$G$2,0),0)</f>
        <v>0</v>
      </c>
      <c r="H232" s="10">
        <f>IFERROR(VLOOKUP(B232,cubo!$A$6:$BE$37,15,0)-VLOOKUP(B232,#REF!,$H$2,0),0)</f>
        <v>0</v>
      </c>
      <c r="I232" s="9">
        <f>IFERROR(VLOOKUP(B232,cubo!$A$6:$BE$37,18,0)-VLOOKUP(B232,#REF!,$I$2,0),0)</f>
        <v>0</v>
      </c>
      <c r="J232" s="9">
        <f>IFERROR(VLOOKUP(B232,cubo!$A$6:$BE$37,24,0)-VLOOKUP(B232,#REF!,$J$2,0),0)</f>
        <v>0</v>
      </c>
      <c r="K232" s="9">
        <f>IFERROR(VLOOKUP(B232,cubo!$A$6:$BE$37,34,0)-VLOOKUP(B232,#REF!,$K$2,0),0)</f>
        <v>0</v>
      </c>
      <c r="L232" s="8">
        <f>IFERROR(VLOOKUP(B232,cubo!$A$6:$BE$37,38,0)-VLOOKUP(B232,#REF!,$L$2,0),0)</f>
        <v>0</v>
      </c>
      <c r="M232" s="15">
        <f>IFERROR(VLOOKUP(B232,cubo!$A$6:$BE$37,57,0)-VLOOKUP(B232,#REF!,$M$2,0),0)</f>
        <v>0</v>
      </c>
      <c r="N232" s="9">
        <f>IFERROR(VLOOKUP(B232,cubo!$A$6:$BK$37,41,0)-VLOOKUP(conciliacao_custos!B232,#REF!,18,0),0)</f>
        <v>0</v>
      </c>
      <c r="O232" s="9">
        <f>IFERROR(VLOOKUP(B232,cubo!$A$6:$BK$37,44,0)-VLOOKUP(conciliacao_custos!B232,#REF!,13,0),0)</f>
        <v>0</v>
      </c>
      <c r="P232" s="9">
        <f>IFERROR(VLOOKUP(B232,cubo!$A$6:$BK$37,47,0)-VLOOKUP(conciliacao_custos!B232,#REF!,14,0),0)</f>
        <v>0</v>
      </c>
      <c r="Q232" s="9">
        <f>IFERROR(VLOOKUP(B232,cubo!$A$6:$BK$37,58,0)-VLOOKUP(conciliacao_custos!B232,#REF!,16,0),0)</f>
        <v>0</v>
      </c>
      <c r="R232" s="9">
        <f>IFERROR(VLOOKUP(B232,cubo!$A$6:$BK$37,64,0)-VLOOKUP(conciliacao_custos!B232,#REF!,17,0),0)</f>
        <v>0</v>
      </c>
      <c r="S232" s="9">
        <f>IFERROR(VLOOKUP(B232,cubo!$A$6:$BK$37,61,0)-VLOOKUP(conciliacao_custos!B232,#REF!,15,0),0)</f>
        <v>0</v>
      </c>
    </row>
    <row r="233" spans="2:19" x14ac:dyDescent="0.25">
      <c r="B233" s="7">
        <f>[1]salario!A232</f>
        <v>0</v>
      </c>
      <c r="C233" s="8">
        <f>[1]salario!C232</f>
        <v>0</v>
      </c>
      <c r="D233" s="10">
        <f>IFERROR(VLOOKUP(B233,cubo!$A$6:$BE$37,6,0)-VLOOKUP(B233,#REF!,$D$2,0),0)</f>
        <v>0</v>
      </c>
      <c r="E233" s="10">
        <f>IFERROR(VLOOKUP(B233,cubo!$A$6:$BE$37,9,0)-VLOOKUP(B233,#REF!,$E$2,0),0)</f>
        <v>0</v>
      </c>
      <c r="F233" s="9">
        <f>IFERROR(VLOOKUP(B233,cubo!$A$6:$BE$37,12,0)-VLOOKUP(B233,#REF!,$F$2,0),0)</f>
        <v>0</v>
      </c>
      <c r="G233" s="9">
        <f>IFERROR(VLOOKUP(B233,cubo!$A$6:$BE$37,54,0)-VLOOKUP(B233,#REF!,$G$2,0),0)</f>
        <v>0</v>
      </c>
      <c r="H233" s="10">
        <f>IFERROR(VLOOKUP(B233,cubo!$A$6:$BE$37,15,0)-VLOOKUP(B233,#REF!,$H$2,0),0)</f>
        <v>0</v>
      </c>
      <c r="I233" s="9">
        <f>IFERROR(VLOOKUP(B233,cubo!$A$6:$BE$37,18,0)-VLOOKUP(B233,#REF!,$I$2,0),0)</f>
        <v>0</v>
      </c>
      <c r="J233" s="9">
        <f>IFERROR(VLOOKUP(B233,cubo!$A$6:$BE$37,24,0)-VLOOKUP(B233,#REF!,$J$2,0),0)</f>
        <v>0</v>
      </c>
      <c r="K233" s="9">
        <f>IFERROR(VLOOKUP(B233,cubo!$A$6:$BE$37,34,0)-VLOOKUP(B233,#REF!,$K$2,0),0)</f>
        <v>0</v>
      </c>
      <c r="L233" s="8">
        <f>IFERROR(VLOOKUP(B233,cubo!$A$6:$BE$37,38,0)-VLOOKUP(B233,#REF!,$L$2,0),0)</f>
        <v>0</v>
      </c>
      <c r="M233" s="15">
        <f>IFERROR(VLOOKUP(B233,cubo!$A$6:$BE$37,57,0)-VLOOKUP(B233,#REF!,$M$2,0),0)</f>
        <v>0</v>
      </c>
      <c r="N233" s="9">
        <f>IFERROR(VLOOKUP(B233,cubo!$A$6:$BK$37,41,0)-VLOOKUP(conciliacao_custos!B233,#REF!,18,0),0)</f>
        <v>0</v>
      </c>
      <c r="O233" s="9">
        <f>IFERROR(VLOOKUP(B233,cubo!$A$6:$BK$37,44,0)-VLOOKUP(conciliacao_custos!B233,#REF!,13,0),0)</f>
        <v>0</v>
      </c>
      <c r="P233" s="9">
        <f>IFERROR(VLOOKUP(B233,cubo!$A$6:$BK$37,47,0)-VLOOKUP(conciliacao_custos!B233,#REF!,14,0),0)</f>
        <v>0</v>
      </c>
      <c r="Q233" s="9">
        <f>IFERROR(VLOOKUP(B233,cubo!$A$6:$BK$37,58,0)-VLOOKUP(conciliacao_custos!B233,#REF!,16,0),0)</f>
        <v>0</v>
      </c>
      <c r="R233" s="9">
        <f>IFERROR(VLOOKUP(B233,cubo!$A$6:$BK$37,64,0)-VLOOKUP(conciliacao_custos!B233,#REF!,17,0),0)</f>
        <v>0</v>
      </c>
      <c r="S233" s="9">
        <f>IFERROR(VLOOKUP(B233,cubo!$A$6:$BK$37,61,0)-VLOOKUP(conciliacao_custos!B233,#REF!,15,0),0)</f>
        <v>0</v>
      </c>
    </row>
    <row r="234" spans="2:19" x14ac:dyDescent="0.25">
      <c r="B234" s="7">
        <f>[1]salario!A233</f>
        <v>0</v>
      </c>
      <c r="C234" s="8">
        <f>[1]salario!C233</f>
        <v>0</v>
      </c>
      <c r="D234" s="10">
        <f>IFERROR(VLOOKUP(B234,cubo!$A$6:$BE$37,6,0)-VLOOKUP(B234,#REF!,$D$2,0),0)</f>
        <v>0</v>
      </c>
      <c r="E234" s="10">
        <f>IFERROR(VLOOKUP(B234,cubo!$A$6:$BE$37,9,0)-VLOOKUP(B234,#REF!,$E$2,0),0)</f>
        <v>0</v>
      </c>
      <c r="F234" s="9">
        <f>IFERROR(VLOOKUP(B234,cubo!$A$6:$BE$37,12,0)-VLOOKUP(B234,#REF!,$F$2,0),0)</f>
        <v>0</v>
      </c>
      <c r="G234" s="9">
        <f>IFERROR(VLOOKUP(B234,cubo!$A$6:$BE$37,54,0)-VLOOKUP(B234,#REF!,$G$2,0),0)</f>
        <v>0</v>
      </c>
      <c r="H234" s="10">
        <f>IFERROR(VLOOKUP(B234,cubo!$A$6:$BE$37,15,0)-VLOOKUP(B234,#REF!,$H$2,0),0)</f>
        <v>0</v>
      </c>
      <c r="I234" s="9">
        <f>IFERROR(VLOOKUP(B234,cubo!$A$6:$BE$37,18,0)-VLOOKUP(B234,#REF!,$I$2,0),0)</f>
        <v>0</v>
      </c>
      <c r="J234" s="9">
        <f>IFERROR(VLOOKUP(B234,cubo!$A$6:$BE$37,24,0)-VLOOKUP(B234,#REF!,$J$2,0),0)</f>
        <v>0</v>
      </c>
      <c r="K234" s="9">
        <f>IFERROR(VLOOKUP(B234,cubo!$A$6:$BE$37,34,0)-VLOOKUP(B234,#REF!,$K$2,0),0)</f>
        <v>0</v>
      </c>
      <c r="L234" s="8">
        <f>IFERROR(VLOOKUP(B234,cubo!$A$6:$BE$37,38,0)-VLOOKUP(B234,#REF!,$L$2,0),0)</f>
        <v>0</v>
      </c>
      <c r="M234" s="15">
        <f>IFERROR(VLOOKUP(B234,cubo!$A$6:$BE$37,57,0)-VLOOKUP(B234,#REF!,$M$2,0),0)</f>
        <v>0</v>
      </c>
      <c r="N234" s="9">
        <f>IFERROR(VLOOKUP(B234,cubo!$A$6:$BK$37,41,0)-VLOOKUP(conciliacao_custos!B234,#REF!,18,0),0)</f>
        <v>0</v>
      </c>
      <c r="O234" s="9">
        <f>IFERROR(VLOOKUP(B234,cubo!$A$6:$BK$37,44,0)-VLOOKUP(conciliacao_custos!B234,#REF!,13,0),0)</f>
        <v>0</v>
      </c>
      <c r="P234" s="9">
        <f>IFERROR(VLOOKUP(B234,cubo!$A$6:$BK$37,47,0)-VLOOKUP(conciliacao_custos!B234,#REF!,14,0),0)</f>
        <v>0</v>
      </c>
      <c r="Q234" s="9">
        <f>IFERROR(VLOOKUP(B234,cubo!$A$6:$BK$37,58,0)-VLOOKUP(conciliacao_custos!B234,#REF!,16,0),0)</f>
        <v>0</v>
      </c>
      <c r="R234" s="9">
        <f>IFERROR(VLOOKUP(B234,cubo!$A$6:$BK$37,64,0)-VLOOKUP(conciliacao_custos!B234,#REF!,17,0),0)</f>
        <v>0</v>
      </c>
      <c r="S234" s="9">
        <f>IFERROR(VLOOKUP(B234,cubo!$A$6:$BK$37,61,0)-VLOOKUP(conciliacao_custos!B234,#REF!,15,0),0)</f>
        <v>0</v>
      </c>
    </row>
    <row r="235" spans="2:19" x14ac:dyDescent="0.25">
      <c r="B235" s="7">
        <f>[1]salario!A234</f>
        <v>0</v>
      </c>
      <c r="C235" s="8">
        <f>[1]salario!C234</f>
        <v>0</v>
      </c>
      <c r="D235" s="10">
        <f>IFERROR(VLOOKUP(B235,cubo!$A$6:$BE$37,6,0)-VLOOKUP(B235,#REF!,$D$2,0),0)</f>
        <v>0</v>
      </c>
      <c r="E235" s="10">
        <f>IFERROR(VLOOKUP(B235,cubo!$A$6:$BE$37,9,0)-VLOOKUP(B235,#REF!,$E$2,0),0)</f>
        <v>0</v>
      </c>
      <c r="F235" s="9">
        <f>IFERROR(VLOOKUP(B235,cubo!$A$6:$BE$37,12,0)-VLOOKUP(B235,#REF!,$F$2,0),0)</f>
        <v>0</v>
      </c>
      <c r="G235" s="9">
        <f>IFERROR(VLOOKUP(B235,cubo!$A$6:$BE$37,54,0)-VLOOKUP(B235,#REF!,$G$2,0),0)</f>
        <v>0</v>
      </c>
      <c r="H235" s="10">
        <f>IFERROR(VLOOKUP(B235,cubo!$A$6:$BE$37,15,0)-VLOOKUP(B235,#REF!,$H$2,0),0)</f>
        <v>0</v>
      </c>
      <c r="I235" s="9">
        <f>IFERROR(VLOOKUP(B235,cubo!$A$6:$BE$37,18,0)-VLOOKUP(B235,#REF!,$I$2,0),0)</f>
        <v>0</v>
      </c>
      <c r="J235" s="9">
        <f>IFERROR(VLOOKUP(B235,cubo!$A$6:$BE$37,24,0)-VLOOKUP(B235,#REF!,$J$2,0),0)</f>
        <v>0</v>
      </c>
      <c r="K235" s="9">
        <f>IFERROR(VLOOKUP(B235,cubo!$A$6:$BE$37,34,0)-VLOOKUP(B235,#REF!,$K$2,0),0)</f>
        <v>0</v>
      </c>
      <c r="L235" s="8">
        <f>IFERROR(VLOOKUP(B235,cubo!$A$6:$BE$37,38,0)-VLOOKUP(B235,#REF!,$L$2,0),0)</f>
        <v>0</v>
      </c>
      <c r="M235" s="15">
        <f>IFERROR(VLOOKUP(B235,cubo!$A$6:$BE$37,57,0)-VLOOKUP(B235,#REF!,$M$2,0),0)</f>
        <v>0</v>
      </c>
      <c r="N235" s="9">
        <f>IFERROR(VLOOKUP(B235,cubo!$A$6:$BK$37,41,0)-VLOOKUP(conciliacao_custos!B235,#REF!,18,0),0)</f>
        <v>0</v>
      </c>
      <c r="O235" s="9">
        <f>IFERROR(VLOOKUP(B235,cubo!$A$6:$BK$37,44,0)-VLOOKUP(conciliacao_custos!B235,#REF!,13,0),0)</f>
        <v>0</v>
      </c>
      <c r="P235" s="9">
        <f>IFERROR(VLOOKUP(B235,cubo!$A$6:$BK$37,47,0)-VLOOKUP(conciliacao_custos!B235,#REF!,14,0),0)</f>
        <v>0</v>
      </c>
      <c r="Q235" s="9">
        <f>IFERROR(VLOOKUP(B235,cubo!$A$6:$BK$37,58,0)-VLOOKUP(conciliacao_custos!B235,#REF!,16,0),0)</f>
        <v>0</v>
      </c>
      <c r="R235" s="9">
        <f>IFERROR(VLOOKUP(B235,cubo!$A$6:$BK$37,64,0)-VLOOKUP(conciliacao_custos!B235,#REF!,17,0),0)</f>
        <v>0</v>
      </c>
      <c r="S235" s="9">
        <f>IFERROR(VLOOKUP(B235,cubo!$A$6:$BK$37,61,0)-VLOOKUP(conciliacao_custos!B235,#REF!,15,0),0)</f>
        <v>0</v>
      </c>
    </row>
    <row r="236" spans="2:19" x14ac:dyDescent="0.25">
      <c r="B236" s="7">
        <f>[1]salario!A235</f>
        <v>0</v>
      </c>
      <c r="C236" s="8">
        <f>[1]salario!C235</f>
        <v>0</v>
      </c>
      <c r="D236" s="10">
        <f>IFERROR(VLOOKUP(B236,cubo!$A$6:$BE$37,6,0)-VLOOKUP(B236,#REF!,$D$2,0),0)</f>
        <v>0</v>
      </c>
      <c r="E236" s="10">
        <f>IFERROR(VLOOKUP(B236,cubo!$A$6:$BE$37,9,0)-VLOOKUP(B236,#REF!,$E$2,0),0)</f>
        <v>0</v>
      </c>
      <c r="F236" s="9">
        <f>IFERROR(VLOOKUP(B236,cubo!$A$6:$BE$37,12,0)-VLOOKUP(B236,#REF!,$F$2,0),0)</f>
        <v>0</v>
      </c>
      <c r="G236" s="9">
        <f>IFERROR(VLOOKUP(B236,cubo!$A$6:$BE$37,54,0)-VLOOKUP(B236,#REF!,$G$2,0),0)</f>
        <v>0</v>
      </c>
      <c r="H236" s="10">
        <f>IFERROR(VLOOKUP(B236,cubo!$A$6:$BE$37,15,0)-VLOOKUP(B236,#REF!,$H$2,0),0)</f>
        <v>0</v>
      </c>
      <c r="I236" s="9">
        <f>IFERROR(VLOOKUP(B236,cubo!$A$6:$BE$37,18,0)-VLOOKUP(B236,#REF!,$I$2,0),0)</f>
        <v>0</v>
      </c>
      <c r="J236" s="9">
        <f>IFERROR(VLOOKUP(B236,cubo!$A$6:$BE$37,24,0)-VLOOKUP(B236,#REF!,$J$2,0),0)</f>
        <v>0</v>
      </c>
      <c r="K236" s="9">
        <f>IFERROR(VLOOKUP(B236,cubo!$A$6:$BE$37,34,0)-VLOOKUP(B236,#REF!,$K$2,0),0)</f>
        <v>0</v>
      </c>
      <c r="L236" s="8">
        <f>IFERROR(VLOOKUP(B236,cubo!$A$6:$BE$37,38,0)-VLOOKUP(B236,#REF!,$L$2,0),0)</f>
        <v>0</v>
      </c>
      <c r="M236" s="15">
        <f>IFERROR(VLOOKUP(B236,cubo!$A$6:$BE$37,57,0)-VLOOKUP(B236,#REF!,$M$2,0),0)</f>
        <v>0</v>
      </c>
      <c r="N236" s="9">
        <f>IFERROR(VLOOKUP(B236,cubo!$A$6:$BK$37,41,0)-VLOOKUP(conciliacao_custos!B236,#REF!,18,0),0)</f>
        <v>0</v>
      </c>
      <c r="O236" s="9">
        <f>IFERROR(VLOOKUP(B236,cubo!$A$6:$BK$37,44,0)-VLOOKUP(conciliacao_custos!B236,#REF!,13,0),0)</f>
        <v>0</v>
      </c>
      <c r="P236" s="9">
        <f>IFERROR(VLOOKUP(B236,cubo!$A$6:$BK$37,47,0)-VLOOKUP(conciliacao_custos!B236,#REF!,14,0),0)</f>
        <v>0</v>
      </c>
      <c r="Q236" s="9">
        <f>IFERROR(VLOOKUP(B236,cubo!$A$6:$BK$37,58,0)-VLOOKUP(conciliacao_custos!B236,#REF!,16,0),0)</f>
        <v>0</v>
      </c>
      <c r="R236" s="9">
        <f>IFERROR(VLOOKUP(B236,cubo!$A$6:$BK$37,64,0)-VLOOKUP(conciliacao_custos!B236,#REF!,17,0),0)</f>
        <v>0</v>
      </c>
      <c r="S236" s="9">
        <f>IFERROR(VLOOKUP(B236,cubo!$A$6:$BK$37,61,0)-VLOOKUP(conciliacao_custos!B236,#REF!,15,0),0)</f>
        <v>0</v>
      </c>
    </row>
    <row r="237" spans="2:19" x14ac:dyDescent="0.25">
      <c r="B237" s="7">
        <f>[1]salario!A236</f>
        <v>0</v>
      </c>
      <c r="C237" s="8">
        <f>[1]salario!C236</f>
        <v>0</v>
      </c>
      <c r="D237" s="10">
        <f>IFERROR(VLOOKUP(B237,cubo!$A$6:$BE$37,6,0)-VLOOKUP(B237,#REF!,$D$2,0),0)</f>
        <v>0</v>
      </c>
      <c r="E237" s="10">
        <f>IFERROR(VLOOKUP(B237,cubo!$A$6:$BE$37,9,0)-VLOOKUP(B237,#REF!,$E$2,0),0)</f>
        <v>0</v>
      </c>
      <c r="F237" s="9">
        <f>IFERROR(VLOOKUP(B237,cubo!$A$6:$BE$37,12,0)-VLOOKUP(B237,#REF!,$F$2,0),0)</f>
        <v>0</v>
      </c>
      <c r="G237" s="9">
        <f>IFERROR(VLOOKUP(B237,cubo!$A$6:$BE$37,54,0)-VLOOKUP(B237,#REF!,$G$2,0),0)</f>
        <v>0</v>
      </c>
      <c r="H237" s="10">
        <f>IFERROR(VLOOKUP(B237,cubo!$A$6:$BE$37,15,0)-VLOOKUP(B237,#REF!,$H$2,0),0)</f>
        <v>0</v>
      </c>
      <c r="I237" s="9">
        <f>IFERROR(VLOOKUP(B237,cubo!$A$6:$BE$37,18,0)-VLOOKUP(B237,#REF!,$I$2,0),0)</f>
        <v>0</v>
      </c>
      <c r="J237" s="9">
        <f>IFERROR(VLOOKUP(B237,cubo!$A$6:$BE$37,24,0)-VLOOKUP(B237,#REF!,$J$2,0),0)</f>
        <v>0</v>
      </c>
      <c r="K237" s="9">
        <f>IFERROR(VLOOKUP(B237,cubo!$A$6:$BE$37,34,0)-VLOOKUP(B237,#REF!,$K$2,0),0)</f>
        <v>0</v>
      </c>
      <c r="L237" s="8">
        <f>IFERROR(VLOOKUP(B237,cubo!$A$6:$BE$37,38,0)-VLOOKUP(B237,#REF!,$L$2,0),0)</f>
        <v>0</v>
      </c>
      <c r="M237" s="15">
        <f>IFERROR(VLOOKUP(B237,cubo!$A$6:$BE$37,57,0)-VLOOKUP(B237,#REF!,$M$2,0),0)</f>
        <v>0</v>
      </c>
      <c r="N237" s="9">
        <f>IFERROR(VLOOKUP(B237,cubo!$A$6:$BK$37,41,0)-VLOOKUP(conciliacao_custos!B237,#REF!,18,0),0)</f>
        <v>0</v>
      </c>
      <c r="O237" s="9">
        <f>IFERROR(VLOOKUP(B237,cubo!$A$6:$BK$37,44,0)-VLOOKUP(conciliacao_custos!B237,#REF!,13,0),0)</f>
        <v>0</v>
      </c>
      <c r="P237" s="9">
        <f>IFERROR(VLOOKUP(B237,cubo!$A$6:$BK$37,47,0)-VLOOKUP(conciliacao_custos!B237,#REF!,14,0),0)</f>
        <v>0</v>
      </c>
      <c r="Q237" s="9">
        <f>IFERROR(VLOOKUP(B237,cubo!$A$6:$BK$37,58,0)-VLOOKUP(conciliacao_custos!B237,#REF!,16,0),0)</f>
        <v>0</v>
      </c>
      <c r="R237" s="9">
        <f>IFERROR(VLOOKUP(B237,cubo!$A$6:$BK$37,64,0)-VLOOKUP(conciliacao_custos!B237,#REF!,17,0),0)</f>
        <v>0</v>
      </c>
      <c r="S237" s="9">
        <f>IFERROR(VLOOKUP(B237,cubo!$A$6:$BK$37,61,0)-VLOOKUP(conciliacao_custos!B237,#REF!,15,0),0)</f>
        <v>0</v>
      </c>
    </row>
    <row r="238" spans="2:19" x14ac:dyDescent="0.25">
      <c r="B238" s="7">
        <f>[1]salario!A237</f>
        <v>0</v>
      </c>
      <c r="C238" s="8">
        <f>[1]salario!C237</f>
        <v>0</v>
      </c>
      <c r="D238" s="10">
        <f>IFERROR(VLOOKUP(B238,cubo!$A$6:$BE$37,6,0)-VLOOKUP(B238,#REF!,$D$2,0),0)</f>
        <v>0</v>
      </c>
      <c r="E238" s="10">
        <f>IFERROR(VLOOKUP(B238,cubo!$A$6:$BE$37,9,0)-VLOOKUP(B238,#REF!,$E$2,0),0)</f>
        <v>0</v>
      </c>
      <c r="F238" s="9">
        <f>IFERROR(VLOOKUP(B238,cubo!$A$6:$BE$37,12,0)-VLOOKUP(B238,#REF!,$F$2,0),0)</f>
        <v>0</v>
      </c>
      <c r="G238" s="9">
        <f>IFERROR(VLOOKUP(B238,cubo!$A$6:$BE$37,54,0)-VLOOKUP(B238,#REF!,$G$2,0),0)</f>
        <v>0</v>
      </c>
      <c r="H238" s="10">
        <f>IFERROR(VLOOKUP(B238,cubo!$A$6:$BE$37,15,0)-VLOOKUP(B238,#REF!,$H$2,0),0)</f>
        <v>0</v>
      </c>
      <c r="I238" s="9">
        <f>IFERROR(VLOOKUP(B238,cubo!$A$6:$BE$37,18,0)-VLOOKUP(B238,#REF!,$I$2,0),0)</f>
        <v>0</v>
      </c>
      <c r="J238" s="9">
        <f>IFERROR(VLOOKUP(B238,cubo!$A$6:$BE$37,24,0)-VLOOKUP(B238,#REF!,$J$2,0),0)</f>
        <v>0</v>
      </c>
      <c r="K238" s="9">
        <f>IFERROR(VLOOKUP(B238,cubo!$A$6:$BE$37,34,0)-VLOOKUP(B238,#REF!,$K$2,0),0)</f>
        <v>0</v>
      </c>
      <c r="L238" s="8">
        <f>IFERROR(VLOOKUP(B238,cubo!$A$6:$BE$37,38,0)-VLOOKUP(B238,#REF!,$L$2,0),0)</f>
        <v>0</v>
      </c>
      <c r="M238" s="15">
        <f>IFERROR(VLOOKUP(B238,cubo!$A$6:$BE$37,57,0)-VLOOKUP(B238,#REF!,$M$2,0),0)</f>
        <v>0</v>
      </c>
      <c r="N238" s="9">
        <f>IFERROR(VLOOKUP(B238,cubo!$A$6:$BK$37,41,0)-VLOOKUP(conciliacao_custos!B238,#REF!,18,0),0)</f>
        <v>0</v>
      </c>
      <c r="O238" s="9">
        <f>IFERROR(VLOOKUP(B238,cubo!$A$6:$BK$37,44,0)-VLOOKUP(conciliacao_custos!B238,#REF!,13,0),0)</f>
        <v>0</v>
      </c>
      <c r="P238" s="9">
        <f>IFERROR(VLOOKUP(B238,cubo!$A$6:$BK$37,47,0)-VLOOKUP(conciliacao_custos!B238,#REF!,14,0),0)</f>
        <v>0</v>
      </c>
      <c r="Q238" s="9">
        <f>IFERROR(VLOOKUP(B238,cubo!$A$6:$BK$37,58,0)-VLOOKUP(conciliacao_custos!B238,#REF!,16,0),0)</f>
        <v>0</v>
      </c>
      <c r="R238" s="9">
        <f>IFERROR(VLOOKUP(B238,cubo!$A$6:$BK$37,64,0)-VLOOKUP(conciliacao_custos!B238,#REF!,17,0),0)</f>
        <v>0</v>
      </c>
      <c r="S238" s="9">
        <f>IFERROR(VLOOKUP(B238,cubo!$A$6:$BK$37,61,0)-VLOOKUP(conciliacao_custos!B238,#REF!,15,0),0)</f>
        <v>0</v>
      </c>
    </row>
    <row r="239" spans="2:19" x14ac:dyDescent="0.25">
      <c r="B239" s="7">
        <f>[1]salario!A238</f>
        <v>0</v>
      </c>
      <c r="C239" s="8">
        <f>[1]salario!C238</f>
        <v>0</v>
      </c>
      <c r="D239" s="10">
        <f>IFERROR(VLOOKUP(B239,cubo!$A$6:$BE$37,6,0)-VLOOKUP(B239,#REF!,$D$2,0),0)</f>
        <v>0</v>
      </c>
      <c r="E239" s="10">
        <f>IFERROR(VLOOKUP(B239,cubo!$A$6:$BE$37,9,0)-VLOOKUP(B239,#REF!,$E$2,0),0)</f>
        <v>0</v>
      </c>
      <c r="F239" s="9">
        <f>IFERROR(VLOOKUP(B239,cubo!$A$6:$BE$37,12,0)-VLOOKUP(B239,#REF!,$F$2,0),0)</f>
        <v>0</v>
      </c>
      <c r="G239" s="9">
        <f>IFERROR(VLOOKUP(B239,cubo!$A$6:$BE$37,54,0)-VLOOKUP(B239,#REF!,$G$2,0),0)</f>
        <v>0</v>
      </c>
      <c r="H239" s="10">
        <f>IFERROR(VLOOKUP(B239,cubo!$A$6:$BE$37,15,0)-VLOOKUP(B239,#REF!,$H$2,0),0)</f>
        <v>0</v>
      </c>
      <c r="I239" s="9">
        <f>IFERROR(VLOOKUP(B239,cubo!$A$6:$BE$37,18,0)-VLOOKUP(B239,#REF!,$I$2,0),0)</f>
        <v>0</v>
      </c>
      <c r="J239" s="9">
        <f>IFERROR(VLOOKUP(B239,cubo!$A$6:$BE$37,24,0)-VLOOKUP(B239,#REF!,$J$2,0),0)</f>
        <v>0</v>
      </c>
      <c r="K239" s="9">
        <f>IFERROR(VLOOKUP(B239,cubo!$A$6:$BE$37,34,0)-VLOOKUP(B239,#REF!,$K$2,0),0)</f>
        <v>0</v>
      </c>
      <c r="L239" s="8">
        <f>IFERROR(VLOOKUP(B239,cubo!$A$6:$BE$37,38,0)-VLOOKUP(B239,#REF!,$L$2,0),0)</f>
        <v>0</v>
      </c>
      <c r="M239" s="15">
        <f>IFERROR(VLOOKUP(B239,cubo!$A$6:$BE$37,57,0)-VLOOKUP(B239,#REF!,$M$2,0),0)</f>
        <v>0</v>
      </c>
      <c r="N239" s="9">
        <f>IFERROR(VLOOKUP(B239,cubo!$A$6:$BK$37,41,0)-VLOOKUP(conciliacao_custos!B239,#REF!,18,0),0)</f>
        <v>0</v>
      </c>
      <c r="O239" s="9">
        <f>IFERROR(VLOOKUP(B239,cubo!$A$6:$BK$37,44,0)-VLOOKUP(conciliacao_custos!B239,#REF!,13,0),0)</f>
        <v>0</v>
      </c>
      <c r="P239" s="9">
        <f>IFERROR(VLOOKUP(B239,cubo!$A$6:$BK$37,47,0)-VLOOKUP(conciliacao_custos!B239,#REF!,14,0),0)</f>
        <v>0</v>
      </c>
      <c r="Q239" s="9">
        <f>IFERROR(VLOOKUP(B239,cubo!$A$6:$BK$37,58,0)-VLOOKUP(conciliacao_custos!B239,#REF!,16,0),0)</f>
        <v>0</v>
      </c>
      <c r="R239" s="9">
        <f>IFERROR(VLOOKUP(B239,cubo!$A$6:$BK$37,64,0)-VLOOKUP(conciliacao_custos!B239,#REF!,17,0),0)</f>
        <v>0</v>
      </c>
      <c r="S239" s="9">
        <f>IFERROR(VLOOKUP(B239,cubo!$A$6:$BK$37,61,0)-VLOOKUP(conciliacao_custos!B239,#REF!,15,0),0)</f>
        <v>0</v>
      </c>
    </row>
    <row r="240" spans="2:19" x14ac:dyDescent="0.25">
      <c r="B240" s="7">
        <f>[1]salario!A239</f>
        <v>0</v>
      </c>
      <c r="C240" s="8">
        <f>[1]salario!C239</f>
        <v>0</v>
      </c>
      <c r="D240" s="10">
        <f>IFERROR(VLOOKUP(B240,cubo!$A$6:$BE$37,6,0)-VLOOKUP(B240,#REF!,$D$2,0),0)</f>
        <v>0</v>
      </c>
      <c r="E240" s="10">
        <f>IFERROR(VLOOKUP(B240,cubo!$A$6:$BE$37,9,0)-VLOOKUP(B240,#REF!,$E$2,0),0)</f>
        <v>0</v>
      </c>
      <c r="F240" s="9">
        <f>IFERROR(VLOOKUP(B240,cubo!$A$6:$BE$37,12,0)-VLOOKUP(B240,#REF!,$F$2,0),0)</f>
        <v>0</v>
      </c>
      <c r="G240" s="9">
        <f>IFERROR(VLOOKUP(B240,cubo!$A$6:$BE$37,54,0)-VLOOKUP(B240,#REF!,$G$2,0),0)</f>
        <v>0</v>
      </c>
      <c r="H240" s="10">
        <f>IFERROR(VLOOKUP(B240,cubo!$A$6:$BE$37,15,0)-VLOOKUP(B240,#REF!,$H$2,0),0)</f>
        <v>0</v>
      </c>
      <c r="I240" s="9">
        <f>IFERROR(VLOOKUP(B240,cubo!$A$6:$BE$37,18,0)-VLOOKUP(B240,#REF!,$I$2,0),0)</f>
        <v>0</v>
      </c>
      <c r="J240" s="9">
        <f>IFERROR(VLOOKUP(B240,cubo!$A$6:$BE$37,24,0)-VLOOKUP(B240,#REF!,$J$2,0),0)</f>
        <v>0</v>
      </c>
      <c r="K240" s="9">
        <f>IFERROR(VLOOKUP(B240,cubo!$A$6:$BE$37,34,0)-VLOOKUP(B240,#REF!,$K$2,0),0)</f>
        <v>0</v>
      </c>
      <c r="L240" s="8">
        <f>IFERROR(VLOOKUP(B240,cubo!$A$6:$BE$37,38,0)-VLOOKUP(B240,#REF!,$L$2,0),0)</f>
        <v>0</v>
      </c>
      <c r="M240" s="15">
        <f>IFERROR(VLOOKUP(B240,cubo!$A$6:$BE$37,57,0)-VLOOKUP(B240,#REF!,$M$2,0),0)</f>
        <v>0</v>
      </c>
      <c r="N240" s="9">
        <f>IFERROR(VLOOKUP(B240,cubo!$A$6:$BK$37,41,0)-VLOOKUP(conciliacao_custos!B240,#REF!,18,0),0)</f>
        <v>0</v>
      </c>
      <c r="O240" s="9">
        <f>IFERROR(VLOOKUP(B240,cubo!$A$6:$BK$37,44,0)-VLOOKUP(conciliacao_custos!B240,#REF!,13,0),0)</f>
        <v>0</v>
      </c>
      <c r="P240" s="9">
        <f>IFERROR(VLOOKUP(B240,cubo!$A$6:$BK$37,47,0)-VLOOKUP(conciliacao_custos!B240,#REF!,14,0),0)</f>
        <v>0</v>
      </c>
      <c r="Q240" s="9">
        <f>IFERROR(VLOOKUP(B240,cubo!$A$6:$BK$37,58,0)-VLOOKUP(conciliacao_custos!B240,#REF!,16,0),0)</f>
        <v>0</v>
      </c>
      <c r="R240" s="9">
        <f>IFERROR(VLOOKUP(B240,cubo!$A$6:$BK$37,64,0)-VLOOKUP(conciliacao_custos!B240,#REF!,17,0),0)</f>
        <v>0</v>
      </c>
      <c r="S240" s="9">
        <f>IFERROR(VLOOKUP(B240,cubo!$A$6:$BK$37,61,0)-VLOOKUP(conciliacao_custos!B240,#REF!,15,0),0)</f>
        <v>0</v>
      </c>
    </row>
    <row r="241" spans="2:19" x14ac:dyDescent="0.25">
      <c r="B241" s="7">
        <f>[1]salario!A240</f>
        <v>0</v>
      </c>
      <c r="C241" s="8">
        <f>[1]salario!C240</f>
        <v>0</v>
      </c>
      <c r="D241" s="10">
        <f>IFERROR(VLOOKUP(B241,cubo!$A$6:$BE$37,6,0)-VLOOKUP(B241,#REF!,$D$2,0),0)</f>
        <v>0</v>
      </c>
      <c r="E241" s="10">
        <f>IFERROR(VLOOKUP(B241,cubo!$A$6:$BE$37,9,0)-VLOOKUP(B241,#REF!,$E$2,0),0)</f>
        <v>0</v>
      </c>
      <c r="F241" s="9">
        <f>IFERROR(VLOOKUP(B241,cubo!$A$6:$BE$37,12,0)-VLOOKUP(B241,#REF!,$F$2,0),0)</f>
        <v>0</v>
      </c>
      <c r="G241" s="9">
        <f>IFERROR(VLOOKUP(B241,cubo!$A$6:$BE$37,54,0)-VLOOKUP(B241,#REF!,$G$2,0),0)</f>
        <v>0</v>
      </c>
      <c r="H241" s="10">
        <f>IFERROR(VLOOKUP(B241,cubo!$A$6:$BE$37,15,0)-VLOOKUP(B241,#REF!,$H$2,0),0)</f>
        <v>0</v>
      </c>
      <c r="I241" s="9">
        <f>IFERROR(VLOOKUP(B241,cubo!$A$6:$BE$37,18,0)-VLOOKUP(B241,#REF!,$I$2,0),0)</f>
        <v>0</v>
      </c>
      <c r="J241" s="9">
        <f>IFERROR(VLOOKUP(B241,cubo!$A$6:$BE$37,24,0)-VLOOKUP(B241,#REF!,$J$2,0),0)</f>
        <v>0</v>
      </c>
      <c r="K241" s="9">
        <f>IFERROR(VLOOKUP(B241,cubo!$A$6:$BE$37,34,0)-VLOOKUP(B241,#REF!,$K$2,0),0)</f>
        <v>0</v>
      </c>
      <c r="L241" s="8">
        <f>IFERROR(VLOOKUP(B241,cubo!$A$6:$BE$37,38,0)-VLOOKUP(B241,#REF!,$L$2,0),0)</f>
        <v>0</v>
      </c>
      <c r="M241" s="15">
        <f>IFERROR(VLOOKUP(B241,cubo!$A$6:$BE$37,57,0)-VLOOKUP(B241,#REF!,$M$2,0),0)</f>
        <v>0</v>
      </c>
      <c r="N241" s="9">
        <f>IFERROR(VLOOKUP(B241,cubo!$A$6:$BK$37,41,0)-VLOOKUP(conciliacao_custos!B241,#REF!,18,0),0)</f>
        <v>0</v>
      </c>
      <c r="O241" s="9">
        <f>IFERROR(VLOOKUP(B241,cubo!$A$6:$BK$37,44,0)-VLOOKUP(conciliacao_custos!B241,#REF!,13,0),0)</f>
        <v>0</v>
      </c>
      <c r="P241" s="9">
        <f>IFERROR(VLOOKUP(B241,cubo!$A$6:$BK$37,47,0)-VLOOKUP(conciliacao_custos!B241,#REF!,14,0),0)</f>
        <v>0</v>
      </c>
      <c r="Q241" s="9">
        <f>IFERROR(VLOOKUP(B241,cubo!$A$6:$BK$37,58,0)-VLOOKUP(conciliacao_custos!B241,#REF!,16,0),0)</f>
        <v>0</v>
      </c>
      <c r="R241" s="9">
        <f>IFERROR(VLOOKUP(B241,cubo!$A$6:$BK$37,64,0)-VLOOKUP(conciliacao_custos!B241,#REF!,17,0),0)</f>
        <v>0</v>
      </c>
      <c r="S241" s="9">
        <f>IFERROR(VLOOKUP(B241,cubo!$A$6:$BK$37,61,0)-VLOOKUP(conciliacao_custos!B241,#REF!,15,0),0)</f>
        <v>0</v>
      </c>
    </row>
    <row r="242" spans="2:19" x14ac:dyDescent="0.25">
      <c r="B242" s="7">
        <f>[1]salario!A241</f>
        <v>0</v>
      </c>
      <c r="C242" s="8">
        <f>[1]salario!C241</f>
        <v>0</v>
      </c>
      <c r="D242" s="10">
        <f>IFERROR(VLOOKUP(B242,cubo!$A$6:$BE$37,6,0)-VLOOKUP(B242,#REF!,$D$2,0),0)</f>
        <v>0</v>
      </c>
      <c r="E242" s="10">
        <f>IFERROR(VLOOKUP(B242,cubo!$A$6:$BE$37,9,0)-VLOOKUP(B242,#REF!,$E$2,0),0)</f>
        <v>0</v>
      </c>
      <c r="F242" s="9">
        <f>IFERROR(VLOOKUP(B242,cubo!$A$6:$BE$37,12,0)-VLOOKUP(B242,#REF!,$F$2,0),0)</f>
        <v>0</v>
      </c>
      <c r="G242" s="9">
        <f>IFERROR(VLOOKUP(B242,cubo!$A$6:$BE$37,54,0)-VLOOKUP(B242,#REF!,$G$2,0),0)</f>
        <v>0</v>
      </c>
      <c r="H242" s="10">
        <f>IFERROR(VLOOKUP(B242,cubo!$A$6:$BE$37,15,0)-VLOOKUP(B242,#REF!,$H$2,0),0)</f>
        <v>0</v>
      </c>
      <c r="I242" s="9">
        <f>IFERROR(VLOOKUP(B242,cubo!$A$6:$BE$37,18,0)-VLOOKUP(B242,#REF!,$I$2,0),0)</f>
        <v>0</v>
      </c>
      <c r="J242" s="9">
        <f>IFERROR(VLOOKUP(B242,cubo!$A$6:$BE$37,24,0)-VLOOKUP(B242,#REF!,$J$2,0),0)</f>
        <v>0</v>
      </c>
      <c r="K242" s="9">
        <f>IFERROR(VLOOKUP(B242,cubo!$A$6:$BE$37,34,0)-VLOOKUP(B242,#REF!,$K$2,0),0)</f>
        <v>0</v>
      </c>
      <c r="L242" s="8">
        <f>IFERROR(VLOOKUP(B242,cubo!$A$6:$BE$37,38,0)-VLOOKUP(B242,#REF!,$L$2,0),0)</f>
        <v>0</v>
      </c>
      <c r="M242" s="15">
        <f>IFERROR(VLOOKUP(B242,cubo!$A$6:$BE$37,57,0)-VLOOKUP(B242,#REF!,$M$2,0),0)</f>
        <v>0</v>
      </c>
      <c r="N242" s="9">
        <f>IFERROR(VLOOKUP(B242,cubo!$A$6:$BK$37,41,0)-VLOOKUP(conciliacao_custos!B242,#REF!,18,0),0)</f>
        <v>0</v>
      </c>
      <c r="O242" s="9">
        <f>IFERROR(VLOOKUP(B242,cubo!$A$6:$BK$37,44,0)-VLOOKUP(conciliacao_custos!B242,#REF!,13,0),0)</f>
        <v>0</v>
      </c>
      <c r="P242" s="9">
        <f>IFERROR(VLOOKUP(B242,cubo!$A$6:$BK$37,47,0)-VLOOKUP(conciliacao_custos!B242,#REF!,14,0),0)</f>
        <v>0</v>
      </c>
      <c r="Q242" s="9">
        <f>IFERROR(VLOOKUP(B242,cubo!$A$6:$BK$37,58,0)-VLOOKUP(conciliacao_custos!B242,#REF!,16,0),0)</f>
        <v>0</v>
      </c>
      <c r="R242" s="9">
        <f>IFERROR(VLOOKUP(B242,cubo!$A$6:$BK$37,64,0)-VLOOKUP(conciliacao_custos!B242,#REF!,17,0),0)</f>
        <v>0</v>
      </c>
      <c r="S242" s="9">
        <f>IFERROR(VLOOKUP(B242,cubo!$A$6:$BK$37,61,0)-VLOOKUP(conciliacao_custos!B242,#REF!,15,0),0)</f>
        <v>0</v>
      </c>
    </row>
    <row r="243" spans="2:19" x14ac:dyDescent="0.25">
      <c r="B243" s="7">
        <f>[1]salario!A242</f>
        <v>0</v>
      </c>
      <c r="C243" s="8">
        <f>[1]salario!C242</f>
        <v>0</v>
      </c>
      <c r="D243" s="10">
        <f>IFERROR(VLOOKUP(B243,cubo!$A$6:$BE$37,6,0)-VLOOKUP(B243,#REF!,$D$2,0),0)</f>
        <v>0</v>
      </c>
      <c r="E243" s="10">
        <f>IFERROR(VLOOKUP(B243,cubo!$A$6:$BE$37,9,0)-VLOOKUP(B243,#REF!,$E$2,0),0)</f>
        <v>0</v>
      </c>
      <c r="F243" s="9">
        <f>IFERROR(VLOOKUP(B243,cubo!$A$6:$BE$37,12,0)-VLOOKUP(B243,#REF!,$F$2,0),0)</f>
        <v>0</v>
      </c>
      <c r="G243" s="9">
        <f>IFERROR(VLOOKUP(B243,cubo!$A$6:$BE$37,54,0)-VLOOKUP(B243,#REF!,$G$2,0),0)</f>
        <v>0</v>
      </c>
      <c r="H243" s="10">
        <f>IFERROR(VLOOKUP(B243,cubo!$A$6:$BE$37,15,0)-VLOOKUP(B243,#REF!,$H$2,0),0)</f>
        <v>0</v>
      </c>
      <c r="I243" s="9">
        <f>IFERROR(VLOOKUP(B243,cubo!$A$6:$BE$37,18,0)-VLOOKUP(B243,#REF!,$I$2,0),0)</f>
        <v>0</v>
      </c>
      <c r="J243" s="9">
        <f>IFERROR(VLOOKUP(B243,cubo!$A$6:$BE$37,24,0)-VLOOKUP(B243,#REF!,$J$2,0),0)</f>
        <v>0</v>
      </c>
      <c r="K243" s="9">
        <f>IFERROR(VLOOKUP(B243,cubo!$A$6:$BE$37,34,0)-VLOOKUP(B243,#REF!,$K$2,0),0)</f>
        <v>0</v>
      </c>
      <c r="L243" s="8">
        <f>IFERROR(VLOOKUP(B243,cubo!$A$6:$BE$37,38,0)-VLOOKUP(B243,#REF!,$L$2,0),0)</f>
        <v>0</v>
      </c>
      <c r="M243" s="15">
        <f>IFERROR(VLOOKUP(B243,cubo!$A$6:$BE$37,57,0)-VLOOKUP(B243,#REF!,$M$2,0),0)</f>
        <v>0</v>
      </c>
      <c r="N243" s="9">
        <f>IFERROR(VLOOKUP(B243,cubo!$A$6:$BK$37,41,0)-VLOOKUP(conciliacao_custos!B243,#REF!,18,0),0)</f>
        <v>0</v>
      </c>
      <c r="O243" s="9">
        <f>IFERROR(VLOOKUP(B243,cubo!$A$6:$BK$37,44,0)-VLOOKUP(conciliacao_custos!B243,#REF!,13,0),0)</f>
        <v>0</v>
      </c>
      <c r="P243" s="9">
        <f>IFERROR(VLOOKUP(B243,cubo!$A$6:$BK$37,47,0)-VLOOKUP(conciliacao_custos!B243,#REF!,14,0),0)</f>
        <v>0</v>
      </c>
      <c r="Q243" s="9">
        <f>IFERROR(VLOOKUP(B243,cubo!$A$6:$BK$37,58,0)-VLOOKUP(conciliacao_custos!B243,#REF!,16,0),0)</f>
        <v>0</v>
      </c>
      <c r="R243" s="9">
        <f>IFERROR(VLOOKUP(B243,cubo!$A$6:$BK$37,64,0)-VLOOKUP(conciliacao_custos!B243,#REF!,17,0),0)</f>
        <v>0</v>
      </c>
      <c r="S243" s="9">
        <f>IFERROR(VLOOKUP(B243,cubo!$A$6:$BK$37,61,0)-VLOOKUP(conciliacao_custos!B243,#REF!,15,0),0)</f>
        <v>0</v>
      </c>
    </row>
    <row r="244" spans="2:19" x14ac:dyDescent="0.25">
      <c r="B244" s="7">
        <f>[1]salario!A243</f>
        <v>0</v>
      </c>
      <c r="C244" s="8">
        <f>[1]salario!C243</f>
        <v>0</v>
      </c>
      <c r="D244" s="10">
        <f>IFERROR(VLOOKUP(B244,cubo!$A$6:$BE$37,6,0)-VLOOKUP(B244,#REF!,$D$2,0),0)</f>
        <v>0</v>
      </c>
      <c r="E244" s="10">
        <f>IFERROR(VLOOKUP(B244,cubo!$A$6:$BE$37,9,0)-VLOOKUP(B244,#REF!,$E$2,0),0)</f>
        <v>0</v>
      </c>
      <c r="F244" s="9">
        <f>IFERROR(VLOOKUP(B244,cubo!$A$6:$BE$37,12,0)-VLOOKUP(B244,#REF!,$F$2,0),0)</f>
        <v>0</v>
      </c>
      <c r="G244" s="9">
        <f>IFERROR(VLOOKUP(B244,cubo!$A$6:$BE$37,54,0)-VLOOKUP(B244,#REF!,$G$2,0),0)</f>
        <v>0</v>
      </c>
      <c r="H244" s="10">
        <f>IFERROR(VLOOKUP(B244,cubo!$A$6:$BE$37,15,0)-VLOOKUP(B244,#REF!,$H$2,0),0)</f>
        <v>0</v>
      </c>
      <c r="I244" s="9">
        <f>IFERROR(VLOOKUP(B244,cubo!$A$6:$BE$37,18,0)-VLOOKUP(B244,#REF!,$I$2,0),0)</f>
        <v>0</v>
      </c>
      <c r="J244" s="9">
        <f>IFERROR(VLOOKUP(B244,cubo!$A$6:$BE$37,24,0)-VLOOKUP(B244,#REF!,$J$2,0),0)</f>
        <v>0</v>
      </c>
      <c r="K244" s="9">
        <f>IFERROR(VLOOKUP(B244,cubo!$A$6:$BE$37,34,0)-VLOOKUP(B244,#REF!,$K$2,0),0)</f>
        <v>0</v>
      </c>
      <c r="L244" s="8">
        <f>IFERROR(VLOOKUP(B244,cubo!$A$6:$BE$37,38,0)-VLOOKUP(B244,#REF!,$L$2,0),0)</f>
        <v>0</v>
      </c>
      <c r="M244" s="15">
        <f>IFERROR(VLOOKUP(B244,cubo!$A$6:$BE$37,57,0)-VLOOKUP(B244,#REF!,$M$2,0),0)</f>
        <v>0</v>
      </c>
      <c r="N244" s="9">
        <f>IFERROR(VLOOKUP(B244,cubo!$A$6:$BK$37,41,0)-VLOOKUP(conciliacao_custos!B244,#REF!,18,0),0)</f>
        <v>0</v>
      </c>
      <c r="O244" s="9">
        <f>IFERROR(VLOOKUP(B244,cubo!$A$6:$BK$37,44,0)-VLOOKUP(conciliacao_custos!B244,#REF!,13,0),0)</f>
        <v>0</v>
      </c>
      <c r="P244" s="9">
        <f>IFERROR(VLOOKUP(B244,cubo!$A$6:$BK$37,47,0)-VLOOKUP(conciliacao_custos!B244,#REF!,14,0),0)</f>
        <v>0</v>
      </c>
      <c r="Q244" s="9">
        <f>IFERROR(VLOOKUP(B244,cubo!$A$6:$BK$37,58,0)-VLOOKUP(conciliacao_custos!B244,#REF!,16,0),0)</f>
        <v>0</v>
      </c>
      <c r="R244" s="9">
        <f>IFERROR(VLOOKUP(B244,cubo!$A$6:$BK$37,64,0)-VLOOKUP(conciliacao_custos!B244,#REF!,17,0),0)</f>
        <v>0</v>
      </c>
      <c r="S244" s="9">
        <f>IFERROR(VLOOKUP(B244,cubo!$A$6:$BK$37,61,0)-VLOOKUP(conciliacao_custos!B244,#REF!,15,0),0)</f>
        <v>0</v>
      </c>
    </row>
    <row r="245" spans="2:19" x14ac:dyDescent="0.25">
      <c r="B245" s="7">
        <f>[1]salario!A244</f>
        <v>0</v>
      </c>
      <c r="C245" s="8">
        <f>[1]salario!C244</f>
        <v>0</v>
      </c>
      <c r="D245" s="10">
        <f>IFERROR(VLOOKUP(B245,cubo!$A$6:$BE$37,6,0)-VLOOKUP(B245,#REF!,$D$2,0),0)</f>
        <v>0</v>
      </c>
      <c r="E245" s="10">
        <f>IFERROR(VLOOKUP(B245,cubo!$A$6:$BE$37,9,0)-VLOOKUP(B245,#REF!,$E$2,0),0)</f>
        <v>0</v>
      </c>
      <c r="F245" s="9">
        <f>IFERROR(VLOOKUP(B245,cubo!$A$6:$BE$37,12,0)-VLOOKUP(B245,#REF!,$F$2,0),0)</f>
        <v>0</v>
      </c>
      <c r="G245" s="9">
        <f>IFERROR(VLOOKUP(B245,cubo!$A$6:$BE$37,54,0)-VLOOKUP(B245,#REF!,$G$2,0),0)</f>
        <v>0</v>
      </c>
      <c r="H245" s="10">
        <f>IFERROR(VLOOKUP(B245,cubo!$A$6:$BE$37,15,0)-VLOOKUP(B245,#REF!,$H$2,0),0)</f>
        <v>0</v>
      </c>
      <c r="I245" s="9">
        <f>IFERROR(VLOOKUP(B245,cubo!$A$6:$BE$37,18,0)-VLOOKUP(B245,#REF!,$I$2,0),0)</f>
        <v>0</v>
      </c>
      <c r="J245" s="9">
        <f>IFERROR(VLOOKUP(B245,cubo!$A$6:$BE$37,24,0)-VLOOKUP(B245,#REF!,$J$2,0),0)</f>
        <v>0</v>
      </c>
      <c r="K245" s="9">
        <f>IFERROR(VLOOKUP(B245,cubo!$A$6:$BE$37,34,0)-VLOOKUP(B245,#REF!,$K$2,0),0)</f>
        <v>0</v>
      </c>
      <c r="L245" s="8">
        <f>IFERROR(VLOOKUP(B245,cubo!$A$6:$BE$37,38,0)-VLOOKUP(B245,#REF!,$L$2,0),0)</f>
        <v>0</v>
      </c>
      <c r="M245" s="15">
        <f>IFERROR(VLOOKUP(B245,cubo!$A$6:$BE$37,57,0)-VLOOKUP(B245,#REF!,$M$2,0),0)</f>
        <v>0</v>
      </c>
      <c r="N245" s="9">
        <f>IFERROR(VLOOKUP(B245,cubo!$A$6:$BK$37,41,0)-VLOOKUP(conciliacao_custos!B245,#REF!,18,0),0)</f>
        <v>0</v>
      </c>
      <c r="O245" s="9">
        <f>IFERROR(VLOOKUP(B245,cubo!$A$6:$BK$37,44,0)-VLOOKUP(conciliacao_custos!B245,#REF!,13,0),0)</f>
        <v>0</v>
      </c>
      <c r="P245" s="9">
        <f>IFERROR(VLOOKUP(B245,cubo!$A$6:$BK$37,47,0)-VLOOKUP(conciliacao_custos!B245,#REF!,14,0),0)</f>
        <v>0</v>
      </c>
      <c r="Q245" s="9">
        <f>IFERROR(VLOOKUP(B245,cubo!$A$6:$BK$37,58,0)-VLOOKUP(conciliacao_custos!B245,#REF!,16,0),0)</f>
        <v>0</v>
      </c>
      <c r="R245" s="9">
        <f>IFERROR(VLOOKUP(B245,cubo!$A$6:$BK$37,64,0)-VLOOKUP(conciliacao_custos!B245,#REF!,17,0),0)</f>
        <v>0</v>
      </c>
      <c r="S245" s="9">
        <f>IFERROR(VLOOKUP(B245,cubo!$A$6:$BK$37,61,0)-VLOOKUP(conciliacao_custos!B245,#REF!,15,0),0)</f>
        <v>0</v>
      </c>
    </row>
    <row r="246" spans="2:19" x14ac:dyDescent="0.25">
      <c r="B246" s="7">
        <f>[1]salario!A245</f>
        <v>0</v>
      </c>
      <c r="C246" s="8">
        <f>[1]salario!C245</f>
        <v>0</v>
      </c>
      <c r="D246" s="10">
        <f>IFERROR(VLOOKUP(B246,cubo!$A$6:$BE$37,6,0)-VLOOKUP(B246,#REF!,$D$2,0),0)</f>
        <v>0</v>
      </c>
      <c r="E246" s="10">
        <f>IFERROR(VLOOKUP(B246,cubo!$A$6:$BE$37,9,0)-VLOOKUP(B246,#REF!,$E$2,0),0)</f>
        <v>0</v>
      </c>
      <c r="F246" s="9">
        <f>IFERROR(VLOOKUP(B246,cubo!$A$6:$BE$37,12,0)-VLOOKUP(B246,#REF!,$F$2,0),0)</f>
        <v>0</v>
      </c>
      <c r="G246" s="9">
        <f>IFERROR(VLOOKUP(B246,cubo!$A$6:$BE$37,54,0)-VLOOKUP(B246,#REF!,$G$2,0),0)</f>
        <v>0</v>
      </c>
      <c r="H246" s="10">
        <f>IFERROR(VLOOKUP(B246,cubo!$A$6:$BE$37,15,0)-VLOOKUP(B246,#REF!,$H$2,0),0)</f>
        <v>0</v>
      </c>
      <c r="I246" s="9">
        <f>IFERROR(VLOOKUP(B246,cubo!$A$6:$BE$37,18,0)-VLOOKUP(B246,#REF!,$I$2,0),0)</f>
        <v>0</v>
      </c>
      <c r="J246" s="9">
        <f>IFERROR(VLOOKUP(B246,cubo!$A$6:$BE$37,24,0)-VLOOKUP(B246,#REF!,$J$2,0),0)</f>
        <v>0</v>
      </c>
      <c r="K246" s="9">
        <f>IFERROR(VLOOKUP(B246,cubo!$A$6:$BE$37,34,0)-VLOOKUP(B246,#REF!,$K$2,0),0)</f>
        <v>0</v>
      </c>
      <c r="L246" s="8">
        <f>IFERROR(VLOOKUP(B246,cubo!$A$6:$BE$37,38,0)-VLOOKUP(B246,#REF!,$L$2,0),0)</f>
        <v>0</v>
      </c>
      <c r="M246" s="15">
        <f>IFERROR(VLOOKUP(B246,cubo!$A$6:$BE$37,57,0)-VLOOKUP(B246,#REF!,$M$2,0),0)</f>
        <v>0</v>
      </c>
      <c r="N246" s="9">
        <f>IFERROR(VLOOKUP(B246,cubo!$A$6:$BK$37,41,0)-VLOOKUP(conciliacao_custos!B246,#REF!,18,0),0)</f>
        <v>0</v>
      </c>
      <c r="O246" s="9">
        <f>IFERROR(VLOOKUP(B246,cubo!$A$6:$BK$37,44,0)-VLOOKUP(conciliacao_custos!B246,#REF!,13,0),0)</f>
        <v>0</v>
      </c>
      <c r="P246" s="9">
        <f>IFERROR(VLOOKUP(B246,cubo!$A$6:$BK$37,47,0)-VLOOKUP(conciliacao_custos!B246,#REF!,14,0),0)</f>
        <v>0</v>
      </c>
      <c r="Q246" s="9">
        <f>IFERROR(VLOOKUP(B246,cubo!$A$6:$BK$37,58,0)-VLOOKUP(conciliacao_custos!B246,#REF!,16,0),0)</f>
        <v>0</v>
      </c>
      <c r="R246" s="9">
        <f>IFERROR(VLOOKUP(B246,cubo!$A$6:$BK$37,64,0)-VLOOKUP(conciliacao_custos!B246,#REF!,17,0),0)</f>
        <v>0</v>
      </c>
      <c r="S246" s="9">
        <f>IFERROR(VLOOKUP(B246,cubo!$A$6:$BK$37,61,0)-VLOOKUP(conciliacao_custos!B246,#REF!,15,0),0)</f>
        <v>0</v>
      </c>
    </row>
    <row r="247" spans="2:19" x14ac:dyDescent="0.25">
      <c r="B247" s="7">
        <f>[1]salario!A246</f>
        <v>0</v>
      </c>
      <c r="C247" s="8">
        <f>[1]salario!C246</f>
        <v>0</v>
      </c>
      <c r="D247" s="10">
        <f>IFERROR(VLOOKUP(B247,cubo!$A$6:$BE$37,6,0)-VLOOKUP(B247,#REF!,$D$2,0),0)</f>
        <v>0</v>
      </c>
      <c r="E247" s="10">
        <f>IFERROR(VLOOKUP(B247,cubo!$A$6:$BE$37,9,0)-VLOOKUP(B247,#REF!,$E$2,0),0)</f>
        <v>0</v>
      </c>
      <c r="F247" s="9">
        <f>IFERROR(VLOOKUP(B247,cubo!$A$6:$BE$37,12,0)-VLOOKUP(B247,#REF!,$F$2,0),0)</f>
        <v>0</v>
      </c>
      <c r="G247" s="9">
        <f>IFERROR(VLOOKUP(B247,cubo!$A$6:$BE$37,54,0)-VLOOKUP(B247,#REF!,$G$2,0),0)</f>
        <v>0</v>
      </c>
      <c r="H247" s="10">
        <f>IFERROR(VLOOKUP(B247,cubo!$A$6:$BE$37,15,0)-VLOOKUP(B247,#REF!,$H$2,0),0)</f>
        <v>0</v>
      </c>
      <c r="I247" s="9">
        <f>IFERROR(VLOOKUP(B247,cubo!$A$6:$BE$37,18,0)-VLOOKUP(B247,#REF!,$I$2,0),0)</f>
        <v>0</v>
      </c>
      <c r="J247" s="9">
        <f>IFERROR(VLOOKUP(B247,cubo!$A$6:$BE$37,24,0)-VLOOKUP(B247,#REF!,$J$2,0),0)</f>
        <v>0</v>
      </c>
      <c r="K247" s="9">
        <f>IFERROR(VLOOKUP(B247,cubo!$A$6:$BE$37,34,0)-VLOOKUP(B247,#REF!,$K$2,0),0)</f>
        <v>0</v>
      </c>
      <c r="L247" s="8">
        <f>IFERROR(VLOOKUP(B247,cubo!$A$6:$BE$37,38,0)-VLOOKUP(B247,#REF!,$L$2,0),0)</f>
        <v>0</v>
      </c>
      <c r="M247" s="15">
        <f>IFERROR(VLOOKUP(B247,cubo!$A$6:$BE$37,57,0)-VLOOKUP(B247,#REF!,$M$2,0),0)</f>
        <v>0</v>
      </c>
      <c r="N247" s="9">
        <f>IFERROR(VLOOKUP(B247,cubo!$A$6:$BK$37,41,0)-VLOOKUP(conciliacao_custos!B247,#REF!,18,0),0)</f>
        <v>0</v>
      </c>
      <c r="O247" s="9">
        <f>IFERROR(VLOOKUP(B247,cubo!$A$6:$BK$37,44,0)-VLOOKUP(conciliacao_custos!B247,#REF!,13,0),0)</f>
        <v>0</v>
      </c>
      <c r="P247" s="9">
        <f>IFERROR(VLOOKUP(B247,cubo!$A$6:$BK$37,47,0)-VLOOKUP(conciliacao_custos!B247,#REF!,14,0),0)</f>
        <v>0</v>
      </c>
      <c r="Q247" s="9">
        <f>IFERROR(VLOOKUP(B247,cubo!$A$6:$BK$37,58,0)-VLOOKUP(conciliacao_custos!B247,#REF!,16,0),0)</f>
        <v>0</v>
      </c>
      <c r="R247" s="9">
        <f>IFERROR(VLOOKUP(B247,cubo!$A$6:$BK$37,64,0)-VLOOKUP(conciliacao_custos!B247,#REF!,17,0),0)</f>
        <v>0</v>
      </c>
      <c r="S247" s="9">
        <f>IFERROR(VLOOKUP(B247,cubo!$A$6:$BK$37,61,0)-VLOOKUP(conciliacao_custos!B247,#REF!,15,0),0)</f>
        <v>0</v>
      </c>
    </row>
    <row r="248" spans="2:19" x14ac:dyDescent="0.25">
      <c r="B248" s="7">
        <f>[1]salario!A247</f>
        <v>0</v>
      </c>
      <c r="C248" s="8">
        <f>[1]salario!C247</f>
        <v>0</v>
      </c>
      <c r="D248" s="10">
        <f>IFERROR(VLOOKUP(B248,cubo!$A$6:$BE$37,6,0)-VLOOKUP(B248,#REF!,$D$2,0),0)</f>
        <v>0</v>
      </c>
      <c r="E248" s="10">
        <f>IFERROR(VLOOKUP(B248,cubo!$A$6:$BE$37,9,0)-VLOOKUP(B248,#REF!,$E$2,0),0)</f>
        <v>0</v>
      </c>
      <c r="F248" s="9">
        <f>IFERROR(VLOOKUP(B248,cubo!$A$6:$BE$37,12,0)-VLOOKUP(B248,#REF!,$F$2,0),0)</f>
        <v>0</v>
      </c>
      <c r="G248" s="9">
        <f>IFERROR(VLOOKUP(B248,cubo!$A$6:$BE$37,54,0)-VLOOKUP(B248,#REF!,$G$2,0),0)</f>
        <v>0</v>
      </c>
      <c r="H248" s="10">
        <f>IFERROR(VLOOKUP(B248,cubo!$A$6:$BE$37,15,0)-VLOOKUP(B248,#REF!,$H$2,0),0)</f>
        <v>0</v>
      </c>
      <c r="I248" s="9">
        <f>IFERROR(VLOOKUP(B248,cubo!$A$6:$BE$37,18,0)-VLOOKUP(B248,#REF!,$I$2,0),0)</f>
        <v>0</v>
      </c>
      <c r="J248" s="9">
        <f>IFERROR(VLOOKUP(B248,cubo!$A$6:$BE$37,24,0)-VLOOKUP(B248,#REF!,$J$2,0),0)</f>
        <v>0</v>
      </c>
      <c r="K248" s="9">
        <f>IFERROR(VLOOKUP(B248,cubo!$A$6:$BE$37,34,0)-VLOOKUP(B248,#REF!,$K$2,0),0)</f>
        <v>0</v>
      </c>
      <c r="L248" s="8">
        <f>IFERROR(VLOOKUP(B248,cubo!$A$6:$BE$37,38,0)-VLOOKUP(B248,#REF!,$L$2,0),0)</f>
        <v>0</v>
      </c>
      <c r="M248" s="15">
        <f>IFERROR(VLOOKUP(B248,cubo!$A$6:$BE$37,57,0)-VLOOKUP(B248,#REF!,$M$2,0),0)</f>
        <v>0</v>
      </c>
      <c r="N248" s="9">
        <f>IFERROR(VLOOKUP(B248,cubo!$A$6:$BK$37,41,0)-VLOOKUP(conciliacao_custos!B248,#REF!,18,0),0)</f>
        <v>0</v>
      </c>
      <c r="O248" s="9">
        <f>IFERROR(VLOOKUP(B248,cubo!$A$6:$BK$37,44,0)-VLOOKUP(conciliacao_custos!B248,#REF!,13,0),0)</f>
        <v>0</v>
      </c>
      <c r="P248" s="9">
        <f>IFERROR(VLOOKUP(B248,cubo!$A$6:$BK$37,47,0)-VLOOKUP(conciliacao_custos!B248,#REF!,14,0),0)</f>
        <v>0</v>
      </c>
      <c r="Q248" s="9">
        <f>IFERROR(VLOOKUP(B248,cubo!$A$6:$BK$37,58,0)-VLOOKUP(conciliacao_custos!B248,#REF!,16,0),0)</f>
        <v>0</v>
      </c>
      <c r="R248" s="9">
        <f>IFERROR(VLOOKUP(B248,cubo!$A$6:$BK$37,64,0)-VLOOKUP(conciliacao_custos!B248,#REF!,17,0),0)</f>
        <v>0</v>
      </c>
      <c r="S248" s="9">
        <f>IFERROR(VLOOKUP(B248,cubo!$A$6:$BK$37,61,0)-VLOOKUP(conciliacao_custos!B248,#REF!,15,0),0)</f>
        <v>0</v>
      </c>
    </row>
    <row r="249" spans="2:19" x14ac:dyDescent="0.25">
      <c r="B249" s="7">
        <f>[1]salario!A248</f>
        <v>0</v>
      </c>
      <c r="C249" s="8">
        <f>[1]salario!C248</f>
        <v>0</v>
      </c>
      <c r="D249" s="10">
        <f>IFERROR(VLOOKUP(B249,cubo!$A$6:$BE$37,6,0)-VLOOKUP(B249,#REF!,$D$2,0),0)</f>
        <v>0</v>
      </c>
      <c r="E249" s="10">
        <f>IFERROR(VLOOKUP(B249,cubo!$A$6:$BE$37,9,0)-VLOOKUP(B249,#REF!,$E$2,0),0)</f>
        <v>0</v>
      </c>
      <c r="F249" s="9">
        <f>IFERROR(VLOOKUP(B249,cubo!$A$6:$BE$37,12,0)-VLOOKUP(B249,#REF!,$F$2,0),0)</f>
        <v>0</v>
      </c>
      <c r="G249" s="9">
        <f>IFERROR(VLOOKUP(B249,cubo!$A$6:$BE$37,54,0)-VLOOKUP(B249,#REF!,$G$2,0),0)</f>
        <v>0</v>
      </c>
      <c r="H249" s="10">
        <f>IFERROR(VLOOKUP(B249,cubo!$A$6:$BE$37,15,0)-VLOOKUP(B249,#REF!,$H$2,0),0)</f>
        <v>0</v>
      </c>
      <c r="I249" s="9">
        <f>IFERROR(VLOOKUP(B249,cubo!$A$6:$BE$37,18,0)-VLOOKUP(B249,#REF!,$I$2,0),0)</f>
        <v>0</v>
      </c>
      <c r="J249" s="9">
        <f>IFERROR(VLOOKUP(B249,cubo!$A$6:$BE$37,24,0)-VLOOKUP(B249,#REF!,$J$2,0),0)</f>
        <v>0</v>
      </c>
      <c r="K249" s="9">
        <f>IFERROR(VLOOKUP(B249,cubo!$A$6:$BE$37,34,0)-VLOOKUP(B249,#REF!,$K$2,0),0)</f>
        <v>0</v>
      </c>
      <c r="L249" s="8">
        <f>IFERROR(VLOOKUP(B249,cubo!$A$6:$BE$37,38,0)-VLOOKUP(B249,#REF!,$L$2,0),0)</f>
        <v>0</v>
      </c>
      <c r="M249" s="15">
        <f>IFERROR(VLOOKUP(B249,cubo!$A$6:$BE$37,57,0)-VLOOKUP(B249,#REF!,$M$2,0),0)</f>
        <v>0</v>
      </c>
      <c r="N249" s="9">
        <f>IFERROR(VLOOKUP(B249,cubo!$A$6:$BK$37,41,0)-VLOOKUP(conciliacao_custos!B249,#REF!,18,0),0)</f>
        <v>0</v>
      </c>
      <c r="O249" s="9">
        <f>IFERROR(VLOOKUP(B249,cubo!$A$6:$BK$37,44,0)-VLOOKUP(conciliacao_custos!B249,#REF!,13,0),0)</f>
        <v>0</v>
      </c>
      <c r="P249" s="9">
        <f>IFERROR(VLOOKUP(B249,cubo!$A$6:$BK$37,47,0)-VLOOKUP(conciliacao_custos!B249,#REF!,14,0),0)</f>
        <v>0</v>
      </c>
      <c r="Q249" s="9">
        <f>IFERROR(VLOOKUP(B249,cubo!$A$6:$BK$37,58,0)-VLOOKUP(conciliacao_custos!B249,#REF!,16,0),0)</f>
        <v>0</v>
      </c>
      <c r="R249" s="9">
        <f>IFERROR(VLOOKUP(B249,cubo!$A$6:$BK$37,64,0)-VLOOKUP(conciliacao_custos!B249,#REF!,17,0),0)</f>
        <v>0</v>
      </c>
      <c r="S249" s="9">
        <f>IFERROR(VLOOKUP(B249,cubo!$A$6:$BK$37,61,0)-VLOOKUP(conciliacao_custos!B249,#REF!,15,0),0)</f>
        <v>0</v>
      </c>
    </row>
    <row r="250" spans="2:19" x14ac:dyDescent="0.25">
      <c r="B250" s="7">
        <f>[1]salario!A249</f>
        <v>0</v>
      </c>
      <c r="C250" s="8">
        <f>[1]salario!C249</f>
        <v>0</v>
      </c>
      <c r="D250" s="10">
        <f>IFERROR(VLOOKUP(B250,cubo!$A$6:$BE$37,6,0)-VLOOKUP(B250,#REF!,$D$2,0),0)</f>
        <v>0</v>
      </c>
      <c r="E250" s="10">
        <f>IFERROR(VLOOKUP(B250,cubo!$A$6:$BE$37,9,0)-VLOOKUP(B250,#REF!,$E$2,0),0)</f>
        <v>0</v>
      </c>
      <c r="F250" s="9">
        <f>IFERROR(VLOOKUP(B250,cubo!$A$6:$BE$37,12,0)-VLOOKUP(B250,#REF!,$F$2,0),0)</f>
        <v>0</v>
      </c>
      <c r="G250" s="9">
        <f>IFERROR(VLOOKUP(B250,cubo!$A$6:$BE$37,54,0)-VLOOKUP(B250,#REF!,$G$2,0),0)</f>
        <v>0</v>
      </c>
      <c r="H250" s="10">
        <f>IFERROR(VLOOKUP(B250,cubo!$A$6:$BE$37,15,0)-VLOOKUP(B250,#REF!,$H$2,0),0)</f>
        <v>0</v>
      </c>
      <c r="I250" s="9">
        <f>IFERROR(VLOOKUP(B250,cubo!$A$6:$BE$37,18,0)-VLOOKUP(B250,#REF!,$I$2,0),0)</f>
        <v>0</v>
      </c>
      <c r="J250" s="9">
        <f>IFERROR(VLOOKUP(B250,cubo!$A$6:$BE$37,24,0)-VLOOKUP(B250,#REF!,$J$2,0),0)</f>
        <v>0</v>
      </c>
      <c r="K250" s="9">
        <f>IFERROR(VLOOKUP(B250,cubo!$A$6:$BE$37,34,0)-VLOOKUP(B250,#REF!,$K$2,0),0)</f>
        <v>0</v>
      </c>
      <c r="L250" s="8">
        <f>IFERROR(VLOOKUP(B250,cubo!$A$6:$BE$37,38,0)-VLOOKUP(B250,#REF!,$L$2,0),0)</f>
        <v>0</v>
      </c>
      <c r="M250" s="15">
        <f>IFERROR(VLOOKUP(B250,cubo!$A$6:$BE$37,57,0)-VLOOKUP(B250,#REF!,$M$2,0),0)</f>
        <v>0</v>
      </c>
      <c r="N250" s="9">
        <f>IFERROR(VLOOKUP(B250,cubo!$A$6:$BK$37,41,0)-VLOOKUP(conciliacao_custos!B250,#REF!,18,0),0)</f>
        <v>0</v>
      </c>
      <c r="O250" s="9">
        <f>IFERROR(VLOOKUP(B250,cubo!$A$6:$BK$37,44,0)-VLOOKUP(conciliacao_custos!B250,#REF!,13,0),0)</f>
        <v>0</v>
      </c>
      <c r="P250" s="9">
        <f>IFERROR(VLOOKUP(B250,cubo!$A$6:$BK$37,47,0)-VLOOKUP(conciliacao_custos!B250,#REF!,14,0),0)</f>
        <v>0</v>
      </c>
      <c r="Q250" s="9">
        <f>IFERROR(VLOOKUP(B250,cubo!$A$6:$BK$37,58,0)-VLOOKUP(conciliacao_custos!B250,#REF!,16,0),0)</f>
        <v>0</v>
      </c>
      <c r="R250" s="9">
        <f>IFERROR(VLOOKUP(B250,cubo!$A$6:$BK$37,64,0)-VLOOKUP(conciliacao_custos!B250,#REF!,17,0),0)</f>
        <v>0</v>
      </c>
      <c r="S250" s="9">
        <f>IFERROR(VLOOKUP(B250,cubo!$A$6:$BK$37,61,0)-VLOOKUP(conciliacao_custos!B250,#REF!,15,0),0)</f>
        <v>0</v>
      </c>
    </row>
    <row r="251" spans="2:19" x14ac:dyDescent="0.25">
      <c r="B251" s="7">
        <f>[1]salario!A250</f>
        <v>0</v>
      </c>
      <c r="C251" s="8">
        <f>[1]salario!C250</f>
        <v>0</v>
      </c>
      <c r="D251" s="10">
        <f>IFERROR(VLOOKUP(B251,cubo!$A$6:$BE$37,6,0)-VLOOKUP(B251,#REF!,$D$2,0),0)</f>
        <v>0</v>
      </c>
      <c r="E251" s="10">
        <f>IFERROR(VLOOKUP(B251,cubo!$A$6:$BE$37,9,0)-VLOOKUP(B251,#REF!,$E$2,0),0)</f>
        <v>0</v>
      </c>
      <c r="F251" s="9">
        <f>IFERROR(VLOOKUP(B251,cubo!$A$6:$BE$37,12,0)-VLOOKUP(B251,#REF!,$F$2,0),0)</f>
        <v>0</v>
      </c>
      <c r="G251" s="9">
        <f>IFERROR(VLOOKUP(B251,cubo!$A$6:$BE$37,54,0)-VLOOKUP(B251,#REF!,$G$2,0),0)</f>
        <v>0</v>
      </c>
      <c r="H251" s="10">
        <f>IFERROR(VLOOKUP(B251,cubo!$A$6:$BE$37,15,0)-VLOOKUP(B251,#REF!,$H$2,0),0)</f>
        <v>0</v>
      </c>
      <c r="I251" s="9">
        <f>IFERROR(VLOOKUP(B251,cubo!$A$6:$BE$37,18,0)-VLOOKUP(B251,#REF!,$I$2,0),0)</f>
        <v>0</v>
      </c>
      <c r="J251" s="9">
        <f>IFERROR(VLOOKUP(B251,cubo!$A$6:$BE$37,24,0)-VLOOKUP(B251,#REF!,$J$2,0),0)</f>
        <v>0</v>
      </c>
      <c r="K251" s="9">
        <f>IFERROR(VLOOKUP(B251,cubo!$A$6:$BE$37,34,0)-VLOOKUP(B251,#REF!,$K$2,0),0)</f>
        <v>0</v>
      </c>
      <c r="L251" s="8">
        <f>IFERROR(VLOOKUP(B251,cubo!$A$6:$BE$37,38,0)-VLOOKUP(B251,#REF!,$L$2,0),0)</f>
        <v>0</v>
      </c>
      <c r="M251" s="15">
        <f>IFERROR(VLOOKUP(B251,cubo!$A$6:$BE$37,57,0)-VLOOKUP(B251,#REF!,$M$2,0),0)</f>
        <v>0</v>
      </c>
      <c r="N251" s="9">
        <f>IFERROR(VLOOKUP(B251,cubo!$A$6:$BK$37,41,0)-VLOOKUP(conciliacao_custos!B251,#REF!,18,0),0)</f>
        <v>0</v>
      </c>
      <c r="O251" s="9">
        <f>IFERROR(VLOOKUP(B251,cubo!$A$6:$BK$37,44,0)-VLOOKUP(conciliacao_custos!B251,#REF!,13,0),0)</f>
        <v>0</v>
      </c>
      <c r="P251" s="9">
        <f>IFERROR(VLOOKUP(B251,cubo!$A$6:$BK$37,47,0)-VLOOKUP(conciliacao_custos!B251,#REF!,14,0),0)</f>
        <v>0</v>
      </c>
      <c r="Q251" s="9">
        <f>IFERROR(VLOOKUP(B251,cubo!$A$6:$BK$37,58,0)-VLOOKUP(conciliacao_custos!B251,#REF!,16,0),0)</f>
        <v>0</v>
      </c>
      <c r="R251" s="9">
        <f>IFERROR(VLOOKUP(B251,cubo!$A$6:$BK$37,64,0)-VLOOKUP(conciliacao_custos!B251,#REF!,17,0),0)</f>
        <v>0</v>
      </c>
      <c r="S251" s="9">
        <f>IFERROR(VLOOKUP(B251,cubo!$A$6:$BK$37,61,0)-VLOOKUP(conciliacao_custos!B251,#REF!,15,0),0)</f>
        <v>0</v>
      </c>
    </row>
    <row r="252" spans="2:19" x14ac:dyDescent="0.25">
      <c r="B252" s="7">
        <f>[1]salario!A251</f>
        <v>0</v>
      </c>
      <c r="C252" s="8">
        <f>[1]salario!C251</f>
        <v>0</v>
      </c>
      <c r="D252" s="10">
        <f>IFERROR(VLOOKUP(B252,cubo!$A$6:$BE$37,6,0)-VLOOKUP(B252,#REF!,$D$2,0),0)</f>
        <v>0</v>
      </c>
      <c r="E252" s="10">
        <f>IFERROR(VLOOKUP(B252,cubo!$A$6:$BE$37,9,0)-VLOOKUP(B252,#REF!,$E$2,0),0)</f>
        <v>0</v>
      </c>
      <c r="F252" s="9">
        <f>IFERROR(VLOOKUP(B252,cubo!$A$6:$BE$37,12,0)-VLOOKUP(B252,#REF!,$F$2,0),0)</f>
        <v>0</v>
      </c>
      <c r="G252" s="9">
        <f>IFERROR(VLOOKUP(B252,cubo!$A$6:$BE$37,54,0)-VLOOKUP(B252,#REF!,$G$2,0),0)</f>
        <v>0</v>
      </c>
      <c r="H252" s="10">
        <f>IFERROR(VLOOKUP(B252,cubo!$A$6:$BE$37,15,0)-VLOOKUP(B252,#REF!,$H$2,0),0)</f>
        <v>0</v>
      </c>
      <c r="I252" s="9">
        <f>IFERROR(VLOOKUP(B252,cubo!$A$6:$BE$37,18,0)-VLOOKUP(B252,#REF!,$I$2,0),0)</f>
        <v>0</v>
      </c>
      <c r="J252" s="9">
        <f>IFERROR(VLOOKUP(B252,cubo!$A$6:$BE$37,24,0)-VLOOKUP(B252,#REF!,$J$2,0),0)</f>
        <v>0</v>
      </c>
      <c r="K252" s="9">
        <f>IFERROR(VLOOKUP(B252,cubo!$A$6:$BE$37,34,0)-VLOOKUP(B252,#REF!,$K$2,0),0)</f>
        <v>0</v>
      </c>
      <c r="L252" s="8">
        <f>IFERROR(VLOOKUP(B252,cubo!$A$6:$BE$37,38,0)-VLOOKUP(B252,#REF!,$L$2,0),0)</f>
        <v>0</v>
      </c>
      <c r="M252" s="15">
        <f>IFERROR(VLOOKUP(B252,cubo!$A$6:$BE$37,57,0)-VLOOKUP(B252,#REF!,$M$2,0),0)</f>
        <v>0</v>
      </c>
      <c r="N252" s="9">
        <f>IFERROR(VLOOKUP(B252,cubo!$A$6:$BK$37,41,0)-VLOOKUP(conciliacao_custos!B252,#REF!,18,0),0)</f>
        <v>0</v>
      </c>
      <c r="O252" s="9">
        <f>IFERROR(VLOOKUP(B252,cubo!$A$6:$BK$37,44,0)-VLOOKUP(conciliacao_custos!B252,#REF!,13,0),0)</f>
        <v>0</v>
      </c>
      <c r="P252" s="9">
        <f>IFERROR(VLOOKUP(B252,cubo!$A$6:$BK$37,47,0)-VLOOKUP(conciliacao_custos!B252,#REF!,14,0),0)</f>
        <v>0</v>
      </c>
      <c r="Q252" s="9">
        <f>IFERROR(VLOOKUP(B252,cubo!$A$6:$BK$37,58,0)-VLOOKUP(conciliacao_custos!B252,#REF!,16,0),0)</f>
        <v>0</v>
      </c>
      <c r="R252" s="9">
        <f>IFERROR(VLOOKUP(B252,cubo!$A$6:$BK$37,64,0)-VLOOKUP(conciliacao_custos!B252,#REF!,17,0),0)</f>
        <v>0</v>
      </c>
      <c r="S252" s="9">
        <f>IFERROR(VLOOKUP(B252,cubo!$A$6:$BK$37,61,0)-VLOOKUP(conciliacao_custos!B252,#REF!,15,0),0)</f>
        <v>0</v>
      </c>
    </row>
    <row r="253" spans="2:19" x14ac:dyDescent="0.25">
      <c r="B253" s="7">
        <f>[1]salario!A252</f>
        <v>0</v>
      </c>
      <c r="C253" s="8">
        <f>[1]salario!C252</f>
        <v>0</v>
      </c>
      <c r="D253" s="10">
        <f>IFERROR(VLOOKUP(B253,cubo!$A$6:$BE$37,6,0)-VLOOKUP(B253,#REF!,$D$2,0),0)</f>
        <v>0</v>
      </c>
      <c r="E253" s="10">
        <f>IFERROR(VLOOKUP(B253,cubo!$A$6:$BE$37,9,0)-VLOOKUP(B253,#REF!,$E$2,0),0)</f>
        <v>0</v>
      </c>
      <c r="F253" s="9">
        <f>IFERROR(VLOOKUP(B253,cubo!$A$6:$BE$37,12,0)-VLOOKUP(B253,#REF!,$F$2,0),0)</f>
        <v>0</v>
      </c>
      <c r="G253" s="9">
        <f>IFERROR(VLOOKUP(B253,cubo!$A$6:$BE$37,54,0)-VLOOKUP(B253,#REF!,$G$2,0),0)</f>
        <v>0</v>
      </c>
      <c r="H253" s="10">
        <f>IFERROR(VLOOKUP(B253,cubo!$A$6:$BE$37,15,0)-VLOOKUP(B253,#REF!,$H$2,0),0)</f>
        <v>0</v>
      </c>
      <c r="I253" s="9">
        <f>IFERROR(VLOOKUP(B253,cubo!$A$6:$BE$37,18,0)-VLOOKUP(B253,#REF!,$I$2,0),0)</f>
        <v>0</v>
      </c>
      <c r="J253" s="9">
        <f>IFERROR(VLOOKUP(B253,cubo!$A$6:$BE$37,24,0)-VLOOKUP(B253,#REF!,$J$2,0),0)</f>
        <v>0</v>
      </c>
      <c r="K253" s="9">
        <f>IFERROR(VLOOKUP(B253,cubo!$A$6:$BE$37,34,0)-VLOOKUP(B253,#REF!,$K$2,0),0)</f>
        <v>0</v>
      </c>
      <c r="L253" s="8">
        <f>IFERROR(VLOOKUP(B253,cubo!$A$6:$BE$37,38,0)-VLOOKUP(B253,#REF!,$L$2,0),0)</f>
        <v>0</v>
      </c>
      <c r="M253" s="15">
        <f>IFERROR(VLOOKUP(B253,cubo!$A$6:$BE$37,57,0)-VLOOKUP(B253,#REF!,$M$2,0),0)</f>
        <v>0</v>
      </c>
      <c r="N253" s="9">
        <f>IFERROR(VLOOKUP(B253,cubo!$A$6:$BK$37,41,0)-VLOOKUP(conciliacao_custos!B253,#REF!,18,0),0)</f>
        <v>0</v>
      </c>
      <c r="O253" s="9">
        <f>IFERROR(VLOOKUP(B253,cubo!$A$6:$BK$37,44,0)-VLOOKUP(conciliacao_custos!B253,#REF!,13,0),0)</f>
        <v>0</v>
      </c>
      <c r="P253" s="9">
        <f>IFERROR(VLOOKUP(B253,cubo!$A$6:$BK$37,47,0)-VLOOKUP(conciliacao_custos!B253,#REF!,14,0),0)</f>
        <v>0</v>
      </c>
      <c r="Q253" s="9">
        <f>IFERROR(VLOOKUP(B253,cubo!$A$6:$BK$37,58,0)-VLOOKUP(conciliacao_custos!B253,#REF!,16,0),0)</f>
        <v>0</v>
      </c>
      <c r="R253" s="9">
        <f>IFERROR(VLOOKUP(B253,cubo!$A$6:$BK$37,64,0)-VLOOKUP(conciliacao_custos!B253,#REF!,17,0),0)</f>
        <v>0</v>
      </c>
      <c r="S253" s="9">
        <f>IFERROR(VLOOKUP(B253,cubo!$A$6:$BK$37,61,0)-VLOOKUP(conciliacao_custos!B253,#REF!,15,0),0)</f>
        <v>0</v>
      </c>
    </row>
    <row r="254" spans="2:19" x14ac:dyDescent="0.25">
      <c r="B254" s="7">
        <f>[1]salario!A253</f>
        <v>0</v>
      </c>
      <c r="C254" s="8">
        <f>[1]salario!C253</f>
        <v>0</v>
      </c>
      <c r="D254" s="10">
        <f>IFERROR(VLOOKUP(B254,cubo!$A$6:$BE$37,6,0)-VLOOKUP(B254,#REF!,$D$2,0),0)</f>
        <v>0</v>
      </c>
      <c r="E254" s="10">
        <f>IFERROR(VLOOKUP(B254,cubo!$A$6:$BE$37,9,0)-VLOOKUP(B254,#REF!,$E$2,0),0)</f>
        <v>0</v>
      </c>
      <c r="F254" s="9">
        <f>IFERROR(VLOOKUP(B254,cubo!$A$6:$BE$37,12,0)-VLOOKUP(B254,#REF!,$F$2,0),0)</f>
        <v>0</v>
      </c>
      <c r="G254" s="9">
        <f>IFERROR(VLOOKUP(B254,cubo!$A$6:$BE$37,54,0)-VLOOKUP(B254,#REF!,$G$2,0),0)</f>
        <v>0</v>
      </c>
      <c r="H254" s="10">
        <f>IFERROR(VLOOKUP(B254,cubo!$A$6:$BE$37,15,0)-VLOOKUP(B254,#REF!,$H$2,0),0)</f>
        <v>0</v>
      </c>
      <c r="I254" s="9">
        <f>IFERROR(VLOOKUP(B254,cubo!$A$6:$BE$37,18,0)-VLOOKUP(B254,#REF!,$I$2,0),0)</f>
        <v>0</v>
      </c>
      <c r="J254" s="9">
        <f>IFERROR(VLOOKUP(B254,cubo!$A$6:$BE$37,24,0)-VLOOKUP(B254,#REF!,$J$2,0),0)</f>
        <v>0</v>
      </c>
      <c r="K254" s="9">
        <f>IFERROR(VLOOKUP(B254,cubo!$A$6:$BE$37,34,0)-VLOOKUP(B254,#REF!,$K$2,0),0)</f>
        <v>0</v>
      </c>
      <c r="L254" s="8">
        <f>IFERROR(VLOOKUP(B254,cubo!$A$6:$BE$37,38,0)-VLOOKUP(B254,#REF!,$L$2,0),0)</f>
        <v>0</v>
      </c>
      <c r="M254" s="15">
        <f>IFERROR(VLOOKUP(B254,cubo!$A$6:$BE$37,57,0)-VLOOKUP(B254,#REF!,$M$2,0),0)</f>
        <v>0</v>
      </c>
      <c r="N254" s="9">
        <f>IFERROR(VLOOKUP(B254,cubo!$A$6:$BK$37,41,0)-VLOOKUP(conciliacao_custos!B254,#REF!,18,0),0)</f>
        <v>0</v>
      </c>
      <c r="O254" s="9">
        <f>IFERROR(VLOOKUP(B254,cubo!$A$6:$BK$37,44,0)-VLOOKUP(conciliacao_custos!B254,#REF!,13,0),0)</f>
        <v>0</v>
      </c>
      <c r="P254" s="9">
        <f>IFERROR(VLOOKUP(B254,cubo!$A$6:$BK$37,47,0)-VLOOKUP(conciliacao_custos!B254,#REF!,14,0),0)</f>
        <v>0</v>
      </c>
      <c r="Q254" s="9">
        <f>IFERROR(VLOOKUP(B254,cubo!$A$6:$BK$37,58,0)-VLOOKUP(conciliacao_custos!B254,#REF!,16,0),0)</f>
        <v>0</v>
      </c>
      <c r="R254" s="9">
        <f>IFERROR(VLOOKUP(B254,cubo!$A$6:$BK$37,64,0)-VLOOKUP(conciliacao_custos!B254,#REF!,17,0),0)</f>
        <v>0</v>
      </c>
      <c r="S254" s="9">
        <f>IFERROR(VLOOKUP(B254,cubo!$A$6:$BK$37,61,0)-VLOOKUP(conciliacao_custos!B254,#REF!,15,0),0)</f>
        <v>0</v>
      </c>
    </row>
    <row r="255" spans="2:19" x14ac:dyDescent="0.25">
      <c r="B255" s="7">
        <f>[1]salario!A254</f>
        <v>0</v>
      </c>
      <c r="C255" s="8">
        <f>[1]salario!C254</f>
        <v>0</v>
      </c>
      <c r="D255" s="10">
        <f>IFERROR(VLOOKUP(B255,cubo!$A$6:$BE$37,6,0)-VLOOKUP(B255,#REF!,$D$2,0),0)</f>
        <v>0</v>
      </c>
      <c r="E255" s="10">
        <f>IFERROR(VLOOKUP(B255,cubo!$A$6:$BE$37,9,0)-VLOOKUP(B255,#REF!,$E$2,0),0)</f>
        <v>0</v>
      </c>
      <c r="F255" s="9">
        <f>IFERROR(VLOOKUP(B255,cubo!$A$6:$BE$37,12,0)-VLOOKUP(B255,#REF!,$F$2,0),0)</f>
        <v>0</v>
      </c>
      <c r="G255" s="9">
        <f>IFERROR(VLOOKUP(B255,cubo!$A$6:$BE$37,54,0)-VLOOKUP(B255,#REF!,$G$2,0),0)</f>
        <v>0</v>
      </c>
      <c r="H255" s="10">
        <f>IFERROR(VLOOKUP(B255,cubo!$A$6:$BE$37,15,0)-VLOOKUP(B255,#REF!,$H$2,0),0)</f>
        <v>0</v>
      </c>
      <c r="I255" s="9">
        <f>IFERROR(VLOOKUP(B255,cubo!$A$6:$BE$37,18,0)-VLOOKUP(B255,#REF!,$I$2,0),0)</f>
        <v>0</v>
      </c>
      <c r="J255" s="9">
        <f>IFERROR(VLOOKUP(B255,cubo!$A$6:$BE$37,24,0)-VLOOKUP(B255,#REF!,$J$2,0),0)</f>
        <v>0</v>
      </c>
      <c r="K255" s="9">
        <f>IFERROR(VLOOKUP(B255,cubo!$A$6:$BE$37,34,0)-VLOOKUP(B255,#REF!,$K$2,0),0)</f>
        <v>0</v>
      </c>
      <c r="L255" s="8">
        <f>IFERROR(VLOOKUP(B255,cubo!$A$6:$BE$37,38,0)-VLOOKUP(B255,#REF!,$L$2,0),0)</f>
        <v>0</v>
      </c>
      <c r="M255" s="15">
        <f>IFERROR(VLOOKUP(B255,cubo!$A$6:$BE$37,57,0)-VLOOKUP(B255,#REF!,$M$2,0),0)</f>
        <v>0</v>
      </c>
      <c r="N255" s="9">
        <f>IFERROR(VLOOKUP(B255,cubo!$A$6:$BK$37,41,0)-VLOOKUP(conciliacao_custos!B255,#REF!,18,0),0)</f>
        <v>0</v>
      </c>
      <c r="O255" s="9">
        <f>IFERROR(VLOOKUP(B255,cubo!$A$6:$BK$37,44,0)-VLOOKUP(conciliacao_custos!B255,#REF!,13,0),0)</f>
        <v>0</v>
      </c>
      <c r="P255" s="9">
        <f>IFERROR(VLOOKUP(B255,cubo!$A$6:$BK$37,47,0)-VLOOKUP(conciliacao_custos!B255,#REF!,14,0),0)</f>
        <v>0</v>
      </c>
      <c r="Q255" s="9">
        <f>IFERROR(VLOOKUP(B255,cubo!$A$6:$BK$37,58,0)-VLOOKUP(conciliacao_custos!B255,#REF!,16,0),0)</f>
        <v>0</v>
      </c>
      <c r="R255" s="9">
        <f>IFERROR(VLOOKUP(B255,cubo!$A$6:$BK$37,64,0)-VLOOKUP(conciliacao_custos!B255,#REF!,17,0),0)</f>
        <v>0</v>
      </c>
      <c r="S255" s="9">
        <f>IFERROR(VLOOKUP(B255,cubo!$A$6:$BK$37,61,0)-VLOOKUP(conciliacao_custos!B255,#REF!,15,0),0)</f>
        <v>0</v>
      </c>
    </row>
    <row r="256" spans="2:19" x14ac:dyDescent="0.25">
      <c r="B256" s="7">
        <f>[1]salario!A255</f>
        <v>0</v>
      </c>
      <c r="C256" s="8">
        <f>[1]salario!C255</f>
        <v>0</v>
      </c>
      <c r="D256" s="10">
        <f>IFERROR(VLOOKUP(B256,cubo!$A$6:$BE$37,6,0)-VLOOKUP(B256,#REF!,$D$2,0),0)</f>
        <v>0</v>
      </c>
      <c r="E256" s="10">
        <f>IFERROR(VLOOKUP(B256,cubo!$A$6:$BE$37,9,0)-VLOOKUP(B256,#REF!,$E$2,0),0)</f>
        <v>0</v>
      </c>
      <c r="F256" s="9">
        <f>IFERROR(VLOOKUP(B256,cubo!$A$6:$BE$37,12,0)-VLOOKUP(B256,#REF!,$F$2,0),0)</f>
        <v>0</v>
      </c>
      <c r="G256" s="9">
        <f>IFERROR(VLOOKUP(B256,cubo!$A$6:$BE$37,54,0)-VLOOKUP(B256,#REF!,$G$2,0),0)</f>
        <v>0</v>
      </c>
      <c r="H256" s="10">
        <f>IFERROR(VLOOKUP(B256,cubo!$A$6:$BE$37,15,0)-VLOOKUP(B256,#REF!,$H$2,0),0)</f>
        <v>0</v>
      </c>
      <c r="I256" s="9">
        <f>IFERROR(VLOOKUP(B256,cubo!$A$6:$BE$37,18,0)-VLOOKUP(B256,#REF!,$I$2,0),0)</f>
        <v>0</v>
      </c>
      <c r="J256" s="9">
        <f>IFERROR(VLOOKUP(B256,cubo!$A$6:$BE$37,24,0)-VLOOKUP(B256,#REF!,$J$2,0),0)</f>
        <v>0</v>
      </c>
      <c r="K256" s="9">
        <f>IFERROR(VLOOKUP(B256,cubo!$A$6:$BE$37,34,0)-VLOOKUP(B256,#REF!,$K$2,0),0)</f>
        <v>0</v>
      </c>
      <c r="L256" s="8">
        <f>IFERROR(VLOOKUP(B256,cubo!$A$6:$BE$37,38,0)-VLOOKUP(B256,#REF!,$L$2,0),0)</f>
        <v>0</v>
      </c>
      <c r="M256" s="15">
        <f>IFERROR(VLOOKUP(B256,cubo!$A$6:$BE$37,57,0)-VLOOKUP(B256,#REF!,$M$2,0),0)</f>
        <v>0</v>
      </c>
      <c r="N256" s="9">
        <f>IFERROR(VLOOKUP(B256,cubo!$A$6:$BK$37,41,0)-VLOOKUP(conciliacao_custos!B256,#REF!,18,0),0)</f>
        <v>0</v>
      </c>
      <c r="O256" s="9">
        <f>IFERROR(VLOOKUP(B256,cubo!$A$6:$BK$37,44,0)-VLOOKUP(conciliacao_custos!B256,#REF!,13,0),0)</f>
        <v>0</v>
      </c>
      <c r="P256" s="9">
        <f>IFERROR(VLOOKUP(B256,cubo!$A$6:$BK$37,47,0)-VLOOKUP(conciliacao_custos!B256,#REF!,14,0),0)</f>
        <v>0</v>
      </c>
      <c r="Q256" s="9">
        <f>IFERROR(VLOOKUP(B256,cubo!$A$6:$BK$37,58,0)-VLOOKUP(conciliacao_custos!B256,#REF!,16,0),0)</f>
        <v>0</v>
      </c>
      <c r="R256" s="9">
        <f>IFERROR(VLOOKUP(B256,cubo!$A$6:$BK$37,64,0)-VLOOKUP(conciliacao_custos!B256,#REF!,17,0),0)</f>
        <v>0</v>
      </c>
      <c r="S256" s="9">
        <f>IFERROR(VLOOKUP(B256,cubo!$A$6:$BK$37,61,0)-VLOOKUP(conciliacao_custos!B256,#REF!,15,0),0)</f>
        <v>0</v>
      </c>
    </row>
    <row r="257" spans="2:19" x14ac:dyDescent="0.25">
      <c r="B257" s="7">
        <f>[1]salario!A256</f>
        <v>0</v>
      </c>
      <c r="C257" s="8">
        <f>[1]salario!C256</f>
        <v>0</v>
      </c>
      <c r="D257" s="10">
        <f>IFERROR(VLOOKUP(B257,cubo!$A$6:$BE$37,6,0)-VLOOKUP(B257,#REF!,$D$2,0),0)</f>
        <v>0</v>
      </c>
      <c r="E257" s="10">
        <f>IFERROR(VLOOKUP(B257,cubo!$A$6:$BE$37,9,0)-VLOOKUP(B257,#REF!,$E$2,0),0)</f>
        <v>0</v>
      </c>
      <c r="F257" s="9">
        <f>IFERROR(VLOOKUP(B257,cubo!$A$6:$BE$37,12,0)-VLOOKUP(B257,#REF!,$F$2,0),0)</f>
        <v>0</v>
      </c>
      <c r="G257" s="9">
        <f>IFERROR(VLOOKUP(B257,cubo!$A$6:$BE$37,54,0)-VLOOKUP(B257,#REF!,$G$2,0),0)</f>
        <v>0</v>
      </c>
      <c r="H257" s="10">
        <f>IFERROR(VLOOKUP(B257,cubo!$A$6:$BE$37,15,0)-VLOOKUP(B257,#REF!,$H$2,0),0)</f>
        <v>0</v>
      </c>
      <c r="I257" s="9">
        <f>IFERROR(VLOOKUP(B257,cubo!$A$6:$BE$37,18,0)-VLOOKUP(B257,#REF!,$I$2,0),0)</f>
        <v>0</v>
      </c>
      <c r="J257" s="9">
        <f>IFERROR(VLOOKUP(B257,cubo!$A$6:$BE$37,24,0)-VLOOKUP(B257,#REF!,$J$2,0),0)</f>
        <v>0</v>
      </c>
      <c r="K257" s="9">
        <f>IFERROR(VLOOKUP(B257,cubo!$A$6:$BE$37,34,0)-VLOOKUP(B257,#REF!,$K$2,0),0)</f>
        <v>0</v>
      </c>
      <c r="L257" s="8">
        <f>IFERROR(VLOOKUP(B257,cubo!$A$6:$BE$37,38,0)-VLOOKUP(B257,#REF!,$L$2,0),0)</f>
        <v>0</v>
      </c>
      <c r="M257" s="15">
        <f>IFERROR(VLOOKUP(B257,cubo!$A$6:$BE$37,57,0)-VLOOKUP(B257,#REF!,$M$2,0),0)</f>
        <v>0</v>
      </c>
      <c r="N257" s="9">
        <f>IFERROR(VLOOKUP(B257,cubo!$A$6:$BK$37,41,0)-VLOOKUP(conciliacao_custos!B257,#REF!,18,0),0)</f>
        <v>0</v>
      </c>
      <c r="O257" s="9">
        <f>IFERROR(VLOOKUP(B257,cubo!$A$6:$BK$37,44,0)-VLOOKUP(conciliacao_custos!B257,#REF!,13,0),0)</f>
        <v>0</v>
      </c>
      <c r="P257" s="9">
        <f>IFERROR(VLOOKUP(B257,cubo!$A$6:$BK$37,47,0)-VLOOKUP(conciliacao_custos!B257,#REF!,14,0),0)</f>
        <v>0</v>
      </c>
      <c r="Q257" s="9">
        <f>IFERROR(VLOOKUP(B257,cubo!$A$6:$BK$37,58,0)-VLOOKUP(conciliacao_custos!B257,#REF!,16,0),0)</f>
        <v>0</v>
      </c>
      <c r="R257" s="9">
        <f>IFERROR(VLOOKUP(B257,cubo!$A$6:$BK$37,64,0)-VLOOKUP(conciliacao_custos!B257,#REF!,17,0),0)</f>
        <v>0</v>
      </c>
      <c r="S257" s="9">
        <f>IFERROR(VLOOKUP(B257,cubo!$A$6:$BK$37,61,0)-VLOOKUP(conciliacao_custos!B257,#REF!,15,0),0)</f>
        <v>0</v>
      </c>
    </row>
    <row r="258" spans="2:19" x14ac:dyDescent="0.25">
      <c r="B258" s="7">
        <f>[1]salario!A257</f>
        <v>0</v>
      </c>
      <c r="C258" s="8">
        <f>[1]salario!C257</f>
        <v>0</v>
      </c>
      <c r="D258" s="10">
        <f>IFERROR(VLOOKUP(B258,cubo!$A$6:$BE$37,6,0)-VLOOKUP(B258,#REF!,$D$2,0),0)</f>
        <v>0</v>
      </c>
      <c r="E258" s="10">
        <f>IFERROR(VLOOKUP(B258,cubo!$A$6:$BE$37,9,0)-VLOOKUP(B258,#REF!,$E$2,0),0)</f>
        <v>0</v>
      </c>
      <c r="F258" s="9">
        <f>IFERROR(VLOOKUP(B258,cubo!$A$6:$BE$37,12,0)-VLOOKUP(B258,#REF!,$F$2,0),0)</f>
        <v>0</v>
      </c>
      <c r="G258" s="9">
        <f>IFERROR(VLOOKUP(B258,cubo!$A$6:$BE$37,54,0)-VLOOKUP(B258,#REF!,$G$2,0),0)</f>
        <v>0</v>
      </c>
      <c r="H258" s="10">
        <f>IFERROR(VLOOKUP(B258,cubo!$A$6:$BE$37,15,0)-VLOOKUP(B258,#REF!,$H$2,0),0)</f>
        <v>0</v>
      </c>
      <c r="I258" s="9">
        <f>IFERROR(VLOOKUP(B258,cubo!$A$6:$BE$37,18,0)-VLOOKUP(B258,#REF!,$I$2,0),0)</f>
        <v>0</v>
      </c>
      <c r="J258" s="9">
        <f>IFERROR(VLOOKUP(B258,cubo!$A$6:$BE$37,24,0)-VLOOKUP(B258,#REF!,$J$2,0),0)</f>
        <v>0</v>
      </c>
      <c r="K258" s="9">
        <f>IFERROR(VLOOKUP(B258,cubo!$A$6:$BE$37,34,0)-VLOOKUP(B258,#REF!,$K$2,0),0)</f>
        <v>0</v>
      </c>
      <c r="L258" s="8">
        <f>IFERROR(VLOOKUP(B258,cubo!$A$6:$BE$37,38,0)-VLOOKUP(B258,#REF!,$L$2,0),0)</f>
        <v>0</v>
      </c>
      <c r="M258" s="15">
        <f>IFERROR(VLOOKUP(B258,cubo!$A$6:$BE$37,57,0)-VLOOKUP(B258,#REF!,$M$2,0),0)</f>
        <v>0</v>
      </c>
      <c r="N258" s="9">
        <f>IFERROR(VLOOKUP(B258,cubo!$A$6:$BK$37,41,0)-VLOOKUP(conciliacao_custos!B258,#REF!,18,0),0)</f>
        <v>0</v>
      </c>
      <c r="O258" s="9">
        <f>IFERROR(VLOOKUP(B258,cubo!$A$6:$BK$37,44,0)-VLOOKUP(conciliacao_custos!B258,#REF!,13,0),0)</f>
        <v>0</v>
      </c>
      <c r="P258" s="9">
        <f>IFERROR(VLOOKUP(B258,cubo!$A$6:$BK$37,47,0)-VLOOKUP(conciliacao_custos!B258,#REF!,14,0),0)</f>
        <v>0</v>
      </c>
      <c r="Q258" s="9">
        <f>IFERROR(VLOOKUP(B258,cubo!$A$6:$BK$37,58,0)-VLOOKUP(conciliacao_custos!B258,#REF!,16,0),0)</f>
        <v>0</v>
      </c>
      <c r="R258" s="9">
        <f>IFERROR(VLOOKUP(B258,cubo!$A$6:$BK$37,64,0)-VLOOKUP(conciliacao_custos!B258,#REF!,17,0),0)</f>
        <v>0</v>
      </c>
      <c r="S258" s="9">
        <f>IFERROR(VLOOKUP(B258,cubo!$A$6:$BK$37,61,0)-VLOOKUP(conciliacao_custos!B258,#REF!,15,0),0)</f>
        <v>0</v>
      </c>
    </row>
    <row r="259" spans="2:19" x14ac:dyDescent="0.25">
      <c r="B259" s="7">
        <f>[1]salario!A258</f>
        <v>0</v>
      </c>
      <c r="C259" s="8">
        <f>[1]salario!C258</f>
        <v>0</v>
      </c>
      <c r="D259" s="10">
        <f>IFERROR(VLOOKUP(B259,cubo!$A$6:$BE$37,6,0)-VLOOKUP(B259,#REF!,$D$2,0),0)</f>
        <v>0</v>
      </c>
      <c r="E259" s="10">
        <f>IFERROR(VLOOKUP(B259,cubo!$A$6:$BE$37,9,0)-VLOOKUP(B259,#REF!,$E$2,0),0)</f>
        <v>0</v>
      </c>
      <c r="F259" s="9">
        <f>IFERROR(VLOOKUP(B259,cubo!$A$6:$BE$37,12,0)-VLOOKUP(B259,#REF!,$F$2,0),0)</f>
        <v>0</v>
      </c>
      <c r="G259" s="9">
        <f>IFERROR(VLOOKUP(B259,cubo!$A$6:$BE$37,54,0)-VLOOKUP(B259,#REF!,$G$2,0),0)</f>
        <v>0</v>
      </c>
      <c r="H259" s="10">
        <f>IFERROR(VLOOKUP(B259,cubo!$A$6:$BE$37,15,0)-VLOOKUP(B259,#REF!,$H$2,0),0)</f>
        <v>0</v>
      </c>
      <c r="I259" s="9">
        <f>IFERROR(VLOOKUP(B259,cubo!$A$6:$BE$37,18,0)-VLOOKUP(B259,#REF!,$I$2,0),0)</f>
        <v>0</v>
      </c>
      <c r="J259" s="9">
        <f>IFERROR(VLOOKUP(B259,cubo!$A$6:$BE$37,24,0)-VLOOKUP(B259,#REF!,$J$2,0),0)</f>
        <v>0</v>
      </c>
      <c r="K259" s="9">
        <f>IFERROR(VLOOKUP(B259,cubo!$A$6:$BE$37,34,0)-VLOOKUP(B259,#REF!,$K$2,0),0)</f>
        <v>0</v>
      </c>
      <c r="L259" s="8">
        <f>IFERROR(VLOOKUP(B259,cubo!$A$6:$BE$37,38,0)-VLOOKUP(B259,#REF!,$L$2,0),0)</f>
        <v>0</v>
      </c>
      <c r="M259" s="15">
        <f>IFERROR(VLOOKUP(B259,cubo!$A$6:$BE$37,57,0)-VLOOKUP(B259,#REF!,$M$2,0),0)</f>
        <v>0</v>
      </c>
      <c r="N259" s="9">
        <f>IFERROR(VLOOKUP(B259,cubo!$A$6:$BK$37,41,0)-VLOOKUP(conciliacao_custos!B259,#REF!,18,0),0)</f>
        <v>0</v>
      </c>
      <c r="O259" s="9">
        <f>IFERROR(VLOOKUP(B259,cubo!$A$6:$BK$37,44,0)-VLOOKUP(conciliacao_custos!B259,#REF!,13,0),0)</f>
        <v>0</v>
      </c>
      <c r="P259" s="9">
        <f>IFERROR(VLOOKUP(B259,cubo!$A$6:$BK$37,47,0)-VLOOKUP(conciliacao_custos!B259,#REF!,14,0),0)</f>
        <v>0</v>
      </c>
      <c r="Q259" s="9">
        <f>IFERROR(VLOOKUP(B259,cubo!$A$6:$BK$37,58,0)-VLOOKUP(conciliacao_custos!B259,#REF!,16,0),0)</f>
        <v>0</v>
      </c>
      <c r="R259" s="9">
        <f>IFERROR(VLOOKUP(B259,cubo!$A$6:$BK$37,64,0)-VLOOKUP(conciliacao_custos!B259,#REF!,17,0),0)</f>
        <v>0</v>
      </c>
      <c r="S259" s="9">
        <f>IFERROR(VLOOKUP(B259,cubo!$A$6:$BK$37,61,0)-VLOOKUP(conciliacao_custos!B259,#REF!,15,0),0)</f>
        <v>0</v>
      </c>
    </row>
    <row r="260" spans="2:19" x14ac:dyDescent="0.25">
      <c r="B260" s="7">
        <f>[1]salario!A259</f>
        <v>0</v>
      </c>
      <c r="C260" s="8">
        <f>[1]salario!C259</f>
        <v>0</v>
      </c>
      <c r="D260" s="10">
        <f>IFERROR(VLOOKUP(B260,cubo!$A$6:$BE$37,6,0)-VLOOKUP(B260,#REF!,$D$2,0),0)</f>
        <v>0</v>
      </c>
      <c r="E260" s="10">
        <f>IFERROR(VLOOKUP(B260,cubo!$A$6:$BE$37,9,0)-VLOOKUP(B260,#REF!,$E$2,0),0)</f>
        <v>0</v>
      </c>
      <c r="F260" s="9">
        <f>IFERROR(VLOOKUP(B260,cubo!$A$6:$BE$37,12,0)-VLOOKUP(B260,#REF!,$F$2,0),0)</f>
        <v>0</v>
      </c>
      <c r="G260" s="9">
        <f>IFERROR(VLOOKUP(B260,cubo!$A$6:$BE$37,54,0)-VLOOKUP(B260,#REF!,$G$2,0),0)</f>
        <v>0</v>
      </c>
      <c r="H260" s="10">
        <f>IFERROR(VLOOKUP(B260,cubo!$A$6:$BE$37,15,0)-VLOOKUP(B260,#REF!,$H$2,0),0)</f>
        <v>0</v>
      </c>
      <c r="I260" s="9">
        <f>IFERROR(VLOOKUP(B260,cubo!$A$6:$BE$37,18,0)-VLOOKUP(B260,#REF!,$I$2,0),0)</f>
        <v>0</v>
      </c>
      <c r="J260" s="9">
        <f>IFERROR(VLOOKUP(B260,cubo!$A$6:$BE$37,24,0)-VLOOKUP(B260,#REF!,$J$2,0),0)</f>
        <v>0</v>
      </c>
      <c r="K260" s="9">
        <f>IFERROR(VLOOKUP(B260,cubo!$A$6:$BE$37,34,0)-VLOOKUP(B260,#REF!,$K$2,0),0)</f>
        <v>0</v>
      </c>
      <c r="L260" s="8">
        <f>IFERROR(VLOOKUP(B260,cubo!$A$6:$BE$37,38,0)-VLOOKUP(B260,#REF!,$L$2,0),0)</f>
        <v>0</v>
      </c>
      <c r="M260" s="15">
        <f>IFERROR(VLOOKUP(B260,cubo!$A$6:$BE$37,57,0)-VLOOKUP(B260,#REF!,$M$2,0),0)</f>
        <v>0</v>
      </c>
      <c r="N260" s="9">
        <f>IFERROR(VLOOKUP(B260,cubo!$A$6:$BK$37,41,0)-VLOOKUP(conciliacao_custos!B260,#REF!,18,0),0)</f>
        <v>0</v>
      </c>
      <c r="O260" s="9">
        <f>IFERROR(VLOOKUP(B260,cubo!$A$6:$BK$37,44,0)-VLOOKUP(conciliacao_custos!B260,#REF!,13,0),0)</f>
        <v>0</v>
      </c>
      <c r="P260" s="9">
        <f>IFERROR(VLOOKUP(B260,cubo!$A$6:$BK$37,47,0)-VLOOKUP(conciliacao_custos!B260,#REF!,14,0),0)</f>
        <v>0</v>
      </c>
      <c r="Q260" s="9">
        <f>IFERROR(VLOOKUP(B260,cubo!$A$6:$BK$37,58,0)-VLOOKUP(conciliacao_custos!B260,#REF!,16,0),0)</f>
        <v>0</v>
      </c>
      <c r="R260" s="9">
        <f>IFERROR(VLOOKUP(B260,cubo!$A$6:$BK$37,64,0)-VLOOKUP(conciliacao_custos!B260,#REF!,17,0),0)</f>
        <v>0</v>
      </c>
      <c r="S260" s="9">
        <f>IFERROR(VLOOKUP(B260,cubo!$A$6:$BK$37,61,0)-VLOOKUP(conciliacao_custos!B260,#REF!,15,0),0)</f>
        <v>0</v>
      </c>
    </row>
    <row r="261" spans="2:19" x14ac:dyDescent="0.25">
      <c r="B261" s="7">
        <f>[1]salario!A260</f>
        <v>0</v>
      </c>
      <c r="C261" s="8">
        <f>[1]salario!C260</f>
        <v>0</v>
      </c>
      <c r="D261" s="10">
        <f>IFERROR(VLOOKUP(B261,cubo!$A$6:$BE$37,6,0)-VLOOKUP(B261,#REF!,$D$2,0),0)</f>
        <v>0</v>
      </c>
      <c r="E261" s="10">
        <f>IFERROR(VLOOKUP(B261,cubo!$A$6:$BE$37,9,0)-VLOOKUP(B261,#REF!,$E$2,0),0)</f>
        <v>0</v>
      </c>
      <c r="F261" s="9">
        <f>IFERROR(VLOOKUP(B261,cubo!$A$6:$BE$37,12,0)-VLOOKUP(B261,#REF!,$F$2,0),0)</f>
        <v>0</v>
      </c>
      <c r="G261" s="9">
        <f>IFERROR(VLOOKUP(B261,cubo!$A$6:$BE$37,54,0)-VLOOKUP(B261,#REF!,$G$2,0),0)</f>
        <v>0</v>
      </c>
      <c r="H261" s="10">
        <f>IFERROR(VLOOKUP(B261,cubo!$A$6:$BE$37,15,0)-VLOOKUP(B261,#REF!,$H$2,0),0)</f>
        <v>0</v>
      </c>
      <c r="I261" s="9">
        <f>IFERROR(VLOOKUP(B261,cubo!$A$6:$BE$37,18,0)-VLOOKUP(B261,#REF!,$I$2,0),0)</f>
        <v>0</v>
      </c>
      <c r="J261" s="9">
        <f>IFERROR(VLOOKUP(B261,cubo!$A$6:$BE$37,24,0)-VLOOKUP(B261,#REF!,$J$2,0),0)</f>
        <v>0</v>
      </c>
      <c r="K261" s="9">
        <f>IFERROR(VLOOKUP(B261,cubo!$A$6:$BE$37,34,0)-VLOOKUP(B261,#REF!,$K$2,0),0)</f>
        <v>0</v>
      </c>
      <c r="L261" s="8">
        <f>IFERROR(VLOOKUP(B261,cubo!$A$6:$BE$37,38,0)-VLOOKUP(B261,#REF!,$L$2,0),0)</f>
        <v>0</v>
      </c>
      <c r="M261" s="15">
        <f>IFERROR(VLOOKUP(B261,cubo!$A$6:$BE$37,57,0)-VLOOKUP(B261,#REF!,$M$2,0),0)</f>
        <v>0</v>
      </c>
      <c r="N261" s="9">
        <f>IFERROR(VLOOKUP(B261,cubo!$A$6:$BK$37,41,0)-VLOOKUP(conciliacao_custos!B261,#REF!,18,0),0)</f>
        <v>0</v>
      </c>
      <c r="O261" s="9">
        <f>IFERROR(VLOOKUP(B261,cubo!$A$6:$BK$37,44,0)-VLOOKUP(conciliacao_custos!B261,#REF!,13,0),0)</f>
        <v>0</v>
      </c>
      <c r="P261" s="9">
        <f>IFERROR(VLOOKUP(B261,cubo!$A$6:$BK$37,47,0)-VLOOKUP(conciliacao_custos!B261,#REF!,14,0),0)</f>
        <v>0</v>
      </c>
      <c r="Q261" s="9">
        <f>IFERROR(VLOOKUP(B261,cubo!$A$6:$BK$37,58,0)-VLOOKUP(conciliacao_custos!B261,#REF!,16,0),0)</f>
        <v>0</v>
      </c>
      <c r="R261" s="9">
        <f>IFERROR(VLOOKUP(B261,cubo!$A$6:$BK$37,64,0)-VLOOKUP(conciliacao_custos!B261,#REF!,17,0),0)</f>
        <v>0</v>
      </c>
      <c r="S261" s="9">
        <f>IFERROR(VLOOKUP(B261,cubo!$A$6:$BK$37,61,0)-VLOOKUP(conciliacao_custos!B261,#REF!,15,0),0)</f>
        <v>0</v>
      </c>
    </row>
    <row r="262" spans="2:19" x14ac:dyDescent="0.25">
      <c r="B262" s="7">
        <f>[1]salario!A261</f>
        <v>0</v>
      </c>
      <c r="C262" s="8">
        <f>[1]salario!C261</f>
        <v>0</v>
      </c>
      <c r="D262" s="10">
        <f>IFERROR(VLOOKUP(B262,cubo!$A$6:$BE$37,6,0)-VLOOKUP(B262,#REF!,$D$2,0),0)</f>
        <v>0</v>
      </c>
      <c r="E262" s="10">
        <f>IFERROR(VLOOKUP(B262,cubo!$A$6:$BE$37,9,0)-VLOOKUP(B262,#REF!,$E$2,0),0)</f>
        <v>0</v>
      </c>
      <c r="F262" s="9">
        <f>IFERROR(VLOOKUP(B262,cubo!$A$6:$BE$37,12,0)-VLOOKUP(B262,#REF!,$F$2,0),0)</f>
        <v>0</v>
      </c>
      <c r="G262" s="9">
        <f>IFERROR(VLOOKUP(B262,cubo!$A$6:$BE$37,54,0)-VLOOKUP(B262,#REF!,$G$2,0),0)</f>
        <v>0</v>
      </c>
      <c r="H262" s="10">
        <f>IFERROR(VLOOKUP(B262,cubo!$A$6:$BE$37,15,0)-VLOOKUP(B262,#REF!,$H$2,0),0)</f>
        <v>0</v>
      </c>
      <c r="I262" s="9">
        <f>IFERROR(VLOOKUP(B262,cubo!$A$6:$BE$37,18,0)-VLOOKUP(B262,#REF!,$I$2,0),0)</f>
        <v>0</v>
      </c>
      <c r="J262" s="9">
        <f>IFERROR(VLOOKUP(B262,cubo!$A$6:$BE$37,24,0)-VLOOKUP(B262,#REF!,$J$2,0),0)</f>
        <v>0</v>
      </c>
      <c r="K262" s="9">
        <f>IFERROR(VLOOKUP(B262,cubo!$A$6:$BE$37,34,0)-VLOOKUP(B262,#REF!,$K$2,0),0)</f>
        <v>0</v>
      </c>
      <c r="L262" s="8">
        <f>IFERROR(VLOOKUP(B262,cubo!$A$6:$BE$37,38,0)-VLOOKUP(B262,#REF!,$L$2,0),0)</f>
        <v>0</v>
      </c>
      <c r="M262" s="15">
        <f>IFERROR(VLOOKUP(B262,cubo!$A$6:$BE$37,57,0)-VLOOKUP(B262,#REF!,$M$2,0),0)</f>
        <v>0</v>
      </c>
      <c r="N262" s="9">
        <f>IFERROR(VLOOKUP(B262,cubo!$A$6:$BK$37,41,0)-VLOOKUP(conciliacao_custos!B262,#REF!,18,0),0)</f>
        <v>0</v>
      </c>
      <c r="O262" s="9">
        <f>IFERROR(VLOOKUP(B262,cubo!$A$6:$BK$37,44,0)-VLOOKUP(conciliacao_custos!B262,#REF!,13,0),0)</f>
        <v>0</v>
      </c>
      <c r="P262" s="9">
        <f>IFERROR(VLOOKUP(B262,cubo!$A$6:$BK$37,47,0)-VLOOKUP(conciliacao_custos!B262,#REF!,14,0),0)</f>
        <v>0</v>
      </c>
      <c r="Q262" s="9">
        <f>IFERROR(VLOOKUP(B262,cubo!$A$6:$BK$37,58,0)-VLOOKUP(conciliacao_custos!B262,#REF!,16,0),0)</f>
        <v>0</v>
      </c>
      <c r="R262" s="9">
        <f>IFERROR(VLOOKUP(B262,cubo!$A$6:$BK$37,64,0)-VLOOKUP(conciliacao_custos!B262,#REF!,17,0),0)</f>
        <v>0</v>
      </c>
      <c r="S262" s="9">
        <f>IFERROR(VLOOKUP(B262,cubo!$A$6:$BK$37,61,0)-VLOOKUP(conciliacao_custos!B262,#REF!,15,0),0)</f>
        <v>0</v>
      </c>
    </row>
    <row r="263" spans="2:19" x14ac:dyDescent="0.25">
      <c r="B263" s="7">
        <f>[1]salario!A262</f>
        <v>0</v>
      </c>
      <c r="C263" s="8">
        <f>[1]salario!C262</f>
        <v>0</v>
      </c>
      <c r="D263" s="10">
        <f>IFERROR(VLOOKUP(B263,cubo!$A$6:$BE$37,6,0)-VLOOKUP(B263,#REF!,$D$2,0),0)</f>
        <v>0</v>
      </c>
      <c r="E263" s="10">
        <f>IFERROR(VLOOKUP(B263,cubo!$A$6:$BE$37,9,0)-VLOOKUP(B263,#REF!,$E$2,0),0)</f>
        <v>0</v>
      </c>
      <c r="F263" s="9">
        <f>IFERROR(VLOOKUP(B263,cubo!$A$6:$BE$37,12,0)-VLOOKUP(B263,#REF!,$F$2,0),0)</f>
        <v>0</v>
      </c>
      <c r="G263" s="9">
        <f>IFERROR(VLOOKUP(B263,cubo!$A$6:$BE$37,54,0)-VLOOKUP(B263,#REF!,$G$2,0),0)</f>
        <v>0</v>
      </c>
      <c r="H263" s="10">
        <f>IFERROR(VLOOKUP(B263,cubo!$A$6:$BE$37,15,0)-VLOOKUP(B263,#REF!,$H$2,0),0)</f>
        <v>0</v>
      </c>
      <c r="I263" s="9">
        <f>IFERROR(VLOOKUP(B263,cubo!$A$6:$BE$37,18,0)-VLOOKUP(B263,#REF!,$I$2,0),0)</f>
        <v>0</v>
      </c>
      <c r="J263" s="9">
        <f>IFERROR(VLOOKUP(B263,cubo!$A$6:$BE$37,24,0)-VLOOKUP(B263,#REF!,$J$2,0),0)</f>
        <v>0</v>
      </c>
      <c r="K263" s="9">
        <f>IFERROR(VLOOKUP(B263,cubo!$A$6:$BE$37,34,0)-VLOOKUP(B263,#REF!,$K$2,0),0)</f>
        <v>0</v>
      </c>
      <c r="L263" s="8">
        <f>IFERROR(VLOOKUP(B263,cubo!$A$6:$BE$37,38,0)-VLOOKUP(B263,#REF!,$L$2,0),0)</f>
        <v>0</v>
      </c>
      <c r="M263" s="15">
        <f>IFERROR(VLOOKUP(B263,cubo!$A$6:$BE$37,57,0)-VLOOKUP(B263,#REF!,$M$2,0),0)</f>
        <v>0</v>
      </c>
      <c r="N263" s="9">
        <f>IFERROR(VLOOKUP(B263,cubo!$A$6:$BK$37,41,0)-VLOOKUP(conciliacao_custos!B263,#REF!,18,0),0)</f>
        <v>0</v>
      </c>
      <c r="O263" s="9">
        <f>IFERROR(VLOOKUP(B263,cubo!$A$6:$BK$37,44,0)-VLOOKUP(conciliacao_custos!B263,#REF!,13,0),0)</f>
        <v>0</v>
      </c>
      <c r="P263" s="9">
        <f>IFERROR(VLOOKUP(B263,cubo!$A$6:$BK$37,47,0)-VLOOKUP(conciliacao_custos!B263,#REF!,14,0),0)</f>
        <v>0</v>
      </c>
      <c r="Q263" s="9">
        <f>IFERROR(VLOOKUP(B263,cubo!$A$6:$BK$37,58,0)-VLOOKUP(conciliacao_custos!B263,#REF!,16,0),0)</f>
        <v>0</v>
      </c>
      <c r="R263" s="9">
        <f>IFERROR(VLOOKUP(B263,cubo!$A$6:$BK$37,64,0)-VLOOKUP(conciliacao_custos!B263,#REF!,17,0),0)</f>
        <v>0</v>
      </c>
      <c r="S263" s="9">
        <f>IFERROR(VLOOKUP(B263,cubo!$A$6:$BK$37,61,0)-VLOOKUP(conciliacao_custos!B263,#REF!,15,0),0)</f>
        <v>0</v>
      </c>
    </row>
    <row r="264" spans="2:19" x14ac:dyDescent="0.25">
      <c r="B264" s="7">
        <f>[1]salario!A263</f>
        <v>0</v>
      </c>
      <c r="C264" s="8">
        <f>[1]salario!C263</f>
        <v>0</v>
      </c>
      <c r="D264" s="10">
        <f>IFERROR(VLOOKUP(B264,cubo!$A$6:$BE$37,6,0)-VLOOKUP(B264,#REF!,$D$2,0),0)</f>
        <v>0</v>
      </c>
      <c r="E264" s="10">
        <f>IFERROR(VLOOKUP(B264,cubo!$A$6:$BE$37,9,0)-VLOOKUP(B264,#REF!,$E$2,0),0)</f>
        <v>0</v>
      </c>
      <c r="F264" s="9">
        <f>IFERROR(VLOOKUP(B264,cubo!$A$6:$BE$37,12,0)-VLOOKUP(B264,#REF!,$F$2,0),0)</f>
        <v>0</v>
      </c>
      <c r="G264" s="9">
        <f>IFERROR(VLOOKUP(B264,cubo!$A$6:$BE$37,54,0)-VLOOKUP(B264,#REF!,$G$2,0),0)</f>
        <v>0</v>
      </c>
      <c r="H264" s="10">
        <f>IFERROR(VLOOKUP(B264,cubo!$A$6:$BE$37,15,0)-VLOOKUP(B264,#REF!,$H$2,0),0)</f>
        <v>0</v>
      </c>
      <c r="I264" s="9">
        <f>IFERROR(VLOOKUP(B264,cubo!$A$6:$BE$37,18,0)-VLOOKUP(B264,#REF!,$I$2,0),0)</f>
        <v>0</v>
      </c>
      <c r="J264" s="9">
        <f>IFERROR(VLOOKUP(B264,cubo!$A$6:$BE$37,24,0)-VLOOKUP(B264,#REF!,$J$2,0),0)</f>
        <v>0</v>
      </c>
      <c r="K264" s="9">
        <f>IFERROR(VLOOKUP(B264,cubo!$A$6:$BE$37,34,0)-VLOOKUP(B264,#REF!,$K$2,0),0)</f>
        <v>0</v>
      </c>
      <c r="L264" s="8">
        <f>IFERROR(VLOOKUP(B264,cubo!$A$6:$BE$37,38,0)-VLOOKUP(B264,#REF!,$L$2,0),0)</f>
        <v>0</v>
      </c>
      <c r="M264" s="15">
        <f>IFERROR(VLOOKUP(B264,cubo!$A$6:$BE$37,57,0)-VLOOKUP(B264,#REF!,$M$2,0),0)</f>
        <v>0</v>
      </c>
      <c r="N264" s="9">
        <f>IFERROR(VLOOKUP(B264,cubo!$A$6:$BK$37,41,0)-VLOOKUP(conciliacao_custos!B264,#REF!,18,0),0)</f>
        <v>0</v>
      </c>
      <c r="O264" s="9">
        <f>IFERROR(VLOOKUP(B264,cubo!$A$6:$BK$37,44,0)-VLOOKUP(conciliacao_custos!B264,#REF!,13,0),0)</f>
        <v>0</v>
      </c>
      <c r="P264" s="9">
        <f>IFERROR(VLOOKUP(B264,cubo!$A$6:$BK$37,47,0)-VLOOKUP(conciliacao_custos!B264,#REF!,14,0),0)</f>
        <v>0</v>
      </c>
      <c r="Q264" s="9">
        <f>IFERROR(VLOOKUP(B264,cubo!$A$6:$BK$37,58,0)-VLOOKUP(conciliacao_custos!B264,#REF!,16,0),0)</f>
        <v>0</v>
      </c>
      <c r="R264" s="9">
        <f>IFERROR(VLOOKUP(B264,cubo!$A$6:$BK$37,64,0)-VLOOKUP(conciliacao_custos!B264,#REF!,17,0),0)</f>
        <v>0</v>
      </c>
      <c r="S264" s="9">
        <f>IFERROR(VLOOKUP(B264,cubo!$A$6:$BK$37,61,0)-VLOOKUP(conciliacao_custos!B264,#REF!,15,0),0)</f>
        <v>0</v>
      </c>
    </row>
    <row r="265" spans="2:19" x14ac:dyDescent="0.25">
      <c r="B265" s="7">
        <f>[1]salario!A264</f>
        <v>0</v>
      </c>
      <c r="C265" s="8">
        <f>[1]salario!C264</f>
        <v>0</v>
      </c>
      <c r="D265" s="10">
        <f>IFERROR(VLOOKUP(B265,cubo!$A$6:$BE$37,6,0)-VLOOKUP(B265,#REF!,$D$2,0),0)</f>
        <v>0</v>
      </c>
      <c r="E265" s="10">
        <f>IFERROR(VLOOKUP(B265,cubo!$A$6:$BE$37,9,0)-VLOOKUP(B265,#REF!,$E$2,0),0)</f>
        <v>0</v>
      </c>
      <c r="F265" s="9">
        <f>IFERROR(VLOOKUP(B265,cubo!$A$6:$BE$37,12,0)-VLOOKUP(B265,#REF!,$F$2,0),0)</f>
        <v>0</v>
      </c>
      <c r="G265" s="9">
        <f>IFERROR(VLOOKUP(B265,cubo!$A$6:$BE$37,54,0)-VLOOKUP(B265,#REF!,$G$2,0),0)</f>
        <v>0</v>
      </c>
      <c r="H265" s="10">
        <f>IFERROR(VLOOKUP(B265,cubo!$A$6:$BE$37,15,0)-VLOOKUP(B265,#REF!,$H$2,0),0)</f>
        <v>0</v>
      </c>
      <c r="I265" s="9">
        <f>IFERROR(VLOOKUP(B265,cubo!$A$6:$BE$37,18,0)-VLOOKUP(B265,#REF!,$I$2,0),0)</f>
        <v>0</v>
      </c>
      <c r="J265" s="9">
        <f>IFERROR(VLOOKUP(B265,cubo!$A$6:$BE$37,24,0)-VLOOKUP(B265,#REF!,$J$2,0),0)</f>
        <v>0</v>
      </c>
      <c r="K265" s="9">
        <f>IFERROR(VLOOKUP(B265,cubo!$A$6:$BE$37,34,0)-VLOOKUP(B265,#REF!,$K$2,0),0)</f>
        <v>0</v>
      </c>
      <c r="L265" s="8">
        <f>IFERROR(VLOOKUP(B265,cubo!$A$6:$BE$37,38,0)-VLOOKUP(B265,#REF!,$L$2,0),0)</f>
        <v>0</v>
      </c>
      <c r="M265" s="15">
        <f>IFERROR(VLOOKUP(B265,cubo!$A$6:$BE$37,57,0)-VLOOKUP(B265,#REF!,$M$2,0),0)</f>
        <v>0</v>
      </c>
      <c r="N265" s="9">
        <f>IFERROR(VLOOKUP(B265,cubo!$A$6:$BK$37,41,0)-VLOOKUP(conciliacao_custos!B265,#REF!,18,0),0)</f>
        <v>0</v>
      </c>
      <c r="O265" s="9">
        <f>IFERROR(VLOOKUP(B265,cubo!$A$6:$BK$37,44,0)-VLOOKUP(conciliacao_custos!B265,#REF!,13,0),0)</f>
        <v>0</v>
      </c>
      <c r="P265" s="9">
        <f>IFERROR(VLOOKUP(B265,cubo!$A$6:$BK$37,47,0)-VLOOKUP(conciliacao_custos!B265,#REF!,14,0),0)</f>
        <v>0</v>
      </c>
      <c r="Q265" s="9">
        <f>IFERROR(VLOOKUP(B265,cubo!$A$6:$BK$37,58,0)-VLOOKUP(conciliacao_custos!B265,#REF!,16,0),0)</f>
        <v>0</v>
      </c>
      <c r="R265" s="9">
        <f>IFERROR(VLOOKUP(B265,cubo!$A$6:$BK$37,64,0)-VLOOKUP(conciliacao_custos!B265,#REF!,17,0),0)</f>
        <v>0</v>
      </c>
      <c r="S265" s="9">
        <f>IFERROR(VLOOKUP(B265,cubo!$A$6:$BK$37,61,0)-VLOOKUP(conciliacao_custos!B265,#REF!,15,0),0)</f>
        <v>0</v>
      </c>
    </row>
    <row r="266" spans="2:19" x14ac:dyDescent="0.25">
      <c r="B266" s="7">
        <f>[1]salario!A265</f>
        <v>0</v>
      </c>
      <c r="C266" s="8">
        <f>[1]salario!C265</f>
        <v>0</v>
      </c>
      <c r="D266" s="10">
        <f>IFERROR(VLOOKUP(B266,cubo!$A$6:$BE$37,6,0)-VLOOKUP(B266,#REF!,$D$2,0),0)</f>
        <v>0</v>
      </c>
      <c r="E266" s="10">
        <f>IFERROR(VLOOKUP(B266,cubo!$A$6:$BE$37,9,0)-VLOOKUP(B266,#REF!,$E$2,0),0)</f>
        <v>0</v>
      </c>
      <c r="F266" s="9">
        <f>IFERROR(VLOOKUP(B266,cubo!$A$6:$BE$37,12,0)-VLOOKUP(B266,#REF!,$F$2,0),0)</f>
        <v>0</v>
      </c>
      <c r="G266" s="9">
        <f>IFERROR(VLOOKUP(B266,cubo!$A$6:$BE$37,54,0)-VLOOKUP(B266,#REF!,$G$2,0),0)</f>
        <v>0</v>
      </c>
      <c r="H266" s="10">
        <f>IFERROR(VLOOKUP(B266,cubo!$A$6:$BE$37,15,0)-VLOOKUP(B266,#REF!,$H$2,0),0)</f>
        <v>0</v>
      </c>
      <c r="I266" s="9">
        <f>IFERROR(VLOOKUP(B266,cubo!$A$6:$BE$37,18,0)-VLOOKUP(B266,#REF!,$I$2,0),0)</f>
        <v>0</v>
      </c>
      <c r="J266" s="9">
        <f>IFERROR(VLOOKUP(B266,cubo!$A$6:$BE$37,24,0)-VLOOKUP(B266,#REF!,$J$2,0),0)</f>
        <v>0</v>
      </c>
      <c r="K266" s="9">
        <f>IFERROR(VLOOKUP(B266,cubo!$A$6:$BE$37,34,0)-VLOOKUP(B266,#REF!,$K$2,0),0)</f>
        <v>0</v>
      </c>
      <c r="L266" s="8">
        <f>IFERROR(VLOOKUP(B266,cubo!$A$6:$BE$37,38,0)-VLOOKUP(B266,#REF!,$L$2,0),0)</f>
        <v>0</v>
      </c>
      <c r="M266" s="15">
        <f>IFERROR(VLOOKUP(B266,cubo!$A$6:$BE$37,57,0)-VLOOKUP(B266,#REF!,$M$2,0),0)</f>
        <v>0</v>
      </c>
      <c r="N266" s="9">
        <f>IFERROR(VLOOKUP(B266,cubo!$A$6:$BK$37,41,0)-VLOOKUP(conciliacao_custos!B266,#REF!,18,0),0)</f>
        <v>0</v>
      </c>
      <c r="O266" s="9">
        <f>IFERROR(VLOOKUP(B266,cubo!$A$6:$BK$37,44,0)-VLOOKUP(conciliacao_custos!B266,#REF!,13,0),0)</f>
        <v>0</v>
      </c>
      <c r="P266" s="9">
        <f>IFERROR(VLOOKUP(B266,cubo!$A$6:$BK$37,47,0)-VLOOKUP(conciliacao_custos!B266,#REF!,14,0),0)</f>
        <v>0</v>
      </c>
      <c r="Q266" s="9">
        <f>IFERROR(VLOOKUP(B266,cubo!$A$6:$BK$37,58,0)-VLOOKUP(conciliacao_custos!B266,#REF!,16,0),0)</f>
        <v>0</v>
      </c>
      <c r="R266" s="9">
        <f>IFERROR(VLOOKUP(B266,cubo!$A$6:$BK$37,64,0)-VLOOKUP(conciliacao_custos!B266,#REF!,17,0),0)</f>
        <v>0</v>
      </c>
      <c r="S266" s="9">
        <f>IFERROR(VLOOKUP(B266,cubo!$A$6:$BK$37,61,0)-VLOOKUP(conciliacao_custos!B266,#REF!,15,0),0)</f>
        <v>0</v>
      </c>
    </row>
    <row r="267" spans="2:19" x14ac:dyDescent="0.25">
      <c r="B267" s="7">
        <f>[1]salario!A266</f>
        <v>0</v>
      </c>
      <c r="C267" s="8">
        <f>[1]salario!C266</f>
        <v>0</v>
      </c>
      <c r="D267" s="10">
        <f>IFERROR(VLOOKUP(B267,cubo!$A$6:$BE$37,6,0)-VLOOKUP(B267,#REF!,$D$2,0),0)</f>
        <v>0</v>
      </c>
      <c r="E267" s="10">
        <f>IFERROR(VLOOKUP(B267,cubo!$A$6:$BE$37,9,0)-VLOOKUP(B267,#REF!,$E$2,0),0)</f>
        <v>0</v>
      </c>
      <c r="F267" s="9">
        <f>IFERROR(VLOOKUP(B267,cubo!$A$6:$BE$37,12,0)-VLOOKUP(B267,#REF!,$F$2,0),0)</f>
        <v>0</v>
      </c>
      <c r="G267" s="9">
        <f>IFERROR(VLOOKUP(B267,cubo!$A$6:$BE$37,54,0)-VLOOKUP(B267,#REF!,$G$2,0),0)</f>
        <v>0</v>
      </c>
      <c r="H267" s="10">
        <f>IFERROR(VLOOKUP(B267,cubo!$A$6:$BE$37,15,0)-VLOOKUP(B267,#REF!,$H$2,0),0)</f>
        <v>0</v>
      </c>
      <c r="I267" s="9">
        <f>IFERROR(VLOOKUP(B267,cubo!$A$6:$BE$37,18,0)-VLOOKUP(B267,#REF!,$I$2,0),0)</f>
        <v>0</v>
      </c>
      <c r="J267" s="9">
        <f>IFERROR(VLOOKUP(B267,cubo!$A$6:$BE$37,24,0)-VLOOKUP(B267,#REF!,$J$2,0),0)</f>
        <v>0</v>
      </c>
      <c r="K267" s="9">
        <f>IFERROR(VLOOKUP(B267,cubo!$A$6:$BE$37,34,0)-VLOOKUP(B267,#REF!,$K$2,0),0)</f>
        <v>0</v>
      </c>
      <c r="L267" s="8">
        <f>IFERROR(VLOOKUP(B267,cubo!$A$6:$BE$37,38,0)-VLOOKUP(B267,#REF!,$L$2,0),0)</f>
        <v>0</v>
      </c>
      <c r="M267" s="15">
        <f>IFERROR(VLOOKUP(B267,cubo!$A$6:$BE$37,57,0)-VLOOKUP(B267,#REF!,$M$2,0),0)</f>
        <v>0</v>
      </c>
      <c r="N267" s="9">
        <f>IFERROR(VLOOKUP(B267,cubo!$A$6:$BK$37,41,0)-VLOOKUP(conciliacao_custos!B267,#REF!,18,0),0)</f>
        <v>0</v>
      </c>
      <c r="O267" s="9">
        <f>IFERROR(VLOOKUP(B267,cubo!$A$6:$BK$37,44,0)-VLOOKUP(conciliacao_custos!B267,#REF!,13,0),0)</f>
        <v>0</v>
      </c>
      <c r="P267" s="9">
        <f>IFERROR(VLOOKUP(B267,cubo!$A$6:$BK$37,47,0)-VLOOKUP(conciliacao_custos!B267,#REF!,14,0),0)</f>
        <v>0</v>
      </c>
      <c r="Q267" s="9">
        <f>IFERROR(VLOOKUP(B267,cubo!$A$6:$BK$37,58,0)-VLOOKUP(conciliacao_custos!B267,#REF!,16,0),0)</f>
        <v>0</v>
      </c>
      <c r="R267" s="9">
        <f>IFERROR(VLOOKUP(B267,cubo!$A$6:$BK$37,64,0)-VLOOKUP(conciliacao_custos!B267,#REF!,17,0),0)</f>
        <v>0</v>
      </c>
      <c r="S267" s="9">
        <f>IFERROR(VLOOKUP(B267,cubo!$A$6:$BK$37,61,0)-VLOOKUP(conciliacao_custos!B267,#REF!,15,0),0)</f>
        <v>0</v>
      </c>
    </row>
    <row r="268" spans="2:19" x14ac:dyDescent="0.25">
      <c r="B268" s="7">
        <f>[1]salario!A267</f>
        <v>0</v>
      </c>
      <c r="C268" s="8">
        <f>[1]salario!C267</f>
        <v>0</v>
      </c>
      <c r="D268" s="10">
        <f>IFERROR(VLOOKUP(B268,cubo!$A$6:$BE$37,6,0)-VLOOKUP(B268,#REF!,$D$2,0),0)</f>
        <v>0</v>
      </c>
      <c r="E268" s="10">
        <f>IFERROR(VLOOKUP(B268,cubo!$A$6:$BE$37,9,0)-VLOOKUP(B268,#REF!,$E$2,0),0)</f>
        <v>0</v>
      </c>
      <c r="F268" s="9">
        <f>IFERROR(VLOOKUP(B268,cubo!$A$6:$BE$37,12,0)-VLOOKUP(B268,#REF!,$F$2,0),0)</f>
        <v>0</v>
      </c>
      <c r="G268" s="9">
        <f>IFERROR(VLOOKUP(B268,cubo!$A$6:$BE$37,54,0)-VLOOKUP(B268,#REF!,$G$2,0),0)</f>
        <v>0</v>
      </c>
      <c r="H268" s="10">
        <f>IFERROR(VLOOKUP(B268,cubo!$A$6:$BE$37,15,0)-VLOOKUP(B268,#REF!,$H$2,0),0)</f>
        <v>0</v>
      </c>
      <c r="I268" s="9">
        <f>IFERROR(VLOOKUP(B268,cubo!$A$6:$BE$37,18,0)-VLOOKUP(B268,#REF!,$I$2,0),0)</f>
        <v>0</v>
      </c>
      <c r="J268" s="9">
        <f>IFERROR(VLOOKUP(B268,cubo!$A$6:$BE$37,24,0)-VLOOKUP(B268,#REF!,$J$2,0),0)</f>
        <v>0</v>
      </c>
      <c r="K268" s="9">
        <f>IFERROR(VLOOKUP(B268,cubo!$A$6:$BE$37,34,0)-VLOOKUP(B268,#REF!,$K$2,0),0)</f>
        <v>0</v>
      </c>
      <c r="L268" s="8">
        <f>IFERROR(VLOOKUP(B268,cubo!$A$6:$BE$37,38,0)-VLOOKUP(B268,#REF!,$L$2,0),0)</f>
        <v>0</v>
      </c>
      <c r="M268" s="15">
        <f>IFERROR(VLOOKUP(B268,cubo!$A$6:$BE$37,57,0)-VLOOKUP(B268,#REF!,$M$2,0),0)</f>
        <v>0</v>
      </c>
      <c r="N268" s="9">
        <f>IFERROR(VLOOKUP(B268,cubo!$A$6:$BK$37,41,0)-VLOOKUP(conciliacao_custos!B268,#REF!,18,0),0)</f>
        <v>0</v>
      </c>
      <c r="O268" s="9">
        <f>IFERROR(VLOOKUP(B268,cubo!$A$6:$BK$37,44,0)-VLOOKUP(conciliacao_custos!B268,#REF!,13,0),0)</f>
        <v>0</v>
      </c>
      <c r="P268" s="9">
        <f>IFERROR(VLOOKUP(B268,cubo!$A$6:$BK$37,47,0)-VLOOKUP(conciliacao_custos!B268,#REF!,14,0),0)</f>
        <v>0</v>
      </c>
      <c r="Q268" s="9">
        <f>IFERROR(VLOOKUP(B268,cubo!$A$6:$BK$37,58,0)-VLOOKUP(conciliacao_custos!B268,#REF!,16,0),0)</f>
        <v>0</v>
      </c>
      <c r="R268" s="9">
        <f>IFERROR(VLOOKUP(B268,cubo!$A$6:$BK$37,64,0)-VLOOKUP(conciliacao_custos!B268,#REF!,17,0),0)</f>
        <v>0</v>
      </c>
      <c r="S268" s="9">
        <f>IFERROR(VLOOKUP(B268,cubo!$A$6:$BK$37,61,0)-VLOOKUP(conciliacao_custos!B268,#REF!,15,0),0)</f>
        <v>0</v>
      </c>
    </row>
    <row r="269" spans="2:19" x14ac:dyDescent="0.25">
      <c r="B269" s="7">
        <f>[1]salario!A268</f>
        <v>0</v>
      </c>
      <c r="C269" s="8">
        <f>[1]salario!C268</f>
        <v>0</v>
      </c>
      <c r="D269" s="10">
        <f>IFERROR(VLOOKUP(B269,cubo!$A$6:$BE$37,6,0)-VLOOKUP(B269,#REF!,$D$2,0),0)</f>
        <v>0</v>
      </c>
      <c r="E269" s="10">
        <f>IFERROR(VLOOKUP(B269,cubo!$A$6:$BE$37,9,0)-VLOOKUP(B269,#REF!,$E$2,0),0)</f>
        <v>0</v>
      </c>
      <c r="F269" s="9">
        <f>IFERROR(VLOOKUP(B269,cubo!$A$6:$BE$37,12,0)-VLOOKUP(B269,#REF!,$F$2,0),0)</f>
        <v>0</v>
      </c>
      <c r="G269" s="9">
        <f>IFERROR(VLOOKUP(B269,cubo!$A$6:$BE$37,54,0)-VLOOKUP(B269,#REF!,$G$2,0),0)</f>
        <v>0</v>
      </c>
      <c r="H269" s="10">
        <f>IFERROR(VLOOKUP(B269,cubo!$A$6:$BE$37,15,0)-VLOOKUP(B269,#REF!,$H$2,0),0)</f>
        <v>0</v>
      </c>
      <c r="I269" s="9">
        <f>IFERROR(VLOOKUP(B269,cubo!$A$6:$BE$37,18,0)-VLOOKUP(B269,#REF!,$I$2,0),0)</f>
        <v>0</v>
      </c>
      <c r="J269" s="9">
        <f>IFERROR(VLOOKUP(B269,cubo!$A$6:$BE$37,24,0)-VLOOKUP(B269,#REF!,$J$2,0),0)</f>
        <v>0</v>
      </c>
      <c r="K269" s="9">
        <f>IFERROR(VLOOKUP(B269,cubo!$A$6:$BE$37,34,0)-VLOOKUP(B269,#REF!,$K$2,0),0)</f>
        <v>0</v>
      </c>
      <c r="L269" s="8">
        <f>IFERROR(VLOOKUP(B269,cubo!$A$6:$BE$37,38,0)-VLOOKUP(B269,#REF!,$L$2,0),0)</f>
        <v>0</v>
      </c>
      <c r="M269" s="15">
        <f>IFERROR(VLOOKUP(B269,cubo!$A$6:$BE$37,57,0)-VLOOKUP(B269,#REF!,$M$2,0),0)</f>
        <v>0</v>
      </c>
      <c r="N269" s="9">
        <f>IFERROR(VLOOKUP(B269,cubo!$A$6:$BK$37,41,0)-VLOOKUP(conciliacao_custos!B269,#REF!,18,0),0)</f>
        <v>0</v>
      </c>
      <c r="O269" s="9">
        <f>IFERROR(VLOOKUP(B269,cubo!$A$6:$BK$37,44,0)-VLOOKUP(conciliacao_custos!B269,#REF!,13,0),0)</f>
        <v>0</v>
      </c>
      <c r="P269" s="9">
        <f>IFERROR(VLOOKUP(B269,cubo!$A$6:$BK$37,47,0)-VLOOKUP(conciliacao_custos!B269,#REF!,14,0),0)</f>
        <v>0</v>
      </c>
      <c r="Q269" s="9">
        <f>IFERROR(VLOOKUP(B269,cubo!$A$6:$BK$37,58,0)-VLOOKUP(conciliacao_custos!B269,#REF!,16,0),0)</f>
        <v>0</v>
      </c>
      <c r="R269" s="9">
        <f>IFERROR(VLOOKUP(B269,cubo!$A$6:$BK$37,64,0)-VLOOKUP(conciliacao_custos!B269,#REF!,17,0),0)</f>
        <v>0</v>
      </c>
      <c r="S269" s="9">
        <f>IFERROR(VLOOKUP(B269,cubo!$A$6:$BK$37,61,0)-VLOOKUP(conciliacao_custos!B269,#REF!,15,0),0)</f>
        <v>0</v>
      </c>
    </row>
    <row r="270" spans="2:19" x14ac:dyDescent="0.25">
      <c r="B270" s="7">
        <f>[1]salario!A269</f>
        <v>0</v>
      </c>
      <c r="C270" s="8">
        <f>[1]salario!C269</f>
        <v>0</v>
      </c>
      <c r="D270" s="10">
        <f>IFERROR(VLOOKUP(B270,cubo!$A$6:$BE$37,6,0)-VLOOKUP(B270,#REF!,$D$2,0),0)</f>
        <v>0</v>
      </c>
      <c r="E270" s="10">
        <f>IFERROR(VLOOKUP(B270,cubo!$A$6:$BE$37,9,0)-VLOOKUP(B270,#REF!,$E$2,0),0)</f>
        <v>0</v>
      </c>
      <c r="F270" s="9">
        <f>IFERROR(VLOOKUP(B270,cubo!$A$6:$BE$37,12,0)-VLOOKUP(B270,#REF!,$F$2,0),0)</f>
        <v>0</v>
      </c>
      <c r="G270" s="9">
        <f>IFERROR(VLOOKUP(B270,cubo!$A$6:$BE$37,54,0)-VLOOKUP(B270,#REF!,$G$2,0),0)</f>
        <v>0</v>
      </c>
      <c r="H270" s="10">
        <f>IFERROR(VLOOKUP(B270,cubo!$A$6:$BE$37,15,0)-VLOOKUP(B270,#REF!,$H$2,0),0)</f>
        <v>0</v>
      </c>
      <c r="I270" s="9">
        <f>IFERROR(VLOOKUP(B270,cubo!$A$6:$BE$37,18,0)-VLOOKUP(B270,#REF!,$I$2,0),0)</f>
        <v>0</v>
      </c>
      <c r="J270" s="9">
        <f>IFERROR(VLOOKUP(B270,cubo!$A$6:$BE$37,24,0)-VLOOKUP(B270,#REF!,$J$2,0),0)</f>
        <v>0</v>
      </c>
      <c r="K270" s="9">
        <f>IFERROR(VLOOKUP(B270,cubo!$A$6:$BE$37,34,0)-VLOOKUP(B270,#REF!,$K$2,0),0)</f>
        <v>0</v>
      </c>
      <c r="L270" s="8">
        <f>IFERROR(VLOOKUP(B270,cubo!$A$6:$BE$37,38,0)-VLOOKUP(B270,#REF!,$L$2,0),0)</f>
        <v>0</v>
      </c>
      <c r="M270" s="15">
        <f>IFERROR(VLOOKUP(B270,cubo!$A$6:$BE$37,57,0)-VLOOKUP(B270,#REF!,$M$2,0),0)</f>
        <v>0</v>
      </c>
      <c r="N270" s="9">
        <f>IFERROR(VLOOKUP(B270,cubo!$A$6:$BK$37,41,0)-VLOOKUP(conciliacao_custos!B270,#REF!,18,0),0)</f>
        <v>0</v>
      </c>
      <c r="O270" s="9">
        <f>IFERROR(VLOOKUP(B270,cubo!$A$6:$BK$37,44,0)-VLOOKUP(conciliacao_custos!B270,#REF!,13,0),0)</f>
        <v>0</v>
      </c>
      <c r="P270" s="9">
        <f>IFERROR(VLOOKUP(B270,cubo!$A$6:$BK$37,47,0)-VLOOKUP(conciliacao_custos!B270,#REF!,14,0),0)</f>
        <v>0</v>
      </c>
      <c r="Q270" s="9">
        <f>IFERROR(VLOOKUP(B270,cubo!$A$6:$BK$37,58,0)-VLOOKUP(conciliacao_custos!B270,#REF!,16,0),0)</f>
        <v>0</v>
      </c>
      <c r="R270" s="9">
        <f>IFERROR(VLOOKUP(B270,cubo!$A$6:$BK$37,64,0)-VLOOKUP(conciliacao_custos!B270,#REF!,17,0),0)</f>
        <v>0</v>
      </c>
      <c r="S270" s="9">
        <f>IFERROR(VLOOKUP(B270,cubo!$A$6:$BK$37,61,0)-VLOOKUP(conciliacao_custos!B270,#REF!,15,0),0)</f>
        <v>0</v>
      </c>
    </row>
    <row r="271" spans="2:19" x14ac:dyDescent="0.25">
      <c r="B271" s="7">
        <f>[1]salario!A270</f>
        <v>0</v>
      </c>
      <c r="C271" s="8">
        <f>[1]salario!C270</f>
        <v>0</v>
      </c>
      <c r="D271" s="10">
        <f>IFERROR(VLOOKUP(B271,cubo!$A$6:$BE$37,6,0)-VLOOKUP(B271,#REF!,$D$2,0),0)</f>
        <v>0</v>
      </c>
      <c r="E271" s="10">
        <f>IFERROR(VLOOKUP(B271,cubo!$A$6:$BE$37,9,0)-VLOOKUP(B271,#REF!,$E$2,0),0)</f>
        <v>0</v>
      </c>
      <c r="F271" s="9">
        <f>IFERROR(VLOOKUP(B271,cubo!$A$6:$BE$37,12,0)-VLOOKUP(B271,#REF!,$F$2,0),0)</f>
        <v>0</v>
      </c>
      <c r="G271" s="9">
        <f>IFERROR(VLOOKUP(B271,cubo!$A$6:$BE$37,54,0)-VLOOKUP(B271,#REF!,$G$2,0),0)</f>
        <v>0</v>
      </c>
      <c r="H271" s="10">
        <f>IFERROR(VLOOKUP(B271,cubo!$A$6:$BE$37,15,0)-VLOOKUP(B271,#REF!,$H$2,0),0)</f>
        <v>0</v>
      </c>
      <c r="I271" s="9">
        <f>IFERROR(VLOOKUP(B271,cubo!$A$6:$BE$37,18,0)-VLOOKUP(B271,#REF!,$I$2,0),0)</f>
        <v>0</v>
      </c>
      <c r="J271" s="9">
        <f>IFERROR(VLOOKUP(B271,cubo!$A$6:$BE$37,24,0)-VLOOKUP(B271,#REF!,$J$2,0),0)</f>
        <v>0</v>
      </c>
      <c r="K271" s="9">
        <f>IFERROR(VLOOKUP(B271,cubo!$A$6:$BE$37,34,0)-VLOOKUP(B271,#REF!,$K$2,0),0)</f>
        <v>0</v>
      </c>
      <c r="L271" s="8">
        <f>IFERROR(VLOOKUP(B271,cubo!$A$6:$BE$37,38,0)-VLOOKUP(B271,#REF!,$L$2,0),0)</f>
        <v>0</v>
      </c>
      <c r="M271" s="15">
        <f>IFERROR(VLOOKUP(B271,cubo!$A$6:$BE$37,57,0)-VLOOKUP(B271,#REF!,$M$2,0),0)</f>
        <v>0</v>
      </c>
      <c r="N271" s="9">
        <f>IFERROR(VLOOKUP(B271,cubo!$A$6:$BK$37,41,0)-VLOOKUP(conciliacao_custos!B271,#REF!,18,0),0)</f>
        <v>0</v>
      </c>
      <c r="O271" s="9">
        <f>IFERROR(VLOOKUP(B271,cubo!$A$6:$BK$37,44,0)-VLOOKUP(conciliacao_custos!B271,#REF!,13,0),0)</f>
        <v>0</v>
      </c>
      <c r="P271" s="9">
        <f>IFERROR(VLOOKUP(B271,cubo!$A$6:$BK$37,47,0)-VLOOKUP(conciliacao_custos!B271,#REF!,14,0),0)</f>
        <v>0</v>
      </c>
      <c r="Q271" s="9">
        <f>IFERROR(VLOOKUP(B271,cubo!$A$6:$BK$37,58,0)-VLOOKUP(conciliacao_custos!B271,#REF!,16,0),0)</f>
        <v>0</v>
      </c>
      <c r="R271" s="9">
        <f>IFERROR(VLOOKUP(B271,cubo!$A$6:$BK$37,64,0)-VLOOKUP(conciliacao_custos!B271,#REF!,17,0),0)</f>
        <v>0</v>
      </c>
      <c r="S271" s="9">
        <f>IFERROR(VLOOKUP(B271,cubo!$A$6:$BK$37,61,0)-VLOOKUP(conciliacao_custos!B271,#REF!,15,0),0)</f>
        <v>0</v>
      </c>
    </row>
    <row r="272" spans="2:19" x14ac:dyDescent="0.25">
      <c r="B272" s="7">
        <f>[1]salario!A271</f>
        <v>0</v>
      </c>
      <c r="C272" s="8">
        <f>[1]salario!C271</f>
        <v>0</v>
      </c>
      <c r="D272" s="10">
        <f>IFERROR(VLOOKUP(B272,cubo!$A$6:$BE$37,6,0)-VLOOKUP(B272,#REF!,$D$2,0),0)</f>
        <v>0</v>
      </c>
      <c r="E272" s="10">
        <f>IFERROR(VLOOKUP(B272,cubo!$A$6:$BE$37,9,0)-VLOOKUP(B272,#REF!,$E$2,0),0)</f>
        <v>0</v>
      </c>
      <c r="F272" s="9">
        <f>IFERROR(VLOOKUP(B272,cubo!$A$6:$BE$37,12,0)-VLOOKUP(B272,#REF!,$F$2,0),0)</f>
        <v>0</v>
      </c>
      <c r="G272" s="9">
        <f>IFERROR(VLOOKUP(B272,cubo!$A$6:$BE$37,54,0)-VLOOKUP(B272,#REF!,$G$2,0),0)</f>
        <v>0</v>
      </c>
      <c r="H272" s="10">
        <f>IFERROR(VLOOKUP(B272,cubo!$A$6:$BE$37,15,0)-VLOOKUP(B272,#REF!,$H$2,0),0)</f>
        <v>0</v>
      </c>
      <c r="I272" s="9">
        <f>IFERROR(VLOOKUP(B272,cubo!$A$6:$BE$37,18,0)-VLOOKUP(B272,#REF!,$I$2,0),0)</f>
        <v>0</v>
      </c>
      <c r="J272" s="9">
        <f>IFERROR(VLOOKUP(B272,cubo!$A$6:$BE$37,24,0)-VLOOKUP(B272,#REF!,$J$2,0),0)</f>
        <v>0</v>
      </c>
      <c r="K272" s="9">
        <f>IFERROR(VLOOKUP(B272,cubo!$A$6:$BE$37,34,0)-VLOOKUP(B272,#REF!,$K$2,0),0)</f>
        <v>0</v>
      </c>
      <c r="L272" s="8">
        <f>IFERROR(VLOOKUP(B272,cubo!$A$6:$BE$37,38,0)-VLOOKUP(B272,#REF!,$L$2,0),0)</f>
        <v>0</v>
      </c>
      <c r="M272" s="15">
        <f>IFERROR(VLOOKUP(B272,cubo!$A$6:$BE$37,57,0)-VLOOKUP(B272,#REF!,$M$2,0),0)</f>
        <v>0</v>
      </c>
      <c r="N272" s="9">
        <f>IFERROR(VLOOKUP(B272,cubo!$A$6:$BK$37,41,0)-VLOOKUP(conciliacao_custos!B272,#REF!,18,0),0)</f>
        <v>0</v>
      </c>
      <c r="O272" s="9">
        <f>IFERROR(VLOOKUP(B272,cubo!$A$6:$BK$37,44,0)-VLOOKUP(conciliacao_custos!B272,#REF!,13,0),0)</f>
        <v>0</v>
      </c>
      <c r="P272" s="9">
        <f>IFERROR(VLOOKUP(B272,cubo!$A$6:$BK$37,47,0)-VLOOKUP(conciliacao_custos!B272,#REF!,14,0),0)</f>
        <v>0</v>
      </c>
      <c r="Q272" s="9">
        <f>IFERROR(VLOOKUP(B272,cubo!$A$6:$BK$37,58,0)-VLOOKUP(conciliacao_custos!B272,#REF!,16,0),0)</f>
        <v>0</v>
      </c>
      <c r="R272" s="9">
        <f>IFERROR(VLOOKUP(B272,cubo!$A$6:$BK$37,64,0)-VLOOKUP(conciliacao_custos!B272,#REF!,17,0),0)</f>
        <v>0</v>
      </c>
      <c r="S272" s="9">
        <f>IFERROR(VLOOKUP(B272,cubo!$A$6:$BK$37,61,0)-VLOOKUP(conciliacao_custos!B272,#REF!,15,0),0)</f>
        <v>0</v>
      </c>
    </row>
    <row r="273" spans="2:19" x14ac:dyDescent="0.25">
      <c r="B273" s="7">
        <f>[1]salario!A272</f>
        <v>0</v>
      </c>
      <c r="C273" s="8">
        <f>[1]salario!C272</f>
        <v>0</v>
      </c>
      <c r="D273" s="10">
        <f>IFERROR(VLOOKUP(B273,cubo!$A$6:$BE$37,6,0)-VLOOKUP(B273,#REF!,$D$2,0),0)</f>
        <v>0</v>
      </c>
      <c r="E273" s="10">
        <f>IFERROR(VLOOKUP(B273,cubo!$A$6:$BE$37,9,0)-VLOOKUP(B273,#REF!,$E$2,0),0)</f>
        <v>0</v>
      </c>
      <c r="F273" s="9">
        <f>IFERROR(VLOOKUP(B273,cubo!$A$6:$BE$37,12,0)-VLOOKUP(B273,#REF!,$F$2,0),0)</f>
        <v>0</v>
      </c>
      <c r="G273" s="9">
        <f>IFERROR(VLOOKUP(B273,cubo!$A$6:$BE$37,54,0)-VLOOKUP(B273,#REF!,$G$2,0),0)</f>
        <v>0</v>
      </c>
      <c r="H273" s="10">
        <f>IFERROR(VLOOKUP(B273,cubo!$A$6:$BE$37,15,0)-VLOOKUP(B273,#REF!,$H$2,0),0)</f>
        <v>0</v>
      </c>
      <c r="I273" s="9">
        <f>IFERROR(VLOOKUP(B273,cubo!$A$6:$BE$37,18,0)-VLOOKUP(B273,#REF!,$I$2,0),0)</f>
        <v>0</v>
      </c>
      <c r="J273" s="9">
        <f>IFERROR(VLOOKUP(B273,cubo!$A$6:$BE$37,24,0)-VLOOKUP(B273,#REF!,$J$2,0),0)</f>
        <v>0</v>
      </c>
      <c r="K273" s="9">
        <f>IFERROR(VLOOKUP(B273,cubo!$A$6:$BE$37,34,0)-VLOOKUP(B273,#REF!,$K$2,0),0)</f>
        <v>0</v>
      </c>
      <c r="L273" s="8">
        <f>IFERROR(VLOOKUP(B273,cubo!$A$6:$BE$37,38,0)-VLOOKUP(B273,#REF!,$L$2,0),0)</f>
        <v>0</v>
      </c>
      <c r="M273" s="15">
        <f>IFERROR(VLOOKUP(B273,cubo!$A$6:$BE$37,57,0)-VLOOKUP(B273,#REF!,$M$2,0),0)</f>
        <v>0</v>
      </c>
      <c r="N273" s="9">
        <f>IFERROR(VLOOKUP(B273,cubo!$A$6:$BK$37,41,0)-VLOOKUP(conciliacao_custos!B273,#REF!,18,0),0)</f>
        <v>0</v>
      </c>
      <c r="O273" s="9">
        <f>IFERROR(VLOOKUP(B273,cubo!$A$6:$BK$37,44,0)-VLOOKUP(conciliacao_custos!B273,#REF!,13,0),0)</f>
        <v>0</v>
      </c>
      <c r="P273" s="9">
        <f>IFERROR(VLOOKUP(B273,cubo!$A$6:$BK$37,47,0)-VLOOKUP(conciliacao_custos!B273,#REF!,14,0),0)</f>
        <v>0</v>
      </c>
      <c r="Q273" s="9">
        <f>IFERROR(VLOOKUP(B273,cubo!$A$6:$BK$37,58,0)-VLOOKUP(conciliacao_custos!B273,#REF!,16,0),0)</f>
        <v>0</v>
      </c>
      <c r="R273" s="9">
        <f>IFERROR(VLOOKUP(B273,cubo!$A$6:$BK$37,64,0)-VLOOKUP(conciliacao_custos!B273,#REF!,17,0),0)</f>
        <v>0</v>
      </c>
      <c r="S273" s="9">
        <f>IFERROR(VLOOKUP(B273,cubo!$A$6:$BK$37,61,0)-VLOOKUP(conciliacao_custos!B273,#REF!,15,0),0)</f>
        <v>0</v>
      </c>
    </row>
    <row r="274" spans="2:19" x14ac:dyDescent="0.25">
      <c r="B274" s="7">
        <f>[1]salario!A273</f>
        <v>0</v>
      </c>
      <c r="C274" s="8">
        <f>[1]salario!C273</f>
        <v>0</v>
      </c>
      <c r="D274" s="10">
        <f>IFERROR(VLOOKUP(B274,cubo!$A$6:$BE$37,6,0)-VLOOKUP(B274,#REF!,$D$2,0),0)</f>
        <v>0</v>
      </c>
      <c r="E274" s="10">
        <f>IFERROR(VLOOKUP(B274,cubo!$A$6:$BE$37,9,0)-VLOOKUP(B274,#REF!,$E$2,0),0)</f>
        <v>0</v>
      </c>
      <c r="F274" s="9">
        <f>IFERROR(VLOOKUP(B274,cubo!$A$6:$BE$37,12,0)-VLOOKUP(B274,#REF!,$F$2,0),0)</f>
        <v>0</v>
      </c>
      <c r="G274" s="9">
        <f>IFERROR(VLOOKUP(B274,cubo!$A$6:$BE$37,54,0)-VLOOKUP(B274,#REF!,$G$2,0),0)</f>
        <v>0</v>
      </c>
      <c r="H274" s="10">
        <f>IFERROR(VLOOKUP(B274,cubo!$A$6:$BE$37,15,0)-VLOOKUP(B274,#REF!,$H$2,0),0)</f>
        <v>0</v>
      </c>
      <c r="I274" s="9">
        <f>IFERROR(VLOOKUP(B274,cubo!$A$6:$BE$37,18,0)-VLOOKUP(B274,#REF!,$I$2,0),0)</f>
        <v>0</v>
      </c>
      <c r="J274" s="9">
        <f>IFERROR(VLOOKUP(B274,cubo!$A$6:$BE$37,24,0)-VLOOKUP(B274,#REF!,$J$2,0),0)</f>
        <v>0</v>
      </c>
      <c r="K274" s="9">
        <f>IFERROR(VLOOKUP(B274,cubo!$A$6:$BE$37,34,0)-VLOOKUP(B274,#REF!,$K$2,0),0)</f>
        <v>0</v>
      </c>
      <c r="L274" s="8">
        <f>IFERROR(VLOOKUP(B274,cubo!$A$6:$BE$37,38,0)-VLOOKUP(B274,#REF!,$L$2,0),0)</f>
        <v>0</v>
      </c>
      <c r="M274" s="15">
        <f>IFERROR(VLOOKUP(B274,cubo!$A$6:$BE$37,57,0)-VLOOKUP(B274,#REF!,$M$2,0),0)</f>
        <v>0</v>
      </c>
      <c r="N274" s="9">
        <f>IFERROR(VLOOKUP(B274,cubo!$A$6:$BK$37,41,0)-VLOOKUP(conciliacao_custos!B274,#REF!,18,0),0)</f>
        <v>0</v>
      </c>
      <c r="O274" s="9">
        <f>IFERROR(VLOOKUP(B274,cubo!$A$6:$BK$37,44,0)-VLOOKUP(conciliacao_custos!B274,#REF!,13,0),0)</f>
        <v>0</v>
      </c>
      <c r="P274" s="9">
        <f>IFERROR(VLOOKUP(B274,cubo!$A$6:$BK$37,47,0)-VLOOKUP(conciliacao_custos!B274,#REF!,14,0),0)</f>
        <v>0</v>
      </c>
      <c r="Q274" s="9">
        <f>IFERROR(VLOOKUP(B274,cubo!$A$6:$BK$37,58,0)-VLOOKUP(conciliacao_custos!B274,#REF!,16,0),0)</f>
        <v>0</v>
      </c>
      <c r="R274" s="9">
        <f>IFERROR(VLOOKUP(B274,cubo!$A$6:$BK$37,64,0)-VLOOKUP(conciliacao_custos!B274,#REF!,17,0),0)</f>
        <v>0</v>
      </c>
      <c r="S274" s="9">
        <f>IFERROR(VLOOKUP(B274,cubo!$A$6:$BK$37,61,0)-VLOOKUP(conciliacao_custos!B274,#REF!,15,0),0)</f>
        <v>0</v>
      </c>
    </row>
    <row r="275" spans="2:19" x14ac:dyDescent="0.25">
      <c r="B275" s="7">
        <f>[1]salario!A274</f>
        <v>0</v>
      </c>
      <c r="C275" s="8">
        <f>[1]salario!C274</f>
        <v>0</v>
      </c>
      <c r="D275" s="10">
        <f>IFERROR(VLOOKUP(B275,cubo!$A$6:$BE$37,6,0)-VLOOKUP(B275,#REF!,$D$2,0),0)</f>
        <v>0</v>
      </c>
      <c r="E275" s="10">
        <f>IFERROR(VLOOKUP(B275,cubo!$A$6:$BE$37,9,0)-VLOOKUP(B275,#REF!,$E$2,0),0)</f>
        <v>0</v>
      </c>
      <c r="F275" s="9">
        <f>IFERROR(VLOOKUP(B275,cubo!$A$6:$BE$37,12,0)-VLOOKUP(B275,#REF!,$F$2,0),0)</f>
        <v>0</v>
      </c>
      <c r="G275" s="9">
        <f>IFERROR(VLOOKUP(B275,cubo!$A$6:$BE$37,54,0)-VLOOKUP(B275,#REF!,$G$2,0),0)</f>
        <v>0</v>
      </c>
      <c r="H275" s="10">
        <f>IFERROR(VLOOKUP(B275,cubo!$A$6:$BE$37,15,0)-VLOOKUP(B275,#REF!,$H$2,0),0)</f>
        <v>0</v>
      </c>
      <c r="I275" s="9">
        <f>IFERROR(VLOOKUP(B275,cubo!$A$6:$BE$37,18,0)-VLOOKUP(B275,#REF!,$I$2,0),0)</f>
        <v>0</v>
      </c>
      <c r="J275" s="9">
        <f>IFERROR(VLOOKUP(B275,cubo!$A$6:$BE$37,24,0)-VLOOKUP(B275,#REF!,$J$2,0),0)</f>
        <v>0</v>
      </c>
      <c r="K275" s="9">
        <f>IFERROR(VLOOKUP(B275,cubo!$A$6:$BE$37,34,0)-VLOOKUP(B275,#REF!,$K$2,0),0)</f>
        <v>0</v>
      </c>
      <c r="L275" s="8">
        <f>IFERROR(VLOOKUP(B275,cubo!$A$6:$BE$37,38,0)-VLOOKUP(B275,#REF!,$L$2,0),0)</f>
        <v>0</v>
      </c>
      <c r="M275" s="15">
        <f>IFERROR(VLOOKUP(B275,cubo!$A$6:$BE$37,57,0)-VLOOKUP(B275,#REF!,$M$2,0),0)</f>
        <v>0</v>
      </c>
      <c r="N275" s="9">
        <f>IFERROR(VLOOKUP(B275,cubo!$A$6:$BK$37,41,0)-VLOOKUP(conciliacao_custos!B275,#REF!,18,0),0)</f>
        <v>0</v>
      </c>
      <c r="O275" s="9">
        <f>IFERROR(VLOOKUP(B275,cubo!$A$6:$BK$37,44,0)-VLOOKUP(conciliacao_custos!B275,#REF!,13,0),0)</f>
        <v>0</v>
      </c>
      <c r="P275" s="9">
        <f>IFERROR(VLOOKUP(B275,cubo!$A$6:$BK$37,47,0)-VLOOKUP(conciliacao_custos!B275,#REF!,14,0),0)</f>
        <v>0</v>
      </c>
      <c r="Q275" s="9">
        <f>IFERROR(VLOOKUP(B275,cubo!$A$6:$BK$37,58,0)-VLOOKUP(conciliacao_custos!B275,#REF!,16,0),0)</f>
        <v>0</v>
      </c>
      <c r="R275" s="9">
        <f>IFERROR(VLOOKUP(B275,cubo!$A$6:$BK$37,64,0)-VLOOKUP(conciliacao_custos!B275,#REF!,17,0),0)</f>
        <v>0</v>
      </c>
      <c r="S275" s="9">
        <f>IFERROR(VLOOKUP(B275,cubo!$A$6:$BK$37,61,0)-VLOOKUP(conciliacao_custos!B275,#REF!,15,0),0)</f>
        <v>0</v>
      </c>
    </row>
    <row r="276" spans="2:19" x14ac:dyDescent="0.25">
      <c r="B276" s="7">
        <f>[1]salario!A275</f>
        <v>0</v>
      </c>
      <c r="C276" s="8">
        <f>[1]salario!C275</f>
        <v>0</v>
      </c>
      <c r="D276" s="10">
        <f>IFERROR(VLOOKUP(B276,cubo!$A$6:$BE$37,6,0)-VLOOKUP(B276,#REF!,$D$2,0),0)</f>
        <v>0</v>
      </c>
      <c r="E276" s="10">
        <f>IFERROR(VLOOKUP(B276,cubo!$A$6:$BE$37,9,0)-VLOOKUP(B276,#REF!,$E$2,0),0)</f>
        <v>0</v>
      </c>
      <c r="F276" s="9">
        <f>IFERROR(VLOOKUP(B276,cubo!$A$6:$BE$37,12,0)-VLOOKUP(B276,#REF!,$F$2,0),0)</f>
        <v>0</v>
      </c>
      <c r="G276" s="9">
        <f>IFERROR(VLOOKUP(B276,cubo!$A$6:$BE$37,54,0)-VLOOKUP(B276,#REF!,$G$2,0),0)</f>
        <v>0</v>
      </c>
      <c r="H276" s="10">
        <f>IFERROR(VLOOKUP(B276,cubo!$A$6:$BE$37,15,0)-VLOOKUP(B276,#REF!,$H$2,0),0)</f>
        <v>0</v>
      </c>
      <c r="I276" s="9">
        <f>IFERROR(VLOOKUP(B276,cubo!$A$6:$BE$37,18,0)-VLOOKUP(B276,#REF!,$I$2,0),0)</f>
        <v>0</v>
      </c>
      <c r="J276" s="9">
        <f>IFERROR(VLOOKUP(B276,cubo!$A$6:$BE$37,24,0)-VLOOKUP(B276,#REF!,$J$2,0),0)</f>
        <v>0</v>
      </c>
      <c r="K276" s="9">
        <f>IFERROR(VLOOKUP(B276,cubo!$A$6:$BE$37,34,0)-VLOOKUP(B276,#REF!,$K$2,0),0)</f>
        <v>0</v>
      </c>
      <c r="L276" s="8">
        <f>IFERROR(VLOOKUP(B276,cubo!$A$6:$BE$37,38,0)-VLOOKUP(B276,#REF!,$L$2,0),0)</f>
        <v>0</v>
      </c>
      <c r="M276" s="15">
        <f>IFERROR(VLOOKUP(B276,cubo!$A$6:$BE$37,57,0)-VLOOKUP(B276,#REF!,$M$2,0),0)</f>
        <v>0</v>
      </c>
      <c r="N276" s="9">
        <f>IFERROR(VLOOKUP(B276,cubo!$A$6:$BK$37,41,0)-VLOOKUP(conciliacao_custos!B276,#REF!,18,0),0)</f>
        <v>0</v>
      </c>
      <c r="O276" s="9">
        <f>IFERROR(VLOOKUP(B276,cubo!$A$6:$BK$37,44,0)-VLOOKUP(conciliacao_custos!B276,#REF!,13,0),0)</f>
        <v>0</v>
      </c>
      <c r="P276" s="9">
        <f>IFERROR(VLOOKUP(B276,cubo!$A$6:$BK$37,47,0)-VLOOKUP(conciliacao_custos!B276,#REF!,14,0),0)</f>
        <v>0</v>
      </c>
      <c r="Q276" s="9">
        <f>IFERROR(VLOOKUP(B276,cubo!$A$6:$BK$37,58,0)-VLOOKUP(conciliacao_custos!B276,#REF!,16,0),0)</f>
        <v>0</v>
      </c>
      <c r="R276" s="9">
        <f>IFERROR(VLOOKUP(B276,cubo!$A$6:$BK$37,64,0)-VLOOKUP(conciliacao_custos!B276,#REF!,17,0),0)</f>
        <v>0</v>
      </c>
      <c r="S276" s="9">
        <f>IFERROR(VLOOKUP(B276,cubo!$A$6:$BK$37,61,0)-VLOOKUP(conciliacao_custos!B276,#REF!,15,0),0)</f>
        <v>0</v>
      </c>
    </row>
    <row r="277" spans="2:19" x14ac:dyDescent="0.25">
      <c r="B277" s="7">
        <f>[1]salario!A276</f>
        <v>0</v>
      </c>
      <c r="C277" s="8">
        <f>[1]salario!C276</f>
        <v>0</v>
      </c>
      <c r="D277" s="10">
        <f>IFERROR(VLOOKUP(B277,cubo!$A$6:$BE$37,6,0)-VLOOKUP(B277,#REF!,$D$2,0),0)</f>
        <v>0</v>
      </c>
      <c r="E277" s="10">
        <f>IFERROR(VLOOKUP(B277,cubo!$A$6:$BE$37,9,0)-VLOOKUP(B277,#REF!,$E$2,0),0)</f>
        <v>0</v>
      </c>
      <c r="F277" s="9">
        <f>IFERROR(VLOOKUP(B277,cubo!$A$6:$BE$37,12,0)-VLOOKUP(B277,#REF!,$F$2,0),0)</f>
        <v>0</v>
      </c>
      <c r="G277" s="9">
        <f>IFERROR(VLOOKUP(B277,cubo!$A$6:$BE$37,54,0)-VLOOKUP(B277,#REF!,$G$2,0),0)</f>
        <v>0</v>
      </c>
      <c r="H277" s="10">
        <f>IFERROR(VLOOKUP(B277,cubo!$A$6:$BE$37,15,0)-VLOOKUP(B277,#REF!,$H$2,0),0)</f>
        <v>0</v>
      </c>
      <c r="I277" s="9">
        <f>IFERROR(VLOOKUP(B277,cubo!$A$6:$BE$37,18,0)-VLOOKUP(B277,#REF!,$I$2,0),0)</f>
        <v>0</v>
      </c>
      <c r="J277" s="9">
        <f>IFERROR(VLOOKUP(B277,cubo!$A$6:$BE$37,24,0)-VLOOKUP(B277,#REF!,$J$2,0),0)</f>
        <v>0</v>
      </c>
      <c r="K277" s="9">
        <f>IFERROR(VLOOKUP(B277,cubo!$A$6:$BE$37,34,0)-VLOOKUP(B277,#REF!,$K$2,0),0)</f>
        <v>0</v>
      </c>
      <c r="L277" s="8">
        <f>IFERROR(VLOOKUP(B277,cubo!$A$6:$BE$37,38,0)-VLOOKUP(B277,#REF!,$L$2,0),0)</f>
        <v>0</v>
      </c>
      <c r="M277" s="15">
        <f>IFERROR(VLOOKUP(B277,cubo!$A$6:$BE$37,57,0)-VLOOKUP(B277,#REF!,$M$2,0),0)</f>
        <v>0</v>
      </c>
      <c r="N277" s="9">
        <f>IFERROR(VLOOKUP(B277,cubo!$A$6:$BK$37,41,0)-VLOOKUP(conciliacao_custos!B277,#REF!,18,0),0)</f>
        <v>0</v>
      </c>
      <c r="O277" s="9">
        <f>IFERROR(VLOOKUP(B277,cubo!$A$6:$BK$37,44,0)-VLOOKUP(conciliacao_custos!B277,#REF!,13,0),0)</f>
        <v>0</v>
      </c>
      <c r="P277" s="9">
        <f>IFERROR(VLOOKUP(B277,cubo!$A$6:$BK$37,47,0)-VLOOKUP(conciliacao_custos!B277,#REF!,14,0),0)</f>
        <v>0</v>
      </c>
      <c r="Q277" s="9">
        <f>IFERROR(VLOOKUP(B277,cubo!$A$6:$BK$37,58,0)-VLOOKUP(conciliacao_custos!B277,#REF!,16,0),0)</f>
        <v>0</v>
      </c>
      <c r="R277" s="9">
        <f>IFERROR(VLOOKUP(B277,cubo!$A$6:$BK$37,64,0)-VLOOKUP(conciliacao_custos!B277,#REF!,17,0),0)</f>
        <v>0</v>
      </c>
      <c r="S277" s="9">
        <f>IFERROR(VLOOKUP(B277,cubo!$A$6:$BK$37,61,0)-VLOOKUP(conciliacao_custos!B277,#REF!,15,0),0)</f>
        <v>0</v>
      </c>
    </row>
    <row r="278" spans="2:19" x14ac:dyDescent="0.25">
      <c r="B278" s="7">
        <f>[1]salario!A277</f>
        <v>0</v>
      </c>
      <c r="C278" s="8">
        <f>[1]salario!C277</f>
        <v>0</v>
      </c>
      <c r="D278" s="10">
        <f>IFERROR(VLOOKUP(B278,cubo!$A$6:$BE$37,6,0)-VLOOKUP(B278,#REF!,$D$2,0),0)</f>
        <v>0</v>
      </c>
      <c r="E278" s="10">
        <f>IFERROR(VLOOKUP(B278,cubo!$A$6:$BE$37,9,0)-VLOOKUP(B278,#REF!,$E$2,0),0)</f>
        <v>0</v>
      </c>
      <c r="F278" s="9">
        <f>IFERROR(VLOOKUP(B278,cubo!$A$6:$BE$37,12,0)-VLOOKUP(B278,#REF!,$F$2,0),0)</f>
        <v>0</v>
      </c>
      <c r="G278" s="9">
        <f>IFERROR(VLOOKUP(B278,cubo!$A$6:$BE$37,54,0)-VLOOKUP(B278,#REF!,$G$2,0),0)</f>
        <v>0</v>
      </c>
      <c r="H278" s="10">
        <f>IFERROR(VLOOKUP(B278,cubo!$A$6:$BE$37,15,0)-VLOOKUP(B278,#REF!,$H$2,0),0)</f>
        <v>0</v>
      </c>
      <c r="I278" s="9">
        <f>IFERROR(VLOOKUP(B278,cubo!$A$6:$BE$37,18,0)-VLOOKUP(B278,#REF!,$I$2,0),0)</f>
        <v>0</v>
      </c>
      <c r="J278" s="9">
        <f>IFERROR(VLOOKUP(B278,cubo!$A$6:$BE$37,24,0)-VLOOKUP(B278,#REF!,$J$2,0),0)</f>
        <v>0</v>
      </c>
      <c r="K278" s="9">
        <f>IFERROR(VLOOKUP(B278,cubo!$A$6:$BE$37,34,0)-VLOOKUP(B278,#REF!,$K$2,0),0)</f>
        <v>0</v>
      </c>
      <c r="L278" s="8">
        <f>IFERROR(VLOOKUP(B278,cubo!$A$6:$BE$37,38,0)-VLOOKUP(B278,#REF!,$L$2,0),0)</f>
        <v>0</v>
      </c>
      <c r="M278" s="15">
        <f>IFERROR(VLOOKUP(B278,cubo!$A$6:$BE$37,57,0)-VLOOKUP(B278,#REF!,$M$2,0),0)</f>
        <v>0</v>
      </c>
      <c r="N278" s="9">
        <f>IFERROR(VLOOKUP(B278,cubo!$A$6:$BK$37,41,0)-VLOOKUP(conciliacao_custos!B278,#REF!,18,0),0)</f>
        <v>0</v>
      </c>
      <c r="O278" s="9">
        <f>IFERROR(VLOOKUP(B278,cubo!$A$6:$BK$37,44,0)-VLOOKUP(conciliacao_custos!B278,#REF!,13,0),0)</f>
        <v>0</v>
      </c>
      <c r="P278" s="9">
        <f>IFERROR(VLOOKUP(B278,cubo!$A$6:$BK$37,47,0)-VLOOKUP(conciliacao_custos!B278,#REF!,14,0),0)</f>
        <v>0</v>
      </c>
      <c r="Q278" s="9">
        <f>IFERROR(VLOOKUP(B278,cubo!$A$6:$BK$37,58,0)-VLOOKUP(conciliacao_custos!B278,#REF!,16,0),0)</f>
        <v>0</v>
      </c>
      <c r="R278" s="9">
        <f>IFERROR(VLOOKUP(B278,cubo!$A$6:$BK$37,64,0)-VLOOKUP(conciliacao_custos!B278,#REF!,17,0),0)</f>
        <v>0</v>
      </c>
      <c r="S278" s="9">
        <f>IFERROR(VLOOKUP(B278,cubo!$A$6:$BK$37,61,0)-VLOOKUP(conciliacao_custos!B278,#REF!,15,0),0)</f>
        <v>0</v>
      </c>
    </row>
    <row r="279" spans="2:19" x14ac:dyDescent="0.25">
      <c r="B279" s="7">
        <f>[1]salario!A278</f>
        <v>0</v>
      </c>
      <c r="C279" s="8">
        <f>[1]salario!C278</f>
        <v>0</v>
      </c>
      <c r="D279" s="10">
        <f>IFERROR(VLOOKUP(B279,cubo!$A$6:$BE$37,6,0)-VLOOKUP(B279,#REF!,$D$2,0),0)</f>
        <v>0</v>
      </c>
      <c r="E279" s="10">
        <f>IFERROR(VLOOKUP(B279,cubo!$A$6:$BE$37,9,0)-VLOOKUP(B279,#REF!,$E$2,0),0)</f>
        <v>0</v>
      </c>
      <c r="F279" s="9">
        <f>IFERROR(VLOOKUP(B279,cubo!$A$6:$BE$37,12,0)-VLOOKUP(B279,#REF!,$F$2,0),0)</f>
        <v>0</v>
      </c>
      <c r="G279" s="9">
        <f>IFERROR(VLOOKUP(B279,cubo!$A$6:$BE$37,54,0)-VLOOKUP(B279,#REF!,$G$2,0),0)</f>
        <v>0</v>
      </c>
      <c r="H279" s="10">
        <f>IFERROR(VLOOKUP(B279,cubo!$A$6:$BE$37,15,0)-VLOOKUP(B279,#REF!,$H$2,0),0)</f>
        <v>0</v>
      </c>
      <c r="I279" s="9">
        <f>IFERROR(VLOOKUP(B279,cubo!$A$6:$BE$37,18,0)-VLOOKUP(B279,#REF!,$I$2,0),0)</f>
        <v>0</v>
      </c>
      <c r="J279" s="9">
        <f>IFERROR(VLOOKUP(B279,cubo!$A$6:$BE$37,24,0)-VLOOKUP(B279,#REF!,$J$2,0),0)</f>
        <v>0</v>
      </c>
      <c r="K279" s="9">
        <f>IFERROR(VLOOKUP(B279,cubo!$A$6:$BE$37,34,0)-VLOOKUP(B279,#REF!,$K$2,0),0)</f>
        <v>0</v>
      </c>
      <c r="L279" s="8">
        <f>IFERROR(VLOOKUP(B279,cubo!$A$6:$BE$37,38,0)-VLOOKUP(B279,#REF!,$L$2,0),0)</f>
        <v>0</v>
      </c>
      <c r="M279" s="15">
        <f>IFERROR(VLOOKUP(B279,cubo!$A$6:$BE$37,57,0)-VLOOKUP(B279,#REF!,$M$2,0),0)</f>
        <v>0</v>
      </c>
      <c r="N279" s="9">
        <f>IFERROR(VLOOKUP(B279,cubo!$A$6:$BK$37,41,0)-VLOOKUP(conciliacao_custos!B279,#REF!,18,0),0)</f>
        <v>0</v>
      </c>
      <c r="O279" s="9">
        <f>IFERROR(VLOOKUP(B279,cubo!$A$6:$BK$37,44,0)-VLOOKUP(conciliacao_custos!B279,#REF!,13,0),0)</f>
        <v>0</v>
      </c>
      <c r="P279" s="9">
        <f>IFERROR(VLOOKUP(B279,cubo!$A$6:$BK$37,47,0)-VLOOKUP(conciliacao_custos!B279,#REF!,14,0),0)</f>
        <v>0</v>
      </c>
      <c r="Q279" s="9">
        <f>IFERROR(VLOOKUP(B279,cubo!$A$6:$BK$37,58,0)-VLOOKUP(conciliacao_custos!B279,#REF!,16,0),0)</f>
        <v>0</v>
      </c>
      <c r="R279" s="9">
        <f>IFERROR(VLOOKUP(B279,cubo!$A$6:$BK$37,64,0)-VLOOKUP(conciliacao_custos!B279,#REF!,17,0),0)</f>
        <v>0</v>
      </c>
      <c r="S279" s="9">
        <f>IFERROR(VLOOKUP(B279,cubo!$A$6:$BK$37,61,0)-VLOOKUP(conciliacao_custos!B279,#REF!,15,0),0)</f>
        <v>0</v>
      </c>
    </row>
    <row r="280" spans="2:19" x14ac:dyDescent="0.25">
      <c r="B280" s="7">
        <f>[1]salario!A279</f>
        <v>0</v>
      </c>
      <c r="C280" s="8">
        <f>[1]salario!C279</f>
        <v>0</v>
      </c>
      <c r="D280" s="10">
        <f>IFERROR(VLOOKUP(B280,cubo!$A$6:$BE$37,6,0)-VLOOKUP(B280,#REF!,$D$2,0),0)</f>
        <v>0</v>
      </c>
      <c r="E280" s="10">
        <f>IFERROR(VLOOKUP(B280,cubo!$A$6:$BE$37,9,0)-VLOOKUP(B280,#REF!,$E$2,0),0)</f>
        <v>0</v>
      </c>
      <c r="F280" s="9">
        <f>IFERROR(VLOOKUP(B280,cubo!$A$6:$BE$37,12,0)-VLOOKUP(B280,#REF!,$F$2,0),0)</f>
        <v>0</v>
      </c>
      <c r="G280" s="9">
        <f>IFERROR(VLOOKUP(B280,cubo!$A$6:$BE$37,54,0)-VLOOKUP(B280,#REF!,$G$2,0),0)</f>
        <v>0</v>
      </c>
      <c r="H280" s="10">
        <f>IFERROR(VLOOKUP(B280,cubo!$A$6:$BE$37,15,0)-VLOOKUP(B280,#REF!,$H$2,0),0)</f>
        <v>0</v>
      </c>
      <c r="I280" s="9">
        <f>IFERROR(VLOOKUP(B280,cubo!$A$6:$BE$37,18,0)-VLOOKUP(B280,#REF!,$I$2,0),0)</f>
        <v>0</v>
      </c>
      <c r="J280" s="9">
        <f>IFERROR(VLOOKUP(B280,cubo!$A$6:$BE$37,24,0)-VLOOKUP(B280,#REF!,$J$2,0),0)</f>
        <v>0</v>
      </c>
      <c r="K280" s="9">
        <f>IFERROR(VLOOKUP(B280,cubo!$A$6:$BE$37,34,0)-VLOOKUP(B280,#REF!,$K$2,0),0)</f>
        <v>0</v>
      </c>
      <c r="L280" s="8">
        <f>IFERROR(VLOOKUP(B280,cubo!$A$6:$BE$37,38,0)-VLOOKUP(B280,#REF!,$L$2,0),0)</f>
        <v>0</v>
      </c>
      <c r="M280" s="15">
        <f>IFERROR(VLOOKUP(B280,cubo!$A$6:$BE$37,57,0)-VLOOKUP(B280,#REF!,$M$2,0),0)</f>
        <v>0</v>
      </c>
      <c r="N280" s="9">
        <f>IFERROR(VLOOKUP(B280,cubo!$A$6:$BK$37,41,0)-VLOOKUP(conciliacao_custos!B280,#REF!,18,0),0)</f>
        <v>0</v>
      </c>
      <c r="O280" s="9">
        <f>IFERROR(VLOOKUP(B280,cubo!$A$6:$BK$37,44,0)-VLOOKUP(conciliacao_custos!B280,#REF!,13,0),0)</f>
        <v>0</v>
      </c>
      <c r="P280" s="9">
        <f>IFERROR(VLOOKUP(B280,cubo!$A$6:$BK$37,47,0)-VLOOKUP(conciliacao_custos!B280,#REF!,14,0),0)</f>
        <v>0</v>
      </c>
      <c r="Q280" s="9">
        <f>IFERROR(VLOOKUP(B280,cubo!$A$6:$BK$37,58,0)-VLOOKUP(conciliacao_custos!B280,#REF!,16,0),0)</f>
        <v>0</v>
      </c>
      <c r="R280" s="9">
        <f>IFERROR(VLOOKUP(B280,cubo!$A$6:$BK$37,64,0)-VLOOKUP(conciliacao_custos!B280,#REF!,17,0),0)</f>
        <v>0</v>
      </c>
      <c r="S280" s="9">
        <f>IFERROR(VLOOKUP(B280,cubo!$A$6:$BK$37,61,0)-VLOOKUP(conciliacao_custos!B280,#REF!,15,0),0)</f>
        <v>0</v>
      </c>
    </row>
    <row r="281" spans="2:19" x14ac:dyDescent="0.25">
      <c r="B281" s="7">
        <f>[1]salario!A280</f>
        <v>0</v>
      </c>
      <c r="C281" s="8">
        <f>[1]salario!C280</f>
        <v>0</v>
      </c>
      <c r="D281" s="10">
        <f>IFERROR(VLOOKUP(B281,cubo!$A$6:$BE$37,6,0)-VLOOKUP(B281,#REF!,$D$2,0),0)</f>
        <v>0</v>
      </c>
      <c r="E281" s="10">
        <f>IFERROR(VLOOKUP(B281,cubo!$A$6:$BE$37,9,0)-VLOOKUP(B281,#REF!,$E$2,0),0)</f>
        <v>0</v>
      </c>
      <c r="F281" s="9">
        <f>IFERROR(VLOOKUP(B281,cubo!$A$6:$BE$37,12,0)-VLOOKUP(B281,#REF!,$F$2,0),0)</f>
        <v>0</v>
      </c>
      <c r="G281" s="9">
        <f>IFERROR(VLOOKUP(B281,cubo!$A$6:$BE$37,54,0)-VLOOKUP(B281,#REF!,$G$2,0),0)</f>
        <v>0</v>
      </c>
      <c r="H281" s="10">
        <f>IFERROR(VLOOKUP(B281,cubo!$A$6:$BE$37,15,0)-VLOOKUP(B281,#REF!,$H$2,0),0)</f>
        <v>0</v>
      </c>
      <c r="I281" s="9">
        <f>IFERROR(VLOOKUP(B281,cubo!$A$6:$BE$37,18,0)-VLOOKUP(B281,#REF!,$I$2,0),0)</f>
        <v>0</v>
      </c>
      <c r="J281" s="9">
        <f>IFERROR(VLOOKUP(B281,cubo!$A$6:$BE$37,24,0)-VLOOKUP(B281,#REF!,$J$2,0),0)</f>
        <v>0</v>
      </c>
      <c r="K281" s="9">
        <f>IFERROR(VLOOKUP(B281,cubo!$A$6:$BE$37,34,0)-VLOOKUP(B281,#REF!,$K$2,0),0)</f>
        <v>0</v>
      </c>
      <c r="L281" s="8">
        <f>IFERROR(VLOOKUP(B281,cubo!$A$6:$BE$37,38,0)-VLOOKUP(B281,#REF!,$L$2,0),0)</f>
        <v>0</v>
      </c>
      <c r="M281" s="15">
        <f>IFERROR(VLOOKUP(B281,cubo!$A$6:$BE$37,57,0)-VLOOKUP(B281,#REF!,$M$2,0),0)</f>
        <v>0</v>
      </c>
      <c r="N281" s="9">
        <f>IFERROR(VLOOKUP(B281,cubo!$A$6:$BK$37,41,0)-VLOOKUP(conciliacao_custos!B281,#REF!,18,0),0)</f>
        <v>0</v>
      </c>
      <c r="O281" s="9">
        <f>IFERROR(VLOOKUP(B281,cubo!$A$6:$BK$37,44,0)-VLOOKUP(conciliacao_custos!B281,#REF!,13,0),0)</f>
        <v>0</v>
      </c>
      <c r="P281" s="9">
        <f>IFERROR(VLOOKUP(B281,cubo!$A$6:$BK$37,47,0)-VLOOKUP(conciliacao_custos!B281,#REF!,14,0),0)</f>
        <v>0</v>
      </c>
      <c r="Q281" s="9">
        <f>IFERROR(VLOOKUP(B281,cubo!$A$6:$BK$37,58,0)-VLOOKUP(conciliacao_custos!B281,#REF!,16,0),0)</f>
        <v>0</v>
      </c>
      <c r="R281" s="9">
        <f>IFERROR(VLOOKUP(B281,cubo!$A$6:$BK$37,64,0)-VLOOKUP(conciliacao_custos!B281,#REF!,17,0),0)</f>
        <v>0</v>
      </c>
      <c r="S281" s="9">
        <f>IFERROR(VLOOKUP(B281,cubo!$A$6:$BK$37,61,0)-VLOOKUP(conciliacao_custos!B281,#REF!,15,0),0)</f>
        <v>0</v>
      </c>
    </row>
    <row r="282" spans="2:19" x14ac:dyDescent="0.25">
      <c r="B282" s="7">
        <f>[1]salario!A281</f>
        <v>0</v>
      </c>
      <c r="C282" s="8">
        <f>[1]salario!C281</f>
        <v>0</v>
      </c>
      <c r="D282" s="10">
        <f>IFERROR(VLOOKUP(B282,cubo!$A$6:$BE$37,6,0)-VLOOKUP(B282,#REF!,$D$2,0),0)</f>
        <v>0</v>
      </c>
      <c r="E282" s="10">
        <f>IFERROR(VLOOKUP(B282,cubo!$A$6:$BE$37,9,0)-VLOOKUP(B282,#REF!,$E$2,0),0)</f>
        <v>0</v>
      </c>
      <c r="F282" s="9">
        <f>IFERROR(VLOOKUP(B282,cubo!$A$6:$BE$37,12,0)-VLOOKUP(B282,#REF!,$F$2,0),0)</f>
        <v>0</v>
      </c>
      <c r="G282" s="9">
        <f>IFERROR(VLOOKUP(B282,cubo!$A$6:$BE$37,54,0)-VLOOKUP(B282,#REF!,$G$2,0),0)</f>
        <v>0</v>
      </c>
      <c r="H282" s="10">
        <f>IFERROR(VLOOKUP(B282,cubo!$A$6:$BE$37,15,0)-VLOOKUP(B282,#REF!,$H$2,0),0)</f>
        <v>0</v>
      </c>
      <c r="I282" s="9">
        <f>IFERROR(VLOOKUP(B282,cubo!$A$6:$BE$37,18,0)-VLOOKUP(B282,#REF!,$I$2,0),0)</f>
        <v>0</v>
      </c>
      <c r="J282" s="9">
        <f>IFERROR(VLOOKUP(B282,cubo!$A$6:$BE$37,24,0)-VLOOKUP(B282,#REF!,$J$2,0),0)</f>
        <v>0</v>
      </c>
      <c r="K282" s="9">
        <f>IFERROR(VLOOKUP(B282,cubo!$A$6:$BE$37,34,0)-VLOOKUP(B282,#REF!,$K$2,0),0)</f>
        <v>0</v>
      </c>
      <c r="L282" s="8">
        <f>IFERROR(VLOOKUP(B282,cubo!$A$6:$BE$37,38,0)-VLOOKUP(B282,#REF!,$L$2,0),0)</f>
        <v>0</v>
      </c>
      <c r="M282" s="15">
        <f>IFERROR(VLOOKUP(B282,cubo!$A$6:$BE$37,57,0)-VLOOKUP(B282,#REF!,$M$2,0),0)</f>
        <v>0</v>
      </c>
      <c r="N282" s="9">
        <f>IFERROR(VLOOKUP(B282,cubo!$A$6:$BK$37,41,0)-VLOOKUP(conciliacao_custos!B282,#REF!,18,0),0)</f>
        <v>0</v>
      </c>
      <c r="O282" s="9">
        <f>IFERROR(VLOOKUP(B282,cubo!$A$6:$BK$37,44,0)-VLOOKUP(conciliacao_custos!B282,#REF!,13,0),0)</f>
        <v>0</v>
      </c>
      <c r="P282" s="9">
        <f>IFERROR(VLOOKUP(B282,cubo!$A$6:$BK$37,47,0)-VLOOKUP(conciliacao_custos!B282,#REF!,14,0),0)</f>
        <v>0</v>
      </c>
      <c r="Q282" s="9">
        <f>IFERROR(VLOOKUP(B282,cubo!$A$6:$BK$37,58,0)-VLOOKUP(conciliacao_custos!B282,#REF!,16,0),0)</f>
        <v>0</v>
      </c>
      <c r="R282" s="9">
        <f>IFERROR(VLOOKUP(B282,cubo!$A$6:$BK$37,64,0)-VLOOKUP(conciliacao_custos!B282,#REF!,17,0),0)</f>
        <v>0</v>
      </c>
      <c r="S282" s="9">
        <f>IFERROR(VLOOKUP(B282,cubo!$A$6:$BK$37,61,0)-VLOOKUP(conciliacao_custos!B282,#REF!,15,0),0)</f>
        <v>0</v>
      </c>
    </row>
    <row r="283" spans="2:19" x14ac:dyDescent="0.25">
      <c r="B283" s="7">
        <f>[1]salario!A282</f>
        <v>0</v>
      </c>
      <c r="C283" s="8">
        <f>[1]salario!C282</f>
        <v>0</v>
      </c>
      <c r="D283" s="10">
        <f>IFERROR(VLOOKUP(B283,cubo!$A$6:$BE$37,6,0)-VLOOKUP(B283,#REF!,$D$2,0),0)</f>
        <v>0</v>
      </c>
      <c r="E283" s="10">
        <f>IFERROR(VLOOKUP(B283,cubo!$A$6:$BE$37,9,0)-VLOOKUP(B283,#REF!,$E$2,0),0)</f>
        <v>0</v>
      </c>
      <c r="F283" s="9">
        <f>IFERROR(VLOOKUP(B283,cubo!$A$6:$BE$37,12,0)-VLOOKUP(B283,#REF!,$F$2,0),0)</f>
        <v>0</v>
      </c>
      <c r="G283" s="9">
        <f>IFERROR(VLOOKUP(B283,cubo!$A$6:$BE$37,54,0)-VLOOKUP(B283,#REF!,$G$2,0),0)</f>
        <v>0</v>
      </c>
      <c r="H283" s="10">
        <f>IFERROR(VLOOKUP(B283,cubo!$A$6:$BE$37,15,0)-VLOOKUP(B283,#REF!,$H$2,0),0)</f>
        <v>0</v>
      </c>
      <c r="I283" s="9">
        <f>IFERROR(VLOOKUP(B283,cubo!$A$6:$BE$37,18,0)-VLOOKUP(B283,#REF!,$I$2,0),0)</f>
        <v>0</v>
      </c>
      <c r="J283" s="9">
        <f>IFERROR(VLOOKUP(B283,cubo!$A$6:$BE$37,24,0)-VLOOKUP(B283,#REF!,$J$2,0),0)</f>
        <v>0</v>
      </c>
      <c r="K283" s="9">
        <f>IFERROR(VLOOKUP(B283,cubo!$A$6:$BE$37,34,0)-VLOOKUP(B283,#REF!,$K$2,0),0)</f>
        <v>0</v>
      </c>
      <c r="L283" s="8">
        <f>IFERROR(VLOOKUP(B283,cubo!$A$6:$BE$37,38,0)-VLOOKUP(B283,#REF!,$L$2,0),0)</f>
        <v>0</v>
      </c>
      <c r="M283" s="15">
        <f>IFERROR(VLOOKUP(B283,cubo!$A$6:$BE$37,57,0)-VLOOKUP(B283,#REF!,$M$2,0),0)</f>
        <v>0</v>
      </c>
      <c r="N283" s="9">
        <f>IFERROR(VLOOKUP(B283,cubo!$A$6:$BK$37,41,0)-VLOOKUP(conciliacao_custos!B283,#REF!,18,0),0)</f>
        <v>0</v>
      </c>
      <c r="O283" s="9">
        <f>IFERROR(VLOOKUP(B283,cubo!$A$6:$BK$37,44,0)-VLOOKUP(conciliacao_custos!B283,#REF!,13,0),0)</f>
        <v>0</v>
      </c>
      <c r="P283" s="9">
        <f>IFERROR(VLOOKUP(B283,cubo!$A$6:$BK$37,47,0)-VLOOKUP(conciliacao_custos!B283,#REF!,14,0),0)</f>
        <v>0</v>
      </c>
      <c r="Q283" s="9">
        <f>IFERROR(VLOOKUP(B283,cubo!$A$6:$BK$37,58,0)-VLOOKUP(conciliacao_custos!B283,#REF!,16,0),0)</f>
        <v>0</v>
      </c>
      <c r="R283" s="9">
        <f>IFERROR(VLOOKUP(B283,cubo!$A$6:$BK$37,64,0)-VLOOKUP(conciliacao_custos!B283,#REF!,17,0),0)</f>
        <v>0</v>
      </c>
      <c r="S283" s="9">
        <f>IFERROR(VLOOKUP(B283,cubo!$A$6:$BK$37,61,0)-VLOOKUP(conciliacao_custos!B283,#REF!,15,0),0)</f>
        <v>0</v>
      </c>
    </row>
    <row r="284" spans="2:19" x14ac:dyDescent="0.25">
      <c r="B284" s="7">
        <f>[1]salario!A283</f>
        <v>0</v>
      </c>
      <c r="C284" s="8">
        <f>[1]salario!C283</f>
        <v>0</v>
      </c>
      <c r="D284" s="10">
        <f>IFERROR(VLOOKUP(B284,cubo!$A$6:$BE$37,6,0)-VLOOKUP(B284,#REF!,$D$2,0),0)</f>
        <v>0</v>
      </c>
      <c r="E284" s="10">
        <f>IFERROR(VLOOKUP(B284,cubo!$A$6:$BE$37,9,0)-VLOOKUP(B284,#REF!,$E$2,0),0)</f>
        <v>0</v>
      </c>
      <c r="F284" s="9">
        <f>IFERROR(VLOOKUP(B284,cubo!$A$6:$BE$37,12,0)-VLOOKUP(B284,#REF!,$F$2,0),0)</f>
        <v>0</v>
      </c>
      <c r="G284" s="9">
        <f>IFERROR(VLOOKUP(B284,cubo!$A$6:$BE$37,54,0)-VLOOKUP(B284,#REF!,$G$2,0),0)</f>
        <v>0</v>
      </c>
      <c r="H284" s="10">
        <f>IFERROR(VLOOKUP(B284,cubo!$A$6:$BE$37,15,0)-VLOOKUP(B284,#REF!,$H$2,0),0)</f>
        <v>0</v>
      </c>
      <c r="I284" s="9">
        <f>IFERROR(VLOOKUP(B284,cubo!$A$6:$BE$37,18,0)-VLOOKUP(B284,#REF!,$I$2,0),0)</f>
        <v>0</v>
      </c>
      <c r="J284" s="9">
        <f>IFERROR(VLOOKUP(B284,cubo!$A$6:$BE$37,24,0)-VLOOKUP(B284,#REF!,$J$2,0),0)</f>
        <v>0</v>
      </c>
      <c r="K284" s="9">
        <f>IFERROR(VLOOKUP(B284,cubo!$A$6:$BE$37,34,0)-VLOOKUP(B284,#REF!,$K$2,0),0)</f>
        <v>0</v>
      </c>
      <c r="L284" s="8">
        <f>IFERROR(VLOOKUP(B284,cubo!$A$6:$BE$37,38,0)-VLOOKUP(B284,#REF!,$L$2,0),0)</f>
        <v>0</v>
      </c>
      <c r="M284" s="15">
        <f>IFERROR(VLOOKUP(B284,cubo!$A$6:$BE$37,57,0)-VLOOKUP(B284,#REF!,$M$2,0),0)</f>
        <v>0</v>
      </c>
      <c r="N284" s="9">
        <f>IFERROR(VLOOKUP(B284,cubo!$A$6:$BK$37,41,0)-VLOOKUP(conciliacao_custos!B284,#REF!,18,0),0)</f>
        <v>0</v>
      </c>
      <c r="O284" s="9">
        <f>IFERROR(VLOOKUP(B284,cubo!$A$6:$BK$37,44,0)-VLOOKUP(conciliacao_custos!B284,#REF!,13,0),0)</f>
        <v>0</v>
      </c>
      <c r="P284" s="9">
        <f>IFERROR(VLOOKUP(B284,cubo!$A$6:$BK$37,47,0)-VLOOKUP(conciliacao_custos!B284,#REF!,14,0),0)</f>
        <v>0</v>
      </c>
      <c r="Q284" s="9">
        <f>IFERROR(VLOOKUP(B284,cubo!$A$6:$BK$37,58,0)-VLOOKUP(conciliacao_custos!B284,#REF!,16,0),0)</f>
        <v>0</v>
      </c>
      <c r="R284" s="9">
        <f>IFERROR(VLOOKUP(B284,cubo!$A$6:$BK$37,64,0)-VLOOKUP(conciliacao_custos!B284,#REF!,17,0),0)</f>
        <v>0</v>
      </c>
      <c r="S284" s="9">
        <f>IFERROR(VLOOKUP(B284,cubo!$A$6:$BK$37,61,0)-VLOOKUP(conciliacao_custos!B284,#REF!,15,0),0)</f>
        <v>0</v>
      </c>
    </row>
    <row r="285" spans="2:19" x14ac:dyDescent="0.25">
      <c r="B285" s="7">
        <f>[1]salario!A284</f>
        <v>0</v>
      </c>
      <c r="C285" s="8">
        <f>[1]salario!C284</f>
        <v>0</v>
      </c>
      <c r="D285" s="10">
        <f>IFERROR(VLOOKUP(B285,cubo!$A$6:$BE$37,6,0)-VLOOKUP(B285,#REF!,$D$2,0),0)</f>
        <v>0</v>
      </c>
      <c r="E285" s="10">
        <f>IFERROR(VLOOKUP(B285,cubo!$A$6:$BE$37,9,0)-VLOOKUP(B285,#REF!,$E$2,0),0)</f>
        <v>0</v>
      </c>
      <c r="F285" s="9">
        <f>IFERROR(VLOOKUP(B285,cubo!$A$6:$BE$37,12,0)-VLOOKUP(B285,#REF!,$F$2,0),0)</f>
        <v>0</v>
      </c>
      <c r="G285" s="9">
        <f>IFERROR(VLOOKUP(B285,cubo!$A$6:$BE$37,54,0)-VLOOKUP(B285,#REF!,$G$2,0),0)</f>
        <v>0</v>
      </c>
      <c r="H285" s="10">
        <f>IFERROR(VLOOKUP(B285,cubo!$A$6:$BE$37,15,0)-VLOOKUP(B285,#REF!,$H$2,0),0)</f>
        <v>0</v>
      </c>
      <c r="I285" s="9">
        <f>IFERROR(VLOOKUP(B285,cubo!$A$6:$BE$37,18,0)-VLOOKUP(B285,#REF!,$I$2,0),0)</f>
        <v>0</v>
      </c>
      <c r="J285" s="9">
        <f>IFERROR(VLOOKUP(B285,cubo!$A$6:$BE$37,24,0)-VLOOKUP(B285,#REF!,$J$2,0),0)</f>
        <v>0</v>
      </c>
      <c r="K285" s="9">
        <f>IFERROR(VLOOKUP(B285,cubo!$A$6:$BE$37,34,0)-VLOOKUP(B285,#REF!,$K$2,0),0)</f>
        <v>0</v>
      </c>
      <c r="L285" s="8">
        <f>IFERROR(VLOOKUP(B285,cubo!$A$6:$BE$37,38,0)-VLOOKUP(B285,#REF!,$L$2,0),0)</f>
        <v>0</v>
      </c>
      <c r="M285" s="15">
        <f>IFERROR(VLOOKUP(B285,cubo!$A$6:$BE$37,57,0)-VLOOKUP(B285,#REF!,$M$2,0),0)</f>
        <v>0</v>
      </c>
      <c r="N285" s="9">
        <f>IFERROR(VLOOKUP(B285,cubo!$A$6:$BK$37,41,0)-VLOOKUP(conciliacao_custos!B285,#REF!,18,0),0)</f>
        <v>0</v>
      </c>
      <c r="O285" s="9">
        <f>IFERROR(VLOOKUP(B285,cubo!$A$6:$BK$37,44,0)-VLOOKUP(conciliacao_custos!B285,#REF!,13,0),0)</f>
        <v>0</v>
      </c>
      <c r="P285" s="9">
        <f>IFERROR(VLOOKUP(B285,cubo!$A$6:$BK$37,47,0)-VLOOKUP(conciliacao_custos!B285,#REF!,14,0),0)</f>
        <v>0</v>
      </c>
      <c r="Q285" s="9">
        <f>IFERROR(VLOOKUP(B285,cubo!$A$6:$BK$37,58,0)-VLOOKUP(conciliacao_custos!B285,#REF!,16,0),0)</f>
        <v>0</v>
      </c>
      <c r="R285" s="9">
        <f>IFERROR(VLOOKUP(B285,cubo!$A$6:$BK$37,64,0)-VLOOKUP(conciliacao_custos!B285,#REF!,17,0),0)</f>
        <v>0</v>
      </c>
      <c r="S285" s="9">
        <f>IFERROR(VLOOKUP(B285,cubo!$A$6:$BK$37,61,0)-VLOOKUP(conciliacao_custos!B285,#REF!,15,0),0)</f>
        <v>0</v>
      </c>
    </row>
    <row r="286" spans="2:19" x14ac:dyDescent="0.25">
      <c r="B286" s="7">
        <f>[1]salario!A285</f>
        <v>0</v>
      </c>
      <c r="C286" s="8">
        <f>[1]salario!C285</f>
        <v>0</v>
      </c>
      <c r="D286" s="10">
        <f>IFERROR(VLOOKUP(B286,cubo!$A$6:$BE$37,6,0)-VLOOKUP(B286,#REF!,$D$2,0),0)</f>
        <v>0</v>
      </c>
      <c r="E286" s="10">
        <f>IFERROR(VLOOKUP(B286,cubo!$A$6:$BE$37,9,0)-VLOOKUP(B286,#REF!,$E$2,0),0)</f>
        <v>0</v>
      </c>
      <c r="F286" s="9">
        <f>IFERROR(VLOOKUP(B286,cubo!$A$6:$BE$37,12,0)-VLOOKUP(B286,#REF!,$F$2,0),0)</f>
        <v>0</v>
      </c>
      <c r="G286" s="9">
        <f>IFERROR(VLOOKUP(B286,cubo!$A$6:$BE$37,54,0)-VLOOKUP(B286,#REF!,$G$2,0),0)</f>
        <v>0</v>
      </c>
      <c r="H286" s="10">
        <f>IFERROR(VLOOKUP(B286,cubo!$A$6:$BE$37,15,0)-VLOOKUP(B286,#REF!,$H$2,0),0)</f>
        <v>0</v>
      </c>
      <c r="I286" s="9">
        <f>IFERROR(VLOOKUP(B286,cubo!$A$6:$BE$37,18,0)-VLOOKUP(B286,#REF!,$I$2,0),0)</f>
        <v>0</v>
      </c>
      <c r="J286" s="9">
        <f>IFERROR(VLOOKUP(B286,cubo!$A$6:$BE$37,24,0)-VLOOKUP(B286,#REF!,$J$2,0),0)</f>
        <v>0</v>
      </c>
      <c r="K286" s="9">
        <f>IFERROR(VLOOKUP(B286,cubo!$A$6:$BE$37,34,0)-VLOOKUP(B286,#REF!,$K$2,0),0)</f>
        <v>0</v>
      </c>
      <c r="L286" s="8">
        <f>IFERROR(VLOOKUP(B286,cubo!$A$6:$BE$37,38,0)-VLOOKUP(B286,#REF!,$L$2,0),0)</f>
        <v>0</v>
      </c>
      <c r="M286" s="15">
        <f>IFERROR(VLOOKUP(B286,cubo!$A$6:$BE$37,57,0)-VLOOKUP(B286,#REF!,$M$2,0),0)</f>
        <v>0</v>
      </c>
      <c r="N286" s="9">
        <f>IFERROR(VLOOKUP(B286,cubo!$A$6:$BK$37,41,0)-VLOOKUP(conciliacao_custos!B286,#REF!,18,0),0)</f>
        <v>0</v>
      </c>
      <c r="O286" s="9">
        <f>IFERROR(VLOOKUP(B286,cubo!$A$6:$BK$37,44,0)-VLOOKUP(conciliacao_custos!B286,#REF!,13,0),0)</f>
        <v>0</v>
      </c>
      <c r="P286" s="9">
        <f>IFERROR(VLOOKUP(B286,cubo!$A$6:$BK$37,47,0)-VLOOKUP(conciliacao_custos!B286,#REF!,14,0),0)</f>
        <v>0</v>
      </c>
      <c r="Q286" s="9">
        <f>IFERROR(VLOOKUP(B286,cubo!$A$6:$BK$37,58,0)-VLOOKUP(conciliacao_custos!B286,#REF!,16,0),0)</f>
        <v>0</v>
      </c>
      <c r="R286" s="9">
        <f>IFERROR(VLOOKUP(B286,cubo!$A$6:$BK$37,64,0)-VLOOKUP(conciliacao_custos!B286,#REF!,17,0),0)</f>
        <v>0</v>
      </c>
      <c r="S286" s="9">
        <f>IFERROR(VLOOKUP(B286,cubo!$A$6:$BK$37,61,0)-VLOOKUP(conciliacao_custos!B286,#REF!,15,0),0)</f>
        <v>0</v>
      </c>
    </row>
    <row r="287" spans="2:19" x14ac:dyDescent="0.25">
      <c r="B287" s="7">
        <f>[1]salario!A286</f>
        <v>0</v>
      </c>
      <c r="C287" s="8">
        <f>[1]salario!C286</f>
        <v>0</v>
      </c>
      <c r="D287" s="10">
        <f>IFERROR(VLOOKUP(B287,cubo!$A$6:$BE$37,6,0)-VLOOKUP(B287,#REF!,$D$2,0),0)</f>
        <v>0</v>
      </c>
      <c r="E287" s="10">
        <f>IFERROR(VLOOKUP(B287,cubo!$A$6:$BE$37,9,0)-VLOOKUP(B287,#REF!,$E$2,0),0)</f>
        <v>0</v>
      </c>
      <c r="F287" s="9">
        <f>IFERROR(VLOOKUP(B287,cubo!$A$6:$BE$37,12,0)-VLOOKUP(B287,#REF!,$F$2,0),0)</f>
        <v>0</v>
      </c>
      <c r="G287" s="9">
        <f>IFERROR(VLOOKUP(B287,cubo!$A$6:$BE$37,54,0)-VLOOKUP(B287,#REF!,$G$2,0),0)</f>
        <v>0</v>
      </c>
      <c r="H287" s="10">
        <f>IFERROR(VLOOKUP(B287,cubo!$A$6:$BE$37,15,0)-VLOOKUP(B287,#REF!,$H$2,0),0)</f>
        <v>0</v>
      </c>
      <c r="I287" s="9">
        <f>IFERROR(VLOOKUP(B287,cubo!$A$6:$BE$37,18,0)-VLOOKUP(B287,#REF!,$I$2,0),0)</f>
        <v>0</v>
      </c>
      <c r="J287" s="9">
        <f>IFERROR(VLOOKUP(B287,cubo!$A$6:$BE$37,24,0)-VLOOKUP(B287,#REF!,$J$2,0),0)</f>
        <v>0</v>
      </c>
      <c r="K287" s="9">
        <f>IFERROR(VLOOKUP(B287,cubo!$A$6:$BE$37,34,0)-VLOOKUP(B287,#REF!,$K$2,0),0)</f>
        <v>0</v>
      </c>
      <c r="L287" s="8">
        <f>IFERROR(VLOOKUP(B287,cubo!$A$6:$BE$37,38,0)-VLOOKUP(B287,#REF!,$L$2,0),0)</f>
        <v>0</v>
      </c>
      <c r="M287" s="15">
        <f>IFERROR(VLOOKUP(B287,cubo!$A$6:$BE$37,57,0)-VLOOKUP(B287,#REF!,$M$2,0),0)</f>
        <v>0</v>
      </c>
      <c r="N287" s="9">
        <f>IFERROR(VLOOKUP(B287,cubo!$A$6:$BK$37,41,0)-VLOOKUP(conciliacao_custos!B287,#REF!,18,0),0)</f>
        <v>0</v>
      </c>
      <c r="O287" s="9">
        <f>IFERROR(VLOOKUP(B287,cubo!$A$6:$BK$37,44,0)-VLOOKUP(conciliacao_custos!B287,#REF!,13,0),0)</f>
        <v>0</v>
      </c>
      <c r="P287" s="9">
        <f>IFERROR(VLOOKUP(B287,cubo!$A$6:$BK$37,47,0)-VLOOKUP(conciliacao_custos!B287,#REF!,14,0),0)</f>
        <v>0</v>
      </c>
      <c r="Q287" s="9">
        <f>IFERROR(VLOOKUP(B287,cubo!$A$6:$BK$37,58,0)-VLOOKUP(conciliacao_custos!B287,#REF!,16,0),0)</f>
        <v>0</v>
      </c>
      <c r="R287" s="9">
        <f>IFERROR(VLOOKUP(B287,cubo!$A$6:$BK$37,64,0)-VLOOKUP(conciliacao_custos!B287,#REF!,17,0),0)</f>
        <v>0</v>
      </c>
      <c r="S287" s="9">
        <f>IFERROR(VLOOKUP(B287,cubo!$A$6:$BK$37,61,0)-VLOOKUP(conciliacao_custos!B287,#REF!,15,0),0)</f>
        <v>0</v>
      </c>
    </row>
    <row r="288" spans="2:19" x14ac:dyDescent="0.25">
      <c r="B288" s="7">
        <f>[1]salario!A287</f>
        <v>0</v>
      </c>
      <c r="C288" s="8">
        <f>[1]salario!C287</f>
        <v>0</v>
      </c>
      <c r="D288" s="10">
        <f>IFERROR(VLOOKUP(B288,cubo!$A$6:$BE$37,6,0)-VLOOKUP(B288,#REF!,$D$2,0),0)</f>
        <v>0</v>
      </c>
      <c r="E288" s="10">
        <f>IFERROR(VLOOKUP(B288,cubo!$A$6:$BE$37,9,0)-VLOOKUP(B288,#REF!,$E$2,0),0)</f>
        <v>0</v>
      </c>
      <c r="F288" s="9">
        <f>IFERROR(VLOOKUP(B288,cubo!$A$6:$BE$37,12,0)-VLOOKUP(B288,#REF!,$F$2,0),0)</f>
        <v>0</v>
      </c>
      <c r="G288" s="9">
        <f>IFERROR(VLOOKUP(B288,cubo!$A$6:$BE$37,54,0)-VLOOKUP(B288,#REF!,$G$2,0),0)</f>
        <v>0</v>
      </c>
      <c r="H288" s="10">
        <f>IFERROR(VLOOKUP(B288,cubo!$A$6:$BE$37,15,0)-VLOOKUP(B288,#REF!,$H$2,0),0)</f>
        <v>0</v>
      </c>
      <c r="I288" s="9">
        <f>IFERROR(VLOOKUP(B288,cubo!$A$6:$BE$37,18,0)-VLOOKUP(B288,#REF!,$I$2,0),0)</f>
        <v>0</v>
      </c>
      <c r="J288" s="9">
        <f>IFERROR(VLOOKUP(B288,cubo!$A$6:$BE$37,24,0)-VLOOKUP(B288,#REF!,$J$2,0),0)</f>
        <v>0</v>
      </c>
      <c r="K288" s="9">
        <f>IFERROR(VLOOKUP(B288,cubo!$A$6:$BE$37,34,0)-VLOOKUP(B288,#REF!,$K$2,0),0)</f>
        <v>0</v>
      </c>
      <c r="L288" s="8">
        <f>IFERROR(VLOOKUP(B288,cubo!$A$6:$BE$37,38,0)-VLOOKUP(B288,#REF!,$L$2,0),0)</f>
        <v>0</v>
      </c>
      <c r="M288" s="15">
        <f>IFERROR(VLOOKUP(B288,cubo!$A$6:$BE$37,57,0)-VLOOKUP(B288,#REF!,$M$2,0),0)</f>
        <v>0</v>
      </c>
      <c r="N288" s="9">
        <f>IFERROR(VLOOKUP(B288,cubo!$A$6:$BK$37,41,0)-VLOOKUP(conciliacao_custos!B288,#REF!,18,0),0)</f>
        <v>0</v>
      </c>
      <c r="O288" s="9">
        <f>IFERROR(VLOOKUP(B288,cubo!$A$6:$BK$37,44,0)-VLOOKUP(conciliacao_custos!B288,#REF!,13,0),0)</f>
        <v>0</v>
      </c>
      <c r="P288" s="9">
        <f>IFERROR(VLOOKUP(B288,cubo!$A$6:$BK$37,47,0)-VLOOKUP(conciliacao_custos!B288,#REF!,14,0),0)</f>
        <v>0</v>
      </c>
      <c r="Q288" s="9">
        <f>IFERROR(VLOOKUP(B288,cubo!$A$6:$BK$37,58,0)-VLOOKUP(conciliacao_custos!B288,#REF!,16,0),0)</f>
        <v>0</v>
      </c>
      <c r="R288" s="9">
        <f>IFERROR(VLOOKUP(B288,cubo!$A$6:$BK$37,64,0)-VLOOKUP(conciliacao_custos!B288,#REF!,17,0),0)</f>
        <v>0</v>
      </c>
      <c r="S288" s="9">
        <f>IFERROR(VLOOKUP(B288,cubo!$A$6:$BK$37,61,0)-VLOOKUP(conciliacao_custos!B288,#REF!,15,0),0)</f>
        <v>0</v>
      </c>
    </row>
    <row r="289" spans="2:19" x14ac:dyDescent="0.25">
      <c r="B289" s="7">
        <f>[1]salario!A288</f>
        <v>0</v>
      </c>
      <c r="C289" s="8">
        <f>[1]salario!C288</f>
        <v>0</v>
      </c>
      <c r="D289" s="10">
        <f>IFERROR(VLOOKUP(B289,cubo!$A$6:$BE$37,6,0)-VLOOKUP(B289,#REF!,$D$2,0),0)</f>
        <v>0</v>
      </c>
      <c r="E289" s="10">
        <f>IFERROR(VLOOKUP(B289,cubo!$A$6:$BE$37,9,0)-VLOOKUP(B289,#REF!,$E$2,0),0)</f>
        <v>0</v>
      </c>
      <c r="F289" s="9">
        <f>IFERROR(VLOOKUP(B289,cubo!$A$6:$BE$37,12,0)-VLOOKUP(B289,#REF!,$F$2,0),0)</f>
        <v>0</v>
      </c>
      <c r="G289" s="9">
        <f>IFERROR(VLOOKUP(B289,cubo!$A$6:$BE$37,54,0)-VLOOKUP(B289,#REF!,$G$2,0),0)</f>
        <v>0</v>
      </c>
      <c r="H289" s="10">
        <f>IFERROR(VLOOKUP(B289,cubo!$A$6:$BE$37,15,0)-VLOOKUP(B289,#REF!,$H$2,0),0)</f>
        <v>0</v>
      </c>
      <c r="I289" s="9">
        <f>IFERROR(VLOOKUP(B289,cubo!$A$6:$BE$37,18,0)-VLOOKUP(B289,#REF!,$I$2,0),0)</f>
        <v>0</v>
      </c>
      <c r="J289" s="9">
        <f>IFERROR(VLOOKUP(B289,cubo!$A$6:$BE$37,24,0)-VLOOKUP(B289,#REF!,$J$2,0),0)</f>
        <v>0</v>
      </c>
      <c r="K289" s="9">
        <f>IFERROR(VLOOKUP(B289,cubo!$A$6:$BE$37,34,0)-VLOOKUP(B289,#REF!,$K$2,0),0)</f>
        <v>0</v>
      </c>
      <c r="L289" s="8">
        <f>IFERROR(VLOOKUP(B289,cubo!$A$6:$BE$37,38,0)-VLOOKUP(B289,#REF!,$L$2,0),0)</f>
        <v>0</v>
      </c>
      <c r="M289" s="15">
        <f>IFERROR(VLOOKUP(B289,cubo!$A$6:$BE$37,57,0)-VLOOKUP(B289,#REF!,$M$2,0),0)</f>
        <v>0</v>
      </c>
      <c r="N289" s="9">
        <f>IFERROR(VLOOKUP(B289,cubo!$A$6:$BK$37,41,0)-VLOOKUP(conciliacao_custos!B289,#REF!,18,0),0)</f>
        <v>0</v>
      </c>
      <c r="O289" s="9">
        <f>IFERROR(VLOOKUP(B289,cubo!$A$6:$BK$37,44,0)-VLOOKUP(conciliacao_custos!B289,#REF!,13,0),0)</f>
        <v>0</v>
      </c>
      <c r="P289" s="9">
        <f>IFERROR(VLOOKUP(B289,cubo!$A$6:$BK$37,47,0)-VLOOKUP(conciliacao_custos!B289,#REF!,14,0),0)</f>
        <v>0</v>
      </c>
      <c r="Q289" s="9">
        <f>IFERROR(VLOOKUP(B289,cubo!$A$6:$BK$37,58,0)-VLOOKUP(conciliacao_custos!B289,#REF!,16,0),0)</f>
        <v>0</v>
      </c>
      <c r="R289" s="9">
        <f>IFERROR(VLOOKUP(B289,cubo!$A$6:$BK$37,64,0)-VLOOKUP(conciliacao_custos!B289,#REF!,17,0),0)</f>
        <v>0</v>
      </c>
      <c r="S289" s="9">
        <f>IFERROR(VLOOKUP(B289,cubo!$A$6:$BK$37,61,0)-VLOOKUP(conciliacao_custos!B289,#REF!,15,0),0)</f>
        <v>0</v>
      </c>
    </row>
    <row r="290" spans="2:19" x14ac:dyDescent="0.25">
      <c r="B290" s="7">
        <f>[1]salario!A289</f>
        <v>0</v>
      </c>
      <c r="C290" s="8">
        <f>[1]salario!C289</f>
        <v>0</v>
      </c>
      <c r="D290" s="10">
        <f>IFERROR(VLOOKUP(B290,cubo!$A$6:$BE$37,6,0)-VLOOKUP(B290,#REF!,$D$2,0),0)</f>
        <v>0</v>
      </c>
      <c r="E290" s="10">
        <f>IFERROR(VLOOKUP(B290,cubo!$A$6:$BE$37,9,0)-VLOOKUP(B290,#REF!,$E$2,0),0)</f>
        <v>0</v>
      </c>
      <c r="F290" s="9">
        <f>IFERROR(VLOOKUP(B290,cubo!$A$6:$BE$37,12,0)-VLOOKUP(B290,#REF!,$F$2,0),0)</f>
        <v>0</v>
      </c>
      <c r="G290" s="9">
        <f>IFERROR(VLOOKUP(B290,cubo!$A$6:$BE$37,54,0)-VLOOKUP(B290,#REF!,$G$2,0),0)</f>
        <v>0</v>
      </c>
      <c r="H290" s="10">
        <f>IFERROR(VLOOKUP(B290,cubo!$A$6:$BE$37,15,0)-VLOOKUP(B290,#REF!,$H$2,0),0)</f>
        <v>0</v>
      </c>
      <c r="I290" s="9">
        <f>IFERROR(VLOOKUP(B290,cubo!$A$6:$BE$37,18,0)-VLOOKUP(B290,#REF!,$I$2,0),0)</f>
        <v>0</v>
      </c>
      <c r="J290" s="9">
        <f>IFERROR(VLOOKUP(B290,cubo!$A$6:$BE$37,24,0)-VLOOKUP(B290,#REF!,$J$2,0),0)</f>
        <v>0</v>
      </c>
      <c r="K290" s="9">
        <f>IFERROR(VLOOKUP(B290,cubo!$A$6:$BE$37,34,0)-VLOOKUP(B290,#REF!,$K$2,0),0)</f>
        <v>0</v>
      </c>
      <c r="L290" s="8">
        <f>IFERROR(VLOOKUP(B290,cubo!$A$6:$BE$37,38,0)-VLOOKUP(B290,#REF!,$L$2,0),0)</f>
        <v>0</v>
      </c>
      <c r="M290" s="15">
        <f>IFERROR(VLOOKUP(B290,cubo!$A$6:$BE$37,57,0)-VLOOKUP(B290,#REF!,$M$2,0),0)</f>
        <v>0</v>
      </c>
      <c r="N290" s="9">
        <f>IFERROR(VLOOKUP(B290,cubo!$A$6:$BK$37,41,0)-VLOOKUP(conciliacao_custos!B290,#REF!,18,0),0)</f>
        <v>0</v>
      </c>
      <c r="O290" s="9">
        <f>IFERROR(VLOOKUP(B290,cubo!$A$6:$BK$37,44,0)-VLOOKUP(conciliacao_custos!B290,#REF!,13,0),0)</f>
        <v>0</v>
      </c>
      <c r="P290" s="9">
        <f>IFERROR(VLOOKUP(B290,cubo!$A$6:$BK$37,47,0)-VLOOKUP(conciliacao_custos!B290,#REF!,14,0),0)</f>
        <v>0</v>
      </c>
      <c r="Q290" s="9">
        <f>IFERROR(VLOOKUP(B290,cubo!$A$6:$BK$37,58,0)-VLOOKUP(conciliacao_custos!B290,#REF!,16,0),0)</f>
        <v>0</v>
      </c>
      <c r="R290" s="9">
        <f>IFERROR(VLOOKUP(B290,cubo!$A$6:$BK$37,64,0)-VLOOKUP(conciliacao_custos!B290,#REF!,17,0),0)</f>
        <v>0</v>
      </c>
      <c r="S290" s="9">
        <f>IFERROR(VLOOKUP(B290,cubo!$A$6:$BK$37,61,0)-VLOOKUP(conciliacao_custos!B290,#REF!,15,0),0)</f>
        <v>0</v>
      </c>
    </row>
    <row r="291" spans="2:19" x14ac:dyDescent="0.25">
      <c r="B291" s="7">
        <f>[1]salario!A290</f>
        <v>0</v>
      </c>
      <c r="C291" s="8">
        <f>[1]salario!C290</f>
        <v>0</v>
      </c>
      <c r="D291" s="10">
        <f>IFERROR(VLOOKUP(B291,cubo!$A$6:$BE$37,6,0)-VLOOKUP(B291,#REF!,$D$2,0),0)</f>
        <v>0</v>
      </c>
      <c r="E291" s="10">
        <f>IFERROR(VLOOKUP(B291,cubo!$A$6:$BE$37,9,0)-VLOOKUP(B291,#REF!,$E$2,0),0)</f>
        <v>0</v>
      </c>
      <c r="F291" s="9">
        <f>IFERROR(VLOOKUP(B291,cubo!$A$6:$BE$37,12,0)-VLOOKUP(B291,#REF!,$F$2,0),0)</f>
        <v>0</v>
      </c>
      <c r="G291" s="9">
        <f>IFERROR(VLOOKUP(B291,cubo!$A$6:$BE$37,54,0)-VLOOKUP(B291,#REF!,$G$2,0),0)</f>
        <v>0</v>
      </c>
      <c r="H291" s="10">
        <f>IFERROR(VLOOKUP(B291,cubo!$A$6:$BE$37,15,0)-VLOOKUP(B291,#REF!,$H$2,0),0)</f>
        <v>0</v>
      </c>
      <c r="I291" s="9">
        <f>IFERROR(VLOOKUP(B291,cubo!$A$6:$BE$37,18,0)-VLOOKUP(B291,#REF!,$I$2,0),0)</f>
        <v>0</v>
      </c>
      <c r="J291" s="9">
        <f>IFERROR(VLOOKUP(B291,cubo!$A$6:$BE$37,24,0)-VLOOKUP(B291,#REF!,$J$2,0),0)</f>
        <v>0</v>
      </c>
      <c r="K291" s="9">
        <f>IFERROR(VLOOKUP(B291,cubo!$A$6:$BE$37,34,0)-VLOOKUP(B291,#REF!,$K$2,0),0)</f>
        <v>0</v>
      </c>
      <c r="L291" s="8">
        <f>IFERROR(VLOOKUP(B291,cubo!$A$6:$BE$37,38,0)-VLOOKUP(B291,#REF!,$L$2,0),0)</f>
        <v>0</v>
      </c>
      <c r="M291" s="15">
        <f>IFERROR(VLOOKUP(B291,cubo!$A$6:$BE$37,57,0)-VLOOKUP(B291,#REF!,$M$2,0),0)</f>
        <v>0</v>
      </c>
      <c r="N291" s="9">
        <f>IFERROR(VLOOKUP(B291,cubo!$A$6:$BK$37,41,0)-VLOOKUP(conciliacao_custos!B291,#REF!,18,0),0)</f>
        <v>0</v>
      </c>
      <c r="O291" s="9">
        <f>IFERROR(VLOOKUP(B291,cubo!$A$6:$BK$37,44,0)-VLOOKUP(conciliacao_custos!B291,#REF!,13,0),0)</f>
        <v>0</v>
      </c>
      <c r="P291" s="9">
        <f>IFERROR(VLOOKUP(B291,cubo!$A$6:$BK$37,47,0)-VLOOKUP(conciliacao_custos!B291,#REF!,14,0),0)</f>
        <v>0</v>
      </c>
      <c r="Q291" s="9">
        <f>IFERROR(VLOOKUP(B291,cubo!$A$6:$BK$37,58,0)-VLOOKUP(conciliacao_custos!B291,#REF!,16,0),0)</f>
        <v>0</v>
      </c>
      <c r="R291" s="9">
        <f>IFERROR(VLOOKUP(B291,cubo!$A$6:$BK$37,64,0)-VLOOKUP(conciliacao_custos!B291,#REF!,17,0),0)</f>
        <v>0</v>
      </c>
      <c r="S291" s="9">
        <f>IFERROR(VLOOKUP(B291,cubo!$A$6:$BK$37,61,0)-VLOOKUP(conciliacao_custos!B291,#REF!,15,0),0)</f>
        <v>0</v>
      </c>
    </row>
    <row r="292" spans="2:19" x14ac:dyDescent="0.25">
      <c r="B292" s="7">
        <f>[1]salario!A291</f>
        <v>0</v>
      </c>
      <c r="C292" s="8">
        <f>[1]salario!C291</f>
        <v>0</v>
      </c>
      <c r="D292" s="10">
        <f>IFERROR(VLOOKUP(B292,cubo!$A$6:$BE$37,6,0)-VLOOKUP(B292,#REF!,$D$2,0),0)</f>
        <v>0</v>
      </c>
      <c r="E292" s="10">
        <f>IFERROR(VLOOKUP(B292,cubo!$A$6:$BE$37,9,0)-VLOOKUP(B292,#REF!,$E$2,0),0)</f>
        <v>0</v>
      </c>
      <c r="F292" s="9">
        <f>IFERROR(VLOOKUP(B292,cubo!$A$6:$BE$37,12,0)-VLOOKUP(B292,#REF!,$F$2,0),0)</f>
        <v>0</v>
      </c>
      <c r="G292" s="9">
        <f>IFERROR(VLOOKUP(B292,cubo!$A$6:$BE$37,54,0)-VLOOKUP(B292,#REF!,$G$2,0),0)</f>
        <v>0</v>
      </c>
      <c r="H292" s="10">
        <f>IFERROR(VLOOKUP(B292,cubo!$A$6:$BE$37,15,0)-VLOOKUP(B292,#REF!,$H$2,0),0)</f>
        <v>0</v>
      </c>
      <c r="I292" s="9">
        <f>IFERROR(VLOOKUP(B292,cubo!$A$6:$BE$37,18,0)-VLOOKUP(B292,#REF!,$I$2,0),0)</f>
        <v>0</v>
      </c>
      <c r="J292" s="9">
        <f>IFERROR(VLOOKUP(B292,cubo!$A$6:$BE$37,24,0)-VLOOKUP(B292,#REF!,$J$2,0),0)</f>
        <v>0</v>
      </c>
      <c r="K292" s="9">
        <f>IFERROR(VLOOKUP(B292,cubo!$A$6:$BE$37,34,0)-VLOOKUP(B292,#REF!,$K$2,0),0)</f>
        <v>0</v>
      </c>
      <c r="L292" s="8">
        <f>IFERROR(VLOOKUP(B292,cubo!$A$6:$BE$37,38,0)-VLOOKUP(B292,#REF!,$L$2,0),0)</f>
        <v>0</v>
      </c>
      <c r="M292" s="15">
        <f>IFERROR(VLOOKUP(B292,cubo!$A$6:$BE$37,57,0)-VLOOKUP(B292,#REF!,$M$2,0),0)</f>
        <v>0</v>
      </c>
      <c r="N292" s="9">
        <f>IFERROR(VLOOKUP(B292,cubo!$A$6:$BK$37,41,0)-VLOOKUP(conciliacao_custos!B292,#REF!,18,0),0)</f>
        <v>0</v>
      </c>
      <c r="O292" s="9">
        <f>IFERROR(VLOOKUP(B292,cubo!$A$6:$BK$37,44,0)-VLOOKUP(conciliacao_custos!B292,#REF!,13,0),0)</f>
        <v>0</v>
      </c>
      <c r="P292" s="9">
        <f>IFERROR(VLOOKUP(B292,cubo!$A$6:$BK$37,47,0)-VLOOKUP(conciliacao_custos!B292,#REF!,14,0),0)</f>
        <v>0</v>
      </c>
      <c r="Q292" s="9">
        <f>IFERROR(VLOOKUP(B292,cubo!$A$6:$BK$37,58,0)-VLOOKUP(conciliacao_custos!B292,#REF!,16,0),0)</f>
        <v>0</v>
      </c>
      <c r="R292" s="9">
        <f>IFERROR(VLOOKUP(B292,cubo!$A$6:$BK$37,64,0)-VLOOKUP(conciliacao_custos!B292,#REF!,17,0),0)</f>
        <v>0</v>
      </c>
      <c r="S292" s="9">
        <f>IFERROR(VLOOKUP(B292,cubo!$A$6:$BK$37,61,0)-VLOOKUP(conciliacao_custos!B292,#REF!,15,0),0)</f>
        <v>0</v>
      </c>
    </row>
    <row r="293" spans="2:19" x14ac:dyDescent="0.25">
      <c r="B293" s="7">
        <f>[1]salario!A292</f>
        <v>0</v>
      </c>
      <c r="C293" s="8">
        <f>[1]salario!C292</f>
        <v>0</v>
      </c>
      <c r="D293" s="10">
        <f>IFERROR(VLOOKUP(B293,cubo!$A$6:$BE$37,6,0)-VLOOKUP(B293,#REF!,$D$2,0),0)</f>
        <v>0</v>
      </c>
      <c r="E293" s="10">
        <f>IFERROR(VLOOKUP(B293,cubo!$A$6:$BE$37,9,0)-VLOOKUP(B293,#REF!,$E$2,0),0)</f>
        <v>0</v>
      </c>
      <c r="F293" s="9">
        <f>IFERROR(VLOOKUP(B293,cubo!$A$6:$BE$37,12,0)-VLOOKUP(B293,#REF!,$F$2,0),0)</f>
        <v>0</v>
      </c>
      <c r="G293" s="9">
        <f>IFERROR(VLOOKUP(B293,cubo!$A$6:$BE$37,54,0)-VLOOKUP(B293,#REF!,$G$2,0),0)</f>
        <v>0</v>
      </c>
      <c r="H293" s="10">
        <f>IFERROR(VLOOKUP(B293,cubo!$A$6:$BE$37,15,0)-VLOOKUP(B293,#REF!,$H$2,0),0)</f>
        <v>0</v>
      </c>
      <c r="I293" s="9">
        <f>IFERROR(VLOOKUP(B293,cubo!$A$6:$BE$37,18,0)-VLOOKUP(B293,#REF!,$I$2,0),0)</f>
        <v>0</v>
      </c>
      <c r="J293" s="9">
        <f>IFERROR(VLOOKUP(B293,cubo!$A$6:$BE$37,24,0)-VLOOKUP(B293,#REF!,$J$2,0),0)</f>
        <v>0</v>
      </c>
      <c r="K293" s="9">
        <f>IFERROR(VLOOKUP(B293,cubo!$A$6:$BE$37,34,0)-VLOOKUP(B293,#REF!,$K$2,0),0)</f>
        <v>0</v>
      </c>
      <c r="L293" s="8">
        <f>IFERROR(VLOOKUP(B293,cubo!$A$6:$BE$37,38,0)-VLOOKUP(B293,#REF!,$L$2,0),0)</f>
        <v>0</v>
      </c>
      <c r="M293" s="15">
        <f>IFERROR(VLOOKUP(B293,cubo!$A$6:$BE$37,57,0)-VLOOKUP(B293,#REF!,$M$2,0),0)</f>
        <v>0</v>
      </c>
      <c r="N293" s="9">
        <f>IFERROR(VLOOKUP(B293,cubo!$A$6:$BK$37,41,0)-VLOOKUP(conciliacao_custos!B293,#REF!,18,0),0)</f>
        <v>0</v>
      </c>
      <c r="O293" s="9">
        <f>IFERROR(VLOOKUP(B293,cubo!$A$6:$BK$37,44,0)-VLOOKUP(conciliacao_custos!B293,#REF!,13,0),0)</f>
        <v>0</v>
      </c>
      <c r="P293" s="9">
        <f>IFERROR(VLOOKUP(B293,cubo!$A$6:$BK$37,47,0)-VLOOKUP(conciliacao_custos!B293,#REF!,14,0),0)</f>
        <v>0</v>
      </c>
      <c r="Q293" s="9">
        <f>IFERROR(VLOOKUP(B293,cubo!$A$6:$BK$37,58,0)-VLOOKUP(conciliacao_custos!B293,#REF!,16,0),0)</f>
        <v>0</v>
      </c>
      <c r="R293" s="9">
        <f>IFERROR(VLOOKUP(B293,cubo!$A$6:$BK$37,64,0)-VLOOKUP(conciliacao_custos!B293,#REF!,17,0),0)</f>
        <v>0</v>
      </c>
      <c r="S293" s="9">
        <f>IFERROR(VLOOKUP(B293,cubo!$A$6:$BK$37,61,0)-VLOOKUP(conciliacao_custos!B293,#REF!,15,0),0)</f>
        <v>0</v>
      </c>
    </row>
    <row r="294" spans="2:19" x14ac:dyDescent="0.25">
      <c r="B294" s="7">
        <f>[1]salario!A293</f>
        <v>0</v>
      </c>
      <c r="C294" s="8">
        <f>[1]salario!C293</f>
        <v>0</v>
      </c>
      <c r="D294" s="10">
        <f>IFERROR(VLOOKUP(B294,cubo!$A$6:$BE$37,6,0)-VLOOKUP(B294,#REF!,$D$2,0),0)</f>
        <v>0</v>
      </c>
      <c r="E294" s="10">
        <f>IFERROR(VLOOKUP(B294,cubo!$A$6:$BE$37,9,0)-VLOOKUP(B294,#REF!,$E$2,0),0)</f>
        <v>0</v>
      </c>
      <c r="F294" s="9">
        <f>IFERROR(VLOOKUP(B294,cubo!$A$6:$BE$37,12,0)-VLOOKUP(B294,#REF!,$F$2,0),0)</f>
        <v>0</v>
      </c>
      <c r="G294" s="9">
        <f>IFERROR(VLOOKUP(B294,cubo!$A$6:$BE$37,54,0)-VLOOKUP(B294,#REF!,$G$2,0),0)</f>
        <v>0</v>
      </c>
      <c r="H294" s="10">
        <f>IFERROR(VLOOKUP(B294,cubo!$A$6:$BE$37,15,0)-VLOOKUP(B294,#REF!,$H$2,0),0)</f>
        <v>0</v>
      </c>
      <c r="I294" s="9">
        <f>IFERROR(VLOOKUP(B294,cubo!$A$6:$BE$37,18,0)-VLOOKUP(B294,#REF!,$I$2,0),0)</f>
        <v>0</v>
      </c>
      <c r="J294" s="9">
        <f>IFERROR(VLOOKUP(B294,cubo!$A$6:$BE$37,24,0)-VLOOKUP(B294,#REF!,$J$2,0),0)</f>
        <v>0</v>
      </c>
      <c r="K294" s="9">
        <f>IFERROR(VLOOKUP(B294,cubo!$A$6:$BE$37,34,0)-VLOOKUP(B294,#REF!,$K$2,0),0)</f>
        <v>0</v>
      </c>
      <c r="L294" s="8">
        <f>IFERROR(VLOOKUP(B294,cubo!$A$6:$BE$37,38,0)-VLOOKUP(B294,#REF!,$L$2,0),0)</f>
        <v>0</v>
      </c>
      <c r="M294" s="15">
        <f>IFERROR(VLOOKUP(B294,cubo!$A$6:$BE$37,57,0)-VLOOKUP(B294,#REF!,$M$2,0),0)</f>
        <v>0</v>
      </c>
      <c r="N294" s="9">
        <f>IFERROR(VLOOKUP(B294,cubo!$A$6:$BK$37,41,0)-VLOOKUP(conciliacao_custos!B294,#REF!,18,0),0)</f>
        <v>0</v>
      </c>
      <c r="O294" s="9">
        <f>IFERROR(VLOOKUP(B294,cubo!$A$6:$BK$37,44,0)-VLOOKUP(conciliacao_custos!B294,#REF!,13,0),0)</f>
        <v>0</v>
      </c>
      <c r="P294" s="9">
        <f>IFERROR(VLOOKUP(B294,cubo!$A$6:$BK$37,47,0)-VLOOKUP(conciliacao_custos!B294,#REF!,14,0),0)</f>
        <v>0</v>
      </c>
      <c r="Q294" s="9">
        <f>IFERROR(VLOOKUP(B294,cubo!$A$6:$BK$37,58,0)-VLOOKUP(conciliacao_custos!B294,#REF!,16,0),0)</f>
        <v>0</v>
      </c>
      <c r="R294" s="9">
        <f>IFERROR(VLOOKUP(B294,cubo!$A$6:$BK$37,64,0)-VLOOKUP(conciliacao_custos!B294,#REF!,17,0),0)</f>
        <v>0</v>
      </c>
      <c r="S294" s="9">
        <f>IFERROR(VLOOKUP(B294,cubo!$A$6:$BK$37,61,0)-VLOOKUP(conciliacao_custos!B294,#REF!,15,0),0)</f>
        <v>0</v>
      </c>
    </row>
    <row r="295" spans="2:19" x14ac:dyDescent="0.25">
      <c r="B295" s="7">
        <f>[1]salario!A294</f>
        <v>0</v>
      </c>
      <c r="C295" s="8">
        <f>[1]salario!C294</f>
        <v>0</v>
      </c>
      <c r="D295" s="10">
        <f>IFERROR(VLOOKUP(B295,cubo!$A$6:$BE$37,6,0)-VLOOKUP(B295,#REF!,$D$2,0),0)</f>
        <v>0</v>
      </c>
      <c r="E295" s="10">
        <f>IFERROR(VLOOKUP(B295,cubo!$A$6:$BE$37,9,0)-VLOOKUP(B295,#REF!,$E$2,0),0)</f>
        <v>0</v>
      </c>
      <c r="F295" s="9">
        <f>IFERROR(VLOOKUP(B295,cubo!$A$6:$BE$37,12,0)-VLOOKUP(B295,#REF!,$F$2,0),0)</f>
        <v>0</v>
      </c>
      <c r="G295" s="9">
        <f>IFERROR(VLOOKUP(B295,cubo!$A$6:$BE$37,54,0)-VLOOKUP(B295,#REF!,$G$2,0),0)</f>
        <v>0</v>
      </c>
      <c r="H295" s="10">
        <f>IFERROR(VLOOKUP(B295,cubo!$A$6:$BE$37,15,0)-VLOOKUP(B295,#REF!,$H$2,0),0)</f>
        <v>0</v>
      </c>
      <c r="I295" s="9">
        <f>IFERROR(VLOOKUP(B295,cubo!$A$6:$BE$37,18,0)-VLOOKUP(B295,#REF!,$I$2,0),0)</f>
        <v>0</v>
      </c>
      <c r="J295" s="9">
        <f>IFERROR(VLOOKUP(B295,cubo!$A$6:$BE$37,24,0)-VLOOKUP(B295,#REF!,$J$2,0),0)</f>
        <v>0</v>
      </c>
      <c r="K295" s="9">
        <f>IFERROR(VLOOKUP(B295,cubo!$A$6:$BE$37,34,0)-VLOOKUP(B295,#REF!,$K$2,0),0)</f>
        <v>0</v>
      </c>
      <c r="L295" s="8">
        <f>IFERROR(VLOOKUP(B295,cubo!$A$6:$BE$37,38,0)-VLOOKUP(B295,#REF!,$L$2,0),0)</f>
        <v>0</v>
      </c>
      <c r="M295" s="15">
        <f>IFERROR(VLOOKUP(B295,cubo!$A$6:$BE$37,57,0)-VLOOKUP(B295,#REF!,$M$2,0),0)</f>
        <v>0</v>
      </c>
      <c r="N295" s="9">
        <f>IFERROR(VLOOKUP(B295,cubo!$A$6:$BK$37,41,0)-VLOOKUP(conciliacao_custos!B295,#REF!,18,0),0)</f>
        <v>0</v>
      </c>
      <c r="O295" s="9">
        <f>IFERROR(VLOOKUP(B295,cubo!$A$6:$BK$37,44,0)-VLOOKUP(conciliacao_custos!B295,#REF!,13,0),0)</f>
        <v>0</v>
      </c>
      <c r="P295" s="9">
        <f>IFERROR(VLOOKUP(B295,cubo!$A$6:$BK$37,47,0)-VLOOKUP(conciliacao_custos!B295,#REF!,14,0),0)</f>
        <v>0</v>
      </c>
      <c r="Q295" s="9">
        <f>IFERROR(VLOOKUP(B295,cubo!$A$6:$BK$37,58,0)-VLOOKUP(conciliacao_custos!B295,#REF!,16,0),0)</f>
        <v>0</v>
      </c>
      <c r="R295" s="9">
        <f>IFERROR(VLOOKUP(B295,cubo!$A$6:$BK$37,64,0)-VLOOKUP(conciliacao_custos!B295,#REF!,17,0),0)</f>
        <v>0</v>
      </c>
      <c r="S295" s="9">
        <f>IFERROR(VLOOKUP(B295,cubo!$A$6:$BK$37,61,0)-VLOOKUP(conciliacao_custos!B295,#REF!,15,0),0)</f>
        <v>0</v>
      </c>
    </row>
    <row r="296" spans="2:19" x14ac:dyDescent="0.25">
      <c r="B296" s="7">
        <f>[1]salario!A295</f>
        <v>0</v>
      </c>
      <c r="C296" s="8">
        <f>[1]salario!C295</f>
        <v>0</v>
      </c>
      <c r="D296" s="10">
        <f>IFERROR(VLOOKUP(B296,cubo!$A$6:$BE$37,6,0)-VLOOKUP(B296,#REF!,$D$2,0),0)</f>
        <v>0</v>
      </c>
      <c r="E296" s="10">
        <f>IFERROR(VLOOKUP(B296,cubo!$A$6:$BE$37,9,0)-VLOOKUP(B296,#REF!,$E$2,0),0)</f>
        <v>0</v>
      </c>
      <c r="F296" s="9">
        <f>IFERROR(VLOOKUP(B296,cubo!$A$6:$BE$37,12,0)-VLOOKUP(B296,#REF!,$F$2,0),0)</f>
        <v>0</v>
      </c>
      <c r="G296" s="9">
        <f>IFERROR(VLOOKUP(B296,cubo!$A$6:$BE$37,54,0)-VLOOKUP(B296,#REF!,$G$2,0),0)</f>
        <v>0</v>
      </c>
      <c r="H296" s="10">
        <f>IFERROR(VLOOKUP(B296,cubo!$A$6:$BE$37,15,0)-VLOOKUP(B296,#REF!,$H$2,0),0)</f>
        <v>0</v>
      </c>
      <c r="I296" s="9">
        <f>IFERROR(VLOOKUP(B296,cubo!$A$6:$BE$37,18,0)-VLOOKUP(B296,#REF!,$I$2,0),0)</f>
        <v>0</v>
      </c>
      <c r="J296" s="9">
        <f>IFERROR(VLOOKUP(B296,cubo!$A$6:$BE$37,24,0)-VLOOKUP(B296,#REF!,$J$2,0),0)</f>
        <v>0</v>
      </c>
      <c r="K296" s="9">
        <f>IFERROR(VLOOKUP(B296,cubo!$A$6:$BE$37,34,0)-VLOOKUP(B296,#REF!,$K$2,0),0)</f>
        <v>0</v>
      </c>
      <c r="L296" s="8">
        <f>IFERROR(VLOOKUP(B296,cubo!$A$6:$BE$37,38,0)-VLOOKUP(B296,#REF!,$L$2,0),0)</f>
        <v>0</v>
      </c>
      <c r="M296" s="15">
        <f>IFERROR(VLOOKUP(B296,cubo!$A$6:$BE$37,57,0)-VLOOKUP(B296,#REF!,$M$2,0),0)</f>
        <v>0</v>
      </c>
      <c r="N296" s="9">
        <f>IFERROR(VLOOKUP(B296,cubo!$A$6:$BK$37,41,0)-VLOOKUP(conciliacao_custos!B296,#REF!,18,0),0)</f>
        <v>0</v>
      </c>
      <c r="O296" s="9">
        <f>IFERROR(VLOOKUP(B296,cubo!$A$6:$BK$37,44,0)-VLOOKUP(conciliacao_custos!B296,#REF!,13,0),0)</f>
        <v>0</v>
      </c>
      <c r="P296" s="9">
        <f>IFERROR(VLOOKUP(B296,cubo!$A$6:$BK$37,47,0)-VLOOKUP(conciliacao_custos!B296,#REF!,14,0),0)</f>
        <v>0</v>
      </c>
      <c r="Q296" s="9">
        <f>IFERROR(VLOOKUP(B296,cubo!$A$6:$BK$37,58,0)-VLOOKUP(conciliacao_custos!B296,#REF!,16,0),0)</f>
        <v>0</v>
      </c>
      <c r="R296" s="9">
        <f>IFERROR(VLOOKUP(B296,cubo!$A$6:$BK$37,64,0)-VLOOKUP(conciliacao_custos!B296,#REF!,17,0),0)</f>
        <v>0</v>
      </c>
      <c r="S296" s="9">
        <f>IFERROR(VLOOKUP(B296,cubo!$A$6:$BK$37,61,0)-VLOOKUP(conciliacao_custos!B296,#REF!,15,0),0)</f>
        <v>0</v>
      </c>
    </row>
    <row r="297" spans="2:19" x14ac:dyDescent="0.25">
      <c r="B297" s="7">
        <f>[1]salario!A296</f>
        <v>0</v>
      </c>
      <c r="C297" s="8">
        <f>[1]salario!C296</f>
        <v>0</v>
      </c>
      <c r="D297" s="10">
        <f>IFERROR(VLOOKUP(B297,cubo!$A$6:$BE$37,6,0)-VLOOKUP(B297,#REF!,$D$2,0),0)</f>
        <v>0</v>
      </c>
      <c r="E297" s="10">
        <f>IFERROR(VLOOKUP(B297,cubo!$A$6:$BE$37,9,0)-VLOOKUP(B297,#REF!,$E$2,0),0)</f>
        <v>0</v>
      </c>
      <c r="F297" s="9">
        <f>IFERROR(VLOOKUP(B297,cubo!$A$6:$BE$37,12,0)-VLOOKUP(B297,#REF!,$F$2,0),0)</f>
        <v>0</v>
      </c>
      <c r="G297" s="9">
        <f>IFERROR(VLOOKUP(B297,cubo!$A$6:$BE$37,54,0)-VLOOKUP(B297,#REF!,$G$2,0),0)</f>
        <v>0</v>
      </c>
      <c r="H297" s="10">
        <f>IFERROR(VLOOKUP(B297,cubo!$A$6:$BE$37,15,0)-VLOOKUP(B297,#REF!,$H$2,0),0)</f>
        <v>0</v>
      </c>
      <c r="I297" s="9">
        <f>IFERROR(VLOOKUP(B297,cubo!$A$6:$BE$37,18,0)-VLOOKUP(B297,#REF!,$I$2,0),0)</f>
        <v>0</v>
      </c>
      <c r="J297" s="9">
        <f>IFERROR(VLOOKUP(B297,cubo!$A$6:$BE$37,24,0)-VLOOKUP(B297,#REF!,$J$2,0),0)</f>
        <v>0</v>
      </c>
      <c r="K297" s="9">
        <f>IFERROR(VLOOKUP(B297,cubo!$A$6:$BE$37,34,0)-VLOOKUP(B297,#REF!,$K$2,0),0)</f>
        <v>0</v>
      </c>
      <c r="L297" s="8">
        <f>IFERROR(VLOOKUP(B297,cubo!$A$6:$BE$37,38,0)-VLOOKUP(B297,#REF!,$L$2,0),0)</f>
        <v>0</v>
      </c>
      <c r="M297" s="15">
        <f>IFERROR(VLOOKUP(B297,cubo!$A$6:$BE$37,57,0)-VLOOKUP(B297,#REF!,$M$2,0),0)</f>
        <v>0</v>
      </c>
      <c r="N297" s="9">
        <f>IFERROR(VLOOKUP(B297,cubo!$A$6:$BK$37,41,0)-VLOOKUP(conciliacao_custos!B297,#REF!,18,0),0)</f>
        <v>0</v>
      </c>
      <c r="O297" s="9">
        <f>IFERROR(VLOOKUP(B297,cubo!$A$6:$BK$37,44,0)-VLOOKUP(conciliacao_custos!B297,#REF!,13,0),0)</f>
        <v>0</v>
      </c>
      <c r="P297" s="9">
        <f>IFERROR(VLOOKUP(B297,cubo!$A$6:$BK$37,47,0)-VLOOKUP(conciliacao_custos!B297,#REF!,14,0),0)</f>
        <v>0</v>
      </c>
      <c r="Q297" s="9">
        <f>IFERROR(VLOOKUP(B297,cubo!$A$6:$BK$37,58,0)-VLOOKUP(conciliacao_custos!B297,#REF!,16,0),0)</f>
        <v>0</v>
      </c>
      <c r="R297" s="9">
        <f>IFERROR(VLOOKUP(B297,cubo!$A$6:$BK$37,64,0)-VLOOKUP(conciliacao_custos!B297,#REF!,17,0),0)</f>
        <v>0</v>
      </c>
      <c r="S297" s="9">
        <f>IFERROR(VLOOKUP(B297,cubo!$A$6:$BK$37,61,0)-VLOOKUP(conciliacao_custos!B297,#REF!,15,0),0)</f>
        <v>0</v>
      </c>
    </row>
    <row r="298" spans="2:19" x14ac:dyDescent="0.25">
      <c r="B298" s="7">
        <f>[1]salario!A297</f>
        <v>0</v>
      </c>
      <c r="C298" s="8">
        <f>[1]salario!C297</f>
        <v>0</v>
      </c>
      <c r="D298" s="10">
        <f>IFERROR(VLOOKUP(B298,cubo!$A$6:$BE$37,6,0)-VLOOKUP(B298,#REF!,$D$2,0),0)</f>
        <v>0</v>
      </c>
      <c r="E298" s="10">
        <f>IFERROR(VLOOKUP(B298,cubo!$A$6:$BE$37,9,0)-VLOOKUP(B298,#REF!,$E$2,0),0)</f>
        <v>0</v>
      </c>
      <c r="F298" s="9">
        <f>IFERROR(VLOOKUP(B298,cubo!$A$6:$BE$37,12,0)-VLOOKUP(B298,#REF!,$F$2,0),0)</f>
        <v>0</v>
      </c>
      <c r="G298" s="9">
        <f>IFERROR(VLOOKUP(B298,cubo!$A$6:$BE$37,54,0)-VLOOKUP(B298,#REF!,$G$2,0),0)</f>
        <v>0</v>
      </c>
      <c r="H298" s="10">
        <f>IFERROR(VLOOKUP(B298,cubo!$A$6:$BE$37,15,0)-VLOOKUP(B298,#REF!,$H$2,0),0)</f>
        <v>0</v>
      </c>
      <c r="I298" s="9">
        <f>IFERROR(VLOOKUP(B298,cubo!$A$6:$BE$37,18,0)-VLOOKUP(B298,#REF!,$I$2,0),0)</f>
        <v>0</v>
      </c>
      <c r="J298" s="9">
        <f>IFERROR(VLOOKUP(B298,cubo!$A$6:$BE$37,24,0)-VLOOKUP(B298,#REF!,$J$2,0),0)</f>
        <v>0</v>
      </c>
      <c r="K298" s="9">
        <f>IFERROR(VLOOKUP(B298,cubo!$A$6:$BE$37,34,0)-VLOOKUP(B298,#REF!,$K$2,0),0)</f>
        <v>0</v>
      </c>
      <c r="L298" s="8">
        <f>IFERROR(VLOOKUP(B298,cubo!$A$6:$BE$37,38,0)-VLOOKUP(B298,#REF!,$L$2,0),0)</f>
        <v>0</v>
      </c>
      <c r="M298" s="15">
        <f>IFERROR(VLOOKUP(B298,cubo!$A$6:$BE$37,57,0)-VLOOKUP(B298,#REF!,$M$2,0),0)</f>
        <v>0</v>
      </c>
      <c r="N298" s="9">
        <f>IFERROR(VLOOKUP(B298,cubo!$A$6:$BK$37,41,0)-VLOOKUP(conciliacao_custos!B298,#REF!,18,0),0)</f>
        <v>0</v>
      </c>
      <c r="O298" s="9">
        <f>IFERROR(VLOOKUP(B298,cubo!$A$6:$BK$37,44,0)-VLOOKUP(conciliacao_custos!B298,#REF!,13,0),0)</f>
        <v>0</v>
      </c>
      <c r="P298" s="9">
        <f>IFERROR(VLOOKUP(B298,cubo!$A$6:$BK$37,47,0)-VLOOKUP(conciliacao_custos!B298,#REF!,14,0),0)</f>
        <v>0</v>
      </c>
      <c r="Q298" s="9">
        <f>IFERROR(VLOOKUP(B298,cubo!$A$6:$BK$37,58,0)-VLOOKUP(conciliacao_custos!B298,#REF!,16,0),0)</f>
        <v>0</v>
      </c>
      <c r="R298" s="9">
        <f>IFERROR(VLOOKUP(B298,cubo!$A$6:$BK$37,64,0)-VLOOKUP(conciliacao_custos!B298,#REF!,17,0),0)</f>
        <v>0</v>
      </c>
      <c r="S298" s="9">
        <f>IFERROR(VLOOKUP(B298,cubo!$A$6:$BK$37,61,0)-VLOOKUP(conciliacao_custos!B298,#REF!,15,0),0)</f>
        <v>0</v>
      </c>
    </row>
    <row r="299" spans="2:19" x14ac:dyDescent="0.25">
      <c r="B299" s="7">
        <f>[1]salario!A298</f>
        <v>0</v>
      </c>
      <c r="C299" s="8">
        <f>[1]salario!C298</f>
        <v>0</v>
      </c>
      <c r="D299" s="10">
        <f>IFERROR(VLOOKUP(B299,cubo!$A$6:$BE$37,6,0)-VLOOKUP(B299,#REF!,$D$2,0),0)</f>
        <v>0</v>
      </c>
      <c r="E299" s="10">
        <f>IFERROR(VLOOKUP(B299,cubo!$A$6:$BE$37,9,0)-VLOOKUP(B299,#REF!,$E$2,0),0)</f>
        <v>0</v>
      </c>
      <c r="F299" s="9">
        <f>IFERROR(VLOOKUP(B299,cubo!$A$6:$BE$37,12,0)-VLOOKUP(B299,#REF!,$F$2,0),0)</f>
        <v>0</v>
      </c>
      <c r="G299" s="9">
        <f>IFERROR(VLOOKUP(B299,cubo!$A$6:$BE$37,54,0)-VLOOKUP(B299,#REF!,$G$2,0),0)</f>
        <v>0</v>
      </c>
      <c r="H299" s="10">
        <f>IFERROR(VLOOKUP(B299,cubo!$A$6:$BE$37,15,0)-VLOOKUP(B299,#REF!,$H$2,0),0)</f>
        <v>0</v>
      </c>
      <c r="I299" s="9">
        <f>IFERROR(VLOOKUP(B299,cubo!$A$6:$BE$37,18,0)-VLOOKUP(B299,#REF!,$I$2,0),0)</f>
        <v>0</v>
      </c>
      <c r="J299" s="9">
        <f>IFERROR(VLOOKUP(B299,cubo!$A$6:$BE$37,24,0)-VLOOKUP(B299,#REF!,$J$2,0),0)</f>
        <v>0</v>
      </c>
      <c r="K299" s="9">
        <f>IFERROR(VLOOKUP(B299,cubo!$A$6:$BE$37,34,0)-VLOOKUP(B299,#REF!,$K$2,0),0)</f>
        <v>0</v>
      </c>
      <c r="L299" s="8">
        <f>IFERROR(VLOOKUP(B299,cubo!$A$6:$BE$37,38,0)-VLOOKUP(B299,#REF!,$L$2,0),0)</f>
        <v>0</v>
      </c>
      <c r="M299" s="15">
        <f>IFERROR(VLOOKUP(B299,cubo!$A$6:$BE$37,57,0)-VLOOKUP(B299,#REF!,$M$2,0),0)</f>
        <v>0</v>
      </c>
      <c r="N299" s="9">
        <f>IFERROR(VLOOKUP(B299,cubo!$A$6:$BK$37,41,0)-VLOOKUP(conciliacao_custos!B299,#REF!,18,0),0)</f>
        <v>0</v>
      </c>
      <c r="O299" s="9">
        <f>IFERROR(VLOOKUP(B299,cubo!$A$6:$BK$37,44,0)-VLOOKUP(conciliacao_custos!B299,#REF!,13,0),0)</f>
        <v>0</v>
      </c>
      <c r="P299" s="9">
        <f>IFERROR(VLOOKUP(B299,cubo!$A$6:$BK$37,47,0)-VLOOKUP(conciliacao_custos!B299,#REF!,14,0),0)</f>
        <v>0</v>
      </c>
      <c r="Q299" s="9">
        <f>IFERROR(VLOOKUP(B299,cubo!$A$6:$BK$37,58,0)-VLOOKUP(conciliacao_custos!B299,#REF!,16,0),0)</f>
        <v>0</v>
      </c>
      <c r="R299" s="9">
        <f>IFERROR(VLOOKUP(B299,cubo!$A$6:$BK$37,64,0)-VLOOKUP(conciliacao_custos!B299,#REF!,17,0),0)</f>
        <v>0</v>
      </c>
      <c r="S299" s="9">
        <f>IFERROR(VLOOKUP(B299,cubo!$A$6:$BK$37,61,0)-VLOOKUP(conciliacao_custos!B299,#REF!,15,0),0)</f>
        <v>0</v>
      </c>
    </row>
    <row r="300" spans="2:19" x14ac:dyDescent="0.25">
      <c r="B300" s="7">
        <f>[1]salario!A299</f>
        <v>0</v>
      </c>
      <c r="C300" s="8">
        <f>[1]salario!C299</f>
        <v>0</v>
      </c>
      <c r="D300" s="10">
        <f>IFERROR(VLOOKUP(B300,cubo!$A$6:$BE$37,6,0)-VLOOKUP(B300,#REF!,$D$2,0),0)</f>
        <v>0</v>
      </c>
      <c r="E300" s="10">
        <f>IFERROR(VLOOKUP(B300,cubo!$A$6:$BE$37,9,0)-VLOOKUP(B300,#REF!,$E$2,0),0)</f>
        <v>0</v>
      </c>
      <c r="F300" s="9">
        <f>IFERROR(VLOOKUP(B300,cubo!$A$6:$BE$37,12,0)-VLOOKUP(B300,#REF!,$F$2,0),0)</f>
        <v>0</v>
      </c>
      <c r="G300" s="9">
        <f>IFERROR(VLOOKUP(B300,cubo!$A$6:$BE$37,54,0)-VLOOKUP(B300,#REF!,$G$2,0),0)</f>
        <v>0</v>
      </c>
      <c r="H300" s="10">
        <f>IFERROR(VLOOKUP(B300,cubo!$A$6:$BE$37,15,0)-VLOOKUP(B300,#REF!,$H$2,0),0)</f>
        <v>0</v>
      </c>
      <c r="I300" s="9">
        <f>IFERROR(VLOOKUP(B300,cubo!$A$6:$BE$37,18,0)-VLOOKUP(B300,#REF!,$I$2,0),0)</f>
        <v>0</v>
      </c>
      <c r="J300" s="9">
        <f>IFERROR(VLOOKUP(B300,cubo!$A$6:$BE$37,24,0)-VLOOKUP(B300,#REF!,$J$2,0),0)</f>
        <v>0</v>
      </c>
      <c r="K300" s="9">
        <f>IFERROR(VLOOKUP(B300,cubo!$A$6:$BE$37,34,0)-VLOOKUP(B300,#REF!,$K$2,0),0)</f>
        <v>0</v>
      </c>
      <c r="L300" s="8">
        <f>IFERROR(VLOOKUP(B300,cubo!$A$6:$BE$37,38,0)-VLOOKUP(B300,#REF!,$L$2,0),0)</f>
        <v>0</v>
      </c>
      <c r="M300" s="15">
        <f>IFERROR(VLOOKUP(B300,cubo!$A$6:$BE$37,57,0)-VLOOKUP(B300,#REF!,$M$2,0),0)</f>
        <v>0</v>
      </c>
      <c r="N300" s="9">
        <f>IFERROR(VLOOKUP(B300,cubo!$A$6:$BK$37,41,0)-VLOOKUP(conciliacao_custos!B300,#REF!,18,0),0)</f>
        <v>0</v>
      </c>
      <c r="O300" s="9">
        <f>IFERROR(VLOOKUP(B300,cubo!$A$6:$BK$37,44,0)-VLOOKUP(conciliacao_custos!B300,#REF!,13,0),0)</f>
        <v>0</v>
      </c>
      <c r="P300" s="9">
        <f>IFERROR(VLOOKUP(B300,cubo!$A$6:$BK$37,47,0)-VLOOKUP(conciliacao_custos!B300,#REF!,14,0),0)</f>
        <v>0</v>
      </c>
      <c r="Q300" s="9">
        <f>IFERROR(VLOOKUP(B300,cubo!$A$6:$BK$37,58,0)-VLOOKUP(conciliacao_custos!B300,#REF!,16,0),0)</f>
        <v>0</v>
      </c>
      <c r="R300" s="9">
        <f>IFERROR(VLOOKUP(B300,cubo!$A$6:$BK$37,64,0)-VLOOKUP(conciliacao_custos!B300,#REF!,17,0),0)</f>
        <v>0</v>
      </c>
      <c r="S300" s="9">
        <f>IFERROR(VLOOKUP(B300,cubo!$A$6:$BK$37,61,0)-VLOOKUP(conciliacao_custos!B300,#REF!,15,0),0)</f>
        <v>0</v>
      </c>
    </row>
    <row r="301" spans="2:19" x14ac:dyDescent="0.25">
      <c r="B301" s="7">
        <f>[1]salario!A300</f>
        <v>0</v>
      </c>
      <c r="C301" s="8">
        <f>[1]salario!C300</f>
        <v>0</v>
      </c>
      <c r="D301" s="10">
        <f>IFERROR(VLOOKUP(B301,cubo!$A$6:$BE$37,6,0)-VLOOKUP(B301,#REF!,$D$2,0),0)</f>
        <v>0</v>
      </c>
      <c r="E301" s="10">
        <f>IFERROR(VLOOKUP(B301,cubo!$A$6:$BE$37,9,0)-VLOOKUP(B301,#REF!,$E$2,0),0)</f>
        <v>0</v>
      </c>
      <c r="F301" s="9">
        <f>IFERROR(VLOOKUP(B301,cubo!$A$6:$BE$37,12,0)-VLOOKUP(B301,#REF!,$F$2,0),0)</f>
        <v>0</v>
      </c>
      <c r="G301" s="9">
        <f>IFERROR(VLOOKUP(B301,cubo!$A$6:$BE$37,54,0)-VLOOKUP(B301,#REF!,$G$2,0),0)</f>
        <v>0</v>
      </c>
      <c r="H301" s="10">
        <f>IFERROR(VLOOKUP(B301,cubo!$A$6:$BE$37,15,0)-VLOOKUP(B301,#REF!,$H$2,0),0)</f>
        <v>0</v>
      </c>
      <c r="I301" s="9">
        <f>IFERROR(VLOOKUP(B301,cubo!$A$6:$BE$37,18,0)-VLOOKUP(B301,#REF!,$I$2,0),0)</f>
        <v>0</v>
      </c>
      <c r="J301" s="9">
        <f>IFERROR(VLOOKUP(B301,cubo!$A$6:$BE$37,24,0)-VLOOKUP(B301,#REF!,$J$2,0),0)</f>
        <v>0</v>
      </c>
      <c r="K301" s="9">
        <f>IFERROR(VLOOKUP(B301,cubo!$A$6:$BE$37,34,0)-VLOOKUP(B301,#REF!,$K$2,0),0)</f>
        <v>0</v>
      </c>
      <c r="L301" s="8">
        <f>IFERROR(VLOOKUP(B301,cubo!$A$6:$BE$37,38,0)-VLOOKUP(B301,#REF!,$L$2,0),0)</f>
        <v>0</v>
      </c>
      <c r="M301" s="15">
        <f>IFERROR(VLOOKUP(B301,cubo!$A$6:$BE$37,57,0)-VLOOKUP(B301,#REF!,$M$2,0),0)</f>
        <v>0</v>
      </c>
      <c r="N301" s="9">
        <f>IFERROR(VLOOKUP(B301,cubo!$A$6:$BK$37,41,0)-VLOOKUP(conciliacao_custos!B301,#REF!,18,0),0)</f>
        <v>0</v>
      </c>
      <c r="O301" s="9">
        <f>IFERROR(VLOOKUP(B301,cubo!$A$6:$BK$37,44,0)-VLOOKUP(conciliacao_custos!B301,#REF!,13,0),0)</f>
        <v>0</v>
      </c>
      <c r="P301" s="9">
        <f>IFERROR(VLOOKUP(B301,cubo!$A$6:$BK$37,47,0)-VLOOKUP(conciliacao_custos!B301,#REF!,14,0),0)</f>
        <v>0</v>
      </c>
      <c r="Q301" s="9">
        <f>IFERROR(VLOOKUP(B301,cubo!$A$6:$BK$37,58,0)-VLOOKUP(conciliacao_custos!B301,#REF!,16,0),0)</f>
        <v>0</v>
      </c>
      <c r="R301" s="9">
        <f>IFERROR(VLOOKUP(B301,cubo!$A$6:$BK$37,64,0)-VLOOKUP(conciliacao_custos!B301,#REF!,17,0),0)</f>
        <v>0</v>
      </c>
      <c r="S301" s="9">
        <f>IFERROR(VLOOKUP(B301,cubo!$A$6:$BK$37,61,0)-VLOOKUP(conciliacao_custos!B301,#REF!,15,0),0)</f>
        <v>0</v>
      </c>
    </row>
    <row r="302" spans="2:19" x14ac:dyDescent="0.25">
      <c r="B302" s="7">
        <f>[1]salario!A301</f>
        <v>0</v>
      </c>
      <c r="C302" s="8">
        <f>[1]salario!C301</f>
        <v>0</v>
      </c>
      <c r="D302" s="10">
        <f>IFERROR(VLOOKUP(B302,cubo!$A$6:$BE$37,6,0)-VLOOKUP(B302,#REF!,$D$2,0),0)</f>
        <v>0</v>
      </c>
      <c r="E302" s="10">
        <f>IFERROR(VLOOKUP(B302,cubo!$A$6:$BE$37,9,0)-VLOOKUP(B302,#REF!,$E$2,0),0)</f>
        <v>0</v>
      </c>
      <c r="F302" s="9">
        <f>IFERROR(VLOOKUP(B302,cubo!$A$6:$BE$37,12,0)-VLOOKUP(B302,#REF!,$F$2,0),0)</f>
        <v>0</v>
      </c>
      <c r="G302" s="9">
        <f>IFERROR(VLOOKUP(B302,cubo!$A$6:$BE$37,54,0)-VLOOKUP(B302,#REF!,$G$2,0),0)</f>
        <v>0</v>
      </c>
      <c r="H302" s="10">
        <f>IFERROR(VLOOKUP(B302,cubo!$A$6:$BE$37,15,0)-VLOOKUP(B302,#REF!,$H$2,0),0)</f>
        <v>0</v>
      </c>
      <c r="I302" s="9">
        <f>IFERROR(VLOOKUP(B302,cubo!$A$6:$BE$37,18,0)-VLOOKUP(B302,#REF!,$I$2,0),0)</f>
        <v>0</v>
      </c>
      <c r="J302" s="9">
        <f>IFERROR(VLOOKUP(B302,cubo!$A$6:$BE$37,24,0)-VLOOKUP(B302,#REF!,$J$2,0),0)</f>
        <v>0</v>
      </c>
      <c r="K302" s="9">
        <f>IFERROR(VLOOKUP(B302,cubo!$A$6:$BE$37,34,0)-VLOOKUP(B302,#REF!,$K$2,0),0)</f>
        <v>0</v>
      </c>
      <c r="L302" s="8">
        <f>IFERROR(VLOOKUP(B302,cubo!$A$6:$BE$37,38,0)-VLOOKUP(B302,#REF!,$L$2,0),0)</f>
        <v>0</v>
      </c>
      <c r="M302" s="15">
        <f>IFERROR(VLOOKUP(B302,cubo!$A$6:$BE$37,57,0)-VLOOKUP(B302,#REF!,$M$2,0),0)</f>
        <v>0</v>
      </c>
      <c r="N302" s="9">
        <f>IFERROR(VLOOKUP(B302,cubo!$A$6:$BK$37,41,0)-VLOOKUP(conciliacao_custos!B302,#REF!,18,0),0)</f>
        <v>0</v>
      </c>
      <c r="O302" s="9">
        <f>IFERROR(VLOOKUP(B302,cubo!$A$6:$BK$37,44,0)-VLOOKUP(conciliacao_custos!B302,#REF!,13,0),0)</f>
        <v>0</v>
      </c>
      <c r="P302" s="9">
        <f>IFERROR(VLOOKUP(B302,cubo!$A$6:$BK$37,47,0)-VLOOKUP(conciliacao_custos!B302,#REF!,14,0),0)</f>
        <v>0</v>
      </c>
      <c r="Q302" s="9">
        <f>IFERROR(VLOOKUP(B302,cubo!$A$6:$BK$37,58,0)-VLOOKUP(conciliacao_custos!B302,#REF!,16,0),0)</f>
        <v>0</v>
      </c>
      <c r="R302" s="9">
        <f>IFERROR(VLOOKUP(B302,cubo!$A$6:$BK$37,64,0)-VLOOKUP(conciliacao_custos!B302,#REF!,17,0),0)</f>
        <v>0</v>
      </c>
      <c r="S302" s="9">
        <f>IFERROR(VLOOKUP(B302,cubo!$A$6:$BK$37,61,0)-VLOOKUP(conciliacao_custos!B302,#REF!,15,0),0)</f>
        <v>0</v>
      </c>
    </row>
    <row r="303" spans="2:19" x14ac:dyDescent="0.25">
      <c r="B303" s="7">
        <f>[1]salario!A302</f>
        <v>0</v>
      </c>
      <c r="C303" s="8">
        <f>[1]salario!C302</f>
        <v>0</v>
      </c>
      <c r="D303" s="10">
        <f>IFERROR(VLOOKUP(B303,cubo!$A$6:$BE$37,6,0)-VLOOKUP(B303,#REF!,$D$2,0),0)</f>
        <v>0</v>
      </c>
      <c r="E303" s="10">
        <f>IFERROR(VLOOKUP(B303,cubo!$A$6:$BE$37,9,0)-VLOOKUP(B303,#REF!,$E$2,0),0)</f>
        <v>0</v>
      </c>
      <c r="F303" s="9">
        <f>IFERROR(VLOOKUP(B303,cubo!$A$6:$BE$37,12,0)-VLOOKUP(B303,#REF!,$F$2,0),0)</f>
        <v>0</v>
      </c>
      <c r="G303" s="9">
        <f>IFERROR(VLOOKUP(B303,cubo!$A$6:$BE$37,54,0)-VLOOKUP(B303,#REF!,$G$2,0),0)</f>
        <v>0</v>
      </c>
      <c r="H303" s="10">
        <f>IFERROR(VLOOKUP(B303,cubo!$A$6:$BE$37,15,0)-VLOOKUP(B303,#REF!,$H$2,0),0)</f>
        <v>0</v>
      </c>
      <c r="I303" s="9">
        <f>IFERROR(VLOOKUP(B303,cubo!$A$6:$BE$37,18,0)-VLOOKUP(B303,#REF!,$I$2,0),0)</f>
        <v>0</v>
      </c>
      <c r="J303" s="9">
        <f>IFERROR(VLOOKUP(B303,cubo!$A$6:$BE$37,24,0)-VLOOKUP(B303,#REF!,$J$2,0),0)</f>
        <v>0</v>
      </c>
      <c r="K303" s="9">
        <f>IFERROR(VLOOKUP(B303,cubo!$A$6:$BE$37,34,0)-VLOOKUP(B303,#REF!,$K$2,0),0)</f>
        <v>0</v>
      </c>
      <c r="L303" s="8">
        <f>IFERROR(VLOOKUP(B303,cubo!$A$6:$BE$37,38,0)-VLOOKUP(B303,#REF!,$L$2,0),0)</f>
        <v>0</v>
      </c>
      <c r="M303" s="15">
        <f>IFERROR(VLOOKUP(B303,cubo!$A$6:$BE$37,57,0)-VLOOKUP(B303,#REF!,$M$2,0),0)</f>
        <v>0</v>
      </c>
      <c r="N303" s="9">
        <f>IFERROR(VLOOKUP(B303,cubo!$A$6:$BK$37,41,0)-VLOOKUP(conciliacao_custos!B303,#REF!,18,0),0)</f>
        <v>0</v>
      </c>
      <c r="O303" s="9">
        <f>IFERROR(VLOOKUP(B303,cubo!$A$6:$BK$37,44,0)-VLOOKUP(conciliacao_custos!B303,#REF!,13,0),0)</f>
        <v>0</v>
      </c>
      <c r="P303" s="9">
        <f>IFERROR(VLOOKUP(B303,cubo!$A$6:$BK$37,47,0)-VLOOKUP(conciliacao_custos!B303,#REF!,14,0),0)</f>
        <v>0</v>
      </c>
      <c r="Q303" s="9">
        <f>IFERROR(VLOOKUP(B303,cubo!$A$6:$BK$37,58,0)-VLOOKUP(conciliacao_custos!B303,#REF!,16,0),0)</f>
        <v>0</v>
      </c>
      <c r="R303" s="9">
        <f>IFERROR(VLOOKUP(B303,cubo!$A$6:$BK$37,64,0)-VLOOKUP(conciliacao_custos!B303,#REF!,17,0),0)</f>
        <v>0</v>
      </c>
      <c r="S303" s="9">
        <f>IFERROR(VLOOKUP(B303,cubo!$A$6:$BK$37,61,0)-VLOOKUP(conciliacao_custos!B303,#REF!,15,0),0)</f>
        <v>0</v>
      </c>
    </row>
    <row r="304" spans="2:19" x14ac:dyDescent="0.25">
      <c r="B304" s="7">
        <f>[1]salario!A303</f>
        <v>0</v>
      </c>
      <c r="C304" s="8">
        <f>[1]salario!C303</f>
        <v>0</v>
      </c>
      <c r="D304" s="10">
        <f>IFERROR(VLOOKUP(B304,cubo!$A$6:$BE$37,6,0)-VLOOKUP(B304,#REF!,$D$2,0),0)</f>
        <v>0</v>
      </c>
      <c r="E304" s="10">
        <f>IFERROR(VLOOKUP(B304,cubo!$A$6:$BE$37,9,0)-VLOOKUP(B304,#REF!,$E$2,0),0)</f>
        <v>0</v>
      </c>
      <c r="F304" s="9">
        <f>IFERROR(VLOOKUP(B304,cubo!$A$6:$BE$37,12,0)-VLOOKUP(B304,#REF!,$F$2,0),0)</f>
        <v>0</v>
      </c>
      <c r="G304" s="9">
        <f>IFERROR(VLOOKUP(B304,cubo!$A$6:$BE$37,54,0)-VLOOKUP(B304,#REF!,$G$2,0),0)</f>
        <v>0</v>
      </c>
      <c r="H304" s="10">
        <f>IFERROR(VLOOKUP(B304,cubo!$A$6:$BE$37,15,0)-VLOOKUP(B304,#REF!,$H$2,0),0)</f>
        <v>0</v>
      </c>
      <c r="I304" s="9">
        <f>IFERROR(VLOOKUP(B304,cubo!$A$6:$BE$37,18,0)-VLOOKUP(B304,#REF!,$I$2,0),0)</f>
        <v>0</v>
      </c>
      <c r="J304" s="9">
        <f>IFERROR(VLOOKUP(B304,cubo!$A$6:$BE$37,24,0)-VLOOKUP(B304,#REF!,$J$2,0),0)</f>
        <v>0</v>
      </c>
      <c r="K304" s="9">
        <f>IFERROR(VLOOKUP(B304,cubo!$A$6:$BE$37,34,0)-VLOOKUP(B304,#REF!,$K$2,0),0)</f>
        <v>0</v>
      </c>
      <c r="L304" s="8">
        <f>IFERROR(VLOOKUP(B304,cubo!$A$6:$BE$37,38,0)-VLOOKUP(B304,#REF!,$L$2,0),0)</f>
        <v>0</v>
      </c>
      <c r="M304" s="15">
        <f>IFERROR(VLOOKUP(B304,cubo!$A$6:$BE$37,57,0)-VLOOKUP(B304,#REF!,$M$2,0),0)</f>
        <v>0</v>
      </c>
      <c r="N304" s="9">
        <f>IFERROR(VLOOKUP(B304,cubo!$A$6:$BK$37,41,0)-VLOOKUP(conciliacao_custos!B304,#REF!,18,0),0)</f>
        <v>0</v>
      </c>
      <c r="O304" s="9">
        <f>IFERROR(VLOOKUP(B304,cubo!$A$6:$BK$37,44,0)-VLOOKUP(conciliacao_custos!B304,#REF!,13,0),0)</f>
        <v>0</v>
      </c>
      <c r="P304" s="9">
        <f>IFERROR(VLOOKUP(B304,cubo!$A$6:$BK$37,47,0)-VLOOKUP(conciliacao_custos!B304,#REF!,14,0),0)</f>
        <v>0</v>
      </c>
      <c r="Q304" s="9">
        <f>IFERROR(VLOOKUP(B304,cubo!$A$6:$BK$37,58,0)-VLOOKUP(conciliacao_custos!B304,#REF!,16,0),0)</f>
        <v>0</v>
      </c>
      <c r="R304" s="9">
        <f>IFERROR(VLOOKUP(B304,cubo!$A$6:$BK$37,64,0)-VLOOKUP(conciliacao_custos!B304,#REF!,17,0),0)</f>
        <v>0</v>
      </c>
      <c r="S304" s="9">
        <f>IFERROR(VLOOKUP(B304,cubo!$A$6:$BK$37,61,0)-VLOOKUP(conciliacao_custos!B304,#REF!,15,0),0)</f>
        <v>0</v>
      </c>
    </row>
    <row r="305" spans="2:19" x14ac:dyDescent="0.25">
      <c r="B305" s="7">
        <f>[1]salario!A304</f>
        <v>0</v>
      </c>
      <c r="C305" s="8">
        <f>[1]salario!C304</f>
        <v>0</v>
      </c>
      <c r="D305" s="10">
        <f>IFERROR(VLOOKUP(B305,cubo!$A$6:$BE$37,6,0)-VLOOKUP(B305,#REF!,$D$2,0),0)</f>
        <v>0</v>
      </c>
      <c r="E305" s="10">
        <f>IFERROR(VLOOKUP(B305,cubo!$A$6:$BE$37,9,0)-VLOOKUP(B305,#REF!,$E$2,0),0)</f>
        <v>0</v>
      </c>
      <c r="F305" s="9">
        <f>IFERROR(VLOOKUP(B305,cubo!$A$6:$BE$37,12,0)-VLOOKUP(B305,#REF!,$F$2,0),0)</f>
        <v>0</v>
      </c>
      <c r="G305" s="9">
        <f>IFERROR(VLOOKUP(B305,cubo!$A$6:$BE$37,54,0)-VLOOKUP(B305,#REF!,$G$2,0),0)</f>
        <v>0</v>
      </c>
      <c r="H305" s="10">
        <f>IFERROR(VLOOKUP(B305,cubo!$A$6:$BE$37,15,0)-VLOOKUP(B305,#REF!,$H$2,0),0)</f>
        <v>0</v>
      </c>
      <c r="I305" s="9">
        <f>IFERROR(VLOOKUP(B305,cubo!$A$6:$BE$37,18,0)-VLOOKUP(B305,#REF!,$I$2,0),0)</f>
        <v>0</v>
      </c>
      <c r="J305" s="9">
        <f>IFERROR(VLOOKUP(B305,cubo!$A$6:$BE$37,24,0)-VLOOKUP(B305,#REF!,$J$2,0),0)</f>
        <v>0</v>
      </c>
      <c r="K305" s="9">
        <f>IFERROR(VLOOKUP(B305,cubo!$A$6:$BE$37,34,0)-VLOOKUP(B305,#REF!,$K$2,0),0)</f>
        <v>0</v>
      </c>
      <c r="L305" s="8">
        <f>IFERROR(VLOOKUP(B305,cubo!$A$6:$BE$37,38,0)-VLOOKUP(B305,#REF!,$L$2,0),0)</f>
        <v>0</v>
      </c>
      <c r="M305" s="15">
        <f>IFERROR(VLOOKUP(B305,cubo!$A$6:$BE$37,57,0)-VLOOKUP(B305,#REF!,$M$2,0),0)</f>
        <v>0</v>
      </c>
      <c r="N305" s="9">
        <f>IFERROR(VLOOKUP(B305,cubo!$A$6:$BK$37,41,0)-VLOOKUP(conciliacao_custos!B305,#REF!,18,0),0)</f>
        <v>0</v>
      </c>
      <c r="O305" s="9">
        <f>IFERROR(VLOOKUP(B305,cubo!$A$6:$BK$37,44,0)-VLOOKUP(conciliacao_custos!B305,#REF!,13,0),0)</f>
        <v>0</v>
      </c>
      <c r="P305" s="9">
        <f>IFERROR(VLOOKUP(B305,cubo!$A$6:$BK$37,47,0)-VLOOKUP(conciliacao_custos!B305,#REF!,14,0),0)</f>
        <v>0</v>
      </c>
      <c r="Q305" s="9">
        <f>IFERROR(VLOOKUP(B305,cubo!$A$6:$BK$37,58,0)-VLOOKUP(conciliacao_custos!B305,#REF!,16,0),0)</f>
        <v>0</v>
      </c>
      <c r="R305" s="9">
        <f>IFERROR(VLOOKUP(B305,cubo!$A$6:$BK$37,64,0)-VLOOKUP(conciliacao_custos!B305,#REF!,17,0),0)</f>
        <v>0</v>
      </c>
      <c r="S305" s="9">
        <f>IFERROR(VLOOKUP(B305,cubo!$A$6:$BK$37,61,0)-VLOOKUP(conciliacao_custos!B305,#REF!,15,0),0)</f>
        <v>0</v>
      </c>
    </row>
    <row r="306" spans="2:19" x14ac:dyDescent="0.25">
      <c r="B306" s="7">
        <f>[1]salario!A305</f>
        <v>0</v>
      </c>
      <c r="C306" s="8">
        <f>[1]salario!C305</f>
        <v>0</v>
      </c>
      <c r="D306" s="10">
        <f>IFERROR(VLOOKUP(B306,cubo!$A$6:$BE$37,6,0)-VLOOKUP(B306,#REF!,$D$2,0),0)</f>
        <v>0</v>
      </c>
      <c r="E306" s="10">
        <f>IFERROR(VLOOKUP(B306,cubo!$A$6:$BE$37,9,0)-VLOOKUP(B306,#REF!,$E$2,0),0)</f>
        <v>0</v>
      </c>
      <c r="F306" s="9">
        <f>IFERROR(VLOOKUP(B306,cubo!$A$6:$BE$37,12,0)-VLOOKUP(B306,#REF!,$F$2,0),0)</f>
        <v>0</v>
      </c>
      <c r="G306" s="9">
        <f>IFERROR(VLOOKUP(B306,cubo!$A$6:$BE$37,54,0)-VLOOKUP(B306,#REF!,$G$2,0),0)</f>
        <v>0</v>
      </c>
      <c r="H306" s="10">
        <f>IFERROR(VLOOKUP(B306,cubo!$A$6:$BE$37,15,0)-VLOOKUP(B306,#REF!,$H$2,0),0)</f>
        <v>0</v>
      </c>
      <c r="I306" s="9">
        <f>IFERROR(VLOOKUP(B306,cubo!$A$6:$BE$37,18,0)-VLOOKUP(B306,#REF!,$I$2,0),0)</f>
        <v>0</v>
      </c>
      <c r="J306" s="9">
        <f>IFERROR(VLOOKUP(B306,cubo!$A$6:$BE$37,24,0)-VLOOKUP(B306,#REF!,$J$2,0),0)</f>
        <v>0</v>
      </c>
      <c r="K306" s="9">
        <f>IFERROR(VLOOKUP(B306,cubo!$A$6:$BE$37,34,0)-VLOOKUP(B306,#REF!,$K$2,0),0)</f>
        <v>0</v>
      </c>
      <c r="L306" s="8">
        <f>IFERROR(VLOOKUP(B306,cubo!$A$6:$BE$37,38,0)-VLOOKUP(B306,#REF!,$L$2,0),0)</f>
        <v>0</v>
      </c>
      <c r="M306" s="15">
        <f>IFERROR(VLOOKUP(B306,cubo!$A$6:$BE$37,57,0)-VLOOKUP(B306,#REF!,$M$2,0),0)</f>
        <v>0</v>
      </c>
      <c r="N306" s="9">
        <f>IFERROR(VLOOKUP(B306,cubo!$A$6:$BK$37,41,0)-VLOOKUP(conciliacao_custos!B306,#REF!,18,0),0)</f>
        <v>0</v>
      </c>
      <c r="O306" s="9">
        <f>IFERROR(VLOOKUP(B306,cubo!$A$6:$BK$37,44,0)-VLOOKUP(conciliacao_custos!B306,#REF!,13,0),0)</f>
        <v>0</v>
      </c>
      <c r="P306" s="9">
        <f>IFERROR(VLOOKUP(B306,cubo!$A$6:$BK$37,47,0)-VLOOKUP(conciliacao_custos!B306,#REF!,14,0),0)</f>
        <v>0</v>
      </c>
      <c r="Q306" s="9">
        <f>IFERROR(VLOOKUP(B306,cubo!$A$6:$BK$37,58,0)-VLOOKUP(conciliacao_custos!B306,#REF!,16,0),0)</f>
        <v>0</v>
      </c>
      <c r="R306" s="9">
        <f>IFERROR(VLOOKUP(B306,cubo!$A$6:$BK$37,64,0)-VLOOKUP(conciliacao_custos!B306,#REF!,17,0),0)</f>
        <v>0</v>
      </c>
      <c r="S306" s="9">
        <f>IFERROR(VLOOKUP(B306,cubo!$A$6:$BK$37,61,0)-VLOOKUP(conciliacao_custos!B306,#REF!,15,0),0)</f>
        <v>0</v>
      </c>
    </row>
    <row r="307" spans="2:19" x14ac:dyDescent="0.25">
      <c r="B307" s="7">
        <f>[1]salario!A306</f>
        <v>0</v>
      </c>
      <c r="C307" s="8">
        <f>[1]salario!C306</f>
        <v>0</v>
      </c>
      <c r="D307" s="10">
        <f>IFERROR(VLOOKUP(B307,cubo!$A$6:$BE$37,6,0)-VLOOKUP(B307,#REF!,$D$2,0),0)</f>
        <v>0</v>
      </c>
      <c r="E307" s="10">
        <f>IFERROR(VLOOKUP(B307,cubo!$A$6:$BE$37,9,0)-VLOOKUP(B307,#REF!,$E$2,0),0)</f>
        <v>0</v>
      </c>
      <c r="F307" s="9">
        <f>IFERROR(VLOOKUP(B307,cubo!$A$6:$BE$37,12,0)-VLOOKUP(B307,#REF!,$F$2,0),0)</f>
        <v>0</v>
      </c>
      <c r="G307" s="9">
        <f>IFERROR(VLOOKUP(B307,cubo!$A$6:$BE$37,54,0)-VLOOKUP(B307,#REF!,$G$2,0),0)</f>
        <v>0</v>
      </c>
      <c r="H307" s="10">
        <f>IFERROR(VLOOKUP(B307,cubo!$A$6:$BE$37,15,0)-VLOOKUP(B307,#REF!,$H$2,0),0)</f>
        <v>0</v>
      </c>
      <c r="I307" s="9">
        <f>IFERROR(VLOOKUP(B307,cubo!$A$6:$BE$37,18,0)-VLOOKUP(B307,#REF!,$I$2,0),0)</f>
        <v>0</v>
      </c>
      <c r="J307" s="9">
        <f>IFERROR(VLOOKUP(B307,cubo!$A$6:$BE$37,24,0)-VLOOKUP(B307,#REF!,$J$2,0),0)</f>
        <v>0</v>
      </c>
      <c r="K307" s="9">
        <f>IFERROR(VLOOKUP(B307,cubo!$A$6:$BE$37,34,0)-VLOOKUP(B307,#REF!,$K$2,0),0)</f>
        <v>0</v>
      </c>
      <c r="L307" s="8">
        <f>IFERROR(VLOOKUP(B307,cubo!$A$6:$BE$37,38,0)-VLOOKUP(B307,#REF!,$L$2,0),0)</f>
        <v>0</v>
      </c>
      <c r="M307" s="15">
        <f>IFERROR(VLOOKUP(B307,cubo!$A$6:$BE$37,57,0)-VLOOKUP(B307,#REF!,$M$2,0),0)</f>
        <v>0</v>
      </c>
      <c r="N307" s="9">
        <f>IFERROR(VLOOKUP(B307,cubo!$A$6:$BK$37,41,0)-VLOOKUP(conciliacao_custos!B307,#REF!,18,0),0)</f>
        <v>0</v>
      </c>
      <c r="O307" s="9">
        <f>IFERROR(VLOOKUP(B307,cubo!$A$6:$BK$37,44,0)-VLOOKUP(conciliacao_custos!B307,#REF!,13,0),0)</f>
        <v>0</v>
      </c>
      <c r="P307" s="9">
        <f>IFERROR(VLOOKUP(B307,cubo!$A$6:$BK$37,47,0)-VLOOKUP(conciliacao_custos!B307,#REF!,14,0),0)</f>
        <v>0</v>
      </c>
      <c r="Q307" s="9">
        <f>IFERROR(VLOOKUP(B307,cubo!$A$6:$BK$37,58,0)-VLOOKUP(conciliacao_custos!B307,#REF!,16,0),0)</f>
        <v>0</v>
      </c>
      <c r="R307" s="9">
        <f>IFERROR(VLOOKUP(B307,cubo!$A$6:$BK$37,64,0)-VLOOKUP(conciliacao_custos!B307,#REF!,17,0),0)</f>
        <v>0</v>
      </c>
      <c r="S307" s="9">
        <f>IFERROR(VLOOKUP(B307,cubo!$A$6:$BK$37,61,0)-VLOOKUP(conciliacao_custos!B307,#REF!,15,0),0)</f>
        <v>0</v>
      </c>
    </row>
    <row r="308" spans="2:19" x14ac:dyDescent="0.25">
      <c r="B308" s="7">
        <f>[1]salario!A307</f>
        <v>0</v>
      </c>
      <c r="C308" s="8">
        <f>[1]salario!C307</f>
        <v>0</v>
      </c>
      <c r="D308" s="10">
        <f>IFERROR(VLOOKUP(B308,cubo!$A$6:$BE$37,6,0)-VLOOKUP(B308,#REF!,$D$2,0),0)</f>
        <v>0</v>
      </c>
      <c r="E308" s="10">
        <f>IFERROR(VLOOKUP(B308,cubo!$A$6:$BE$37,9,0)-VLOOKUP(B308,#REF!,$E$2,0),0)</f>
        <v>0</v>
      </c>
      <c r="F308" s="9">
        <f>IFERROR(VLOOKUP(B308,cubo!$A$6:$BE$37,12,0)-VLOOKUP(B308,#REF!,$F$2,0),0)</f>
        <v>0</v>
      </c>
      <c r="G308" s="9">
        <f>IFERROR(VLOOKUP(B308,cubo!$A$6:$BE$37,54,0)-VLOOKUP(B308,#REF!,$G$2,0),0)</f>
        <v>0</v>
      </c>
      <c r="H308" s="10">
        <f>IFERROR(VLOOKUP(B308,cubo!$A$6:$BE$37,15,0)-VLOOKUP(B308,#REF!,$H$2,0),0)</f>
        <v>0</v>
      </c>
      <c r="I308" s="9">
        <f>IFERROR(VLOOKUP(B308,cubo!$A$6:$BE$37,18,0)-VLOOKUP(B308,#REF!,$I$2,0),0)</f>
        <v>0</v>
      </c>
      <c r="J308" s="9">
        <f>IFERROR(VLOOKUP(B308,cubo!$A$6:$BE$37,24,0)-VLOOKUP(B308,#REF!,$J$2,0),0)</f>
        <v>0</v>
      </c>
      <c r="K308" s="9">
        <f>IFERROR(VLOOKUP(B308,cubo!$A$6:$BE$37,34,0)-VLOOKUP(B308,#REF!,$K$2,0),0)</f>
        <v>0</v>
      </c>
      <c r="L308" s="8">
        <f>IFERROR(VLOOKUP(B308,cubo!$A$6:$BE$37,38,0)-VLOOKUP(B308,#REF!,$L$2,0),0)</f>
        <v>0</v>
      </c>
      <c r="M308" s="15">
        <f>IFERROR(VLOOKUP(B308,cubo!$A$6:$BE$37,57,0)-VLOOKUP(B308,#REF!,$M$2,0),0)</f>
        <v>0</v>
      </c>
      <c r="N308" s="9">
        <f>IFERROR(VLOOKUP(B308,cubo!$A$6:$BK$37,41,0)-VLOOKUP(conciliacao_custos!B308,#REF!,18,0),0)</f>
        <v>0</v>
      </c>
      <c r="O308" s="9">
        <f>IFERROR(VLOOKUP(B308,cubo!$A$6:$BK$37,44,0)-VLOOKUP(conciliacao_custos!B308,#REF!,13,0),0)</f>
        <v>0</v>
      </c>
      <c r="P308" s="9">
        <f>IFERROR(VLOOKUP(B308,cubo!$A$6:$BK$37,47,0)-VLOOKUP(conciliacao_custos!B308,#REF!,14,0),0)</f>
        <v>0</v>
      </c>
      <c r="Q308" s="9">
        <f>IFERROR(VLOOKUP(B308,cubo!$A$6:$BK$37,58,0)-VLOOKUP(conciliacao_custos!B308,#REF!,16,0),0)</f>
        <v>0</v>
      </c>
      <c r="R308" s="9">
        <f>IFERROR(VLOOKUP(B308,cubo!$A$6:$BK$37,64,0)-VLOOKUP(conciliacao_custos!B308,#REF!,17,0),0)</f>
        <v>0</v>
      </c>
      <c r="S308" s="9">
        <f>IFERROR(VLOOKUP(B308,cubo!$A$6:$BK$37,61,0)-VLOOKUP(conciliacao_custos!B308,#REF!,15,0),0)</f>
        <v>0</v>
      </c>
    </row>
    <row r="309" spans="2:19" x14ac:dyDescent="0.25">
      <c r="B309" s="7">
        <f>[1]salario!A308</f>
        <v>0</v>
      </c>
      <c r="C309" s="8">
        <f>[1]salario!C308</f>
        <v>0</v>
      </c>
      <c r="D309" s="10">
        <f>IFERROR(VLOOKUP(B309,cubo!$A$6:$BE$37,6,0)-VLOOKUP(B309,#REF!,$D$2,0),0)</f>
        <v>0</v>
      </c>
      <c r="E309" s="10">
        <f>IFERROR(VLOOKUP(B309,cubo!$A$6:$BE$37,9,0)-VLOOKUP(B309,#REF!,$E$2,0),0)</f>
        <v>0</v>
      </c>
      <c r="F309" s="9">
        <f>IFERROR(VLOOKUP(B309,cubo!$A$6:$BE$37,12,0)-VLOOKUP(B309,#REF!,$F$2,0),0)</f>
        <v>0</v>
      </c>
      <c r="G309" s="9">
        <f>IFERROR(VLOOKUP(B309,cubo!$A$6:$BE$37,54,0)-VLOOKUP(B309,#REF!,$G$2,0),0)</f>
        <v>0</v>
      </c>
      <c r="H309" s="10">
        <f>IFERROR(VLOOKUP(B309,cubo!$A$6:$BE$37,15,0)-VLOOKUP(B309,#REF!,$H$2,0),0)</f>
        <v>0</v>
      </c>
      <c r="I309" s="9">
        <f>IFERROR(VLOOKUP(B309,cubo!$A$6:$BE$37,18,0)-VLOOKUP(B309,#REF!,$I$2,0),0)</f>
        <v>0</v>
      </c>
      <c r="J309" s="9">
        <f>IFERROR(VLOOKUP(B309,cubo!$A$6:$BE$37,24,0)-VLOOKUP(B309,#REF!,$J$2,0),0)</f>
        <v>0</v>
      </c>
      <c r="K309" s="9">
        <f>IFERROR(VLOOKUP(B309,cubo!$A$6:$BE$37,34,0)-VLOOKUP(B309,#REF!,$K$2,0),0)</f>
        <v>0</v>
      </c>
      <c r="L309" s="8">
        <f>IFERROR(VLOOKUP(B309,cubo!$A$6:$BE$37,38,0)-VLOOKUP(B309,#REF!,$L$2,0),0)</f>
        <v>0</v>
      </c>
      <c r="M309" s="15">
        <f>IFERROR(VLOOKUP(B309,cubo!$A$6:$BE$37,57,0)-VLOOKUP(B309,#REF!,$M$2,0),0)</f>
        <v>0</v>
      </c>
      <c r="N309" s="9">
        <f>IFERROR(VLOOKUP(B309,cubo!$A$6:$BK$37,41,0)-VLOOKUP(conciliacao_custos!B309,#REF!,18,0),0)</f>
        <v>0</v>
      </c>
      <c r="O309" s="9">
        <f>IFERROR(VLOOKUP(B309,cubo!$A$6:$BK$37,44,0)-VLOOKUP(conciliacao_custos!B309,#REF!,13,0),0)</f>
        <v>0</v>
      </c>
      <c r="P309" s="9">
        <f>IFERROR(VLOOKUP(B309,cubo!$A$6:$BK$37,47,0)-VLOOKUP(conciliacao_custos!B309,#REF!,14,0),0)</f>
        <v>0</v>
      </c>
      <c r="Q309" s="9">
        <f>IFERROR(VLOOKUP(B309,cubo!$A$6:$BK$37,58,0)-VLOOKUP(conciliacao_custos!B309,#REF!,16,0),0)</f>
        <v>0</v>
      </c>
      <c r="R309" s="9">
        <f>IFERROR(VLOOKUP(B309,cubo!$A$6:$BK$37,64,0)-VLOOKUP(conciliacao_custos!B309,#REF!,17,0),0)</f>
        <v>0</v>
      </c>
      <c r="S309" s="9">
        <f>IFERROR(VLOOKUP(B309,cubo!$A$6:$BK$37,61,0)-VLOOKUP(conciliacao_custos!B309,#REF!,15,0),0)</f>
        <v>0</v>
      </c>
    </row>
    <row r="310" spans="2:19" x14ac:dyDescent="0.25">
      <c r="B310" s="7">
        <f>[1]salario!A309</f>
        <v>0</v>
      </c>
      <c r="C310" s="8">
        <f>[1]salario!C309</f>
        <v>0</v>
      </c>
      <c r="D310" s="10">
        <f>IFERROR(VLOOKUP(B310,cubo!$A$6:$BE$37,6,0)-VLOOKUP(B310,#REF!,$D$2,0),0)</f>
        <v>0</v>
      </c>
      <c r="E310" s="10">
        <f>IFERROR(VLOOKUP(B310,cubo!$A$6:$BE$37,9,0)-VLOOKUP(B310,#REF!,$E$2,0),0)</f>
        <v>0</v>
      </c>
      <c r="F310" s="9">
        <f>IFERROR(VLOOKUP(B310,cubo!$A$6:$BE$37,12,0)-VLOOKUP(B310,#REF!,$F$2,0),0)</f>
        <v>0</v>
      </c>
      <c r="G310" s="9">
        <f>IFERROR(VLOOKUP(B310,cubo!$A$6:$BE$37,54,0)-VLOOKUP(B310,#REF!,$G$2,0),0)</f>
        <v>0</v>
      </c>
      <c r="H310" s="10">
        <f>IFERROR(VLOOKUP(B310,cubo!$A$6:$BE$37,15,0)-VLOOKUP(B310,#REF!,$H$2,0),0)</f>
        <v>0</v>
      </c>
      <c r="I310" s="9">
        <f>IFERROR(VLOOKUP(B310,cubo!$A$6:$BE$37,18,0)-VLOOKUP(B310,#REF!,$I$2,0),0)</f>
        <v>0</v>
      </c>
      <c r="J310" s="9">
        <f>IFERROR(VLOOKUP(B310,cubo!$A$6:$BE$37,24,0)-VLOOKUP(B310,#REF!,$J$2,0),0)</f>
        <v>0</v>
      </c>
      <c r="K310" s="9">
        <f>IFERROR(VLOOKUP(B310,cubo!$A$6:$BE$37,34,0)-VLOOKUP(B310,#REF!,$K$2,0),0)</f>
        <v>0</v>
      </c>
      <c r="L310" s="8">
        <f>IFERROR(VLOOKUP(B310,cubo!$A$6:$BE$37,38,0)-VLOOKUP(B310,#REF!,$L$2,0),0)</f>
        <v>0</v>
      </c>
      <c r="M310" s="15">
        <f>IFERROR(VLOOKUP(B310,cubo!$A$6:$BE$37,57,0)-VLOOKUP(B310,#REF!,$M$2,0),0)</f>
        <v>0</v>
      </c>
      <c r="N310" s="9">
        <f>IFERROR(VLOOKUP(B310,cubo!$A$6:$BK$37,41,0)-VLOOKUP(conciliacao_custos!B310,#REF!,18,0),0)</f>
        <v>0</v>
      </c>
      <c r="O310" s="9">
        <f>IFERROR(VLOOKUP(B310,cubo!$A$6:$BK$37,44,0)-VLOOKUP(conciliacao_custos!B310,#REF!,13,0),0)</f>
        <v>0</v>
      </c>
      <c r="P310" s="9">
        <f>IFERROR(VLOOKUP(B310,cubo!$A$6:$BK$37,47,0)-VLOOKUP(conciliacao_custos!B310,#REF!,14,0),0)</f>
        <v>0</v>
      </c>
      <c r="Q310" s="9">
        <f>IFERROR(VLOOKUP(B310,cubo!$A$6:$BK$37,58,0)-VLOOKUP(conciliacao_custos!B310,#REF!,16,0),0)</f>
        <v>0</v>
      </c>
      <c r="R310" s="9">
        <f>IFERROR(VLOOKUP(B310,cubo!$A$6:$BK$37,64,0)-VLOOKUP(conciliacao_custos!B310,#REF!,17,0),0)</f>
        <v>0</v>
      </c>
      <c r="S310" s="9">
        <f>IFERROR(VLOOKUP(B310,cubo!$A$6:$BK$37,61,0)-VLOOKUP(conciliacao_custos!B310,#REF!,15,0),0)</f>
        <v>0</v>
      </c>
    </row>
    <row r="311" spans="2:19" x14ac:dyDescent="0.25">
      <c r="B311" s="7">
        <f>[1]salario!A310</f>
        <v>0</v>
      </c>
      <c r="C311" s="8">
        <f>[1]salario!C310</f>
        <v>0</v>
      </c>
      <c r="D311" s="10">
        <f>IFERROR(VLOOKUP(B311,cubo!$A$6:$BE$37,6,0)-VLOOKUP(B311,#REF!,$D$2,0),0)</f>
        <v>0</v>
      </c>
      <c r="E311" s="10">
        <f>IFERROR(VLOOKUP(B311,cubo!$A$6:$BE$37,9,0)-VLOOKUP(B311,#REF!,$E$2,0),0)</f>
        <v>0</v>
      </c>
      <c r="F311" s="9">
        <f>IFERROR(VLOOKUP(B311,cubo!$A$6:$BE$37,12,0)-VLOOKUP(B311,#REF!,$F$2,0),0)</f>
        <v>0</v>
      </c>
      <c r="G311" s="9">
        <f>IFERROR(VLOOKUP(B311,cubo!$A$6:$BE$37,54,0)-VLOOKUP(B311,#REF!,$G$2,0),0)</f>
        <v>0</v>
      </c>
      <c r="H311" s="10">
        <f>IFERROR(VLOOKUP(B311,cubo!$A$6:$BE$37,15,0)-VLOOKUP(B311,#REF!,$H$2,0),0)</f>
        <v>0</v>
      </c>
      <c r="I311" s="9">
        <f>IFERROR(VLOOKUP(B311,cubo!$A$6:$BE$37,18,0)-VLOOKUP(B311,#REF!,$I$2,0),0)</f>
        <v>0</v>
      </c>
      <c r="J311" s="9">
        <f>IFERROR(VLOOKUP(B311,cubo!$A$6:$BE$37,24,0)-VLOOKUP(B311,#REF!,$J$2,0),0)</f>
        <v>0</v>
      </c>
      <c r="K311" s="9">
        <f>IFERROR(VLOOKUP(B311,cubo!$A$6:$BE$37,34,0)-VLOOKUP(B311,#REF!,$K$2,0),0)</f>
        <v>0</v>
      </c>
      <c r="L311" s="8">
        <f>IFERROR(VLOOKUP(B311,cubo!$A$6:$BE$37,38,0)-VLOOKUP(B311,#REF!,$L$2,0),0)</f>
        <v>0</v>
      </c>
      <c r="M311" s="15">
        <f>IFERROR(VLOOKUP(B311,cubo!$A$6:$BE$37,57,0)-VLOOKUP(B311,#REF!,$M$2,0),0)</f>
        <v>0</v>
      </c>
      <c r="N311" s="9">
        <f>IFERROR(VLOOKUP(B311,cubo!$A$6:$BK$37,41,0)-VLOOKUP(conciliacao_custos!B311,#REF!,18,0),0)</f>
        <v>0</v>
      </c>
      <c r="O311" s="9">
        <f>IFERROR(VLOOKUP(B311,cubo!$A$6:$BK$37,44,0)-VLOOKUP(conciliacao_custos!B311,#REF!,13,0),0)</f>
        <v>0</v>
      </c>
      <c r="P311" s="9">
        <f>IFERROR(VLOOKUP(B311,cubo!$A$6:$BK$37,47,0)-VLOOKUP(conciliacao_custos!B311,#REF!,14,0),0)</f>
        <v>0</v>
      </c>
      <c r="Q311" s="9">
        <f>IFERROR(VLOOKUP(B311,cubo!$A$6:$BK$37,58,0)-VLOOKUP(conciliacao_custos!B311,#REF!,16,0),0)</f>
        <v>0</v>
      </c>
      <c r="R311" s="9">
        <f>IFERROR(VLOOKUP(B311,cubo!$A$6:$BK$37,64,0)-VLOOKUP(conciliacao_custos!B311,#REF!,17,0),0)</f>
        <v>0</v>
      </c>
      <c r="S311" s="9">
        <f>IFERROR(VLOOKUP(B311,cubo!$A$6:$BK$37,61,0)-VLOOKUP(conciliacao_custos!B311,#REF!,15,0),0)</f>
        <v>0</v>
      </c>
    </row>
    <row r="312" spans="2:19" x14ac:dyDescent="0.25">
      <c r="B312" s="7">
        <f>[1]salario!A311</f>
        <v>0</v>
      </c>
      <c r="C312" s="8">
        <f>[1]salario!C311</f>
        <v>0</v>
      </c>
      <c r="D312" s="10">
        <f>IFERROR(VLOOKUP(B312,cubo!$A$6:$BE$37,6,0)-VLOOKUP(B312,#REF!,$D$2,0),0)</f>
        <v>0</v>
      </c>
      <c r="E312" s="10">
        <f>IFERROR(VLOOKUP(B312,cubo!$A$6:$BE$37,9,0)-VLOOKUP(B312,#REF!,$E$2,0),0)</f>
        <v>0</v>
      </c>
      <c r="F312" s="9">
        <f>IFERROR(VLOOKUP(B312,cubo!$A$6:$BE$37,12,0)-VLOOKUP(B312,#REF!,$F$2,0),0)</f>
        <v>0</v>
      </c>
      <c r="G312" s="9">
        <f>IFERROR(VLOOKUP(B312,cubo!$A$6:$BE$37,54,0)-VLOOKUP(B312,#REF!,$G$2,0),0)</f>
        <v>0</v>
      </c>
      <c r="H312" s="10">
        <f>IFERROR(VLOOKUP(B312,cubo!$A$6:$BE$37,15,0)-VLOOKUP(B312,#REF!,$H$2,0),0)</f>
        <v>0</v>
      </c>
      <c r="I312" s="9">
        <f>IFERROR(VLOOKUP(B312,cubo!$A$6:$BE$37,18,0)-VLOOKUP(B312,#REF!,$I$2,0),0)</f>
        <v>0</v>
      </c>
      <c r="J312" s="9">
        <f>IFERROR(VLOOKUP(B312,cubo!$A$6:$BE$37,24,0)-VLOOKUP(B312,#REF!,$J$2,0),0)</f>
        <v>0</v>
      </c>
      <c r="K312" s="9">
        <f>IFERROR(VLOOKUP(B312,cubo!$A$6:$BE$37,34,0)-VLOOKUP(B312,#REF!,$K$2,0),0)</f>
        <v>0</v>
      </c>
      <c r="L312" s="8">
        <f>IFERROR(VLOOKUP(B312,cubo!$A$6:$BE$37,38,0)-VLOOKUP(B312,#REF!,$L$2,0),0)</f>
        <v>0</v>
      </c>
      <c r="M312" s="15">
        <f>IFERROR(VLOOKUP(B312,cubo!$A$6:$BE$37,57,0)-VLOOKUP(B312,#REF!,$M$2,0),0)</f>
        <v>0</v>
      </c>
      <c r="N312" s="9">
        <f>IFERROR(VLOOKUP(B312,cubo!$A$6:$BK$37,41,0)-VLOOKUP(conciliacao_custos!B312,#REF!,18,0),0)</f>
        <v>0</v>
      </c>
      <c r="O312" s="9">
        <f>IFERROR(VLOOKUP(B312,cubo!$A$6:$BK$37,44,0)-VLOOKUP(conciliacao_custos!B312,#REF!,13,0),0)</f>
        <v>0</v>
      </c>
      <c r="P312" s="9">
        <f>IFERROR(VLOOKUP(B312,cubo!$A$6:$BK$37,47,0)-VLOOKUP(conciliacao_custos!B312,#REF!,14,0),0)</f>
        <v>0</v>
      </c>
      <c r="Q312" s="9">
        <f>IFERROR(VLOOKUP(B312,cubo!$A$6:$BK$37,58,0)-VLOOKUP(conciliacao_custos!B312,#REF!,16,0),0)</f>
        <v>0</v>
      </c>
      <c r="R312" s="9">
        <f>IFERROR(VLOOKUP(B312,cubo!$A$6:$BK$37,64,0)-VLOOKUP(conciliacao_custos!B312,#REF!,17,0),0)</f>
        <v>0</v>
      </c>
      <c r="S312" s="9">
        <f>IFERROR(VLOOKUP(B312,cubo!$A$6:$BK$37,61,0)-VLOOKUP(conciliacao_custos!B312,#REF!,15,0),0)</f>
        <v>0</v>
      </c>
    </row>
    <row r="313" spans="2:19" x14ac:dyDescent="0.25">
      <c r="B313" s="7">
        <f>[1]salario!A312</f>
        <v>0</v>
      </c>
      <c r="C313" s="8">
        <f>[1]salario!C312</f>
        <v>0</v>
      </c>
      <c r="D313" s="10">
        <f>IFERROR(VLOOKUP(B313,cubo!$A$6:$BE$37,6,0)-VLOOKUP(B313,#REF!,$D$2,0),0)</f>
        <v>0</v>
      </c>
      <c r="E313" s="10">
        <f>IFERROR(VLOOKUP(B313,cubo!$A$6:$BE$37,9,0)-VLOOKUP(B313,#REF!,$E$2,0),0)</f>
        <v>0</v>
      </c>
      <c r="F313" s="9">
        <f>IFERROR(VLOOKUP(B313,cubo!$A$6:$BE$37,12,0)-VLOOKUP(B313,#REF!,$F$2,0),0)</f>
        <v>0</v>
      </c>
      <c r="G313" s="9">
        <f>IFERROR(VLOOKUP(B313,cubo!$A$6:$BE$37,54,0)-VLOOKUP(B313,#REF!,$G$2,0),0)</f>
        <v>0</v>
      </c>
      <c r="H313" s="10">
        <f>IFERROR(VLOOKUP(B313,cubo!$A$6:$BE$37,15,0)-VLOOKUP(B313,#REF!,$H$2,0),0)</f>
        <v>0</v>
      </c>
      <c r="I313" s="9">
        <f>IFERROR(VLOOKUP(B313,cubo!$A$6:$BE$37,18,0)-VLOOKUP(B313,#REF!,$I$2,0),0)</f>
        <v>0</v>
      </c>
      <c r="J313" s="9">
        <f>IFERROR(VLOOKUP(B313,cubo!$A$6:$BE$37,24,0)-VLOOKUP(B313,#REF!,$J$2,0),0)</f>
        <v>0</v>
      </c>
      <c r="K313" s="9">
        <f>IFERROR(VLOOKUP(B313,cubo!$A$6:$BE$37,34,0)-VLOOKUP(B313,#REF!,$K$2,0),0)</f>
        <v>0</v>
      </c>
      <c r="L313" s="8">
        <f>IFERROR(VLOOKUP(B313,cubo!$A$6:$BE$37,38,0)-VLOOKUP(B313,#REF!,$L$2,0),0)</f>
        <v>0</v>
      </c>
      <c r="M313" s="15">
        <f>IFERROR(VLOOKUP(B313,cubo!$A$6:$BE$37,57,0)-VLOOKUP(B313,#REF!,$M$2,0),0)</f>
        <v>0</v>
      </c>
      <c r="N313" s="9">
        <f>IFERROR(VLOOKUP(B313,cubo!$A$6:$BK$37,41,0)-VLOOKUP(conciliacao_custos!B313,#REF!,18,0),0)</f>
        <v>0</v>
      </c>
      <c r="O313" s="9">
        <f>IFERROR(VLOOKUP(B313,cubo!$A$6:$BK$37,44,0)-VLOOKUP(conciliacao_custos!B313,#REF!,13,0),0)</f>
        <v>0</v>
      </c>
      <c r="P313" s="9">
        <f>IFERROR(VLOOKUP(B313,cubo!$A$6:$BK$37,47,0)-VLOOKUP(conciliacao_custos!B313,#REF!,14,0),0)</f>
        <v>0</v>
      </c>
      <c r="Q313" s="9">
        <f>IFERROR(VLOOKUP(B313,cubo!$A$6:$BK$37,58,0)-VLOOKUP(conciliacao_custos!B313,#REF!,16,0),0)</f>
        <v>0</v>
      </c>
      <c r="R313" s="9">
        <f>IFERROR(VLOOKUP(B313,cubo!$A$6:$BK$37,64,0)-VLOOKUP(conciliacao_custos!B313,#REF!,17,0),0)</f>
        <v>0</v>
      </c>
      <c r="S313" s="9">
        <f>IFERROR(VLOOKUP(B313,cubo!$A$6:$BK$37,61,0)-VLOOKUP(conciliacao_custos!B313,#REF!,15,0),0)</f>
        <v>0</v>
      </c>
    </row>
    <row r="314" spans="2:19" x14ac:dyDescent="0.25">
      <c r="B314" s="7">
        <f>[1]salario!A313</f>
        <v>0</v>
      </c>
      <c r="C314" s="8">
        <f>[1]salario!C313</f>
        <v>0</v>
      </c>
      <c r="D314" s="10">
        <f>IFERROR(VLOOKUP(B314,cubo!$A$6:$BE$37,6,0)-VLOOKUP(B314,#REF!,$D$2,0),0)</f>
        <v>0</v>
      </c>
      <c r="E314" s="10">
        <f>IFERROR(VLOOKUP(B314,cubo!$A$6:$BE$37,9,0)-VLOOKUP(B314,#REF!,$E$2,0),0)</f>
        <v>0</v>
      </c>
      <c r="F314" s="9">
        <f>IFERROR(VLOOKUP(B314,cubo!$A$6:$BE$37,12,0)-VLOOKUP(B314,#REF!,$F$2,0),0)</f>
        <v>0</v>
      </c>
      <c r="G314" s="9">
        <f>IFERROR(VLOOKUP(B314,cubo!$A$6:$BE$37,54,0)-VLOOKUP(B314,#REF!,$G$2,0),0)</f>
        <v>0</v>
      </c>
      <c r="H314" s="10">
        <f>IFERROR(VLOOKUP(B314,cubo!$A$6:$BE$37,15,0)-VLOOKUP(B314,#REF!,$H$2,0),0)</f>
        <v>0</v>
      </c>
      <c r="I314" s="9">
        <f>IFERROR(VLOOKUP(B314,cubo!$A$6:$BE$37,18,0)-VLOOKUP(B314,#REF!,$I$2,0),0)</f>
        <v>0</v>
      </c>
      <c r="J314" s="9">
        <f>IFERROR(VLOOKUP(B314,cubo!$A$6:$BE$37,24,0)-VLOOKUP(B314,#REF!,$J$2,0),0)</f>
        <v>0</v>
      </c>
      <c r="K314" s="9">
        <f>IFERROR(VLOOKUP(B314,cubo!$A$6:$BE$37,34,0)-VLOOKUP(B314,#REF!,$K$2,0),0)</f>
        <v>0</v>
      </c>
      <c r="L314" s="8">
        <f>IFERROR(VLOOKUP(B314,cubo!$A$6:$BE$37,38,0)-VLOOKUP(B314,#REF!,$L$2,0),0)</f>
        <v>0</v>
      </c>
      <c r="M314" s="15">
        <f>IFERROR(VLOOKUP(B314,cubo!$A$6:$BE$37,57,0)-VLOOKUP(B314,#REF!,$M$2,0),0)</f>
        <v>0</v>
      </c>
      <c r="N314" s="9">
        <f>IFERROR(VLOOKUP(B314,cubo!$A$6:$BK$37,41,0)-VLOOKUP(conciliacao_custos!B314,#REF!,18,0),0)</f>
        <v>0</v>
      </c>
      <c r="O314" s="9">
        <f>IFERROR(VLOOKUP(B314,cubo!$A$6:$BK$37,44,0)-VLOOKUP(conciliacao_custos!B314,#REF!,13,0),0)</f>
        <v>0</v>
      </c>
      <c r="P314" s="9">
        <f>IFERROR(VLOOKUP(B314,cubo!$A$6:$BK$37,47,0)-VLOOKUP(conciliacao_custos!B314,#REF!,14,0),0)</f>
        <v>0</v>
      </c>
      <c r="Q314" s="9">
        <f>IFERROR(VLOOKUP(B314,cubo!$A$6:$BK$37,58,0)-VLOOKUP(conciliacao_custos!B314,#REF!,16,0),0)</f>
        <v>0</v>
      </c>
      <c r="R314" s="9">
        <f>IFERROR(VLOOKUP(B314,cubo!$A$6:$BK$37,64,0)-VLOOKUP(conciliacao_custos!B314,#REF!,17,0),0)</f>
        <v>0</v>
      </c>
      <c r="S314" s="9">
        <f>IFERROR(VLOOKUP(B314,cubo!$A$6:$BK$37,61,0)-VLOOKUP(conciliacao_custos!B314,#REF!,15,0),0)</f>
        <v>0</v>
      </c>
    </row>
    <row r="315" spans="2:19" x14ac:dyDescent="0.25">
      <c r="B315" s="7">
        <f>[1]salario!A314</f>
        <v>0</v>
      </c>
      <c r="C315" s="8">
        <f>[1]salario!C314</f>
        <v>0</v>
      </c>
      <c r="D315" s="10">
        <f>IFERROR(VLOOKUP(B315,cubo!$A$6:$BE$37,6,0)-VLOOKUP(B315,#REF!,$D$2,0),0)</f>
        <v>0</v>
      </c>
      <c r="E315" s="10">
        <f>IFERROR(VLOOKUP(B315,cubo!$A$6:$BE$37,9,0)-VLOOKUP(B315,#REF!,$E$2,0),0)</f>
        <v>0</v>
      </c>
      <c r="F315" s="9">
        <f>IFERROR(VLOOKUP(B315,cubo!$A$6:$BE$37,12,0)-VLOOKUP(B315,#REF!,$F$2,0),0)</f>
        <v>0</v>
      </c>
      <c r="G315" s="9">
        <f>IFERROR(VLOOKUP(B315,cubo!$A$6:$BE$37,54,0)-VLOOKUP(B315,#REF!,$G$2,0),0)</f>
        <v>0</v>
      </c>
      <c r="H315" s="10">
        <f>IFERROR(VLOOKUP(B315,cubo!$A$6:$BE$37,15,0)-VLOOKUP(B315,#REF!,$H$2,0),0)</f>
        <v>0</v>
      </c>
      <c r="I315" s="9">
        <f>IFERROR(VLOOKUP(B315,cubo!$A$6:$BE$37,18,0)-VLOOKUP(B315,#REF!,$I$2,0),0)</f>
        <v>0</v>
      </c>
      <c r="J315" s="9">
        <f>IFERROR(VLOOKUP(B315,cubo!$A$6:$BE$37,24,0)-VLOOKUP(B315,#REF!,$J$2,0),0)</f>
        <v>0</v>
      </c>
      <c r="K315" s="9">
        <f>IFERROR(VLOOKUP(B315,cubo!$A$6:$BE$37,34,0)-VLOOKUP(B315,#REF!,$K$2,0),0)</f>
        <v>0</v>
      </c>
      <c r="L315" s="8">
        <f>IFERROR(VLOOKUP(B315,cubo!$A$6:$BE$37,38,0)-VLOOKUP(B315,#REF!,$L$2,0),0)</f>
        <v>0</v>
      </c>
      <c r="M315" s="15">
        <f>IFERROR(VLOOKUP(B315,cubo!$A$6:$BE$37,57,0)-VLOOKUP(B315,#REF!,$M$2,0),0)</f>
        <v>0</v>
      </c>
      <c r="N315" s="9">
        <f>IFERROR(VLOOKUP(B315,cubo!$A$6:$BK$37,41,0)-VLOOKUP(conciliacao_custos!B315,#REF!,18,0),0)</f>
        <v>0</v>
      </c>
      <c r="O315" s="9">
        <f>IFERROR(VLOOKUP(B315,cubo!$A$6:$BK$37,44,0)-VLOOKUP(conciliacao_custos!B315,#REF!,13,0),0)</f>
        <v>0</v>
      </c>
      <c r="P315" s="9">
        <f>IFERROR(VLOOKUP(B315,cubo!$A$6:$BK$37,47,0)-VLOOKUP(conciliacao_custos!B315,#REF!,14,0),0)</f>
        <v>0</v>
      </c>
      <c r="Q315" s="9">
        <f>IFERROR(VLOOKUP(B315,cubo!$A$6:$BK$37,58,0)-VLOOKUP(conciliacao_custos!B315,#REF!,16,0),0)</f>
        <v>0</v>
      </c>
      <c r="R315" s="9">
        <f>IFERROR(VLOOKUP(B315,cubo!$A$6:$BK$37,64,0)-VLOOKUP(conciliacao_custos!B315,#REF!,17,0),0)</f>
        <v>0</v>
      </c>
      <c r="S315" s="9">
        <f>IFERROR(VLOOKUP(B315,cubo!$A$6:$BK$37,61,0)-VLOOKUP(conciliacao_custos!B315,#REF!,15,0),0)</f>
        <v>0</v>
      </c>
    </row>
    <row r="316" spans="2:19" x14ac:dyDescent="0.25">
      <c r="B316" s="7">
        <f>[1]salario!A315</f>
        <v>0</v>
      </c>
      <c r="C316" s="8">
        <f>[1]salario!C315</f>
        <v>0</v>
      </c>
      <c r="D316" s="10">
        <f>IFERROR(VLOOKUP(B316,cubo!$A$6:$BE$37,6,0)-VLOOKUP(B316,#REF!,$D$2,0),0)</f>
        <v>0</v>
      </c>
      <c r="E316" s="10">
        <f>IFERROR(VLOOKUP(B316,cubo!$A$6:$BE$37,9,0)-VLOOKUP(B316,#REF!,$E$2,0),0)</f>
        <v>0</v>
      </c>
      <c r="F316" s="9">
        <f>IFERROR(VLOOKUP(B316,cubo!$A$6:$BE$37,12,0)-VLOOKUP(B316,#REF!,$F$2,0),0)</f>
        <v>0</v>
      </c>
      <c r="G316" s="9">
        <f>IFERROR(VLOOKUP(B316,cubo!$A$6:$BE$37,54,0)-VLOOKUP(B316,#REF!,$G$2,0),0)</f>
        <v>0</v>
      </c>
      <c r="H316" s="10">
        <f>IFERROR(VLOOKUP(B316,cubo!$A$6:$BE$37,15,0)-VLOOKUP(B316,#REF!,$H$2,0),0)</f>
        <v>0</v>
      </c>
      <c r="I316" s="9">
        <f>IFERROR(VLOOKUP(B316,cubo!$A$6:$BE$37,18,0)-VLOOKUP(B316,#REF!,$I$2,0),0)</f>
        <v>0</v>
      </c>
      <c r="J316" s="9">
        <f>IFERROR(VLOOKUP(B316,cubo!$A$6:$BE$37,24,0)-VLOOKUP(B316,#REF!,$J$2,0),0)</f>
        <v>0</v>
      </c>
      <c r="K316" s="9">
        <f>IFERROR(VLOOKUP(B316,cubo!$A$6:$BE$37,34,0)-VLOOKUP(B316,#REF!,$K$2,0),0)</f>
        <v>0</v>
      </c>
      <c r="L316" s="8">
        <f>IFERROR(VLOOKUP(B316,cubo!$A$6:$BE$37,38,0)-VLOOKUP(B316,#REF!,$L$2,0),0)</f>
        <v>0</v>
      </c>
      <c r="M316" s="15">
        <f>IFERROR(VLOOKUP(B316,cubo!$A$6:$BE$37,57,0)-VLOOKUP(B316,#REF!,$M$2,0),0)</f>
        <v>0</v>
      </c>
      <c r="N316" s="9">
        <f>IFERROR(VLOOKUP(B316,cubo!$A$6:$BK$37,41,0)-VLOOKUP(conciliacao_custos!B316,#REF!,18,0),0)</f>
        <v>0</v>
      </c>
      <c r="O316" s="9">
        <f>IFERROR(VLOOKUP(B316,cubo!$A$6:$BK$37,44,0)-VLOOKUP(conciliacao_custos!B316,#REF!,13,0),0)</f>
        <v>0</v>
      </c>
      <c r="P316" s="9">
        <f>IFERROR(VLOOKUP(B316,cubo!$A$6:$BK$37,47,0)-VLOOKUP(conciliacao_custos!B316,#REF!,14,0),0)</f>
        <v>0</v>
      </c>
      <c r="Q316" s="9">
        <f>IFERROR(VLOOKUP(B316,cubo!$A$6:$BK$37,58,0)-VLOOKUP(conciliacao_custos!B316,#REF!,16,0),0)</f>
        <v>0</v>
      </c>
      <c r="R316" s="9">
        <f>IFERROR(VLOOKUP(B316,cubo!$A$6:$BK$37,64,0)-VLOOKUP(conciliacao_custos!B316,#REF!,17,0),0)</f>
        <v>0</v>
      </c>
      <c r="S316" s="9">
        <f>IFERROR(VLOOKUP(B316,cubo!$A$6:$BK$37,61,0)-VLOOKUP(conciliacao_custos!B316,#REF!,15,0),0)</f>
        <v>0</v>
      </c>
    </row>
    <row r="317" spans="2:19" x14ac:dyDescent="0.25">
      <c r="B317" s="7">
        <f>[1]salario!A316</f>
        <v>0</v>
      </c>
      <c r="C317" s="8">
        <f>[1]salario!C316</f>
        <v>0</v>
      </c>
      <c r="D317" s="10">
        <f>IFERROR(VLOOKUP(B317,cubo!$A$6:$BE$37,6,0)-VLOOKUP(B317,#REF!,$D$2,0),0)</f>
        <v>0</v>
      </c>
      <c r="E317" s="10">
        <f>IFERROR(VLOOKUP(B317,cubo!$A$6:$BE$37,9,0)-VLOOKUP(B317,#REF!,$E$2,0),0)</f>
        <v>0</v>
      </c>
      <c r="F317" s="9">
        <f>IFERROR(VLOOKUP(B317,cubo!$A$6:$BE$37,12,0)-VLOOKUP(B317,#REF!,$F$2,0),0)</f>
        <v>0</v>
      </c>
      <c r="G317" s="9">
        <f>IFERROR(VLOOKUP(B317,cubo!$A$6:$BE$37,54,0)-VLOOKUP(B317,#REF!,$G$2,0),0)</f>
        <v>0</v>
      </c>
      <c r="H317" s="10">
        <f>IFERROR(VLOOKUP(B317,cubo!$A$6:$BE$37,15,0)-VLOOKUP(B317,#REF!,$H$2,0),0)</f>
        <v>0</v>
      </c>
      <c r="I317" s="9">
        <f>IFERROR(VLOOKUP(B317,cubo!$A$6:$BE$37,18,0)-VLOOKUP(B317,#REF!,$I$2,0),0)</f>
        <v>0</v>
      </c>
      <c r="J317" s="9">
        <f>IFERROR(VLOOKUP(B317,cubo!$A$6:$BE$37,24,0)-VLOOKUP(B317,#REF!,$J$2,0),0)</f>
        <v>0</v>
      </c>
      <c r="K317" s="9">
        <f>IFERROR(VLOOKUP(B317,cubo!$A$6:$BE$37,34,0)-VLOOKUP(B317,#REF!,$K$2,0),0)</f>
        <v>0</v>
      </c>
      <c r="L317" s="8">
        <f>IFERROR(VLOOKUP(B317,cubo!$A$6:$BE$37,38,0)-VLOOKUP(B317,#REF!,$L$2,0),0)</f>
        <v>0</v>
      </c>
      <c r="M317" s="15">
        <f>IFERROR(VLOOKUP(B317,cubo!$A$6:$BE$37,57,0)-VLOOKUP(B317,#REF!,$M$2,0),0)</f>
        <v>0</v>
      </c>
      <c r="N317" s="9">
        <f>IFERROR(VLOOKUP(B317,cubo!$A$6:$BK$37,41,0)-VLOOKUP(conciliacao_custos!B317,#REF!,18,0),0)</f>
        <v>0</v>
      </c>
      <c r="O317" s="9">
        <f>IFERROR(VLOOKUP(B317,cubo!$A$6:$BK$37,44,0)-VLOOKUP(conciliacao_custos!B317,#REF!,13,0),0)</f>
        <v>0</v>
      </c>
      <c r="P317" s="9">
        <f>IFERROR(VLOOKUP(B317,cubo!$A$6:$BK$37,47,0)-VLOOKUP(conciliacao_custos!B317,#REF!,14,0),0)</f>
        <v>0</v>
      </c>
      <c r="Q317" s="9">
        <f>IFERROR(VLOOKUP(B317,cubo!$A$6:$BK$37,58,0)-VLOOKUP(conciliacao_custos!B317,#REF!,16,0),0)</f>
        <v>0</v>
      </c>
      <c r="R317" s="9">
        <f>IFERROR(VLOOKUP(B317,cubo!$A$6:$BK$37,64,0)-VLOOKUP(conciliacao_custos!B317,#REF!,17,0),0)</f>
        <v>0</v>
      </c>
      <c r="S317" s="9">
        <f>IFERROR(VLOOKUP(B317,cubo!$A$6:$BK$37,61,0)-VLOOKUP(conciliacao_custos!B317,#REF!,15,0),0)</f>
        <v>0</v>
      </c>
    </row>
    <row r="318" spans="2:19" x14ac:dyDescent="0.25">
      <c r="B318" s="7">
        <f>[1]salario!A317</f>
        <v>0</v>
      </c>
      <c r="C318" s="8">
        <f>[1]salario!C317</f>
        <v>0</v>
      </c>
      <c r="D318" s="10">
        <f>IFERROR(VLOOKUP(B318,cubo!$A$6:$BE$37,6,0)-VLOOKUP(B318,#REF!,$D$2,0),0)</f>
        <v>0</v>
      </c>
      <c r="E318" s="10">
        <f>IFERROR(VLOOKUP(B318,cubo!$A$6:$BE$37,9,0)-VLOOKUP(B318,#REF!,$E$2,0),0)</f>
        <v>0</v>
      </c>
      <c r="F318" s="9">
        <f>IFERROR(VLOOKUP(B318,cubo!$A$6:$BE$37,12,0)-VLOOKUP(B318,#REF!,$F$2,0),0)</f>
        <v>0</v>
      </c>
      <c r="G318" s="9">
        <f>IFERROR(VLOOKUP(B318,cubo!$A$6:$BE$37,54,0)-VLOOKUP(B318,#REF!,$G$2,0),0)</f>
        <v>0</v>
      </c>
      <c r="H318" s="10">
        <f>IFERROR(VLOOKUP(B318,cubo!$A$6:$BE$37,15,0)-VLOOKUP(B318,#REF!,$H$2,0),0)</f>
        <v>0</v>
      </c>
      <c r="I318" s="9">
        <f>IFERROR(VLOOKUP(B318,cubo!$A$6:$BE$37,18,0)-VLOOKUP(B318,#REF!,$I$2,0),0)</f>
        <v>0</v>
      </c>
      <c r="J318" s="9">
        <f>IFERROR(VLOOKUP(B318,cubo!$A$6:$BE$37,24,0)-VLOOKUP(B318,#REF!,$J$2,0),0)</f>
        <v>0</v>
      </c>
      <c r="K318" s="9">
        <f>IFERROR(VLOOKUP(B318,cubo!$A$6:$BE$37,34,0)-VLOOKUP(B318,#REF!,$K$2,0),0)</f>
        <v>0</v>
      </c>
      <c r="L318" s="8">
        <f>IFERROR(VLOOKUP(B318,cubo!$A$6:$BE$37,38,0)-VLOOKUP(B318,#REF!,$L$2,0),0)</f>
        <v>0</v>
      </c>
      <c r="M318" s="15">
        <f>IFERROR(VLOOKUP(B318,cubo!$A$6:$BE$37,57,0)-VLOOKUP(B318,#REF!,$M$2,0),0)</f>
        <v>0</v>
      </c>
      <c r="N318" s="9">
        <f>IFERROR(VLOOKUP(B318,cubo!$A$6:$BK$37,41,0)-VLOOKUP(conciliacao_custos!B318,#REF!,18,0),0)</f>
        <v>0</v>
      </c>
      <c r="O318" s="9">
        <f>IFERROR(VLOOKUP(B318,cubo!$A$6:$BK$37,44,0)-VLOOKUP(conciliacao_custos!B318,#REF!,13,0),0)</f>
        <v>0</v>
      </c>
      <c r="P318" s="9">
        <f>IFERROR(VLOOKUP(B318,cubo!$A$6:$BK$37,47,0)-VLOOKUP(conciliacao_custos!B318,#REF!,14,0),0)</f>
        <v>0</v>
      </c>
      <c r="Q318" s="9">
        <f>IFERROR(VLOOKUP(B318,cubo!$A$6:$BK$37,58,0)-VLOOKUP(conciliacao_custos!B318,#REF!,16,0),0)</f>
        <v>0</v>
      </c>
      <c r="R318" s="9">
        <f>IFERROR(VLOOKUP(B318,cubo!$A$6:$BK$37,64,0)-VLOOKUP(conciliacao_custos!B318,#REF!,17,0),0)</f>
        <v>0</v>
      </c>
      <c r="S318" s="9">
        <f>IFERROR(VLOOKUP(B318,cubo!$A$6:$BK$37,61,0)-VLOOKUP(conciliacao_custos!B318,#REF!,15,0),0)</f>
        <v>0</v>
      </c>
    </row>
    <row r="319" spans="2:19" x14ac:dyDescent="0.25">
      <c r="B319" s="7">
        <f>[1]salario!A318</f>
        <v>0</v>
      </c>
      <c r="C319" s="8">
        <f>[1]salario!C318</f>
        <v>0</v>
      </c>
      <c r="D319" s="10">
        <f>IFERROR(VLOOKUP(B319,cubo!$A$6:$BE$37,6,0)-VLOOKUP(B319,#REF!,$D$2,0),0)</f>
        <v>0</v>
      </c>
      <c r="E319" s="10">
        <f>IFERROR(VLOOKUP(B319,cubo!$A$6:$BE$37,9,0)-VLOOKUP(B319,#REF!,$E$2,0),0)</f>
        <v>0</v>
      </c>
      <c r="F319" s="9">
        <f>IFERROR(VLOOKUP(B319,cubo!$A$6:$BE$37,12,0)-VLOOKUP(B319,#REF!,$F$2,0),0)</f>
        <v>0</v>
      </c>
      <c r="G319" s="9">
        <f>IFERROR(VLOOKUP(B319,cubo!$A$6:$BE$37,54,0)-VLOOKUP(B319,#REF!,$G$2,0),0)</f>
        <v>0</v>
      </c>
      <c r="H319" s="10">
        <f>IFERROR(VLOOKUP(B319,cubo!$A$6:$BE$37,15,0)-VLOOKUP(B319,#REF!,$H$2,0),0)</f>
        <v>0</v>
      </c>
      <c r="I319" s="9">
        <f>IFERROR(VLOOKUP(B319,cubo!$A$6:$BE$37,18,0)-VLOOKUP(B319,#REF!,$I$2,0),0)</f>
        <v>0</v>
      </c>
      <c r="J319" s="9">
        <f>IFERROR(VLOOKUP(B319,cubo!$A$6:$BE$37,24,0)-VLOOKUP(B319,#REF!,$J$2,0),0)</f>
        <v>0</v>
      </c>
      <c r="K319" s="9">
        <f>IFERROR(VLOOKUP(B319,cubo!$A$6:$BE$37,34,0)-VLOOKUP(B319,#REF!,$K$2,0),0)</f>
        <v>0</v>
      </c>
      <c r="L319" s="8">
        <f>IFERROR(VLOOKUP(B319,cubo!$A$6:$BE$37,38,0)-VLOOKUP(B319,#REF!,$L$2,0),0)</f>
        <v>0</v>
      </c>
      <c r="M319" s="15">
        <f>IFERROR(VLOOKUP(B319,cubo!$A$6:$BE$37,57,0)-VLOOKUP(B319,#REF!,$M$2,0),0)</f>
        <v>0</v>
      </c>
      <c r="N319" s="9">
        <f>IFERROR(VLOOKUP(B319,cubo!$A$6:$BK$37,41,0)-VLOOKUP(conciliacao_custos!B319,#REF!,18,0),0)</f>
        <v>0</v>
      </c>
      <c r="O319" s="9">
        <f>IFERROR(VLOOKUP(B319,cubo!$A$6:$BK$37,44,0)-VLOOKUP(conciliacao_custos!B319,#REF!,13,0),0)</f>
        <v>0</v>
      </c>
      <c r="P319" s="9">
        <f>IFERROR(VLOOKUP(B319,cubo!$A$6:$BK$37,47,0)-VLOOKUP(conciliacao_custos!B319,#REF!,14,0),0)</f>
        <v>0</v>
      </c>
      <c r="Q319" s="9">
        <f>IFERROR(VLOOKUP(B319,cubo!$A$6:$BK$37,58,0)-VLOOKUP(conciliacao_custos!B319,#REF!,16,0),0)</f>
        <v>0</v>
      </c>
      <c r="R319" s="9">
        <f>IFERROR(VLOOKUP(B319,cubo!$A$6:$BK$37,64,0)-VLOOKUP(conciliacao_custos!B319,#REF!,17,0),0)</f>
        <v>0</v>
      </c>
      <c r="S319" s="9">
        <f>IFERROR(VLOOKUP(B319,cubo!$A$6:$BK$37,61,0)-VLOOKUP(conciliacao_custos!B319,#REF!,15,0),0)</f>
        <v>0</v>
      </c>
    </row>
    <row r="320" spans="2:19" x14ac:dyDescent="0.25">
      <c r="B320" s="7">
        <f>[1]salario!A319</f>
        <v>0</v>
      </c>
      <c r="C320" s="8">
        <f>[1]salario!C319</f>
        <v>0</v>
      </c>
      <c r="D320" s="10">
        <f>IFERROR(VLOOKUP(B320,cubo!$A$6:$BE$37,6,0)-VLOOKUP(B320,#REF!,$D$2,0),0)</f>
        <v>0</v>
      </c>
      <c r="E320" s="10">
        <f>IFERROR(VLOOKUP(B320,cubo!$A$6:$BE$37,9,0)-VLOOKUP(B320,#REF!,$E$2,0),0)</f>
        <v>0</v>
      </c>
      <c r="F320" s="9">
        <f>IFERROR(VLOOKUP(B320,cubo!$A$6:$BE$37,12,0)-VLOOKUP(B320,#REF!,$F$2,0),0)</f>
        <v>0</v>
      </c>
      <c r="G320" s="9">
        <f>IFERROR(VLOOKUP(B320,cubo!$A$6:$BE$37,54,0)-VLOOKUP(B320,#REF!,$G$2,0),0)</f>
        <v>0</v>
      </c>
      <c r="H320" s="10">
        <f>IFERROR(VLOOKUP(B320,cubo!$A$6:$BE$37,15,0)-VLOOKUP(B320,#REF!,$H$2,0),0)</f>
        <v>0</v>
      </c>
      <c r="I320" s="9">
        <f>IFERROR(VLOOKUP(B320,cubo!$A$6:$BE$37,18,0)-VLOOKUP(B320,#REF!,$I$2,0),0)</f>
        <v>0</v>
      </c>
      <c r="J320" s="9">
        <f>IFERROR(VLOOKUP(B320,cubo!$A$6:$BE$37,24,0)-VLOOKUP(B320,#REF!,$J$2,0),0)</f>
        <v>0</v>
      </c>
      <c r="K320" s="9">
        <f>IFERROR(VLOOKUP(B320,cubo!$A$6:$BE$37,34,0)-VLOOKUP(B320,#REF!,$K$2,0),0)</f>
        <v>0</v>
      </c>
      <c r="L320" s="8">
        <f>IFERROR(VLOOKUP(B320,cubo!$A$6:$BE$37,38,0)-VLOOKUP(B320,#REF!,$L$2,0),0)</f>
        <v>0</v>
      </c>
      <c r="M320" s="15">
        <f>IFERROR(VLOOKUP(B320,cubo!$A$6:$BE$37,57,0)-VLOOKUP(B320,#REF!,$M$2,0),0)</f>
        <v>0</v>
      </c>
      <c r="N320" s="9">
        <f>IFERROR(VLOOKUP(B320,cubo!$A$6:$BK$37,41,0)-VLOOKUP(conciliacao_custos!B320,#REF!,18,0),0)</f>
        <v>0</v>
      </c>
      <c r="O320" s="9">
        <f>IFERROR(VLOOKUP(B320,cubo!$A$6:$BK$37,44,0)-VLOOKUP(conciliacao_custos!B320,#REF!,13,0),0)</f>
        <v>0</v>
      </c>
      <c r="P320" s="9">
        <f>IFERROR(VLOOKUP(B320,cubo!$A$6:$BK$37,47,0)-VLOOKUP(conciliacao_custos!B320,#REF!,14,0),0)</f>
        <v>0</v>
      </c>
      <c r="Q320" s="9">
        <f>IFERROR(VLOOKUP(B320,cubo!$A$6:$BK$37,58,0)-VLOOKUP(conciliacao_custos!B320,#REF!,16,0),0)</f>
        <v>0</v>
      </c>
      <c r="R320" s="9">
        <f>IFERROR(VLOOKUP(B320,cubo!$A$6:$BK$37,64,0)-VLOOKUP(conciliacao_custos!B320,#REF!,17,0),0)</f>
        <v>0</v>
      </c>
      <c r="S320" s="9">
        <f>IFERROR(VLOOKUP(B320,cubo!$A$6:$BK$37,61,0)-VLOOKUP(conciliacao_custos!B320,#REF!,15,0),0)</f>
        <v>0</v>
      </c>
    </row>
    <row r="321" spans="2:19" x14ac:dyDescent="0.25">
      <c r="B321" s="7">
        <f>[1]salario!A320</f>
        <v>0</v>
      </c>
      <c r="C321" s="8">
        <f>[1]salario!C320</f>
        <v>0</v>
      </c>
      <c r="D321" s="10">
        <f>IFERROR(VLOOKUP(B321,cubo!$A$6:$BE$37,6,0)-VLOOKUP(B321,#REF!,$D$2,0),0)</f>
        <v>0</v>
      </c>
      <c r="E321" s="10">
        <f>IFERROR(VLOOKUP(B321,cubo!$A$6:$BE$37,9,0)-VLOOKUP(B321,#REF!,$E$2,0),0)</f>
        <v>0</v>
      </c>
      <c r="F321" s="9">
        <f>IFERROR(VLOOKUP(B321,cubo!$A$6:$BE$37,12,0)-VLOOKUP(B321,#REF!,$F$2,0),0)</f>
        <v>0</v>
      </c>
      <c r="G321" s="9">
        <f>IFERROR(VLOOKUP(B321,cubo!$A$6:$BE$37,54,0)-VLOOKUP(B321,#REF!,$G$2,0),0)</f>
        <v>0</v>
      </c>
      <c r="H321" s="10">
        <f>IFERROR(VLOOKUP(B321,cubo!$A$6:$BE$37,15,0)-VLOOKUP(B321,#REF!,$H$2,0),0)</f>
        <v>0</v>
      </c>
      <c r="I321" s="9">
        <f>IFERROR(VLOOKUP(B321,cubo!$A$6:$BE$37,18,0)-VLOOKUP(B321,#REF!,$I$2,0),0)</f>
        <v>0</v>
      </c>
      <c r="J321" s="9">
        <f>IFERROR(VLOOKUP(B321,cubo!$A$6:$BE$37,24,0)-VLOOKUP(B321,#REF!,$J$2,0),0)</f>
        <v>0</v>
      </c>
      <c r="K321" s="9">
        <f>IFERROR(VLOOKUP(B321,cubo!$A$6:$BE$37,34,0)-VLOOKUP(B321,#REF!,$K$2,0),0)</f>
        <v>0</v>
      </c>
      <c r="L321" s="8">
        <f>IFERROR(VLOOKUP(B321,cubo!$A$6:$BE$37,38,0)-VLOOKUP(B321,#REF!,$L$2,0),0)</f>
        <v>0</v>
      </c>
      <c r="M321" s="15">
        <f>IFERROR(VLOOKUP(B321,cubo!$A$6:$BE$37,57,0)-VLOOKUP(B321,#REF!,$M$2,0),0)</f>
        <v>0</v>
      </c>
      <c r="N321" s="9">
        <f>IFERROR(VLOOKUP(B321,cubo!$A$6:$BK$37,41,0)-VLOOKUP(conciliacao_custos!B321,#REF!,18,0),0)</f>
        <v>0</v>
      </c>
      <c r="O321" s="9">
        <f>IFERROR(VLOOKUP(B321,cubo!$A$6:$BK$37,44,0)-VLOOKUP(conciliacao_custos!B321,#REF!,13,0),0)</f>
        <v>0</v>
      </c>
      <c r="P321" s="9">
        <f>IFERROR(VLOOKUP(B321,cubo!$A$6:$BK$37,47,0)-VLOOKUP(conciliacao_custos!B321,#REF!,14,0),0)</f>
        <v>0</v>
      </c>
      <c r="Q321" s="9">
        <f>IFERROR(VLOOKUP(B321,cubo!$A$6:$BK$37,58,0)-VLOOKUP(conciliacao_custos!B321,#REF!,16,0),0)</f>
        <v>0</v>
      </c>
      <c r="R321" s="9">
        <f>IFERROR(VLOOKUP(B321,cubo!$A$6:$BK$37,64,0)-VLOOKUP(conciliacao_custos!B321,#REF!,17,0),0)</f>
        <v>0</v>
      </c>
      <c r="S321" s="9">
        <f>IFERROR(VLOOKUP(B321,cubo!$A$6:$BK$37,61,0)-VLOOKUP(conciliacao_custos!B321,#REF!,15,0),0)</f>
        <v>0</v>
      </c>
    </row>
    <row r="322" spans="2:19" x14ac:dyDescent="0.25">
      <c r="B322" s="7">
        <f>[1]salario!A321</f>
        <v>0</v>
      </c>
      <c r="C322" s="8">
        <f>[1]salario!C321</f>
        <v>0</v>
      </c>
      <c r="D322" s="10">
        <f>IFERROR(VLOOKUP(B322,cubo!$A$6:$BE$37,6,0)-VLOOKUP(B322,#REF!,$D$2,0),0)</f>
        <v>0</v>
      </c>
      <c r="E322" s="10">
        <f>IFERROR(VLOOKUP(B322,cubo!$A$6:$BE$37,9,0)-VLOOKUP(B322,#REF!,$E$2,0),0)</f>
        <v>0</v>
      </c>
      <c r="F322" s="9">
        <f>IFERROR(VLOOKUP(B322,cubo!$A$6:$BE$37,12,0)-VLOOKUP(B322,#REF!,$F$2,0),0)</f>
        <v>0</v>
      </c>
      <c r="G322" s="9">
        <f>IFERROR(VLOOKUP(B322,cubo!$A$6:$BE$37,54,0)-VLOOKUP(B322,#REF!,$G$2,0),0)</f>
        <v>0</v>
      </c>
      <c r="H322" s="10">
        <f>IFERROR(VLOOKUP(B322,cubo!$A$6:$BE$37,15,0)-VLOOKUP(B322,#REF!,$H$2,0),0)</f>
        <v>0</v>
      </c>
      <c r="I322" s="9">
        <f>IFERROR(VLOOKUP(B322,cubo!$A$6:$BE$37,18,0)-VLOOKUP(B322,#REF!,$I$2,0),0)</f>
        <v>0</v>
      </c>
      <c r="J322" s="9">
        <f>IFERROR(VLOOKUP(B322,cubo!$A$6:$BE$37,24,0)-VLOOKUP(B322,#REF!,$J$2,0),0)</f>
        <v>0</v>
      </c>
      <c r="K322" s="9">
        <f>IFERROR(VLOOKUP(B322,cubo!$A$6:$BE$37,34,0)-VLOOKUP(B322,#REF!,$K$2,0),0)</f>
        <v>0</v>
      </c>
      <c r="L322" s="8">
        <f>IFERROR(VLOOKUP(B322,cubo!$A$6:$BE$37,38,0)-VLOOKUP(B322,#REF!,$L$2,0),0)</f>
        <v>0</v>
      </c>
      <c r="M322" s="15">
        <f>IFERROR(VLOOKUP(B322,cubo!$A$6:$BE$37,57,0)-VLOOKUP(B322,#REF!,$M$2,0),0)</f>
        <v>0</v>
      </c>
      <c r="N322" s="9">
        <f>IFERROR(VLOOKUP(B322,cubo!$A$6:$BK$37,41,0)-VLOOKUP(conciliacao_custos!B322,#REF!,18,0),0)</f>
        <v>0</v>
      </c>
      <c r="O322" s="9">
        <f>IFERROR(VLOOKUP(B322,cubo!$A$6:$BK$37,44,0)-VLOOKUP(conciliacao_custos!B322,#REF!,13,0),0)</f>
        <v>0</v>
      </c>
      <c r="P322" s="9">
        <f>IFERROR(VLOOKUP(B322,cubo!$A$6:$BK$37,47,0)-VLOOKUP(conciliacao_custos!B322,#REF!,14,0),0)</f>
        <v>0</v>
      </c>
      <c r="Q322" s="9">
        <f>IFERROR(VLOOKUP(B322,cubo!$A$6:$BK$37,58,0)-VLOOKUP(conciliacao_custos!B322,#REF!,16,0),0)</f>
        <v>0</v>
      </c>
      <c r="R322" s="9">
        <f>IFERROR(VLOOKUP(B322,cubo!$A$6:$BK$37,64,0)-VLOOKUP(conciliacao_custos!B322,#REF!,17,0),0)</f>
        <v>0</v>
      </c>
      <c r="S322" s="9">
        <f>IFERROR(VLOOKUP(B322,cubo!$A$6:$BK$37,61,0)-VLOOKUP(conciliacao_custos!B322,#REF!,15,0),0)</f>
        <v>0</v>
      </c>
    </row>
    <row r="323" spans="2:19" x14ac:dyDescent="0.25">
      <c r="B323" s="7">
        <f>[1]salario!A322</f>
        <v>0</v>
      </c>
      <c r="C323" s="8">
        <f>[1]salario!C322</f>
        <v>0</v>
      </c>
      <c r="D323" s="10">
        <f>IFERROR(VLOOKUP(B323,cubo!$A$6:$BE$37,6,0)-VLOOKUP(B323,#REF!,$D$2,0),0)</f>
        <v>0</v>
      </c>
      <c r="E323" s="10">
        <f>IFERROR(VLOOKUP(B323,cubo!$A$6:$BE$37,9,0)-VLOOKUP(B323,#REF!,$E$2,0),0)</f>
        <v>0</v>
      </c>
      <c r="F323" s="9">
        <f>IFERROR(VLOOKUP(B323,cubo!$A$6:$BE$37,12,0)-VLOOKUP(B323,#REF!,$F$2,0),0)</f>
        <v>0</v>
      </c>
      <c r="G323" s="9">
        <f>IFERROR(VLOOKUP(B323,cubo!$A$6:$BE$37,54,0)-VLOOKUP(B323,#REF!,$G$2,0),0)</f>
        <v>0</v>
      </c>
      <c r="H323" s="10">
        <f>IFERROR(VLOOKUP(B323,cubo!$A$6:$BE$37,15,0)-VLOOKUP(B323,#REF!,$H$2,0),0)</f>
        <v>0</v>
      </c>
      <c r="I323" s="9">
        <f>IFERROR(VLOOKUP(B323,cubo!$A$6:$BE$37,18,0)-VLOOKUP(B323,#REF!,$I$2,0),0)</f>
        <v>0</v>
      </c>
      <c r="J323" s="9">
        <f>IFERROR(VLOOKUP(B323,cubo!$A$6:$BE$37,24,0)-VLOOKUP(B323,#REF!,$J$2,0),0)</f>
        <v>0</v>
      </c>
      <c r="K323" s="9">
        <f>IFERROR(VLOOKUP(B323,cubo!$A$6:$BE$37,34,0)-VLOOKUP(B323,#REF!,$K$2,0),0)</f>
        <v>0</v>
      </c>
      <c r="L323" s="8">
        <f>IFERROR(VLOOKUP(B323,cubo!$A$6:$BE$37,38,0)-VLOOKUP(B323,#REF!,$L$2,0),0)</f>
        <v>0</v>
      </c>
      <c r="M323" s="15">
        <f>IFERROR(VLOOKUP(B323,cubo!$A$6:$BE$37,57,0)-VLOOKUP(B323,#REF!,$M$2,0),0)</f>
        <v>0</v>
      </c>
      <c r="N323" s="9">
        <f>IFERROR(VLOOKUP(B323,cubo!$A$6:$BK$37,41,0)-VLOOKUP(conciliacao_custos!B323,#REF!,18,0),0)</f>
        <v>0</v>
      </c>
      <c r="O323" s="9">
        <f>IFERROR(VLOOKUP(B323,cubo!$A$6:$BK$37,44,0)-VLOOKUP(conciliacao_custos!B323,#REF!,13,0),0)</f>
        <v>0</v>
      </c>
      <c r="P323" s="9">
        <f>IFERROR(VLOOKUP(B323,cubo!$A$6:$BK$37,47,0)-VLOOKUP(conciliacao_custos!B323,#REF!,14,0),0)</f>
        <v>0</v>
      </c>
      <c r="Q323" s="9">
        <f>IFERROR(VLOOKUP(B323,cubo!$A$6:$BK$37,58,0)-VLOOKUP(conciliacao_custos!B323,#REF!,16,0),0)</f>
        <v>0</v>
      </c>
      <c r="R323" s="9">
        <f>IFERROR(VLOOKUP(B323,cubo!$A$6:$BK$37,64,0)-VLOOKUP(conciliacao_custos!B323,#REF!,17,0),0)</f>
        <v>0</v>
      </c>
      <c r="S323" s="9">
        <f>IFERROR(VLOOKUP(B323,cubo!$A$6:$BK$37,61,0)-VLOOKUP(conciliacao_custos!B323,#REF!,15,0),0)</f>
        <v>0</v>
      </c>
    </row>
    <row r="324" spans="2:19" x14ac:dyDescent="0.25">
      <c r="B324" s="7">
        <f>[1]salario!A323</f>
        <v>0</v>
      </c>
      <c r="C324" s="8">
        <f>[1]salario!C323</f>
        <v>0</v>
      </c>
      <c r="D324" s="10">
        <f>IFERROR(VLOOKUP(B324,cubo!$A$6:$BE$37,6,0)-VLOOKUP(B324,#REF!,$D$2,0),0)</f>
        <v>0</v>
      </c>
      <c r="E324" s="10">
        <f>IFERROR(VLOOKUP(B324,cubo!$A$6:$BE$37,9,0)-VLOOKUP(B324,#REF!,$E$2,0),0)</f>
        <v>0</v>
      </c>
      <c r="F324" s="9">
        <f>IFERROR(VLOOKUP(B324,cubo!$A$6:$BE$37,12,0)-VLOOKUP(B324,#REF!,$F$2,0),0)</f>
        <v>0</v>
      </c>
      <c r="G324" s="9">
        <f>IFERROR(VLOOKUP(B324,cubo!$A$6:$BE$37,54,0)-VLOOKUP(B324,#REF!,$G$2,0),0)</f>
        <v>0</v>
      </c>
      <c r="H324" s="10">
        <f>IFERROR(VLOOKUP(B324,cubo!$A$6:$BE$37,15,0)-VLOOKUP(B324,#REF!,$H$2,0),0)</f>
        <v>0</v>
      </c>
      <c r="I324" s="9">
        <f>IFERROR(VLOOKUP(B324,cubo!$A$6:$BE$37,18,0)-VLOOKUP(B324,#REF!,$I$2,0),0)</f>
        <v>0</v>
      </c>
      <c r="J324" s="9">
        <f>IFERROR(VLOOKUP(B324,cubo!$A$6:$BE$37,24,0)-VLOOKUP(B324,#REF!,$J$2,0),0)</f>
        <v>0</v>
      </c>
      <c r="K324" s="9">
        <f>IFERROR(VLOOKUP(B324,cubo!$A$6:$BE$37,34,0)-VLOOKUP(B324,#REF!,$K$2,0),0)</f>
        <v>0</v>
      </c>
      <c r="L324" s="8">
        <f>IFERROR(VLOOKUP(B324,cubo!$A$6:$BE$37,38,0)-VLOOKUP(B324,#REF!,$L$2,0),0)</f>
        <v>0</v>
      </c>
      <c r="M324" s="15">
        <f>IFERROR(VLOOKUP(B324,cubo!$A$6:$BE$37,57,0)-VLOOKUP(B324,#REF!,$M$2,0),0)</f>
        <v>0</v>
      </c>
      <c r="N324" s="9">
        <f>IFERROR(VLOOKUP(B324,cubo!$A$6:$BK$37,41,0)-VLOOKUP(conciliacao_custos!B324,#REF!,18,0),0)</f>
        <v>0</v>
      </c>
      <c r="O324" s="9">
        <f>IFERROR(VLOOKUP(B324,cubo!$A$6:$BK$37,44,0)-VLOOKUP(conciliacao_custos!B324,#REF!,13,0),0)</f>
        <v>0</v>
      </c>
      <c r="P324" s="9">
        <f>IFERROR(VLOOKUP(B324,cubo!$A$6:$BK$37,47,0)-VLOOKUP(conciliacao_custos!B324,#REF!,14,0),0)</f>
        <v>0</v>
      </c>
      <c r="Q324" s="9">
        <f>IFERROR(VLOOKUP(B324,cubo!$A$6:$BK$37,58,0)-VLOOKUP(conciliacao_custos!B324,#REF!,16,0),0)</f>
        <v>0</v>
      </c>
      <c r="R324" s="9">
        <f>IFERROR(VLOOKUP(B324,cubo!$A$6:$BK$37,64,0)-VLOOKUP(conciliacao_custos!B324,#REF!,17,0),0)</f>
        <v>0</v>
      </c>
      <c r="S324" s="9">
        <f>IFERROR(VLOOKUP(B324,cubo!$A$6:$BK$37,61,0)-VLOOKUP(conciliacao_custos!B324,#REF!,15,0),0)</f>
        <v>0</v>
      </c>
    </row>
    <row r="325" spans="2:19" x14ac:dyDescent="0.25">
      <c r="B325" s="7">
        <f>[1]salario!A324</f>
        <v>0</v>
      </c>
      <c r="C325" s="8">
        <f>[1]salario!C324</f>
        <v>0</v>
      </c>
      <c r="D325" s="10">
        <f>IFERROR(VLOOKUP(B325,cubo!$A$6:$BE$37,6,0)-VLOOKUP(B325,#REF!,$D$2,0),0)</f>
        <v>0</v>
      </c>
      <c r="E325" s="10">
        <f>IFERROR(VLOOKUP(B325,cubo!$A$6:$BE$37,9,0)-VLOOKUP(B325,#REF!,$E$2,0),0)</f>
        <v>0</v>
      </c>
      <c r="F325" s="9">
        <f>IFERROR(VLOOKUP(B325,cubo!$A$6:$BE$37,12,0)-VLOOKUP(B325,#REF!,$F$2,0),0)</f>
        <v>0</v>
      </c>
      <c r="G325" s="9">
        <f>IFERROR(VLOOKUP(B325,cubo!$A$6:$BE$37,54,0)-VLOOKUP(B325,#REF!,$G$2,0),0)</f>
        <v>0</v>
      </c>
      <c r="H325" s="10">
        <f>IFERROR(VLOOKUP(B325,cubo!$A$6:$BE$37,15,0)-VLOOKUP(B325,#REF!,$H$2,0),0)</f>
        <v>0</v>
      </c>
      <c r="I325" s="9">
        <f>IFERROR(VLOOKUP(B325,cubo!$A$6:$BE$37,18,0)-VLOOKUP(B325,#REF!,$I$2,0),0)</f>
        <v>0</v>
      </c>
      <c r="J325" s="9">
        <f>IFERROR(VLOOKUP(B325,cubo!$A$6:$BE$37,24,0)-VLOOKUP(B325,#REF!,$J$2,0),0)</f>
        <v>0</v>
      </c>
      <c r="K325" s="9">
        <f>IFERROR(VLOOKUP(B325,cubo!$A$6:$BE$37,34,0)-VLOOKUP(B325,#REF!,$K$2,0),0)</f>
        <v>0</v>
      </c>
      <c r="L325" s="8">
        <f>IFERROR(VLOOKUP(B325,cubo!$A$6:$BE$37,38,0)-VLOOKUP(B325,#REF!,$L$2,0),0)</f>
        <v>0</v>
      </c>
      <c r="M325" s="15">
        <f>IFERROR(VLOOKUP(B325,cubo!$A$6:$BE$37,57,0)-VLOOKUP(B325,#REF!,$M$2,0),0)</f>
        <v>0</v>
      </c>
      <c r="N325" s="9">
        <f>IFERROR(VLOOKUP(B325,cubo!$A$6:$BK$37,41,0)-VLOOKUP(conciliacao_custos!B325,#REF!,18,0),0)</f>
        <v>0</v>
      </c>
      <c r="O325" s="9">
        <f>IFERROR(VLOOKUP(B325,cubo!$A$6:$BK$37,44,0)-VLOOKUP(conciliacao_custos!B325,#REF!,13,0),0)</f>
        <v>0</v>
      </c>
      <c r="P325" s="9">
        <f>IFERROR(VLOOKUP(B325,cubo!$A$6:$BK$37,47,0)-VLOOKUP(conciliacao_custos!B325,#REF!,14,0),0)</f>
        <v>0</v>
      </c>
      <c r="Q325" s="9">
        <f>IFERROR(VLOOKUP(B325,cubo!$A$6:$BK$37,58,0)-VLOOKUP(conciliacao_custos!B325,#REF!,16,0),0)</f>
        <v>0</v>
      </c>
      <c r="R325" s="9">
        <f>IFERROR(VLOOKUP(B325,cubo!$A$6:$BK$37,64,0)-VLOOKUP(conciliacao_custos!B325,#REF!,17,0),0)</f>
        <v>0</v>
      </c>
      <c r="S325" s="9">
        <f>IFERROR(VLOOKUP(B325,cubo!$A$6:$BK$37,61,0)-VLOOKUP(conciliacao_custos!B325,#REF!,15,0),0)</f>
        <v>0</v>
      </c>
    </row>
    <row r="326" spans="2:19" x14ac:dyDescent="0.25">
      <c r="B326" s="7">
        <f>[1]salario!A325</f>
        <v>0</v>
      </c>
      <c r="C326" s="8">
        <f>[1]salario!C325</f>
        <v>0</v>
      </c>
      <c r="D326" s="10">
        <f>IFERROR(VLOOKUP(B326,cubo!$A$6:$BE$37,6,0)-VLOOKUP(B326,#REF!,$D$2,0),0)</f>
        <v>0</v>
      </c>
      <c r="E326" s="10">
        <f>IFERROR(VLOOKUP(B326,cubo!$A$6:$BE$37,9,0)-VLOOKUP(B326,#REF!,$E$2,0),0)</f>
        <v>0</v>
      </c>
      <c r="F326" s="9">
        <f>IFERROR(VLOOKUP(B326,cubo!$A$6:$BE$37,12,0)-VLOOKUP(B326,#REF!,$F$2,0),0)</f>
        <v>0</v>
      </c>
      <c r="G326" s="9">
        <f>IFERROR(VLOOKUP(B326,cubo!$A$6:$BE$37,54,0)-VLOOKUP(B326,#REF!,$G$2,0),0)</f>
        <v>0</v>
      </c>
      <c r="H326" s="10">
        <f>IFERROR(VLOOKUP(B326,cubo!$A$6:$BE$37,15,0)-VLOOKUP(B326,#REF!,$H$2,0),0)</f>
        <v>0</v>
      </c>
      <c r="I326" s="9">
        <f>IFERROR(VLOOKUP(B326,cubo!$A$6:$BE$37,18,0)-VLOOKUP(B326,#REF!,$I$2,0),0)</f>
        <v>0</v>
      </c>
      <c r="J326" s="9">
        <f>IFERROR(VLOOKUP(B326,cubo!$A$6:$BE$37,24,0)-VLOOKUP(B326,#REF!,$J$2,0),0)</f>
        <v>0</v>
      </c>
      <c r="K326" s="9">
        <f>IFERROR(VLOOKUP(B326,cubo!$A$6:$BE$37,34,0)-VLOOKUP(B326,#REF!,$K$2,0),0)</f>
        <v>0</v>
      </c>
      <c r="L326" s="8">
        <f>IFERROR(VLOOKUP(B326,cubo!$A$6:$BE$37,38,0)-VLOOKUP(B326,#REF!,$L$2,0),0)</f>
        <v>0</v>
      </c>
      <c r="M326" s="15">
        <f>IFERROR(VLOOKUP(B326,cubo!$A$6:$BE$37,57,0)-VLOOKUP(B326,#REF!,$M$2,0),0)</f>
        <v>0</v>
      </c>
      <c r="N326" s="9">
        <f>IFERROR(VLOOKUP(B326,cubo!$A$6:$BK$37,41,0)-VLOOKUP(conciliacao_custos!B326,#REF!,18,0),0)</f>
        <v>0</v>
      </c>
      <c r="O326" s="9">
        <f>IFERROR(VLOOKUP(B326,cubo!$A$6:$BK$37,44,0)-VLOOKUP(conciliacao_custos!B326,#REF!,13,0),0)</f>
        <v>0</v>
      </c>
      <c r="P326" s="9">
        <f>IFERROR(VLOOKUP(B326,cubo!$A$6:$BK$37,47,0)-VLOOKUP(conciliacao_custos!B326,#REF!,14,0),0)</f>
        <v>0</v>
      </c>
      <c r="Q326" s="9">
        <f>IFERROR(VLOOKUP(B326,cubo!$A$6:$BK$37,58,0)-VLOOKUP(conciliacao_custos!B326,#REF!,16,0),0)</f>
        <v>0</v>
      </c>
      <c r="R326" s="9">
        <f>IFERROR(VLOOKUP(B326,cubo!$A$6:$BK$37,64,0)-VLOOKUP(conciliacao_custos!B326,#REF!,17,0),0)</f>
        <v>0</v>
      </c>
      <c r="S326" s="9">
        <f>IFERROR(VLOOKUP(B326,cubo!$A$6:$BK$37,61,0)-VLOOKUP(conciliacao_custos!B326,#REF!,15,0),0)</f>
        <v>0</v>
      </c>
    </row>
    <row r="327" spans="2:19" x14ac:dyDescent="0.25">
      <c r="B327" s="7">
        <f>[1]salario!A326</f>
        <v>0</v>
      </c>
      <c r="C327" s="8">
        <f>[1]salario!C326</f>
        <v>0</v>
      </c>
      <c r="D327" s="10">
        <f>IFERROR(VLOOKUP(B327,cubo!$A$6:$BE$37,6,0)-VLOOKUP(B327,#REF!,$D$2,0),0)</f>
        <v>0</v>
      </c>
      <c r="E327" s="10">
        <f>IFERROR(VLOOKUP(B327,cubo!$A$6:$BE$37,9,0)-VLOOKUP(B327,#REF!,$E$2,0),0)</f>
        <v>0</v>
      </c>
      <c r="F327" s="9">
        <f>IFERROR(VLOOKUP(B327,cubo!$A$6:$BE$37,12,0)-VLOOKUP(B327,#REF!,$F$2,0),0)</f>
        <v>0</v>
      </c>
      <c r="G327" s="9">
        <f>IFERROR(VLOOKUP(B327,cubo!$A$6:$BE$37,54,0)-VLOOKUP(B327,#REF!,$G$2,0),0)</f>
        <v>0</v>
      </c>
      <c r="H327" s="10">
        <f>IFERROR(VLOOKUP(B327,cubo!$A$6:$BE$37,15,0)-VLOOKUP(B327,#REF!,$H$2,0),0)</f>
        <v>0</v>
      </c>
      <c r="I327" s="9">
        <f>IFERROR(VLOOKUP(B327,cubo!$A$6:$BE$37,18,0)-VLOOKUP(B327,#REF!,$I$2,0),0)</f>
        <v>0</v>
      </c>
      <c r="J327" s="9">
        <f>IFERROR(VLOOKUP(B327,cubo!$A$6:$BE$37,24,0)-VLOOKUP(B327,#REF!,$J$2,0),0)</f>
        <v>0</v>
      </c>
      <c r="K327" s="9">
        <f>IFERROR(VLOOKUP(B327,cubo!$A$6:$BE$37,34,0)-VLOOKUP(B327,#REF!,$K$2,0),0)</f>
        <v>0</v>
      </c>
      <c r="L327" s="8">
        <f>IFERROR(VLOOKUP(B327,cubo!$A$6:$BE$37,38,0)-VLOOKUP(B327,#REF!,$L$2,0),0)</f>
        <v>0</v>
      </c>
      <c r="M327" s="15">
        <f>IFERROR(VLOOKUP(B327,cubo!$A$6:$BE$37,57,0)-VLOOKUP(B327,#REF!,$M$2,0),0)</f>
        <v>0</v>
      </c>
      <c r="N327" s="9">
        <f>IFERROR(VLOOKUP(B327,cubo!$A$6:$BK$37,41,0)-VLOOKUP(conciliacao_custos!B327,#REF!,18,0),0)</f>
        <v>0</v>
      </c>
      <c r="O327" s="9">
        <f>IFERROR(VLOOKUP(B327,cubo!$A$6:$BK$37,44,0)-VLOOKUP(conciliacao_custos!B327,#REF!,13,0),0)</f>
        <v>0</v>
      </c>
      <c r="P327" s="9">
        <f>IFERROR(VLOOKUP(B327,cubo!$A$6:$BK$37,47,0)-VLOOKUP(conciliacao_custos!B327,#REF!,14,0),0)</f>
        <v>0</v>
      </c>
      <c r="Q327" s="9">
        <f>IFERROR(VLOOKUP(B327,cubo!$A$6:$BK$37,58,0)-VLOOKUP(conciliacao_custos!B327,#REF!,16,0),0)</f>
        <v>0</v>
      </c>
      <c r="R327" s="9">
        <f>IFERROR(VLOOKUP(B327,cubo!$A$6:$BK$37,64,0)-VLOOKUP(conciliacao_custos!B327,#REF!,17,0),0)</f>
        <v>0</v>
      </c>
      <c r="S327" s="9">
        <f>IFERROR(VLOOKUP(B327,cubo!$A$6:$BK$37,61,0)-VLOOKUP(conciliacao_custos!B327,#REF!,15,0),0)</f>
        <v>0</v>
      </c>
    </row>
    <row r="328" spans="2:19" x14ac:dyDescent="0.25">
      <c r="B328" s="7">
        <f>[1]salario!A327</f>
        <v>0</v>
      </c>
      <c r="C328" s="8">
        <f>[1]salario!C327</f>
        <v>0</v>
      </c>
      <c r="D328" s="10">
        <f>IFERROR(VLOOKUP(B328,cubo!$A$6:$BE$37,6,0)-VLOOKUP(B328,#REF!,$D$2,0),0)</f>
        <v>0</v>
      </c>
      <c r="E328" s="10">
        <f>IFERROR(VLOOKUP(B328,cubo!$A$6:$BE$37,9,0)-VLOOKUP(B328,#REF!,$E$2,0),0)</f>
        <v>0</v>
      </c>
      <c r="F328" s="9">
        <f>IFERROR(VLOOKUP(B328,cubo!$A$6:$BE$37,12,0)-VLOOKUP(B328,#REF!,$F$2,0),0)</f>
        <v>0</v>
      </c>
      <c r="G328" s="9">
        <f>IFERROR(VLOOKUP(B328,cubo!$A$6:$BE$37,54,0)-VLOOKUP(B328,#REF!,$G$2,0),0)</f>
        <v>0</v>
      </c>
      <c r="H328" s="10">
        <f>IFERROR(VLOOKUP(B328,cubo!$A$6:$BE$37,15,0)-VLOOKUP(B328,#REF!,$H$2,0),0)</f>
        <v>0</v>
      </c>
      <c r="I328" s="9">
        <f>IFERROR(VLOOKUP(B328,cubo!$A$6:$BE$37,18,0)-VLOOKUP(B328,#REF!,$I$2,0),0)</f>
        <v>0</v>
      </c>
      <c r="J328" s="9">
        <f>IFERROR(VLOOKUP(B328,cubo!$A$6:$BE$37,24,0)-VLOOKUP(B328,#REF!,$J$2,0),0)</f>
        <v>0</v>
      </c>
      <c r="K328" s="9">
        <f>IFERROR(VLOOKUP(B328,cubo!$A$6:$BE$37,34,0)-VLOOKUP(B328,#REF!,$K$2,0),0)</f>
        <v>0</v>
      </c>
      <c r="L328" s="8">
        <f>IFERROR(VLOOKUP(B328,cubo!$A$6:$BE$37,38,0)-VLOOKUP(B328,#REF!,$L$2,0),0)</f>
        <v>0</v>
      </c>
      <c r="M328" s="15">
        <f>IFERROR(VLOOKUP(B328,cubo!$A$6:$BE$37,57,0)-VLOOKUP(B328,#REF!,$M$2,0),0)</f>
        <v>0</v>
      </c>
      <c r="N328" s="9">
        <f>IFERROR(VLOOKUP(B328,cubo!$A$6:$BK$37,41,0)-VLOOKUP(conciliacao_custos!B328,#REF!,18,0),0)</f>
        <v>0</v>
      </c>
      <c r="O328" s="9">
        <f>IFERROR(VLOOKUP(B328,cubo!$A$6:$BK$37,44,0)-VLOOKUP(conciliacao_custos!B328,#REF!,13,0),0)</f>
        <v>0</v>
      </c>
      <c r="P328" s="9">
        <f>IFERROR(VLOOKUP(B328,cubo!$A$6:$BK$37,47,0)-VLOOKUP(conciliacao_custos!B328,#REF!,14,0),0)</f>
        <v>0</v>
      </c>
      <c r="Q328" s="9">
        <f>IFERROR(VLOOKUP(B328,cubo!$A$6:$BK$37,58,0)-VLOOKUP(conciliacao_custos!B328,#REF!,16,0),0)</f>
        <v>0</v>
      </c>
      <c r="R328" s="9">
        <f>IFERROR(VLOOKUP(B328,cubo!$A$6:$BK$37,64,0)-VLOOKUP(conciliacao_custos!B328,#REF!,17,0),0)</f>
        <v>0</v>
      </c>
      <c r="S328" s="9">
        <f>IFERROR(VLOOKUP(B328,cubo!$A$6:$BK$37,61,0)-VLOOKUP(conciliacao_custos!B328,#REF!,15,0),0)</f>
        <v>0</v>
      </c>
    </row>
    <row r="329" spans="2:19" x14ac:dyDescent="0.25">
      <c r="B329" s="7">
        <f>[1]salario!A328</f>
        <v>0</v>
      </c>
      <c r="C329" s="8">
        <f>[1]salario!C328</f>
        <v>0</v>
      </c>
      <c r="D329" s="10">
        <f>IFERROR(VLOOKUP(B329,cubo!$A$6:$BE$37,6,0)-VLOOKUP(B329,#REF!,$D$2,0),0)</f>
        <v>0</v>
      </c>
      <c r="E329" s="10">
        <f>IFERROR(VLOOKUP(B329,cubo!$A$6:$BE$37,9,0)-VLOOKUP(B329,#REF!,$E$2,0),0)</f>
        <v>0</v>
      </c>
      <c r="F329" s="9">
        <f>IFERROR(VLOOKUP(B329,cubo!$A$6:$BE$37,12,0)-VLOOKUP(B329,#REF!,$F$2,0),0)</f>
        <v>0</v>
      </c>
      <c r="G329" s="9">
        <f>IFERROR(VLOOKUP(B329,cubo!$A$6:$BE$37,54,0)-VLOOKUP(B329,#REF!,$G$2,0),0)</f>
        <v>0</v>
      </c>
      <c r="H329" s="10">
        <f>IFERROR(VLOOKUP(B329,cubo!$A$6:$BE$37,15,0)-VLOOKUP(B329,#REF!,$H$2,0),0)</f>
        <v>0</v>
      </c>
      <c r="I329" s="9">
        <f>IFERROR(VLOOKUP(B329,cubo!$A$6:$BE$37,18,0)-VLOOKUP(B329,#REF!,$I$2,0),0)</f>
        <v>0</v>
      </c>
      <c r="J329" s="9">
        <f>IFERROR(VLOOKUP(B329,cubo!$A$6:$BE$37,24,0)-VLOOKUP(B329,#REF!,$J$2,0),0)</f>
        <v>0</v>
      </c>
      <c r="K329" s="9">
        <f>IFERROR(VLOOKUP(B329,cubo!$A$6:$BE$37,34,0)-VLOOKUP(B329,#REF!,$K$2,0),0)</f>
        <v>0</v>
      </c>
      <c r="L329" s="8">
        <f>IFERROR(VLOOKUP(B329,cubo!$A$6:$BE$37,38,0)-VLOOKUP(B329,#REF!,$L$2,0),0)</f>
        <v>0</v>
      </c>
      <c r="M329" s="15">
        <f>IFERROR(VLOOKUP(B329,cubo!$A$6:$BE$37,57,0)-VLOOKUP(B329,#REF!,$M$2,0),0)</f>
        <v>0</v>
      </c>
      <c r="N329" s="9">
        <f>IFERROR(VLOOKUP(B329,cubo!$A$6:$BK$37,41,0)-VLOOKUP(conciliacao_custos!B329,#REF!,18,0),0)</f>
        <v>0</v>
      </c>
      <c r="O329" s="9">
        <f>IFERROR(VLOOKUP(B329,cubo!$A$6:$BK$37,44,0)-VLOOKUP(conciliacao_custos!B329,#REF!,13,0),0)</f>
        <v>0</v>
      </c>
      <c r="P329" s="9">
        <f>IFERROR(VLOOKUP(B329,cubo!$A$6:$BK$37,47,0)-VLOOKUP(conciliacao_custos!B329,#REF!,14,0),0)</f>
        <v>0</v>
      </c>
      <c r="Q329" s="9">
        <f>IFERROR(VLOOKUP(B329,cubo!$A$6:$BK$37,58,0)-VLOOKUP(conciliacao_custos!B329,#REF!,16,0),0)</f>
        <v>0</v>
      </c>
      <c r="R329" s="9">
        <f>IFERROR(VLOOKUP(B329,cubo!$A$6:$BK$37,64,0)-VLOOKUP(conciliacao_custos!B329,#REF!,17,0),0)</f>
        <v>0</v>
      </c>
      <c r="S329" s="9">
        <f>IFERROR(VLOOKUP(B329,cubo!$A$6:$BK$37,61,0)-VLOOKUP(conciliacao_custos!B329,#REF!,15,0),0)</f>
        <v>0</v>
      </c>
    </row>
    <row r="330" spans="2:19" x14ac:dyDescent="0.25">
      <c r="B330" s="7">
        <f>[1]salario!A329</f>
        <v>0</v>
      </c>
      <c r="C330" s="8">
        <f>[1]salario!C329</f>
        <v>0</v>
      </c>
      <c r="D330" s="10">
        <f>IFERROR(VLOOKUP(B330,cubo!$A$6:$BE$37,6,0)-VLOOKUP(B330,#REF!,$D$2,0),0)</f>
        <v>0</v>
      </c>
      <c r="E330" s="10">
        <f>IFERROR(VLOOKUP(B330,cubo!$A$6:$BE$37,9,0)-VLOOKUP(B330,#REF!,$E$2,0),0)</f>
        <v>0</v>
      </c>
      <c r="F330" s="9">
        <f>IFERROR(VLOOKUP(B330,cubo!$A$6:$BE$37,12,0)-VLOOKUP(B330,#REF!,$F$2,0),0)</f>
        <v>0</v>
      </c>
      <c r="G330" s="9">
        <f>IFERROR(VLOOKUP(B330,cubo!$A$6:$BE$37,54,0)-VLOOKUP(B330,#REF!,$G$2,0),0)</f>
        <v>0</v>
      </c>
      <c r="H330" s="10">
        <f>IFERROR(VLOOKUP(B330,cubo!$A$6:$BE$37,15,0)-VLOOKUP(B330,#REF!,$H$2,0),0)</f>
        <v>0</v>
      </c>
      <c r="I330" s="9">
        <f>IFERROR(VLOOKUP(B330,cubo!$A$6:$BE$37,18,0)-VLOOKUP(B330,#REF!,$I$2,0),0)</f>
        <v>0</v>
      </c>
      <c r="J330" s="9">
        <f>IFERROR(VLOOKUP(B330,cubo!$A$6:$BE$37,24,0)-VLOOKUP(B330,#REF!,$J$2,0),0)</f>
        <v>0</v>
      </c>
      <c r="K330" s="9">
        <f>IFERROR(VLOOKUP(B330,cubo!$A$6:$BE$37,34,0)-VLOOKUP(B330,#REF!,$K$2,0),0)</f>
        <v>0</v>
      </c>
      <c r="L330" s="8">
        <f>IFERROR(VLOOKUP(B330,cubo!$A$6:$BE$37,38,0)-VLOOKUP(B330,#REF!,$L$2,0),0)</f>
        <v>0</v>
      </c>
      <c r="M330" s="15">
        <f>IFERROR(VLOOKUP(B330,cubo!$A$6:$BE$37,57,0)-VLOOKUP(B330,#REF!,$M$2,0),0)</f>
        <v>0</v>
      </c>
      <c r="N330" s="9">
        <f>IFERROR(VLOOKUP(B330,cubo!$A$6:$BK$37,41,0)-VLOOKUP(conciliacao_custos!B330,#REF!,18,0),0)</f>
        <v>0</v>
      </c>
      <c r="O330" s="9">
        <f>IFERROR(VLOOKUP(B330,cubo!$A$6:$BK$37,44,0)-VLOOKUP(conciliacao_custos!B330,#REF!,13,0),0)</f>
        <v>0</v>
      </c>
      <c r="P330" s="9">
        <f>IFERROR(VLOOKUP(B330,cubo!$A$6:$BK$37,47,0)-VLOOKUP(conciliacao_custos!B330,#REF!,14,0),0)</f>
        <v>0</v>
      </c>
      <c r="Q330" s="9">
        <f>IFERROR(VLOOKUP(B330,cubo!$A$6:$BK$37,58,0)-VLOOKUP(conciliacao_custos!B330,#REF!,16,0),0)</f>
        <v>0</v>
      </c>
      <c r="R330" s="9">
        <f>IFERROR(VLOOKUP(B330,cubo!$A$6:$BK$37,64,0)-VLOOKUP(conciliacao_custos!B330,#REF!,17,0),0)</f>
        <v>0</v>
      </c>
      <c r="S330" s="9">
        <f>IFERROR(VLOOKUP(B330,cubo!$A$6:$BK$37,61,0)-VLOOKUP(conciliacao_custos!B330,#REF!,15,0),0)</f>
        <v>0</v>
      </c>
    </row>
    <row r="331" spans="2:19" x14ac:dyDescent="0.25">
      <c r="B331" s="7">
        <f>[1]salario!A330</f>
        <v>0</v>
      </c>
      <c r="C331" s="8">
        <f>[1]salario!C330</f>
        <v>0</v>
      </c>
      <c r="D331" s="10">
        <f>IFERROR(VLOOKUP(B331,cubo!$A$6:$BE$37,6,0)-VLOOKUP(B331,#REF!,$D$2,0),0)</f>
        <v>0</v>
      </c>
      <c r="E331" s="10">
        <f>IFERROR(VLOOKUP(B331,cubo!$A$6:$BE$37,9,0)-VLOOKUP(B331,#REF!,$E$2,0),0)</f>
        <v>0</v>
      </c>
      <c r="F331" s="9">
        <f>IFERROR(VLOOKUP(B331,cubo!$A$6:$BE$37,12,0)-VLOOKUP(B331,#REF!,$F$2,0),0)</f>
        <v>0</v>
      </c>
      <c r="G331" s="9">
        <f>IFERROR(VLOOKUP(B331,cubo!$A$6:$BE$37,54,0)-VLOOKUP(B331,#REF!,$G$2,0),0)</f>
        <v>0</v>
      </c>
      <c r="H331" s="10">
        <f>IFERROR(VLOOKUP(B331,cubo!$A$6:$BE$37,15,0)-VLOOKUP(B331,#REF!,$H$2,0),0)</f>
        <v>0</v>
      </c>
      <c r="I331" s="9">
        <f>IFERROR(VLOOKUP(B331,cubo!$A$6:$BE$37,18,0)-VLOOKUP(B331,#REF!,$I$2,0),0)</f>
        <v>0</v>
      </c>
      <c r="J331" s="9">
        <f>IFERROR(VLOOKUP(B331,cubo!$A$6:$BE$37,24,0)-VLOOKUP(B331,#REF!,$J$2,0),0)</f>
        <v>0</v>
      </c>
      <c r="K331" s="9">
        <f>IFERROR(VLOOKUP(B331,cubo!$A$6:$BE$37,34,0)-VLOOKUP(B331,#REF!,$K$2,0),0)</f>
        <v>0</v>
      </c>
      <c r="L331" s="8">
        <f>IFERROR(VLOOKUP(B331,cubo!$A$6:$BE$37,38,0)-VLOOKUP(B331,#REF!,$L$2,0),0)</f>
        <v>0</v>
      </c>
      <c r="M331" s="15">
        <f>IFERROR(VLOOKUP(B331,cubo!$A$6:$BE$37,57,0)-VLOOKUP(B331,#REF!,$M$2,0),0)</f>
        <v>0</v>
      </c>
      <c r="N331" s="9">
        <f>IFERROR(VLOOKUP(B331,cubo!$A$6:$BK$37,41,0)-VLOOKUP(conciliacao_custos!B331,#REF!,18,0),0)</f>
        <v>0</v>
      </c>
      <c r="O331" s="9">
        <f>IFERROR(VLOOKUP(B331,cubo!$A$6:$BK$37,44,0)-VLOOKUP(conciliacao_custos!B331,#REF!,13,0),0)</f>
        <v>0</v>
      </c>
      <c r="P331" s="9">
        <f>IFERROR(VLOOKUP(B331,cubo!$A$6:$BK$37,47,0)-VLOOKUP(conciliacao_custos!B331,#REF!,14,0),0)</f>
        <v>0</v>
      </c>
      <c r="Q331" s="9">
        <f>IFERROR(VLOOKUP(B331,cubo!$A$6:$BK$37,58,0)-VLOOKUP(conciliacao_custos!B331,#REF!,16,0),0)</f>
        <v>0</v>
      </c>
      <c r="R331" s="9">
        <f>IFERROR(VLOOKUP(B331,cubo!$A$6:$BK$37,64,0)-VLOOKUP(conciliacao_custos!B331,#REF!,17,0),0)</f>
        <v>0</v>
      </c>
      <c r="S331" s="9">
        <f>IFERROR(VLOOKUP(B331,cubo!$A$6:$BK$37,61,0)-VLOOKUP(conciliacao_custos!B331,#REF!,15,0),0)</f>
        <v>0</v>
      </c>
    </row>
    <row r="332" spans="2:19" x14ac:dyDescent="0.25">
      <c r="B332" s="7">
        <f>[1]salario!A331</f>
        <v>0</v>
      </c>
      <c r="C332" s="8">
        <f>[1]salario!C331</f>
        <v>0</v>
      </c>
      <c r="D332" s="10">
        <f>IFERROR(VLOOKUP(B332,cubo!$A$6:$BE$37,6,0)-VLOOKUP(B332,#REF!,$D$2,0),0)</f>
        <v>0</v>
      </c>
      <c r="E332" s="10">
        <f>IFERROR(VLOOKUP(B332,cubo!$A$6:$BE$37,9,0)-VLOOKUP(B332,#REF!,$E$2,0),0)</f>
        <v>0</v>
      </c>
      <c r="F332" s="9">
        <f>IFERROR(VLOOKUP(B332,cubo!$A$6:$BE$37,12,0)-VLOOKUP(B332,#REF!,$F$2,0),0)</f>
        <v>0</v>
      </c>
      <c r="G332" s="9">
        <f>IFERROR(VLOOKUP(B332,cubo!$A$6:$BE$37,54,0)-VLOOKUP(B332,#REF!,$G$2,0),0)</f>
        <v>0</v>
      </c>
      <c r="H332" s="10">
        <f>IFERROR(VLOOKUP(B332,cubo!$A$6:$BE$37,15,0)-VLOOKUP(B332,#REF!,$H$2,0),0)</f>
        <v>0</v>
      </c>
      <c r="I332" s="9">
        <f>IFERROR(VLOOKUP(B332,cubo!$A$6:$BE$37,18,0)-VLOOKUP(B332,#REF!,$I$2,0),0)</f>
        <v>0</v>
      </c>
      <c r="J332" s="9">
        <f>IFERROR(VLOOKUP(B332,cubo!$A$6:$BE$37,24,0)-VLOOKUP(B332,#REF!,$J$2,0),0)</f>
        <v>0</v>
      </c>
      <c r="K332" s="9">
        <f>IFERROR(VLOOKUP(B332,cubo!$A$6:$BE$37,34,0)-VLOOKUP(B332,#REF!,$K$2,0),0)</f>
        <v>0</v>
      </c>
      <c r="L332" s="8">
        <f>IFERROR(VLOOKUP(B332,cubo!$A$6:$BE$37,38,0)-VLOOKUP(B332,#REF!,$L$2,0),0)</f>
        <v>0</v>
      </c>
      <c r="M332" s="15">
        <f>IFERROR(VLOOKUP(B332,cubo!$A$6:$BE$37,57,0)-VLOOKUP(B332,#REF!,$M$2,0),0)</f>
        <v>0</v>
      </c>
      <c r="N332" s="9">
        <f>IFERROR(VLOOKUP(B332,cubo!$A$6:$BK$37,41,0)-VLOOKUP(conciliacao_custos!B332,#REF!,18,0),0)</f>
        <v>0</v>
      </c>
      <c r="O332" s="9">
        <f>IFERROR(VLOOKUP(B332,cubo!$A$6:$BK$37,44,0)-VLOOKUP(conciliacao_custos!B332,#REF!,13,0),0)</f>
        <v>0</v>
      </c>
      <c r="P332" s="9">
        <f>IFERROR(VLOOKUP(B332,cubo!$A$6:$BK$37,47,0)-VLOOKUP(conciliacao_custos!B332,#REF!,14,0),0)</f>
        <v>0</v>
      </c>
      <c r="Q332" s="9">
        <f>IFERROR(VLOOKUP(B332,cubo!$A$6:$BK$37,58,0)-VLOOKUP(conciliacao_custos!B332,#REF!,16,0),0)</f>
        <v>0</v>
      </c>
      <c r="R332" s="9">
        <f>IFERROR(VLOOKUP(B332,cubo!$A$6:$BK$37,64,0)-VLOOKUP(conciliacao_custos!B332,#REF!,17,0),0)</f>
        <v>0</v>
      </c>
      <c r="S332" s="9">
        <f>IFERROR(VLOOKUP(B332,cubo!$A$6:$BK$37,61,0)-VLOOKUP(conciliacao_custos!B332,#REF!,15,0),0)</f>
        <v>0</v>
      </c>
    </row>
    <row r="333" spans="2:19" x14ac:dyDescent="0.25">
      <c r="B333" s="7">
        <f>[1]salario!A332</f>
        <v>0</v>
      </c>
      <c r="C333" s="8">
        <f>[1]salario!C332</f>
        <v>0</v>
      </c>
      <c r="D333" s="10">
        <f>IFERROR(VLOOKUP(B333,cubo!$A$6:$BE$37,6,0)-VLOOKUP(B333,#REF!,$D$2,0),0)</f>
        <v>0</v>
      </c>
      <c r="E333" s="10">
        <f>IFERROR(VLOOKUP(B333,cubo!$A$6:$BE$37,9,0)-VLOOKUP(B333,#REF!,$E$2,0),0)</f>
        <v>0</v>
      </c>
      <c r="F333" s="9">
        <f>IFERROR(VLOOKUP(B333,cubo!$A$6:$BE$37,12,0)-VLOOKUP(B333,#REF!,$F$2,0),0)</f>
        <v>0</v>
      </c>
      <c r="G333" s="9">
        <f>IFERROR(VLOOKUP(B333,cubo!$A$6:$BE$37,54,0)-VLOOKUP(B333,#REF!,$G$2,0),0)</f>
        <v>0</v>
      </c>
      <c r="H333" s="10">
        <f>IFERROR(VLOOKUP(B333,cubo!$A$6:$BE$37,15,0)-VLOOKUP(B333,#REF!,$H$2,0),0)</f>
        <v>0</v>
      </c>
      <c r="I333" s="9">
        <f>IFERROR(VLOOKUP(B333,cubo!$A$6:$BE$37,18,0)-VLOOKUP(B333,#REF!,$I$2,0),0)</f>
        <v>0</v>
      </c>
      <c r="J333" s="9">
        <f>IFERROR(VLOOKUP(B333,cubo!$A$6:$BE$37,24,0)-VLOOKUP(B333,#REF!,$J$2,0),0)</f>
        <v>0</v>
      </c>
      <c r="K333" s="9">
        <f>IFERROR(VLOOKUP(B333,cubo!$A$6:$BE$37,34,0)-VLOOKUP(B333,#REF!,$K$2,0),0)</f>
        <v>0</v>
      </c>
      <c r="L333" s="8">
        <f>IFERROR(VLOOKUP(B333,cubo!$A$6:$BE$37,38,0)-VLOOKUP(B333,#REF!,$L$2,0),0)</f>
        <v>0</v>
      </c>
      <c r="M333" s="15">
        <f>IFERROR(VLOOKUP(B333,cubo!$A$6:$BE$37,57,0)-VLOOKUP(B333,#REF!,$M$2,0),0)</f>
        <v>0</v>
      </c>
      <c r="N333" s="9">
        <f>IFERROR(VLOOKUP(B333,cubo!$A$6:$BK$37,41,0)-VLOOKUP(conciliacao_custos!B333,#REF!,18,0),0)</f>
        <v>0</v>
      </c>
      <c r="O333" s="9">
        <f>IFERROR(VLOOKUP(B333,cubo!$A$6:$BK$37,44,0)-VLOOKUP(conciliacao_custos!B333,#REF!,13,0),0)</f>
        <v>0</v>
      </c>
      <c r="P333" s="9">
        <f>IFERROR(VLOOKUP(B333,cubo!$A$6:$BK$37,47,0)-VLOOKUP(conciliacao_custos!B333,#REF!,14,0),0)</f>
        <v>0</v>
      </c>
      <c r="Q333" s="9">
        <f>IFERROR(VLOOKUP(B333,cubo!$A$6:$BK$37,58,0)-VLOOKUP(conciliacao_custos!B333,#REF!,16,0),0)</f>
        <v>0</v>
      </c>
      <c r="R333" s="9">
        <f>IFERROR(VLOOKUP(B333,cubo!$A$6:$BK$37,64,0)-VLOOKUP(conciliacao_custos!B333,#REF!,17,0),0)</f>
        <v>0</v>
      </c>
      <c r="S333" s="9">
        <f>IFERROR(VLOOKUP(B333,cubo!$A$6:$BK$37,61,0)-VLOOKUP(conciliacao_custos!B333,#REF!,15,0),0)</f>
        <v>0</v>
      </c>
    </row>
    <row r="334" spans="2:19" x14ac:dyDescent="0.25">
      <c r="B334" s="7">
        <f>[1]salario!A333</f>
        <v>0</v>
      </c>
      <c r="C334" s="8">
        <f>[1]salario!C333</f>
        <v>0</v>
      </c>
      <c r="D334" s="10">
        <f>IFERROR(VLOOKUP(B334,cubo!$A$6:$BE$37,6,0)-VLOOKUP(B334,#REF!,$D$2,0),0)</f>
        <v>0</v>
      </c>
      <c r="E334" s="10">
        <f>IFERROR(VLOOKUP(B334,cubo!$A$6:$BE$37,9,0)-VLOOKUP(B334,#REF!,$E$2,0),0)</f>
        <v>0</v>
      </c>
      <c r="F334" s="9">
        <f>IFERROR(VLOOKUP(B334,cubo!$A$6:$BE$37,12,0)-VLOOKUP(B334,#REF!,$F$2,0),0)</f>
        <v>0</v>
      </c>
      <c r="G334" s="9">
        <f>IFERROR(VLOOKUP(B334,cubo!$A$6:$BE$37,54,0)-VLOOKUP(B334,#REF!,$G$2,0),0)</f>
        <v>0</v>
      </c>
      <c r="H334" s="10">
        <f>IFERROR(VLOOKUP(B334,cubo!$A$6:$BE$37,15,0)-VLOOKUP(B334,#REF!,$H$2,0),0)</f>
        <v>0</v>
      </c>
      <c r="I334" s="9">
        <f>IFERROR(VLOOKUP(B334,cubo!$A$6:$BE$37,18,0)-VLOOKUP(B334,#REF!,$I$2,0),0)</f>
        <v>0</v>
      </c>
      <c r="J334" s="9">
        <f>IFERROR(VLOOKUP(B334,cubo!$A$6:$BE$37,24,0)-VLOOKUP(B334,#REF!,$J$2,0),0)</f>
        <v>0</v>
      </c>
      <c r="K334" s="9">
        <f>IFERROR(VLOOKUP(B334,cubo!$A$6:$BE$37,34,0)-VLOOKUP(B334,#REF!,$K$2,0),0)</f>
        <v>0</v>
      </c>
      <c r="L334" s="8">
        <f>IFERROR(VLOOKUP(B334,cubo!$A$6:$BE$37,38,0)-VLOOKUP(B334,#REF!,$L$2,0),0)</f>
        <v>0</v>
      </c>
      <c r="M334" s="15">
        <f>IFERROR(VLOOKUP(B334,cubo!$A$6:$BE$37,57,0)-VLOOKUP(B334,#REF!,$M$2,0),0)</f>
        <v>0</v>
      </c>
      <c r="N334" s="9">
        <f>IFERROR(VLOOKUP(B334,cubo!$A$6:$BK$37,41,0)-VLOOKUP(conciliacao_custos!B334,#REF!,18,0),0)</f>
        <v>0</v>
      </c>
      <c r="O334" s="9">
        <f>IFERROR(VLOOKUP(B334,cubo!$A$6:$BK$37,44,0)-VLOOKUP(conciliacao_custos!B334,#REF!,13,0),0)</f>
        <v>0</v>
      </c>
      <c r="P334" s="9">
        <f>IFERROR(VLOOKUP(B334,cubo!$A$6:$BK$37,47,0)-VLOOKUP(conciliacao_custos!B334,#REF!,14,0),0)</f>
        <v>0</v>
      </c>
      <c r="Q334" s="9">
        <f>IFERROR(VLOOKUP(B334,cubo!$A$6:$BK$37,58,0)-VLOOKUP(conciliacao_custos!B334,#REF!,16,0),0)</f>
        <v>0</v>
      </c>
      <c r="R334" s="9">
        <f>IFERROR(VLOOKUP(B334,cubo!$A$6:$BK$37,64,0)-VLOOKUP(conciliacao_custos!B334,#REF!,17,0),0)</f>
        <v>0</v>
      </c>
      <c r="S334" s="9">
        <f>IFERROR(VLOOKUP(B334,cubo!$A$6:$BK$37,61,0)-VLOOKUP(conciliacao_custos!B334,#REF!,15,0),0)</f>
        <v>0</v>
      </c>
    </row>
    <row r="335" spans="2:19" x14ac:dyDescent="0.25">
      <c r="B335" s="7">
        <f>[1]salario!A334</f>
        <v>0</v>
      </c>
      <c r="C335" s="8">
        <f>[1]salario!C334</f>
        <v>0</v>
      </c>
      <c r="D335" s="10">
        <f>IFERROR(VLOOKUP(B335,cubo!$A$6:$BE$37,6,0)-VLOOKUP(B335,#REF!,$D$2,0),0)</f>
        <v>0</v>
      </c>
      <c r="E335" s="10">
        <f>IFERROR(VLOOKUP(B335,cubo!$A$6:$BE$37,9,0)-VLOOKUP(B335,#REF!,$E$2,0),0)</f>
        <v>0</v>
      </c>
      <c r="F335" s="9">
        <f>IFERROR(VLOOKUP(B335,cubo!$A$6:$BE$37,12,0)-VLOOKUP(B335,#REF!,$F$2,0),0)</f>
        <v>0</v>
      </c>
      <c r="G335" s="9">
        <f>IFERROR(VLOOKUP(B335,cubo!$A$6:$BE$37,54,0)-VLOOKUP(B335,#REF!,$G$2,0),0)</f>
        <v>0</v>
      </c>
      <c r="H335" s="10">
        <f>IFERROR(VLOOKUP(B335,cubo!$A$6:$BE$37,15,0)-VLOOKUP(B335,#REF!,$H$2,0),0)</f>
        <v>0</v>
      </c>
      <c r="I335" s="9">
        <f>IFERROR(VLOOKUP(B335,cubo!$A$6:$BE$37,18,0)-VLOOKUP(B335,#REF!,$I$2,0),0)</f>
        <v>0</v>
      </c>
      <c r="J335" s="9">
        <f>IFERROR(VLOOKUP(B335,cubo!$A$6:$BE$37,24,0)-VLOOKUP(B335,#REF!,$J$2,0),0)</f>
        <v>0</v>
      </c>
      <c r="K335" s="9">
        <f>IFERROR(VLOOKUP(B335,cubo!$A$6:$BE$37,34,0)-VLOOKUP(B335,#REF!,$K$2,0),0)</f>
        <v>0</v>
      </c>
      <c r="L335" s="8">
        <f>IFERROR(VLOOKUP(B335,cubo!$A$6:$BE$37,38,0)-VLOOKUP(B335,#REF!,$L$2,0),0)</f>
        <v>0</v>
      </c>
      <c r="M335" s="15">
        <f>IFERROR(VLOOKUP(B335,cubo!$A$6:$BE$37,57,0)-VLOOKUP(B335,#REF!,$M$2,0),0)</f>
        <v>0</v>
      </c>
      <c r="N335" s="9">
        <f>IFERROR(VLOOKUP(B335,cubo!$A$6:$BK$37,41,0)-VLOOKUP(conciliacao_custos!B335,#REF!,18,0),0)</f>
        <v>0</v>
      </c>
      <c r="O335" s="9">
        <f>IFERROR(VLOOKUP(B335,cubo!$A$6:$BK$37,44,0)-VLOOKUP(conciliacao_custos!B335,#REF!,13,0),0)</f>
        <v>0</v>
      </c>
      <c r="P335" s="9">
        <f>IFERROR(VLOOKUP(B335,cubo!$A$6:$BK$37,47,0)-VLOOKUP(conciliacao_custos!B335,#REF!,14,0),0)</f>
        <v>0</v>
      </c>
      <c r="Q335" s="9">
        <f>IFERROR(VLOOKUP(B335,cubo!$A$6:$BK$37,58,0)-VLOOKUP(conciliacao_custos!B335,#REF!,16,0),0)</f>
        <v>0</v>
      </c>
      <c r="R335" s="9">
        <f>IFERROR(VLOOKUP(B335,cubo!$A$6:$BK$37,64,0)-VLOOKUP(conciliacao_custos!B335,#REF!,17,0),0)</f>
        <v>0</v>
      </c>
      <c r="S335" s="9">
        <f>IFERROR(VLOOKUP(B335,cubo!$A$6:$BK$37,61,0)-VLOOKUP(conciliacao_custos!B335,#REF!,15,0),0)</f>
        <v>0</v>
      </c>
    </row>
    <row r="336" spans="2:19" x14ac:dyDescent="0.25">
      <c r="B336" s="7">
        <f>[1]salario!A335</f>
        <v>0</v>
      </c>
      <c r="C336" s="8">
        <f>[1]salario!C335</f>
        <v>0</v>
      </c>
      <c r="D336" s="10">
        <f>IFERROR(VLOOKUP(B336,cubo!$A$6:$BE$37,6,0)-VLOOKUP(B336,#REF!,$D$2,0),0)</f>
        <v>0</v>
      </c>
      <c r="E336" s="10">
        <f>IFERROR(VLOOKUP(B336,cubo!$A$6:$BE$37,9,0)-VLOOKUP(B336,#REF!,$E$2,0),0)</f>
        <v>0</v>
      </c>
      <c r="F336" s="9">
        <f>IFERROR(VLOOKUP(B336,cubo!$A$6:$BE$37,12,0)-VLOOKUP(B336,#REF!,$F$2,0),0)</f>
        <v>0</v>
      </c>
      <c r="G336" s="9">
        <f>IFERROR(VLOOKUP(B336,cubo!$A$6:$BE$37,54,0)-VLOOKUP(B336,#REF!,$G$2,0),0)</f>
        <v>0</v>
      </c>
      <c r="H336" s="10">
        <f>IFERROR(VLOOKUP(B336,cubo!$A$6:$BE$37,15,0)-VLOOKUP(B336,#REF!,$H$2,0),0)</f>
        <v>0</v>
      </c>
      <c r="I336" s="9">
        <f>IFERROR(VLOOKUP(B336,cubo!$A$6:$BE$37,18,0)-VLOOKUP(B336,#REF!,$I$2,0),0)</f>
        <v>0</v>
      </c>
      <c r="J336" s="9">
        <f>IFERROR(VLOOKUP(B336,cubo!$A$6:$BE$37,24,0)-VLOOKUP(B336,#REF!,$J$2,0),0)</f>
        <v>0</v>
      </c>
      <c r="K336" s="9">
        <f>IFERROR(VLOOKUP(B336,cubo!$A$6:$BE$37,34,0)-VLOOKUP(B336,#REF!,$K$2,0),0)</f>
        <v>0</v>
      </c>
      <c r="L336" s="8">
        <f>IFERROR(VLOOKUP(B336,cubo!$A$6:$BE$37,38,0)-VLOOKUP(B336,#REF!,$L$2,0),0)</f>
        <v>0</v>
      </c>
      <c r="M336" s="15">
        <f>IFERROR(VLOOKUP(B336,cubo!$A$6:$BE$37,57,0)-VLOOKUP(B336,#REF!,$M$2,0),0)</f>
        <v>0</v>
      </c>
      <c r="N336" s="9">
        <f>IFERROR(VLOOKUP(B336,cubo!$A$6:$BK$37,41,0)-VLOOKUP(conciliacao_custos!B336,#REF!,18,0),0)</f>
        <v>0</v>
      </c>
      <c r="O336" s="9">
        <f>IFERROR(VLOOKUP(B336,cubo!$A$6:$BK$37,44,0)-VLOOKUP(conciliacao_custos!B336,#REF!,13,0),0)</f>
        <v>0</v>
      </c>
      <c r="P336" s="9">
        <f>IFERROR(VLOOKUP(B336,cubo!$A$6:$BK$37,47,0)-VLOOKUP(conciliacao_custos!B336,#REF!,14,0),0)</f>
        <v>0</v>
      </c>
      <c r="Q336" s="9">
        <f>IFERROR(VLOOKUP(B336,cubo!$A$6:$BK$37,58,0)-VLOOKUP(conciliacao_custos!B336,#REF!,16,0),0)</f>
        <v>0</v>
      </c>
      <c r="R336" s="9">
        <f>IFERROR(VLOOKUP(B336,cubo!$A$6:$BK$37,64,0)-VLOOKUP(conciliacao_custos!B336,#REF!,17,0),0)</f>
        <v>0</v>
      </c>
      <c r="S336" s="9">
        <f>IFERROR(VLOOKUP(B336,cubo!$A$6:$BK$37,61,0)-VLOOKUP(conciliacao_custos!B336,#REF!,15,0),0)</f>
        <v>0</v>
      </c>
    </row>
    <row r="337" spans="2:19" x14ac:dyDescent="0.25">
      <c r="B337" s="7">
        <f>[1]salario!A336</f>
        <v>0</v>
      </c>
      <c r="C337" s="8">
        <f>[1]salario!C336</f>
        <v>0</v>
      </c>
      <c r="D337" s="10">
        <f>IFERROR(VLOOKUP(B337,cubo!$A$6:$BE$37,6,0)-VLOOKUP(B337,#REF!,$D$2,0),0)</f>
        <v>0</v>
      </c>
      <c r="E337" s="10">
        <f>IFERROR(VLOOKUP(B337,cubo!$A$6:$BE$37,9,0)-VLOOKUP(B337,#REF!,$E$2,0),0)</f>
        <v>0</v>
      </c>
      <c r="F337" s="9">
        <f>IFERROR(VLOOKUP(B337,cubo!$A$6:$BE$37,12,0)-VLOOKUP(B337,#REF!,$F$2,0),0)</f>
        <v>0</v>
      </c>
      <c r="G337" s="9">
        <f>IFERROR(VLOOKUP(B337,cubo!$A$6:$BE$37,54,0)-VLOOKUP(B337,#REF!,$G$2,0),0)</f>
        <v>0</v>
      </c>
      <c r="H337" s="10">
        <f>IFERROR(VLOOKUP(B337,cubo!$A$6:$BE$37,15,0)-VLOOKUP(B337,#REF!,$H$2,0),0)</f>
        <v>0</v>
      </c>
      <c r="I337" s="9">
        <f>IFERROR(VLOOKUP(B337,cubo!$A$6:$BE$37,18,0)-VLOOKUP(B337,#REF!,$I$2,0),0)</f>
        <v>0</v>
      </c>
      <c r="J337" s="9">
        <f>IFERROR(VLOOKUP(B337,cubo!$A$6:$BE$37,24,0)-VLOOKUP(B337,#REF!,$J$2,0),0)</f>
        <v>0</v>
      </c>
      <c r="K337" s="9">
        <f>IFERROR(VLOOKUP(B337,cubo!$A$6:$BE$37,34,0)-VLOOKUP(B337,#REF!,$K$2,0),0)</f>
        <v>0</v>
      </c>
      <c r="L337" s="8">
        <f>IFERROR(VLOOKUP(B337,cubo!$A$6:$BE$37,38,0)-VLOOKUP(B337,#REF!,$L$2,0),0)</f>
        <v>0</v>
      </c>
      <c r="M337" s="15">
        <f>IFERROR(VLOOKUP(B337,cubo!$A$6:$BE$37,57,0)-VLOOKUP(B337,#REF!,$M$2,0),0)</f>
        <v>0</v>
      </c>
      <c r="N337" s="9">
        <f>IFERROR(VLOOKUP(B337,cubo!$A$6:$BK$37,41,0)-VLOOKUP(conciliacao_custos!B337,#REF!,18,0),0)</f>
        <v>0</v>
      </c>
      <c r="O337" s="9">
        <f>IFERROR(VLOOKUP(B337,cubo!$A$6:$BK$37,44,0)-VLOOKUP(conciliacao_custos!B337,#REF!,13,0),0)</f>
        <v>0</v>
      </c>
      <c r="P337" s="9">
        <f>IFERROR(VLOOKUP(B337,cubo!$A$6:$BK$37,47,0)-VLOOKUP(conciliacao_custos!B337,#REF!,14,0),0)</f>
        <v>0</v>
      </c>
      <c r="Q337" s="9">
        <f>IFERROR(VLOOKUP(B337,cubo!$A$6:$BK$37,58,0)-VLOOKUP(conciliacao_custos!B337,#REF!,16,0),0)</f>
        <v>0</v>
      </c>
      <c r="R337" s="9">
        <f>IFERROR(VLOOKUP(B337,cubo!$A$6:$BK$37,64,0)-VLOOKUP(conciliacao_custos!B337,#REF!,17,0),0)</f>
        <v>0</v>
      </c>
      <c r="S337" s="9">
        <f>IFERROR(VLOOKUP(B337,cubo!$A$6:$BK$37,61,0)-VLOOKUP(conciliacao_custos!B337,#REF!,15,0),0)</f>
        <v>0</v>
      </c>
    </row>
    <row r="338" spans="2:19" x14ac:dyDescent="0.25">
      <c r="B338" s="7">
        <f>[1]salario!A337</f>
        <v>0</v>
      </c>
      <c r="C338" s="8">
        <f>[1]salario!C337</f>
        <v>0</v>
      </c>
      <c r="D338" s="10">
        <f>IFERROR(VLOOKUP(B338,cubo!$A$6:$BE$37,6,0)-VLOOKUP(B338,#REF!,$D$2,0),0)</f>
        <v>0</v>
      </c>
      <c r="E338" s="10">
        <f>IFERROR(VLOOKUP(B338,cubo!$A$6:$BE$37,9,0)-VLOOKUP(B338,#REF!,$E$2,0),0)</f>
        <v>0</v>
      </c>
      <c r="F338" s="9">
        <f>IFERROR(VLOOKUP(B338,cubo!$A$6:$BE$37,12,0)-VLOOKUP(B338,#REF!,$F$2,0),0)</f>
        <v>0</v>
      </c>
      <c r="G338" s="9">
        <f>IFERROR(VLOOKUP(B338,cubo!$A$6:$BE$37,54,0)-VLOOKUP(B338,#REF!,$G$2,0),0)</f>
        <v>0</v>
      </c>
      <c r="H338" s="10">
        <f>IFERROR(VLOOKUP(B338,cubo!$A$6:$BE$37,15,0)-VLOOKUP(B338,#REF!,$H$2,0),0)</f>
        <v>0</v>
      </c>
      <c r="I338" s="9">
        <f>IFERROR(VLOOKUP(B338,cubo!$A$6:$BE$37,18,0)-VLOOKUP(B338,#REF!,$I$2,0),0)</f>
        <v>0</v>
      </c>
      <c r="J338" s="9">
        <f>IFERROR(VLOOKUP(B338,cubo!$A$6:$BE$37,24,0)-VLOOKUP(B338,#REF!,$J$2,0),0)</f>
        <v>0</v>
      </c>
      <c r="K338" s="9">
        <f>IFERROR(VLOOKUP(B338,cubo!$A$6:$BE$37,34,0)-VLOOKUP(B338,#REF!,$K$2,0),0)</f>
        <v>0</v>
      </c>
      <c r="L338" s="8">
        <f>IFERROR(VLOOKUP(B338,cubo!$A$6:$BE$37,38,0)-VLOOKUP(B338,#REF!,$L$2,0),0)</f>
        <v>0</v>
      </c>
      <c r="M338" s="15">
        <f>IFERROR(VLOOKUP(B338,cubo!$A$6:$BE$37,57,0)-VLOOKUP(B338,#REF!,$M$2,0),0)</f>
        <v>0</v>
      </c>
      <c r="N338" s="9">
        <f>IFERROR(VLOOKUP(B338,cubo!$A$6:$BK$37,41,0)-VLOOKUP(conciliacao_custos!B338,#REF!,18,0),0)</f>
        <v>0</v>
      </c>
      <c r="O338" s="9">
        <f>IFERROR(VLOOKUP(B338,cubo!$A$6:$BK$37,44,0)-VLOOKUP(conciliacao_custos!B338,#REF!,13,0),0)</f>
        <v>0</v>
      </c>
      <c r="P338" s="9">
        <f>IFERROR(VLOOKUP(B338,cubo!$A$6:$BK$37,47,0)-VLOOKUP(conciliacao_custos!B338,#REF!,14,0),0)</f>
        <v>0</v>
      </c>
      <c r="Q338" s="9">
        <f>IFERROR(VLOOKUP(B338,cubo!$A$6:$BK$37,58,0)-VLOOKUP(conciliacao_custos!B338,#REF!,16,0),0)</f>
        <v>0</v>
      </c>
      <c r="R338" s="9">
        <f>IFERROR(VLOOKUP(B338,cubo!$A$6:$BK$37,64,0)-VLOOKUP(conciliacao_custos!B338,#REF!,17,0),0)</f>
        <v>0</v>
      </c>
      <c r="S338" s="9">
        <f>IFERROR(VLOOKUP(B338,cubo!$A$6:$BK$37,61,0)-VLOOKUP(conciliacao_custos!B338,#REF!,15,0),0)</f>
        <v>0</v>
      </c>
    </row>
    <row r="339" spans="2:19" x14ac:dyDescent="0.25">
      <c r="B339" s="7">
        <f>[1]salario!A338</f>
        <v>0</v>
      </c>
      <c r="C339" s="8">
        <f>[1]salario!C338</f>
        <v>0</v>
      </c>
      <c r="D339" s="10">
        <f>IFERROR(VLOOKUP(B339,cubo!$A$6:$BE$37,6,0)-VLOOKUP(B339,#REF!,$D$2,0),0)</f>
        <v>0</v>
      </c>
      <c r="E339" s="10">
        <f>IFERROR(VLOOKUP(B339,cubo!$A$6:$BE$37,9,0)-VLOOKUP(B339,#REF!,$E$2,0),0)</f>
        <v>0</v>
      </c>
      <c r="F339" s="9">
        <f>IFERROR(VLOOKUP(B339,cubo!$A$6:$BE$37,12,0)-VLOOKUP(B339,#REF!,$F$2,0),0)</f>
        <v>0</v>
      </c>
      <c r="G339" s="9">
        <f>IFERROR(VLOOKUP(B339,cubo!$A$6:$BE$37,54,0)-VLOOKUP(B339,#REF!,$G$2,0),0)</f>
        <v>0</v>
      </c>
      <c r="H339" s="10">
        <f>IFERROR(VLOOKUP(B339,cubo!$A$6:$BE$37,15,0)-VLOOKUP(B339,#REF!,$H$2,0),0)</f>
        <v>0</v>
      </c>
      <c r="I339" s="9">
        <f>IFERROR(VLOOKUP(B339,cubo!$A$6:$BE$37,18,0)-VLOOKUP(B339,#REF!,$I$2,0),0)</f>
        <v>0</v>
      </c>
      <c r="J339" s="9">
        <f>IFERROR(VLOOKUP(B339,cubo!$A$6:$BE$37,24,0)-VLOOKUP(B339,#REF!,$J$2,0),0)</f>
        <v>0</v>
      </c>
      <c r="K339" s="9">
        <f>IFERROR(VLOOKUP(B339,cubo!$A$6:$BE$37,34,0)-VLOOKUP(B339,#REF!,$K$2,0),0)</f>
        <v>0</v>
      </c>
      <c r="L339" s="8">
        <f>IFERROR(VLOOKUP(B339,cubo!$A$6:$BE$37,38,0)-VLOOKUP(B339,#REF!,$L$2,0),0)</f>
        <v>0</v>
      </c>
      <c r="M339" s="15">
        <f>IFERROR(VLOOKUP(B339,cubo!$A$6:$BE$37,57,0)-VLOOKUP(B339,#REF!,$M$2,0),0)</f>
        <v>0</v>
      </c>
      <c r="N339" s="9">
        <f>IFERROR(VLOOKUP(B339,cubo!$A$6:$BK$37,41,0)-VLOOKUP(conciliacao_custos!B339,#REF!,18,0),0)</f>
        <v>0</v>
      </c>
      <c r="O339" s="9">
        <f>IFERROR(VLOOKUP(B339,cubo!$A$6:$BK$37,44,0)-VLOOKUP(conciliacao_custos!B339,#REF!,13,0),0)</f>
        <v>0</v>
      </c>
      <c r="P339" s="9">
        <f>IFERROR(VLOOKUP(B339,cubo!$A$6:$BK$37,47,0)-VLOOKUP(conciliacao_custos!B339,#REF!,14,0),0)</f>
        <v>0</v>
      </c>
      <c r="Q339" s="9">
        <f>IFERROR(VLOOKUP(B339,cubo!$A$6:$BK$37,58,0)-VLOOKUP(conciliacao_custos!B339,#REF!,16,0),0)</f>
        <v>0</v>
      </c>
      <c r="R339" s="9">
        <f>IFERROR(VLOOKUP(B339,cubo!$A$6:$BK$37,64,0)-VLOOKUP(conciliacao_custos!B339,#REF!,17,0),0)</f>
        <v>0</v>
      </c>
      <c r="S339" s="9">
        <f>IFERROR(VLOOKUP(B339,cubo!$A$6:$BK$37,61,0)-VLOOKUP(conciliacao_custos!B339,#REF!,15,0),0)</f>
        <v>0</v>
      </c>
    </row>
    <row r="340" spans="2:19" x14ac:dyDescent="0.25">
      <c r="B340" s="7">
        <f>[1]salario!A339</f>
        <v>0</v>
      </c>
      <c r="C340" s="8">
        <f>[1]salario!C339</f>
        <v>0</v>
      </c>
      <c r="D340" s="10">
        <f>IFERROR(VLOOKUP(B340,cubo!$A$6:$BE$37,6,0)-VLOOKUP(B340,#REF!,$D$2,0),0)</f>
        <v>0</v>
      </c>
      <c r="E340" s="10">
        <f>IFERROR(VLOOKUP(B340,cubo!$A$6:$BE$37,9,0)-VLOOKUP(B340,#REF!,$E$2,0),0)</f>
        <v>0</v>
      </c>
      <c r="F340" s="9">
        <f>IFERROR(VLOOKUP(B340,cubo!$A$6:$BE$37,12,0)-VLOOKUP(B340,#REF!,$F$2,0),0)</f>
        <v>0</v>
      </c>
      <c r="G340" s="9">
        <f>IFERROR(VLOOKUP(B340,cubo!$A$6:$BE$37,54,0)-VLOOKUP(B340,#REF!,$G$2,0),0)</f>
        <v>0</v>
      </c>
      <c r="H340" s="10">
        <f>IFERROR(VLOOKUP(B340,cubo!$A$6:$BE$37,15,0)-VLOOKUP(B340,#REF!,$H$2,0),0)</f>
        <v>0</v>
      </c>
      <c r="I340" s="9">
        <f>IFERROR(VLOOKUP(B340,cubo!$A$6:$BE$37,18,0)-VLOOKUP(B340,#REF!,$I$2,0),0)</f>
        <v>0</v>
      </c>
      <c r="J340" s="9">
        <f>IFERROR(VLOOKUP(B340,cubo!$A$6:$BE$37,24,0)-VLOOKUP(B340,#REF!,$J$2,0),0)</f>
        <v>0</v>
      </c>
      <c r="K340" s="9">
        <f>IFERROR(VLOOKUP(B340,cubo!$A$6:$BE$37,34,0)-VLOOKUP(B340,#REF!,$K$2,0),0)</f>
        <v>0</v>
      </c>
      <c r="L340" s="8">
        <f>IFERROR(VLOOKUP(B340,cubo!$A$6:$BE$37,38,0)-VLOOKUP(B340,#REF!,$L$2,0),0)</f>
        <v>0</v>
      </c>
      <c r="M340" s="15">
        <f>IFERROR(VLOOKUP(B340,cubo!$A$6:$BE$37,57,0)-VLOOKUP(B340,#REF!,$M$2,0),0)</f>
        <v>0</v>
      </c>
      <c r="N340" s="9">
        <f>IFERROR(VLOOKUP(B340,cubo!$A$6:$BK$37,41,0)-VLOOKUP(conciliacao_custos!B340,#REF!,18,0),0)</f>
        <v>0</v>
      </c>
      <c r="O340" s="9">
        <f>IFERROR(VLOOKUP(B340,cubo!$A$6:$BK$37,44,0)-VLOOKUP(conciliacao_custos!B340,#REF!,13,0),0)</f>
        <v>0</v>
      </c>
      <c r="P340" s="9">
        <f>IFERROR(VLOOKUP(B340,cubo!$A$6:$BK$37,47,0)-VLOOKUP(conciliacao_custos!B340,#REF!,14,0),0)</f>
        <v>0</v>
      </c>
      <c r="Q340" s="9">
        <f>IFERROR(VLOOKUP(B340,cubo!$A$6:$BK$37,58,0)-VLOOKUP(conciliacao_custos!B340,#REF!,16,0),0)</f>
        <v>0</v>
      </c>
      <c r="R340" s="9">
        <f>IFERROR(VLOOKUP(B340,cubo!$A$6:$BK$37,64,0)-VLOOKUP(conciliacao_custos!B340,#REF!,17,0),0)</f>
        <v>0</v>
      </c>
      <c r="S340" s="9">
        <f>IFERROR(VLOOKUP(B340,cubo!$A$6:$BK$37,61,0)-VLOOKUP(conciliacao_custos!B340,#REF!,15,0),0)</f>
        <v>0</v>
      </c>
    </row>
    <row r="341" spans="2:19" x14ac:dyDescent="0.25">
      <c r="B341" s="7">
        <f>[1]salario!A340</f>
        <v>0</v>
      </c>
      <c r="C341" s="8">
        <f>[1]salario!C340</f>
        <v>0</v>
      </c>
      <c r="D341" s="10">
        <f>IFERROR(VLOOKUP(B341,cubo!$A$6:$BE$37,6,0)-VLOOKUP(B341,#REF!,$D$2,0),0)</f>
        <v>0</v>
      </c>
      <c r="E341" s="10">
        <f>IFERROR(VLOOKUP(B341,cubo!$A$6:$BE$37,9,0)-VLOOKUP(B341,#REF!,$E$2,0),0)</f>
        <v>0</v>
      </c>
      <c r="F341" s="9">
        <f>IFERROR(VLOOKUP(B341,cubo!$A$6:$BE$37,12,0)-VLOOKUP(B341,#REF!,$F$2,0),0)</f>
        <v>0</v>
      </c>
      <c r="G341" s="9">
        <f>IFERROR(VLOOKUP(B341,cubo!$A$6:$BE$37,54,0)-VLOOKUP(B341,#REF!,$G$2,0),0)</f>
        <v>0</v>
      </c>
      <c r="H341" s="10">
        <f>IFERROR(VLOOKUP(B341,cubo!$A$6:$BE$37,15,0)-VLOOKUP(B341,#REF!,$H$2,0),0)</f>
        <v>0</v>
      </c>
      <c r="I341" s="9">
        <f>IFERROR(VLOOKUP(B341,cubo!$A$6:$BE$37,18,0)-VLOOKUP(B341,#REF!,$I$2,0),0)</f>
        <v>0</v>
      </c>
      <c r="J341" s="9">
        <f>IFERROR(VLOOKUP(B341,cubo!$A$6:$BE$37,24,0)-VLOOKUP(B341,#REF!,$J$2,0),0)</f>
        <v>0</v>
      </c>
      <c r="K341" s="9">
        <f>IFERROR(VLOOKUP(B341,cubo!$A$6:$BE$37,34,0)-VLOOKUP(B341,#REF!,$K$2,0),0)</f>
        <v>0</v>
      </c>
      <c r="L341" s="8">
        <f>IFERROR(VLOOKUP(B341,cubo!$A$6:$BE$37,38,0)-VLOOKUP(B341,#REF!,$L$2,0),0)</f>
        <v>0</v>
      </c>
      <c r="M341" s="15">
        <f>IFERROR(VLOOKUP(B341,cubo!$A$6:$BE$37,57,0)-VLOOKUP(B341,#REF!,$M$2,0),0)</f>
        <v>0</v>
      </c>
      <c r="N341" s="9">
        <f>IFERROR(VLOOKUP(B341,cubo!$A$6:$BK$37,41,0)-VLOOKUP(conciliacao_custos!B341,#REF!,18,0),0)</f>
        <v>0</v>
      </c>
      <c r="O341" s="9">
        <f>IFERROR(VLOOKUP(B341,cubo!$A$6:$BK$37,44,0)-VLOOKUP(conciliacao_custos!B341,#REF!,13,0),0)</f>
        <v>0</v>
      </c>
      <c r="P341" s="9">
        <f>IFERROR(VLOOKUP(B341,cubo!$A$6:$BK$37,47,0)-VLOOKUP(conciliacao_custos!B341,#REF!,14,0),0)</f>
        <v>0</v>
      </c>
      <c r="Q341" s="9">
        <f>IFERROR(VLOOKUP(B341,cubo!$A$6:$BK$37,58,0)-VLOOKUP(conciliacao_custos!B341,#REF!,16,0),0)</f>
        <v>0</v>
      </c>
      <c r="R341" s="9">
        <f>IFERROR(VLOOKUP(B341,cubo!$A$6:$BK$37,64,0)-VLOOKUP(conciliacao_custos!B341,#REF!,17,0),0)</f>
        <v>0</v>
      </c>
      <c r="S341" s="9">
        <f>IFERROR(VLOOKUP(B341,cubo!$A$6:$BK$37,61,0)-VLOOKUP(conciliacao_custos!B341,#REF!,15,0),0)</f>
        <v>0</v>
      </c>
    </row>
    <row r="342" spans="2:19" x14ac:dyDescent="0.25">
      <c r="B342" s="7">
        <f>[1]salario!A341</f>
        <v>0</v>
      </c>
      <c r="C342" s="8">
        <f>[1]salario!C341</f>
        <v>0</v>
      </c>
      <c r="D342" s="10">
        <f>IFERROR(VLOOKUP(B342,cubo!$A$6:$BE$37,6,0)-VLOOKUP(B342,#REF!,$D$2,0),0)</f>
        <v>0</v>
      </c>
      <c r="E342" s="10">
        <f>IFERROR(VLOOKUP(B342,cubo!$A$6:$BE$37,9,0)-VLOOKUP(B342,#REF!,$E$2,0),0)</f>
        <v>0</v>
      </c>
      <c r="F342" s="9">
        <f>IFERROR(VLOOKUP(B342,cubo!$A$6:$BE$37,12,0)-VLOOKUP(B342,#REF!,$F$2,0),0)</f>
        <v>0</v>
      </c>
      <c r="G342" s="9">
        <f>IFERROR(VLOOKUP(B342,cubo!$A$6:$BE$37,54,0)-VLOOKUP(B342,#REF!,$G$2,0),0)</f>
        <v>0</v>
      </c>
      <c r="H342" s="10">
        <f>IFERROR(VLOOKUP(B342,cubo!$A$6:$BE$37,15,0)-VLOOKUP(B342,#REF!,$H$2,0),0)</f>
        <v>0</v>
      </c>
      <c r="I342" s="9">
        <f>IFERROR(VLOOKUP(B342,cubo!$A$6:$BE$37,18,0)-VLOOKUP(B342,#REF!,$I$2,0),0)</f>
        <v>0</v>
      </c>
      <c r="J342" s="9">
        <f>IFERROR(VLOOKUP(B342,cubo!$A$6:$BE$37,24,0)-VLOOKUP(B342,#REF!,$J$2,0),0)</f>
        <v>0</v>
      </c>
      <c r="K342" s="9">
        <f>IFERROR(VLOOKUP(B342,cubo!$A$6:$BE$37,34,0)-VLOOKUP(B342,#REF!,$K$2,0),0)</f>
        <v>0</v>
      </c>
      <c r="L342" s="8">
        <f>IFERROR(VLOOKUP(B342,cubo!$A$6:$BE$37,38,0)-VLOOKUP(B342,#REF!,$L$2,0),0)</f>
        <v>0</v>
      </c>
      <c r="M342" s="15">
        <f>IFERROR(VLOOKUP(B342,cubo!$A$6:$BE$37,57,0)-VLOOKUP(B342,#REF!,$M$2,0),0)</f>
        <v>0</v>
      </c>
      <c r="N342" s="9">
        <f>IFERROR(VLOOKUP(B342,cubo!$A$6:$BK$37,41,0)-VLOOKUP(conciliacao_custos!B342,#REF!,18,0),0)</f>
        <v>0</v>
      </c>
      <c r="O342" s="9">
        <f>IFERROR(VLOOKUP(B342,cubo!$A$6:$BK$37,44,0)-VLOOKUP(conciliacao_custos!B342,#REF!,13,0),0)</f>
        <v>0</v>
      </c>
      <c r="P342" s="9">
        <f>IFERROR(VLOOKUP(B342,cubo!$A$6:$BK$37,47,0)-VLOOKUP(conciliacao_custos!B342,#REF!,14,0),0)</f>
        <v>0</v>
      </c>
      <c r="Q342" s="9">
        <f>IFERROR(VLOOKUP(B342,cubo!$A$6:$BK$37,58,0)-VLOOKUP(conciliacao_custos!B342,#REF!,16,0),0)</f>
        <v>0</v>
      </c>
      <c r="R342" s="9">
        <f>IFERROR(VLOOKUP(B342,cubo!$A$6:$BK$37,64,0)-VLOOKUP(conciliacao_custos!B342,#REF!,17,0),0)</f>
        <v>0</v>
      </c>
      <c r="S342" s="9">
        <f>IFERROR(VLOOKUP(B342,cubo!$A$6:$BK$37,61,0)-VLOOKUP(conciliacao_custos!B342,#REF!,15,0),0)</f>
        <v>0</v>
      </c>
    </row>
    <row r="343" spans="2:19" x14ac:dyDescent="0.25">
      <c r="B343" s="7">
        <f>[1]salario!A342</f>
        <v>0</v>
      </c>
      <c r="C343" s="8">
        <f>[1]salario!C342</f>
        <v>0</v>
      </c>
      <c r="D343" s="10">
        <f>IFERROR(VLOOKUP(B343,cubo!$A$6:$BE$37,6,0)-VLOOKUP(B343,#REF!,$D$2,0),0)</f>
        <v>0</v>
      </c>
      <c r="E343" s="10">
        <f>IFERROR(VLOOKUP(B343,cubo!$A$6:$BE$37,9,0)-VLOOKUP(B343,#REF!,$E$2,0),0)</f>
        <v>0</v>
      </c>
      <c r="F343" s="9">
        <f>IFERROR(VLOOKUP(B343,cubo!$A$6:$BE$37,12,0)-VLOOKUP(B343,#REF!,$F$2,0),0)</f>
        <v>0</v>
      </c>
      <c r="G343" s="9">
        <f>IFERROR(VLOOKUP(B343,cubo!$A$6:$BE$37,54,0)-VLOOKUP(B343,#REF!,$G$2,0),0)</f>
        <v>0</v>
      </c>
      <c r="H343" s="10">
        <f>IFERROR(VLOOKUP(B343,cubo!$A$6:$BE$37,15,0)-VLOOKUP(B343,#REF!,$H$2,0),0)</f>
        <v>0</v>
      </c>
      <c r="I343" s="9">
        <f>IFERROR(VLOOKUP(B343,cubo!$A$6:$BE$37,18,0)-VLOOKUP(B343,#REF!,$I$2,0),0)</f>
        <v>0</v>
      </c>
      <c r="J343" s="9">
        <f>IFERROR(VLOOKUP(B343,cubo!$A$6:$BE$37,24,0)-VLOOKUP(B343,#REF!,$J$2,0),0)</f>
        <v>0</v>
      </c>
      <c r="K343" s="9">
        <f>IFERROR(VLOOKUP(B343,cubo!$A$6:$BE$37,34,0)-VLOOKUP(B343,#REF!,$K$2,0),0)</f>
        <v>0</v>
      </c>
      <c r="L343" s="8">
        <f>IFERROR(VLOOKUP(B343,cubo!$A$6:$BE$37,38,0)-VLOOKUP(B343,#REF!,$L$2,0),0)</f>
        <v>0</v>
      </c>
      <c r="M343" s="15">
        <f>IFERROR(VLOOKUP(B343,cubo!$A$6:$BE$37,57,0)-VLOOKUP(B343,#REF!,$M$2,0),0)</f>
        <v>0</v>
      </c>
      <c r="N343" s="9">
        <f>IFERROR(VLOOKUP(B343,cubo!$A$6:$BK$37,41,0)-VLOOKUP(conciliacao_custos!B343,#REF!,18,0),0)</f>
        <v>0</v>
      </c>
      <c r="O343" s="9">
        <f>IFERROR(VLOOKUP(B343,cubo!$A$6:$BK$37,44,0)-VLOOKUP(conciliacao_custos!B343,#REF!,13,0),0)</f>
        <v>0</v>
      </c>
      <c r="P343" s="9">
        <f>IFERROR(VLOOKUP(B343,cubo!$A$6:$BK$37,47,0)-VLOOKUP(conciliacao_custos!B343,#REF!,14,0),0)</f>
        <v>0</v>
      </c>
      <c r="Q343" s="9">
        <f>IFERROR(VLOOKUP(B343,cubo!$A$6:$BK$37,58,0)-VLOOKUP(conciliacao_custos!B343,#REF!,16,0),0)</f>
        <v>0</v>
      </c>
      <c r="R343" s="9">
        <f>IFERROR(VLOOKUP(B343,cubo!$A$6:$BK$37,64,0)-VLOOKUP(conciliacao_custos!B343,#REF!,17,0),0)</f>
        <v>0</v>
      </c>
      <c r="S343" s="9">
        <f>IFERROR(VLOOKUP(B343,cubo!$A$6:$BK$37,61,0)-VLOOKUP(conciliacao_custos!B343,#REF!,15,0),0)</f>
        <v>0</v>
      </c>
    </row>
    <row r="344" spans="2:19" x14ac:dyDescent="0.25">
      <c r="B344" s="7">
        <f>[1]salario!A343</f>
        <v>0</v>
      </c>
      <c r="C344" s="8">
        <f>[1]salario!C343</f>
        <v>0</v>
      </c>
      <c r="D344" s="10">
        <f>IFERROR(VLOOKUP(B344,cubo!$A$6:$BE$37,6,0)-VLOOKUP(B344,#REF!,$D$2,0),0)</f>
        <v>0</v>
      </c>
      <c r="E344" s="10">
        <f>IFERROR(VLOOKUP(B344,cubo!$A$6:$BE$37,9,0)-VLOOKUP(B344,#REF!,$E$2,0),0)</f>
        <v>0</v>
      </c>
      <c r="F344" s="9">
        <f>IFERROR(VLOOKUP(B344,cubo!$A$6:$BE$37,12,0)-VLOOKUP(B344,#REF!,$F$2,0),0)</f>
        <v>0</v>
      </c>
      <c r="G344" s="9">
        <f>IFERROR(VLOOKUP(B344,cubo!$A$6:$BE$37,54,0)-VLOOKUP(B344,#REF!,$G$2,0),0)</f>
        <v>0</v>
      </c>
      <c r="H344" s="10">
        <f>IFERROR(VLOOKUP(B344,cubo!$A$6:$BE$37,15,0)-VLOOKUP(B344,#REF!,$H$2,0),0)</f>
        <v>0</v>
      </c>
      <c r="I344" s="9">
        <f>IFERROR(VLOOKUP(B344,cubo!$A$6:$BE$37,18,0)-VLOOKUP(B344,#REF!,$I$2,0),0)</f>
        <v>0</v>
      </c>
      <c r="J344" s="9">
        <f>IFERROR(VLOOKUP(B344,cubo!$A$6:$BE$37,24,0)-VLOOKUP(B344,#REF!,$J$2,0),0)</f>
        <v>0</v>
      </c>
      <c r="K344" s="9">
        <f>IFERROR(VLOOKUP(B344,cubo!$A$6:$BE$37,34,0)-VLOOKUP(B344,#REF!,$K$2,0),0)</f>
        <v>0</v>
      </c>
      <c r="L344" s="8">
        <f>IFERROR(VLOOKUP(B344,cubo!$A$6:$BE$37,38,0)-VLOOKUP(B344,#REF!,$L$2,0),0)</f>
        <v>0</v>
      </c>
      <c r="M344" s="15">
        <f>IFERROR(VLOOKUP(B344,cubo!$A$6:$BE$37,57,0)-VLOOKUP(B344,#REF!,$M$2,0),0)</f>
        <v>0</v>
      </c>
      <c r="N344" s="9">
        <f>IFERROR(VLOOKUP(B344,cubo!$A$6:$BK$37,41,0)-VLOOKUP(conciliacao_custos!B344,#REF!,18,0),0)</f>
        <v>0</v>
      </c>
      <c r="O344" s="9">
        <f>IFERROR(VLOOKUP(B344,cubo!$A$6:$BK$37,44,0)-VLOOKUP(conciliacao_custos!B344,#REF!,13,0),0)</f>
        <v>0</v>
      </c>
      <c r="P344" s="9">
        <f>IFERROR(VLOOKUP(B344,cubo!$A$6:$BK$37,47,0)-VLOOKUP(conciliacao_custos!B344,#REF!,14,0),0)</f>
        <v>0</v>
      </c>
      <c r="Q344" s="9">
        <f>IFERROR(VLOOKUP(B344,cubo!$A$6:$BK$37,58,0)-VLOOKUP(conciliacao_custos!B344,#REF!,16,0),0)</f>
        <v>0</v>
      </c>
      <c r="R344" s="9">
        <f>IFERROR(VLOOKUP(B344,cubo!$A$6:$BK$37,64,0)-VLOOKUP(conciliacao_custos!B344,#REF!,17,0),0)</f>
        <v>0</v>
      </c>
      <c r="S344" s="9">
        <f>IFERROR(VLOOKUP(B344,cubo!$A$6:$BK$37,61,0)-VLOOKUP(conciliacao_custos!B344,#REF!,15,0),0)</f>
        <v>0</v>
      </c>
    </row>
    <row r="345" spans="2:19" x14ac:dyDescent="0.25">
      <c r="B345" s="7">
        <f>[1]salario!A344</f>
        <v>0</v>
      </c>
      <c r="C345" s="8">
        <f>[1]salario!C344</f>
        <v>0</v>
      </c>
      <c r="D345" s="10">
        <f>IFERROR(VLOOKUP(B345,cubo!$A$6:$BE$37,6,0)-VLOOKUP(B345,#REF!,$D$2,0),0)</f>
        <v>0</v>
      </c>
      <c r="E345" s="10">
        <f>IFERROR(VLOOKUP(B345,cubo!$A$6:$BE$37,9,0)-VLOOKUP(B345,#REF!,$E$2,0),0)</f>
        <v>0</v>
      </c>
      <c r="F345" s="9">
        <f>IFERROR(VLOOKUP(B345,cubo!$A$6:$BE$37,12,0)-VLOOKUP(B345,#REF!,$F$2,0),0)</f>
        <v>0</v>
      </c>
      <c r="G345" s="9">
        <f>IFERROR(VLOOKUP(B345,cubo!$A$6:$BE$37,54,0)-VLOOKUP(B345,#REF!,$G$2,0),0)</f>
        <v>0</v>
      </c>
      <c r="H345" s="10">
        <f>IFERROR(VLOOKUP(B345,cubo!$A$6:$BE$37,15,0)-VLOOKUP(B345,#REF!,$H$2,0),0)</f>
        <v>0</v>
      </c>
      <c r="I345" s="9">
        <f>IFERROR(VLOOKUP(B345,cubo!$A$6:$BE$37,18,0)-VLOOKUP(B345,#REF!,$I$2,0),0)</f>
        <v>0</v>
      </c>
      <c r="J345" s="9">
        <f>IFERROR(VLOOKUP(B345,cubo!$A$6:$BE$37,24,0)-VLOOKUP(B345,#REF!,$J$2,0),0)</f>
        <v>0</v>
      </c>
      <c r="K345" s="9">
        <f>IFERROR(VLOOKUP(B345,cubo!$A$6:$BE$37,34,0)-VLOOKUP(B345,#REF!,$K$2,0),0)</f>
        <v>0</v>
      </c>
      <c r="L345" s="8">
        <f>IFERROR(VLOOKUP(B345,cubo!$A$6:$BE$37,38,0)-VLOOKUP(B345,#REF!,$L$2,0),0)</f>
        <v>0</v>
      </c>
      <c r="M345" s="15">
        <f>IFERROR(VLOOKUP(B345,cubo!$A$6:$BE$37,57,0)-VLOOKUP(B345,#REF!,$M$2,0),0)</f>
        <v>0</v>
      </c>
      <c r="N345" s="9">
        <f>IFERROR(VLOOKUP(B345,cubo!$A$6:$BK$37,41,0)-VLOOKUP(conciliacao_custos!B345,#REF!,18,0),0)</f>
        <v>0</v>
      </c>
      <c r="O345" s="9">
        <f>IFERROR(VLOOKUP(B345,cubo!$A$6:$BK$37,44,0)-VLOOKUP(conciliacao_custos!B345,#REF!,13,0),0)</f>
        <v>0</v>
      </c>
      <c r="P345" s="9">
        <f>IFERROR(VLOOKUP(B345,cubo!$A$6:$BK$37,47,0)-VLOOKUP(conciliacao_custos!B345,#REF!,14,0),0)</f>
        <v>0</v>
      </c>
      <c r="Q345" s="9">
        <f>IFERROR(VLOOKUP(B345,cubo!$A$6:$BK$37,58,0)-VLOOKUP(conciliacao_custos!B345,#REF!,16,0),0)</f>
        <v>0</v>
      </c>
      <c r="R345" s="9">
        <f>IFERROR(VLOOKUP(B345,cubo!$A$6:$BK$37,64,0)-VLOOKUP(conciliacao_custos!B345,#REF!,17,0),0)</f>
        <v>0</v>
      </c>
      <c r="S345" s="9">
        <f>IFERROR(VLOOKUP(B345,cubo!$A$6:$BK$37,61,0)-VLOOKUP(conciliacao_custos!B345,#REF!,15,0),0)</f>
        <v>0</v>
      </c>
    </row>
    <row r="346" spans="2:19" x14ac:dyDescent="0.25">
      <c r="B346" s="7">
        <f>[1]salario!A345</f>
        <v>0</v>
      </c>
      <c r="C346" s="8">
        <f>[1]salario!C345</f>
        <v>0</v>
      </c>
      <c r="D346" s="10">
        <f>IFERROR(VLOOKUP(B346,cubo!$A$6:$BE$37,6,0)-VLOOKUP(B346,#REF!,$D$2,0),0)</f>
        <v>0</v>
      </c>
      <c r="E346" s="10">
        <f>IFERROR(VLOOKUP(B346,cubo!$A$6:$BE$37,9,0)-VLOOKUP(B346,#REF!,$E$2,0),0)</f>
        <v>0</v>
      </c>
      <c r="F346" s="9">
        <f>IFERROR(VLOOKUP(B346,cubo!$A$6:$BE$37,12,0)-VLOOKUP(B346,#REF!,$F$2,0),0)</f>
        <v>0</v>
      </c>
      <c r="G346" s="9">
        <f>IFERROR(VLOOKUP(B346,cubo!$A$6:$BE$37,54,0)-VLOOKUP(B346,#REF!,$G$2,0),0)</f>
        <v>0</v>
      </c>
      <c r="H346" s="10">
        <f>IFERROR(VLOOKUP(B346,cubo!$A$6:$BE$37,15,0)-VLOOKUP(B346,#REF!,$H$2,0),0)</f>
        <v>0</v>
      </c>
      <c r="I346" s="9">
        <f>IFERROR(VLOOKUP(B346,cubo!$A$6:$BE$37,18,0)-VLOOKUP(B346,#REF!,$I$2,0),0)</f>
        <v>0</v>
      </c>
      <c r="J346" s="9">
        <f>IFERROR(VLOOKUP(B346,cubo!$A$6:$BE$37,24,0)-VLOOKUP(B346,#REF!,$J$2,0),0)</f>
        <v>0</v>
      </c>
      <c r="K346" s="9">
        <f>IFERROR(VLOOKUP(B346,cubo!$A$6:$BE$37,34,0)-VLOOKUP(B346,#REF!,$K$2,0),0)</f>
        <v>0</v>
      </c>
      <c r="L346" s="8">
        <f>IFERROR(VLOOKUP(B346,cubo!$A$6:$BE$37,38,0)-VLOOKUP(B346,#REF!,$L$2,0),0)</f>
        <v>0</v>
      </c>
      <c r="M346" s="15">
        <f>IFERROR(VLOOKUP(B346,cubo!$A$6:$BE$37,57,0)-VLOOKUP(B346,#REF!,$M$2,0),0)</f>
        <v>0</v>
      </c>
      <c r="N346" s="9">
        <f>IFERROR(VLOOKUP(B346,cubo!$A$6:$BK$37,41,0)-VLOOKUP(conciliacao_custos!B346,#REF!,18,0),0)</f>
        <v>0</v>
      </c>
      <c r="O346" s="9">
        <f>IFERROR(VLOOKUP(B346,cubo!$A$6:$BK$37,44,0)-VLOOKUP(conciliacao_custos!B346,#REF!,13,0),0)</f>
        <v>0</v>
      </c>
      <c r="P346" s="9">
        <f>IFERROR(VLOOKUP(B346,cubo!$A$6:$BK$37,47,0)-VLOOKUP(conciliacao_custos!B346,#REF!,14,0),0)</f>
        <v>0</v>
      </c>
      <c r="Q346" s="9">
        <f>IFERROR(VLOOKUP(B346,cubo!$A$6:$BK$37,58,0)-VLOOKUP(conciliacao_custos!B346,#REF!,16,0),0)</f>
        <v>0</v>
      </c>
      <c r="R346" s="9">
        <f>IFERROR(VLOOKUP(B346,cubo!$A$6:$BK$37,64,0)-VLOOKUP(conciliacao_custos!B346,#REF!,17,0),0)</f>
        <v>0</v>
      </c>
      <c r="S346" s="9">
        <f>IFERROR(VLOOKUP(B346,cubo!$A$6:$BK$37,61,0)-VLOOKUP(conciliacao_custos!B346,#REF!,15,0),0)</f>
        <v>0</v>
      </c>
    </row>
    <row r="347" spans="2:19" x14ac:dyDescent="0.25">
      <c r="B347" s="7">
        <f>[1]salario!A346</f>
        <v>0</v>
      </c>
      <c r="C347" s="8">
        <f>[1]salario!C346</f>
        <v>0</v>
      </c>
      <c r="D347" s="10">
        <f>IFERROR(VLOOKUP(B347,cubo!$A$6:$BE$37,6,0)-VLOOKUP(B347,#REF!,$D$2,0),0)</f>
        <v>0</v>
      </c>
      <c r="E347" s="10">
        <f>IFERROR(VLOOKUP(B347,cubo!$A$6:$BE$37,9,0)-VLOOKUP(B347,#REF!,$E$2,0),0)</f>
        <v>0</v>
      </c>
      <c r="F347" s="9">
        <f>IFERROR(VLOOKUP(B347,cubo!$A$6:$BE$37,12,0)-VLOOKUP(B347,#REF!,$F$2,0),0)</f>
        <v>0</v>
      </c>
      <c r="G347" s="9">
        <f>IFERROR(VLOOKUP(B347,cubo!$A$6:$BE$37,54,0)-VLOOKUP(B347,#REF!,$G$2,0),0)</f>
        <v>0</v>
      </c>
      <c r="H347" s="10">
        <f>IFERROR(VLOOKUP(B347,cubo!$A$6:$BE$37,15,0)-VLOOKUP(B347,#REF!,$H$2,0),0)</f>
        <v>0</v>
      </c>
      <c r="I347" s="9">
        <f>IFERROR(VLOOKUP(B347,cubo!$A$6:$BE$37,18,0)-VLOOKUP(B347,#REF!,$I$2,0),0)</f>
        <v>0</v>
      </c>
      <c r="J347" s="9">
        <f>IFERROR(VLOOKUP(B347,cubo!$A$6:$BE$37,24,0)-VLOOKUP(B347,#REF!,$J$2,0),0)</f>
        <v>0</v>
      </c>
      <c r="K347" s="9">
        <f>IFERROR(VLOOKUP(B347,cubo!$A$6:$BE$37,34,0)-VLOOKUP(B347,#REF!,$K$2,0),0)</f>
        <v>0</v>
      </c>
      <c r="L347" s="8">
        <f>IFERROR(VLOOKUP(B347,cubo!$A$6:$BE$37,38,0)-VLOOKUP(B347,#REF!,$L$2,0),0)</f>
        <v>0</v>
      </c>
      <c r="M347" s="15">
        <f>IFERROR(VLOOKUP(B347,cubo!$A$6:$BE$37,57,0)-VLOOKUP(B347,#REF!,$M$2,0),0)</f>
        <v>0</v>
      </c>
      <c r="N347" s="9">
        <f>IFERROR(VLOOKUP(B347,cubo!$A$6:$BK$37,41,0)-VLOOKUP(conciliacao_custos!B347,#REF!,18,0),0)</f>
        <v>0</v>
      </c>
      <c r="O347" s="9">
        <f>IFERROR(VLOOKUP(B347,cubo!$A$6:$BK$37,44,0)-VLOOKUP(conciliacao_custos!B347,#REF!,13,0),0)</f>
        <v>0</v>
      </c>
      <c r="P347" s="9">
        <f>IFERROR(VLOOKUP(B347,cubo!$A$6:$BK$37,47,0)-VLOOKUP(conciliacao_custos!B347,#REF!,14,0),0)</f>
        <v>0</v>
      </c>
      <c r="Q347" s="9">
        <f>IFERROR(VLOOKUP(B347,cubo!$A$6:$BK$37,58,0)-VLOOKUP(conciliacao_custos!B347,#REF!,16,0),0)</f>
        <v>0</v>
      </c>
      <c r="R347" s="9">
        <f>IFERROR(VLOOKUP(B347,cubo!$A$6:$BK$37,64,0)-VLOOKUP(conciliacao_custos!B347,#REF!,17,0),0)</f>
        <v>0</v>
      </c>
      <c r="S347" s="9">
        <f>IFERROR(VLOOKUP(B347,cubo!$A$6:$BK$37,61,0)-VLOOKUP(conciliacao_custos!B347,#REF!,15,0),0)</f>
        <v>0</v>
      </c>
    </row>
    <row r="348" spans="2:19" x14ac:dyDescent="0.25">
      <c r="B348" s="7">
        <f>[1]salario!A347</f>
        <v>0</v>
      </c>
      <c r="C348" s="8">
        <f>[1]salario!C347</f>
        <v>0</v>
      </c>
      <c r="D348" s="10">
        <f>IFERROR(VLOOKUP(B348,cubo!$A$6:$BE$37,6,0)-VLOOKUP(B348,#REF!,$D$2,0),0)</f>
        <v>0</v>
      </c>
      <c r="E348" s="10">
        <f>IFERROR(VLOOKUP(B348,cubo!$A$6:$BE$37,9,0)-VLOOKUP(B348,#REF!,$E$2,0),0)</f>
        <v>0</v>
      </c>
      <c r="F348" s="9">
        <f>IFERROR(VLOOKUP(B348,cubo!$A$6:$BE$37,12,0)-VLOOKUP(B348,#REF!,$F$2,0),0)</f>
        <v>0</v>
      </c>
      <c r="G348" s="9">
        <f>IFERROR(VLOOKUP(B348,cubo!$A$6:$BE$37,54,0)-VLOOKUP(B348,#REF!,$G$2,0),0)</f>
        <v>0</v>
      </c>
      <c r="H348" s="10">
        <f>IFERROR(VLOOKUP(B348,cubo!$A$6:$BE$37,15,0)-VLOOKUP(B348,#REF!,$H$2,0),0)</f>
        <v>0</v>
      </c>
      <c r="I348" s="9">
        <f>IFERROR(VLOOKUP(B348,cubo!$A$6:$BE$37,18,0)-VLOOKUP(B348,#REF!,$I$2,0),0)</f>
        <v>0</v>
      </c>
      <c r="J348" s="9">
        <f>IFERROR(VLOOKUP(B348,cubo!$A$6:$BE$37,24,0)-VLOOKUP(B348,#REF!,$J$2,0),0)</f>
        <v>0</v>
      </c>
      <c r="K348" s="9">
        <f>IFERROR(VLOOKUP(B348,cubo!$A$6:$BE$37,34,0)-VLOOKUP(B348,#REF!,$K$2,0),0)</f>
        <v>0</v>
      </c>
      <c r="L348" s="8">
        <f>IFERROR(VLOOKUP(B348,cubo!$A$6:$BE$37,38,0)-VLOOKUP(B348,#REF!,$L$2,0),0)</f>
        <v>0</v>
      </c>
      <c r="M348" s="15">
        <f>IFERROR(VLOOKUP(B348,cubo!$A$6:$BE$37,57,0)-VLOOKUP(B348,#REF!,$M$2,0),0)</f>
        <v>0</v>
      </c>
      <c r="N348" s="9">
        <f>IFERROR(VLOOKUP(B348,cubo!$A$6:$BK$37,41,0)-VLOOKUP(conciliacao_custos!B348,#REF!,18,0),0)</f>
        <v>0</v>
      </c>
      <c r="O348" s="9">
        <f>IFERROR(VLOOKUP(B348,cubo!$A$6:$BK$37,44,0)-VLOOKUP(conciliacao_custos!B348,#REF!,13,0),0)</f>
        <v>0</v>
      </c>
      <c r="P348" s="9">
        <f>IFERROR(VLOOKUP(B348,cubo!$A$6:$BK$37,47,0)-VLOOKUP(conciliacao_custos!B348,#REF!,14,0),0)</f>
        <v>0</v>
      </c>
      <c r="Q348" s="9">
        <f>IFERROR(VLOOKUP(B348,cubo!$A$6:$BK$37,58,0)-VLOOKUP(conciliacao_custos!B348,#REF!,16,0),0)</f>
        <v>0</v>
      </c>
      <c r="R348" s="9">
        <f>IFERROR(VLOOKUP(B348,cubo!$A$6:$BK$37,64,0)-VLOOKUP(conciliacao_custos!B348,#REF!,17,0),0)</f>
        <v>0</v>
      </c>
      <c r="S348" s="9">
        <f>IFERROR(VLOOKUP(B348,cubo!$A$6:$BK$37,61,0)-VLOOKUP(conciliacao_custos!B348,#REF!,15,0),0)</f>
        <v>0</v>
      </c>
    </row>
    <row r="349" spans="2:19" x14ac:dyDescent="0.25">
      <c r="B349" s="7">
        <f>[1]salario!A348</f>
        <v>0</v>
      </c>
      <c r="C349" s="8">
        <f>[1]salario!C348</f>
        <v>0</v>
      </c>
      <c r="D349" s="10">
        <f>IFERROR(VLOOKUP(B349,cubo!$A$6:$BE$37,6,0)-VLOOKUP(B349,#REF!,$D$2,0),0)</f>
        <v>0</v>
      </c>
      <c r="E349" s="10">
        <f>IFERROR(VLOOKUP(B349,cubo!$A$6:$BE$37,9,0)-VLOOKUP(B349,#REF!,$E$2,0),0)</f>
        <v>0</v>
      </c>
      <c r="F349" s="9">
        <f>IFERROR(VLOOKUP(B349,cubo!$A$6:$BE$37,12,0)-VLOOKUP(B349,#REF!,$F$2,0),0)</f>
        <v>0</v>
      </c>
      <c r="G349" s="9">
        <f>IFERROR(VLOOKUP(B349,cubo!$A$6:$BE$37,54,0)-VLOOKUP(B349,#REF!,$G$2,0),0)</f>
        <v>0</v>
      </c>
      <c r="H349" s="10">
        <f>IFERROR(VLOOKUP(B349,cubo!$A$6:$BE$37,15,0)-VLOOKUP(B349,#REF!,$H$2,0),0)</f>
        <v>0</v>
      </c>
      <c r="I349" s="9">
        <f>IFERROR(VLOOKUP(B349,cubo!$A$6:$BE$37,18,0)-VLOOKUP(B349,#REF!,$I$2,0),0)</f>
        <v>0</v>
      </c>
      <c r="J349" s="9">
        <f>IFERROR(VLOOKUP(B349,cubo!$A$6:$BE$37,24,0)-VLOOKUP(B349,#REF!,$J$2,0),0)</f>
        <v>0</v>
      </c>
      <c r="K349" s="9">
        <f>IFERROR(VLOOKUP(B349,cubo!$A$6:$BE$37,34,0)-VLOOKUP(B349,#REF!,$K$2,0),0)</f>
        <v>0</v>
      </c>
      <c r="L349" s="8">
        <f>IFERROR(VLOOKUP(B349,cubo!$A$6:$BE$37,38,0)-VLOOKUP(B349,#REF!,$L$2,0),0)</f>
        <v>0</v>
      </c>
      <c r="M349" s="15">
        <f>IFERROR(VLOOKUP(B349,cubo!$A$6:$BE$37,57,0)-VLOOKUP(B349,#REF!,$M$2,0),0)</f>
        <v>0</v>
      </c>
      <c r="N349" s="9">
        <f>IFERROR(VLOOKUP(B349,cubo!$A$6:$BK$37,41,0)-VLOOKUP(conciliacao_custos!B349,#REF!,18,0),0)</f>
        <v>0</v>
      </c>
      <c r="O349" s="9">
        <f>IFERROR(VLOOKUP(B349,cubo!$A$6:$BK$37,44,0)-VLOOKUP(conciliacao_custos!B349,#REF!,13,0),0)</f>
        <v>0</v>
      </c>
      <c r="P349" s="9">
        <f>IFERROR(VLOOKUP(B349,cubo!$A$6:$BK$37,47,0)-VLOOKUP(conciliacao_custos!B349,#REF!,14,0),0)</f>
        <v>0</v>
      </c>
      <c r="Q349" s="9">
        <f>IFERROR(VLOOKUP(B349,cubo!$A$6:$BK$37,58,0)-VLOOKUP(conciliacao_custos!B349,#REF!,16,0),0)</f>
        <v>0</v>
      </c>
      <c r="R349" s="9">
        <f>IFERROR(VLOOKUP(B349,cubo!$A$6:$BK$37,64,0)-VLOOKUP(conciliacao_custos!B349,#REF!,17,0),0)</f>
        <v>0</v>
      </c>
      <c r="S349" s="9">
        <f>IFERROR(VLOOKUP(B349,cubo!$A$6:$BK$37,61,0)-VLOOKUP(conciliacao_custos!B349,#REF!,15,0),0)</f>
        <v>0</v>
      </c>
    </row>
    <row r="350" spans="2:19" x14ac:dyDescent="0.25">
      <c r="B350" s="7">
        <f>[1]salario!A349</f>
        <v>0</v>
      </c>
      <c r="C350" s="8">
        <f>[1]salario!C349</f>
        <v>0</v>
      </c>
      <c r="D350" s="10">
        <f>IFERROR(VLOOKUP(B350,cubo!$A$6:$BE$37,6,0)-VLOOKUP(B350,#REF!,$D$2,0),0)</f>
        <v>0</v>
      </c>
      <c r="E350" s="10">
        <f>IFERROR(VLOOKUP(B350,cubo!$A$6:$BE$37,9,0)-VLOOKUP(B350,#REF!,$E$2,0),0)</f>
        <v>0</v>
      </c>
      <c r="F350" s="9">
        <f>IFERROR(VLOOKUP(B350,cubo!$A$6:$BE$37,12,0)-VLOOKUP(B350,#REF!,$F$2,0),0)</f>
        <v>0</v>
      </c>
      <c r="G350" s="9">
        <f>IFERROR(VLOOKUP(B350,cubo!$A$6:$BE$37,54,0)-VLOOKUP(B350,#REF!,$G$2,0),0)</f>
        <v>0</v>
      </c>
      <c r="H350" s="10">
        <f>IFERROR(VLOOKUP(B350,cubo!$A$6:$BE$37,15,0)-VLOOKUP(B350,#REF!,$H$2,0),0)</f>
        <v>0</v>
      </c>
      <c r="I350" s="9">
        <f>IFERROR(VLOOKUP(B350,cubo!$A$6:$BE$37,18,0)-VLOOKUP(B350,#REF!,$I$2,0),0)</f>
        <v>0</v>
      </c>
      <c r="J350" s="9">
        <f>IFERROR(VLOOKUP(B350,cubo!$A$6:$BE$37,24,0)-VLOOKUP(B350,#REF!,$J$2,0),0)</f>
        <v>0</v>
      </c>
      <c r="K350" s="9">
        <f>IFERROR(VLOOKUP(B350,cubo!$A$6:$BE$37,34,0)-VLOOKUP(B350,#REF!,$K$2,0),0)</f>
        <v>0</v>
      </c>
      <c r="L350" s="8">
        <f>IFERROR(VLOOKUP(B350,cubo!$A$6:$BE$37,38,0)-VLOOKUP(B350,#REF!,$L$2,0),0)</f>
        <v>0</v>
      </c>
      <c r="M350" s="15">
        <f>IFERROR(VLOOKUP(B350,cubo!$A$6:$BE$37,57,0)-VLOOKUP(B350,#REF!,$M$2,0),0)</f>
        <v>0</v>
      </c>
      <c r="N350" s="9">
        <f>IFERROR(VLOOKUP(B350,cubo!$A$6:$BK$37,41,0)-VLOOKUP(conciliacao_custos!B350,#REF!,18,0),0)</f>
        <v>0</v>
      </c>
      <c r="O350" s="9">
        <f>IFERROR(VLOOKUP(B350,cubo!$A$6:$BK$37,44,0)-VLOOKUP(conciliacao_custos!B350,#REF!,13,0),0)</f>
        <v>0</v>
      </c>
      <c r="P350" s="9">
        <f>IFERROR(VLOOKUP(B350,cubo!$A$6:$BK$37,47,0)-VLOOKUP(conciliacao_custos!B350,#REF!,14,0),0)</f>
        <v>0</v>
      </c>
      <c r="Q350" s="9">
        <f>IFERROR(VLOOKUP(B350,cubo!$A$6:$BK$37,58,0)-VLOOKUP(conciliacao_custos!B350,#REF!,16,0),0)</f>
        <v>0</v>
      </c>
      <c r="R350" s="9">
        <f>IFERROR(VLOOKUP(B350,cubo!$A$6:$BK$37,64,0)-VLOOKUP(conciliacao_custos!B350,#REF!,17,0),0)</f>
        <v>0</v>
      </c>
      <c r="S350" s="9">
        <f>IFERROR(VLOOKUP(B350,cubo!$A$6:$BK$37,61,0)-VLOOKUP(conciliacao_custos!B350,#REF!,15,0),0)</f>
        <v>0</v>
      </c>
    </row>
    <row r="351" spans="2:19" x14ac:dyDescent="0.25">
      <c r="B351" s="7">
        <f>[1]salario!A350</f>
        <v>0</v>
      </c>
      <c r="C351" s="8">
        <f>[1]salario!C350</f>
        <v>0</v>
      </c>
      <c r="D351" s="10">
        <f>IFERROR(VLOOKUP(B351,cubo!$A$6:$BE$37,6,0)-VLOOKUP(B351,#REF!,$D$2,0),0)</f>
        <v>0</v>
      </c>
      <c r="E351" s="10">
        <f>IFERROR(VLOOKUP(B351,cubo!$A$6:$BE$37,9,0)-VLOOKUP(B351,#REF!,$E$2,0),0)</f>
        <v>0</v>
      </c>
      <c r="F351" s="9">
        <f>IFERROR(VLOOKUP(B351,cubo!$A$6:$BE$37,12,0)-VLOOKUP(B351,#REF!,$F$2,0),0)</f>
        <v>0</v>
      </c>
      <c r="G351" s="9">
        <f>IFERROR(VLOOKUP(B351,cubo!$A$6:$BE$37,54,0)-VLOOKUP(B351,#REF!,$G$2,0),0)</f>
        <v>0</v>
      </c>
      <c r="H351" s="10">
        <f>IFERROR(VLOOKUP(B351,cubo!$A$6:$BE$37,15,0)-VLOOKUP(B351,#REF!,$H$2,0),0)</f>
        <v>0</v>
      </c>
      <c r="I351" s="9">
        <f>IFERROR(VLOOKUP(B351,cubo!$A$6:$BE$37,18,0)-VLOOKUP(B351,#REF!,$I$2,0),0)</f>
        <v>0</v>
      </c>
      <c r="J351" s="9">
        <f>IFERROR(VLOOKUP(B351,cubo!$A$6:$BE$37,24,0)-VLOOKUP(B351,#REF!,$J$2,0),0)</f>
        <v>0</v>
      </c>
      <c r="K351" s="9">
        <f>IFERROR(VLOOKUP(B351,cubo!$A$6:$BE$37,34,0)-VLOOKUP(B351,#REF!,$K$2,0),0)</f>
        <v>0</v>
      </c>
      <c r="L351" s="8">
        <f>IFERROR(VLOOKUP(B351,cubo!$A$6:$BE$37,38,0)-VLOOKUP(B351,#REF!,$L$2,0),0)</f>
        <v>0</v>
      </c>
      <c r="M351" s="15">
        <f>IFERROR(VLOOKUP(B351,cubo!$A$6:$BE$37,57,0)-VLOOKUP(B351,#REF!,$M$2,0),0)</f>
        <v>0</v>
      </c>
      <c r="N351" s="9">
        <f>IFERROR(VLOOKUP(B351,cubo!$A$6:$BK$37,41,0)-VLOOKUP(conciliacao_custos!B351,#REF!,18,0),0)</f>
        <v>0</v>
      </c>
      <c r="O351" s="9">
        <f>IFERROR(VLOOKUP(B351,cubo!$A$6:$BK$37,44,0)-VLOOKUP(conciliacao_custos!B351,#REF!,13,0),0)</f>
        <v>0</v>
      </c>
      <c r="P351" s="9">
        <f>IFERROR(VLOOKUP(B351,cubo!$A$6:$BK$37,47,0)-VLOOKUP(conciliacao_custos!B351,#REF!,14,0),0)</f>
        <v>0</v>
      </c>
      <c r="Q351" s="9">
        <f>IFERROR(VLOOKUP(B351,cubo!$A$6:$BK$37,58,0)-VLOOKUP(conciliacao_custos!B351,#REF!,16,0),0)</f>
        <v>0</v>
      </c>
      <c r="R351" s="9">
        <f>IFERROR(VLOOKUP(B351,cubo!$A$6:$BK$37,64,0)-VLOOKUP(conciliacao_custos!B351,#REF!,17,0),0)</f>
        <v>0</v>
      </c>
      <c r="S351" s="9">
        <f>IFERROR(VLOOKUP(B351,cubo!$A$6:$BK$37,61,0)-VLOOKUP(conciliacao_custos!B351,#REF!,15,0),0)</f>
        <v>0</v>
      </c>
    </row>
    <row r="352" spans="2:19" x14ac:dyDescent="0.25">
      <c r="B352" s="7">
        <f>[1]salario!A351</f>
        <v>0</v>
      </c>
      <c r="C352" s="8">
        <f>[1]salario!C351</f>
        <v>0</v>
      </c>
      <c r="D352" s="10">
        <f>IFERROR(VLOOKUP(B352,cubo!$A$6:$BE$37,6,0)-VLOOKUP(B352,#REF!,$D$2,0),0)</f>
        <v>0</v>
      </c>
      <c r="E352" s="10">
        <f>IFERROR(VLOOKUP(B352,cubo!$A$6:$BE$37,9,0)-VLOOKUP(B352,#REF!,$E$2,0),0)</f>
        <v>0</v>
      </c>
      <c r="F352" s="9">
        <f>IFERROR(VLOOKUP(B352,cubo!$A$6:$BE$37,12,0)-VLOOKUP(B352,#REF!,$F$2,0),0)</f>
        <v>0</v>
      </c>
      <c r="G352" s="9">
        <f>IFERROR(VLOOKUP(B352,cubo!$A$6:$BE$37,54,0)-VLOOKUP(B352,#REF!,$G$2,0),0)</f>
        <v>0</v>
      </c>
      <c r="H352" s="10">
        <f>IFERROR(VLOOKUP(B352,cubo!$A$6:$BE$37,15,0)-VLOOKUP(B352,#REF!,$H$2,0),0)</f>
        <v>0</v>
      </c>
      <c r="I352" s="9">
        <f>IFERROR(VLOOKUP(B352,cubo!$A$6:$BE$37,18,0)-VLOOKUP(B352,#REF!,$I$2,0),0)</f>
        <v>0</v>
      </c>
      <c r="J352" s="9">
        <f>IFERROR(VLOOKUP(B352,cubo!$A$6:$BE$37,24,0)-VLOOKUP(B352,#REF!,$J$2,0),0)</f>
        <v>0</v>
      </c>
      <c r="K352" s="9">
        <f>IFERROR(VLOOKUP(B352,cubo!$A$6:$BE$37,34,0)-VLOOKUP(B352,#REF!,$K$2,0),0)</f>
        <v>0</v>
      </c>
      <c r="L352" s="8">
        <f>IFERROR(VLOOKUP(B352,cubo!$A$6:$BE$37,38,0)-VLOOKUP(B352,#REF!,$L$2,0),0)</f>
        <v>0</v>
      </c>
      <c r="M352" s="15">
        <f>IFERROR(VLOOKUP(B352,cubo!$A$6:$BE$37,57,0)-VLOOKUP(B352,#REF!,$M$2,0),0)</f>
        <v>0</v>
      </c>
      <c r="N352" s="9">
        <f>IFERROR(VLOOKUP(B352,cubo!$A$6:$BK$37,41,0)-VLOOKUP(conciliacao_custos!B352,#REF!,18,0),0)</f>
        <v>0</v>
      </c>
      <c r="O352" s="9">
        <f>IFERROR(VLOOKUP(B352,cubo!$A$6:$BK$37,44,0)-VLOOKUP(conciliacao_custos!B352,#REF!,13,0),0)</f>
        <v>0</v>
      </c>
      <c r="P352" s="9">
        <f>IFERROR(VLOOKUP(B352,cubo!$A$6:$BK$37,47,0)-VLOOKUP(conciliacao_custos!B352,#REF!,14,0),0)</f>
        <v>0</v>
      </c>
      <c r="Q352" s="9">
        <f>IFERROR(VLOOKUP(B352,cubo!$A$6:$BK$37,58,0)-VLOOKUP(conciliacao_custos!B352,#REF!,16,0),0)</f>
        <v>0</v>
      </c>
      <c r="R352" s="9">
        <f>IFERROR(VLOOKUP(B352,cubo!$A$6:$BK$37,64,0)-VLOOKUP(conciliacao_custos!B352,#REF!,17,0),0)</f>
        <v>0</v>
      </c>
      <c r="S352" s="9">
        <f>IFERROR(VLOOKUP(B352,cubo!$A$6:$BK$37,61,0)-VLOOKUP(conciliacao_custos!B352,#REF!,15,0),0)</f>
        <v>0</v>
      </c>
    </row>
    <row r="353" spans="2:19" x14ac:dyDescent="0.25">
      <c r="B353" s="7">
        <f>[1]salario!A352</f>
        <v>0</v>
      </c>
      <c r="C353" s="8">
        <f>[1]salario!C352</f>
        <v>0</v>
      </c>
      <c r="D353" s="10">
        <f>IFERROR(VLOOKUP(B353,cubo!$A$6:$BE$37,6,0)-VLOOKUP(B353,#REF!,$D$2,0),0)</f>
        <v>0</v>
      </c>
      <c r="E353" s="10">
        <f>IFERROR(VLOOKUP(B353,cubo!$A$6:$BE$37,9,0)-VLOOKUP(B353,#REF!,$E$2,0),0)</f>
        <v>0</v>
      </c>
      <c r="F353" s="9">
        <f>IFERROR(VLOOKUP(B353,cubo!$A$6:$BE$37,12,0)-VLOOKUP(B353,#REF!,$F$2,0),0)</f>
        <v>0</v>
      </c>
      <c r="G353" s="9">
        <f>IFERROR(VLOOKUP(B353,cubo!$A$6:$BE$37,54,0)-VLOOKUP(B353,#REF!,$G$2,0),0)</f>
        <v>0</v>
      </c>
      <c r="H353" s="10">
        <f>IFERROR(VLOOKUP(B353,cubo!$A$6:$BE$37,15,0)-VLOOKUP(B353,#REF!,$H$2,0),0)</f>
        <v>0</v>
      </c>
      <c r="I353" s="9">
        <f>IFERROR(VLOOKUP(B353,cubo!$A$6:$BE$37,18,0)-VLOOKUP(B353,#REF!,$I$2,0),0)</f>
        <v>0</v>
      </c>
      <c r="J353" s="9">
        <f>IFERROR(VLOOKUP(B353,cubo!$A$6:$BE$37,24,0)-VLOOKUP(B353,#REF!,$J$2,0),0)</f>
        <v>0</v>
      </c>
      <c r="K353" s="9">
        <f>IFERROR(VLOOKUP(B353,cubo!$A$6:$BE$37,34,0)-VLOOKUP(B353,#REF!,$K$2,0),0)</f>
        <v>0</v>
      </c>
      <c r="L353" s="8">
        <f>IFERROR(VLOOKUP(B353,cubo!$A$6:$BE$37,38,0)-VLOOKUP(B353,#REF!,$L$2,0),0)</f>
        <v>0</v>
      </c>
      <c r="M353" s="15">
        <f>IFERROR(VLOOKUP(B353,cubo!$A$6:$BE$37,57,0)-VLOOKUP(B353,#REF!,$M$2,0),0)</f>
        <v>0</v>
      </c>
      <c r="N353" s="9">
        <f>IFERROR(VLOOKUP(B353,cubo!$A$6:$BK$37,41,0)-VLOOKUP(conciliacao_custos!B353,#REF!,18,0),0)</f>
        <v>0</v>
      </c>
      <c r="O353" s="9">
        <f>IFERROR(VLOOKUP(B353,cubo!$A$6:$BK$37,44,0)-VLOOKUP(conciliacao_custos!B353,#REF!,13,0),0)</f>
        <v>0</v>
      </c>
      <c r="P353" s="9">
        <f>IFERROR(VLOOKUP(B353,cubo!$A$6:$BK$37,47,0)-VLOOKUP(conciliacao_custos!B353,#REF!,14,0),0)</f>
        <v>0</v>
      </c>
      <c r="Q353" s="9">
        <f>IFERROR(VLOOKUP(B353,cubo!$A$6:$BK$37,58,0)-VLOOKUP(conciliacao_custos!B353,#REF!,16,0),0)</f>
        <v>0</v>
      </c>
      <c r="R353" s="9">
        <f>IFERROR(VLOOKUP(B353,cubo!$A$6:$BK$37,64,0)-VLOOKUP(conciliacao_custos!B353,#REF!,17,0),0)</f>
        <v>0</v>
      </c>
      <c r="S353" s="9">
        <f>IFERROR(VLOOKUP(B353,cubo!$A$6:$BK$37,61,0)-VLOOKUP(conciliacao_custos!B353,#REF!,15,0),0)</f>
        <v>0</v>
      </c>
    </row>
    <row r="354" spans="2:19" x14ac:dyDescent="0.25">
      <c r="B354" s="7">
        <f>[1]salario!A353</f>
        <v>0</v>
      </c>
      <c r="C354" s="8">
        <f>[1]salario!C353</f>
        <v>0</v>
      </c>
      <c r="D354" s="10">
        <f>IFERROR(VLOOKUP(B354,cubo!$A$6:$BE$37,6,0)-VLOOKUP(B354,#REF!,$D$2,0),0)</f>
        <v>0</v>
      </c>
      <c r="E354" s="10">
        <f>IFERROR(VLOOKUP(B354,cubo!$A$6:$BE$37,9,0)-VLOOKUP(B354,#REF!,$E$2,0),0)</f>
        <v>0</v>
      </c>
      <c r="F354" s="9">
        <f>IFERROR(VLOOKUP(B354,cubo!$A$6:$BE$37,12,0)-VLOOKUP(B354,#REF!,$F$2,0),0)</f>
        <v>0</v>
      </c>
      <c r="G354" s="9">
        <f>IFERROR(VLOOKUP(B354,cubo!$A$6:$BE$37,54,0)-VLOOKUP(B354,#REF!,$G$2,0),0)</f>
        <v>0</v>
      </c>
      <c r="H354" s="10">
        <f>IFERROR(VLOOKUP(B354,cubo!$A$6:$BE$37,15,0)-VLOOKUP(B354,#REF!,$H$2,0),0)</f>
        <v>0</v>
      </c>
      <c r="I354" s="9">
        <f>IFERROR(VLOOKUP(B354,cubo!$A$6:$BE$37,18,0)-VLOOKUP(B354,#REF!,$I$2,0),0)</f>
        <v>0</v>
      </c>
      <c r="J354" s="9">
        <f>IFERROR(VLOOKUP(B354,cubo!$A$6:$BE$37,24,0)-VLOOKUP(B354,#REF!,$J$2,0),0)</f>
        <v>0</v>
      </c>
      <c r="K354" s="9">
        <f>IFERROR(VLOOKUP(B354,cubo!$A$6:$BE$37,34,0)-VLOOKUP(B354,#REF!,$K$2,0),0)</f>
        <v>0</v>
      </c>
      <c r="L354" s="8">
        <f>IFERROR(VLOOKUP(B354,cubo!$A$6:$BE$37,38,0)-VLOOKUP(B354,#REF!,$L$2,0),0)</f>
        <v>0</v>
      </c>
      <c r="M354" s="15">
        <f>IFERROR(VLOOKUP(B354,cubo!$A$6:$BE$37,57,0)-VLOOKUP(B354,#REF!,$M$2,0),0)</f>
        <v>0</v>
      </c>
      <c r="N354" s="9">
        <f>IFERROR(VLOOKUP(B354,cubo!$A$6:$BK$37,41,0)-VLOOKUP(conciliacao_custos!B354,#REF!,18,0),0)</f>
        <v>0</v>
      </c>
      <c r="O354" s="9">
        <f>IFERROR(VLOOKUP(B354,cubo!$A$6:$BK$37,44,0)-VLOOKUP(conciliacao_custos!B354,#REF!,13,0),0)</f>
        <v>0</v>
      </c>
      <c r="P354" s="9">
        <f>IFERROR(VLOOKUP(B354,cubo!$A$6:$BK$37,47,0)-VLOOKUP(conciliacao_custos!B354,#REF!,14,0),0)</f>
        <v>0</v>
      </c>
      <c r="Q354" s="9">
        <f>IFERROR(VLOOKUP(B354,cubo!$A$6:$BK$37,58,0)-VLOOKUP(conciliacao_custos!B354,#REF!,16,0),0)</f>
        <v>0</v>
      </c>
      <c r="R354" s="9">
        <f>IFERROR(VLOOKUP(B354,cubo!$A$6:$BK$37,64,0)-VLOOKUP(conciliacao_custos!B354,#REF!,17,0),0)</f>
        <v>0</v>
      </c>
      <c r="S354" s="9">
        <f>IFERROR(VLOOKUP(B354,cubo!$A$6:$BK$37,61,0)-VLOOKUP(conciliacao_custos!B354,#REF!,15,0),0)</f>
        <v>0</v>
      </c>
    </row>
    <row r="355" spans="2:19" x14ac:dyDescent="0.25">
      <c r="B355" s="7">
        <f>[1]salario!A354</f>
        <v>0</v>
      </c>
      <c r="C355" s="8">
        <f>[1]salario!C354</f>
        <v>0</v>
      </c>
      <c r="D355" s="10">
        <f>IFERROR(VLOOKUP(B355,cubo!$A$6:$BE$37,6,0)-VLOOKUP(B355,#REF!,$D$2,0),0)</f>
        <v>0</v>
      </c>
      <c r="E355" s="10">
        <f>IFERROR(VLOOKUP(B355,cubo!$A$6:$BE$37,9,0)-VLOOKUP(B355,#REF!,$E$2,0),0)</f>
        <v>0</v>
      </c>
      <c r="F355" s="9">
        <f>IFERROR(VLOOKUP(B355,cubo!$A$6:$BE$37,12,0)-VLOOKUP(B355,#REF!,$F$2,0),0)</f>
        <v>0</v>
      </c>
      <c r="G355" s="9">
        <f>IFERROR(VLOOKUP(B355,cubo!$A$6:$BE$37,54,0)-VLOOKUP(B355,#REF!,$G$2,0),0)</f>
        <v>0</v>
      </c>
      <c r="H355" s="10">
        <f>IFERROR(VLOOKUP(B355,cubo!$A$6:$BE$37,15,0)-VLOOKUP(B355,#REF!,$H$2,0),0)</f>
        <v>0</v>
      </c>
      <c r="I355" s="9">
        <f>IFERROR(VLOOKUP(B355,cubo!$A$6:$BE$37,18,0)-VLOOKUP(B355,#REF!,$I$2,0),0)</f>
        <v>0</v>
      </c>
      <c r="J355" s="9">
        <f>IFERROR(VLOOKUP(B355,cubo!$A$6:$BE$37,24,0)-VLOOKUP(B355,#REF!,$J$2,0),0)</f>
        <v>0</v>
      </c>
      <c r="K355" s="9">
        <f>IFERROR(VLOOKUP(B355,cubo!$A$6:$BE$37,34,0)-VLOOKUP(B355,#REF!,$K$2,0),0)</f>
        <v>0</v>
      </c>
      <c r="L355" s="8">
        <f>IFERROR(VLOOKUP(B355,cubo!$A$6:$BE$37,38,0)-VLOOKUP(B355,#REF!,$L$2,0),0)</f>
        <v>0</v>
      </c>
      <c r="M355" s="15">
        <f>IFERROR(VLOOKUP(B355,cubo!$A$6:$BE$37,57,0)-VLOOKUP(B355,#REF!,$M$2,0),0)</f>
        <v>0</v>
      </c>
      <c r="N355" s="9">
        <f>IFERROR(VLOOKUP(B355,cubo!$A$6:$BK$37,41,0)-VLOOKUP(conciliacao_custos!B355,#REF!,18,0),0)</f>
        <v>0</v>
      </c>
      <c r="O355" s="9">
        <f>IFERROR(VLOOKUP(B355,cubo!$A$6:$BK$37,44,0)-VLOOKUP(conciliacao_custos!B355,#REF!,13,0),0)</f>
        <v>0</v>
      </c>
      <c r="P355" s="9">
        <f>IFERROR(VLOOKUP(B355,cubo!$A$6:$BK$37,47,0)-VLOOKUP(conciliacao_custos!B355,#REF!,14,0),0)</f>
        <v>0</v>
      </c>
      <c r="Q355" s="9">
        <f>IFERROR(VLOOKUP(B355,cubo!$A$6:$BK$37,58,0)-VLOOKUP(conciliacao_custos!B355,#REF!,16,0),0)</f>
        <v>0</v>
      </c>
      <c r="R355" s="9">
        <f>IFERROR(VLOOKUP(B355,cubo!$A$6:$BK$37,64,0)-VLOOKUP(conciliacao_custos!B355,#REF!,17,0),0)</f>
        <v>0</v>
      </c>
      <c r="S355" s="9">
        <f>IFERROR(VLOOKUP(B355,cubo!$A$6:$BK$37,61,0)-VLOOKUP(conciliacao_custos!B355,#REF!,15,0),0)</f>
        <v>0</v>
      </c>
    </row>
    <row r="356" spans="2:19" x14ac:dyDescent="0.25">
      <c r="B356" s="7">
        <f>[1]salario!A355</f>
        <v>0</v>
      </c>
      <c r="C356" s="8">
        <f>[1]salario!C355</f>
        <v>0</v>
      </c>
      <c r="D356" s="10">
        <f>IFERROR(VLOOKUP(B356,cubo!$A$6:$BE$37,6,0)-VLOOKUP(B356,#REF!,$D$2,0),0)</f>
        <v>0</v>
      </c>
      <c r="E356" s="10">
        <f>IFERROR(VLOOKUP(B356,cubo!$A$6:$BE$37,9,0)-VLOOKUP(B356,#REF!,$E$2,0),0)</f>
        <v>0</v>
      </c>
      <c r="F356" s="9">
        <f>IFERROR(VLOOKUP(B356,cubo!$A$6:$BE$37,12,0)-VLOOKUP(B356,#REF!,$F$2,0),0)</f>
        <v>0</v>
      </c>
      <c r="G356" s="9">
        <f>IFERROR(VLOOKUP(B356,cubo!$A$6:$BE$37,54,0)-VLOOKUP(B356,#REF!,$G$2,0),0)</f>
        <v>0</v>
      </c>
      <c r="H356" s="10">
        <f>IFERROR(VLOOKUP(B356,cubo!$A$6:$BE$37,15,0)-VLOOKUP(B356,#REF!,$H$2,0),0)</f>
        <v>0</v>
      </c>
      <c r="I356" s="9">
        <f>IFERROR(VLOOKUP(B356,cubo!$A$6:$BE$37,18,0)-VLOOKUP(B356,#REF!,$I$2,0),0)</f>
        <v>0</v>
      </c>
      <c r="J356" s="9">
        <f>IFERROR(VLOOKUP(B356,cubo!$A$6:$BE$37,24,0)-VLOOKUP(B356,#REF!,$J$2,0),0)</f>
        <v>0</v>
      </c>
      <c r="K356" s="9">
        <f>IFERROR(VLOOKUP(B356,cubo!$A$6:$BE$37,34,0)-VLOOKUP(B356,#REF!,$K$2,0),0)</f>
        <v>0</v>
      </c>
      <c r="L356" s="8">
        <f>IFERROR(VLOOKUP(B356,cubo!$A$6:$BE$37,38,0)-VLOOKUP(B356,#REF!,$L$2,0),0)</f>
        <v>0</v>
      </c>
      <c r="M356" s="15">
        <f>IFERROR(VLOOKUP(B356,cubo!$A$6:$BE$37,57,0)-VLOOKUP(B356,#REF!,$M$2,0),0)</f>
        <v>0</v>
      </c>
      <c r="N356" s="9">
        <f>IFERROR(VLOOKUP(B356,cubo!$A$6:$BK$37,41,0)-VLOOKUP(conciliacao_custos!B356,#REF!,18,0),0)</f>
        <v>0</v>
      </c>
      <c r="O356" s="9">
        <f>IFERROR(VLOOKUP(B356,cubo!$A$6:$BK$37,44,0)-VLOOKUP(conciliacao_custos!B356,#REF!,13,0),0)</f>
        <v>0</v>
      </c>
      <c r="P356" s="9">
        <f>IFERROR(VLOOKUP(B356,cubo!$A$6:$BK$37,47,0)-VLOOKUP(conciliacao_custos!B356,#REF!,14,0),0)</f>
        <v>0</v>
      </c>
      <c r="Q356" s="9">
        <f>IFERROR(VLOOKUP(B356,cubo!$A$6:$BK$37,58,0)-VLOOKUP(conciliacao_custos!B356,#REF!,16,0),0)</f>
        <v>0</v>
      </c>
      <c r="R356" s="9">
        <f>IFERROR(VLOOKUP(B356,cubo!$A$6:$BK$37,64,0)-VLOOKUP(conciliacao_custos!B356,#REF!,17,0),0)</f>
        <v>0</v>
      </c>
      <c r="S356" s="9">
        <f>IFERROR(VLOOKUP(B356,cubo!$A$6:$BK$37,61,0)-VLOOKUP(conciliacao_custos!B356,#REF!,15,0),0)</f>
        <v>0</v>
      </c>
    </row>
    <row r="357" spans="2:19" x14ac:dyDescent="0.25">
      <c r="B357" s="7">
        <f>[1]salario!A356</f>
        <v>0</v>
      </c>
      <c r="C357" s="8">
        <f>[1]salario!C356</f>
        <v>0</v>
      </c>
      <c r="D357" s="10">
        <f>IFERROR(VLOOKUP(B357,cubo!$A$6:$BE$37,6,0)-VLOOKUP(B357,#REF!,$D$2,0),0)</f>
        <v>0</v>
      </c>
      <c r="E357" s="10">
        <f>IFERROR(VLOOKUP(B357,cubo!$A$6:$BE$37,9,0)-VLOOKUP(B357,#REF!,$E$2,0),0)</f>
        <v>0</v>
      </c>
      <c r="F357" s="9">
        <f>IFERROR(VLOOKUP(B357,cubo!$A$6:$BE$37,12,0)-VLOOKUP(B357,#REF!,$F$2,0),0)</f>
        <v>0</v>
      </c>
      <c r="G357" s="9">
        <f>IFERROR(VLOOKUP(B357,cubo!$A$6:$BE$37,54,0)-VLOOKUP(B357,#REF!,$G$2,0),0)</f>
        <v>0</v>
      </c>
      <c r="H357" s="10">
        <f>IFERROR(VLOOKUP(B357,cubo!$A$6:$BE$37,15,0)-VLOOKUP(B357,#REF!,$H$2,0),0)</f>
        <v>0</v>
      </c>
      <c r="I357" s="9">
        <f>IFERROR(VLOOKUP(B357,cubo!$A$6:$BE$37,18,0)-VLOOKUP(B357,#REF!,$I$2,0),0)</f>
        <v>0</v>
      </c>
      <c r="J357" s="9">
        <f>IFERROR(VLOOKUP(B357,cubo!$A$6:$BE$37,24,0)-VLOOKUP(B357,#REF!,$J$2,0),0)</f>
        <v>0</v>
      </c>
      <c r="K357" s="9">
        <f>IFERROR(VLOOKUP(B357,cubo!$A$6:$BE$37,34,0)-VLOOKUP(B357,#REF!,$K$2,0),0)</f>
        <v>0</v>
      </c>
      <c r="L357" s="8">
        <f>IFERROR(VLOOKUP(B357,cubo!$A$6:$BE$37,38,0)-VLOOKUP(B357,#REF!,$L$2,0),0)</f>
        <v>0</v>
      </c>
      <c r="M357" s="15">
        <f>IFERROR(VLOOKUP(B357,cubo!$A$6:$BE$37,57,0)-VLOOKUP(B357,#REF!,$M$2,0),0)</f>
        <v>0</v>
      </c>
      <c r="N357" s="9">
        <f>IFERROR(VLOOKUP(B357,cubo!$A$6:$BK$37,41,0)-VLOOKUP(conciliacao_custos!B357,#REF!,18,0),0)</f>
        <v>0</v>
      </c>
      <c r="O357" s="9">
        <f>IFERROR(VLOOKUP(B357,cubo!$A$6:$BK$37,44,0)-VLOOKUP(conciliacao_custos!B357,#REF!,13,0),0)</f>
        <v>0</v>
      </c>
      <c r="P357" s="9">
        <f>IFERROR(VLOOKUP(B357,cubo!$A$6:$BK$37,47,0)-VLOOKUP(conciliacao_custos!B357,#REF!,14,0),0)</f>
        <v>0</v>
      </c>
      <c r="Q357" s="9">
        <f>IFERROR(VLOOKUP(B357,cubo!$A$6:$BK$37,58,0)-VLOOKUP(conciliacao_custos!B357,#REF!,16,0),0)</f>
        <v>0</v>
      </c>
      <c r="R357" s="9">
        <f>IFERROR(VLOOKUP(B357,cubo!$A$6:$BK$37,64,0)-VLOOKUP(conciliacao_custos!B357,#REF!,17,0),0)</f>
        <v>0</v>
      </c>
      <c r="S357" s="9">
        <f>IFERROR(VLOOKUP(B357,cubo!$A$6:$BK$37,61,0)-VLOOKUP(conciliacao_custos!B357,#REF!,15,0),0)</f>
        <v>0</v>
      </c>
    </row>
    <row r="358" spans="2:19" x14ac:dyDescent="0.25">
      <c r="B358" s="7">
        <f>[1]salario!A357</f>
        <v>0</v>
      </c>
      <c r="C358" s="8">
        <f>[1]salario!C357</f>
        <v>0</v>
      </c>
      <c r="D358" s="10">
        <f>IFERROR(VLOOKUP(B358,cubo!$A$6:$BE$37,6,0)-VLOOKUP(B358,#REF!,$D$2,0),0)</f>
        <v>0</v>
      </c>
      <c r="E358" s="10">
        <f>IFERROR(VLOOKUP(B358,cubo!$A$6:$BE$37,9,0)-VLOOKUP(B358,#REF!,$E$2,0),0)</f>
        <v>0</v>
      </c>
      <c r="F358" s="9">
        <f>IFERROR(VLOOKUP(B358,cubo!$A$6:$BE$37,12,0)-VLOOKUP(B358,#REF!,$F$2,0),0)</f>
        <v>0</v>
      </c>
      <c r="G358" s="9">
        <f>IFERROR(VLOOKUP(B358,cubo!$A$6:$BE$37,54,0)-VLOOKUP(B358,#REF!,$G$2,0),0)</f>
        <v>0</v>
      </c>
      <c r="H358" s="10">
        <f>IFERROR(VLOOKUP(B358,cubo!$A$6:$BE$37,15,0)-VLOOKUP(B358,#REF!,$H$2,0),0)</f>
        <v>0</v>
      </c>
      <c r="I358" s="9">
        <f>IFERROR(VLOOKUP(B358,cubo!$A$6:$BE$37,18,0)-VLOOKUP(B358,#REF!,$I$2,0),0)</f>
        <v>0</v>
      </c>
      <c r="J358" s="9">
        <f>IFERROR(VLOOKUP(B358,cubo!$A$6:$BE$37,24,0)-VLOOKUP(B358,#REF!,$J$2,0),0)</f>
        <v>0</v>
      </c>
      <c r="K358" s="9">
        <f>IFERROR(VLOOKUP(B358,cubo!$A$6:$BE$37,34,0)-VLOOKUP(B358,#REF!,$K$2,0),0)</f>
        <v>0</v>
      </c>
      <c r="L358" s="8">
        <f>IFERROR(VLOOKUP(B358,cubo!$A$6:$BE$37,38,0)-VLOOKUP(B358,#REF!,$L$2,0),0)</f>
        <v>0</v>
      </c>
      <c r="M358" s="15">
        <f>IFERROR(VLOOKUP(B358,cubo!$A$6:$BE$37,57,0)-VLOOKUP(B358,#REF!,$M$2,0),0)</f>
        <v>0</v>
      </c>
      <c r="N358" s="9">
        <f>IFERROR(VLOOKUP(B358,cubo!$A$6:$BK$37,41,0)-VLOOKUP(conciliacao_custos!B358,#REF!,18,0),0)</f>
        <v>0</v>
      </c>
      <c r="O358" s="9">
        <f>IFERROR(VLOOKUP(B358,cubo!$A$6:$BK$37,44,0)-VLOOKUP(conciliacao_custos!B358,#REF!,13,0),0)</f>
        <v>0</v>
      </c>
      <c r="P358" s="9">
        <f>IFERROR(VLOOKUP(B358,cubo!$A$6:$BK$37,47,0)-VLOOKUP(conciliacao_custos!B358,#REF!,14,0),0)</f>
        <v>0</v>
      </c>
      <c r="Q358" s="9">
        <f>IFERROR(VLOOKUP(B358,cubo!$A$6:$BK$37,58,0)-VLOOKUP(conciliacao_custos!B358,#REF!,16,0),0)</f>
        <v>0</v>
      </c>
      <c r="R358" s="9">
        <f>IFERROR(VLOOKUP(B358,cubo!$A$6:$BK$37,64,0)-VLOOKUP(conciliacao_custos!B358,#REF!,17,0),0)</f>
        <v>0</v>
      </c>
      <c r="S358" s="9">
        <f>IFERROR(VLOOKUP(B358,cubo!$A$6:$BK$37,61,0)-VLOOKUP(conciliacao_custos!B358,#REF!,15,0),0)</f>
        <v>0</v>
      </c>
    </row>
    <row r="359" spans="2:19" x14ac:dyDescent="0.25">
      <c r="B359" s="7">
        <f>[1]salario!A358</f>
        <v>0</v>
      </c>
      <c r="C359" s="8">
        <f>[1]salario!C358</f>
        <v>0</v>
      </c>
      <c r="D359" s="10">
        <f>IFERROR(VLOOKUP(B359,cubo!$A$6:$BE$37,6,0)-VLOOKUP(B359,#REF!,$D$2,0),0)</f>
        <v>0</v>
      </c>
      <c r="E359" s="10">
        <f>IFERROR(VLOOKUP(B359,cubo!$A$6:$BE$37,9,0)-VLOOKUP(B359,#REF!,$E$2,0),0)</f>
        <v>0</v>
      </c>
      <c r="F359" s="9">
        <f>IFERROR(VLOOKUP(B359,cubo!$A$6:$BE$37,12,0)-VLOOKUP(B359,#REF!,$F$2,0),0)</f>
        <v>0</v>
      </c>
      <c r="G359" s="9">
        <f>IFERROR(VLOOKUP(B359,cubo!$A$6:$BE$37,54,0)-VLOOKUP(B359,#REF!,$G$2,0),0)</f>
        <v>0</v>
      </c>
      <c r="H359" s="10">
        <f>IFERROR(VLOOKUP(B359,cubo!$A$6:$BE$37,15,0)-VLOOKUP(B359,#REF!,$H$2,0),0)</f>
        <v>0</v>
      </c>
      <c r="I359" s="9">
        <f>IFERROR(VLOOKUP(B359,cubo!$A$6:$BE$37,18,0)-VLOOKUP(B359,#REF!,$I$2,0),0)</f>
        <v>0</v>
      </c>
      <c r="J359" s="9">
        <f>IFERROR(VLOOKUP(B359,cubo!$A$6:$BE$37,24,0)-VLOOKUP(B359,#REF!,$J$2,0),0)</f>
        <v>0</v>
      </c>
      <c r="K359" s="9">
        <f>IFERROR(VLOOKUP(B359,cubo!$A$6:$BE$37,34,0)-VLOOKUP(B359,#REF!,$K$2,0),0)</f>
        <v>0</v>
      </c>
      <c r="L359" s="8">
        <f>IFERROR(VLOOKUP(B359,cubo!$A$6:$BE$37,38,0)-VLOOKUP(B359,#REF!,$L$2,0),0)</f>
        <v>0</v>
      </c>
      <c r="M359" s="15">
        <f>IFERROR(VLOOKUP(B359,cubo!$A$6:$BE$37,57,0)-VLOOKUP(B359,#REF!,$M$2,0),0)</f>
        <v>0</v>
      </c>
      <c r="N359" s="9">
        <f>IFERROR(VLOOKUP(B359,cubo!$A$6:$BK$37,41,0)-VLOOKUP(conciliacao_custos!B359,#REF!,18,0),0)</f>
        <v>0</v>
      </c>
      <c r="O359" s="9">
        <f>IFERROR(VLOOKUP(B359,cubo!$A$6:$BK$37,44,0)-VLOOKUP(conciliacao_custos!B359,#REF!,13,0),0)</f>
        <v>0</v>
      </c>
      <c r="P359" s="9">
        <f>IFERROR(VLOOKUP(B359,cubo!$A$6:$BK$37,47,0)-VLOOKUP(conciliacao_custos!B359,#REF!,14,0),0)</f>
        <v>0</v>
      </c>
      <c r="Q359" s="9">
        <f>IFERROR(VLOOKUP(B359,cubo!$A$6:$BK$37,58,0)-VLOOKUP(conciliacao_custos!B359,#REF!,16,0),0)</f>
        <v>0</v>
      </c>
      <c r="R359" s="9">
        <f>IFERROR(VLOOKUP(B359,cubo!$A$6:$BK$37,64,0)-VLOOKUP(conciliacao_custos!B359,#REF!,17,0),0)</f>
        <v>0</v>
      </c>
      <c r="S359" s="9">
        <f>IFERROR(VLOOKUP(B359,cubo!$A$6:$BK$37,61,0)-VLOOKUP(conciliacao_custos!B359,#REF!,15,0),0)</f>
        <v>0</v>
      </c>
    </row>
    <row r="360" spans="2:19" x14ac:dyDescent="0.25">
      <c r="B360" s="7">
        <f>[1]salario!A359</f>
        <v>0</v>
      </c>
      <c r="C360" s="8">
        <f>[1]salario!C359</f>
        <v>0</v>
      </c>
      <c r="D360" s="10">
        <f>IFERROR(VLOOKUP(B360,cubo!$A$6:$BE$37,6,0)-VLOOKUP(B360,#REF!,$D$2,0),0)</f>
        <v>0</v>
      </c>
      <c r="E360" s="10">
        <f>IFERROR(VLOOKUP(B360,cubo!$A$6:$BE$37,9,0)-VLOOKUP(B360,#REF!,$E$2,0),0)</f>
        <v>0</v>
      </c>
      <c r="F360" s="9">
        <f>IFERROR(VLOOKUP(B360,cubo!$A$6:$BE$37,12,0)-VLOOKUP(B360,#REF!,$F$2,0),0)</f>
        <v>0</v>
      </c>
      <c r="G360" s="9">
        <f>IFERROR(VLOOKUP(B360,cubo!$A$6:$BE$37,54,0)-VLOOKUP(B360,#REF!,$G$2,0),0)</f>
        <v>0</v>
      </c>
      <c r="H360" s="10">
        <f>IFERROR(VLOOKUP(B360,cubo!$A$6:$BE$37,15,0)-VLOOKUP(B360,#REF!,$H$2,0),0)</f>
        <v>0</v>
      </c>
      <c r="I360" s="9">
        <f>IFERROR(VLOOKUP(B360,cubo!$A$6:$BE$37,18,0)-VLOOKUP(B360,#REF!,$I$2,0),0)</f>
        <v>0</v>
      </c>
      <c r="J360" s="9">
        <f>IFERROR(VLOOKUP(B360,cubo!$A$6:$BE$37,24,0)-VLOOKUP(B360,#REF!,$J$2,0),0)</f>
        <v>0</v>
      </c>
      <c r="K360" s="9">
        <f>IFERROR(VLOOKUP(B360,cubo!$A$6:$BE$37,34,0)-VLOOKUP(B360,#REF!,$K$2,0),0)</f>
        <v>0</v>
      </c>
      <c r="L360" s="8">
        <f>IFERROR(VLOOKUP(B360,cubo!$A$6:$BE$37,38,0)-VLOOKUP(B360,#REF!,$L$2,0),0)</f>
        <v>0</v>
      </c>
      <c r="M360" s="15">
        <f>IFERROR(VLOOKUP(B360,cubo!$A$6:$BE$37,57,0)-VLOOKUP(B360,#REF!,$M$2,0),0)</f>
        <v>0</v>
      </c>
      <c r="N360" s="9">
        <f>IFERROR(VLOOKUP(B360,cubo!$A$6:$BK$37,41,0)-VLOOKUP(conciliacao_custos!B360,#REF!,18,0),0)</f>
        <v>0</v>
      </c>
      <c r="O360" s="9">
        <f>IFERROR(VLOOKUP(B360,cubo!$A$6:$BK$37,44,0)-VLOOKUP(conciliacao_custos!B360,#REF!,13,0),0)</f>
        <v>0</v>
      </c>
      <c r="P360" s="9">
        <f>IFERROR(VLOOKUP(B360,cubo!$A$6:$BK$37,47,0)-VLOOKUP(conciliacao_custos!B360,#REF!,14,0),0)</f>
        <v>0</v>
      </c>
      <c r="Q360" s="9">
        <f>IFERROR(VLOOKUP(B360,cubo!$A$6:$BK$37,58,0)-VLOOKUP(conciliacao_custos!B360,#REF!,16,0),0)</f>
        <v>0</v>
      </c>
      <c r="R360" s="9">
        <f>IFERROR(VLOOKUP(B360,cubo!$A$6:$BK$37,64,0)-VLOOKUP(conciliacao_custos!B360,#REF!,17,0),0)</f>
        <v>0</v>
      </c>
      <c r="S360" s="9">
        <f>IFERROR(VLOOKUP(B360,cubo!$A$6:$BK$37,61,0)-VLOOKUP(conciliacao_custos!B360,#REF!,15,0),0)</f>
        <v>0</v>
      </c>
    </row>
    <row r="361" spans="2:19" x14ac:dyDescent="0.25">
      <c r="B361" s="7">
        <f>[1]salario!A360</f>
        <v>0</v>
      </c>
      <c r="C361" s="8">
        <f>[1]salario!C360</f>
        <v>0</v>
      </c>
      <c r="D361" s="10">
        <f>IFERROR(VLOOKUP(B361,cubo!$A$6:$BE$37,6,0)-VLOOKUP(B361,#REF!,$D$2,0),0)</f>
        <v>0</v>
      </c>
      <c r="E361" s="10">
        <f>IFERROR(VLOOKUP(B361,cubo!$A$6:$BE$37,9,0)-VLOOKUP(B361,#REF!,$E$2,0),0)</f>
        <v>0</v>
      </c>
      <c r="F361" s="9">
        <f>IFERROR(VLOOKUP(B361,cubo!$A$6:$BE$37,12,0)-VLOOKUP(B361,#REF!,$F$2,0),0)</f>
        <v>0</v>
      </c>
      <c r="G361" s="9">
        <f>IFERROR(VLOOKUP(B361,cubo!$A$6:$BE$37,54,0)-VLOOKUP(B361,#REF!,$G$2,0),0)</f>
        <v>0</v>
      </c>
      <c r="H361" s="10">
        <f>IFERROR(VLOOKUP(B361,cubo!$A$6:$BE$37,15,0)-VLOOKUP(B361,#REF!,$H$2,0),0)</f>
        <v>0</v>
      </c>
      <c r="I361" s="9">
        <f>IFERROR(VLOOKUP(B361,cubo!$A$6:$BE$37,18,0)-VLOOKUP(B361,#REF!,$I$2,0),0)</f>
        <v>0</v>
      </c>
      <c r="J361" s="9">
        <f>IFERROR(VLOOKUP(B361,cubo!$A$6:$BE$37,24,0)-VLOOKUP(B361,#REF!,$J$2,0),0)</f>
        <v>0</v>
      </c>
      <c r="K361" s="9">
        <f>IFERROR(VLOOKUP(B361,cubo!$A$6:$BE$37,34,0)-VLOOKUP(B361,#REF!,$K$2,0),0)</f>
        <v>0</v>
      </c>
      <c r="L361" s="8">
        <f>IFERROR(VLOOKUP(B361,cubo!$A$6:$BE$37,38,0)-VLOOKUP(B361,#REF!,$L$2,0),0)</f>
        <v>0</v>
      </c>
      <c r="M361" s="15">
        <f>IFERROR(VLOOKUP(B361,cubo!$A$6:$BE$37,57,0)-VLOOKUP(B361,#REF!,$M$2,0),0)</f>
        <v>0</v>
      </c>
      <c r="N361" s="9">
        <f>IFERROR(VLOOKUP(B361,cubo!$A$6:$BK$37,41,0)-VLOOKUP(conciliacao_custos!B361,#REF!,18,0),0)</f>
        <v>0</v>
      </c>
      <c r="O361" s="9">
        <f>IFERROR(VLOOKUP(B361,cubo!$A$6:$BK$37,44,0)-VLOOKUP(conciliacao_custos!B361,#REF!,13,0),0)</f>
        <v>0</v>
      </c>
      <c r="P361" s="9">
        <f>IFERROR(VLOOKUP(B361,cubo!$A$6:$BK$37,47,0)-VLOOKUP(conciliacao_custos!B361,#REF!,14,0),0)</f>
        <v>0</v>
      </c>
      <c r="Q361" s="9">
        <f>IFERROR(VLOOKUP(B361,cubo!$A$6:$BK$37,58,0)-VLOOKUP(conciliacao_custos!B361,#REF!,16,0),0)</f>
        <v>0</v>
      </c>
      <c r="R361" s="9">
        <f>IFERROR(VLOOKUP(B361,cubo!$A$6:$BK$37,64,0)-VLOOKUP(conciliacao_custos!B361,#REF!,17,0),0)</f>
        <v>0</v>
      </c>
      <c r="S361" s="9">
        <f>IFERROR(VLOOKUP(B361,cubo!$A$6:$BK$37,61,0)-VLOOKUP(conciliacao_custos!B361,#REF!,15,0),0)</f>
        <v>0</v>
      </c>
    </row>
    <row r="362" spans="2:19" x14ac:dyDescent="0.25">
      <c r="B362" s="7">
        <f>[1]salario!A361</f>
        <v>0</v>
      </c>
      <c r="C362" s="8">
        <f>[1]salario!C361</f>
        <v>0</v>
      </c>
      <c r="D362" s="10">
        <f>IFERROR(VLOOKUP(B362,cubo!$A$6:$BE$37,6,0)-VLOOKUP(B362,#REF!,$D$2,0),0)</f>
        <v>0</v>
      </c>
      <c r="E362" s="10">
        <f>IFERROR(VLOOKUP(B362,cubo!$A$6:$BE$37,9,0)-VLOOKUP(B362,#REF!,$E$2,0),0)</f>
        <v>0</v>
      </c>
      <c r="F362" s="9">
        <f>IFERROR(VLOOKUP(B362,cubo!$A$6:$BE$37,12,0)-VLOOKUP(B362,#REF!,$F$2,0),0)</f>
        <v>0</v>
      </c>
      <c r="G362" s="9">
        <f>IFERROR(VLOOKUP(B362,cubo!$A$6:$BE$37,54,0)-VLOOKUP(B362,#REF!,$G$2,0),0)</f>
        <v>0</v>
      </c>
      <c r="H362" s="10">
        <f>IFERROR(VLOOKUP(B362,cubo!$A$6:$BE$37,15,0)-VLOOKUP(B362,#REF!,$H$2,0),0)</f>
        <v>0</v>
      </c>
      <c r="I362" s="9">
        <f>IFERROR(VLOOKUP(B362,cubo!$A$6:$BE$37,18,0)-VLOOKUP(B362,#REF!,$I$2,0),0)</f>
        <v>0</v>
      </c>
      <c r="J362" s="9">
        <f>IFERROR(VLOOKUP(B362,cubo!$A$6:$BE$37,24,0)-VLOOKUP(B362,#REF!,$J$2,0),0)</f>
        <v>0</v>
      </c>
      <c r="K362" s="9">
        <f>IFERROR(VLOOKUP(B362,cubo!$A$6:$BE$37,34,0)-VLOOKUP(B362,#REF!,$K$2,0),0)</f>
        <v>0</v>
      </c>
      <c r="L362" s="8">
        <f>IFERROR(VLOOKUP(B362,cubo!$A$6:$BE$37,38,0)-VLOOKUP(B362,#REF!,$L$2,0),0)</f>
        <v>0</v>
      </c>
      <c r="M362" s="15">
        <f>IFERROR(VLOOKUP(B362,cubo!$A$6:$BE$37,57,0)-VLOOKUP(B362,#REF!,$M$2,0),0)</f>
        <v>0</v>
      </c>
      <c r="N362" s="9">
        <f>IFERROR(VLOOKUP(B362,cubo!$A$6:$BK$37,41,0)-VLOOKUP(conciliacao_custos!B362,#REF!,18,0),0)</f>
        <v>0</v>
      </c>
      <c r="O362" s="9">
        <f>IFERROR(VLOOKUP(B362,cubo!$A$6:$BK$37,44,0)-VLOOKUP(conciliacao_custos!B362,#REF!,13,0),0)</f>
        <v>0</v>
      </c>
      <c r="P362" s="9">
        <f>IFERROR(VLOOKUP(B362,cubo!$A$6:$BK$37,47,0)-VLOOKUP(conciliacao_custos!B362,#REF!,14,0),0)</f>
        <v>0</v>
      </c>
      <c r="Q362" s="9">
        <f>IFERROR(VLOOKUP(B362,cubo!$A$6:$BK$37,58,0)-VLOOKUP(conciliacao_custos!B362,#REF!,16,0),0)</f>
        <v>0</v>
      </c>
      <c r="R362" s="9">
        <f>IFERROR(VLOOKUP(B362,cubo!$A$6:$BK$37,64,0)-VLOOKUP(conciliacao_custos!B362,#REF!,17,0),0)</f>
        <v>0</v>
      </c>
      <c r="S362" s="9">
        <f>IFERROR(VLOOKUP(B362,cubo!$A$6:$BK$37,61,0)-VLOOKUP(conciliacao_custos!B362,#REF!,15,0),0)</f>
        <v>0</v>
      </c>
    </row>
    <row r="363" spans="2:19" x14ac:dyDescent="0.25">
      <c r="B363" s="7">
        <f>[1]salario!A362</f>
        <v>0</v>
      </c>
      <c r="C363" s="8">
        <f>[1]salario!C362</f>
        <v>0</v>
      </c>
      <c r="D363" s="10">
        <f>IFERROR(VLOOKUP(B363,cubo!$A$6:$BE$37,6,0)-VLOOKUP(B363,#REF!,$D$2,0),0)</f>
        <v>0</v>
      </c>
      <c r="E363" s="10">
        <f>IFERROR(VLOOKUP(B363,cubo!$A$6:$BE$37,9,0)-VLOOKUP(B363,#REF!,$E$2,0),0)</f>
        <v>0</v>
      </c>
      <c r="F363" s="9">
        <f>IFERROR(VLOOKUP(B363,cubo!$A$6:$BE$37,12,0)-VLOOKUP(B363,#REF!,$F$2,0),0)</f>
        <v>0</v>
      </c>
      <c r="G363" s="9">
        <f>IFERROR(VLOOKUP(B363,cubo!$A$6:$BE$37,54,0)-VLOOKUP(B363,#REF!,$G$2,0),0)</f>
        <v>0</v>
      </c>
      <c r="H363" s="10">
        <f>IFERROR(VLOOKUP(B363,cubo!$A$6:$BE$37,15,0)-VLOOKUP(B363,#REF!,$H$2,0),0)</f>
        <v>0</v>
      </c>
      <c r="I363" s="9">
        <f>IFERROR(VLOOKUP(B363,cubo!$A$6:$BE$37,18,0)-VLOOKUP(B363,#REF!,$I$2,0),0)</f>
        <v>0</v>
      </c>
      <c r="J363" s="9">
        <f>IFERROR(VLOOKUP(B363,cubo!$A$6:$BE$37,24,0)-VLOOKUP(B363,#REF!,$J$2,0),0)</f>
        <v>0</v>
      </c>
      <c r="K363" s="9">
        <f>IFERROR(VLOOKUP(B363,cubo!$A$6:$BE$37,34,0)-VLOOKUP(B363,#REF!,$K$2,0),0)</f>
        <v>0</v>
      </c>
      <c r="L363" s="8">
        <f>IFERROR(VLOOKUP(B363,cubo!$A$6:$BE$37,38,0)-VLOOKUP(B363,#REF!,$L$2,0),0)</f>
        <v>0</v>
      </c>
      <c r="M363" s="15">
        <f>IFERROR(VLOOKUP(B363,cubo!$A$6:$BE$37,57,0)-VLOOKUP(B363,#REF!,$M$2,0),0)</f>
        <v>0</v>
      </c>
      <c r="N363" s="9">
        <f>IFERROR(VLOOKUP(B363,cubo!$A$6:$BK$37,41,0)-VLOOKUP(conciliacao_custos!B363,#REF!,18,0),0)</f>
        <v>0</v>
      </c>
      <c r="O363" s="9">
        <f>IFERROR(VLOOKUP(B363,cubo!$A$6:$BK$37,44,0)-VLOOKUP(conciliacao_custos!B363,#REF!,13,0),0)</f>
        <v>0</v>
      </c>
      <c r="P363" s="9">
        <f>IFERROR(VLOOKUP(B363,cubo!$A$6:$BK$37,47,0)-VLOOKUP(conciliacao_custos!B363,#REF!,14,0),0)</f>
        <v>0</v>
      </c>
      <c r="Q363" s="9">
        <f>IFERROR(VLOOKUP(B363,cubo!$A$6:$BK$37,58,0)-VLOOKUP(conciliacao_custos!B363,#REF!,16,0),0)</f>
        <v>0</v>
      </c>
      <c r="R363" s="9">
        <f>IFERROR(VLOOKUP(B363,cubo!$A$6:$BK$37,64,0)-VLOOKUP(conciliacao_custos!B363,#REF!,17,0),0)</f>
        <v>0</v>
      </c>
      <c r="S363" s="9">
        <f>IFERROR(VLOOKUP(B363,cubo!$A$6:$BK$37,61,0)-VLOOKUP(conciliacao_custos!B363,#REF!,15,0),0)</f>
        <v>0</v>
      </c>
    </row>
    <row r="364" spans="2:19" x14ac:dyDescent="0.25">
      <c r="B364" s="7">
        <f>[1]salario!A363</f>
        <v>0</v>
      </c>
      <c r="C364" s="8">
        <f>[1]salario!C363</f>
        <v>0</v>
      </c>
      <c r="D364" s="10">
        <f>IFERROR(VLOOKUP(B364,cubo!$A$6:$BE$37,6,0)-VLOOKUP(B364,#REF!,$D$2,0),0)</f>
        <v>0</v>
      </c>
      <c r="E364" s="10">
        <f>IFERROR(VLOOKUP(B364,cubo!$A$6:$BE$37,9,0)-VLOOKUP(B364,#REF!,$E$2,0),0)</f>
        <v>0</v>
      </c>
      <c r="F364" s="9">
        <f>IFERROR(VLOOKUP(B364,cubo!$A$6:$BE$37,12,0)-VLOOKUP(B364,#REF!,$F$2,0),0)</f>
        <v>0</v>
      </c>
      <c r="G364" s="9">
        <f>IFERROR(VLOOKUP(B364,cubo!$A$6:$BE$37,54,0)-VLOOKUP(B364,#REF!,$G$2,0),0)</f>
        <v>0</v>
      </c>
      <c r="H364" s="10">
        <f>IFERROR(VLOOKUP(B364,cubo!$A$6:$BE$37,15,0)-VLOOKUP(B364,#REF!,$H$2,0),0)</f>
        <v>0</v>
      </c>
      <c r="I364" s="9">
        <f>IFERROR(VLOOKUP(B364,cubo!$A$6:$BE$37,18,0)-VLOOKUP(B364,#REF!,$I$2,0),0)</f>
        <v>0</v>
      </c>
      <c r="J364" s="9">
        <f>IFERROR(VLOOKUP(B364,cubo!$A$6:$BE$37,24,0)-VLOOKUP(B364,#REF!,$J$2,0),0)</f>
        <v>0</v>
      </c>
      <c r="K364" s="9">
        <f>IFERROR(VLOOKUP(B364,cubo!$A$6:$BE$37,34,0)-VLOOKUP(B364,#REF!,$K$2,0),0)</f>
        <v>0</v>
      </c>
      <c r="L364" s="8">
        <f>IFERROR(VLOOKUP(B364,cubo!$A$6:$BE$37,38,0)-VLOOKUP(B364,#REF!,$L$2,0),0)</f>
        <v>0</v>
      </c>
      <c r="M364" s="15">
        <f>IFERROR(VLOOKUP(B364,cubo!$A$6:$BE$37,57,0)-VLOOKUP(B364,#REF!,$M$2,0),0)</f>
        <v>0</v>
      </c>
      <c r="N364" s="9">
        <f>IFERROR(VLOOKUP(B364,cubo!$A$6:$BK$37,41,0)-VLOOKUP(conciliacao_custos!B364,#REF!,18,0),0)</f>
        <v>0</v>
      </c>
      <c r="O364" s="9">
        <f>IFERROR(VLOOKUP(B364,cubo!$A$6:$BK$37,44,0)-VLOOKUP(conciliacao_custos!B364,#REF!,13,0),0)</f>
        <v>0</v>
      </c>
      <c r="P364" s="9">
        <f>IFERROR(VLOOKUP(B364,cubo!$A$6:$BK$37,47,0)-VLOOKUP(conciliacao_custos!B364,#REF!,14,0),0)</f>
        <v>0</v>
      </c>
      <c r="Q364" s="9">
        <f>IFERROR(VLOOKUP(B364,cubo!$A$6:$BK$37,58,0)-VLOOKUP(conciliacao_custos!B364,#REF!,16,0),0)</f>
        <v>0</v>
      </c>
      <c r="R364" s="9">
        <f>IFERROR(VLOOKUP(B364,cubo!$A$6:$BK$37,64,0)-VLOOKUP(conciliacao_custos!B364,#REF!,17,0),0)</f>
        <v>0</v>
      </c>
      <c r="S364" s="9">
        <f>IFERROR(VLOOKUP(B364,cubo!$A$6:$BK$37,61,0)-VLOOKUP(conciliacao_custos!B364,#REF!,15,0),0)</f>
        <v>0</v>
      </c>
    </row>
    <row r="365" spans="2:19" x14ac:dyDescent="0.25">
      <c r="B365" s="7">
        <f>[1]salario!A364</f>
        <v>0</v>
      </c>
      <c r="C365" s="8">
        <f>[1]salario!C364</f>
        <v>0</v>
      </c>
      <c r="D365" s="10">
        <f>IFERROR(VLOOKUP(B365,cubo!$A$6:$BE$37,6,0)-VLOOKUP(B365,#REF!,$D$2,0),0)</f>
        <v>0</v>
      </c>
      <c r="E365" s="10">
        <f>IFERROR(VLOOKUP(B365,cubo!$A$6:$BE$37,9,0)-VLOOKUP(B365,#REF!,$E$2,0),0)</f>
        <v>0</v>
      </c>
      <c r="F365" s="9">
        <f>IFERROR(VLOOKUP(B365,cubo!$A$6:$BE$37,12,0)-VLOOKUP(B365,#REF!,$F$2,0),0)</f>
        <v>0</v>
      </c>
      <c r="G365" s="9">
        <f>IFERROR(VLOOKUP(B365,cubo!$A$6:$BE$37,54,0)-VLOOKUP(B365,#REF!,$G$2,0),0)</f>
        <v>0</v>
      </c>
      <c r="H365" s="10">
        <f>IFERROR(VLOOKUP(B365,cubo!$A$6:$BE$37,15,0)-VLOOKUP(B365,#REF!,$H$2,0),0)</f>
        <v>0</v>
      </c>
      <c r="I365" s="9">
        <f>IFERROR(VLOOKUP(B365,cubo!$A$6:$BE$37,18,0)-VLOOKUP(B365,#REF!,$I$2,0),0)</f>
        <v>0</v>
      </c>
      <c r="J365" s="9">
        <f>IFERROR(VLOOKUP(B365,cubo!$A$6:$BE$37,24,0)-VLOOKUP(B365,#REF!,$J$2,0),0)</f>
        <v>0</v>
      </c>
      <c r="K365" s="9">
        <f>IFERROR(VLOOKUP(B365,cubo!$A$6:$BE$37,34,0)-VLOOKUP(B365,#REF!,$K$2,0),0)</f>
        <v>0</v>
      </c>
      <c r="L365" s="8">
        <f>IFERROR(VLOOKUP(B365,cubo!$A$6:$BE$37,38,0)-VLOOKUP(B365,#REF!,$L$2,0),0)</f>
        <v>0</v>
      </c>
      <c r="M365" s="15">
        <f>IFERROR(VLOOKUP(B365,cubo!$A$6:$BE$37,57,0)-VLOOKUP(B365,#REF!,$M$2,0),0)</f>
        <v>0</v>
      </c>
      <c r="N365" s="9">
        <f>IFERROR(VLOOKUP(B365,cubo!$A$6:$BK$37,41,0)-VLOOKUP(conciliacao_custos!B365,#REF!,18,0),0)</f>
        <v>0</v>
      </c>
      <c r="O365" s="9">
        <f>IFERROR(VLOOKUP(B365,cubo!$A$6:$BK$37,44,0)-VLOOKUP(conciliacao_custos!B365,#REF!,13,0),0)</f>
        <v>0</v>
      </c>
      <c r="P365" s="9">
        <f>IFERROR(VLOOKUP(B365,cubo!$A$6:$BK$37,47,0)-VLOOKUP(conciliacao_custos!B365,#REF!,14,0),0)</f>
        <v>0</v>
      </c>
      <c r="Q365" s="9">
        <f>IFERROR(VLOOKUP(B365,cubo!$A$6:$BK$37,58,0)-VLOOKUP(conciliacao_custos!B365,#REF!,16,0),0)</f>
        <v>0</v>
      </c>
      <c r="R365" s="9">
        <f>IFERROR(VLOOKUP(B365,cubo!$A$6:$BK$37,64,0)-VLOOKUP(conciliacao_custos!B365,#REF!,17,0),0)</f>
        <v>0</v>
      </c>
      <c r="S365" s="9">
        <f>IFERROR(VLOOKUP(B365,cubo!$A$6:$BK$37,61,0)-VLOOKUP(conciliacao_custos!B365,#REF!,15,0),0)</f>
        <v>0</v>
      </c>
    </row>
    <row r="366" spans="2:19" x14ac:dyDescent="0.25">
      <c r="B366" s="7">
        <f>[1]salario!A365</f>
        <v>0</v>
      </c>
      <c r="C366" s="8">
        <f>[1]salario!C365</f>
        <v>0</v>
      </c>
      <c r="D366" s="10">
        <f>IFERROR(VLOOKUP(B366,cubo!$A$6:$BE$37,6,0)-VLOOKUP(B366,#REF!,$D$2,0),0)</f>
        <v>0</v>
      </c>
      <c r="E366" s="10">
        <f>IFERROR(VLOOKUP(B366,cubo!$A$6:$BE$37,9,0)-VLOOKUP(B366,#REF!,$E$2,0),0)</f>
        <v>0</v>
      </c>
      <c r="F366" s="9">
        <f>IFERROR(VLOOKUP(B366,cubo!$A$6:$BE$37,12,0)-VLOOKUP(B366,#REF!,$F$2,0),0)</f>
        <v>0</v>
      </c>
      <c r="G366" s="9">
        <f>IFERROR(VLOOKUP(B366,cubo!$A$6:$BE$37,54,0)-VLOOKUP(B366,#REF!,$G$2,0),0)</f>
        <v>0</v>
      </c>
      <c r="H366" s="10">
        <f>IFERROR(VLOOKUP(B366,cubo!$A$6:$BE$37,15,0)-VLOOKUP(B366,#REF!,$H$2,0),0)</f>
        <v>0</v>
      </c>
      <c r="I366" s="9">
        <f>IFERROR(VLOOKUP(B366,cubo!$A$6:$BE$37,18,0)-VLOOKUP(B366,#REF!,$I$2,0),0)</f>
        <v>0</v>
      </c>
      <c r="J366" s="9">
        <f>IFERROR(VLOOKUP(B366,cubo!$A$6:$BE$37,24,0)-VLOOKUP(B366,#REF!,$J$2,0),0)</f>
        <v>0</v>
      </c>
      <c r="K366" s="9">
        <f>IFERROR(VLOOKUP(B366,cubo!$A$6:$BE$37,34,0)-VLOOKUP(B366,#REF!,$K$2,0),0)</f>
        <v>0</v>
      </c>
      <c r="L366" s="8">
        <f>IFERROR(VLOOKUP(B366,cubo!$A$6:$BE$37,38,0)-VLOOKUP(B366,#REF!,$L$2,0),0)</f>
        <v>0</v>
      </c>
      <c r="M366" s="15">
        <f>IFERROR(VLOOKUP(B366,cubo!$A$6:$BE$37,57,0)-VLOOKUP(B366,#REF!,$M$2,0),0)</f>
        <v>0</v>
      </c>
      <c r="N366" s="9">
        <f>IFERROR(VLOOKUP(B366,cubo!$A$6:$BK$37,41,0)-VLOOKUP(conciliacao_custos!B366,#REF!,18,0),0)</f>
        <v>0</v>
      </c>
      <c r="O366" s="9">
        <f>IFERROR(VLOOKUP(B366,cubo!$A$6:$BK$37,44,0)-VLOOKUP(conciliacao_custos!B366,#REF!,13,0),0)</f>
        <v>0</v>
      </c>
      <c r="P366" s="9">
        <f>IFERROR(VLOOKUP(B366,cubo!$A$6:$BK$37,47,0)-VLOOKUP(conciliacao_custos!B366,#REF!,14,0),0)</f>
        <v>0</v>
      </c>
      <c r="Q366" s="9">
        <f>IFERROR(VLOOKUP(B366,cubo!$A$6:$BK$37,58,0)-VLOOKUP(conciliacao_custos!B366,#REF!,16,0),0)</f>
        <v>0</v>
      </c>
      <c r="R366" s="9">
        <f>IFERROR(VLOOKUP(B366,cubo!$A$6:$BK$37,64,0)-VLOOKUP(conciliacao_custos!B366,#REF!,17,0),0)</f>
        <v>0</v>
      </c>
      <c r="S366" s="9">
        <f>IFERROR(VLOOKUP(B366,cubo!$A$6:$BK$37,61,0)-VLOOKUP(conciliacao_custos!B366,#REF!,15,0),0)</f>
        <v>0</v>
      </c>
    </row>
    <row r="367" spans="2:19" x14ac:dyDescent="0.25">
      <c r="B367" s="7">
        <f>[1]salario!A366</f>
        <v>0</v>
      </c>
      <c r="C367" s="8">
        <f>[1]salario!C366</f>
        <v>0</v>
      </c>
      <c r="D367" s="10">
        <f>IFERROR(VLOOKUP(B367,cubo!$A$6:$BE$37,6,0)-VLOOKUP(B367,#REF!,$D$2,0),0)</f>
        <v>0</v>
      </c>
      <c r="E367" s="10">
        <f>IFERROR(VLOOKUP(B367,cubo!$A$6:$BE$37,9,0)-VLOOKUP(B367,#REF!,$E$2,0),0)</f>
        <v>0</v>
      </c>
      <c r="F367" s="9">
        <f>IFERROR(VLOOKUP(B367,cubo!$A$6:$BE$37,12,0)-VLOOKUP(B367,#REF!,$F$2,0),0)</f>
        <v>0</v>
      </c>
      <c r="G367" s="9">
        <f>IFERROR(VLOOKUP(B367,cubo!$A$6:$BE$37,54,0)-VLOOKUP(B367,#REF!,$G$2,0),0)</f>
        <v>0</v>
      </c>
      <c r="H367" s="10">
        <f>IFERROR(VLOOKUP(B367,cubo!$A$6:$BE$37,15,0)-VLOOKUP(B367,#REF!,$H$2,0),0)</f>
        <v>0</v>
      </c>
      <c r="I367" s="9">
        <f>IFERROR(VLOOKUP(B367,cubo!$A$6:$BE$37,18,0)-VLOOKUP(B367,#REF!,$I$2,0),0)</f>
        <v>0</v>
      </c>
      <c r="J367" s="9">
        <f>IFERROR(VLOOKUP(B367,cubo!$A$6:$BE$37,24,0)-VLOOKUP(B367,#REF!,$J$2,0),0)</f>
        <v>0</v>
      </c>
      <c r="K367" s="9">
        <f>IFERROR(VLOOKUP(B367,cubo!$A$6:$BE$37,34,0)-VLOOKUP(B367,#REF!,$K$2,0),0)</f>
        <v>0</v>
      </c>
      <c r="L367" s="8">
        <f>IFERROR(VLOOKUP(B367,cubo!$A$6:$BE$37,38,0)-VLOOKUP(B367,#REF!,$L$2,0),0)</f>
        <v>0</v>
      </c>
      <c r="M367" s="15">
        <f>IFERROR(VLOOKUP(B367,cubo!$A$6:$BE$37,57,0)-VLOOKUP(B367,#REF!,$M$2,0),0)</f>
        <v>0</v>
      </c>
      <c r="N367" s="9">
        <f>IFERROR(VLOOKUP(B367,cubo!$A$6:$BK$37,41,0)-VLOOKUP(conciliacao_custos!B367,#REF!,18,0),0)</f>
        <v>0</v>
      </c>
      <c r="O367" s="9">
        <f>IFERROR(VLOOKUP(B367,cubo!$A$6:$BK$37,44,0)-VLOOKUP(conciliacao_custos!B367,#REF!,13,0),0)</f>
        <v>0</v>
      </c>
      <c r="P367" s="9">
        <f>IFERROR(VLOOKUP(B367,cubo!$A$6:$BK$37,47,0)-VLOOKUP(conciliacao_custos!B367,#REF!,14,0),0)</f>
        <v>0</v>
      </c>
      <c r="Q367" s="9">
        <f>IFERROR(VLOOKUP(B367,cubo!$A$6:$BK$37,58,0)-VLOOKUP(conciliacao_custos!B367,#REF!,16,0),0)</f>
        <v>0</v>
      </c>
      <c r="R367" s="9">
        <f>IFERROR(VLOOKUP(B367,cubo!$A$6:$BK$37,64,0)-VLOOKUP(conciliacao_custos!B367,#REF!,17,0),0)</f>
        <v>0</v>
      </c>
      <c r="S367" s="9">
        <f>IFERROR(VLOOKUP(B367,cubo!$A$6:$BK$37,61,0)-VLOOKUP(conciliacao_custos!B367,#REF!,15,0),0)</f>
        <v>0</v>
      </c>
    </row>
    <row r="368" spans="2:19" x14ac:dyDescent="0.25">
      <c r="B368" s="7">
        <f>[1]salario!A367</f>
        <v>0</v>
      </c>
      <c r="C368" s="8">
        <f>[1]salario!C367</f>
        <v>0</v>
      </c>
      <c r="D368" s="10">
        <f>IFERROR(VLOOKUP(B368,cubo!$A$6:$BE$37,6,0)-VLOOKUP(B368,#REF!,$D$2,0),0)</f>
        <v>0</v>
      </c>
      <c r="E368" s="10">
        <f>IFERROR(VLOOKUP(B368,cubo!$A$6:$BE$37,9,0)-VLOOKUP(B368,#REF!,$E$2,0),0)</f>
        <v>0</v>
      </c>
      <c r="F368" s="9">
        <f>IFERROR(VLOOKUP(B368,cubo!$A$6:$BE$37,12,0)-VLOOKUP(B368,#REF!,$F$2,0),0)</f>
        <v>0</v>
      </c>
      <c r="G368" s="9">
        <f>IFERROR(VLOOKUP(B368,cubo!$A$6:$BE$37,54,0)-VLOOKUP(B368,#REF!,$G$2,0),0)</f>
        <v>0</v>
      </c>
      <c r="H368" s="10">
        <f>IFERROR(VLOOKUP(B368,cubo!$A$6:$BE$37,15,0)-VLOOKUP(B368,#REF!,$H$2,0),0)</f>
        <v>0</v>
      </c>
      <c r="I368" s="9">
        <f>IFERROR(VLOOKUP(B368,cubo!$A$6:$BE$37,18,0)-VLOOKUP(B368,#REF!,$I$2,0),0)</f>
        <v>0</v>
      </c>
      <c r="J368" s="9">
        <f>IFERROR(VLOOKUP(B368,cubo!$A$6:$BE$37,24,0)-VLOOKUP(B368,#REF!,$J$2,0),0)</f>
        <v>0</v>
      </c>
      <c r="K368" s="9">
        <f>IFERROR(VLOOKUP(B368,cubo!$A$6:$BE$37,34,0)-VLOOKUP(B368,#REF!,$K$2,0),0)</f>
        <v>0</v>
      </c>
      <c r="L368" s="8">
        <f>IFERROR(VLOOKUP(B368,cubo!$A$6:$BE$37,38,0)-VLOOKUP(B368,#REF!,$L$2,0),0)</f>
        <v>0</v>
      </c>
      <c r="M368" s="15">
        <f>IFERROR(VLOOKUP(B368,cubo!$A$6:$BE$37,57,0)-VLOOKUP(B368,#REF!,$M$2,0),0)</f>
        <v>0</v>
      </c>
      <c r="N368" s="9">
        <f>IFERROR(VLOOKUP(B368,cubo!$A$6:$BK$37,41,0)-VLOOKUP(conciliacao_custos!B368,#REF!,18,0),0)</f>
        <v>0</v>
      </c>
      <c r="O368" s="9">
        <f>IFERROR(VLOOKUP(B368,cubo!$A$6:$BK$37,44,0)-VLOOKUP(conciliacao_custos!B368,#REF!,13,0),0)</f>
        <v>0</v>
      </c>
      <c r="P368" s="9">
        <f>IFERROR(VLOOKUP(B368,cubo!$A$6:$BK$37,47,0)-VLOOKUP(conciliacao_custos!B368,#REF!,14,0),0)</f>
        <v>0</v>
      </c>
      <c r="Q368" s="9">
        <f>IFERROR(VLOOKUP(B368,cubo!$A$6:$BK$37,58,0)-VLOOKUP(conciliacao_custos!B368,#REF!,16,0),0)</f>
        <v>0</v>
      </c>
      <c r="R368" s="9">
        <f>IFERROR(VLOOKUP(B368,cubo!$A$6:$BK$37,64,0)-VLOOKUP(conciliacao_custos!B368,#REF!,17,0),0)</f>
        <v>0</v>
      </c>
      <c r="S368" s="9">
        <f>IFERROR(VLOOKUP(B368,cubo!$A$6:$BK$37,61,0)-VLOOKUP(conciliacao_custos!B368,#REF!,15,0),0)</f>
        <v>0</v>
      </c>
    </row>
    <row r="369" spans="2:19" x14ac:dyDescent="0.25">
      <c r="B369" s="7">
        <f>[1]salario!A368</f>
        <v>0</v>
      </c>
      <c r="C369" s="8">
        <f>[1]salario!C368</f>
        <v>0</v>
      </c>
      <c r="D369" s="10">
        <f>IFERROR(VLOOKUP(B369,cubo!$A$6:$BE$37,6,0)-VLOOKUP(B369,#REF!,$D$2,0),0)</f>
        <v>0</v>
      </c>
      <c r="E369" s="10">
        <f>IFERROR(VLOOKUP(B369,cubo!$A$6:$BE$37,9,0)-VLOOKUP(B369,#REF!,$E$2,0),0)</f>
        <v>0</v>
      </c>
      <c r="F369" s="9">
        <f>IFERROR(VLOOKUP(B369,cubo!$A$6:$BE$37,12,0)-VLOOKUP(B369,#REF!,$F$2,0),0)</f>
        <v>0</v>
      </c>
      <c r="G369" s="9">
        <f>IFERROR(VLOOKUP(B369,cubo!$A$6:$BE$37,54,0)-VLOOKUP(B369,#REF!,$G$2,0),0)</f>
        <v>0</v>
      </c>
      <c r="H369" s="10">
        <f>IFERROR(VLOOKUP(B369,cubo!$A$6:$BE$37,15,0)-VLOOKUP(B369,#REF!,$H$2,0),0)</f>
        <v>0</v>
      </c>
      <c r="I369" s="9">
        <f>IFERROR(VLOOKUP(B369,cubo!$A$6:$BE$37,18,0)-VLOOKUP(B369,#REF!,$I$2,0),0)</f>
        <v>0</v>
      </c>
      <c r="J369" s="9">
        <f>IFERROR(VLOOKUP(B369,cubo!$A$6:$BE$37,24,0)-VLOOKUP(B369,#REF!,$J$2,0),0)</f>
        <v>0</v>
      </c>
      <c r="K369" s="9">
        <f>IFERROR(VLOOKUP(B369,cubo!$A$6:$BE$37,34,0)-VLOOKUP(B369,#REF!,$K$2,0),0)</f>
        <v>0</v>
      </c>
      <c r="L369" s="8">
        <f>IFERROR(VLOOKUP(B369,cubo!$A$6:$BE$37,38,0)-VLOOKUP(B369,#REF!,$L$2,0),0)</f>
        <v>0</v>
      </c>
      <c r="M369" s="15">
        <f>IFERROR(VLOOKUP(B369,cubo!$A$6:$BE$37,57,0)-VLOOKUP(B369,#REF!,$M$2,0),0)</f>
        <v>0</v>
      </c>
      <c r="N369" s="9">
        <f>IFERROR(VLOOKUP(B369,cubo!$A$6:$BK$37,41,0)-VLOOKUP(conciliacao_custos!B369,#REF!,18,0),0)</f>
        <v>0</v>
      </c>
      <c r="O369" s="9">
        <f>IFERROR(VLOOKUP(B369,cubo!$A$6:$BK$37,44,0)-VLOOKUP(conciliacao_custos!B369,#REF!,13,0),0)</f>
        <v>0</v>
      </c>
      <c r="P369" s="9">
        <f>IFERROR(VLOOKUP(B369,cubo!$A$6:$BK$37,47,0)-VLOOKUP(conciliacao_custos!B369,#REF!,14,0),0)</f>
        <v>0</v>
      </c>
      <c r="Q369" s="9">
        <f>IFERROR(VLOOKUP(B369,cubo!$A$6:$BK$37,58,0)-VLOOKUP(conciliacao_custos!B369,#REF!,16,0),0)</f>
        <v>0</v>
      </c>
      <c r="R369" s="9">
        <f>IFERROR(VLOOKUP(B369,cubo!$A$6:$BK$37,64,0)-VLOOKUP(conciliacao_custos!B369,#REF!,17,0),0)</f>
        <v>0</v>
      </c>
      <c r="S369" s="9">
        <f>IFERROR(VLOOKUP(B369,cubo!$A$6:$BK$37,61,0)-VLOOKUP(conciliacao_custos!B369,#REF!,15,0),0)</f>
        <v>0</v>
      </c>
    </row>
    <row r="370" spans="2:19" x14ac:dyDescent="0.25">
      <c r="B370" s="7">
        <f>[1]salario!A369</f>
        <v>0</v>
      </c>
      <c r="C370" s="8">
        <f>[1]salario!C369</f>
        <v>0</v>
      </c>
      <c r="D370" s="10">
        <f>IFERROR(VLOOKUP(B370,cubo!$A$6:$BE$37,6,0)-VLOOKUP(B370,#REF!,$D$2,0),0)</f>
        <v>0</v>
      </c>
      <c r="E370" s="10">
        <f>IFERROR(VLOOKUP(B370,cubo!$A$6:$BE$37,9,0)-VLOOKUP(B370,#REF!,$E$2,0),0)</f>
        <v>0</v>
      </c>
      <c r="F370" s="9">
        <f>IFERROR(VLOOKUP(B370,cubo!$A$6:$BE$37,12,0)-VLOOKUP(B370,#REF!,$F$2,0),0)</f>
        <v>0</v>
      </c>
      <c r="G370" s="9">
        <f>IFERROR(VLOOKUP(B370,cubo!$A$6:$BE$37,54,0)-VLOOKUP(B370,#REF!,$G$2,0),0)</f>
        <v>0</v>
      </c>
      <c r="H370" s="10">
        <f>IFERROR(VLOOKUP(B370,cubo!$A$6:$BE$37,15,0)-VLOOKUP(B370,#REF!,$H$2,0),0)</f>
        <v>0</v>
      </c>
      <c r="I370" s="9">
        <f>IFERROR(VLOOKUP(B370,cubo!$A$6:$BE$37,18,0)-VLOOKUP(B370,#REF!,$I$2,0),0)</f>
        <v>0</v>
      </c>
      <c r="J370" s="9">
        <f>IFERROR(VLOOKUP(B370,cubo!$A$6:$BE$37,24,0)-VLOOKUP(B370,#REF!,$J$2,0),0)</f>
        <v>0</v>
      </c>
      <c r="K370" s="9">
        <f>IFERROR(VLOOKUP(B370,cubo!$A$6:$BE$37,34,0)-VLOOKUP(B370,#REF!,$K$2,0),0)</f>
        <v>0</v>
      </c>
      <c r="L370" s="8">
        <f>IFERROR(VLOOKUP(B370,cubo!$A$6:$BE$37,38,0)-VLOOKUP(B370,#REF!,$L$2,0),0)</f>
        <v>0</v>
      </c>
      <c r="M370" s="15">
        <f>IFERROR(VLOOKUP(B370,cubo!$A$6:$BE$37,57,0)-VLOOKUP(B370,#REF!,$M$2,0),0)</f>
        <v>0</v>
      </c>
      <c r="N370" s="9">
        <f>IFERROR(VLOOKUP(B370,cubo!$A$6:$BK$37,41,0)-VLOOKUP(conciliacao_custos!B370,#REF!,18,0),0)</f>
        <v>0</v>
      </c>
      <c r="O370" s="9">
        <f>IFERROR(VLOOKUP(B370,cubo!$A$6:$BK$37,44,0)-VLOOKUP(conciliacao_custos!B370,#REF!,13,0),0)</f>
        <v>0</v>
      </c>
      <c r="P370" s="9">
        <f>IFERROR(VLOOKUP(B370,cubo!$A$6:$BK$37,47,0)-VLOOKUP(conciliacao_custos!B370,#REF!,14,0),0)</f>
        <v>0</v>
      </c>
      <c r="Q370" s="9">
        <f>IFERROR(VLOOKUP(B370,cubo!$A$6:$BK$37,58,0)-VLOOKUP(conciliacao_custos!B370,#REF!,16,0),0)</f>
        <v>0</v>
      </c>
      <c r="R370" s="9">
        <f>IFERROR(VLOOKUP(B370,cubo!$A$6:$BK$37,64,0)-VLOOKUP(conciliacao_custos!B370,#REF!,17,0),0)</f>
        <v>0</v>
      </c>
      <c r="S370" s="9">
        <f>IFERROR(VLOOKUP(B370,cubo!$A$6:$BK$37,61,0)-VLOOKUP(conciliacao_custos!B370,#REF!,15,0),0)</f>
        <v>0</v>
      </c>
    </row>
    <row r="371" spans="2:19" x14ac:dyDescent="0.25">
      <c r="B371" s="7">
        <f>[1]salario!A370</f>
        <v>0</v>
      </c>
      <c r="C371" s="8">
        <f>[1]salario!C370</f>
        <v>0</v>
      </c>
      <c r="D371" s="10">
        <f>IFERROR(VLOOKUP(B371,cubo!$A$6:$BE$37,6,0)-VLOOKUP(B371,#REF!,$D$2,0),0)</f>
        <v>0</v>
      </c>
      <c r="E371" s="10">
        <f>IFERROR(VLOOKUP(B371,cubo!$A$6:$BE$37,9,0)-VLOOKUP(B371,#REF!,$E$2,0),0)</f>
        <v>0</v>
      </c>
      <c r="F371" s="9">
        <f>IFERROR(VLOOKUP(B371,cubo!$A$6:$BE$37,12,0)-VLOOKUP(B371,#REF!,$F$2,0),0)</f>
        <v>0</v>
      </c>
      <c r="G371" s="9">
        <f>IFERROR(VLOOKUP(B371,cubo!$A$6:$BE$37,54,0)-VLOOKUP(B371,#REF!,$G$2,0),0)</f>
        <v>0</v>
      </c>
      <c r="H371" s="10">
        <f>IFERROR(VLOOKUP(B371,cubo!$A$6:$BE$37,15,0)-VLOOKUP(B371,#REF!,$H$2,0),0)</f>
        <v>0</v>
      </c>
      <c r="I371" s="9">
        <f>IFERROR(VLOOKUP(B371,cubo!$A$6:$BE$37,18,0)-VLOOKUP(B371,#REF!,$I$2,0),0)</f>
        <v>0</v>
      </c>
      <c r="J371" s="9">
        <f>IFERROR(VLOOKUP(B371,cubo!$A$6:$BE$37,24,0)-VLOOKUP(B371,#REF!,$J$2,0),0)</f>
        <v>0</v>
      </c>
      <c r="K371" s="9">
        <f>IFERROR(VLOOKUP(B371,cubo!$A$6:$BE$37,34,0)-VLOOKUP(B371,#REF!,$K$2,0),0)</f>
        <v>0</v>
      </c>
      <c r="L371" s="8">
        <f>IFERROR(VLOOKUP(B371,cubo!$A$6:$BE$37,38,0)-VLOOKUP(B371,#REF!,$L$2,0),0)</f>
        <v>0</v>
      </c>
      <c r="M371" s="15">
        <f>IFERROR(VLOOKUP(B371,cubo!$A$6:$BE$37,57,0)-VLOOKUP(B371,#REF!,$M$2,0),0)</f>
        <v>0</v>
      </c>
      <c r="N371" s="9">
        <f>IFERROR(VLOOKUP(B371,cubo!$A$6:$BK$37,41,0)-VLOOKUP(conciliacao_custos!B371,#REF!,18,0),0)</f>
        <v>0</v>
      </c>
      <c r="O371" s="9">
        <f>IFERROR(VLOOKUP(B371,cubo!$A$6:$BK$37,44,0)-VLOOKUP(conciliacao_custos!B371,#REF!,13,0),0)</f>
        <v>0</v>
      </c>
      <c r="P371" s="9">
        <f>IFERROR(VLOOKUP(B371,cubo!$A$6:$BK$37,47,0)-VLOOKUP(conciliacao_custos!B371,#REF!,14,0),0)</f>
        <v>0</v>
      </c>
      <c r="Q371" s="9">
        <f>IFERROR(VLOOKUP(B371,cubo!$A$6:$BK$37,58,0)-VLOOKUP(conciliacao_custos!B371,#REF!,16,0),0)</f>
        <v>0</v>
      </c>
      <c r="R371" s="9">
        <f>IFERROR(VLOOKUP(B371,cubo!$A$6:$BK$37,64,0)-VLOOKUP(conciliacao_custos!B371,#REF!,17,0),0)</f>
        <v>0</v>
      </c>
      <c r="S371" s="9">
        <f>IFERROR(VLOOKUP(B371,cubo!$A$6:$BK$37,61,0)-VLOOKUP(conciliacao_custos!B371,#REF!,15,0),0)</f>
        <v>0</v>
      </c>
    </row>
    <row r="372" spans="2:19" x14ac:dyDescent="0.25">
      <c r="B372" s="7">
        <f>[1]salario!A371</f>
        <v>0</v>
      </c>
      <c r="C372" s="8">
        <f>[1]salario!C371</f>
        <v>0</v>
      </c>
      <c r="D372" s="10">
        <f>IFERROR(VLOOKUP(B372,cubo!$A$6:$BE$37,6,0)-VLOOKUP(B372,#REF!,$D$2,0),0)</f>
        <v>0</v>
      </c>
      <c r="E372" s="10">
        <f>IFERROR(VLOOKUP(B372,cubo!$A$6:$BE$37,9,0)-VLOOKUP(B372,#REF!,$E$2,0),0)</f>
        <v>0</v>
      </c>
      <c r="F372" s="9">
        <f>IFERROR(VLOOKUP(B372,cubo!$A$6:$BE$37,12,0)-VLOOKUP(B372,#REF!,$F$2,0),0)</f>
        <v>0</v>
      </c>
      <c r="G372" s="9">
        <f>IFERROR(VLOOKUP(B372,cubo!$A$6:$BE$37,54,0)-VLOOKUP(B372,#REF!,$G$2,0),0)</f>
        <v>0</v>
      </c>
      <c r="H372" s="10">
        <f>IFERROR(VLOOKUP(B372,cubo!$A$6:$BE$37,15,0)-VLOOKUP(B372,#REF!,$H$2,0),0)</f>
        <v>0</v>
      </c>
      <c r="I372" s="9">
        <f>IFERROR(VLOOKUP(B372,cubo!$A$6:$BE$37,18,0)-VLOOKUP(B372,#REF!,$I$2,0),0)</f>
        <v>0</v>
      </c>
      <c r="J372" s="9">
        <f>IFERROR(VLOOKUP(B372,cubo!$A$6:$BE$37,24,0)-VLOOKUP(B372,#REF!,$J$2,0),0)</f>
        <v>0</v>
      </c>
      <c r="K372" s="9">
        <f>IFERROR(VLOOKUP(B372,cubo!$A$6:$BE$37,34,0)-VLOOKUP(B372,#REF!,$K$2,0),0)</f>
        <v>0</v>
      </c>
      <c r="L372" s="8">
        <f>IFERROR(VLOOKUP(B372,cubo!$A$6:$BE$37,38,0)-VLOOKUP(B372,#REF!,$L$2,0),0)</f>
        <v>0</v>
      </c>
      <c r="M372" s="15">
        <f>IFERROR(VLOOKUP(B372,cubo!$A$6:$BE$37,57,0)-VLOOKUP(B372,#REF!,$M$2,0),0)</f>
        <v>0</v>
      </c>
      <c r="N372" s="9">
        <f>IFERROR(VLOOKUP(B372,cubo!$A$6:$BK$37,41,0)-VLOOKUP(conciliacao_custos!B372,#REF!,18,0),0)</f>
        <v>0</v>
      </c>
      <c r="O372" s="9">
        <f>IFERROR(VLOOKUP(B372,cubo!$A$6:$BK$37,44,0)-VLOOKUP(conciliacao_custos!B372,#REF!,13,0),0)</f>
        <v>0</v>
      </c>
      <c r="P372" s="9">
        <f>IFERROR(VLOOKUP(B372,cubo!$A$6:$BK$37,47,0)-VLOOKUP(conciliacao_custos!B372,#REF!,14,0),0)</f>
        <v>0</v>
      </c>
      <c r="Q372" s="9">
        <f>IFERROR(VLOOKUP(B372,cubo!$A$6:$BK$37,58,0)-VLOOKUP(conciliacao_custos!B372,#REF!,16,0),0)</f>
        <v>0</v>
      </c>
      <c r="R372" s="9">
        <f>IFERROR(VLOOKUP(B372,cubo!$A$6:$BK$37,64,0)-VLOOKUP(conciliacao_custos!B372,#REF!,17,0),0)</f>
        <v>0</v>
      </c>
      <c r="S372" s="9">
        <f>IFERROR(VLOOKUP(B372,cubo!$A$6:$BK$37,61,0)-VLOOKUP(conciliacao_custos!B372,#REF!,15,0),0)</f>
        <v>0</v>
      </c>
    </row>
    <row r="373" spans="2:19" x14ac:dyDescent="0.25">
      <c r="B373" s="7">
        <f>[1]salario!A372</f>
        <v>0</v>
      </c>
      <c r="C373" s="8">
        <f>[1]salario!C372</f>
        <v>0</v>
      </c>
      <c r="D373" s="10">
        <f>IFERROR(VLOOKUP(B373,cubo!$A$6:$BE$37,6,0)-VLOOKUP(B373,#REF!,$D$2,0),0)</f>
        <v>0</v>
      </c>
      <c r="E373" s="10">
        <f>IFERROR(VLOOKUP(B373,cubo!$A$6:$BE$37,9,0)-VLOOKUP(B373,#REF!,$E$2,0),0)</f>
        <v>0</v>
      </c>
      <c r="F373" s="9">
        <f>IFERROR(VLOOKUP(B373,cubo!$A$6:$BE$37,12,0)-VLOOKUP(B373,#REF!,$F$2,0),0)</f>
        <v>0</v>
      </c>
      <c r="G373" s="9">
        <f>IFERROR(VLOOKUP(B373,cubo!$A$6:$BE$37,54,0)-VLOOKUP(B373,#REF!,$G$2,0),0)</f>
        <v>0</v>
      </c>
      <c r="H373" s="10">
        <f>IFERROR(VLOOKUP(B373,cubo!$A$6:$BE$37,15,0)-VLOOKUP(B373,#REF!,$H$2,0),0)</f>
        <v>0</v>
      </c>
      <c r="I373" s="9">
        <f>IFERROR(VLOOKUP(B373,cubo!$A$6:$BE$37,18,0)-VLOOKUP(B373,#REF!,$I$2,0),0)</f>
        <v>0</v>
      </c>
      <c r="J373" s="9">
        <f>IFERROR(VLOOKUP(B373,cubo!$A$6:$BE$37,24,0)-VLOOKUP(B373,#REF!,$J$2,0),0)</f>
        <v>0</v>
      </c>
      <c r="K373" s="9">
        <f>IFERROR(VLOOKUP(B373,cubo!$A$6:$BE$37,34,0)-VLOOKUP(B373,#REF!,$K$2,0),0)</f>
        <v>0</v>
      </c>
      <c r="L373" s="8">
        <f>IFERROR(VLOOKUP(B373,cubo!$A$6:$BE$37,38,0)-VLOOKUP(B373,#REF!,$L$2,0),0)</f>
        <v>0</v>
      </c>
      <c r="M373" s="15">
        <f>IFERROR(VLOOKUP(B373,cubo!$A$6:$BE$37,57,0)-VLOOKUP(B373,#REF!,$M$2,0),0)</f>
        <v>0</v>
      </c>
      <c r="N373" s="9">
        <f>IFERROR(VLOOKUP(B373,cubo!$A$6:$BK$37,41,0)-VLOOKUP(conciliacao_custos!B373,#REF!,18,0),0)</f>
        <v>0</v>
      </c>
      <c r="O373" s="9">
        <f>IFERROR(VLOOKUP(B373,cubo!$A$6:$BK$37,44,0)-VLOOKUP(conciliacao_custos!B373,#REF!,13,0),0)</f>
        <v>0</v>
      </c>
      <c r="P373" s="9">
        <f>IFERROR(VLOOKUP(B373,cubo!$A$6:$BK$37,47,0)-VLOOKUP(conciliacao_custos!B373,#REF!,14,0),0)</f>
        <v>0</v>
      </c>
      <c r="Q373" s="9">
        <f>IFERROR(VLOOKUP(B373,cubo!$A$6:$BK$37,58,0)-VLOOKUP(conciliacao_custos!B373,#REF!,16,0),0)</f>
        <v>0</v>
      </c>
      <c r="R373" s="9">
        <f>IFERROR(VLOOKUP(B373,cubo!$A$6:$BK$37,64,0)-VLOOKUP(conciliacao_custos!B373,#REF!,17,0),0)</f>
        <v>0</v>
      </c>
      <c r="S373" s="9">
        <f>IFERROR(VLOOKUP(B373,cubo!$A$6:$BK$37,61,0)-VLOOKUP(conciliacao_custos!B373,#REF!,15,0),0)</f>
        <v>0</v>
      </c>
    </row>
    <row r="374" spans="2:19" x14ac:dyDescent="0.25">
      <c r="B374" s="7">
        <f>[1]salario!A373</f>
        <v>0</v>
      </c>
      <c r="C374" s="8">
        <f>[1]salario!C373</f>
        <v>0</v>
      </c>
      <c r="D374" s="10">
        <f>IFERROR(VLOOKUP(B374,cubo!$A$6:$BE$37,6,0)-VLOOKUP(B374,#REF!,$D$2,0),0)</f>
        <v>0</v>
      </c>
      <c r="E374" s="10">
        <f>IFERROR(VLOOKUP(B374,cubo!$A$6:$BE$37,9,0)-VLOOKUP(B374,#REF!,$E$2,0),0)</f>
        <v>0</v>
      </c>
      <c r="F374" s="9">
        <f>IFERROR(VLOOKUP(B374,cubo!$A$6:$BE$37,12,0)-VLOOKUP(B374,#REF!,$F$2,0),0)</f>
        <v>0</v>
      </c>
      <c r="G374" s="9">
        <f>IFERROR(VLOOKUP(B374,cubo!$A$6:$BE$37,54,0)-VLOOKUP(B374,#REF!,$G$2,0),0)</f>
        <v>0</v>
      </c>
      <c r="H374" s="10">
        <f>IFERROR(VLOOKUP(B374,cubo!$A$6:$BE$37,15,0)-VLOOKUP(B374,#REF!,$H$2,0),0)</f>
        <v>0</v>
      </c>
      <c r="I374" s="9">
        <f>IFERROR(VLOOKUP(B374,cubo!$A$6:$BE$37,18,0)-VLOOKUP(B374,#REF!,$I$2,0),0)</f>
        <v>0</v>
      </c>
      <c r="J374" s="9">
        <f>IFERROR(VLOOKUP(B374,cubo!$A$6:$BE$37,24,0)-VLOOKUP(B374,#REF!,$J$2,0),0)</f>
        <v>0</v>
      </c>
      <c r="K374" s="9">
        <f>IFERROR(VLOOKUP(B374,cubo!$A$6:$BE$37,34,0)-VLOOKUP(B374,#REF!,$K$2,0),0)</f>
        <v>0</v>
      </c>
      <c r="L374" s="8">
        <f>IFERROR(VLOOKUP(B374,cubo!$A$6:$BE$37,38,0)-VLOOKUP(B374,#REF!,$L$2,0),0)</f>
        <v>0</v>
      </c>
      <c r="M374" s="15">
        <f>IFERROR(VLOOKUP(B374,cubo!$A$6:$BE$37,57,0)-VLOOKUP(B374,#REF!,$M$2,0),0)</f>
        <v>0</v>
      </c>
      <c r="N374" s="9">
        <f>IFERROR(VLOOKUP(B374,cubo!$A$6:$BK$37,41,0)-VLOOKUP(conciliacao_custos!B374,#REF!,18,0),0)</f>
        <v>0</v>
      </c>
      <c r="O374" s="9">
        <f>IFERROR(VLOOKUP(B374,cubo!$A$6:$BK$37,44,0)-VLOOKUP(conciliacao_custos!B374,#REF!,13,0),0)</f>
        <v>0</v>
      </c>
      <c r="P374" s="9">
        <f>IFERROR(VLOOKUP(B374,cubo!$A$6:$BK$37,47,0)-VLOOKUP(conciliacao_custos!B374,#REF!,14,0),0)</f>
        <v>0</v>
      </c>
      <c r="Q374" s="9">
        <f>IFERROR(VLOOKUP(B374,cubo!$A$6:$BK$37,58,0)-VLOOKUP(conciliacao_custos!B374,#REF!,16,0),0)</f>
        <v>0</v>
      </c>
      <c r="R374" s="9">
        <f>IFERROR(VLOOKUP(B374,cubo!$A$6:$BK$37,64,0)-VLOOKUP(conciliacao_custos!B374,#REF!,17,0),0)</f>
        <v>0</v>
      </c>
      <c r="S374" s="9">
        <f>IFERROR(VLOOKUP(B374,cubo!$A$6:$BK$37,61,0)-VLOOKUP(conciliacao_custos!B374,#REF!,15,0),0)</f>
        <v>0</v>
      </c>
    </row>
    <row r="375" spans="2:19" x14ac:dyDescent="0.25">
      <c r="B375" s="7">
        <f>[1]salario!A374</f>
        <v>0</v>
      </c>
      <c r="C375" s="8">
        <f>[1]salario!C374</f>
        <v>0</v>
      </c>
      <c r="D375" s="10">
        <f>IFERROR(VLOOKUP(B375,cubo!$A$6:$BE$37,6,0)-VLOOKUP(B375,#REF!,$D$2,0),0)</f>
        <v>0</v>
      </c>
      <c r="E375" s="10">
        <f>IFERROR(VLOOKUP(B375,cubo!$A$6:$BE$37,9,0)-VLOOKUP(B375,#REF!,$E$2,0),0)</f>
        <v>0</v>
      </c>
      <c r="F375" s="9">
        <f>IFERROR(VLOOKUP(B375,cubo!$A$6:$BE$37,12,0)-VLOOKUP(B375,#REF!,$F$2,0),0)</f>
        <v>0</v>
      </c>
      <c r="G375" s="9">
        <f>IFERROR(VLOOKUP(B375,cubo!$A$6:$BE$37,54,0)-VLOOKUP(B375,#REF!,$G$2,0),0)</f>
        <v>0</v>
      </c>
      <c r="H375" s="10">
        <f>IFERROR(VLOOKUP(B375,cubo!$A$6:$BE$37,15,0)-VLOOKUP(B375,#REF!,$H$2,0),0)</f>
        <v>0</v>
      </c>
      <c r="I375" s="9">
        <f>IFERROR(VLOOKUP(B375,cubo!$A$6:$BE$37,18,0)-VLOOKUP(B375,#REF!,$I$2,0),0)</f>
        <v>0</v>
      </c>
      <c r="J375" s="9">
        <f>IFERROR(VLOOKUP(B375,cubo!$A$6:$BE$37,24,0)-VLOOKUP(B375,#REF!,$J$2,0),0)</f>
        <v>0</v>
      </c>
      <c r="K375" s="9">
        <f>IFERROR(VLOOKUP(B375,cubo!$A$6:$BE$37,34,0)-VLOOKUP(B375,#REF!,$K$2,0),0)</f>
        <v>0</v>
      </c>
      <c r="L375" s="8">
        <f>IFERROR(VLOOKUP(B375,cubo!$A$6:$BE$37,38,0)-VLOOKUP(B375,#REF!,$L$2,0),0)</f>
        <v>0</v>
      </c>
      <c r="M375" s="15">
        <f>IFERROR(VLOOKUP(B375,cubo!$A$6:$BE$37,57,0)-VLOOKUP(B375,#REF!,$M$2,0),0)</f>
        <v>0</v>
      </c>
      <c r="N375" s="9">
        <f>IFERROR(VLOOKUP(B375,cubo!$A$6:$BK$37,41,0)-VLOOKUP(conciliacao_custos!B375,#REF!,18,0),0)</f>
        <v>0</v>
      </c>
      <c r="O375" s="9">
        <f>IFERROR(VLOOKUP(B375,cubo!$A$6:$BK$37,44,0)-VLOOKUP(conciliacao_custos!B375,#REF!,13,0),0)</f>
        <v>0</v>
      </c>
      <c r="P375" s="9">
        <f>IFERROR(VLOOKUP(B375,cubo!$A$6:$BK$37,47,0)-VLOOKUP(conciliacao_custos!B375,#REF!,14,0),0)</f>
        <v>0</v>
      </c>
      <c r="Q375" s="9">
        <f>IFERROR(VLOOKUP(B375,cubo!$A$6:$BK$37,58,0)-VLOOKUP(conciliacao_custos!B375,#REF!,16,0),0)</f>
        <v>0</v>
      </c>
      <c r="R375" s="9">
        <f>IFERROR(VLOOKUP(B375,cubo!$A$6:$BK$37,64,0)-VLOOKUP(conciliacao_custos!B375,#REF!,17,0),0)</f>
        <v>0</v>
      </c>
      <c r="S375" s="9">
        <f>IFERROR(VLOOKUP(B375,cubo!$A$6:$BK$37,61,0)-VLOOKUP(conciliacao_custos!B375,#REF!,15,0),0)</f>
        <v>0</v>
      </c>
    </row>
    <row r="376" spans="2:19" x14ac:dyDescent="0.25">
      <c r="B376" s="7">
        <f>[1]salario!A375</f>
        <v>0</v>
      </c>
      <c r="C376" s="8">
        <f>[1]salario!C375</f>
        <v>0</v>
      </c>
      <c r="D376" s="10">
        <f>IFERROR(VLOOKUP(B376,cubo!$A$6:$BE$37,6,0)-VLOOKUP(B376,#REF!,$D$2,0),0)</f>
        <v>0</v>
      </c>
      <c r="E376" s="10">
        <f>IFERROR(VLOOKUP(B376,cubo!$A$6:$BE$37,9,0)-VLOOKUP(B376,#REF!,$E$2,0),0)</f>
        <v>0</v>
      </c>
      <c r="F376" s="9">
        <f>IFERROR(VLOOKUP(B376,cubo!$A$6:$BE$37,12,0)-VLOOKUP(B376,#REF!,$F$2,0),0)</f>
        <v>0</v>
      </c>
      <c r="G376" s="9">
        <f>IFERROR(VLOOKUP(B376,cubo!$A$6:$BE$37,54,0)-VLOOKUP(B376,#REF!,$G$2,0),0)</f>
        <v>0</v>
      </c>
      <c r="H376" s="10">
        <f>IFERROR(VLOOKUP(B376,cubo!$A$6:$BE$37,15,0)-VLOOKUP(B376,#REF!,$H$2,0),0)</f>
        <v>0</v>
      </c>
      <c r="I376" s="9">
        <f>IFERROR(VLOOKUP(B376,cubo!$A$6:$BE$37,18,0)-VLOOKUP(B376,#REF!,$I$2,0),0)</f>
        <v>0</v>
      </c>
      <c r="J376" s="9">
        <f>IFERROR(VLOOKUP(B376,cubo!$A$6:$BE$37,24,0)-VLOOKUP(B376,#REF!,$J$2,0),0)</f>
        <v>0</v>
      </c>
      <c r="K376" s="9">
        <f>IFERROR(VLOOKUP(B376,cubo!$A$6:$BE$37,34,0)-VLOOKUP(B376,#REF!,$K$2,0),0)</f>
        <v>0</v>
      </c>
      <c r="L376" s="8">
        <f>IFERROR(VLOOKUP(B376,cubo!$A$6:$BE$37,38,0)-VLOOKUP(B376,#REF!,$L$2,0),0)</f>
        <v>0</v>
      </c>
      <c r="M376" s="15">
        <f>IFERROR(VLOOKUP(B376,cubo!$A$6:$BE$37,57,0)-VLOOKUP(B376,#REF!,$M$2,0),0)</f>
        <v>0</v>
      </c>
      <c r="N376" s="9">
        <f>IFERROR(VLOOKUP(B376,cubo!$A$6:$BK$37,41,0)-VLOOKUP(conciliacao_custos!B376,#REF!,18,0),0)</f>
        <v>0</v>
      </c>
      <c r="O376" s="9">
        <f>IFERROR(VLOOKUP(B376,cubo!$A$6:$BK$37,44,0)-VLOOKUP(conciliacao_custos!B376,#REF!,13,0),0)</f>
        <v>0</v>
      </c>
      <c r="P376" s="9">
        <f>IFERROR(VLOOKUP(B376,cubo!$A$6:$BK$37,47,0)-VLOOKUP(conciliacao_custos!B376,#REF!,14,0),0)</f>
        <v>0</v>
      </c>
      <c r="Q376" s="9">
        <f>IFERROR(VLOOKUP(B376,cubo!$A$6:$BK$37,58,0)-VLOOKUP(conciliacao_custos!B376,#REF!,16,0),0)</f>
        <v>0</v>
      </c>
      <c r="R376" s="9">
        <f>IFERROR(VLOOKUP(B376,cubo!$A$6:$BK$37,64,0)-VLOOKUP(conciliacao_custos!B376,#REF!,17,0),0)</f>
        <v>0</v>
      </c>
      <c r="S376" s="9">
        <f>IFERROR(VLOOKUP(B376,cubo!$A$6:$BK$37,61,0)-VLOOKUP(conciliacao_custos!B376,#REF!,15,0),0)</f>
        <v>0</v>
      </c>
    </row>
    <row r="377" spans="2:19" x14ac:dyDescent="0.25">
      <c r="B377" s="7">
        <f>[1]salario!A376</f>
        <v>0</v>
      </c>
      <c r="C377" s="8">
        <f>[1]salario!C376</f>
        <v>0</v>
      </c>
      <c r="D377" s="10">
        <f>IFERROR(VLOOKUP(B377,cubo!$A$6:$BE$37,6,0)-VLOOKUP(B377,#REF!,$D$2,0),0)</f>
        <v>0</v>
      </c>
      <c r="E377" s="10">
        <f>IFERROR(VLOOKUP(B377,cubo!$A$6:$BE$37,9,0)-VLOOKUP(B377,#REF!,$E$2,0),0)</f>
        <v>0</v>
      </c>
      <c r="F377" s="9">
        <f>IFERROR(VLOOKUP(B377,cubo!$A$6:$BE$37,12,0)-VLOOKUP(B377,#REF!,$F$2,0),0)</f>
        <v>0</v>
      </c>
      <c r="G377" s="9">
        <f>IFERROR(VLOOKUP(B377,cubo!$A$6:$BE$37,54,0)-VLOOKUP(B377,#REF!,$G$2,0),0)</f>
        <v>0</v>
      </c>
      <c r="H377" s="10">
        <f>IFERROR(VLOOKUP(B377,cubo!$A$6:$BE$37,15,0)-VLOOKUP(B377,#REF!,$H$2,0),0)</f>
        <v>0</v>
      </c>
      <c r="I377" s="9">
        <f>IFERROR(VLOOKUP(B377,cubo!$A$6:$BE$37,18,0)-VLOOKUP(B377,#REF!,$I$2,0),0)</f>
        <v>0</v>
      </c>
      <c r="J377" s="9">
        <f>IFERROR(VLOOKUP(B377,cubo!$A$6:$BE$37,24,0)-VLOOKUP(B377,#REF!,$J$2,0),0)</f>
        <v>0</v>
      </c>
      <c r="K377" s="9">
        <f>IFERROR(VLOOKUP(B377,cubo!$A$6:$BE$37,34,0)-VLOOKUP(B377,#REF!,$K$2,0),0)</f>
        <v>0</v>
      </c>
      <c r="L377" s="8">
        <f>IFERROR(VLOOKUP(B377,cubo!$A$6:$BE$37,38,0)-VLOOKUP(B377,#REF!,$L$2,0),0)</f>
        <v>0</v>
      </c>
      <c r="M377" s="15">
        <f>IFERROR(VLOOKUP(B377,cubo!$A$6:$BE$37,57,0)-VLOOKUP(B377,#REF!,$M$2,0),0)</f>
        <v>0</v>
      </c>
      <c r="N377" s="9">
        <f>IFERROR(VLOOKUP(B377,cubo!$A$6:$BK$37,41,0)-VLOOKUP(conciliacao_custos!B377,#REF!,18,0),0)</f>
        <v>0</v>
      </c>
      <c r="O377" s="9">
        <f>IFERROR(VLOOKUP(B377,cubo!$A$6:$BK$37,44,0)-VLOOKUP(conciliacao_custos!B377,#REF!,13,0),0)</f>
        <v>0</v>
      </c>
      <c r="P377" s="9">
        <f>IFERROR(VLOOKUP(B377,cubo!$A$6:$BK$37,47,0)-VLOOKUP(conciliacao_custos!B377,#REF!,14,0),0)</f>
        <v>0</v>
      </c>
      <c r="Q377" s="9">
        <f>IFERROR(VLOOKUP(B377,cubo!$A$6:$BK$37,58,0)-VLOOKUP(conciliacao_custos!B377,#REF!,16,0),0)</f>
        <v>0</v>
      </c>
      <c r="R377" s="9">
        <f>IFERROR(VLOOKUP(B377,cubo!$A$6:$BK$37,64,0)-VLOOKUP(conciliacao_custos!B377,#REF!,17,0),0)</f>
        <v>0</v>
      </c>
      <c r="S377" s="9">
        <f>IFERROR(VLOOKUP(B377,cubo!$A$6:$BK$37,61,0)-VLOOKUP(conciliacao_custos!B377,#REF!,15,0),0)</f>
        <v>0</v>
      </c>
    </row>
    <row r="378" spans="2:19" x14ac:dyDescent="0.25">
      <c r="B378" s="7">
        <f>[1]salario!A377</f>
        <v>0</v>
      </c>
      <c r="C378" s="8">
        <f>[1]salario!C377</f>
        <v>0</v>
      </c>
      <c r="D378" s="10">
        <f>IFERROR(VLOOKUP(B378,cubo!$A$6:$BE$37,6,0)-VLOOKUP(B378,#REF!,$D$2,0),0)</f>
        <v>0</v>
      </c>
      <c r="E378" s="10">
        <f>IFERROR(VLOOKUP(B378,cubo!$A$6:$BE$37,9,0)-VLOOKUP(B378,#REF!,$E$2,0),0)</f>
        <v>0</v>
      </c>
      <c r="F378" s="9">
        <f>IFERROR(VLOOKUP(B378,cubo!$A$6:$BE$37,12,0)-VLOOKUP(B378,#REF!,$F$2,0),0)</f>
        <v>0</v>
      </c>
      <c r="G378" s="9">
        <f>IFERROR(VLOOKUP(B378,cubo!$A$6:$BE$37,54,0)-VLOOKUP(B378,#REF!,$G$2,0),0)</f>
        <v>0</v>
      </c>
      <c r="H378" s="10">
        <f>IFERROR(VLOOKUP(B378,cubo!$A$6:$BE$37,15,0)-VLOOKUP(B378,#REF!,$H$2,0),0)</f>
        <v>0</v>
      </c>
      <c r="I378" s="9">
        <f>IFERROR(VLOOKUP(B378,cubo!$A$6:$BE$37,18,0)-VLOOKUP(B378,#REF!,$I$2,0),0)</f>
        <v>0</v>
      </c>
      <c r="J378" s="9">
        <f>IFERROR(VLOOKUP(B378,cubo!$A$6:$BE$37,24,0)-VLOOKUP(B378,#REF!,$J$2,0),0)</f>
        <v>0</v>
      </c>
      <c r="K378" s="9">
        <f>IFERROR(VLOOKUP(B378,cubo!$A$6:$BE$37,34,0)-VLOOKUP(B378,#REF!,$K$2,0),0)</f>
        <v>0</v>
      </c>
      <c r="L378" s="8">
        <f>IFERROR(VLOOKUP(B378,cubo!$A$6:$BE$37,38,0)-VLOOKUP(B378,#REF!,$L$2,0),0)</f>
        <v>0</v>
      </c>
      <c r="M378" s="15">
        <f>IFERROR(VLOOKUP(B378,cubo!$A$6:$BE$37,57,0)-VLOOKUP(B378,#REF!,$M$2,0),0)</f>
        <v>0</v>
      </c>
      <c r="N378" s="9">
        <f>IFERROR(VLOOKUP(B378,cubo!$A$6:$BK$37,41,0)-VLOOKUP(conciliacao_custos!B378,#REF!,18,0),0)</f>
        <v>0</v>
      </c>
      <c r="O378" s="9">
        <f>IFERROR(VLOOKUP(B378,cubo!$A$6:$BK$37,44,0)-VLOOKUP(conciliacao_custos!B378,#REF!,13,0),0)</f>
        <v>0</v>
      </c>
      <c r="P378" s="9">
        <f>IFERROR(VLOOKUP(B378,cubo!$A$6:$BK$37,47,0)-VLOOKUP(conciliacao_custos!B378,#REF!,14,0),0)</f>
        <v>0</v>
      </c>
      <c r="Q378" s="9">
        <f>IFERROR(VLOOKUP(B378,cubo!$A$6:$BK$37,58,0)-VLOOKUP(conciliacao_custos!B378,#REF!,16,0),0)</f>
        <v>0</v>
      </c>
      <c r="R378" s="9">
        <f>IFERROR(VLOOKUP(B378,cubo!$A$6:$BK$37,64,0)-VLOOKUP(conciliacao_custos!B378,#REF!,17,0),0)</f>
        <v>0</v>
      </c>
      <c r="S378" s="9">
        <f>IFERROR(VLOOKUP(B378,cubo!$A$6:$BK$37,61,0)-VLOOKUP(conciliacao_custos!B378,#REF!,15,0),0)</f>
        <v>0</v>
      </c>
    </row>
    <row r="379" spans="2:19" x14ac:dyDescent="0.25">
      <c r="B379" s="7">
        <f>[1]salario!A378</f>
        <v>0</v>
      </c>
      <c r="C379" s="8">
        <f>[1]salario!C378</f>
        <v>0</v>
      </c>
      <c r="D379" s="10">
        <f>IFERROR(VLOOKUP(B379,cubo!$A$6:$BE$37,6,0)-VLOOKUP(B379,#REF!,$D$2,0),0)</f>
        <v>0</v>
      </c>
      <c r="E379" s="10">
        <f>IFERROR(VLOOKUP(B379,cubo!$A$6:$BE$37,9,0)-VLOOKUP(B379,#REF!,$E$2,0),0)</f>
        <v>0</v>
      </c>
      <c r="F379" s="9">
        <f>IFERROR(VLOOKUP(B379,cubo!$A$6:$BE$37,12,0)-VLOOKUP(B379,#REF!,$F$2,0),0)</f>
        <v>0</v>
      </c>
      <c r="G379" s="9">
        <f>IFERROR(VLOOKUP(B379,cubo!$A$6:$BE$37,54,0)-VLOOKUP(B379,#REF!,$G$2,0),0)</f>
        <v>0</v>
      </c>
      <c r="H379" s="10">
        <f>IFERROR(VLOOKUP(B379,cubo!$A$6:$BE$37,15,0)-VLOOKUP(B379,#REF!,$H$2,0),0)</f>
        <v>0</v>
      </c>
      <c r="I379" s="9">
        <f>IFERROR(VLOOKUP(B379,cubo!$A$6:$BE$37,18,0)-VLOOKUP(B379,#REF!,$I$2,0),0)</f>
        <v>0</v>
      </c>
      <c r="J379" s="9">
        <f>IFERROR(VLOOKUP(B379,cubo!$A$6:$BE$37,24,0)-VLOOKUP(B379,#REF!,$J$2,0),0)</f>
        <v>0</v>
      </c>
      <c r="K379" s="9">
        <f>IFERROR(VLOOKUP(B379,cubo!$A$6:$BE$37,34,0)-VLOOKUP(B379,#REF!,$K$2,0),0)</f>
        <v>0</v>
      </c>
      <c r="L379" s="8">
        <f>IFERROR(VLOOKUP(B379,cubo!$A$6:$BE$37,38,0)-VLOOKUP(B379,#REF!,$L$2,0),0)</f>
        <v>0</v>
      </c>
      <c r="M379" s="15">
        <f>IFERROR(VLOOKUP(B379,cubo!$A$6:$BE$37,57,0)-VLOOKUP(B379,#REF!,$M$2,0),0)</f>
        <v>0</v>
      </c>
      <c r="N379" s="9">
        <f>IFERROR(VLOOKUP(B379,cubo!$A$6:$BK$37,41,0)-VLOOKUP(conciliacao_custos!B379,#REF!,18,0),0)</f>
        <v>0</v>
      </c>
      <c r="O379" s="9">
        <f>IFERROR(VLOOKUP(B379,cubo!$A$6:$BK$37,44,0)-VLOOKUP(conciliacao_custos!B379,#REF!,13,0),0)</f>
        <v>0</v>
      </c>
      <c r="P379" s="9">
        <f>IFERROR(VLOOKUP(B379,cubo!$A$6:$BK$37,47,0)-VLOOKUP(conciliacao_custos!B379,#REF!,14,0),0)</f>
        <v>0</v>
      </c>
      <c r="Q379" s="9">
        <f>IFERROR(VLOOKUP(B379,cubo!$A$6:$BK$37,58,0)-VLOOKUP(conciliacao_custos!B379,#REF!,16,0),0)</f>
        <v>0</v>
      </c>
      <c r="R379" s="9">
        <f>IFERROR(VLOOKUP(B379,cubo!$A$6:$BK$37,64,0)-VLOOKUP(conciliacao_custos!B379,#REF!,17,0),0)</f>
        <v>0</v>
      </c>
      <c r="S379" s="9">
        <f>IFERROR(VLOOKUP(B379,cubo!$A$6:$BK$37,61,0)-VLOOKUP(conciliacao_custos!B379,#REF!,15,0),0)</f>
        <v>0</v>
      </c>
    </row>
    <row r="380" spans="2:19" x14ac:dyDescent="0.25">
      <c r="B380" s="7">
        <f>[1]salario!A379</f>
        <v>0</v>
      </c>
      <c r="C380" s="8">
        <f>[1]salario!C379</f>
        <v>0</v>
      </c>
      <c r="D380" s="10">
        <f>IFERROR(VLOOKUP(B380,cubo!$A$6:$BE$37,6,0)-VLOOKUP(B380,#REF!,$D$2,0),0)</f>
        <v>0</v>
      </c>
      <c r="E380" s="10">
        <f>IFERROR(VLOOKUP(B380,cubo!$A$6:$BE$37,9,0)-VLOOKUP(B380,#REF!,$E$2,0),0)</f>
        <v>0</v>
      </c>
      <c r="F380" s="9">
        <f>IFERROR(VLOOKUP(B380,cubo!$A$6:$BE$37,12,0)-VLOOKUP(B380,#REF!,$F$2,0),0)</f>
        <v>0</v>
      </c>
      <c r="G380" s="9">
        <f>IFERROR(VLOOKUP(B380,cubo!$A$6:$BE$37,54,0)-VLOOKUP(B380,#REF!,$G$2,0),0)</f>
        <v>0</v>
      </c>
      <c r="H380" s="10">
        <f>IFERROR(VLOOKUP(B380,cubo!$A$6:$BE$37,15,0)-VLOOKUP(B380,#REF!,$H$2,0),0)</f>
        <v>0</v>
      </c>
      <c r="I380" s="9">
        <f>IFERROR(VLOOKUP(B380,cubo!$A$6:$BE$37,18,0)-VLOOKUP(B380,#REF!,$I$2,0),0)</f>
        <v>0</v>
      </c>
      <c r="J380" s="9">
        <f>IFERROR(VLOOKUP(B380,cubo!$A$6:$BE$37,24,0)-VLOOKUP(B380,#REF!,$J$2,0),0)</f>
        <v>0</v>
      </c>
      <c r="K380" s="9">
        <f>IFERROR(VLOOKUP(B380,cubo!$A$6:$BE$37,34,0)-VLOOKUP(B380,#REF!,$K$2,0),0)</f>
        <v>0</v>
      </c>
      <c r="L380" s="8">
        <f>IFERROR(VLOOKUP(B380,cubo!$A$6:$BE$37,38,0)-VLOOKUP(B380,#REF!,$L$2,0),0)</f>
        <v>0</v>
      </c>
      <c r="M380" s="15">
        <f>IFERROR(VLOOKUP(B380,cubo!$A$6:$BE$37,57,0)-VLOOKUP(B380,#REF!,$M$2,0),0)</f>
        <v>0</v>
      </c>
      <c r="N380" s="9">
        <f>IFERROR(VLOOKUP(B380,cubo!$A$6:$BK$37,41,0)-VLOOKUP(conciliacao_custos!B380,#REF!,18,0),0)</f>
        <v>0</v>
      </c>
      <c r="O380" s="9">
        <f>IFERROR(VLOOKUP(B380,cubo!$A$6:$BK$37,44,0)-VLOOKUP(conciliacao_custos!B380,#REF!,13,0),0)</f>
        <v>0</v>
      </c>
      <c r="P380" s="9">
        <f>IFERROR(VLOOKUP(B380,cubo!$A$6:$BK$37,47,0)-VLOOKUP(conciliacao_custos!B380,#REF!,14,0),0)</f>
        <v>0</v>
      </c>
      <c r="Q380" s="9">
        <f>IFERROR(VLOOKUP(B380,cubo!$A$6:$BK$37,58,0)-VLOOKUP(conciliacao_custos!B380,#REF!,16,0),0)</f>
        <v>0</v>
      </c>
      <c r="R380" s="9">
        <f>IFERROR(VLOOKUP(B380,cubo!$A$6:$BK$37,64,0)-VLOOKUP(conciliacao_custos!B380,#REF!,17,0),0)</f>
        <v>0</v>
      </c>
      <c r="S380" s="9">
        <f>IFERROR(VLOOKUP(B380,cubo!$A$6:$BK$37,61,0)-VLOOKUP(conciliacao_custos!B380,#REF!,15,0),0)</f>
        <v>0</v>
      </c>
    </row>
    <row r="381" spans="2:19" x14ac:dyDescent="0.25">
      <c r="B381" s="7">
        <f>[1]salario!A380</f>
        <v>0</v>
      </c>
      <c r="C381" s="8">
        <f>[1]salario!C380</f>
        <v>0</v>
      </c>
      <c r="D381" s="10">
        <f>IFERROR(VLOOKUP(B381,cubo!$A$6:$BE$37,6,0)-VLOOKUP(B381,#REF!,$D$2,0),0)</f>
        <v>0</v>
      </c>
      <c r="E381" s="10">
        <f>IFERROR(VLOOKUP(B381,cubo!$A$6:$BE$37,9,0)-VLOOKUP(B381,#REF!,$E$2,0),0)</f>
        <v>0</v>
      </c>
      <c r="F381" s="9">
        <f>IFERROR(VLOOKUP(B381,cubo!$A$6:$BE$37,12,0)-VLOOKUP(B381,#REF!,$F$2,0),0)</f>
        <v>0</v>
      </c>
      <c r="G381" s="9">
        <f>IFERROR(VLOOKUP(B381,cubo!$A$6:$BE$37,54,0)-VLOOKUP(B381,#REF!,$G$2,0),0)</f>
        <v>0</v>
      </c>
      <c r="H381" s="10">
        <f>IFERROR(VLOOKUP(B381,cubo!$A$6:$BE$37,15,0)-VLOOKUP(B381,#REF!,$H$2,0),0)</f>
        <v>0</v>
      </c>
      <c r="I381" s="9">
        <f>IFERROR(VLOOKUP(B381,cubo!$A$6:$BE$37,18,0)-VLOOKUP(B381,#REF!,$I$2,0),0)</f>
        <v>0</v>
      </c>
      <c r="J381" s="9">
        <f>IFERROR(VLOOKUP(B381,cubo!$A$6:$BE$37,24,0)-VLOOKUP(B381,#REF!,$J$2,0),0)</f>
        <v>0</v>
      </c>
      <c r="K381" s="9">
        <f>IFERROR(VLOOKUP(B381,cubo!$A$6:$BE$37,34,0)-VLOOKUP(B381,#REF!,$K$2,0),0)</f>
        <v>0</v>
      </c>
      <c r="L381" s="8">
        <f>IFERROR(VLOOKUP(B381,cubo!$A$6:$BE$37,38,0)-VLOOKUP(B381,#REF!,$L$2,0),0)</f>
        <v>0</v>
      </c>
      <c r="M381" s="15">
        <f>IFERROR(VLOOKUP(B381,cubo!$A$6:$BE$37,57,0)-VLOOKUP(B381,#REF!,$M$2,0),0)</f>
        <v>0</v>
      </c>
      <c r="N381" s="9">
        <f>IFERROR(VLOOKUP(B381,cubo!$A$6:$BK$37,41,0)-VLOOKUP(conciliacao_custos!B381,#REF!,18,0),0)</f>
        <v>0</v>
      </c>
      <c r="O381" s="9">
        <f>IFERROR(VLOOKUP(B381,cubo!$A$6:$BK$37,44,0)-VLOOKUP(conciliacao_custos!B381,#REF!,13,0),0)</f>
        <v>0</v>
      </c>
      <c r="P381" s="9">
        <f>IFERROR(VLOOKUP(B381,cubo!$A$6:$BK$37,47,0)-VLOOKUP(conciliacao_custos!B381,#REF!,14,0),0)</f>
        <v>0</v>
      </c>
      <c r="Q381" s="9">
        <f>IFERROR(VLOOKUP(B381,cubo!$A$6:$BK$37,58,0)-VLOOKUP(conciliacao_custos!B381,#REF!,16,0),0)</f>
        <v>0</v>
      </c>
      <c r="R381" s="9">
        <f>IFERROR(VLOOKUP(B381,cubo!$A$6:$BK$37,64,0)-VLOOKUP(conciliacao_custos!B381,#REF!,17,0),0)</f>
        <v>0</v>
      </c>
      <c r="S381" s="9">
        <f>IFERROR(VLOOKUP(B381,cubo!$A$6:$BK$37,61,0)-VLOOKUP(conciliacao_custos!B381,#REF!,15,0),0)</f>
        <v>0</v>
      </c>
    </row>
    <row r="382" spans="2:19" x14ac:dyDescent="0.25">
      <c r="B382" s="7">
        <f>[1]salario!A381</f>
        <v>0</v>
      </c>
      <c r="C382" s="8">
        <f>[1]salario!C381</f>
        <v>0</v>
      </c>
      <c r="D382" s="10">
        <f>IFERROR(VLOOKUP(B382,cubo!$A$6:$BE$37,6,0)-VLOOKUP(B382,#REF!,$D$2,0),0)</f>
        <v>0</v>
      </c>
      <c r="E382" s="10">
        <f>IFERROR(VLOOKUP(B382,cubo!$A$6:$BE$37,9,0)-VLOOKUP(B382,#REF!,$E$2,0),0)</f>
        <v>0</v>
      </c>
      <c r="F382" s="9">
        <f>IFERROR(VLOOKUP(B382,cubo!$A$6:$BE$37,12,0)-VLOOKUP(B382,#REF!,$F$2,0),0)</f>
        <v>0</v>
      </c>
      <c r="G382" s="9">
        <f>IFERROR(VLOOKUP(B382,cubo!$A$6:$BE$37,54,0)-VLOOKUP(B382,#REF!,$G$2,0),0)</f>
        <v>0</v>
      </c>
      <c r="H382" s="10">
        <f>IFERROR(VLOOKUP(B382,cubo!$A$6:$BE$37,15,0)-VLOOKUP(B382,#REF!,$H$2,0),0)</f>
        <v>0</v>
      </c>
      <c r="I382" s="9">
        <f>IFERROR(VLOOKUP(B382,cubo!$A$6:$BE$37,18,0)-VLOOKUP(B382,#REF!,$I$2,0),0)</f>
        <v>0</v>
      </c>
      <c r="J382" s="9">
        <f>IFERROR(VLOOKUP(B382,cubo!$A$6:$BE$37,24,0)-VLOOKUP(B382,#REF!,$J$2,0),0)</f>
        <v>0</v>
      </c>
      <c r="K382" s="9">
        <f>IFERROR(VLOOKUP(B382,cubo!$A$6:$BE$37,34,0)-VLOOKUP(B382,#REF!,$K$2,0),0)</f>
        <v>0</v>
      </c>
      <c r="L382" s="8">
        <f>IFERROR(VLOOKUP(B382,cubo!$A$6:$BE$37,38,0)-VLOOKUP(B382,#REF!,$L$2,0),0)</f>
        <v>0</v>
      </c>
      <c r="M382" s="15">
        <f>IFERROR(VLOOKUP(B382,cubo!$A$6:$BE$37,57,0)-VLOOKUP(B382,#REF!,$M$2,0),0)</f>
        <v>0</v>
      </c>
      <c r="N382" s="9">
        <f>IFERROR(VLOOKUP(B382,cubo!$A$6:$BK$37,41,0)-VLOOKUP(conciliacao_custos!B382,#REF!,18,0),0)</f>
        <v>0</v>
      </c>
      <c r="O382" s="9">
        <f>IFERROR(VLOOKUP(B382,cubo!$A$6:$BK$37,44,0)-VLOOKUP(conciliacao_custos!B382,#REF!,13,0),0)</f>
        <v>0</v>
      </c>
      <c r="P382" s="9">
        <f>IFERROR(VLOOKUP(B382,cubo!$A$6:$BK$37,47,0)-VLOOKUP(conciliacao_custos!B382,#REF!,14,0),0)</f>
        <v>0</v>
      </c>
      <c r="Q382" s="9">
        <f>IFERROR(VLOOKUP(B382,cubo!$A$6:$BK$37,58,0)-VLOOKUP(conciliacao_custos!B382,#REF!,16,0),0)</f>
        <v>0</v>
      </c>
      <c r="R382" s="9">
        <f>IFERROR(VLOOKUP(B382,cubo!$A$6:$BK$37,64,0)-VLOOKUP(conciliacao_custos!B382,#REF!,17,0),0)</f>
        <v>0</v>
      </c>
      <c r="S382" s="9">
        <f>IFERROR(VLOOKUP(B382,cubo!$A$6:$BK$37,61,0)-VLOOKUP(conciliacao_custos!B382,#REF!,15,0),0)</f>
        <v>0</v>
      </c>
    </row>
    <row r="383" spans="2:19" x14ac:dyDescent="0.25">
      <c r="B383" s="7">
        <f>[1]salario!A382</f>
        <v>0</v>
      </c>
      <c r="C383" s="8">
        <f>[1]salario!C382</f>
        <v>0</v>
      </c>
      <c r="D383" s="10">
        <f>IFERROR(VLOOKUP(B383,cubo!$A$6:$BE$37,6,0)-VLOOKUP(B383,#REF!,$D$2,0),0)</f>
        <v>0</v>
      </c>
      <c r="E383" s="10">
        <f>IFERROR(VLOOKUP(B383,cubo!$A$6:$BE$37,9,0)-VLOOKUP(B383,#REF!,$E$2,0),0)</f>
        <v>0</v>
      </c>
      <c r="F383" s="9">
        <f>IFERROR(VLOOKUP(B383,cubo!$A$6:$BE$37,12,0)-VLOOKUP(B383,#REF!,$F$2,0),0)</f>
        <v>0</v>
      </c>
      <c r="G383" s="9">
        <f>IFERROR(VLOOKUP(B383,cubo!$A$6:$BE$37,54,0)-VLOOKUP(B383,#REF!,$G$2,0),0)</f>
        <v>0</v>
      </c>
      <c r="H383" s="10">
        <f>IFERROR(VLOOKUP(B383,cubo!$A$6:$BE$37,15,0)-VLOOKUP(B383,#REF!,$H$2,0),0)</f>
        <v>0</v>
      </c>
      <c r="I383" s="9">
        <f>IFERROR(VLOOKUP(B383,cubo!$A$6:$BE$37,18,0)-VLOOKUP(B383,#REF!,$I$2,0),0)</f>
        <v>0</v>
      </c>
      <c r="J383" s="9">
        <f>IFERROR(VLOOKUP(B383,cubo!$A$6:$BE$37,24,0)-VLOOKUP(B383,#REF!,$J$2,0),0)</f>
        <v>0</v>
      </c>
      <c r="K383" s="9">
        <f>IFERROR(VLOOKUP(B383,cubo!$A$6:$BE$37,34,0)-VLOOKUP(B383,#REF!,$K$2,0),0)</f>
        <v>0</v>
      </c>
      <c r="L383" s="8">
        <f>IFERROR(VLOOKUP(B383,cubo!$A$6:$BE$37,38,0)-VLOOKUP(B383,#REF!,$L$2,0),0)</f>
        <v>0</v>
      </c>
      <c r="M383" s="15">
        <f>IFERROR(VLOOKUP(B383,cubo!$A$6:$BE$37,57,0)-VLOOKUP(B383,#REF!,$M$2,0),0)</f>
        <v>0</v>
      </c>
      <c r="N383" s="9">
        <f>IFERROR(VLOOKUP(B383,cubo!$A$6:$BK$37,41,0)-VLOOKUP(conciliacao_custos!B383,#REF!,18,0),0)</f>
        <v>0</v>
      </c>
      <c r="O383" s="9">
        <f>IFERROR(VLOOKUP(B383,cubo!$A$6:$BK$37,44,0)-VLOOKUP(conciliacao_custos!B383,#REF!,13,0),0)</f>
        <v>0</v>
      </c>
      <c r="P383" s="9">
        <f>IFERROR(VLOOKUP(B383,cubo!$A$6:$BK$37,47,0)-VLOOKUP(conciliacao_custos!B383,#REF!,14,0),0)</f>
        <v>0</v>
      </c>
      <c r="Q383" s="9">
        <f>IFERROR(VLOOKUP(B383,cubo!$A$6:$BK$37,58,0)-VLOOKUP(conciliacao_custos!B383,#REF!,16,0),0)</f>
        <v>0</v>
      </c>
      <c r="R383" s="9">
        <f>IFERROR(VLOOKUP(B383,cubo!$A$6:$BK$37,64,0)-VLOOKUP(conciliacao_custos!B383,#REF!,17,0),0)</f>
        <v>0</v>
      </c>
      <c r="S383" s="9">
        <f>IFERROR(VLOOKUP(B383,cubo!$A$6:$BK$37,61,0)-VLOOKUP(conciliacao_custos!B383,#REF!,15,0),0)</f>
        <v>0</v>
      </c>
    </row>
    <row r="384" spans="2:19" x14ac:dyDescent="0.25">
      <c r="B384" s="7">
        <f>[1]salario!A383</f>
        <v>0</v>
      </c>
      <c r="C384" s="8">
        <f>[1]salario!C383</f>
        <v>0</v>
      </c>
      <c r="D384" s="10">
        <f>IFERROR(VLOOKUP(B384,cubo!$A$6:$BE$37,6,0)-VLOOKUP(B384,#REF!,$D$2,0),0)</f>
        <v>0</v>
      </c>
      <c r="E384" s="10">
        <f>IFERROR(VLOOKUP(B384,cubo!$A$6:$BE$37,9,0)-VLOOKUP(B384,#REF!,$E$2,0),0)</f>
        <v>0</v>
      </c>
      <c r="F384" s="9">
        <f>IFERROR(VLOOKUP(B384,cubo!$A$6:$BE$37,12,0)-VLOOKUP(B384,#REF!,$F$2,0),0)</f>
        <v>0</v>
      </c>
      <c r="G384" s="9">
        <f>IFERROR(VLOOKUP(B384,cubo!$A$6:$BE$37,54,0)-VLOOKUP(B384,#REF!,$G$2,0),0)</f>
        <v>0</v>
      </c>
      <c r="H384" s="10">
        <f>IFERROR(VLOOKUP(B384,cubo!$A$6:$BE$37,15,0)-VLOOKUP(B384,#REF!,$H$2,0),0)</f>
        <v>0</v>
      </c>
      <c r="I384" s="9">
        <f>IFERROR(VLOOKUP(B384,cubo!$A$6:$BE$37,18,0)-VLOOKUP(B384,#REF!,$I$2,0),0)</f>
        <v>0</v>
      </c>
      <c r="J384" s="9">
        <f>IFERROR(VLOOKUP(B384,cubo!$A$6:$BE$37,24,0)-VLOOKUP(B384,#REF!,$J$2,0),0)</f>
        <v>0</v>
      </c>
      <c r="K384" s="9">
        <f>IFERROR(VLOOKUP(B384,cubo!$A$6:$BE$37,34,0)-VLOOKUP(B384,#REF!,$K$2,0),0)</f>
        <v>0</v>
      </c>
      <c r="L384" s="8">
        <f>IFERROR(VLOOKUP(B384,cubo!$A$6:$BE$37,38,0)-VLOOKUP(B384,#REF!,$L$2,0),0)</f>
        <v>0</v>
      </c>
      <c r="M384" s="15">
        <f>IFERROR(VLOOKUP(B384,cubo!$A$6:$BE$37,57,0)-VLOOKUP(B384,#REF!,$M$2,0),0)</f>
        <v>0</v>
      </c>
      <c r="N384" s="9">
        <f>IFERROR(VLOOKUP(B384,cubo!$A$6:$BK$37,41,0)-VLOOKUP(conciliacao_custos!B384,#REF!,18,0),0)</f>
        <v>0</v>
      </c>
      <c r="O384" s="9">
        <f>IFERROR(VLOOKUP(B384,cubo!$A$6:$BK$37,44,0)-VLOOKUP(conciliacao_custos!B384,#REF!,13,0),0)</f>
        <v>0</v>
      </c>
      <c r="P384" s="9">
        <f>IFERROR(VLOOKUP(B384,cubo!$A$6:$BK$37,47,0)-VLOOKUP(conciliacao_custos!B384,#REF!,14,0),0)</f>
        <v>0</v>
      </c>
      <c r="Q384" s="9">
        <f>IFERROR(VLOOKUP(B384,cubo!$A$6:$BK$37,58,0)-VLOOKUP(conciliacao_custos!B384,#REF!,16,0),0)</f>
        <v>0</v>
      </c>
      <c r="R384" s="9">
        <f>IFERROR(VLOOKUP(B384,cubo!$A$6:$BK$37,64,0)-VLOOKUP(conciliacao_custos!B384,#REF!,17,0),0)</f>
        <v>0</v>
      </c>
      <c r="S384" s="9">
        <f>IFERROR(VLOOKUP(B384,cubo!$A$6:$BK$37,61,0)-VLOOKUP(conciliacao_custos!B384,#REF!,15,0),0)</f>
        <v>0</v>
      </c>
    </row>
    <row r="385" spans="2:19" x14ac:dyDescent="0.25">
      <c r="B385" s="7">
        <f>[1]salario!A384</f>
        <v>0</v>
      </c>
      <c r="C385" s="8">
        <f>[1]salario!C384</f>
        <v>0</v>
      </c>
      <c r="D385" s="10">
        <f>IFERROR(VLOOKUP(B385,cubo!$A$6:$BE$37,6,0)-VLOOKUP(B385,#REF!,$D$2,0),0)</f>
        <v>0</v>
      </c>
      <c r="E385" s="10">
        <f>IFERROR(VLOOKUP(B385,cubo!$A$6:$BE$37,9,0)-VLOOKUP(B385,#REF!,$E$2,0),0)</f>
        <v>0</v>
      </c>
      <c r="F385" s="9">
        <f>IFERROR(VLOOKUP(B385,cubo!$A$6:$BE$37,12,0)-VLOOKUP(B385,#REF!,$F$2,0),0)</f>
        <v>0</v>
      </c>
      <c r="G385" s="9">
        <f>IFERROR(VLOOKUP(B385,cubo!$A$6:$BE$37,54,0)-VLOOKUP(B385,#REF!,$G$2,0),0)</f>
        <v>0</v>
      </c>
      <c r="H385" s="10">
        <f>IFERROR(VLOOKUP(B385,cubo!$A$6:$BE$37,15,0)-VLOOKUP(B385,#REF!,$H$2,0),0)</f>
        <v>0</v>
      </c>
      <c r="I385" s="9">
        <f>IFERROR(VLOOKUP(B385,cubo!$A$6:$BE$37,18,0)-VLOOKUP(B385,#REF!,$I$2,0),0)</f>
        <v>0</v>
      </c>
      <c r="J385" s="9">
        <f>IFERROR(VLOOKUP(B385,cubo!$A$6:$BE$37,24,0)-VLOOKUP(B385,#REF!,$J$2,0),0)</f>
        <v>0</v>
      </c>
      <c r="K385" s="9">
        <f>IFERROR(VLOOKUP(B385,cubo!$A$6:$BE$37,34,0)-VLOOKUP(B385,#REF!,$K$2,0),0)</f>
        <v>0</v>
      </c>
      <c r="L385" s="8">
        <f>IFERROR(VLOOKUP(B385,cubo!$A$6:$BE$37,38,0)-VLOOKUP(B385,#REF!,$L$2,0),0)</f>
        <v>0</v>
      </c>
      <c r="M385" s="15">
        <f>IFERROR(VLOOKUP(B385,cubo!$A$6:$BE$37,57,0)-VLOOKUP(B385,#REF!,$M$2,0),0)</f>
        <v>0</v>
      </c>
      <c r="N385" s="9">
        <f>IFERROR(VLOOKUP(B385,cubo!$A$6:$BK$37,41,0)-VLOOKUP(conciliacao_custos!B385,#REF!,18,0),0)</f>
        <v>0</v>
      </c>
      <c r="O385" s="9">
        <f>IFERROR(VLOOKUP(B385,cubo!$A$6:$BK$37,44,0)-VLOOKUP(conciliacao_custos!B385,#REF!,13,0),0)</f>
        <v>0</v>
      </c>
      <c r="P385" s="9">
        <f>IFERROR(VLOOKUP(B385,cubo!$A$6:$BK$37,47,0)-VLOOKUP(conciliacao_custos!B385,#REF!,14,0),0)</f>
        <v>0</v>
      </c>
      <c r="Q385" s="9">
        <f>IFERROR(VLOOKUP(B385,cubo!$A$6:$BK$37,58,0)-VLOOKUP(conciliacao_custos!B385,#REF!,16,0),0)</f>
        <v>0</v>
      </c>
      <c r="R385" s="9">
        <f>IFERROR(VLOOKUP(B385,cubo!$A$6:$BK$37,64,0)-VLOOKUP(conciliacao_custos!B385,#REF!,17,0),0)</f>
        <v>0</v>
      </c>
      <c r="S385" s="9">
        <f>IFERROR(VLOOKUP(B385,cubo!$A$6:$BK$37,61,0)-VLOOKUP(conciliacao_custos!B385,#REF!,15,0),0)</f>
        <v>0</v>
      </c>
    </row>
    <row r="386" spans="2:19" x14ac:dyDescent="0.25">
      <c r="B386" s="7">
        <f>[1]salario!A385</f>
        <v>0</v>
      </c>
      <c r="C386" s="8">
        <f>[1]salario!C385</f>
        <v>0</v>
      </c>
      <c r="D386" s="10">
        <f>IFERROR(VLOOKUP(B386,cubo!$A$6:$BE$37,6,0)-VLOOKUP(B386,#REF!,$D$2,0),0)</f>
        <v>0</v>
      </c>
      <c r="E386" s="10">
        <f>IFERROR(VLOOKUP(B386,cubo!$A$6:$BE$37,9,0)-VLOOKUP(B386,#REF!,$E$2,0),0)</f>
        <v>0</v>
      </c>
      <c r="F386" s="9">
        <f>IFERROR(VLOOKUP(B386,cubo!$A$6:$BE$37,12,0)-VLOOKUP(B386,#REF!,$F$2,0),0)</f>
        <v>0</v>
      </c>
      <c r="G386" s="9">
        <f>IFERROR(VLOOKUP(B386,cubo!$A$6:$BE$37,54,0)-VLOOKUP(B386,#REF!,$G$2,0),0)</f>
        <v>0</v>
      </c>
      <c r="H386" s="10">
        <f>IFERROR(VLOOKUP(B386,cubo!$A$6:$BE$37,15,0)-VLOOKUP(B386,#REF!,$H$2,0),0)</f>
        <v>0</v>
      </c>
      <c r="I386" s="9">
        <f>IFERROR(VLOOKUP(B386,cubo!$A$6:$BE$37,18,0)-VLOOKUP(B386,#REF!,$I$2,0),0)</f>
        <v>0</v>
      </c>
      <c r="J386" s="9">
        <f>IFERROR(VLOOKUP(B386,cubo!$A$6:$BE$37,24,0)-VLOOKUP(B386,#REF!,$J$2,0),0)</f>
        <v>0</v>
      </c>
      <c r="K386" s="9">
        <f>IFERROR(VLOOKUP(B386,cubo!$A$6:$BE$37,34,0)-VLOOKUP(B386,#REF!,$K$2,0),0)</f>
        <v>0</v>
      </c>
      <c r="L386" s="8">
        <f>IFERROR(VLOOKUP(B386,cubo!$A$6:$BE$37,38,0)-VLOOKUP(B386,#REF!,$L$2,0),0)</f>
        <v>0</v>
      </c>
      <c r="M386" s="15">
        <f>IFERROR(VLOOKUP(B386,cubo!$A$6:$BE$37,57,0)-VLOOKUP(B386,#REF!,$M$2,0),0)</f>
        <v>0</v>
      </c>
      <c r="N386" s="9">
        <f>IFERROR(VLOOKUP(B386,cubo!$A$6:$BK$37,41,0)-VLOOKUP(conciliacao_custos!B386,#REF!,18,0),0)</f>
        <v>0</v>
      </c>
      <c r="O386" s="9">
        <f>IFERROR(VLOOKUP(B386,cubo!$A$6:$BK$37,44,0)-VLOOKUP(conciliacao_custos!B386,#REF!,13,0),0)</f>
        <v>0</v>
      </c>
      <c r="P386" s="9">
        <f>IFERROR(VLOOKUP(B386,cubo!$A$6:$BK$37,47,0)-VLOOKUP(conciliacao_custos!B386,#REF!,14,0),0)</f>
        <v>0</v>
      </c>
      <c r="Q386" s="9">
        <f>IFERROR(VLOOKUP(B386,cubo!$A$6:$BK$37,58,0)-VLOOKUP(conciliacao_custos!B386,#REF!,16,0),0)</f>
        <v>0</v>
      </c>
      <c r="R386" s="9">
        <f>IFERROR(VLOOKUP(B386,cubo!$A$6:$BK$37,64,0)-VLOOKUP(conciliacao_custos!B386,#REF!,17,0),0)</f>
        <v>0</v>
      </c>
      <c r="S386" s="9">
        <f>IFERROR(VLOOKUP(B386,cubo!$A$6:$BK$37,61,0)-VLOOKUP(conciliacao_custos!B386,#REF!,15,0),0)</f>
        <v>0</v>
      </c>
    </row>
    <row r="387" spans="2:19" x14ac:dyDescent="0.25">
      <c r="B387" s="7">
        <f>[1]salario!A386</f>
        <v>0</v>
      </c>
      <c r="C387" s="8">
        <f>[1]salario!C386</f>
        <v>0</v>
      </c>
      <c r="D387" s="10">
        <f>IFERROR(VLOOKUP(B387,cubo!$A$6:$BE$37,6,0)-VLOOKUP(B387,#REF!,$D$2,0),0)</f>
        <v>0</v>
      </c>
      <c r="E387" s="10">
        <f>IFERROR(VLOOKUP(B387,cubo!$A$6:$BE$37,9,0)-VLOOKUP(B387,#REF!,$E$2,0),0)</f>
        <v>0</v>
      </c>
      <c r="F387" s="9">
        <f>IFERROR(VLOOKUP(B387,cubo!$A$6:$BE$37,12,0)-VLOOKUP(B387,#REF!,$F$2,0),0)</f>
        <v>0</v>
      </c>
      <c r="G387" s="9">
        <f>IFERROR(VLOOKUP(B387,cubo!$A$6:$BE$37,54,0)-VLOOKUP(B387,#REF!,$G$2,0),0)</f>
        <v>0</v>
      </c>
      <c r="H387" s="10">
        <f>IFERROR(VLOOKUP(B387,cubo!$A$6:$BE$37,15,0)-VLOOKUP(B387,#REF!,$H$2,0),0)</f>
        <v>0</v>
      </c>
      <c r="I387" s="9">
        <f>IFERROR(VLOOKUP(B387,cubo!$A$6:$BE$37,18,0)-VLOOKUP(B387,#REF!,$I$2,0),0)</f>
        <v>0</v>
      </c>
      <c r="J387" s="9">
        <f>IFERROR(VLOOKUP(B387,cubo!$A$6:$BE$37,24,0)-VLOOKUP(B387,#REF!,$J$2,0),0)</f>
        <v>0</v>
      </c>
      <c r="K387" s="9">
        <f>IFERROR(VLOOKUP(B387,cubo!$A$6:$BE$37,34,0)-VLOOKUP(B387,#REF!,$K$2,0),0)</f>
        <v>0</v>
      </c>
      <c r="L387" s="8">
        <f>IFERROR(VLOOKUP(B387,cubo!$A$6:$BE$37,38,0)-VLOOKUP(B387,#REF!,$L$2,0),0)</f>
        <v>0</v>
      </c>
      <c r="M387" s="15">
        <f>IFERROR(VLOOKUP(B387,cubo!$A$6:$BE$37,57,0)-VLOOKUP(B387,#REF!,$M$2,0),0)</f>
        <v>0</v>
      </c>
      <c r="N387" s="9">
        <f>IFERROR(VLOOKUP(B387,cubo!$A$6:$BK$37,41,0)-VLOOKUP(conciliacao_custos!B387,#REF!,18,0),0)</f>
        <v>0</v>
      </c>
      <c r="O387" s="9">
        <f>IFERROR(VLOOKUP(B387,cubo!$A$6:$BK$37,44,0)-VLOOKUP(conciliacao_custos!B387,#REF!,13,0),0)</f>
        <v>0</v>
      </c>
      <c r="P387" s="9">
        <f>IFERROR(VLOOKUP(B387,cubo!$A$6:$BK$37,47,0)-VLOOKUP(conciliacao_custos!B387,#REF!,14,0),0)</f>
        <v>0</v>
      </c>
      <c r="Q387" s="9">
        <f>IFERROR(VLOOKUP(B387,cubo!$A$6:$BK$37,58,0)-VLOOKUP(conciliacao_custos!B387,#REF!,16,0),0)</f>
        <v>0</v>
      </c>
      <c r="R387" s="9">
        <f>IFERROR(VLOOKUP(B387,cubo!$A$6:$BK$37,64,0)-VLOOKUP(conciliacao_custos!B387,#REF!,17,0),0)</f>
        <v>0</v>
      </c>
      <c r="S387" s="9">
        <f>IFERROR(VLOOKUP(B387,cubo!$A$6:$BK$37,61,0)-VLOOKUP(conciliacao_custos!B387,#REF!,15,0),0)</f>
        <v>0</v>
      </c>
    </row>
    <row r="388" spans="2:19" x14ac:dyDescent="0.25">
      <c r="B388" s="7">
        <f>[1]salario!A387</f>
        <v>0</v>
      </c>
      <c r="C388" s="8">
        <f>[1]salario!C387</f>
        <v>0</v>
      </c>
      <c r="D388" s="10">
        <f>IFERROR(VLOOKUP(B388,cubo!$A$6:$BE$37,6,0)-VLOOKUP(B388,#REF!,$D$2,0),0)</f>
        <v>0</v>
      </c>
      <c r="E388" s="10">
        <f>IFERROR(VLOOKUP(B388,cubo!$A$6:$BE$37,9,0)-VLOOKUP(B388,#REF!,$E$2,0),0)</f>
        <v>0</v>
      </c>
      <c r="F388" s="9">
        <f>IFERROR(VLOOKUP(B388,cubo!$A$6:$BE$37,12,0)-VLOOKUP(B388,#REF!,$F$2,0),0)</f>
        <v>0</v>
      </c>
      <c r="G388" s="9">
        <f>IFERROR(VLOOKUP(B388,cubo!$A$6:$BE$37,54,0)-VLOOKUP(B388,#REF!,$G$2,0),0)</f>
        <v>0</v>
      </c>
      <c r="H388" s="10">
        <f>IFERROR(VLOOKUP(B388,cubo!$A$6:$BE$37,15,0)-VLOOKUP(B388,#REF!,$H$2,0),0)</f>
        <v>0</v>
      </c>
      <c r="I388" s="9">
        <f>IFERROR(VLOOKUP(B388,cubo!$A$6:$BE$37,18,0)-VLOOKUP(B388,#REF!,$I$2,0),0)</f>
        <v>0</v>
      </c>
      <c r="J388" s="9">
        <f>IFERROR(VLOOKUP(B388,cubo!$A$6:$BE$37,24,0)-VLOOKUP(B388,#REF!,$J$2,0),0)</f>
        <v>0</v>
      </c>
      <c r="K388" s="9">
        <f>IFERROR(VLOOKUP(B388,cubo!$A$6:$BE$37,34,0)-VLOOKUP(B388,#REF!,$K$2,0),0)</f>
        <v>0</v>
      </c>
      <c r="L388" s="8">
        <f>IFERROR(VLOOKUP(B388,cubo!$A$6:$BE$37,38,0)-VLOOKUP(B388,#REF!,$L$2,0),0)</f>
        <v>0</v>
      </c>
      <c r="M388" s="15">
        <f>IFERROR(VLOOKUP(B388,cubo!$A$6:$BE$37,57,0)-VLOOKUP(B388,#REF!,$M$2,0),0)</f>
        <v>0</v>
      </c>
      <c r="N388" s="9">
        <f>IFERROR(VLOOKUP(B388,cubo!$A$6:$BK$37,41,0)-VLOOKUP(conciliacao_custos!B388,#REF!,18,0),0)</f>
        <v>0</v>
      </c>
      <c r="O388" s="9">
        <f>IFERROR(VLOOKUP(B388,cubo!$A$6:$BK$37,44,0)-VLOOKUP(conciliacao_custos!B388,#REF!,13,0),0)</f>
        <v>0</v>
      </c>
      <c r="P388" s="9">
        <f>IFERROR(VLOOKUP(B388,cubo!$A$6:$BK$37,47,0)-VLOOKUP(conciliacao_custos!B388,#REF!,14,0),0)</f>
        <v>0</v>
      </c>
      <c r="Q388" s="9">
        <f>IFERROR(VLOOKUP(B388,cubo!$A$6:$BK$37,58,0)-VLOOKUP(conciliacao_custos!B388,#REF!,16,0),0)</f>
        <v>0</v>
      </c>
      <c r="R388" s="9">
        <f>IFERROR(VLOOKUP(B388,cubo!$A$6:$BK$37,64,0)-VLOOKUP(conciliacao_custos!B388,#REF!,17,0),0)</f>
        <v>0</v>
      </c>
      <c r="S388" s="9">
        <f>IFERROR(VLOOKUP(B388,cubo!$A$6:$BK$37,61,0)-VLOOKUP(conciliacao_custos!B388,#REF!,15,0),0)</f>
        <v>0</v>
      </c>
    </row>
    <row r="389" spans="2:19" x14ac:dyDescent="0.25">
      <c r="B389" s="7">
        <f>[1]salario!A388</f>
        <v>0</v>
      </c>
      <c r="C389" s="8">
        <f>[1]salario!C388</f>
        <v>0</v>
      </c>
      <c r="D389" s="10">
        <f>IFERROR(VLOOKUP(B389,cubo!$A$6:$BE$37,6,0)-VLOOKUP(B389,#REF!,$D$2,0),0)</f>
        <v>0</v>
      </c>
      <c r="E389" s="10">
        <f>IFERROR(VLOOKUP(B389,cubo!$A$6:$BE$37,9,0)-VLOOKUP(B389,#REF!,$E$2,0),0)</f>
        <v>0</v>
      </c>
      <c r="F389" s="9">
        <f>IFERROR(VLOOKUP(B389,cubo!$A$6:$BE$37,12,0)-VLOOKUP(B389,#REF!,$F$2,0),0)</f>
        <v>0</v>
      </c>
      <c r="G389" s="9">
        <f>IFERROR(VLOOKUP(B389,cubo!$A$6:$BE$37,54,0)-VLOOKUP(B389,#REF!,$G$2,0),0)</f>
        <v>0</v>
      </c>
      <c r="H389" s="10">
        <f>IFERROR(VLOOKUP(B389,cubo!$A$6:$BE$37,15,0)-VLOOKUP(B389,#REF!,$H$2,0),0)</f>
        <v>0</v>
      </c>
      <c r="I389" s="9">
        <f>IFERROR(VLOOKUP(B389,cubo!$A$6:$BE$37,18,0)-VLOOKUP(B389,#REF!,$I$2,0),0)</f>
        <v>0</v>
      </c>
      <c r="J389" s="9">
        <f>IFERROR(VLOOKUP(B389,cubo!$A$6:$BE$37,24,0)-VLOOKUP(B389,#REF!,$J$2,0),0)</f>
        <v>0</v>
      </c>
      <c r="K389" s="9">
        <f>IFERROR(VLOOKUP(B389,cubo!$A$6:$BE$37,34,0)-VLOOKUP(B389,#REF!,$K$2,0),0)</f>
        <v>0</v>
      </c>
      <c r="L389" s="8">
        <f>IFERROR(VLOOKUP(B389,cubo!$A$6:$BE$37,38,0)-VLOOKUP(B389,#REF!,$L$2,0),0)</f>
        <v>0</v>
      </c>
      <c r="M389" s="15">
        <f>IFERROR(VLOOKUP(B389,cubo!$A$6:$BE$37,57,0)-VLOOKUP(B389,#REF!,$M$2,0),0)</f>
        <v>0</v>
      </c>
      <c r="N389" s="9">
        <f>IFERROR(VLOOKUP(B389,cubo!$A$6:$BK$37,41,0)-VLOOKUP(conciliacao_custos!B389,#REF!,18,0),0)</f>
        <v>0</v>
      </c>
      <c r="O389" s="9">
        <f>IFERROR(VLOOKUP(B389,cubo!$A$6:$BK$37,44,0)-VLOOKUP(conciliacao_custos!B389,#REF!,13,0),0)</f>
        <v>0</v>
      </c>
      <c r="P389" s="9">
        <f>IFERROR(VLOOKUP(B389,cubo!$A$6:$BK$37,47,0)-VLOOKUP(conciliacao_custos!B389,#REF!,14,0),0)</f>
        <v>0</v>
      </c>
      <c r="Q389" s="9">
        <f>IFERROR(VLOOKUP(B389,cubo!$A$6:$BK$37,58,0)-VLOOKUP(conciliacao_custos!B389,#REF!,16,0),0)</f>
        <v>0</v>
      </c>
      <c r="R389" s="9">
        <f>IFERROR(VLOOKUP(B389,cubo!$A$6:$BK$37,64,0)-VLOOKUP(conciliacao_custos!B389,#REF!,17,0),0)</f>
        <v>0</v>
      </c>
      <c r="S389" s="9">
        <f>IFERROR(VLOOKUP(B389,cubo!$A$6:$BK$37,61,0)-VLOOKUP(conciliacao_custos!B389,#REF!,15,0),0)</f>
        <v>0</v>
      </c>
    </row>
    <row r="390" spans="2:19" x14ac:dyDescent="0.25">
      <c r="B390" s="7">
        <f>[1]salario!A389</f>
        <v>0</v>
      </c>
      <c r="C390" s="8">
        <f>[1]salario!C389</f>
        <v>0</v>
      </c>
      <c r="D390" s="10">
        <f>IFERROR(VLOOKUP(B390,cubo!$A$6:$BE$37,6,0)-VLOOKUP(B390,#REF!,$D$2,0),0)</f>
        <v>0</v>
      </c>
      <c r="E390" s="10">
        <f>IFERROR(VLOOKUP(B390,cubo!$A$6:$BE$37,9,0)-VLOOKUP(B390,#REF!,$E$2,0),0)</f>
        <v>0</v>
      </c>
      <c r="F390" s="9">
        <f>IFERROR(VLOOKUP(B390,cubo!$A$6:$BE$37,12,0)-VLOOKUP(B390,#REF!,$F$2,0),0)</f>
        <v>0</v>
      </c>
      <c r="G390" s="9">
        <f>IFERROR(VLOOKUP(B390,cubo!$A$6:$BE$37,54,0)-VLOOKUP(B390,#REF!,$G$2,0),0)</f>
        <v>0</v>
      </c>
      <c r="H390" s="10">
        <f>IFERROR(VLOOKUP(B390,cubo!$A$6:$BE$37,15,0)-VLOOKUP(B390,#REF!,$H$2,0),0)</f>
        <v>0</v>
      </c>
      <c r="I390" s="9">
        <f>IFERROR(VLOOKUP(B390,cubo!$A$6:$BE$37,18,0)-VLOOKUP(B390,#REF!,$I$2,0),0)</f>
        <v>0</v>
      </c>
      <c r="J390" s="9">
        <f>IFERROR(VLOOKUP(B390,cubo!$A$6:$BE$37,24,0)-VLOOKUP(B390,#REF!,$J$2,0),0)</f>
        <v>0</v>
      </c>
      <c r="K390" s="9">
        <f>IFERROR(VLOOKUP(B390,cubo!$A$6:$BE$37,34,0)-VLOOKUP(B390,#REF!,$K$2,0),0)</f>
        <v>0</v>
      </c>
      <c r="L390" s="8">
        <f>IFERROR(VLOOKUP(B390,cubo!$A$6:$BE$37,38,0)-VLOOKUP(B390,#REF!,$L$2,0),0)</f>
        <v>0</v>
      </c>
      <c r="M390" s="15">
        <f>IFERROR(VLOOKUP(B390,cubo!$A$6:$BE$37,57,0)-VLOOKUP(B390,#REF!,$M$2,0),0)</f>
        <v>0</v>
      </c>
      <c r="N390" s="9">
        <f>IFERROR(VLOOKUP(B390,cubo!$A$6:$BK$37,41,0)-VLOOKUP(conciliacao_custos!B390,#REF!,18,0),0)</f>
        <v>0</v>
      </c>
      <c r="O390" s="9">
        <f>IFERROR(VLOOKUP(B390,cubo!$A$6:$BK$37,44,0)-VLOOKUP(conciliacao_custos!B390,#REF!,13,0),0)</f>
        <v>0</v>
      </c>
      <c r="P390" s="9">
        <f>IFERROR(VLOOKUP(B390,cubo!$A$6:$BK$37,47,0)-VLOOKUP(conciliacao_custos!B390,#REF!,14,0),0)</f>
        <v>0</v>
      </c>
      <c r="Q390" s="9">
        <f>IFERROR(VLOOKUP(B390,cubo!$A$6:$BK$37,58,0)-VLOOKUP(conciliacao_custos!B390,#REF!,16,0),0)</f>
        <v>0</v>
      </c>
      <c r="R390" s="9">
        <f>IFERROR(VLOOKUP(B390,cubo!$A$6:$BK$37,64,0)-VLOOKUP(conciliacao_custos!B390,#REF!,17,0),0)</f>
        <v>0</v>
      </c>
      <c r="S390" s="9">
        <f>IFERROR(VLOOKUP(B390,cubo!$A$6:$BK$37,61,0)-VLOOKUP(conciliacao_custos!B390,#REF!,15,0),0)</f>
        <v>0</v>
      </c>
    </row>
    <row r="391" spans="2:19" x14ac:dyDescent="0.25">
      <c r="B391" s="7">
        <f>[1]salario!A390</f>
        <v>0</v>
      </c>
      <c r="C391" s="8">
        <f>[1]salario!C390</f>
        <v>0</v>
      </c>
      <c r="D391" s="10">
        <f>IFERROR(VLOOKUP(B391,cubo!$A$6:$BE$37,6,0)-VLOOKUP(B391,#REF!,$D$2,0),0)</f>
        <v>0</v>
      </c>
      <c r="E391" s="10">
        <f>IFERROR(VLOOKUP(B391,cubo!$A$6:$BE$37,9,0)-VLOOKUP(B391,#REF!,$E$2,0),0)</f>
        <v>0</v>
      </c>
      <c r="F391" s="9">
        <f>IFERROR(VLOOKUP(B391,cubo!$A$6:$BE$37,12,0)-VLOOKUP(B391,#REF!,$F$2,0),0)</f>
        <v>0</v>
      </c>
      <c r="G391" s="9">
        <f>IFERROR(VLOOKUP(B391,cubo!$A$6:$BE$37,54,0)-VLOOKUP(B391,#REF!,$G$2,0),0)</f>
        <v>0</v>
      </c>
      <c r="H391" s="10">
        <f>IFERROR(VLOOKUP(B391,cubo!$A$6:$BE$37,15,0)-VLOOKUP(B391,#REF!,$H$2,0),0)</f>
        <v>0</v>
      </c>
      <c r="I391" s="9">
        <f>IFERROR(VLOOKUP(B391,cubo!$A$6:$BE$37,18,0)-VLOOKUP(B391,#REF!,$I$2,0),0)</f>
        <v>0</v>
      </c>
      <c r="J391" s="9">
        <f>IFERROR(VLOOKUP(B391,cubo!$A$6:$BE$37,24,0)-VLOOKUP(B391,#REF!,$J$2,0),0)</f>
        <v>0</v>
      </c>
      <c r="K391" s="9">
        <f>IFERROR(VLOOKUP(B391,cubo!$A$6:$BE$37,34,0)-VLOOKUP(B391,#REF!,$K$2,0),0)</f>
        <v>0</v>
      </c>
      <c r="L391" s="8">
        <f>IFERROR(VLOOKUP(B391,cubo!$A$6:$BE$37,38,0)-VLOOKUP(B391,#REF!,$L$2,0),0)</f>
        <v>0</v>
      </c>
      <c r="M391" s="15">
        <f>IFERROR(VLOOKUP(B391,cubo!$A$6:$BE$37,57,0)-VLOOKUP(B391,#REF!,$M$2,0),0)</f>
        <v>0</v>
      </c>
      <c r="N391" s="9">
        <f>IFERROR(VLOOKUP(B391,cubo!$A$6:$BK$37,41,0)-VLOOKUP(conciliacao_custos!B391,#REF!,18,0),0)</f>
        <v>0</v>
      </c>
      <c r="O391" s="9">
        <f>IFERROR(VLOOKUP(B391,cubo!$A$6:$BK$37,44,0)-VLOOKUP(conciliacao_custos!B391,#REF!,13,0),0)</f>
        <v>0</v>
      </c>
      <c r="P391" s="9">
        <f>IFERROR(VLOOKUP(B391,cubo!$A$6:$BK$37,47,0)-VLOOKUP(conciliacao_custos!B391,#REF!,14,0),0)</f>
        <v>0</v>
      </c>
      <c r="Q391" s="9">
        <f>IFERROR(VLOOKUP(B391,cubo!$A$6:$BK$37,58,0)-VLOOKUP(conciliacao_custos!B391,#REF!,16,0),0)</f>
        <v>0</v>
      </c>
      <c r="R391" s="9">
        <f>IFERROR(VLOOKUP(B391,cubo!$A$6:$BK$37,64,0)-VLOOKUP(conciliacao_custos!B391,#REF!,17,0),0)</f>
        <v>0</v>
      </c>
      <c r="S391" s="9">
        <f>IFERROR(VLOOKUP(B391,cubo!$A$6:$BK$37,61,0)-VLOOKUP(conciliacao_custos!B391,#REF!,15,0),0)</f>
        <v>0</v>
      </c>
    </row>
    <row r="392" spans="2:19" x14ac:dyDescent="0.25">
      <c r="B392" s="7">
        <f>[1]salario!A391</f>
        <v>0</v>
      </c>
      <c r="C392" s="8">
        <f>[1]salario!C391</f>
        <v>0</v>
      </c>
      <c r="D392" s="10">
        <f>IFERROR(VLOOKUP(B392,cubo!$A$6:$BE$37,6,0)-VLOOKUP(B392,#REF!,$D$2,0),0)</f>
        <v>0</v>
      </c>
      <c r="E392" s="10">
        <f>IFERROR(VLOOKUP(B392,cubo!$A$6:$BE$37,9,0)-VLOOKUP(B392,#REF!,$E$2,0),0)</f>
        <v>0</v>
      </c>
      <c r="F392" s="9">
        <f>IFERROR(VLOOKUP(B392,cubo!$A$6:$BE$37,12,0)-VLOOKUP(B392,#REF!,$F$2,0),0)</f>
        <v>0</v>
      </c>
      <c r="G392" s="9">
        <f>IFERROR(VLOOKUP(B392,cubo!$A$6:$BE$37,54,0)-VLOOKUP(B392,#REF!,$G$2,0),0)</f>
        <v>0</v>
      </c>
      <c r="H392" s="10">
        <f>IFERROR(VLOOKUP(B392,cubo!$A$6:$BE$37,15,0)-VLOOKUP(B392,#REF!,$H$2,0),0)</f>
        <v>0</v>
      </c>
      <c r="I392" s="9">
        <f>IFERROR(VLOOKUP(B392,cubo!$A$6:$BE$37,18,0)-VLOOKUP(B392,#REF!,$I$2,0),0)</f>
        <v>0</v>
      </c>
      <c r="J392" s="9">
        <f>IFERROR(VLOOKUP(B392,cubo!$A$6:$BE$37,24,0)-VLOOKUP(B392,#REF!,$J$2,0),0)</f>
        <v>0</v>
      </c>
      <c r="K392" s="9">
        <f>IFERROR(VLOOKUP(B392,cubo!$A$6:$BE$37,34,0)-VLOOKUP(B392,#REF!,$K$2,0),0)</f>
        <v>0</v>
      </c>
      <c r="L392" s="8">
        <f>IFERROR(VLOOKUP(B392,cubo!$A$6:$BE$37,38,0)-VLOOKUP(B392,#REF!,$L$2,0),0)</f>
        <v>0</v>
      </c>
      <c r="M392" s="15">
        <f>IFERROR(VLOOKUP(B392,cubo!$A$6:$BE$37,57,0)-VLOOKUP(B392,#REF!,$M$2,0),0)</f>
        <v>0</v>
      </c>
      <c r="N392" s="9">
        <f>IFERROR(VLOOKUP(B392,cubo!$A$6:$BK$37,41,0)-VLOOKUP(conciliacao_custos!B392,#REF!,18,0),0)</f>
        <v>0</v>
      </c>
      <c r="O392" s="9">
        <f>IFERROR(VLOOKUP(B392,cubo!$A$6:$BK$37,44,0)-VLOOKUP(conciliacao_custos!B392,#REF!,13,0),0)</f>
        <v>0</v>
      </c>
      <c r="P392" s="9">
        <f>IFERROR(VLOOKUP(B392,cubo!$A$6:$BK$37,47,0)-VLOOKUP(conciliacao_custos!B392,#REF!,14,0),0)</f>
        <v>0</v>
      </c>
      <c r="Q392" s="9">
        <f>IFERROR(VLOOKUP(B392,cubo!$A$6:$BK$37,58,0)-VLOOKUP(conciliacao_custos!B392,#REF!,16,0),0)</f>
        <v>0</v>
      </c>
      <c r="R392" s="9">
        <f>IFERROR(VLOOKUP(B392,cubo!$A$6:$BK$37,64,0)-VLOOKUP(conciliacao_custos!B392,#REF!,17,0),0)</f>
        <v>0</v>
      </c>
      <c r="S392" s="9">
        <f>IFERROR(VLOOKUP(B392,cubo!$A$6:$BK$37,61,0)-VLOOKUP(conciliacao_custos!B392,#REF!,15,0),0)</f>
        <v>0</v>
      </c>
    </row>
    <row r="393" spans="2:19" x14ac:dyDescent="0.25">
      <c r="B393" s="7">
        <f>[1]salario!A392</f>
        <v>0</v>
      </c>
      <c r="C393" s="8">
        <f>[1]salario!C392</f>
        <v>0</v>
      </c>
      <c r="D393" s="10">
        <f>IFERROR(VLOOKUP(B393,cubo!$A$6:$BE$37,6,0)-VLOOKUP(B393,#REF!,$D$2,0),0)</f>
        <v>0</v>
      </c>
      <c r="E393" s="10">
        <f>IFERROR(VLOOKUP(B393,cubo!$A$6:$BE$37,9,0)-VLOOKUP(B393,#REF!,$E$2,0),0)</f>
        <v>0</v>
      </c>
      <c r="F393" s="9">
        <f>IFERROR(VLOOKUP(B393,cubo!$A$6:$BE$37,12,0)-VLOOKUP(B393,#REF!,$F$2,0),0)</f>
        <v>0</v>
      </c>
      <c r="G393" s="9">
        <f>IFERROR(VLOOKUP(B393,cubo!$A$6:$BE$37,54,0)-VLOOKUP(B393,#REF!,$G$2,0),0)</f>
        <v>0</v>
      </c>
      <c r="H393" s="10">
        <f>IFERROR(VLOOKUP(B393,cubo!$A$6:$BE$37,15,0)-VLOOKUP(B393,#REF!,$H$2,0),0)</f>
        <v>0</v>
      </c>
      <c r="I393" s="9">
        <f>IFERROR(VLOOKUP(B393,cubo!$A$6:$BE$37,18,0)-VLOOKUP(B393,#REF!,$I$2,0),0)</f>
        <v>0</v>
      </c>
      <c r="J393" s="9">
        <f>IFERROR(VLOOKUP(B393,cubo!$A$6:$BE$37,24,0)-VLOOKUP(B393,#REF!,$J$2,0),0)</f>
        <v>0</v>
      </c>
      <c r="K393" s="9">
        <f>IFERROR(VLOOKUP(B393,cubo!$A$6:$BE$37,34,0)-VLOOKUP(B393,#REF!,$K$2,0),0)</f>
        <v>0</v>
      </c>
      <c r="L393" s="8">
        <f>IFERROR(VLOOKUP(B393,cubo!$A$6:$BE$37,38,0)-VLOOKUP(B393,#REF!,$L$2,0),0)</f>
        <v>0</v>
      </c>
      <c r="M393" s="15">
        <f>IFERROR(VLOOKUP(B393,cubo!$A$6:$BE$37,57,0)-VLOOKUP(B393,#REF!,$M$2,0),0)</f>
        <v>0</v>
      </c>
      <c r="N393" s="9">
        <f>IFERROR(VLOOKUP(B393,cubo!$A$6:$BK$37,41,0)-VLOOKUP(conciliacao_custos!B393,#REF!,18,0),0)</f>
        <v>0</v>
      </c>
      <c r="O393" s="9">
        <f>IFERROR(VLOOKUP(B393,cubo!$A$6:$BK$37,44,0)-VLOOKUP(conciliacao_custos!B393,#REF!,13,0),0)</f>
        <v>0</v>
      </c>
      <c r="P393" s="9">
        <f>IFERROR(VLOOKUP(B393,cubo!$A$6:$BK$37,47,0)-VLOOKUP(conciliacao_custos!B393,#REF!,14,0),0)</f>
        <v>0</v>
      </c>
      <c r="Q393" s="9">
        <f>IFERROR(VLOOKUP(B393,cubo!$A$6:$BK$37,58,0)-VLOOKUP(conciliacao_custos!B393,#REF!,16,0),0)</f>
        <v>0</v>
      </c>
      <c r="R393" s="9">
        <f>IFERROR(VLOOKUP(B393,cubo!$A$6:$BK$37,64,0)-VLOOKUP(conciliacao_custos!B393,#REF!,17,0),0)</f>
        <v>0</v>
      </c>
      <c r="S393" s="9">
        <f>IFERROR(VLOOKUP(B393,cubo!$A$6:$BK$37,61,0)-VLOOKUP(conciliacao_custos!B393,#REF!,15,0),0)</f>
        <v>0</v>
      </c>
    </row>
    <row r="394" spans="2:19" x14ac:dyDescent="0.25">
      <c r="B394" s="7">
        <f>[1]salario!A393</f>
        <v>0</v>
      </c>
      <c r="C394" s="8">
        <f>[1]salario!C393</f>
        <v>0</v>
      </c>
      <c r="D394" s="10">
        <f>IFERROR(VLOOKUP(B394,cubo!$A$6:$BE$37,6,0)-VLOOKUP(B394,#REF!,$D$2,0),0)</f>
        <v>0</v>
      </c>
      <c r="E394" s="10">
        <f>IFERROR(VLOOKUP(B394,cubo!$A$6:$BE$37,9,0)-VLOOKUP(B394,#REF!,$E$2,0),0)</f>
        <v>0</v>
      </c>
      <c r="F394" s="9">
        <f>IFERROR(VLOOKUP(B394,cubo!$A$6:$BE$37,12,0)-VLOOKUP(B394,#REF!,$F$2,0),0)</f>
        <v>0</v>
      </c>
      <c r="G394" s="9">
        <f>IFERROR(VLOOKUP(B394,cubo!$A$6:$BE$37,54,0)-VLOOKUP(B394,#REF!,$G$2,0),0)</f>
        <v>0</v>
      </c>
      <c r="H394" s="10">
        <f>IFERROR(VLOOKUP(B394,cubo!$A$6:$BE$37,15,0)-VLOOKUP(B394,#REF!,$H$2,0),0)</f>
        <v>0</v>
      </c>
      <c r="I394" s="9">
        <f>IFERROR(VLOOKUP(B394,cubo!$A$6:$BE$37,18,0)-VLOOKUP(B394,#REF!,$I$2,0),0)</f>
        <v>0</v>
      </c>
      <c r="J394" s="9">
        <f>IFERROR(VLOOKUP(B394,cubo!$A$6:$BE$37,24,0)-VLOOKUP(B394,#REF!,$J$2,0),0)</f>
        <v>0</v>
      </c>
      <c r="K394" s="9">
        <f>IFERROR(VLOOKUP(B394,cubo!$A$6:$BE$37,34,0)-VLOOKUP(B394,#REF!,$K$2,0),0)</f>
        <v>0</v>
      </c>
      <c r="L394" s="8">
        <f>IFERROR(VLOOKUP(B394,cubo!$A$6:$BE$37,38,0)-VLOOKUP(B394,#REF!,$L$2,0),0)</f>
        <v>0</v>
      </c>
      <c r="M394" s="15">
        <f>IFERROR(VLOOKUP(B394,cubo!$A$6:$BE$37,57,0)-VLOOKUP(B394,#REF!,$M$2,0),0)</f>
        <v>0</v>
      </c>
      <c r="N394" s="9">
        <f>IFERROR(VLOOKUP(B394,cubo!$A$6:$BK$37,41,0)-VLOOKUP(conciliacao_custos!B394,#REF!,18,0),0)</f>
        <v>0</v>
      </c>
      <c r="O394" s="9">
        <f>IFERROR(VLOOKUP(B394,cubo!$A$6:$BK$37,44,0)-VLOOKUP(conciliacao_custos!B394,#REF!,13,0),0)</f>
        <v>0</v>
      </c>
      <c r="P394" s="9">
        <f>IFERROR(VLOOKUP(B394,cubo!$A$6:$BK$37,47,0)-VLOOKUP(conciliacao_custos!B394,#REF!,14,0),0)</f>
        <v>0</v>
      </c>
      <c r="Q394" s="9">
        <f>IFERROR(VLOOKUP(B394,cubo!$A$6:$BK$37,58,0)-VLOOKUP(conciliacao_custos!B394,#REF!,16,0),0)</f>
        <v>0</v>
      </c>
      <c r="R394" s="9">
        <f>IFERROR(VLOOKUP(B394,cubo!$A$6:$BK$37,64,0)-VLOOKUP(conciliacao_custos!B394,#REF!,17,0),0)</f>
        <v>0</v>
      </c>
      <c r="S394" s="9">
        <f>IFERROR(VLOOKUP(B394,cubo!$A$6:$BK$37,61,0)-VLOOKUP(conciliacao_custos!B394,#REF!,15,0),0)</f>
        <v>0</v>
      </c>
    </row>
    <row r="395" spans="2:19" x14ac:dyDescent="0.25">
      <c r="B395" s="7">
        <f>[1]salario!A394</f>
        <v>0</v>
      </c>
      <c r="C395" s="8">
        <f>[1]salario!C394</f>
        <v>0</v>
      </c>
      <c r="D395" s="10">
        <f>IFERROR(VLOOKUP(B395,cubo!$A$6:$BE$37,6,0)-VLOOKUP(B395,#REF!,$D$2,0),0)</f>
        <v>0</v>
      </c>
      <c r="E395" s="10">
        <f>IFERROR(VLOOKUP(B395,cubo!$A$6:$BE$37,9,0)-VLOOKUP(B395,#REF!,$E$2,0),0)</f>
        <v>0</v>
      </c>
      <c r="F395" s="9">
        <f>IFERROR(VLOOKUP(B395,cubo!$A$6:$BE$37,12,0)-VLOOKUP(B395,#REF!,$F$2,0),0)</f>
        <v>0</v>
      </c>
      <c r="G395" s="9">
        <f>IFERROR(VLOOKUP(B395,cubo!$A$6:$BE$37,54,0)-VLOOKUP(B395,#REF!,$G$2,0),0)</f>
        <v>0</v>
      </c>
      <c r="H395" s="10">
        <f>IFERROR(VLOOKUP(B395,cubo!$A$6:$BE$37,15,0)-VLOOKUP(B395,#REF!,$H$2,0),0)</f>
        <v>0</v>
      </c>
      <c r="I395" s="9">
        <f>IFERROR(VLOOKUP(B395,cubo!$A$6:$BE$37,18,0)-VLOOKUP(B395,#REF!,$I$2,0),0)</f>
        <v>0</v>
      </c>
      <c r="J395" s="9">
        <f>IFERROR(VLOOKUP(B395,cubo!$A$6:$BE$37,24,0)-VLOOKUP(B395,#REF!,$J$2,0),0)</f>
        <v>0</v>
      </c>
      <c r="K395" s="9">
        <f>IFERROR(VLOOKUP(B395,cubo!$A$6:$BE$37,34,0)-VLOOKUP(B395,#REF!,$K$2,0),0)</f>
        <v>0</v>
      </c>
      <c r="L395" s="8">
        <f>IFERROR(VLOOKUP(B395,cubo!$A$6:$BE$37,38,0)-VLOOKUP(B395,#REF!,$L$2,0),0)</f>
        <v>0</v>
      </c>
      <c r="M395" s="15">
        <f>IFERROR(VLOOKUP(B395,cubo!$A$6:$BE$37,57,0)-VLOOKUP(B395,#REF!,$M$2,0),0)</f>
        <v>0</v>
      </c>
      <c r="N395" s="9">
        <f>IFERROR(VLOOKUP(B395,cubo!$A$6:$BK$37,41,0)-VLOOKUP(conciliacao_custos!B395,#REF!,18,0),0)</f>
        <v>0</v>
      </c>
      <c r="O395" s="9">
        <f>IFERROR(VLOOKUP(B395,cubo!$A$6:$BK$37,44,0)-VLOOKUP(conciliacao_custos!B395,#REF!,13,0),0)</f>
        <v>0</v>
      </c>
      <c r="P395" s="9">
        <f>IFERROR(VLOOKUP(B395,cubo!$A$6:$BK$37,47,0)-VLOOKUP(conciliacao_custos!B395,#REF!,14,0),0)</f>
        <v>0</v>
      </c>
      <c r="Q395" s="9">
        <f>IFERROR(VLOOKUP(B395,cubo!$A$6:$BK$37,58,0)-VLOOKUP(conciliacao_custos!B395,#REF!,16,0),0)</f>
        <v>0</v>
      </c>
      <c r="R395" s="9">
        <f>IFERROR(VLOOKUP(B395,cubo!$A$6:$BK$37,64,0)-VLOOKUP(conciliacao_custos!B395,#REF!,17,0),0)</f>
        <v>0</v>
      </c>
      <c r="S395" s="9">
        <f>IFERROR(VLOOKUP(B395,cubo!$A$6:$BK$37,61,0)-VLOOKUP(conciliacao_custos!B395,#REF!,15,0),0)</f>
        <v>0</v>
      </c>
    </row>
    <row r="396" spans="2:19" x14ac:dyDescent="0.25">
      <c r="B396" s="7">
        <f>[1]salario!A395</f>
        <v>0</v>
      </c>
      <c r="C396" s="8">
        <f>[1]salario!C395</f>
        <v>0</v>
      </c>
      <c r="D396" s="10">
        <f>IFERROR(VLOOKUP(B396,cubo!$A$6:$BE$37,6,0)-VLOOKUP(B396,#REF!,$D$2,0),0)</f>
        <v>0</v>
      </c>
      <c r="E396" s="10">
        <f>IFERROR(VLOOKUP(B396,cubo!$A$6:$BE$37,9,0)-VLOOKUP(B396,#REF!,$E$2,0),0)</f>
        <v>0</v>
      </c>
      <c r="F396" s="9">
        <f>IFERROR(VLOOKUP(B396,cubo!$A$6:$BE$37,12,0)-VLOOKUP(B396,#REF!,$F$2,0),0)</f>
        <v>0</v>
      </c>
      <c r="G396" s="9">
        <f>IFERROR(VLOOKUP(B396,cubo!$A$6:$BE$37,54,0)-VLOOKUP(B396,#REF!,$G$2,0),0)</f>
        <v>0</v>
      </c>
      <c r="H396" s="10">
        <f>IFERROR(VLOOKUP(B396,cubo!$A$6:$BE$37,15,0)-VLOOKUP(B396,#REF!,$H$2,0),0)</f>
        <v>0</v>
      </c>
      <c r="I396" s="9">
        <f>IFERROR(VLOOKUP(B396,cubo!$A$6:$BE$37,18,0)-VLOOKUP(B396,#REF!,$I$2,0),0)</f>
        <v>0</v>
      </c>
      <c r="J396" s="9">
        <f>IFERROR(VLOOKUP(B396,cubo!$A$6:$BE$37,24,0)-VLOOKUP(B396,#REF!,$J$2,0),0)</f>
        <v>0</v>
      </c>
      <c r="K396" s="9">
        <f>IFERROR(VLOOKUP(B396,cubo!$A$6:$BE$37,34,0)-VLOOKUP(B396,#REF!,$K$2,0),0)</f>
        <v>0</v>
      </c>
      <c r="L396" s="8">
        <f>IFERROR(VLOOKUP(B396,cubo!$A$6:$BE$37,38,0)-VLOOKUP(B396,#REF!,$L$2,0),0)</f>
        <v>0</v>
      </c>
      <c r="M396" s="15">
        <f>IFERROR(VLOOKUP(B396,cubo!$A$6:$BE$37,57,0)-VLOOKUP(B396,#REF!,$M$2,0),0)</f>
        <v>0</v>
      </c>
      <c r="N396" s="9">
        <f>IFERROR(VLOOKUP(B396,cubo!$A$6:$BK$37,41,0)-VLOOKUP(conciliacao_custos!B396,#REF!,18,0),0)</f>
        <v>0</v>
      </c>
      <c r="O396" s="9">
        <f>IFERROR(VLOOKUP(B396,cubo!$A$6:$BK$37,44,0)-VLOOKUP(conciliacao_custos!B396,#REF!,13,0),0)</f>
        <v>0</v>
      </c>
      <c r="P396" s="9">
        <f>IFERROR(VLOOKUP(B396,cubo!$A$6:$BK$37,47,0)-VLOOKUP(conciliacao_custos!B396,#REF!,14,0),0)</f>
        <v>0</v>
      </c>
      <c r="Q396" s="9">
        <f>IFERROR(VLOOKUP(B396,cubo!$A$6:$BK$37,58,0)-VLOOKUP(conciliacao_custos!B396,#REF!,16,0),0)</f>
        <v>0</v>
      </c>
      <c r="R396" s="9">
        <f>IFERROR(VLOOKUP(B396,cubo!$A$6:$BK$37,64,0)-VLOOKUP(conciliacao_custos!B396,#REF!,17,0),0)</f>
        <v>0</v>
      </c>
      <c r="S396" s="9">
        <f>IFERROR(VLOOKUP(B396,cubo!$A$6:$BK$37,61,0)-VLOOKUP(conciliacao_custos!B396,#REF!,15,0),0)</f>
        <v>0</v>
      </c>
    </row>
    <row r="397" spans="2:19" x14ac:dyDescent="0.25">
      <c r="B397" s="7">
        <f>[1]salario!A396</f>
        <v>0</v>
      </c>
      <c r="C397" s="8">
        <f>[1]salario!C396</f>
        <v>0</v>
      </c>
      <c r="D397" s="10">
        <f>IFERROR(VLOOKUP(B397,cubo!$A$6:$BE$37,6,0)-VLOOKUP(B397,#REF!,$D$2,0),0)</f>
        <v>0</v>
      </c>
      <c r="E397" s="10">
        <f>IFERROR(VLOOKUP(B397,cubo!$A$6:$BE$37,9,0)-VLOOKUP(B397,#REF!,$E$2,0),0)</f>
        <v>0</v>
      </c>
      <c r="F397" s="9">
        <f>IFERROR(VLOOKUP(B397,cubo!$A$6:$BE$37,12,0)-VLOOKUP(B397,#REF!,$F$2,0),0)</f>
        <v>0</v>
      </c>
      <c r="G397" s="9">
        <f>IFERROR(VLOOKUP(B397,cubo!$A$6:$BE$37,54,0)-VLOOKUP(B397,#REF!,$G$2,0),0)</f>
        <v>0</v>
      </c>
      <c r="H397" s="10">
        <f>IFERROR(VLOOKUP(B397,cubo!$A$6:$BE$37,15,0)-VLOOKUP(B397,#REF!,$H$2,0),0)</f>
        <v>0</v>
      </c>
      <c r="I397" s="9">
        <f>IFERROR(VLOOKUP(B397,cubo!$A$6:$BE$37,18,0)-VLOOKUP(B397,#REF!,$I$2,0),0)</f>
        <v>0</v>
      </c>
      <c r="J397" s="9">
        <f>IFERROR(VLOOKUP(B397,cubo!$A$6:$BE$37,24,0)-VLOOKUP(B397,#REF!,$J$2,0),0)</f>
        <v>0</v>
      </c>
      <c r="K397" s="9">
        <f>IFERROR(VLOOKUP(B397,cubo!$A$6:$BE$37,34,0)-VLOOKUP(B397,#REF!,$K$2,0),0)</f>
        <v>0</v>
      </c>
      <c r="L397" s="8">
        <f>IFERROR(VLOOKUP(B397,cubo!$A$6:$BE$37,38,0)-VLOOKUP(B397,#REF!,$L$2,0),0)</f>
        <v>0</v>
      </c>
      <c r="M397" s="15">
        <f>IFERROR(VLOOKUP(B397,cubo!$A$6:$BE$37,57,0)-VLOOKUP(B397,#REF!,$M$2,0),0)</f>
        <v>0</v>
      </c>
      <c r="N397" s="9">
        <f>IFERROR(VLOOKUP(B397,cubo!$A$6:$BK$37,41,0)-VLOOKUP(conciliacao_custos!B397,#REF!,18,0),0)</f>
        <v>0</v>
      </c>
      <c r="O397" s="9">
        <f>IFERROR(VLOOKUP(B397,cubo!$A$6:$BK$37,44,0)-VLOOKUP(conciliacao_custos!B397,#REF!,13,0),0)</f>
        <v>0</v>
      </c>
      <c r="P397" s="9">
        <f>IFERROR(VLOOKUP(B397,cubo!$A$6:$BK$37,47,0)-VLOOKUP(conciliacao_custos!B397,#REF!,14,0),0)</f>
        <v>0</v>
      </c>
      <c r="Q397" s="9">
        <f>IFERROR(VLOOKUP(B397,cubo!$A$6:$BK$37,58,0)-VLOOKUP(conciliacao_custos!B397,#REF!,16,0),0)</f>
        <v>0</v>
      </c>
      <c r="R397" s="9">
        <f>IFERROR(VLOOKUP(B397,cubo!$A$6:$BK$37,64,0)-VLOOKUP(conciliacao_custos!B397,#REF!,17,0),0)</f>
        <v>0</v>
      </c>
      <c r="S397" s="9">
        <f>IFERROR(VLOOKUP(B397,cubo!$A$6:$BK$37,61,0)-VLOOKUP(conciliacao_custos!B397,#REF!,15,0),0)</f>
        <v>0</v>
      </c>
    </row>
    <row r="398" spans="2:19" x14ac:dyDescent="0.25">
      <c r="B398" s="7">
        <f>[1]salario!A397</f>
        <v>0</v>
      </c>
      <c r="C398" s="8">
        <f>[1]salario!C397</f>
        <v>0</v>
      </c>
      <c r="D398" s="10">
        <f>IFERROR(VLOOKUP(B398,cubo!$A$6:$BE$37,6,0)-VLOOKUP(B398,#REF!,$D$2,0),0)</f>
        <v>0</v>
      </c>
      <c r="E398" s="10">
        <f>IFERROR(VLOOKUP(B398,cubo!$A$6:$BE$37,9,0)-VLOOKUP(B398,#REF!,$E$2,0),0)</f>
        <v>0</v>
      </c>
      <c r="F398" s="9">
        <f>IFERROR(VLOOKUP(B398,cubo!$A$6:$BE$37,12,0)-VLOOKUP(B398,#REF!,$F$2,0),0)</f>
        <v>0</v>
      </c>
      <c r="G398" s="9">
        <f>IFERROR(VLOOKUP(B398,cubo!$A$6:$BE$37,54,0)-VLOOKUP(B398,#REF!,$G$2,0),0)</f>
        <v>0</v>
      </c>
      <c r="H398" s="10">
        <f>IFERROR(VLOOKUP(B398,cubo!$A$6:$BE$37,15,0)-VLOOKUP(B398,#REF!,$H$2,0),0)</f>
        <v>0</v>
      </c>
      <c r="I398" s="9">
        <f>IFERROR(VLOOKUP(B398,cubo!$A$6:$BE$37,18,0)-VLOOKUP(B398,#REF!,$I$2,0),0)</f>
        <v>0</v>
      </c>
      <c r="J398" s="9">
        <f>IFERROR(VLOOKUP(B398,cubo!$A$6:$BE$37,24,0)-VLOOKUP(B398,#REF!,$J$2,0),0)</f>
        <v>0</v>
      </c>
      <c r="K398" s="9">
        <f>IFERROR(VLOOKUP(B398,cubo!$A$6:$BE$37,34,0)-VLOOKUP(B398,#REF!,$K$2,0),0)</f>
        <v>0</v>
      </c>
      <c r="L398" s="8">
        <f>IFERROR(VLOOKUP(B398,cubo!$A$6:$BE$37,38,0)-VLOOKUP(B398,#REF!,$L$2,0),0)</f>
        <v>0</v>
      </c>
      <c r="M398" s="15">
        <f>IFERROR(VLOOKUP(B398,cubo!$A$6:$BE$37,57,0)-VLOOKUP(B398,#REF!,$M$2,0),0)</f>
        <v>0</v>
      </c>
      <c r="N398" s="9">
        <f>IFERROR(VLOOKUP(B398,cubo!$A$6:$BK$37,41,0)-VLOOKUP(conciliacao_custos!B398,#REF!,18,0),0)</f>
        <v>0</v>
      </c>
      <c r="O398" s="9">
        <f>IFERROR(VLOOKUP(B398,cubo!$A$6:$BK$37,44,0)-VLOOKUP(conciliacao_custos!B398,#REF!,13,0),0)</f>
        <v>0</v>
      </c>
      <c r="P398" s="9">
        <f>IFERROR(VLOOKUP(B398,cubo!$A$6:$BK$37,47,0)-VLOOKUP(conciliacao_custos!B398,#REF!,14,0),0)</f>
        <v>0</v>
      </c>
      <c r="Q398" s="9">
        <f>IFERROR(VLOOKUP(B398,cubo!$A$6:$BK$37,58,0)-VLOOKUP(conciliacao_custos!B398,#REF!,16,0),0)</f>
        <v>0</v>
      </c>
      <c r="R398" s="9">
        <f>IFERROR(VLOOKUP(B398,cubo!$A$6:$BK$37,64,0)-VLOOKUP(conciliacao_custos!B398,#REF!,17,0),0)</f>
        <v>0</v>
      </c>
      <c r="S398" s="9">
        <f>IFERROR(VLOOKUP(B398,cubo!$A$6:$BK$37,61,0)-VLOOKUP(conciliacao_custos!B398,#REF!,15,0),0)</f>
        <v>0</v>
      </c>
    </row>
    <row r="399" spans="2:19" x14ac:dyDescent="0.25">
      <c r="B399" s="7">
        <f>[1]salario!A398</f>
        <v>0</v>
      </c>
      <c r="C399" s="8">
        <f>[1]salario!C398</f>
        <v>0</v>
      </c>
      <c r="D399" s="10">
        <f>IFERROR(VLOOKUP(B399,cubo!$A$6:$BE$37,6,0)-VLOOKUP(B399,#REF!,$D$2,0),0)</f>
        <v>0</v>
      </c>
      <c r="E399" s="10">
        <f>IFERROR(VLOOKUP(B399,cubo!$A$6:$BE$37,9,0)-VLOOKUP(B399,#REF!,$E$2,0),0)</f>
        <v>0</v>
      </c>
      <c r="F399" s="9">
        <f>IFERROR(VLOOKUP(B399,cubo!$A$6:$BE$37,12,0)-VLOOKUP(B399,#REF!,$F$2,0),0)</f>
        <v>0</v>
      </c>
      <c r="G399" s="9">
        <f>IFERROR(VLOOKUP(B399,cubo!$A$6:$BE$37,54,0)-VLOOKUP(B399,#REF!,$G$2,0),0)</f>
        <v>0</v>
      </c>
      <c r="H399" s="10">
        <f>IFERROR(VLOOKUP(B399,cubo!$A$6:$BE$37,15,0)-VLOOKUP(B399,#REF!,$H$2,0),0)</f>
        <v>0</v>
      </c>
      <c r="I399" s="9">
        <f>IFERROR(VLOOKUP(B399,cubo!$A$6:$BE$37,18,0)-VLOOKUP(B399,#REF!,$I$2,0),0)</f>
        <v>0</v>
      </c>
      <c r="J399" s="9">
        <f>IFERROR(VLOOKUP(B399,cubo!$A$6:$BE$37,24,0)-VLOOKUP(B399,#REF!,$J$2,0),0)</f>
        <v>0</v>
      </c>
      <c r="K399" s="9">
        <f>IFERROR(VLOOKUP(B399,cubo!$A$6:$BE$37,34,0)-VLOOKUP(B399,#REF!,$K$2,0),0)</f>
        <v>0</v>
      </c>
      <c r="L399" s="8">
        <f>IFERROR(VLOOKUP(B399,cubo!$A$6:$BE$37,38,0)-VLOOKUP(B399,#REF!,$L$2,0),0)</f>
        <v>0</v>
      </c>
      <c r="M399" s="15">
        <f>IFERROR(VLOOKUP(B399,cubo!$A$6:$BE$37,57,0)-VLOOKUP(B399,#REF!,$M$2,0),0)</f>
        <v>0</v>
      </c>
      <c r="N399" s="9">
        <f>IFERROR(VLOOKUP(B399,cubo!$A$6:$BK$37,41,0)-VLOOKUP(conciliacao_custos!B399,#REF!,18,0),0)</f>
        <v>0</v>
      </c>
      <c r="O399" s="9">
        <f>IFERROR(VLOOKUP(B399,cubo!$A$6:$BK$37,44,0)-VLOOKUP(conciliacao_custos!B399,#REF!,13,0),0)</f>
        <v>0</v>
      </c>
      <c r="P399" s="9">
        <f>IFERROR(VLOOKUP(B399,cubo!$A$6:$BK$37,47,0)-VLOOKUP(conciliacao_custos!B399,#REF!,14,0),0)</f>
        <v>0</v>
      </c>
      <c r="Q399" s="9">
        <f>IFERROR(VLOOKUP(B399,cubo!$A$6:$BK$37,58,0)-VLOOKUP(conciliacao_custos!B399,#REF!,16,0),0)</f>
        <v>0</v>
      </c>
      <c r="R399" s="9">
        <f>IFERROR(VLOOKUP(B399,cubo!$A$6:$BK$37,64,0)-VLOOKUP(conciliacao_custos!B399,#REF!,17,0),0)</f>
        <v>0</v>
      </c>
      <c r="S399" s="9">
        <f>IFERROR(VLOOKUP(B399,cubo!$A$6:$BK$37,61,0)-VLOOKUP(conciliacao_custos!B399,#REF!,15,0),0)</f>
        <v>0</v>
      </c>
    </row>
    <row r="400" spans="2:19" x14ac:dyDescent="0.25">
      <c r="B400" s="7">
        <f>[1]salario!A399</f>
        <v>0</v>
      </c>
      <c r="C400" s="8">
        <f>[1]salario!C399</f>
        <v>0</v>
      </c>
      <c r="D400" s="10">
        <f>IFERROR(VLOOKUP(B400,cubo!$A$6:$BE$37,6,0)-VLOOKUP(B400,#REF!,$D$2,0),0)</f>
        <v>0</v>
      </c>
      <c r="E400" s="10">
        <f>IFERROR(VLOOKUP(B400,cubo!$A$6:$BE$37,9,0)-VLOOKUP(B400,#REF!,$E$2,0),0)</f>
        <v>0</v>
      </c>
      <c r="F400" s="9">
        <f>IFERROR(VLOOKUP(B400,cubo!$A$6:$BE$37,12,0)-VLOOKUP(B400,#REF!,$F$2,0),0)</f>
        <v>0</v>
      </c>
      <c r="G400" s="9">
        <f>IFERROR(VLOOKUP(B400,cubo!$A$6:$BE$37,54,0)-VLOOKUP(B400,#REF!,$G$2,0),0)</f>
        <v>0</v>
      </c>
      <c r="H400" s="10">
        <f>IFERROR(VLOOKUP(B400,cubo!$A$6:$BE$37,15,0)-VLOOKUP(B400,#REF!,$H$2,0),0)</f>
        <v>0</v>
      </c>
      <c r="I400" s="9">
        <f>IFERROR(VLOOKUP(B400,cubo!$A$6:$BE$37,18,0)-VLOOKUP(B400,#REF!,$I$2,0),0)</f>
        <v>0</v>
      </c>
      <c r="J400" s="9">
        <f>IFERROR(VLOOKUP(B400,cubo!$A$6:$BE$37,24,0)-VLOOKUP(B400,#REF!,$J$2,0),0)</f>
        <v>0</v>
      </c>
      <c r="K400" s="9">
        <f>IFERROR(VLOOKUP(B400,cubo!$A$6:$BE$37,34,0)-VLOOKUP(B400,#REF!,$K$2,0),0)</f>
        <v>0</v>
      </c>
      <c r="L400" s="8">
        <f>IFERROR(VLOOKUP(B400,cubo!$A$6:$BE$37,38,0)-VLOOKUP(B400,#REF!,$L$2,0),0)</f>
        <v>0</v>
      </c>
      <c r="M400" s="15">
        <f>IFERROR(VLOOKUP(B400,cubo!$A$6:$BE$37,57,0)-VLOOKUP(B400,#REF!,$M$2,0),0)</f>
        <v>0</v>
      </c>
      <c r="N400" s="9">
        <f>IFERROR(VLOOKUP(B400,cubo!$A$6:$BK$37,41,0)-VLOOKUP(conciliacao_custos!B400,#REF!,18,0),0)</f>
        <v>0</v>
      </c>
      <c r="O400" s="9">
        <f>IFERROR(VLOOKUP(B400,cubo!$A$6:$BK$37,44,0)-VLOOKUP(conciliacao_custos!B400,#REF!,13,0),0)</f>
        <v>0</v>
      </c>
      <c r="P400" s="9">
        <f>IFERROR(VLOOKUP(B400,cubo!$A$6:$BK$37,47,0)-VLOOKUP(conciliacao_custos!B400,#REF!,14,0),0)</f>
        <v>0</v>
      </c>
      <c r="Q400" s="9">
        <f>IFERROR(VLOOKUP(B400,cubo!$A$6:$BK$37,58,0)-VLOOKUP(conciliacao_custos!B400,#REF!,16,0),0)</f>
        <v>0</v>
      </c>
      <c r="R400" s="9">
        <f>IFERROR(VLOOKUP(B400,cubo!$A$6:$BK$37,64,0)-VLOOKUP(conciliacao_custos!B400,#REF!,17,0),0)</f>
        <v>0</v>
      </c>
      <c r="S400" s="9">
        <f>IFERROR(VLOOKUP(B400,cubo!$A$6:$BK$37,61,0)-VLOOKUP(conciliacao_custos!B400,#REF!,15,0),0)</f>
        <v>0</v>
      </c>
    </row>
    <row r="401" spans="2:19" x14ac:dyDescent="0.25">
      <c r="B401" s="7">
        <f>[1]salario!A400</f>
        <v>0</v>
      </c>
      <c r="C401" s="8">
        <f>[1]salario!C400</f>
        <v>0</v>
      </c>
      <c r="D401" s="10">
        <f>IFERROR(VLOOKUP(B401,cubo!$A$6:$BE$37,6,0)-VLOOKUP(B401,#REF!,$D$2,0),0)</f>
        <v>0</v>
      </c>
      <c r="E401" s="10">
        <f>IFERROR(VLOOKUP(B401,cubo!$A$6:$BE$37,9,0)-VLOOKUP(B401,#REF!,$E$2,0),0)</f>
        <v>0</v>
      </c>
      <c r="F401" s="9">
        <f>IFERROR(VLOOKUP(B401,cubo!$A$6:$BE$37,12,0)-VLOOKUP(B401,#REF!,$F$2,0),0)</f>
        <v>0</v>
      </c>
      <c r="G401" s="9">
        <f>IFERROR(VLOOKUP(B401,cubo!$A$6:$BE$37,54,0)-VLOOKUP(B401,#REF!,$G$2,0),0)</f>
        <v>0</v>
      </c>
      <c r="H401" s="10">
        <f>IFERROR(VLOOKUP(B401,cubo!$A$6:$BE$37,15,0)-VLOOKUP(B401,#REF!,$H$2,0),0)</f>
        <v>0</v>
      </c>
      <c r="I401" s="9">
        <f>IFERROR(VLOOKUP(B401,cubo!$A$6:$BE$37,18,0)-VLOOKUP(B401,#REF!,$I$2,0),0)</f>
        <v>0</v>
      </c>
      <c r="J401" s="9">
        <f>IFERROR(VLOOKUP(B401,cubo!$A$6:$BE$37,24,0)-VLOOKUP(B401,#REF!,$J$2,0),0)</f>
        <v>0</v>
      </c>
      <c r="K401" s="9">
        <f>IFERROR(VLOOKUP(B401,cubo!$A$6:$BE$37,34,0)-VLOOKUP(B401,#REF!,$K$2,0),0)</f>
        <v>0</v>
      </c>
      <c r="L401" s="8">
        <f>IFERROR(VLOOKUP(B401,cubo!$A$6:$BE$37,38,0)-VLOOKUP(B401,#REF!,$L$2,0),0)</f>
        <v>0</v>
      </c>
      <c r="M401" s="15">
        <f>IFERROR(VLOOKUP(B401,cubo!$A$6:$BE$37,57,0)-VLOOKUP(B401,#REF!,$M$2,0),0)</f>
        <v>0</v>
      </c>
      <c r="N401" s="9">
        <f>IFERROR(VLOOKUP(B401,cubo!$A$6:$BK$37,41,0)-VLOOKUP(conciliacao_custos!B401,#REF!,18,0),0)</f>
        <v>0</v>
      </c>
      <c r="O401" s="9">
        <f>IFERROR(VLOOKUP(B401,cubo!$A$6:$BK$37,44,0)-VLOOKUP(conciliacao_custos!B401,#REF!,13,0),0)</f>
        <v>0</v>
      </c>
      <c r="P401" s="9">
        <f>IFERROR(VLOOKUP(B401,cubo!$A$6:$BK$37,47,0)-VLOOKUP(conciliacao_custos!B401,#REF!,14,0),0)</f>
        <v>0</v>
      </c>
      <c r="Q401" s="9">
        <f>IFERROR(VLOOKUP(B401,cubo!$A$6:$BK$37,58,0)-VLOOKUP(conciliacao_custos!B401,#REF!,16,0),0)</f>
        <v>0</v>
      </c>
      <c r="R401" s="9">
        <f>IFERROR(VLOOKUP(B401,cubo!$A$6:$BK$37,64,0)-VLOOKUP(conciliacao_custos!B401,#REF!,17,0),0)</f>
        <v>0</v>
      </c>
      <c r="S401" s="9">
        <f>IFERROR(VLOOKUP(B401,cubo!$A$6:$BK$37,61,0)-VLOOKUP(conciliacao_custos!B401,#REF!,15,0),0)</f>
        <v>0</v>
      </c>
    </row>
    <row r="402" spans="2:19" x14ac:dyDescent="0.25">
      <c r="B402" s="7">
        <f>[1]salario!A401</f>
        <v>0</v>
      </c>
      <c r="C402" s="8">
        <f>[1]salario!C401</f>
        <v>0</v>
      </c>
      <c r="D402" s="10">
        <f>IFERROR(VLOOKUP(B402,cubo!$A$6:$BE$37,6,0)-VLOOKUP(B402,#REF!,$D$2,0),0)</f>
        <v>0</v>
      </c>
      <c r="E402" s="10">
        <f>IFERROR(VLOOKUP(B402,cubo!$A$6:$BE$37,9,0)-VLOOKUP(B402,#REF!,$E$2,0),0)</f>
        <v>0</v>
      </c>
      <c r="F402" s="9">
        <f>IFERROR(VLOOKUP(B402,cubo!$A$6:$BE$37,12,0)-VLOOKUP(B402,#REF!,$F$2,0),0)</f>
        <v>0</v>
      </c>
      <c r="G402" s="9">
        <f>IFERROR(VLOOKUP(B402,cubo!$A$6:$BE$37,54,0)-VLOOKUP(B402,#REF!,$G$2,0),0)</f>
        <v>0</v>
      </c>
      <c r="H402" s="10">
        <f>IFERROR(VLOOKUP(B402,cubo!$A$6:$BE$37,15,0)-VLOOKUP(B402,#REF!,$H$2,0),0)</f>
        <v>0</v>
      </c>
      <c r="I402" s="9">
        <f>IFERROR(VLOOKUP(B402,cubo!$A$6:$BE$37,18,0)-VLOOKUP(B402,#REF!,$I$2,0),0)</f>
        <v>0</v>
      </c>
      <c r="J402" s="9">
        <f>IFERROR(VLOOKUP(B402,cubo!$A$6:$BE$37,24,0)-VLOOKUP(B402,#REF!,$J$2,0),0)</f>
        <v>0</v>
      </c>
      <c r="K402" s="9">
        <f>IFERROR(VLOOKUP(B402,cubo!$A$6:$BE$37,34,0)-VLOOKUP(B402,#REF!,$K$2,0),0)</f>
        <v>0</v>
      </c>
      <c r="L402" s="8">
        <f>IFERROR(VLOOKUP(B402,cubo!$A$6:$BE$37,38,0)-VLOOKUP(B402,#REF!,$L$2,0),0)</f>
        <v>0</v>
      </c>
      <c r="M402" s="15">
        <f>IFERROR(VLOOKUP(B402,cubo!$A$6:$BE$37,57,0)-VLOOKUP(B402,#REF!,$M$2,0),0)</f>
        <v>0</v>
      </c>
      <c r="N402" s="9">
        <f>IFERROR(VLOOKUP(B402,cubo!$A$6:$BK$37,41,0)-VLOOKUP(conciliacao_custos!B402,#REF!,18,0),0)</f>
        <v>0</v>
      </c>
      <c r="O402" s="9">
        <f>IFERROR(VLOOKUP(B402,cubo!$A$6:$BK$37,44,0)-VLOOKUP(conciliacao_custos!B402,#REF!,13,0),0)</f>
        <v>0</v>
      </c>
      <c r="P402" s="9">
        <f>IFERROR(VLOOKUP(B402,cubo!$A$6:$BK$37,47,0)-VLOOKUP(conciliacao_custos!B402,#REF!,14,0),0)</f>
        <v>0</v>
      </c>
      <c r="Q402" s="9">
        <f>IFERROR(VLOOKUP(B402,cubo!$A$6:$BK$37,58,0)-VLOOKUP(conciliacao_custos!B402,#REF!,16,0),0)</f>
        <v>0</v>
      </c>
      <c r="R402" s="9">
        <f>IFERROR(VLOOKUP(B402,cubo!$A$6:$BK$37,64,0)-VLOOKUP(conciliacao_custos!B402,#REF!,17,0),0)</f>
        <v>0</v>
      </c>
      <c r="S402" s="9">
        <f>IFERROR(VLOOKUP(B402,cubo!$A$6:$BK$37,61,0)-VLOOKUP(conciliacao_custos!B402,#REF!,15,0),0)</f>
        <v>0</v>
      </c>
    </row>
    <row r="403" spans="2:19" x14ac:dyDescent="0.25">
      <c r="B403" s="7">
        <f>[1]salario!A402</f>
        <v>0</v>
      </c>
      <c r="C403" s="8">
        <f>[1]salario!C402</f>
        <v>0</v>
      </c>
      <c r="D403" s="10">
        <f>IFERROR(VLOOKUP(B403,cubo!$A$6:$BE$37,6,0)-VLOOKUP(B403,#REF!,$D$2,0),0)</f>
        <v>0</v>
      </c>
      <c r="E403" s="10">
        <f>IFERROR(VLOOKUP(B403,cubo!$A$6:$BE$37,9,0)-VLOOKUP(B403,#REF!,$E$2,0),0)</f>
        <v>0</v>
      </c>
      <c r="F403" s="9">
        <f>IFERROR(VLOOKUP(B403,cubo!$A$6:$BE$37,12,0)-VLOOKUP(B403,#REF!,$F$2,0),0)</f>
        <v>0</v>
      </c>
      <c r="G403" s="9">
        <f>IFERROR(VLOOKUP(B403,cubo!$A$6:$BE$37,54,0)-VLOOKUP(B403,#REF!,$G$2,0),0)</f>
        <v>0</v>
      </c>
      <c r="H403" s="10">
        <f>IFERROR(VLOOKUP(B403,cubo!$A$6:$BE$37,15,0)-VLOOKUP(B403,#REF!,$H$2,0),0)</f>
        <v>0</v>
      </c>
      <c r="I403" s="9">
        <f>IFERROR(VLOOKUP(B403,cubo!$A$6:$BE$37,18,0)-VLOOKUP(B403,#REF!,$I$2,0),0)</f>
        <v>0</v>
      </c>
      <c r="J403" s="9">
        <f>IFERROR(VLOOKUP(B403,cubo!$A$6:$BE$37,24,0)-VLOOKUP(B403,#REF!,$J$2,0),0)</f>
        <v>0</v>
      </c>
      <c r="K403" s="9">
        <f>IFERROR(VLOOKUP(B403,cubo!$A$6:$BE$37,34,0)-VLOOKUP(B403,#REF!,$K$2,0),0)</f>
        <v>0</v>
      </c>
      <c r="L403" s="8">
        <f>IFERROR(VLOOKUP(B403,cubo!$A$6:$BE$37,38,0)-VLOOKUP(B403,#REF!,$L$2,0),0)</f>
        <v>0</v>
      </c>
      <c r="M403" s="15">
        <f>IFERROR(VLOOKUP(B403,cubo!$A$6:$BE$37,57,0)-VLOOKUP(B403,#REF!,$M$2,0),0)</f>
        <v>0</v>
      </c>
      <c r="N403" s="9">
        <f>IFERROR(VLOOKUP(B403,cubo!$A$6:$BK$37,41,0)-VLOOKUP(conciliacao_custos!B403,#REF!,18,0),0)</f>
        <v>0</v>
      </c>
      <c r="O403" s="9">
        <f>IFERROR(VLOOKUP(B403,cubo!$A$6:$BK$37,44,0)-VLOOKUP(conciliacao_custos!B403,#REF!,13,0),0)</f>
        <v>0</v>
      </c>
      <c r="P403" s="9">
        <f>IFERROR(VLOOKUP(B403,cubo!$A$6:$BK$37,47,0)-VLOOKUP(conciliacao_custos!B403,#REF!,14,0),0)</f>
        <v>0</v>
      </c>
      <c r="Q403" s="9">
        <f>IFERROR(VLOOKUP(B403,cubo!$A$6:$BK$37,58,0)-VLOOKUP(conciliacao_custos!B403,#REF!,16,0),0)</f>
        <v>0</v>
      </c>
      <c r="R403" s="9">
        <f>IFERROR(VLOOKUP(B403,cubo!$A$6:$BK$37,64,0)-VLOOKUP(conciliacao_custos!B403,#REF!,17,0),0)</f>
        <v>0</v>
      </c>
      <c r="S403" s="9">
        <f>IFERROR(VLOOKUP(B403,cubo!$A$6:$BK$37,61,0)-VLOOKUP(conciliacao_custos!B403,#REF!,15,0),0)</f>
        <v>0</v>
      </c>
    </row>
    <row r="404" spans="2:19" x14ac:dyDescent="0.25">
      <c r="B404" s="7">
        <f>[1]salario!A403</f>
        <v>0</v>
      </c>
      <c r="C404" s="8">
        <f>[1]salario!C403</f>
        <v>0</v>
      </c>
      <c r="D404" s="10">
        <f>IFERROR(VLOOKUP(B404,cubo!$A$6:$BE$37,6,0)-VLOOKUP(B404,#REF!,$D$2,0),0)</f>
        <v>0</v>
      </c>
      <c r="E404" s="10">
        <f>IFERROR(VLOOKUP(B404,cubo!$A$6:$BE$37,9,0)-VLOOKUP(B404,#REF!,$E$2,0),0)</f>
        <v>0</v>
      </c>
      <c r="F404" s="9">
        <f>IFERROR(VLOOKUP(B404,cubo!$A$6:$BE$37,12,0)-VLOOKUP(B404,#REF!,$F$2,0),0)</f>
        <v>0</v>
      </c>
      <c r="G404" s="9">
        <f>IFERROR(VLOOKUP(B404,cubo!$A$6:$BE$37,54,0)-VLOOKUP(B404,#REF!,$G$2,0),0)</f>
        <v>0</v>
      </c>
      <c r="H404" s="10">
        <f>IFERROR(VLOOKUP(B404,cubo!$A$6:$BE$37,15,0)-VLOOKUP(B404,#REF!,$H$2,0),0)</f>
        <v>0</v>
      </c>
      <c r="I404" s="9">
        <f>IFERROR(VLOOKUP(B404,cubo!$A$6:$BE$37,18,0)-VLOOKUP(B404,#REF!,$I$2,0),0)</f>
        <v>0</v>
      </c>
      <c r="J404" s="9">
        <f>IFERROR(VLOOKUP(B404,cubo!$A$6:$BE$37,24,0)-VLOOKUP(B404,#REF!,$J$2,0),0)</f>
        <v>0</v>
      </c>
      <c r="K404" s="9">
        <f>IFERROR(VLOOKUP(B404,cubo!$A$6:$BE$37,34,0)-VLOOKUP(B404,#REF!,$K$2,0),0)</f>
        <v>0</v>
      </c>
      <c r="L404" s="8">
        <f>IFERROR(VLOOKUP(B404,cubo!$A$6:$BE$37,38,0)-VLOOKUP(B404,#REF!,$L$2,0),0)</f>
        <v>0</v>
      </c>
      <c r="M404" s="15">
        <f>IFERROR(VLOOKUP(B404,cubo!$A$6:$BE$37,57,0)-VLOOKUP(B404,#REF!,$M$2,0),0)</f>
        <v>0</v>
      </c>
      <c r="N404" s="9">
        <f>IFERROR(VLOOKUP(B404,cubo!$A$6:$BK$37,41,0)-VLOOKUP(conciliacao_custos!B404,#REF!,18,0),0)</f>
        <v>0</v>
      </c>
      <c r="O404" s="9">
        <f>IFERROR(VLOOKUP(B404,cubo!$A$6:$BK$37,44,0)-VLOOKUP(conciliacao_custos!B404,#REF!,13,0),0)</f>
        <v>0</v>
      </c>
      <c r="P404" s="9">
        <f>IFERROR(VLOOKUP(B404,cubo!$A$6:$BK$37,47,0)-VLOOKUP(conciliacao_custos!B404,#REF!,14,0),0)</f>
        <v>0</v>
      </c>
      <c r="Q404" s="9">
        <f>IFERROR(VLOOKUP(B404,cubo!$A$6:$BK$37,58,0)-VLOOKUP(conciliacao_custos!B404,#REF!,16,0),0)</f>
        <v>0</v>
      </c>
      <c r="R404" s="9">
        <f>IFERROR(VLOOKUP(B404,cubo!$A$6:$BK$37,64,0)-VLOOKUP(conciliacao_custos!B404,#REF!,17,0),0)</f>
        <v>0</v>
      </c>
      <c r="S404" s="9">
        <f>IFERROR(VLOOKUP(B404,cubo!$A$6:$BK$37,61,0)-VLOOKUP(conciliacao_custos!B404,#REF!,15,0),0)</f>
        <v>0</v>
      </c>
    </row>
    <row r="405" spans="2:19" x14ac:dyDescent="0.25">
      <c r="B405" s="7">
        <f>[1]salario!A404</f>
        <v>0</v>
      </c>
      <c r="C405" s="8">
        <f>[1]salario!C404</f>
        <v>0</v>
      </c>
      <c r="D405" s="10">
        <f>IFERROR(VLOOKUP(B405,cubo!$A$6:$BE$37,6,0)-VLOOKUP(B405,#REF!,$D$2,0),0)</f>
        <v>0</v>
      </c>
      <c r="E405" s="10">
        <f>IFERROR(VLOOKUP(B405,cubo!$A$6:$BE$37,9,0)-VLOOKUP(B405,#REF!,$E$2,0),0)</f>
        <v>0</v>
      </c>
      <c r="F405" s="9">
        <f>IFERROR(VLOOKUP(B405,cubo!$A$6:$BE$37,12,0)-VLOOKUP(B405,#REF!,$F$2,0),0)</f>
        <v>0</v>
      </c>
      <c r="G405" s="9">
        <f>IFERROR(VLOOKUP(B405,cubo!$A$6:$BE$37,54,0)-VLOOKUP(B405,#REF!,$G$2,0),0)</f>
        <v>0</v>
      </c>
      <c r="H405" s="10">
        <f>IFERROR(VLOOKUP(B405,cubo!$A$6:$BE$37,15,0)-VLOOKUP(B405,#REF!,$H$2,0),0)</f>
        <v>0</v>
      </c>
      <c r="I405" s="9">
        <f>IFERROR(VLOOKUP(B405,cubo!$A$6:$BE$37,18,0)-VLOOKUP(B405,#REF!,$I$2,0),0)</f>
        <v>0</v>
      </c>
      <c r="J405" s="9">
        <f>IFERROR(VLOOKUP(B405,cubo!$A$6:$BE$37,24,0)-VLOOKUP(B405,#REF!,$J$2,0),0)</f>
        <v>0</v>
      </c>
      <c r="K405" s="9">
        <f>IFERROR(VLOOKUP(B405,cubo!$A$6:$BE$37,34,0)-VLOOKUP(B405,#REF!,$K$2,0),0)</f>
        <v>0</v>
      </c>
      <c r="L405" s="8">
        <f>IFERROR(VLOOKUP(B405,cubo!$A$6:$BE$37,38,0)-VLOOKUP(B405,#REF!,$L$2,0),0)</f>
        <v>0</v>
      </c>
      <c r="M405" s="15">
        <f>IFERROR(VLOOKUP(B405,cubo!$A$6:$BE$37,57,0)-VLOOKUP(B405,#REF!,$M$2,0),0)</f>
        <v>0</v>
      </c>
      <c r="N405" s="9">
        <f>IFERROR(VLOOKUP(B405,cubo!$A$6:$BK$37,41,0)-VLOOKUP(conciliacao_custos!B405,#REF!,18,0),0)</f>
        <v>0</v>
      </c>
      <c r="O405" s="9">
        <f>IFERROR(VLOOKUP(B405,cubo!$A$6:$BK$37,44,0)-VLOOKUP(conciliacao_custos!B405,#REF!,13,0),0)</f>
        <v>0</v>
      </c>
      <c r="P405" s="9">
        <f>IFERROR(VLOOKUP(B405,cubo!$A$6:$BK$37,47,0)-VLOOKUP(conciliacao_custos!B405,#REF!,14,0),0)</f>
        <v>0</v>
      </c>
      <c r="Q405" s="9">
        <f>IFERROR(VLOOKUP(B405,cubo!$A$6:$BK$37,58,0)-VLOOKUP(conciliacao_custos!B405,#REF!,16,0),0)</f>
        <v>0</v>
      </c>
      <c r="R405" s="9">
        <f>IFERROR(VLOOKUP(B405,cubo!$A$6:$BK$37,64,0)-VLOOKUP(conciliacao_custos!B405,#REF!,17,0),0)</f>
        <v>0</v>
      </c>
      <c r="S405" s="9">
        <f>IFERROR(VLOOKUP(B405,cubo!$A$6:$BK$37,61,0)-VLOOKUP(conciliacao_custos!B405,#REF!,15,0),0)</f>
        <v>0</v>
      </c>
    </row>
    <row r="406" spans="2:19" x14ac:dyDescent="0.25">
      <c r="B406" s="7">
        <f>[1]salario!A405</f>
        <v>0</v>
      </c>
      <c r="C406" s="8">
        <f>[1]salario!C405</f>
        <v>0</v>
      </c>
      <c r="D406" s="10">
        <f>IFERROR(VLOOKUP(B406,cubo!$A$6:$BE$37,6,0)-VLOOKUP(B406,#REF!,$D$2,0),0)</f>
        <v>0</v>
      </c>
      <c r="E406" s="10">
        <f>IFERROR(VLOOKUP(B406,cubo!$A$6:$BE$37,9,0)-VLOOKUP(B406,#REF!,$E$2,0),0)</f>
        <v>0</v>
      </c>
      <c r="F406" s="9">
        <f>IFERROR(VLOOKUP(B406,cubo!$A$6:$BE$37,12,0)-VLOOKUP(B406,#REF!,$F$2,0),0)</f>
        <v>0</v>
      </c>
      <c r="G406" s="9">
        <f>IFERROR(VLOOKUP(B406,cubo!$A$6:$BE$37,54,0)-VLOOKUP(B406,#REF!,$G$2,0),0)</f>
        <v>0</v>
      </c>
      <c r="H406" s="10">
        <f>IFERROR(VLOOKUP(B406,cubo!$A$6:$BE$37,15,0)-VLOOKUP(B406,#REF!,$H$2,0),0)</f>
        <v>0</v>
      </c>
      <c r="I406" s="9">
        <f>IFERROR(VLOOKUP(B406,cubo!$A$6:$BE$37,18,0)-VLOOKUP(B406,#REF!,$I$2,0),0)</f>
        <v>0</v>
      </c>
      <c r="J406" s="9">
        <f>IFERROR(VLOOKUP(B406,cubo!$A$6:$BE$37,24,0)-VLOOKUP(B406,#REF!,$J$2,0),0)</f>
        <v>0</v>
      </c>
      <c r="K406" s="9">
        <f>IFERROR(VLOOKUP(B406,cubo!$A$6:$BE$37,34,0)-VLOOKUP(B406,#REF!,$K$2,0),0)</f>
        <v>0</v>
      </c>
      <c r="L406" s="8">
        <f>IFERROR(VLOOKUP(B406,cubo!$A$6:$BE$37,38,0)-VLOOKUP(B406,#REF!,$L$2,0),0)</f>
        <v>0</v>
      </c>
      <c r="M406" s="15">
        <f>IFERROR(VLOOKUP(B406,cubo!$A$6:$BE$37,57,0)-VLOOKUP(B406,#REF!,$M$2,0),0)</f>
        <v>0</v>
      </c>
      <c r="N406" s="9">
        <f>IFERROR(VLOOKUP(B406,cubo!$A$6:$BK$37,41,0)-VLOOKUP(conciliacao_custos!B406,#REF!,18,0),0)</f>
        <v>0</v>
      </c>
      <c r="O406" s="9">
        <f>IFERROR(VLOOKUP(B406,cubo!$A$6:$BK$37,44,0)-VLOOKUP(conciliacao_custos!B406,#REF!,13,0),0)</f>
        <v>0</v>
      </c>
      <c r="P406" s="9">
        <f>IFERROR(VLOOKUP(B406,cubo!$A$6:$BK$37,47,0)-VLOOKUP(conciliacao_custos!B406,#REF!,14,0),0)</f>
        <v>0</v>
      </c>
      <c r="Q406" s="9">
        <f>IFERROR(VLOOKUP(B406,cubo!$A$6:$BK$37,58,0)-VLOOKUP(conciliacao_custos!B406,#REF!,16,0),0)</f>
        <v>0</v>
      </c>
      <c r="R406" s="9">
        <f>IFERROR(VLOOKUP(B406,cubo!$A$6:$BK$37,64,0)-VLOOKUP(conciliacao_custos!B406,#REF!,17,0),0)</f>
        <v>0</v>
      </c>
      <c r="S406" s="9">
        <f>IFERROR(VLOOKUP(B406,cubo!$A$6:$BK$37,61,0)-VLOOKUP(conciliacao_custos!B406,#REF!,15,0),0)</f>
        <v>0</v>
      </c>
    </row>
    <row r="407" spans="2:19" x14ac:dyDescent="0.25">
      <c r="B407" s="7">
        <f>[1]salario!A406</f>
        <v>0</v>
      </c>
      <c r="C407" s="8">
        <f>[1]salario!C406</f>
        <v>0</v>
      </c>
      <c r="D407" s="10">
        <f>IFERROR(VLOOKUP(B407,cubo!$A$6:$BE$37,6,0)-VLOOKUP(B407,#REF!,$D$2,0),0)</f>
        <v>0</v>
      </c>
      <c r="E407" s="10">
        <f>IFERROR(VLOOKUP(B407,cubo!$A$6:$BE$37,9,0)-VLOOKUP(B407,#REF!,$E$2,0),0)</f>
        <v>0</v>
      </c>
      <c r="F407" s="9">
        <f>IFERROR(VLOOKUP(B407,cubo!$A$6:$BE$37,12,0)-VLOOKUP(B407,#REF!,$F$2,0),0)</f>
        <v>0</v>
      </c>
      <c r="G407" s="9">
        <f>IFERROR(VLOOKUP(B407,cubo!$A$6:$BE$37,54,0)-VLOOKUP(B407,#REF!,$G$2,0),0)</f>
        <v>0</v>
      </c>
      <c r="H407" s="10">
        <f>IFERROR(VLOOKUP(B407,cubo!$A$6:$BE$37,15,0)-VLOOKUP(B407,#REF!,$H$2,0),0)</f>
        <v>0</v>
      </c>
      <c r="I407" s="9">
        <f>IFERROR(VLOOKUP(B407,cubo!$A$6:$BE$37,18,0)-VLOOKUP(B407,#REF!,$I$2,0),0)</f>
        <v>0</v>
      </c>
      <c r="J407" s="9">
        <f>IFERROR(VLOOKUP(B407,cubo!$A$6:$BE$37,24,0)-VLOOKUP(B407,#REF!,$J$2,0),0)</f>
        <v>0</v>
      </c>
      <c r="K407" s="9">
        <f>IFERROR(VLOOKUP(B407,cubo!$A$6:$BE$37,34,0)-VLOOKUP(B407,#REF!,$K$2,0),0)</f>
        <v>0</v>
      </c>
      <c r="L407" s="8">
        <f>IFERROR(VLOOKUP(B407,cubo!$A$6:$BE$37,38,0)-VLOOKUP(B407,#REF!,$L$2,0),0)</f>
        <v>0</v>
      </c>
      <c r="M407" s="15">
        <f>IFERROR(VLOOKUP(B407,cubo!$A$6:$BE$37,57,0)-VLOOKUP(B407,#REF!,$M$2,0),0)</f>
        <v>0</v>
      </c>
      <c r="N407" s="9">
        <f>IFERROR(VLOOKUP(B407,cubo!$A$6:$BK$37,41,0)-VLOOKUP(conciliacao_custos!B407,#REF!,18,0),0)</f>
        <v>0</v>
      </c>
      <c r="O407" s="9">
        <f>IFERROR(VLOOKUP(B407,cubo!$A$6:$BK$37,44,0)-VLOOKUP(conciliacao_custos!B407,#REF!,13,0),0)</f>
        <v>0</v>
      </c>
      <c r="P407" s="9">
        <f>IFERROR(VLOOKUP(B407,cubo!$A$6:$BK$37,47,0)-VLOOKUP(conciliacao_custos!B407,#REF!,14,0),0)</f>
        <v>0</v>
      </c>
      <c r="Q407" s="9">
        <f>IFERROR(VLOOKUP(B407,cubo!$A$6:$BK$37,58,0)-VLOOKUP(conciliacao_custos!B407,#REF!,16,0),0)</f>
        <v>0</v>
      </c>
      <c r="R407" s="9">
        <f>IFERROR(VLOOKUP(B407,cubo!$A$6:$BK$37,64,0)-VLOOKUP(conciliacao_custos!B407,#REF!,17,0),0)</f>
        <v>0</v>
      </c>
      <c r="S407" s="9">
        <f>IFERROR(VLOOKUP(B407,cubo!$A$6:$BK$37,61,0)-VLOOKUP(conciliacao_custos!B407,#REF!,15,0),0)</f>
        <v>0</v>
      </c>
    </row>
    <row r="408" spans="2:19" x14ac:dyDescent="0.25">
      <c r="B408" s="7">
        <f>[1]salario!A407</f>
        <v>0</v>
      </c>
      <c r="C408" s="8">
        <f>[1]salario!C407</f>
        <v>0</v>
      </c>
      <c r="D408" s="10">
        <f>IFERROR(VLOOKUP(B408,cubo!$A$6:$BE$37,6,0)-VLOOKUP(B408,#REF!,$D$2,0),0)</f>
        <v>0</v>
      </c>
      <c r="E408" s="10">
        <f>IFERROR(VLOOKUP(B408,cubo!$A$6:$BE$37,9,0)-VLOOKUP(B408,#REF!,$E$2,0),0)</f>
        <v>0</v>
      </c>
      <c r="F408" s="9">
        <f>IFERROR(VLOOKUP(B408,cubo!$A$6:$BE$37,12,0)-VLOOKUP(B408,#REF!,$F$2,0),0)</f>
        <v>0</v>
      </c>
      <c r="G408" s="9">
        <f>IFERROR(VLOOKUP(B408,cubo!$A$6:$BE$37,54,0)-VLOOKUP(B408,#REF!,$G$2,0),0)</f>
        <v>0</v>
      </c>
      <c r="H408" s="10">
        <f>IFERROR(VLOOKUP(B408,cubo!$A$6:$BE$37,15,0)-VLOOKUP(B408,#REF!,$H$2,0),0)</f>
        <v>0</v>
      </c>
      <c r="I408" s="9">
        <f>IFERROR(VLOOKUP(B408,cubo!$A$6:$BE$37,18,0)-VLOOKUP(B408,#REF!,$I$2,0),0)</f>
        <v>0</v>
      </c>
      <c r="J408" s="9">
        <f>IFERROR(VLOOKUP(B408,cubo!$A$6:$BE$37,24,0)-VLOOKUP(B408,#REF!,$J$2,0),0)</f>
        <v>0</v>
      </c>
      <c r="K408" s="9">
        <f>IFERROR(VLOOKUP(B408,cubo!$A$6:$BE$37,34,0)-VLOOKUP(B408,#REF!,$K$2,0),0)</f>
        <v>0</v>
      </c>
      <c r="L408" s="8">
        <f>IFERROR(VLOOKUP(B408,cubo!$A$6:$BE$37,38,0)-VLOOKUP(B408,#REF!,$L$2,0),0)</f>
        <v>0</v>
      </c>
      <c r="M408" s="15">
        <f>IFERROR(VLOOKUP(B408,cubo!$A$6:$BE$37,57,0)-VLOOKUP(B408,#REF!,$M$2,0),0)</f>
        <v>0</v>
      </c>
      <c r="N408" s="9">
        <f>IFERROR(VLOOKUP(B408,cubo!$A$6:$BK$37,41,0)-VLOOKUP(conciliacao_custos!B408,#REF!,18,0),0)</f>
        <v>0</v>
      </c>
      <c r="O408" s="9">
        <f>IFERROR(VLOOKUP(B408,cubo!$A$6:$BK$37,44,0)-VLOOKUP(conciliacao_custos!B408,#REF!,13,0),0)</f>
        <v>0</v>
      </c>
      <c r="P408" s="9">
        <f>IFERROR(VLOOKUP(B408,cubo!$A$6:$BK$37,47,0)-VLOOKUP(conciliacao_custos!B408,#REF!,14,0),0)</f>
        <v>0</v>
      </c>
      <c r="Q408" s="9">
        <f>IFERROR(VLOOKUP(B408,cubo!$A$6:$BK$37,58,0)-VLOOKUP(conciliacao_custos!B408,#REF!,16,0),0)</f>
        <v>0</v>
      </c>
      <c r="R408" s="9">
        <f>IFERROR(VLOOKUP(B408,cubo!$A$6:$BK$37,64,0)-VLOOKUP(conciliacao_custos!B408,#REF!,17,0),0)</f>
        <v>0</v>
      </c>
      <c r="S408" s="9">
        <f>IFERROR(VLOOKUP(B408,cubo!$A$6:$BK$37,61,0)-VLOOKUP(conciliacao_custos!B408,#REF!,15,0),0)</f>
        <v>0</v>
      </c>
    </row>
    <row r="409" spans="2:19" x14ac:dyDescent="0.25">
      <c r="B409" s="7">
        <f>[1]salario!A408</f>
        <v>0</v>
      </c>
      <c r="C409" s="8">
        <f>[1]salario!C408</f>
        <v>0</v>
      </c>
      <c r="D409" s="10">
        <f>IFERROR(VLOOKUP(B409,cubo!$A$6:$BE$37,6,0)-VLOOKUP(B409,#REF!,$D$2,0),0)</f>
        <v>0</v>
      </c>
      <c r="E409" s="10">
        <f>IFERROR(VLOOKUP(B409,cubo!$A$6:$BE$37,9,0)-VLOOKUP(B409,#REF!,$E$2,0),0)</f>
        <v>0</v>
      </c>
      <c r="F409" s="9">
        <f>IFERROR(VLOOKUP(B409,cubo!$A$6:$BE$37,12,0)-VLOOKUP(B409,#REF!,$F$2,0),0)</f>
        <v>0</v>
      </c>
      <c r="G409" s="9">
        <f>IFERROR(VLOOKUP(B409,cubo!$A$6:$BE$37,54,0)-VLOOKUP(B409,#REF!,$G$2,0),0)</f>
        <v>0</v>
      </c>
      <c r="H409" s="10">
        <f>IFERROR(VLOOKUP(B409,cubo!$A$6:$BE$37,15,0)-VLOOKUP(B409,#REF!,$H$2,0),0)</f>
        <v>0</v>
      </c>
      <c r="I409" s="9">
        <f>IFERROR(VLOOKUP(B409,cubo!$A$6:$BE$37,18,0)-VLOOKUP(B409,#REF!,$I$2,0),0)</f>
        <v>0</v>
      </c>
      <c r="J409" s="9">
        <f>IFERROR(VLOOKUP(B409,cubo!$A$6:$BE$37,24,0)-VLOOKUP(B409,#REF!,$J$2,0),0)</f>
        <v>0</v>
      </c>
      <c r="K409" s="9">
        <f>IFERROR(VLOOKUP(B409,cubo!$A$6:$BE$37,34,0)-VLOOKUP(B409,#REF!,$K$2,0),0)</f>
        <v>0</v>
      </c>
      <c r="L409" s="8">
        <f>IFERROR(VLOOKUP(B409,cubo!$A$6:$BE$37,38,0)-VLOOKUP(B409,#REF!,$L$2,0),0)</f>
        <v>0</v>
      </c>
      <c r="M409" s="15">
        <f>IFERROR(VLOOKUP(B409,cubo!$A$6:$BE$37,57,0)-VLOOKUP(B409,#REF!,$M$2,0),0)</f>
        <v>0</v>
      </c>
      <c r="N409" s="9">
        <f>IFERROR(VLOOKUP(B409,cubo!$A$6:$BK$37,41,0)-VLOOKUP(conciliacao_custos!B409,#REF!,18,0),0)</f>
        <v>0</v>
      </c>
      <c r="O409" s="9">
        <f>IFERROR(VLOOKUP(B409,cubo!$A$6:$BK$37,44,0)-VLOOKUP(conciliacao_custos!B409,#REF!,13,0),0)</f>
        <v>0</v>
      </c>
      <c r="P409" s="9">
        <f>IFERROR(VLOOKUP(B409,cubo!$A$6:$BK$37,47,0)-VLOOKUP(conciliacao_custos!B409,#REF!,14,0),0)</f>
        <v>0</v>
      </c>
      <c r="Q409" s="9">
        <f>IFERROR(VLOOKUP(B409,cubo!$A$6:$BK$37,58,0)-VLOOKUP(conciliacao_custos!B409,#REF!,16,0),0)</f>
        <v>0</v>
      </c>
      <c r="R409" s="9">
        <f>IFERROR(VLOOKUP(B409,cubo!$A$6:$BK$37,64,0)-VLOOKUP(conciliacao_custos!B409,#REF!,17,0),0)</f>
        <v>0</v>
      </c>
      <c r="S409" s="9">
        <f>IFERROR(VLOOKUP(B409,cubo!$A$6:$BK$37,61,0)-VLOOKUP(conciliacao_custos!B409,#REF!,15,0),0)</f>
        <v>0</v>
      </c>
    </row>
    <row r="410" spans="2:19" x14ac:dyDescent="0.25">
      <c r="B410" s="7">
        <f>[1]salario!A409</f>
        <v>0</v>
      </c>
      <c r="C410" s="8">
        <f>[1]salario!C409</f>
        <v>0</v>
      </c>
      <c r="D410" s="10">
        <f>IFERROR(VLOOKUP(B410,cubo!$A$6:$BE$37,6,0)-VLOOKUP(B410,#REF!,$D$2,0),0)</f>
        <v>0</v>
      </c>
      <c r="E410" s="10">
        <f>IFERROR(VLOOKUP(B410,cubo!$A$6:$BE$37,9,0)-VLOOKUP(B410,#REF!,$E$2,0),0)</f>
        <v>0</v>
      </c>
      <c r="F410" s="9">
        <f>IFERROR(VLOOKUP(B410,cubo!$A$6:$BE$37,12,0)-VLOOKUP(B410,#REF!,$F$2,0),0)</f>
        <v>0</v>
      </c>
      <c r="G410" s="9">
        <f>IFERROR(VLOOKUP(B410,cubo!$A$6:$BE$37,54,0)-VLOOKUP(B410,#REF!,$G$2,0),0)</f>
        <v>0</v>
      </c>
      <c r="H410" s="10">
        <f>IFERROR(VLOOKUP(B410,cubo!$A$6:$BE$37,15,0)-VLOOKUP(B410,#REF!,$H$2,0),0)</f>
        <v>0</v>
      </c>
      <c r="I410" s="9">
        <f>IFERROR(VLOOKUP(B410,cubo!$A$6:$BE$37,18,0)-VLOOKUP(B410,#REF!,$I$2,0),0)</f>
        <v>0</v>
      </c>
      <c r="J410" s="9">
        <f>IFERROR(VLOOKUP(B410,cubo!$A$6:$BE$37,24,0)-VLOOKUP(B410,#REF!,$J$2,0),0)</f>
        <v>0</v>
      </c>
      <c r="K410" s="9">
        <f>IFERROR(VLOOKUP(B410,cubo!$A$6:$BE$37,34,0)-VLOOKUP(B410,#REF!,$K$2,0),0)</f>
        <v>0</v>
      </c>
      <c r="L410" s="8">
        <f>IFERROR(VLOOKUP(B410,cubo!$A$6:$BE$37,38,0)-VLOOKUP(B410,#REF!,$L$2,0),0)</f>
        <v>0</v>
      </c>
      <c r="M410" s="15">
        <f>IFERROR(VLOOKUP(B410,cubo!$A$6:$BE$37,57,0)-VLOOKUP(B410,#REF!,$M$2,0),0)</f>
        <v>0</v>
      </c>
      <c r="N410" s="9">
        <f>IFERROR(VLOOKUP(B410,cubo!$A$6:$BK$37,41,0)-VLOOKUP(conciliacao_custos!B410,#REF!,18,0),0)</f>
        <v>0</v>
      </c>
      <c r="O410" s="9">
        <f>IFERROR(VLOOKUP(B410,cubo!$A$6:$BK$37,44,0)-VLOOKUP(conciliacao_custos!B410,#REF!,13,0),0)</f>
        <v>0</v>
      </c>
      <c r="P410" s="9">
        <f>IFERROR(VLOOKUP(B410,cubo!$A$6:$BK$37,47,0)-VLOOKUP(conciliacao_custos!B410,#REF!,14,0),0)</f>
        <v>0</v>
      </c>
      <c r="Q410" s="9">
        <f>IFERROR(VLOOKUP(B410,cubo!$A$6:$BK$37,58,0)-VLOOKUP(conciliacao_custos!B410,#REF!,16,0),0)</f>
        <v>0</v>
      </c>
      <c r="R410" s="9">
        <f>IFERROR(VLOOKUP(B410,cubo!$A$6:$BK$37,64,0)-VLOOKUP(conciliacao_custos!B410,#REF!,17,0),0)</f>
        <v>0</v>
      </c>
      <c r="S410" s="9">
        <f>IFERROR(VLOOKUP(B410,cubo!$A$6:$BK$37,61,0)-VLOOKUP(conciliacao_custos!B410,#REF!,15,0),0)</f>
        <v>0</v>
      </c>
    </row>
    <row r="411" spans="2:19" x14ac:dyDescent="0.25">
      <c r="B411" s="7">
        <f>[1]salario!A410</f>
        <v>0</v>
      </c>
      <c r="C411" s="8">
        <f>[1]salario!C410</f>
        <v>0</v>
      </c>
      <c r="D411" s="10">
        <f>IFERROR(VLOOKUP(B411,cubo!$A$6:$BE$37,6,0)-VLOOKUP(B411,#REF!,$D$2,0),0)</f>
        <v>0</v>
      </c>
      <c r="E411" s="10">
        <f>IFERROR(VLOOKUP(B411,cubo!$A$6:$BE$37,9,0)-VLOOKUP(B411,#REF!,$E$2,0),0)</f>
        <v>0</v>
      </c>
      <c r="F411" s="9">
        <f>IFERROR(VLOOKUP(B411,cubo!$A$6:$BE$37,12,0)-VLOOKUP(B411,#REF!,$F$2,0),0)</f>
        <v>0</v>
      </c>
      <c r="G411" s="9">
        <f>IFERROR(VLOOKUP(B411,cubo!$A$6:$BE$37,54,0)-VLOOKUP(B411,#REF!,$G$2,0),0)</f>
        <v>0</v>
      </c>
      <c r="H411" s="10">
        <f>IFERROR(VLOOKUP(B411,cubo!$A$6:$BE$37,15,0)-VLOOKUP(B411,#REF!,$H$2,0),0)</f>
        <v>0</v>
      </c>
      <c r="I411" s="9">
        <f>IFERROR(VLOOKUP(B411,cubo!$A$6:$BE$37,18,0)-VLOOKUP(B411,#REF!,$I$2,0),0)</f>
        <v>0</v>
      </c>
      <c r="J411" s="9">
        <f>IFERROR(VLOOKUP(B411,cubo!$A$6:$BE$37,24,0)-VLOOKUP(B411,#REF!,$J$2,0),0)</f>
        <v>0</v>
      </c>
      <c r="K411" s="9">
        <f>IFERROR(VLOOKUP(B411,cubo!$A$6:$BE$37,34,0)-VLOOKUP(B411,#REF!,$K$2,0),0)</f>
        <v>0</v>
      </c>
      <c r="L411" s="8">
        <f>IFERROR(VLOOKUP(B411,cubo!$A$6:$BE$37,38,0)-VLOOKUP(B411,#REF!,$L$2,0),0)</f>
        <v>0</v>
      </c>
      <c r="M411" s="15">
        <f>IFERROR(VLOOKUP(B411,cubo!$A$6:$BE$37,57,0)-VLOOKUP(B411,#REF!,$M$2,0),0)</f>
        <v>0</v>
      </c>
      <c r="N411" s="9">
        <f>IFERROR(VLOOKUP(B411,cubo!$A$6:$BK$37,41,0)-VLOOKUP(conciliacao_custos!B411,#REF!,18,0),0)</f>
        <v>0</v>
      </c>
      <c r="O411" s="9">
        <f>IFERROR(VLOOKUP(B411,cubo!$A$6:$BK$37,44,0)-VLOOKUP(conciliacao_custos!B411,#REF!,13,0),0)</f>
        <v>0</v>
      </c>
      <c r="P411" s="9">
        <f>IFERROR(VLOOKUP(B411,cubo!$A$6:$BK$37,47,0)-VLOOKUP(conciliacao_custos!B411,#REF!,14,0),0)</f>
        <v>0</v>
      </c>
      <c r="Q411" s="9">
        <f>IFERROR(VLOOKUP(B411,cubo!$A$6:$BK$37,58,0)-VLOOKUP(conciliacao_custos!B411,#REF!,16,0),0)</f>
        <v>0</v>
      </c>
      <c r="R411" s="9">
        <f>IFERROR(VLOOKUP(B411,cubo!$A$6:$BK$37,64,0)-VLOOKUP(conciliacao_custos!B411,#REF!,17,0),0)</f>
        <v>0</v>
      </c>
      <c r="S411" s="9">
        <f>IFERROR(VLOOKUP(B411,cubo!$A$6:$BK$37,61,0)-VLOOKUP(conciliacao_custos!B411,#REF!,15,0),0)</f>
        <v>0</v>
      </c>
    </row>
    <row r="412" spans="2:19" x14ac:dyDescent="0.25">
      <c r="B412" s="7">
        <f>[1]salario!A411</f>
        <v>0</v>
      </c>
      <c r="C412" s="8">
        <f>[1]salario!C411</f>
        <v>0</v>
      </c>
      <c r="D412" s="10">
        <f>IFERROR(VLOOKUP(B412,cubo!$A$6:$BE$37,6,0)-VLOOKUP(B412,#REF!,$D$2,0),0)</f>
        <v>0</v>
      </c>
      <c r="E412" s="10">
        <f>IFERROR(VLOOKUP(B412,cubo!$A$6:$BE$37,9,0)-VLOOKUP(B412,#REF!,$E$2,0),0)</f>
        <v>0</v>
      </c>
      <c r="F412" s="9">
        <f>IFERROR(VLOOKUP(B412,cubo!$A$6:$BE$37,12,0)-VLOOKUP(B412,#REF!,$F$2,0),0)</f>
        <v>0</v>
      </c>
      <c r="G412" s="9">
        <f>IFERROR(VLOOKUP(B412,cubo!$A$6:$BE$37,54,0)-VLOOKUP(B412,#REF!,$G$2,0),0)</f>
        <v>0</v>
      </c>
      <c r="H412" s="10">
        <f>IFERROR(VLOOKUP(B412,cubo!$A$6:$BE$37,15,0)-VLOOKUP(B412,#REF!,$H$2,0),0)</f>
        <v>0</v>
      </c>
      <c r="I412" s="9">
        <f>IFERROR(VLOOKUP(B412,cubo!$A$6:$BE$37,18,0)-VLOOKUP(B412,#REF!,$I$2,0),0)</f>
        <v>0</v>
      </c>
      <c r="J412" s="9">
        <f>IFERROR(VLOOKUP(B412,cubo!$A$6:$BE$37,24,0)-VLOOKUP(B412,#REF!,$J$2,0),0)</f>
        <v>0</v>
      </c>
      <c r="K412" s="9">
        <f>IFERROR(VLOOKUP(B412,cubo!$A$6:$BE$37,34,0)-VLOOKUP(B412,#REF!,$K$2,0),0)</f>
        <v>0</v>
      </c>
      <c r="L412" s="8">
        <f>IFERROR(VLOOKUP(B412,cubo!$A$6:$BE$37,38,0)-VLOOKUP(B412,#REF!,$L$2,0),0)</f>
        <v>0</v>
      </c>
      <c r="M412" s="15">
        <f>IFERROR(VLOOKUP(B412,cubo!$A$6:$BE$37,57,0)-VLOOKUP(B412,#REF!,$M$2,0),0)</f>
        <v>0</v>
      </c>
      <c r="N412" s="9">
        <f>IFERROR(VLOOKUP(B412,cubo!$A$6:$BK$37,41,0)-VLOOKUP(conciliacao_custos!B412,#REF!,18,0),0)</f>
        <v>0</v>
      </c>
      <c r="O412" s="9">
        <f>IFERROR(VLOOKUP(B412,cubo!$A$6:$BK$37,44,0)-VLOOKUP(conciliacao_custos!B412,#REF!,13,0),0)</f>
        <v>0</v>
      </c>
      <c r="P412" s="9">
        <f>IFERROR(VLOOKUP(B412,cubo!$A$6:$BK$37,47,0)-VLOOKUP(conciliacao_custos!B412,#REF!,14,0),0)</f>
        <v>0</v>
      </c>
      <c r="Q412" s="9">
        <f>IFERROR(VLOOKUP(B412,cubo!$A$6:$BK$37,58,0)-VLOOKUP(conciliacao_custos!B412,#REF!,16,0),0)</f>
        <v>0</v>
      </c>
      <c r="R412" s="9">
        <f>IFERROR(VLOOKUP(B412,cubo!$A$6:$BK$37,64,0)-VLOOKUP(conciliacao_custos!B412,#REF!,17,0),0)</f>
        <v>0</v>
      </c>
      <c r="S412" s="9">
        <f>IFERROR(VLOOKUP(B412,cubo!$A$6:$BK$37,61,0)-VLOOKUP(conciliacao_custos!B412,#REF!,15,0),0)</f>
        <v>0</v>
      </c>
    </row>
    <row r="413" spans="2:19" x14ac:dyDescent="0.25">
      <c r="B413" s="7">
        <f>[1]salario!A412</f>
        <v>0</v>
      </c>
      <c r="C413" s="8">
        <f>[1]salario!C412</f>
        <v>0</v>
      </c>
      <c r="D413" s="10">
        <f>IFERROR(VLOOKUP(B413,cubo!$A$6:$BE$37,6,0)-VLOOKUP(B413,#REF!,$D$2,0),0)</f>
        <v>0</v>
      </c>
      <c r="E413" s="10">
        <f>IFERROR(VLOOKUP(B413,cubo!$A$6:$BE$37,9,0)-VLOOKUP(B413,#REF!,$E$2,0),0)</f>
        <v>0</v>
      </c>
      <c r="F413" s="9">
        <f>IFERROR(VLOOKUP(B413,cubo!$A$6:$BE$37,12,0)-VLOOKUP(B413,#REF!,$F$2,0),0)</f>
        <v>0</v>
      </c>
      <c r="G413" s="9">
        <f>IFERROR(VLOOKUP(B413,cubo!$A$6:$BE$37,54,0)-VLOOKUP(B413,#REF!,$G$2,0),0)</f>
        <v>0</v>
      </c>
      <c r="H413" s="10">
        <f>IFERROR(VLOOKUP(B413,cubo!$A$6:$BE$37,15,0)-VLOOKUP(B413,#REF!,$H$2,0),0)</f>
        <v>0</v>
      </c>
      <c r="I413" s="9">
        <f>IFERROR(VLOOKUP(B413,cubo!$A$6:$BE$37,18,0)-VLOOKUP(B413,#REF!,$I$2,0),0)</f>
        <v>0</v>
      </c>
      <c r="J413" s="9">
        <f>IFERROR(VLOOKUP(B413,cubo!$A$6:$BE$37,24,0)-VLOOKUP(B413,#REF!,$J$2,0),0)</f>
        <v>0</v>
      </c>
      <c r="K413" s="9">
        <f>IFERROR(VLOOKUP(B413,cubo!$A$6:$BE$37,34,0)-VLOOKUP(B413,#REF!,$K$2,0),0)</f>
        <v>0</v>
      </c>
      <c r="L413" s="8">
        <f>IFERROR(VLOOKUP(B413,cubo!$A$6:$BE$37,38,0)-VLOOKUP(B413,#REF!,$L$2,0),0)</f>
        <v>0</v>
      </c>
      <c r="M413" s="15">
        <f>IFERROR(VLOOKUP(B413,cubo!$A$6:$BE$37,57,0)-VLOOKUP(B413,#REF!,$M$2,0),0)</f>
        <v>0</v>
      </c>
      <c r="N413" s="9">
        <f>IFERROR(VLOOKUP(B413,cubo!$A$6:$BK$37,41,0)-VLOOKUP(conciliacao_custos!B413,#REF!,18,0),0)</f>
        <v>0</v>
      </c>
      <c r="O413" s="9">
        <f>IFERROR(VLOOKUP(B413,cubo!$A$6:$BK$37,44,0)-VLOOKUP(conciliacao_custos!B413,#REF!,13,0),0)</f>
        <v>0</v>
      </c>
      <c r="P413" s="9">
        <f>IFERROR(VLOOKUP(B413,cubo!$A$6:$BK$37,47,0)-VLOOKUP(conciliacao_custos!B413,#REF!,14,0),0)</f>
        <v>0</v>
      </c>
      <c r="Q413" s="9">
        <f>IFERROR(VLOOKUP(B413,cubo!$A$6:$BK$37,58,0)-VLOOKUP(conciliacao_custos!B413,#REF!,16,0),0)</f>
        <v>0</v>
      </c>
      <c r="R413" s="9">
        <f>IFERROR(VLOOKUP(B413,cubo!$A$6:$BK$37,64,0)-VLOOKUP(conciliacao_custos!B413,#REF!,17,0),0)</f>
        <v>0</v>
      </c>
      <c r="S413" s="9">
        <f>IFERROR(VLOOKUP(B413,cubo!$A$6:$BK$37,61,0)-VLOOKUP(conciliacao_custos!B413,#REF!,15,0),0)</f>
        <v>0</v>
      </c>
    </row>
    <row r="414" spans="2:19" x14ac:dyDescent="0.25">
      <c r="B414" s="7">
        <f>[1]salario!A413</f>
        <v>0</v>
      </c>
      <c r="C414" s="8">
        <f>[1]salario!C413</f>
        <v>0</v>
      </c>
      <c r="D414" s="10">
        <f>IFERROR(VLOOKUP(B414,cubo!$A$6:$BE$37,6,0)-VLOOKUP(B414,#REF!,$D$2,0),0)</f>
        <v>0</v>
      </c>
      <c r="E414" s="10">
        <f>IFERROR(VLOOKUP(B414,cubo!$A$6:$BE$37,9,0)-VLOOKUP(B414,#REF!,$E$2,0),0)</f>
        <v>0</v>
      </c>
      <c r="F414" s="9">
        <f>IFERROR(VLOOKUP(B414,cubo!$A$6:$BE$37,12,0)-VLOOKUP(B414,#REF!,$F$2,0),0)</f>
        <v>0</v>
      </c>
      <c r="G414" s="9">
        <f>IFERROR(VLOOKUP(B414,cubo!$A$6:$BE$37,54,0)-VLOOKUP(B414,#REF!,$G$2,0),0)</f>
        <v>0</v>
      </c>
      <c r="H414" s="10">
        <f>IFERROR(VLOOKUP(B414,cubo!$A$6:$BE$37,15,0)-VLOOKUP(B414,#REF!,$H$2,0),0)</f>
        <v>0</v>
      </c>
      <c r="I414" s="9">
        <f>IFERROR(VLOOKUP(B414,cubo!$A$6:$BE$37,18,0)-VLOOKUP(B414,#REF!,$I$2,0),0)</f>
        <v>0</v>
      </c>
      <c r="J414" s="9">
        <f>IFERROR(VLOOKUP(B414,cubo!$A$6:$BE$37,24,0)-VLOOKUP(B414,#REF!,$J$2,0),0)</f>
        <v>0</v>
      </c>
      <c r="K414" s="9">
        <f>IFERROR(VLOOKUP(B414,cubo!$A$6:$BE$37,34,0)-VLOOKUP(B414,#REF!,$K$2,0),0)</f>
        <v>0</v>
      </c>
      <c r="L414" s="8">
        <f>IFERROR(VLOOKUP(B414,cubo!$A$6:$BE$37,38,0)-VLOOKUP(B414,#REF!,$L$2,0),0)</f>
        <v>0</v>
      </c>
      <c r="M414" s="15">
        <f>IFERROR(VLOOKUP(B414,cubo!$A$6:$BE$37,57,0)-VLOOKUP(B414,#REF!,$M$2,0),0)</f>
        <v>0</v>
      </c>
      <c r="N414" s="9">
        <f>IFERROR(VLOOKUP(B414,cubo!$A$6:$BK$37,41,0)-VLOOKUP(conciliacao_custos!B414,#REF!,18,0),0)</f>
        <v>0</v>
      </c>
      <c r="O414" s="9">
        <f>IFERROR(VLOOKUP(B414,cubo!$A$6:$BK$37,44,0)-VLOOKUP(conciliacao_custos!B414,#REF!,13,0),0)</f>
        <v>0</v>
      </c>
      <c r="P414" s="9">
        <f>IFERROR(VLOOKUP(B414,cubo!$A$6:$BK$37,47,0)-VLOOKUP(conciliacao_custos!B414,#REF!,14,0),0)</f>
        <v>0</v>
      </c>
      <c r="Q414" s="9">
        <f>IFERROR(VLOOKUP(B414,cubo!$A$6:$BK$37,58,0)-VLOOKUP(conciliacao_custos!B414,#REF!,16,0),0)</f>
        <v>0</v>
      </c>
      <c r="R414" s="9">
        <f>IFERROR(VLOOKUP(B414,cubo!$A$6:$BK$37,64,0)-VLOOKUP(conciliacao_custos!B414,#REF!,17,0),0)</f>
        <v>0</v>
      </c>
      <c r="S414" s="9">
        <f>IFERROR(VLOOKUP(B414,cubo!$A$6:$BK$37,61,0)-VLOOKUP(conciliacao_custos!B414,#REF!,15,0),0)</f>
        <v>0</v>
      </c>
    </row>
    <row r="415" spans="2:19" x14ac:dyDescent="0.25">
      <c r="B415" s="7">
        <f>[1]salario!A414</f>
        <v>0</v>
      </c>
      <c r="C415" s="8">
        <f>[1]salario!C414</f>
        <v>0</v>
      </c>
      <c r="D415" s="10">
        <f>IFERROR(VLOOKUP(B415,cubo!$A$6:$BE$37,6,0)-VLOOKUP(B415,#REF!,$D$2,0),0)</f>
        <v>0</v>
      </c>
      <c r="E415" s="10">
        <f>IFERROR(VLOOKUP(B415,cubo!$A$6:$BE$37,9,0)-VLOOKUP(B415,#REF!,$E$2,0),0)</f>
        <v>0</v>
      </c>
      <c r="F415" s="9">
        <f>IFERROR(VLOOKUP(B415,cubo!$A$6:$BE$37,12,0)-VLOOKUP(B415,#REF!,$F$2,0),0)</f>
        <v>0</v>
      </c>
      <c r="G415" s="9">
        <f>IFERROR(VLOOKUP(B415,cubo!$A$6:$BE$37,54,0)-VLOOKUP(B415,#REF!,$G$2,0),0)</f>
        <v>0</v>
      </c>
      <c r="H415" s="10">
        <f>IFERROR(VLOOKUP(B415,cubo!$A$6:$BE$37,15,0)-VLOOKUP(B415,#REF!,$H$2,0),0)</f>
        <v>0</v>
      </c>
      <c r="I415" s="9">
        <f>IFERROR(VLOOKUP(B415,cubo!$A$6:$BE$37,18,0)-VLOOKUP(B415,#REF!,$I$2,0),0)</f>
        <v>0</v>
      </c>
      <c r="J415" s="9">
        <f>IFERROR(VLOOKUP(B415,cubo!$A$6:$BE$37,24,0)-VLOOKUP(B415,#REF!,$J$2,0),0)</f>
        <v>0</v>
      </c>
      <c r="K415" s="9">
        <f>IFERROR(VLOOKUP(B415,cubo!$A$6:$BE$37,34,0)-VLOOKUP(B415,#REF!,$K$2,0),0)</f>
        <v>0</v>
      </c>
      <c r="L415" s="8">
        <f>IFERROR(VLOOKUP(B415,cubo!$A$6:$BE$37,38,0)-VLOOKUP(B415,#REF!,$L$2,0),0)</f>
        <v>0</v>
      </c>
      <c r="M415" s="15">
        <f>IFERROR(VLOOKUP(B415,cubo!$A$6:$BE$37,57,0)-VLOOKUP(B415,#REF!,$M$2,0),0)</f>
        <v>0</v>
      </c>
      <c r="N415" s="9">
        <f>IFERROR(VLOOKUP(B415,cubo!$A$6:$BK$37,41,0)-VLOOKUP(conciliacao_custos!B415,#REF!,18,0),0)</f>
        <v>0</v>
      </c>
      <c r="O415" s="9">
        <f>IFERROR(VLOOKUP(B415,cubo!$A$6:$BK$37,44,0)-VLOOKUP(conciliacao_custos!B415,#REF!,13,0),0)</f>
        <v>0</v>
      </c>
      <c r="P415" s="9">
        <f>IFERROR(VLOOKUP(B415,cubo!$A$6:$BK$37,47,0)-VLOOKUP(conciliacao_custos!B415,#REF!,14,0),0)</f>
        <v>0</v>
      </c>
      <c r="Q415" s="9">
        <f>IFERROR(VLOOKUP(B415,cubo!$A$6:$BK$37,58,0)-VLOOKUP(conciliacao_custos!B415,#REF!,16,0),0)</f>
        <v>0</v>
      </c>
      <c r="R415" s="9">
        <f>IFERROR(VLOOKUP(B415,cubo!$A$6:$BK$37,64,0)-VLOOKUP(conciliacao_custos!B415,#REF!,17,0),0)</f>
        <v>0</v>
      </c>
      <c r="S415" s="9">
        <f>IFERROR(VLOOKUP(B415,cubo!$A$6:$BK$37,61,0)-VLOOKUP(conciliacao_custos!B415,#REF!,15,0),0)</f>
        <v>0</v>
      </c>
    </row>
    <row r="416" spans="2:19" x14ac:dyDescent="0.25">
      <c r="B416" s="7">
        <f>[1]salario!A415</f>
        <v>0</v>
      </c>
      <c r="C416" s="8">
        <f>[1]salario!C415</f>
        <v>0</v>
      </c>
      <c r="D416" s="10">
        <f>IFERROR(VLOOKUP(B416,cubo!$A$6:$BE$37,6,0)-VLOOKUP(B416,#REF!,$D$2,0),0)</f>
        <v>0</v>
      </c>
      <c r="E416" s="10">
        <f>IFERROR(VLOOKUP(B416,cubo!$A$6:$BE$37,9,0)-VLOOKUP(B416,#REF!,$E$2,0),0)</f>
        <v>0</v>
      </c>
      <c r="F416" s="9">
        <f>IFERROR(VLOOKUP(B416,cubo!$A$6:$BE$37,12,0)-VLOOKUP(B416,#REF!,$F$2,0),0)</f>
        <v>0</v>
      </c>
      <c r="G416" s="9">
        <f>IFERROR(VLOOKUP(B416,cubo!$A$6:$BE$37,54,0)-VLOOKUP(B416,#REF!,$G$2,0),0)</f>
        <v>0</v>
      </c>
      <c r="H416" s="10">
        <f>IFERROR(VLOOKUP(B416,cubo!$A$6:$BE$37,15,0)-VLOOKUP(B416,#REF!,$H$2,0),0)</f>
        <v>0</v>
      </c>
      <c r="I416" s="9">
        <f>IFERROR(VLOOKUP(B416,cubo!$A$6:$BE$37,18,0)-VLOOKUP(B416,#REF!,$I$2,0),0)</f>
        <v>0</v>
      </c>
      <c r="J416" s="9">
        <f>IFERROR(VLOOKUP(B416,cubo!$A$6:$BE$37,24,0)-VLOOKUP(B416,#REF!,$J$2,0),0)</f>
        <v>0</v>
      </c>
      <c r="K416" s="9">
        <f>IFERROR(VLOOKUP(B416,cubo!$A$6:$BE$37,34,0)-VLOOKUP(B416,#REF!,$K$2,0),0)</f>
        <v>0</v>
      </c>
      <c r="L416" s="8">
        <f>IFERROR(VLOOKUP(B416,cubo!$A$6:$BE$37,38,0)-VLOOKUP(B416,#REF!,$L$2,0),0)</f>
        <v>0</v>
      </c>
      <c r="M416" s="15">
        <f>IFERROR(VLOOKUP(B416,cubo!$A$6:$BE$37,57,0)-VLOOKUP(B416,#REF!,$M$2,0),0)</f>
        <v>0</v>
      </c>
      <c r="N416" s="9">
        <f>IFERROR(VLOOKUP(B416,cubo!$A$6:$BK$37,41,0)-VLOOKUP(conciliacao_custos!B416,#REF!,18,0),0)</f>
        <v>0</v>
      </c>
      <c r="O416" s="9">
        <f>IFERROR(VLOOKUP(B416,cubo!$A$6:$BK$37,44,0)-VLOOKUP(conciliacao_custos!B416,#REF!,13,0),0)</f>
        <v>0</v>
      </c>
      <c r="P416" s="9">
        <f>IFERROR(VLOOKUP(B416,cubo!$A$6:$BK$37,47,0)-VLOOKUP(conciliacao_custos!B416,#REF!,14,0),0)</f>
        <v>0</v>
      </c>
      <c r="Q416" s="9">
        <f>IFERROR(VLOOKUP(B416,cubo!$A$6:$BK$37,58,0)-VLOOKUP(conciliacao_custos!B416,#REF!,16,0),0)</f>
        <v>0</v>
      </c>
      <c r="R416" s="9">
        <f>IFERROR(VLOOKUP(B416,cubo!$A$6:$BK$37,64,0)-VLOOKUP(conciliacao_custos!B416,#REF!,17,0),0)</f>
        <v>0</v>
      </c>
      <c r="S416" s="9">
        <f>IFERROR(VLOOKUP(B416,cubo!$A$6:$BK$37,61,0)-VLOOKUP(conciliacao_custos!B416,#REF!,15,0),0)</f>
        <v>0</v>
      </c>
    </row>
    <row r="417" spans="2:19" x14ac:dyDescent="0.25">
      <c r="B417" s="7">
        <f>[1]salario!A416</f>
        <v>0</v>
      </c>
      <c r="C417" s="8">
        <f>[1]salario!C416</f>
        <v>0</v>
      </c>
      <c r="D417" s="10">
        <f>IFERROR(VLOOKUP(B417,cubo!$A$6:$BE$37,6,0)-VLOOKUP(B417,#REF!,$D$2,0),0)</f>
        <v>0</v>
      </c>
      <c r="E417" s="10">
        <f>IFERROR(VLOOKUP(B417,cubo!$A$6:$BE$37,9,0)-VLOOKUP(B417,#REF!,$E$2,0),0)</f>
        <v>0</v>
      </c>
      <c r="F417" s="9">
        <f>IFERROR(VLOOKUP(B417,cubo!$A$6:$BE$37,12,0)-VLOOKUP(B417,#REF!,$F$2,0),0)</f>
        <v>0</v>
      </c>
      <c r="G417" s="9">
        <f>IFERROR(VLOOKUP(B417,cubo!$A$6:$BE$37,54,0)-VLOOKUP(B417,#REF!,$G$2,0),0)</f>
        <v>0</v>
      </c>
      <c r="H417" s="10">
        <f>IFERROR(VLOOKUP(B417,cubo!$A$6:$BE$37,15,0)-VLOOKUP(B417,#REF!,$H$2,0),0)</f>
        <v>0</v>
      </c>
      <c r="I417" s="9">
        <f>IFERROR(VLOOKUP(B417,cubo!$A$6:$BE$37,18,0)-VLOOKUP(B417,#REF!,$I$2,0),0)</f>
        <v>0</v>
      </c>
      <c r="J417" s="9">
        <f>IFERROR(VLOOKUP(B417,cubo!$A$6:$BE$37,24,0)-VLOOKUP(B417,#REF!,$J$2,0),0)</f>
        <v>0</v>
      </c>
      <c r="K417" s="9">
        <f>IFERROR(VLOOKUP(B417,cubo!$A$6:$BE$37,34,0)-VLOOKUP(B417,#REF!,$K$2,0),0)</f>
        <v>0</v>
      </c>
      <c r="L417" s="8">
        <f>IFERROR(VLOOKUP(B417,cubo!$A$6:$BE$37,38,0)-VLOOKUP(B417,#REF!,$L$2,0),0)</f>
        <v>0</v>
      </c>
      <c r="M417" s="15">
        <f>IFERROR(VLOOKUP(B417,cubo!$A$6:$BE$37,57,0)-VLOOKUP(B417,#REF!,$M$2,0),0)</f>
        <v>0</v>
      </c>
      <c r="N417" s="9">
        <f>IFERROR(VLOOKUP(B417,cubo!$A$6:$BK$37,41,0)-VLOOKUP(conciliacao_custos!B417,#REF!,18,0),0)</f>
        <v>0</v>
      </c>
      <c r="O417" s="9">
        <f>IFERROR(VLOOKUP(B417,cubo!$A$6:$BK$37,44,0)-VLOOKUP(conciliacao_custos!B417,#REF!,13,0),0)</f>
        <v>0</v>
      </c>
      <c r="P417" s="9">
        <f>IFERROR(VLOOKUP(B417,cubo!$A$6:$BK$37,47,0)-VLOOKUP(conciliacao_custos!B417,#REF!,14,0),0)</f>
        <v>0</v>
      </c>
      <c r="Q417" s="9">
        <f>IFERROR(VLOOKUP(B417,cubo!$A$6:$BK$37,58,0)-VLOOKUP(conciliacao_custos!B417,#REF!,16,0),0)</f>
        <v>0</v>
      </c>
      <c r="R417" s="9">
        <f>IFERROR(VLOOKUP(B417,cubo!$A$6:$BK$37,64,0)-VLOOKUP(conciliacao_custos!B417,#REF!,17,0),0)</f>
        <v>0</v>
      </c>
      <c r="S417" s="9">
        <f>IFERROR(VLOOKUP(B417,cubo!$A$6:$BK$37,61,0)-VLOOKUP(conciliacao_custos!B417,#REF!,15,0),0)</f>
        <v>0</v>
      </c>
    </row>
    <row r="418" spans="2:19" x14ac:dyDescent="0.25">
      <c r="B418" s="7">
        <f>[1]salario!A417</f>
        <v>0</v>
      </c>
      <c r="C418" s="8">
        <f>[1]salario!C417</f>
        <v>0</v>
      </c>
      <c r="D418" s="10">
        <f>IFERROR(VLOOKUP(B418,cubo!$A$6:$BE$37,6,0)-VLOOKUP(B418,#REF!,$D$2,0),0)</f>
        <v>0</v>
      </c>
      <c r="E418" s="10">
        <f>IFERROR(VLOOKUP(B418,cubo!$A$6:$BE$37,9,0)-VLOOKUP(B418,#REF!,$E$2,0),0)</f>
        <v>0</v>
      </c>
      <c r="F418" s="9">
        <f>IFERROR(VLOOKUP(B418,cubo!$A$6:$BE$37,12,0)-VLOOKUP(B418,#REF!,$F$2,0),0)</f>
        <v>0</v>
      </c>
      <c r="G418" s="9">
        <f>IFERROR(VLOOKUP(B418,cubo!$A$6:$BE$37,54,0)-VLOOKUP(B418,#REF!,$G$2,0),0)</f>
        <v>0</v>
      </c>
      <c r="H418" s="10">
        <f>IFERROR(VLOOKUP(B418,cubo!$A$6:$BE$37,15,0)-VLOOKUP(B418,#REF!,$H$2,0),0)</f>
        <v>0</v>
      </c>
      <c r="I418" s="9">
        <f>IFERROR(VLOOKUP(B418,cubo!$A$6:$BE$37,18,0)-VLOOKUP(B418,#REF!,$I$2,0),0)</f>
        <v>0</v>
      </c>
      <c r="J418" s="9">
        <f>IFERROR(VLOOKUP(B418,cubo!$A$6:$BE$37,24,0)-VLOOKUP(B418,#REF!,$J$2,0),0)</f>
        <v>0</v>
      </c>
      <c r="K418" s="9">
        <f>IFERROR(VLOOKUP(B418,cubo!$A$6:$BE$37,34,0)-VLOOKUP(B418,#REF!,$K$2,0),0)</f>
        <v>0</v>
      </c>
      <c r="L418" s="8">
        <f>IFERROR(VLOOKUP(B418,cubo!$A$6:$BE$37,38,0)-VLOOKUP(B418,#REF!,$L$2,0),0)</f>
        <v>0</v>
      </c>
      <c r="M418" s="15">
        <f>IFERROR(VLOOKUP(B418,cubo!$A$6:$BE$37,57,0)-VLOOKUP(B418,#REF!,$M$2,0),0)</f>
        <v>0</v>
      </c>
      <c r="N418" s="9">
        <f>IFERROR(VLOOKUP(B418,cubo!$A$6:$BK$37,41,0)-VLOOKUP(conciliacao_custos!B418,#REF!,18,0),0)</f>
        <v>0</v>
      </c>
      <c r="O418" s="9">
        <f>IFERROR(VLOOKUP(B418,cubo!$A$6:$BK$37,44,0)-VLOOKUP(conciliacao_custos!B418,#REF!,13,0),0)</f>
        <v>0</v>
      </c>
      <c r="P418" s="9">
        <f>IFERROR(VLOOKUP(B418,cubo!$A$6:$BK$37,47,0)-VLOOKUP(conciliacao_custos!B418,#REF!,14,0),0)</f>
        <v>0</v>
      </c>
      <c r="Q418" s="9">
        <f>IFERROR(VLOOKUP(B418,cubo!$A$6:$BK$37,58,0)-VLOOKUP(conciliacao_custos!B418,#REF!,16,0),0)</f>
        <v>0</v>
      </c>
      <c r="R418" s="9">
        <f>IFERROR(VLOOKUP(B418,cubo!$A$6:$BK$37,64,0)-VLOOKUP(conciliacao_custos!B418,#REF!,17,0),0)</f>
        <v>0</v>
      </c>
      <c r="S418" s="9">
        <f>IFERROR(VLOOKUP(B418,cubo!$A$6:$BK$37,61,0)-VLOOKUP(conciliacao_custos!B418,#REF!,15,0),0)</f>
        <v>0</v>
      </c>
    </row>
    <row r="419" spans="2:19" x14ac:dyDescent="0.25">
      <c r="B419" s="7">
        <f>[1]salario!A418</f>
        <v>0</v>
      </c>
      <c r="C419" s="8">
        <f>[1]salario!C418</f>
        <v>0</v>
      </c>
      <c r="D419" s="10">
        <f>IFERROR(VLOOKUP(B419,cubo!$A$6:$BE$37,6,0)-VLOOKUP(B419,#REF!,$D$2,0),0)</f>
        <v>0</v>
      </c>
      <c r="E419" s="10">
        <f>IFERROR(VLOOKUP(B419,cubo!$A$6:$BE$37,9,0)-VLOOKUP(B419,#REF!,$E$2,0),0)</f>
        <v>0</v>
      </c>
      <c r="F419" s="9">
        <f>IFERROR(VLOOKUP(B419,cubo!$A$6:$BE$37,12,0)-VLOOKUP(B419,#REF!,$F$2,0),0)</f>
        <v>0</v>
      </c>
      <c r="G419" s="9">
        <f>IFERROR(VLOOKUP(B419,cubo!$A$6:$BE$37,54,0)-VLOOKUP(B419,#REF!,$G$2,0),0)</f>
        <v>0</v>
      </c>
      <c r="H419" s="10">
        <f>IFERROR(VLOOKUP(B419,cubo!$A$6:$BE$37,15,0)-VLOOKUP(B419,#REF!,$H$2,0),0)</f>
        <v>0</v>
      </c>
      <c r="I419" s="9">
        <f>IFERROR(VLOOKUP(B419,cubo!$A$6:$BE$37,18,0)-VLOOKUP(B419,#REF!,$I$2,0),0)</f>
        <v>0</v>
      </c>
      <c r="J419" s="9">
        <f>IFERROR(VLOOKUP(B419,cubo!$A$6:$BE$37,24,0)-VLOOKUP(B419,#REF!,$J$2,0),0)</f>
        <v>0</v>
      </c>
      <c r="K419" s="9">
        <f>IFERROR(VLOOKUP(B419,cubo!$A$6:$BE$37,34,0)-VLOOKUP(B419,#REF!,$K$2,0),0)</f>
        <v>0</v>
      </c>
      <c r="L419" s="8">
        <f>IFERROR(VLOOKUP(B419,cubo!$A$6:$BE$37,38,0)-VLOOKUP(B419,#REF!,$L$2,0),0)</f>
        <v>0</v>
      </c>
      <c r="M419" s="15">
        <f>IFERROR(VLOOKUP(B419,cubo!$A$6:$BE$37,57,0)-VLOOKUP(B419,#REF!,$M$2,0),0)</f>
        <v>0</v>
      </c>
      <c r="N419" s="9">
        <f>IFERROR(VLOOKUP(B419,cubo!$A$6:$BK$37,41,0)-VLOOKUP(conciliacao_custos!B419,#REF!,18,0),0)</f>
        <v>0</v>
      </c>
      <c r="O419" s="9">
        <f>IFERROR(VLOOKUP(B419,cubo!$A$6:$BK$37,44,0)-VLOOKUP(conciliacao_custos!B419,#REF!,13,0),0)</f>
        <v>0</v>
      </c>
      <c r="P419" s="9">
        <f>IFERROR(VLOOKUP(B419,cubo!$A$6:$BK$37,47,0)-VLOOKUP(conciliacao_custos!B419,#REF!,14,0),0)</f>
        <v>0</v>
      </c>
      <c r="Q419" s="9">
        <f>IFERROR(VLOOKUP(B419,cubo!$A$6:$BK$37,58,0)-VLOOKUP(conciliacao_custos!B419,#REF!,16,0),0)</f>
        <v>0</v>
      </c>
      <c r="R419" s="9">
        <f>IFERROR(VLOOKUP(B419,cubo!$A$6:$BK$37,64,0)-VLOOKUP(conciliacao_custos!B419,#REF!,17,0),0)</f>
        <v>0</v>
      </c>
      <c r="S419" s="9">
        <f>IFERROR(VLOOKUP(B419,cubo!$A$6:$BK$37,61,0)-VLOOKUP(conciliacao_custos!B419,#REF!,15,0),0)</f>
        <v>0</v>
      </c>
    </row>
    <row r="420" spans="2:19" x14ac:dyDescent="0.25">
      <c r="B420" s="7">
        <f>[1]salario!A419</f>
        <v>0</v>
      </c>
      <c r="C420" s="8">
        <f>[1]salario!C419</f>
        <v>0</v>
      </c>
      <c r="D420" s="10">
        <f>IFERROR(VLOOKUP(B420,cubo!$A$6:$BE$37,6,0)-VLOOKUP(B420,#REF!,$D$2,0),0)</f>
        <v>0</v>
      </c>
      <c r="E420" s="10">
        <f>IFERROR(VLOOKUP(B420,cubo!$A$6:$BE$37,9,0)-VLOOKUP(B420,#REF!,$E$2,0),0)</f>
        <v>0</v>
      </c>
      <c r="F420" s="9">
        <f>IFERROR(VLOOKUP(B420,cubo!$A$6:$BE$37,12,0)-VLOOKUP(B420,#REF!,$F$2,0),0)</f>
        <v>0</v>
      </c>
      <c r="G420" s="9">
        <f>IFERROR(VLOOKUP(B420,cubo!$A$6:$BE$37,54,0)-VLOOKUP(B420,#REF!,$G$2,0),0)</f>
        <v>0</v>
      </c>
      <c r="H420" s="10">
        <f>IFERROR(VLOOKUP(B420,cubo!$A$6:$BE$37,15,0)-VLOOKUP(B420,#REF!,$H$2,0),0)</f>
        <v>0</v>
      </c>
      <c r="I420" s="9">
        <f>IFERROR(VLOOKUP(B420,cubo!$A$6:$BE$37,18,0)-VLOOKUP(B420,#REF!,$I$2,0),0)</f>
        <v>0</v>
      </c>
      <c r="J420" s="9">
        <f>IFERROR(VLOOKUP(B420,cubo!$A$6:$BE$37,24,0)-VLOOKUP(B420,#REF!,$J$2,0),0)</f>
        <v>0</v>
      </c>
      <c r="K420" s="9">
        <f>IFERROR(VLOOKUP(B420,cubo!$A$6:$BE$37,34,0)-VLOOKUP(B420,#REF!,$K$2,0),0)</f>
        <v>0</v>
      </c>
      <c r="L420" s="8">
        <f>IFERROR(VLOOKUP(B420,cubo!$A$6:$BE$37,38,0)-VLOOKUP(B420,#REF!,$L$2,0),0)</f>
        <v>0</v>
      </c>
      <c r="M420" s="15">
        <f>IFERROR(VLOOKUP(B420,cubo!$A$6:$BE$37,57,0)-VLOOKUP(B420,#REF!,$M$2,0),0)</f>
        <v>0</v>
      </c>
      <c r="N420" s="9">
        <f>IFERROR(VLOOKUP(B420,cubo!$A$6:$BK$37,41,0)-VLOOKUP(conciliacao_custos!B420,#REF!,18,0),0)</f>
        <v>0</v>
      </c>
      <c r="O420" s="9">
        <f>IFERROR(VLOOKUP(B420,cubo!$A$6:$BK$37,44,0)-VLOOKUP(conciliacao_custos!B420,#REF!,13,0),0)</f>
        <v>0</v>
      </c>
      <c r="P420" s="9">
        <f>IFERROR(VLOOKUP(B420,cubo!$A$6:$BK$37,47,0)-VLOOKUP(conciliacao_custos!B420,#REF!,14,0),0)</f>
        <v>0</v>
      </c>
      <c r="Q420" s="9">
        <f>IFERROR(VLOOKUP(B420,cubo!$A$6:$BK$37,58,0)-VLOOKUP(conciliacao_custos!B420,#REF!,16,0),0)</f>
        <v>0</v>
      </c>
      <c r="R420" s="9">
        <f>IFERROR(VLOOKUP(B420,cubo!$A$6:$BK$37,64,0)-VLOOKUP(conciliacao_custos!B420,#REF!,17,0),0)</f>
        <v>0</v>
      </c>
      <c r="S420" s="9">
        <f>IFERROR(VLOOKUP(B420,cubo!$A$6:$BK$37,61,0)-VLOOKUP(conciliacao_custos!B420,#REF!,15,0),0)</f>
        <v>0</v>
      </c>
    </row>
    <row r="421" spans="2:19" x14ac:dyDescent="0.25">
      <c r="B421" s="7">
        <f>[1]salario!A420</f>
        <v>0</v>
      </c>
      <c r="C421" s="8">
        <f>[1]salario!C420</f>
        <v>0</v>
      </c>
      <c r="D421" s="10">
        <f>IFERROR(VLOOKUP(B421,cubo!$A$6:$BE$37,6,0)-VLOOKUP(B421,#REF!,$D$2,0),0)</f>
        <v>0</v>
      </c>
      <c r="E421" s="10">
        <f>IFERROR(VLOOKUP(B421,cubo!$A$6:$BE$37,9,0)-VLOOKUP(B421,#REF!,$E$2,0),0)</f>
        <v>0</v>
      </c>
      <c r="F421" s="9">
        <f>IFERROR(VLOOKUP(B421,cubo!$A$6:$BE$37,12,0)-VLOOKUP(B421,#REF!,$F$2,0),0)</f>
        <v>0</v>
      </c>
      <c r="G421" s="9">
        <f>IFERROR(VLOOKUP(B421,cubo!$A$6:$BE$37,54,0)-VLOOKUP(B421,#REF!,$G$2,0),0)</f>
        <v>0</v>
      </c>
      <c r="H421" s="10">
        <f>IFERROR(VLOOKUP(B421,cubo!$A$6:$BE$37,15,0)-VLOOKUP(B421,#REF!,$H$2,0),0)</f>
        <v>0</v>
      </c>
      <c r="I421" s="9">
        <f>IFERROR(VLOOKUP(B421,cubo!$A$6:$BE$37,18,0)-VLOOKUP(B421,#REF!,$I$2,0),0)</f>
        <v>0</v>
      </c>
      <c r="J421" s="9">
        <f>IFERROR(VLOOKUP(B421,cubo!$A$6:$BE$37,24,0)-VLOOKUP(B421,#REF!,$J$2,0),0)</f>
        <v>0</v>
      </c>
      <c r="K421" s="9">
        <f>IFERROR(VLOOKUP(B421,cubo!$A$6:$BE$37,34,0)-VLOOKUP(B421,#REF!,$K$2,0),0)</f>
        <v>0</v>
      </c>
      <c r="L421" s="8">
        <f>IFERROR(VLOOKUP(B421,cubo!$A$6:$BE$37,38,0)-VLOOKUP(B421,#REF!,$L$2,0),0)</f>
        <v>0</v>
      </c>
      <c r="M421" s="15">
        <f>IFERROR(VLOOKUP(B421,cubo!$A$6:$BE$37,57,0)-VLOOKUP(B421,#REF!,$M$2,0),0)</f>
        <v>0</v>
      </c>
      <c r="N421" s="9">
        <f>IFERROR(VLOOKUP(B421,cubo!$A$6:$BK$37,41,0)-VLOOKUP(conciliacao_custos!B421,#REF!,18,0),0)</f>
        <v>0</v>
      </c>
      <c r="O421" s="9">
        <f>IFERROR(VLOOKUP(B421,cubo!$A$6:$BK$37,44,0)-VLOOKUP(conciliacao_custos!B421,#REF!,13,0),0)</f>
        <v>0</v>
      </c>
      <c r="P421" s="9">
        <f>IFERROR(VLOOKUP(B421,cubo!$A$6:$BK$37,47,0)-VLOOKUP(conciliacao_custos!B421,#REF!,14,0),0)</f>
        <v>0</v>
      </c>
      <c r="Q421" s="9">
        <f>IFERROR(VLOOKUP(B421,cubo!$A$6:$BK$37,58,0)-VLOOKUP(conciliacao_custos!B421,#REF!,16,0),0)</f>
        <v>0</v>
      </c>
      <c r="R421" s="9">
        <f>IFERROR(VLOOKUP(B421,cubo!$A$6:$BK$37,64,0)-VLOOKUP(conciliacao_custos!B421,#REF!,17,0),0)</f>
        <v>0</v>
      </c>
      <c r="S421" s="9">
        <f>IFERROR(VLOOKUP(B421,cubo!$A$6:$BK$37,61,0)-VLOOKUP(conciliacao_custos!B421,#REF!,15,0),0)</f>
        <v>0</v>
      </c>
    </row>
    <row r="422" spans="2:19" x14ac:dyDescent="0.25">
      <c r="B422" s="7">
        <f>[1]salario!A421</f>
        <v>0</v>
      </c>
      <c r="C422" s="8">
        <f>[1]salario!C421</f>
        <v>0</v>
      </c>
      <c r="D422" s="10">
        <f>IFERROR(VLOOKUP(B422,cubo!$A$6:$BE$37,6,0)-VLOOKUP(B422,#REF!,$D$2,0),0)</f>
        <v>0</v>
      </c>
      <c r="E422" s="10">
        <f>IFERROR(VLOOKUP(B422,cubo!$A$6:$BE$37,9,0)-VLOOKUP(B422,#REF!,$E$2,0),0)</f>
        <v>0</v>
      </c>
      <c r="F422" s="9">
        <f>IFERROR(VLOOKUP(B422,cubo!$A$6:$BE$37,12,0)-VLOOKUP(B422,#REF!,$F$2,0),0)</f>
        <v>0</v>
      </c>
      <c r="G422" s="9">
        <f>IFERROR(VLOOKUP(B422,cubo!$A$6:$BE$37,54,0)-VLOOKUP(B422,#REF!,$G$2,0),0)</f>
        <v>0</v>
      </c>
      <c r="H422" s="10">
        <f>IFERROR(VLOOKUP(B422,cubo!$A$6:$BE$37,15,0)-VLOOKUP(B422,#REF!,$H$2,0),0)</f>
        <v>0</v>
      </c>
      <c r="I422" s="9">
        <f>IFERROR(VLOOKUP(B422,cubo!$A$6:$BE$37,18,0)-VLOOKUP(B422,#REF!,$I$2,0),0)</f>
        <v>0</v>
      </c>
      <c r="J422" s="9">
        <f>IFERROR(VLOOKUP(B422,cubo!$A$6:$BE$37,24,0)-VLOOKUP(B422,#REF!,$J$2,0),0)</f>
        <v>0</v>
      </c>
      <c r="K422" s="9">
        <f>IFERROR(VLOOKUP(B422,cubo!$A$6:$BE$37,34,0)-VLOOKUP(B422,#REF!,$K$2,0),0)</f>
        <v>0</v>
      </c>
      <c r="L422" s="8">
        <f>IFERROR(VLOOKUP(B422,cubo!$A$6:$BE$37,38,0)-VLOOKUP(B422,#REF!,$L$2,0),0)</f>
        <v>0</v>
      </c>
      <c r="M422" s="15">
        <f>IFERROR(VLOOKUP(B422,cubo!$A$6:$BE$37,57,0)-VLOOKUP(B422,#REF!,$M$2,0),0)</f>
        <v>0</v>
      </c>
      <c r="N422" s="9">
        <f>IFERROR(VLOOKUP(B422,cubo!$A$6:$BK$37,41,0)-VLOOKUP(conciliacao_custos!B422,#REF!,18,0),0)</f>
        <v>0</v>
      </c>
      <c r="O422" s="9">
        <f>IFERROR(VLOOKUP(B422,cubo!$A$6:$BK$37,44,0)-VLOOKUP(conciliacao_custos!B422,#REF!,13,0),0)</f>
        <v>0</v>
      </c>
      <c r="P422" s="9">
        <f>IFERROR(VLOOKUP(B422,cubo!$A$6:$BK$37,47,0)-VLOOKUP(conciliacao_custos!B422,#REF!,14,0),0)</f>
        <v>0</v>
      </c>
      <c r="Q422" s="9">
        <f>IFERROR(VLOOKUP(B422,cubo!$A$6:$BK$37,58,0)-VLOOKUP(conciliacao_custos!B422,#REF!,16,0),0)</f>
        <v>0</v>
      </c>
      <c r="R422" s="9">
        <f>IFERROR(VLOOKUP(B422,cubo!$A$6:$BK$37,64,0)-VLOOKUP(conciliacao_custos!B422,#REF!,17,0),0)</f>
        <v>0</v>
      </c>
      <c r="S422" s="9">
        <f>IFERROR(VLOOKUP(B422,cubo!$A$6:$BK$37,61,0)-VLOOKUP(conciliacao_custos!B422,#REF!,15,0),0)</f>
        <v>0</v>
      </c>
    </row>
    <row r="423" spans="2:19" x14ac:dyDescent="0.25">
      <c r="B423" s="7">
        <f>[1]salario!A422</f>
        <v>0</v>
      </c>
      <c r="C423" s="8">
        <f>[1]salario!C422</f>
        <v>0</v>
      </c>
      <c r="D423" s="10">
        <f>IFERROR(VLOOKUP(B423,cubo!$A$6:$BE$37,6,0)-VLOOKUP(B423,#REF!,$D$2,0),0)</f>
        <v>0</v>
      </c>
      <c r="E423" s="10">
        <f>IFERROR(VLOOKUP(B423,cubo!$A$6:$BE$37,9,0)-VLOOKUP(B423,#REF!,$E$2,0),0)</f>
        <v>0</v>
      </c>
      <c r="F423" s="9">
        <f>IFERROR(VLOOKUP(B423,cubo!$A$6:$BE$37,12,0)-VLOOKUP(B423,#REF!,$F$2,0),0)</f>
        <v>0</v>
      </c>
      <c r="G423" s="9">
        <f>IFERROR(VLOOKUP(B423,cubo!$A$6:$BE$37,54,0)-VLOOKUP(B423,#REF!,$G$2,0),0)</f>
        <v>0</v>
      </c>
      <c r="H423" s="10">
        <f>IFERROR(VLOOKUP(B423,cubo!$A$6:$BE$37,15,0)-VLOOKUP(B423,#REF!,$H$2,0),0)</f>
        <v>0</v>
      </c>
      <c r="I423" s="9">
        <f>IFERROR(VLOOKUP(B423,cubo!$A$6:$BE$37,18,0)-VLOOKUP(B423,#REF!,$I$2,0),0)</f>
        <v>0</v>
      </c>
      <c r="J423" s="9">
        <f>IFERROR(VLOOKUP(B423,cubo!$A$6:$BE$37,24,0)-VLOOKUP(B423,#REF!,$J$2,0),0)</f>
        <v>0</v>
      </c>
      <c r="K423" s="9">
        <f>IFERROR(VLOOKUP(B423,cubo!$A$6:$BE$37,34,0)-VLOOKUP(B423,#REF!,$K$2,0),0)</f>
        <v>0</v>
      </c>
      <c r="L423" s="8">
        <f>IFERROR(VLOOKUP(B423,cubo!$A$6:$BE$37,38,0)-VLOOKUP(B423,#REF!,$L$2,0),0)</f>
        <v>0</v>
      </c>
      <c r="M423" s="15">
        <f>IFERROR(VLOOKUP(B423,cubo!$A$6:$BE$37,57,0)-VLOOKUP(B423,#REF!,$M$2,0),0)</f>
        <v>0</v>
      </c>
      <c r="N423" s="9">
        <f>IFERROR(VLOOKUP(B423,cubo!$A$6:$BK$37,41,0)-VLOOKUP(conciliacao_custos!B423,#REF!,18,0),0)</f>
        <v>0</v>
      </c>
      <c r="O423" s="9">
        <f>IFERROR(VLOOKUP(B423,cubo!$A$6:$BK$37,44,0)-VLOOKUP(conciliacao_custos!B423,#REF!,13,0),0)</f>
        <v>0</v>
      </c>
      <c r="P423" s="9">
        <f>IFERROR(VLOOKUP(B423,cubo!$A$6:$BK$37,47,0)-VLOOKUP(conciliacao_custos!B423,#REF!,14,0),0)</f>
        <v>0</v>
      </c>
      <c r="Q423" s="9">
        <f>IFERROR(VLOOKUP(B423,cubo!$A$6:$BK$37,58,0)-VLOOKUP(conciliacao_custos!B423,#REF!,16,0),0)</f>
        <v>0</v>
      </c>
      <c r="R423" s="9">
        <f>IFERROR(VLOOKUP(B423,cubo!$A$6:$BK$37,64,0)-VLOOKUP(conciliacao_custos!B423,#REF!,17,0),0)</f>
        <v>0</v>
      </c>
      <c r="S423" s="9">
        <f>IFERROR(VLOOKUP(B423,cubo!$A$6:$BK$37,61,0)-VLOOKUP(conciliacao_custos!B423,#REF!,15,0),0)</f>
        <v>0</v>
      </c>
    </row>
    <row r="424" spans="2:19" x14ac:dyDescent="0.25">
      <c r="B424" s="7">
        <f>[1]salario!A423</f>
        <v>0</v>
      </c>
      <c r="C424" s="8">
        <f>[1]salario!C423</f>
        <v>0</v>
      </c>
      <c r="D424" s="10">
        <f>IFERROR(VLOOKUP(B424,cubo!$A$6:$BE$37,6,0)-VLOOKUP(B424,#REF!,$D$2,0),0)</f>
        <v>0</v>
      </c>
      <c r="E424" s="10">
        <f>IFERROR(VLOOKUP(B424,cubo!$A$6:$BE$37,9,0)-VLOOKUP(B424,#REF!,$E$2,0),0)</f>
        <v>0</v>
      </c>
      <c r="F424" s="9">
        <f>IFERROR(VLOOKUP(B424,cubo!$A$6:$BE$37,12,0)-VLOOKUP(B424,#REF!,$F$2,0),0)</f>
        <v>0</v>
      </c>
      <c r="G424" s="9">
        <f>IFERROR(VLOOKUP(B424,cubo!$A$6:$BE$37,54,0)-VLOOKUP(B424,#REF!,$G$2,0),0)</f>
        <v>0</v>
      </c>
      <c r="H424" s="10">
        <f>IFERROR(VLOOKUP(B424,cubo!$A$6:$BE$37,15,0)-VLOOKUP(B424,#REF!,$H$2,0),0)</f>
        <v>0</v>
      </c>
      <c r="I424" s="9">
        <f>IFERROR(VLOOKUP(B424,cubo!$A$6:$BE$37,18,0)-VLOOKUP(B424,#REF!,$I$2,0),0)</f>
        <v>0</v>
      </c>
      <c r="J424" s="9">
        <f>IFERROR(VLOOKUP(B424,cubo!$A$6:$BE$37,24,0)-VLOOKUP(B424,#REF!,$J$2,0),0)</f>
        <v>0</v>
      </c>
      <c r="K424" s="9">
        <f>IFERROR(VLOOKUP(B424,cubo!$A$6:$BE$37,34,0)-VLOOKUP(B424,#REF!,$K$2,0),0)</f>
        <v>0</v>
      </c>
      <c r="L424" s="8">
        <f>IFERROR(VLOOKUP(B424,cubo!$A$6:$BE$37,38,0)-VLOOKUP(B424,#REF!,$L$2,0),0)</f>
        <v>0</v>
      </c>
      <c r="M424" s="15">
        <f>IFERROR(VLOOKUP(B424,cubo!$A$6:$BE$37,57,0)-VLOOKUP(B424,#REF!,$M$2,0),0)</f>
        <v>0</v>
      </c>
      <c r="N424" s="9">
        <f>IFERROR(VLOOKUP(B424,cubo!$A$6:$BK$37,41,0)-VLOOKUP(conciliacao_custos!B424,#REF!,18,0),0)</f>
        <v>0</v>
      </c>
      <c r="O424" s="9">
        <f>IFERROR(VLOOKUP(B424,cubo!$A$6:$BK$37,44,0)-VLOOKUP(conciliacao_custos!B424,#REF!,13,0),0)</f>
        <v>0</v>
      </c>
      <c r="P424" s="9">
        <f>IFERROR(VLOOKUP(B424,cubo!$A$6:$BK$37,47,0)-VLOOKUP(conciliacao_custos!B424,#REF!,14,0),0)</f>
        <v>0</v>
      </c>
      <c r="Q424" s="9">
        <f>IFERROR(VLOOKUP(B424,cubo!$A$6:$BK$37,58,0)-VLOOKUP(conciliacao_custos!B424,#REF!,16,0),0)</f>
        <v>0</v>
      </c>
      <c r="R424" s="9">
        <f>IFERROR(VLOOKUP(B424,cubo!$A$6:$BK$37,64,0)-VLOOKUP(conciliacao_custos!B424,#REF!,17,0),0)</f>
        <v>0</v>
      </c>
      <c r="S424" s="9">
        <f>IFERROR(VLOOKUP(B424,cubo!$A$6:$BK$37,61,0)-VLOOKUP(conciliacao_custos!B424,#REF!,15,0),0)</f>
        <v>0</v>
      </c>
    </row>
    <row r="425" spans="2:19" x14ac:dyDescent="0.25">
      <c r="B425" s="7">
        <f>[1]salario!A424</f>
        <v>0</v>
      </c>
      <c r="C425" s="8">
        <f>[1]salario!C424</f>
        <v>0</v>
      </c>
      <c r="D425" s="10">
        <f>IFERROR(VLOOKUP(B425,cubo!$A$6:$BE$37,6,0)-VLOOKUP(B425,#REF!,$D$2,0),0)</f>
        <v>0</v>
      </c>
      <c r="E425" s="10">
        <f>IFERROR(VLOOKUP(B425,cubo!$A$6:$BE$37,9,0)-VLOOKUP(B425,#REF!,$E$2,0),0)</f>
        <v>0</v>
      </c>
      <c r="F425" s="9">
        <f>IFERROR(VLOOKUP(B425,cubo!$A$6:$BE$37,12,0)-VLOOKUP(B425,#REF!,$F$2,0),0)</f>
        <v>0</v>
      </c>
      <c r="G425" s="9">
        <f>IFERROR(VLOOKUP(B425,cubo!$A$6:$BE$37,54,0)-VLOOKUP(B425,#REF!,$G$2,0),0)</f>
        <v>0</v>
      </c>
      <c r="H425" s="10">
        <f>IFERROR(VLOOKUP(B425,cubo!$A$6:$BE$37,15,0)-VLOOKUP(B425,#REF!,$H$2,0),0)</f>
        <v>0</v>
      </c>
      <c r="I425" s="9">
        <f>IFERROR(VLOOKUP(B425,cubo!$A$6:$BE$37,18,0)-VLOOKUP(B425,#REF!,$I$2,0),0)</f>
        <v>0</v>
      </c>
      <c r="J425" s="9">
        <f>IFERROR(VLOOKUP(B425,cubo!$A$6:$BE$37,24,0)-VLOOKUP(B425,#REF!,$J$2,0),0)</f>
        <v>0</v>
      </c>
      <c r="K425" s="9">
        <f>IFERROR(VLOOKUP(B425,cubo!$A$6:$BE$37,34,0)-VLOOKUP(B425,#REF!,$K$2,0),0)</f>
        <v>0</v>
      </c>
      <c r="L425" s="8">
        <f>IFERROR(VLOOKUP(B425,cubo!$A$6:$BE$37,38,0)-VLOOKUP(B425,#REF!,$L$2,0),0)</f>
        <v>0</v>
      </c>
      <c r="M425" s="15">
        <f>IFERROR(VLOOKUP(B425,cubo!$A$6:$BE$37,57,0)-VLOOKUP(B425,#REF!,$M$2,0),0)</f>
        <v>0</v>
      </c>
      <c r="N425" s="9">
        <f>IFERROR(VLOOKUP(B425,cubo!$A$6:$BK$37,41,0)-VLOOKUP(conciliacao_custos!B425,#REF!,18,0),0)</f>
        <v>0</v>
      </c>
      <c r="O425" s="9">
        <f>IFERROR(VLOOKUP(B425,cubo!$A$6:$BK$37,44,0)-VLOOKUP(conciliacao_custos!B425,#REF!,13,0),0)</f>
        <v>0</v>
      </c>
      <c r="P425" s="9">
        <f>IFERROR(VLOOKUP(B425,cubo!$A$6:$BK$37,47,0)-VLOOKUP(conciliacao_custos!B425,#REF!,14,0),0)</f>
        <v>0</v>
      </c>
      <c r="Q425" s="9">
        <f>IFERROR(VLOOKUP(B425,cubo!$A$6:$BK$37,58,0)-VLOOKUP(conciliacao_custos!B425,#REF!,16,0),0)</f>
        <v>0</v>
      </c>
      <c r="R425" s="9">
        <f>IFERROR(VLOOKUP(B425,cubo!$A$6:$BK$37,64,0)-VLOOKUP(conciliacao_custos!B425,#REF!,17,0),0)</f>
        <v>0</v>
      </c>
      <c r="S425" s="9">
        <f>IFERROR(VLOOKUP(B425,cubo!$A$6:$BK$37,61,0)-VLOOKUP(conciliacao_custos!B425,#REF!,15,0),0)</f>
        <v>0</v>
      </c>
    </row>
    <row r="426" spans="2:19" x14ac:dyDescent="0.25">
      <c r="B426" s="7">
        <f>[1]salario!A425</f>
        <v>0</v>
      </c>
      <c r="C426" s="8">
        <f>[1]salario!C425</f>
        <v>0</v>
      </c>
      <c r="D426" s="10">
        <f>IFERROR(VLOOKUP(B426,cubo!$A$6:$BE$37,6,0)-VLOOKUP(B426,#REF!,$D$2,0),0)</f>
        <v>0</v>
      </c>
      <c r="E426" s="10">
        <f>IFERROR(VLOOKUP(B426,cubo!$A$6:$BE$37,9,0)-VLOOKUP(B426,#REF!,$E$2,0),0)</f>
        <v>0</v>
      </c>
      <c r="F426" s="9">
        <f>IFERROR(VLOOKUP(B426,cubo!$A$6:$BE$37,12,0)-VLOOKUP(B426,#REF!,$F$2,0),0)</f>
        <v>0</v>
      </c>
      <c r="G426" s="9">
        <f>IFERROR(VLOOKUP(B426,cubo!$A$6:$BE$37,54,0)-VLOOKUP(B426,#REF!,$G$2,0),0)</f>
        <v>0</v>
      </c>
      <c r="H426" s="10">
        <f>IFERROR(VLOOKUP(B426,cubo!$A$6:$BE$37,15,0)-VLOOKUP(B426,#REF!,$H$2,0),0)</f>
        <v>0</v>
      </c>
      <c r="I426" s="9">
        <f>IFERROR(VLOOKUP(B426,cubo!$A$6:$BE$37,18,0)-VLOOKUP(B426,#REF!,$I$2,0),0)</f>
        <v>0</v>
      </c>
      <c r="J426" s="9">
        <f>IFERROR(VLOOKUP(B426,cubo!$A$6:$BE$37,24,0)-VLOOKUP(B426,#REF!,$J$2,0),0)</f>
        <v>0</v>
      </c>
      <c r="K426" s="9">
        <f>IFERROR(VLOOKUP(B426,cubo!$A$6:$BE$37,34,0)-VLOOKUP(B426,#REF!,$K$2,0),0)</f>
        <v>0</v>
      </c>
      <c r="L426" s="8">
        <f>IFERROR(VLOOKUP(B426,cubo!$A$6:$BE$37,38,0)-VLOOKUP(B426,#REF!,$L$2,0),0)</f>
        <v>0</v>
      </c>
      <c r="M426" s="15">
        <f>IFERROR(VLOOKUP(B426,cubo!$A$6:$BE$37,57,0)-VLOOKUP(B426,#REF!,$M$2,0),0)</f>
        <v>0</v>
      </c>
      <c r="N426" s="9">
        <f>IFERROR(VLOOKUP(B426,cubo!$A$6:$BK$37,41,0)-VLOOKUP(conciliacao_custos!B426,#REF!,18,0),0)</f>
        <v>0</v>
      </c>
      <c r="O426" s="9">
        <f>IFERROR(VLOOKUP(B426,cubo!$A$6:$BK$37,44,0)-VLOOKUP(conciliacao_custos!B426,#REF!,13,0),0)</f>
        <v>0</v>
      </c>
      <c r="P426" s="9">
        <f>IFERROR(VLOOKUP(B426,cubo!$A$6:$BK$37,47,0)-VLOOKUP(conciliacao_custos!B426,#REF!,14,0),0)</f>
        <v>0</v>
      </c>
      <c r="Q426" s="9">
        <f>IFERROR(VLOOKUP(B426,cubo!$A$6:$BK$37,58,0)-VLOOKUP(conciliacao_custos!B426,#REF!,16,0),0)</f>
        <v>0</v>
      </c>
      <c r="R426" s="9">
        <f>IFERROR(VLOOKUP(B426,cubo!$A$6:$BK$37,64,0)-VLOOKUP(conciliacao_custos!B426,#REF!,17,0),0)</f>
        <v>0</v>
      </c>
      <c r="S426" s="9">
        <f>IFERROR(VLOOKUP(B426,cubo!$A$6:$BK$37,61,0)-VLOOKUP(conciliacao_custos!B426,#REF!,15,0),0)</f>
        <v>0</v>
      </c>
    </row>
    <row r="427" spans="2:19" x14ac:dyDescent="0.25">
      <c r="B427" s="7">
        <f>[1]salario!A426</f>
        <v>0</v>
      </c>
      <c r="C427" s="8">
        <f>[1]salario!C426</f>
        <v>0</v>
      </c>
      <c r="D427" s="10">
        <f>IFERROR(VLOOKUP(B427,cubo!$A$6:$BE$37,6,0)-VLOOKUP(B427,#REF!,$D$2,0),0)</f>
        <v>0</v>
      </c>
      <c r="E427" s="10">
        <f>IFERROR(VLOOKUP(B427,cubo!$A$6:$BE$37,9,0)-VLOOKUP(B427,#REF!,$E$2,0),0)</f>
        <v>0</v>
      </c>
      <c r="F427" s="9">
        <f>IFERROR(VLOOKUP(B427,cubo!$A$6:$BE$37,12,0)-VLOOKUP(B427,#REF!,$F$2,0),0)</f>
        <v>0</v>
      </c>
      <c r="G427" s="9">
        <f>IFERROR(VLOOKUP(B427,cubo!$A$6:$BE$37,54,0)-VLOOKUP(B427,#REF!,$G$2,0),0)</f>
        <v>0</v>
      </c>
      <c r="H427" s="10">
        <f>IFERROR(VLOOKUP(B427,cubo!$A$6:$BE$37,15,0)-VLOOKUP(B427,#REF!,$H$2,0),0)</f>
        <v>0</v>
      </c>
      <c r="I427" s="9">
        <f>IFERROR(VLOOKUP(B427,cubo!$A$6:$BE$37,18,0)-VLOOKUP(B427,#REF!,$I$2,0),0)</f>
        <v>0</v>
      </c>
      <c r="J427" s="9">
        <f>IFERROR(VLOOKUP(B427,cubo!$A$6:$BE$37,24,0)-VLOOKUP(B427,#REF!,$J$2,0),0)</f>
        <v>0</v>
      </c>
      <c r="K427" s="9">
        <f>IFERROR(VLOOKUP(B427,cubo!$A$6:$BE$37,34,0)-VLOOKUP(B427,#REF!,$K$2,0),0)</f>
        <v>0</v>
      </c>
      <c r="L427" s="8">
        <f>IFERROR(VLOOKUP(B427,cubo!$A$6:$BE$37,38,0)-VLOOKUP(B427,#REF!,$L$2,0),0)</f>
        <v>0</v>
      </c>
      <c r="M427" s="15">
        <f>IFERROR(VLOOKUP(B427,cubo!$A$6:$BE$37,57,0)-VLOOKUP(B427,#REF!,$M$2,0),0)</f>
        <v>0</v>
      </c>
      <c r="N427" s="9">
        <f>IFERROR(VLOOKUP(B427,cubo!$A$6:$BK$37,41,0)-VLOOKUP(conciliacao_custos!B427,#REF!,18,0),0)</f>
        <v>0</v>
      </c>
      <c r="O427" s="9">
        <f>IFERROR(VLOOKUP(B427,cubo!$A$6:$BK$37,44,0)-VLOOKUP(conciliacao_custos!B427,#REF!,13,0),0)</f>
        <v>0</v>
      </c>
      <c r="P427" s="9">
        <f>IFERROR(VLOOKUP(B427,cubo!$A$6:$BK$37,47,0)-VLOOKUP(conciliacao_custos!B427,#REF!,14,0),0)</f>
        <v>0</v>
      </c>
      <c r="Q427" s="9">
        <f>IFERROR(VLOOKUP(B427,cubo!$A$6:$BK$37,58,0)-VLOOKUP(conciliacao_custos!B427,#REF!,16,0),0)</f>
        <v>0</v>
      </c>
      <c r="R427" s="9">
        <f>IFERROR(VLOOKUP(B427,cubo!$A$6:$BK$37,64,0)-VLOOKUP(conciliacao_custos!B427,#REF!,17,0),0)</f>
        <v>0</v>
      </c>
      <c r="S427" s="9">
        <f>IFERROR(VLOOKUP(B427,cubo!$A$6:$BK$37,61,0)-VLOOKUP(conciliacao_custos!B427,#REF!,15,0),0)</f>
        <v>0</v>
      </c>
    </row>
    <row r="428" spans="2:19" x14ac:dyDescent="0.25">
      <c r="B428" s="7">
        <f>[1]salario!A427</f>
        <v>0</v>
      </c>
      <c r="C428" s="8">
        <f>[1]salario!C427</f>
        <v>0</v>
      </c>
      <c r="D428" s="10">
        <f>IFERROR(VLOOKUP(B428,cubo!$A$6:$BE$37,6,0)-VLOOKUP(B428,#REF!,$D$2,0),0)</f>
        <v>0</v>
      </c>
      <c r="E428" s="10">
        <f>IFERROR(VLOOKUP(B428,cubo!$A$6:$BE$37,9,0)-VLOOKUP(B428,#REF!,$E$2,0),0)</f>
        <v>0</v>
      </c>
      <c r="F428" s="9">
        <f>IFERROR(VLOOKUP(B428,cubo!$A$6:$BE$37,12,0)-VLOOKUP(B428,#REF!,$F$2,0),0)</f>
        <v>0</v>
      </c>
      <c r="G428" s="9">
        <f>IFERROR(VLOOKUP(B428,cubo!$A$6:$BE$37,54,0)-VLOOKUP(B428,#REF!,$G$2,0),0)</f>
        <v>0</v>
      </c>
      <c r="H428" s="10">
        <f>IFERROR(VLOOKUP(B428,cubo!$A$6:$BE$37,15,0)-VLOOKUP(B428,#REF!,$H$2,0),0)</f>
        <v>0</v>
      </c>
      <c r="I428" s="9">
        <f>IFERROR(VLOOKUP(B428,cubo!$A$6:$BE$37,18,0)-VLOOKUP(B428,#REF!,$I$2,0),0)</f>
        <v>0</v>
      </c>
      <c r="J428" s="9">
        <f>IFERROR(VLOOKUP(B428,cubo!$A$6:$BE$37,24,0)-VLOOKUP(B428,#REF!,$J$2,0),0)</f>
        <v>0</v>
      </c>
      <c r="K428" s="9">
        <f>IFERROR(VLOOKUP(B428,cubo!$A$6:$BE$37,34,0)-VLOOKUP(B428,#REF!,$K$2,0),0)</f>
        <v>0</v>
      </c>
      <c r="L428" s="8">
        <f>IFERROR(VLOOKUP(B428,cubo!$A$6:$BE$37,38,0)-VLOOKUP(B428,#REF!,$L$2,0),0)</f>
        <v>0</v>
      </c>
      <c r="M428" s="15">
        <f>IFERROR(VLOOKUP(B428,cubo!$A$6:$BE$37,57,0)-VLOOKUP(B428,#REF!,$M$2,0),0)</f>
        <v>0</v>
      </c>
      <c r="N428" s="9">
        <f>IFERROR(VLOOKUP(B428,cubo!$A$6:$BK$37,41,0)-VLOOKUP(conciliacao_custos!B428,#REF!,18,0),0)</f>
        <v>0</v>
      </c>
      <c r="O428" s="9">
        <f>IFERROR(VLOOKUP(B428,cubo!$A$6:$BK$37,44,0)-VLOOKUP(conciliacao_custos!B428,#REF!,13,0),0)</f>
        <v>0</v>
      </c>
      <c r="P428" s="9">
        <f>IFERROR(VLOOKUP(B428,cubo!$A$6:$BK$37,47,0)-VLOOKUP(conciliacao_custos!B428,#REF!,14,0),0)</f>
        <v>0</v>
      </c>
      <c r="Q428" s="9">
        <f>IFERROR(VLOOKUP(B428,cubo!$A$6:$BK$37,58,0)-VLOOKUP(conciliacao_custos!B428,#REF!,16,0),0)</f>
        <v>0</v>
      </c>
      <c r="R428" s="9">
        <f>IFERROR(VLOOKUP(B428,cubo!$A$6:$BK$37,64,0)-VLOOKUP(conciliacao_custos!B428,#REF!,17,0),0)</f>
        <v>0</v>
      </c>
      <c r="S428" s="9">
        <f>IFERROR(VLOOKUP(B428,cubo!$A$6:$BK$37,61,0)-VLOOKUP(conciliacao_custos!B428,#REF!,15,0),0)</f>
        <v>0</v>
      </c>
    </row>
    <row r="429" spans="2:19" x14ac:dyDescent="0.25">
      <c r="B429" s="7">
        <f>[1]salario!A428</f>
        <v>0</v>
      </c>
      <c r="C429" s="8">
        <f>[1]salario!C428</f>
        <v>0</v>
      </c>
      <c r="D429" s="10">
        <f>IFERROR(VLOOKUP(B429,cubo!$A$6:$BE$37,6,0)-VLOOKUP(B429,#REF!,$D$2,0),0)</f>
        <v>0</v>
      </c>
      <c r="E429" s="10">
        <f>IFERROR(VLOOKUP(B429,cubo!$A$6:$BE$37,9,0)-VLOOKUP(B429,#REF!,$E$2,0),0)</f>
        <v>0</v>
      </c>
      <c r="F429" s="9">
        <f>IFERROR(VLOOKUP(B429,cubo!$A$6:$BE$37,12,0)-VLOOKUP(B429,#REF!,$F$2,0),0)</f>
        <v>0</v>
      </c>
      <c r="G429" s="9">
        <f>IFERROR(VLOOKUP(B429,cubo!$A$6:$BE$37,54,0)-VLOOKUP(B429,#REF!,$G$2,0),0)</f>
        <v>0</v>
      </c>
      <c r="H429" s="10">
        <f>IFERROR(VLOOKUP(B429,cubo!$A$6:$BE$37,15,0)-VLOOKUP(B429,#REF!,$H$2,0),0)</f>
        <v>0</v>
      </c>
      <c r="I429" s="9">
        <f>IFERROR(VLOOKUP(B429,cubo!$A$6:$BE$37,18,0)-VLOOKUP(B429,#REF!,$I$2,0),0)</f>
        <v>0</v>
      </c>
      <c r="J429" s="9">
        <f>IFERROR(VLOOKUP(B429,cubo!$A$6:$BE$37,24,0)-VLOOKUP(B429,#REF!,$J$2,0),0)</f>
        <v>0</v>
      </c>
      <c r="K429" s="9">
        <f>IFERROR(VLOOKUP(B429,cubo!$A$6:$BE$37,34,0)-VLOOKUP(B429,#REF!,$K$2,0),0)</f>
        <v>0</v>
      </c>
      <c r="L429" s="8">
        <f>IFERROR(VLOOKUP(B429,cubo!$A$6:$BE$37,38,0)-VLOOKUP(B429,#REF!,$L$2,0),0)</f>
        <v>0</v>
      </c>
      <c r="M429" s="15">
        <f>IFERROR(VLOOKUP(B429,cubo!$A$6:$BE$37,57,0)-VLOOKUP(B429,#REF!,$M$2,0),0)</f>
        <v>0</v>
      </c>
      <c r="N429" s="9">
        <f>IFERROR(VLOOKUP(B429,cubo!$A$6:$BK$37,41,0)-VLOOKUP(conciliacao_custos!B429,#REF!,18,0),0)</f>
        <v>0</v>
      </c>
      <c r="O429" s="9">
        <f>IFERROR(VLOOKUP(B429,cubo!$A$6:$BK$37,44,0)-VLOOKUP(conciliacao_custos!B429,#REF!,13,0),0)</f>
        <v>0</v>
      </c>
      <c r="P429" s="9">
        <f>IFERROR(VLOOKUP(B429,cubo!$A$6:$BK$37,47,0)-VLOOKUP(conciliacao_custos!B429,#REF!,14,0),0)</f>
        <v>0</v>
      </c>
      <c r="Q429" s="9">
        <f>IFERROR(VLOOKUP(B429,cubo!$A$6:$BK$37,58,0)-VLOOKUP(conciliacao_custos!B429,#REF!,16,0),0)</f>
        <v>0</v>
      </c>
      <c r="R429" s="9">
        <f>IFERROR(VLOOKUP(B429,cubo!$A$6:$BK$37,64,0)-VLOOKUP(conciliacao_custos!B429,#REF!,17,0),0)</f>
        <v>0</v>
      </c>
      <c r="S429" s="9">
        <f>IFERROR(VLOOKUP(B429,cubo!$A$6:$BK$37,61,0)-VLOOKUP(conciliacao_custos!B429,#REF!,15,0),0)</f>
        <v>0</v>
      </c>
    </row>
    <row r="430" spans="2:19" x14ac:dyDescent="0.25">
      <c r="B430" s="7">
        <f>[1]salario!A429</f>
        <v>0</v>
      </c>
      <c r="C430" s="8">
        <f>[1]salario!C429</f>
        <v>0</v>
      </c>
      <c r="D430" s="10">
        <f>IFERROR(VLOOKUP(B430,cubo!$A$6:$BE$37,6,0)-VLOOKUP(B430,#REF!,$D$2,0),0)</f>
        <v>0</v>
      </c>
      <c r="E430" s="10">
        <f>IFERROR(VLOOKUP(B430,cubo!$A$6:$BE$37,9,0)-VLOOKUP(B430,#REF!,$E$2,0),0)</f>
        <v>0</v>
      </c>
      <c r="F430" s="9">
        <f>IFERROR(VLOOKUP(B430,cubo!$A$6:$BE$37,12,0)-VLOOKUP(B430,#REF!,$F$2,0),0)</f>
        <v>0</v>
      </c>
      <c r="G430" s="9">
        <f>IFERROR(VLOOKUP(B430,cubo!$A$6:$BE$37,54,0)-VLOOKUP(B430,#REF!,$G$2,0),0)</f>
        <v>0</v>
      </c>
      <c r="H430" s="10">
        <f>IFERROR(VLOOKUP(B430,cubo!$A$6:$BE$37,15,0)-VLOOKUP(B430,#REF!,$H$2,0),0)</f>
        <v>0</v>
      </c>
      <c r="I430" s="9">
        <f>IFERROR(VLOOKUP(B430,cubo!$A$6:$BE$37,18,0)-VLOOKUP(B430,#REF!,$I$2,0),0)</f>
        <v>0</v>
      </c>
      <c r="J430" s="9">
        <f>IFERROR(VLOOKUP(B430,cubo!$A$6:$BE$37,24,0)-VLOOKUP(B430,#REF!,$J$2,0),0)</f>
        <v>0</v>
      </c>
      <c r="K430" s="9">
        <f>IFERROR(VLOOKUP(B430,cubo!$A$6:$BE$37,34,0)-VLOOKUP(B430,#REF!,$K$2,0),0)</f>
        <v>0</v>
      </c>
      <c r="L430" s="8">
        <f>IFERROR(VLOOKUP(B430,cubo!$A$6:$BE$37,38,0)-VLOOKUP(B430,#REF!,$L$2,0),0)</f>
        <v>0</v>
      </c>
      <c r="M430" s="15">
        <f>IFERROR(VLOOKUP(B430,cubo!$A$6:$BE$37,57,0)-VLOOKUP(B430,#REF!,$M$2,0),0)</f>
        <v>0</v>
      </c>
      <c r="N430" s="9">
        <f>IFERROR(VLOOKUP(B430,cubo!$A$6:$BK$37,41,0)-VLOOKUP(conciliacao_custos!B430,#REF!,18,0),0)</f>
        <v>0</v>
      </c>
      <c r="O430" s="9">
        <f>IFERROR(VLOOKUP(B430,cubo!$A$6:$BK$37,44,0)-VLOOKUP(conciliacao_custos!B430,#REF!,13,0),0)</f>
        <v>0</v>
      </c>
      <c r="P430" s="9">
        <f>IFERROR(VLOOKUP(B430,cubo!$A$6:$BK$37,47,0)-VLOOKUP(conciliacao_custos!B430,#REF!,14,0),0)</f>
        <v>0</v>
      </c>
      <c r="Q430" s="9">
        <f>IFERROR(VLOOKUP(B430,cubo!$A$6:$BK$37,58,0)-VLOOKUP(conciliacao_custos!B430,#REF!,16,0),0)</f>
        <v>0</v>
      </c>
      <c r="R430" s="9">
        <f>IFERROR(VLOOKUP(B430,cubo!$A$6:$BK$37,64,0)-VLOOKUP(conciliacao_custos!B430,#REF!,17,0),0)</f>
        <v>0</v>
      </c>
      <c r="S430" s="9">
        <f>IFERROR(VLOOKUP(B430,cubo!$A$6:$BK$37,61,0)-VLOOKUP(conciliacao_custos!B430,#REF!,15,0),0)</f>
        <v>0</v>
      </c>
    </row>
    <row r="431" spans="2:19" x14ac:dyDescent="0.25">
      <c r="B431" s="7">
        <f>[1]salario!A430</f>
        <v>0</v>
      </c>
      <c r="C431" s="8">
        <f>[1]salario!C430</f>
        <v>0</v>
      </c>
      <c r="D431" s="10">
        <f>IFERROR(VLOOKUP(B431,cubo!$A$6:$BE$37,6,0)-VLOOKUP(B431,#REF!,$D$2,0),0)</f>
        <v>0</v>
      </c>
      <c r="E431" s="10">
        <f>IFERROR(VLOOKUP(B431,cubo!$A$6:$BE$37,9,0)-VLOOKUP(B431,#REF!,$E$2,0),0)</f>
        <v>0</v>
      </c>
      <c r="F431" s="9">
        <f>IFERROR(VLOOKUP(B431,cubo!$A$6:$BE$37,12,0)-VLOOKUP(B431,#REF!,$F$2,0),0)</f>
        <v>0</v>
      </c>
      <c r="G431" s="9">
        <f>IFERROR(VLOOKUP(B431,cubo!$A$6:$BE$37,54,0)-VLOOKUP(B431,#REF!,$G$2,0),0)</f>
        <v>0</v>
      </c>
      <c r="H431" s="10">
        <f>IFERROR(VLOOKUP(B431,cubo!$A$6:$BE$37,15,0)-VLOOKUP(B431,#REF!,$H$2,0),0)</f>
        <v>0</v>
      </c>
      <c r="I431" s="9">
        <f>IFERROR(VLOOKUP(B431,cubo!$A$6:$BE$37,18,0)-VLOOKUP(B431,#REF!,$I$2,0),0)</f>
        <v>0</v>
      </c>
      <c r="J431" s="9">
        <f>IFERROR(VLOOKUP(B431,cubo!$A$6:$BE$37,24,0)-VLOOKUP(B431,#REF!,$J$2,0),0)</f>
        <v>0</v>
      </c>
      <c r="K431" s="9">
        <f>IFERROR(VLOOKUP(B431,cubo!$A$6:$BE$37,34,0)-VLOOKUP(B431,#REF!,$K$2,0),0)</f>
        <v>0</v>
      </c>
      <c r="L431" s="8">
        <f>IFERROR(VLOOKUP(B431,cubo!$A$6:$BE$37,38,0)-VLOOKUP(B431,#REF!,$L$2,0),0)</f>
        <v>0</v>
      </c>
      <c r="M431" s="15">
        <f>IFERROR(VLOOKUP(B431,cubo!$A$6:$BE$37,57,0)-VLOOKUP(B431,#REF!,$M$2,0),0)</f>
        <v>0</v>
      </c>
      <c r="N431" s="9">
        <f>IFERROR(VLOOKUP(B431,cubo!$A$6:$BK$37,41,0)-VLOOKUP(conciliacao_custos!B431,#REF!,18,0),0)</f>
        <v>0</v>
      </c>
      <c r="O431" s="9">
        <f>IFERROR(VLOOKUP(B431,cubo!$A$6:$BK$37,44,0)-VLOOKUP(conciliacao_custos!B431,#REF!,13,0),0)</f>
        <v>0</v>
      </c>
      <c r="P431" s="9">
        <f>IFERROR(VLOOKUP(B431,cubo!$A$6:$BK$37,47,0)-VLOOKUP(conciliacao_custos!B431,#REF!,14,0),0)</f>
        <v>0</v>
      </c>
      <c r="Q431" s="9">
        <f>IFERROR(VLOOKUP(B431,cubo!$A$6:$BK$37,58,0)-VLOOKUP(conciliacao_custos!B431,#REF!,16,0),0)</f>
        <v>0</v>
      </c>
      <c r="R431" s="9">
        <f>IFERROR(VLOOKUP(B431,cubo!$A$6:$BK$37,64,0)-VLOOKUP(conciliacao_custos!B431,#REF!,17,0),0)</f>
        <v>0</v>
      </c>
      <c r="S431" s="9">
        <f>IFERROR(VLOOKUP(B431,cubo!$A$6:$BK$37,61,0)-VLOOKUP(conciliacao_custos!B431,#REF!,15,0),0)</f>
        <v>0</v>
      </c>
    </row>
    <row r="432" spans="2:19" x14ac:dyDescent="0.25">
      <c r="B432" s="7">
        <f>[1]salario!A431</f>
        <v>0</v>
      </c>
      <c r="C432" s="8">
        <f>[1]salario!C431</f>
        <v>0</v>
      </c>
      <c r="D432" s="10">
        <f>IFERROR(VLOOKUP(B432,cubo!$A$6:$BE$37,6,0)-VLOOKUP(B432,#REF!,$D$2,0),0)</f>
        <v>0</v>
      </c>
      <c r="E432" s="10">
        <f>IFERROR(VLOOKUP(B432,cubo!$A$6:$BE$37,9,0)-VLOOKUP(B432,#REF!,$E$2,0),0)</f>
        <v>0</v>
      </c>
      <c r="F432" s="9">
        <f>IFERROR(VLOOKUP(B432,cubo!$A$6:$BE$37,12,0)-VLOOKUP(B432,#REF!,$F$2,0),0)</f>
        <v>0</v>
      </c>
      <c r="G432" s="9">
        <f>IFERROR(VLOOKUP(B432,cubo!$A$6:$BE$37,54,0)-VLOOKUP(B432,#REF!,$G$2,0),0)</f>
        <v>0</v>
      </c>
      <c r="H432" s="10">
        <f>IFERROR(VLOOKUP(B432,cubo!$A$6:$BE$37,15,0)-VLOOKUP(B432,#REF!,$H$2,0),0)</f>
        <v>0</v>
      </c>
      <c r="I432" s="9">
        <f>IFERROR(VLOOKUP(B432,cubo!$A$6:$BE$37,18,0)-VLOOKUP(B432,#REF!,$I$2,0),0)</f>
        <v>0</v>
      </c>
      <c r="J432" s="9">
        <f>IFERROR(VLOOKUP(B432,cubo!$A$6:$BE$37,24,0)-VLOOKUP(B432,#REF!,$J$2,0),0)</f>
        <v>0</v>
      </c>
      <c r="K432" s="9">
        <f>IFERROR(VLOOKUP(B432,cubo!$A$6:$BE$37,34,0)-VLOOKUP(B432,#REF!,$K$2,0),0)</f>
        <v>0</v>
      </c>
      <c r="L432" s="8">
        <f>IFERROR(VLOOKUP(B432,cubo!$A$6:$BE$37,38,0)-VLOOKUP(B432,#REF!,$L$2,0),0)</f>
        <v>0</v>
      </c>
      <c r="M432" s="15">
        <f>IFERROR(VLOOKUP(B432,cubo!$A$6:$BE$37,57,0)-VLOOKUP(B432,#REF!,$M$2,0),0)</f>
        <v>0</v>
      </c>
      <c r="N432" s="9">
        <f>IFERROR(VLOOKUP(B432,cubo!$A$6:$BK$37,41,0)-VLOOKUP(conciliacao_custos!B432,#REF!,18,0),0)</f>
        <v>0</v>
      </c>
      <c r="O432" s="9">
        <f>IFERROR(VLOOKUP(B432,cubo!$A$6:$BK$37,44,0)-VLOOKUP(conciliacao_custos!B432,#REF!,13,0),0)</f>
        <v>0</v>
      </c>
      <c r="P432" s="9">
        <f>IFERROR(VLOOKUP(B432,cubo!$A$6:$BK$37,47,0)-VLOOKUP(conciliacao_custos!B432,#REF!,14,0),0)</f>
        <v>0</v>
      </c>
      <c r="Q432" s="9">
        <f>IFERROR(VLOOKUP(B432,cubo!$A$6:$BK$37,58,0)-VLOOKUP(conciliacao_custos!B432,#REF!,16,0),0)</f>
        <v>0</v>
      </c>
      <c r="R432" s="9">
        <f>IFERROR(VLOOKUP(B432,cubo!$A$6:$BK$37,64,0)-VLOOKUP(conciliacao_custos!B432,#REF!,17,0),0)</f>
        <v>0</v>
      </c>
      <c r="S432" s="9">
        <f>IFERROR(VLOOKUP(B432,cubo!$A$6:$BK$37,61,0)-VLOOKUP(conciliacao_custos!B432,#REF!,15,0),0)</f>
        <v>0</v>
      </c>
    </row>
    <row r="433" spans="2:19" x14ac:dyDescent="0.25">
      <c r="B433" s="7">
        <f>[1]salario!A432</f>
        <v>0</v>
      </c>
      <c r="C433" s="8">
        <f>[1]salario!C432</f>
        <v>0</v>
      </c>
      <c r="D433" s="10">
        <f>IFERROR(VLOOKUP(B433,cubo!$A$6:$BE$37,6,0)-VLOOKUP(B433,#REF!,$D$2,0),0)</f>
        <v>0</v>
      </c>
      <c r="E433" s="10">
        <f>IFERROR(VLOOKUP(B433,cubo!$A$6:$BE$37,9,0)-VLOOKUP(B433,#REF!,$E$2,0),0)</f>
        <v>0</v>
      </c>
      <c r="F433" s="9">
        <f>IFERROR(VLOOKUP(B433,cubo!$A$6:$BE$37,12,0)-VLOOKUP(B433,#REF!,$F$2,0),0)</f>
        <v>0</v>
      </c>
      <c r="G433" s="9">
        <f>IFERROR(VLOOKUP(B433,cubo!$A$6:$BE$37,54,0)-VLOOKUP(B433,#REF!,$G$2,0),0)</f>
        <v>0</v>
      </c>
      <c r="H433" s="10">
        <f>IFERROR(VLOOKUP(B433,cubo!$A$6:$BE$37,15,0)-VLOOKUP(B433,#REF!,$H$2,0),0)</f>
        <v>0</v>
      </c>
      <c r="I433" s="9">
        <f>IFERROR(VLOOKUP(B433,cubo!$A$6:$BE$37,18,0)-VLOOKUP(B433,#REF!,$I$2,0),0)</f>
        <v>0</v>
      </c>
      <c r="J433" s="9">
        <f>IFERROR(VLOOKUP(B433,cubo!$A$6:$BE$37,24,0)-VLOOKUP(B433,#REF!,$J$2,0),0)</f>
        <v>0</v>
      </c>
      <c r="K433" s="9">
        <f>IFERROR(VLOOKUP(B433,cubo!$A$6:$BE$37,34,0)-VLOOKUP(B433,#REF!,$K$2,0),0)</f>
        <v>0</v>
      </c>
      <c r="L433" s="8">
        <f>IFERROR(VLOOKUP(B433,cubo!$A$6:$BE$37,38,0)-VLOOKUP(B433,#REF!,$L$2,0),0)</f>
        <v>0</v>
      </c>
      <c r="M433" s="15">
        <f>IFERROR(VLOOKUP(B433,cubo!$A$6:$BE$37,57,0)-VLOOKUP(B433,#REF!,$M$2,0),0)</f>
        <v>0</v>
      </c>
      <c r="N433" s="9">
        <f>IFERROR(VLOOKUP(B433,cubo!$A$6:$BK$37,41,0)-VLOOKUP(conciliacao_custos!B433,#REF!,18,0),0)</f>
        <v>0</v>
      </c>
      <c r="O433" s="9">
        <f>IFERROR(VLOOKUP(B433,cubo!$A$6:$BK$37,44,0)-VLOOKUP(conciliacao_custos!B433,#REF!,13,0),0)</f>
        <v>0</v>
      </c>
      <c r="P433" s="9">
        <f>IFERROR(VLOOKUP(B433,cubo!$A$6:$BK$37,47,0)-VLOOKUP(conciliacao_custos!B433,#REF!,14,0),0)</f>
        <v>0</v>
      </c>
      <c r="Q433" s="9">
        <f>IFERROR(VLOOKUP(B433,cubo!$A$6:$BK$37,58,0)-VLOOKUP(conciliacao_custos!B433,#REF!,16,0),0)</f>
        <v>0</v>
      </c>
      <c r="R433" s="9">
        <f>IFERROR(VLOOKUP(B433,cubo!$A$6:$BK$37,64,0)-VLOOKUP(conciliacao_custos!B433,#REF!,17,0),0)</f>
        <v>0</v>
      </c>
      <c r="S433" s="9">
        <f>IFERROR(VLOOKUP(B433,cubo!$A$6:$BK$37,61,0)-VLOOKUP(conciliacao_custos!B433,#REF!,15,0),0)</f>
        <v>0</v>
      </c>
    </row>
    <row r="434" spans="2:19" x14ac:dyDescent="0.25">
      <c r="B434" s="7">
        <f>[1]salario!A433</f>
        <v>0</v>
      </c>
      <c r="C434" s="8">
        <f>[1]salario!C433</f>
        <v>0</v>
      </c>
      <c r="D434" s="10">
        <f>IFERROR(VLOOKUP(B434,cubo!$A$6:$BE$37,6,0)-VLOOKUP(B434,#REF!,$D$2,0),0)</f>
        <v>0</v>
      </c>
      <c r="E434" s="10">
        <f>IFERROR(VLOOKUP(B434,cubo!$A$6:$BE$37,9,0)-VLOOKUP(B434,#REF!,$E$2,0),0)</f>
        <v>0</v>
      </c>
      <c r="F434" s="9">
        <f>IFERROR(VLOOKUP(B434,cubo!$A$6:$BE$37,12,0)-VLOOKUP(B434,#REF!,$F$2,0),0)</f>
        <v>0</v>
      </c>
      <c r="G434" s="9">
        <f>IFERROR(VLOOKUP(B434,cubo!$A$6:$BE$37,54,0)-VLOOKUP(B434,#REF!,$G$2,0),0)</f>
        <v>0</v>
      </c>
      <c r="H434" s="10">
        <f>IFERROR(VLOOKUP(B434,cubo!$A$6:$BE$37,15,0)-VLOOKUP(B434,#REF!,$H$2,0),0)</f>
        <v>0</v>
      </c>
      <c r="I434" s="9">
        <f>IFERROR(VLOOKUP(B434,cubo!$A$6:$BE$37,18,0)-VLOOKUP(B434,#REF!,$I$2,0),0)</f>
        <v>0</v>
      </c>
      <c r="J434" s="9">
        <f>IFERROR(VLOOKUP(B434,cubo!$A$6:$BE$37,24,0)-VLOOKUP(B434,#REF!,$J$2,0),0)</f>
        <v>0</v>
      </c>
      <c r="K434" s="9">
        <f>IFERROR(VLOOKUP(B434,cubo!$A$6:$BE$37,34,0)-VLOOKUP(B434,#REF!,$K$2,0),0)</f>
        <v>0</v>
      </c>
      <c r="L434" s="8">
        <f>IFERROR(VLOOKUP(B434,cubo!$A$6:$BE$37,38,0)-VLOOKUP(B434,#REF!,$L$2,0),0)</f>
        <v>0</v>
      </c>
      <c r="M434" s="15">
        <f>IFERROR(VLOOKUP(B434,cubo!$A$6:$BE$37,57,0)-VLOOKUP(B434,#REF!,$M$2,0),0)</f>
        <v>0</v>
      </c>
      <c r="N434" s="9">
        <f>IFERROR(VLOOKUP(B434,cubo!$A$6:$BK$37,41,0)-VLOOKUP(conciliacao_custos!B434,#REF!,18,0),0)</f>
        <v>0</v>
      </c>
      <c r="O434" s="9">
        <f>IFERROR(VLOOKUP(B434,cubo!$A$6:$BK$37,44,0)-VLOOKUP(conciliacao_custos!B434,#REF!,13,0),0)</f>
        <v>0</v>
      </c>
      <c r="P434" s="9">
        <f>IFERROR(VLOOKUP(B434,cubo!$A$6:$BK$37,47,0)-VLOOKUP(conciliacao_custos!B434,#REF!,14,0),0)</f>
        <v>0</v>
      </c>
      <c r="Q434" s="9">
        <f>IFERROR(VLOOKUP(B434,cubo!$A$6:$BK$37,58,0)-VLOOKUP(conciliacao_custos!B434,#REF!,16,0),0)</f>
        <v>0</v>
      </c>
      <c r="R434" s="9">
        <f>IFERROR(VLOOKUP(B434,cubo!$A$6:$BK$37,64,0)-VLOOKUP(conciliacao_custos!B434,#REF!,17,0),0)</f>
        <v>0</v>
      </c>
      <c r="S434" s="9">
        <f>IFERROR(VLOOKUP(B434,cubo!$A$6:$BK$37,61,0)-VLOOKUP(conciliacao_custos!B434,#REF!,15,0),0)</f>
        <v>0</v>
      </c>
    </row>
    <row r="435" spans="2:19" x14ac:dyDescent="0.25">
      <c r="B435" s="7">
        <f>[1]salario!A434</f>
        <v>0</v>
      </c>
      <c r="C435" s="8">
        <f>[1]salario!C434</f>
        <v>0</v>
      </c>
      <c r="D435" s="10">
        <f>IFERROR(VLOOKUP(B435,cubo!$A$6:$BE$37,6,0)-VLOOKUP(B435,#REF!,$D$2,0),0)</f>
        <v>0</v>
      </c>
      <c r="E435" s="10">
        <f>IFERROR(VLOOKUP(B435,cubo!$A$6:$BE$37,9,0)-VLOOKUP(B435,#REF!,$E$2,0),0)</f>
        <v>0</v>
      </c>
      <c r="F435" s="9">
        <f>IFERROR(VLOOKUP(B435,cubo!$A$6:$BE$37,12,0)-VLOOKUP(B435,#REF!,$F$2,0),0)</f>
        <v>0</v>
      </c>
      <c r="G435" s="9">
        <f>IFERROR(VLOOKUP(B435,cubo!$A$6:$BE$37,54,0)-VLOOKUP(B435,#REF!,$G$2,0),0)</f>
        <v>0</v>
      </c>
      <c r="H435" s="10">
        <f>IFERROR(VLOOKUP(B435,cubo!$A$6:$BE$37,15,0)-VLOOKUP(B435,#REF!,$H$2,0),0)</f>
        <v>0</v>
      </c>
      <c r="I435" s="9">
        <f>IFERROR(VLOOKUP(B435,cubo!$A$6:$BE$37,18,0)-VLOOKUP(B435,#REF!,$I$2,0),0)</f>
        <v>0</v>
      </c>
      <c r="J435" s="9">
        <f>IFERROR(VLOOKUP(B435,cubo!$A$6:$BE$37,24,0)-VLOOKUP(B435,#REF!,$J$2,0),0)</f>
        <v>0</v>
      </c>
      <c r="K435" s="9">
        <f>IFERROR(VLOOKUP(B435,cubo!$A$6:$BE$37,34,0)-VLOOKUP(B435,#REF!,$K$2,0),0)</f>
        <v>0</v>
      </c>
      <c r="L435" s="8">
        <f>IFERROR(VLOOKUP(B435,cubo!$A$6:$BE$37,38,0)-VLOOKUP(B435,#REF!,$L$2,0),0)</f>
        <v>0</v>
      </c>
      <c r="M435" s="15">
        <f>IFERROR(VLOOKUP(B435,cubo!$A$6:$BE$37,57,0)-VLOOKUP(B435,#REF!,$M$2,0),0)</f>
        <v>0</v>
      </c>
      <c r="N435" s="9">
        <f>IFERROR(VLOOKUP(B435,cubo!$A$6:$BK$37,41,0)-VLOOKUP(conciliacao_custos!B435,#REF!,18,0),0)</f>
        <v>0</v>
      </c>
      <c r="O435" s="9">
        <f>IFERROR(VLOOKUP(B435,cubo!$A$6:$BK$37,44,0)-VLOOKUP(conciliacao_custos!B435,#REF!,13,0),0)</f>
        <v>0</v>
      </c>
      <c r="P435" s="9">
        <f>IFERROR(VLOOKUP(B435,cubo!$A$6:$BK$37,47,0)-VLOOKUP(conciliacao_custos!B435,#REF!,14,0),0)</f>
        <v>0</v>
      </c>
      <c r="Q435" s="9">
        <f>IFERROR(VLOOKUP(B435,cubo!$A$6:$BK$37,58,0)-VLOOKUP(conciliacao_custos!B435,#REF!,16,0),0)</f>
        <v>0</v>
      </c>
      <c r="R435" s="9">
        <f>IFERROR(VLOOKUP(B435,cubo!$A$6:$BK$37,64,0)-VLOOKUP(conciliacao_custos!B435,#REF!,17,0),0)</f>
        <v>0</v>
      </c>
      <c r="S435" s="9">
        <f>IFERROR(VLOOKUP(B435,cubo!$A$6:$BK$37,61,0)-VLOOKUP(conciliacao_custos!B435,#REF!,15,0),0)</f>
        <v>0</v>
      </c>
    </row>
    <row r="436" spans="2:19" x14ac:dyDescent="0.25">
      <c r="B436" s="7">
        <f>[1]salario!A435</f>
        <v>0</v>
      </c>
      <c r="C436" s="8">
        <f>[1]salario!C435</f>
        <v>0</v>
      </c>
      <c r="D436" s="10">
        <f>IFERROR(VLOOKUP(B436,cubo!$A$6:$BE$37,6,0)-VLOOKUP(B436,#REF!,$D$2,0),0)</f>
        <v>0</v>
      </c>
      <c r="E436" s="10">
        <f>IFERROR(VLOOKUP(B436,cubo!$A$6:$BE$37,9,0)-VLOOKUP(B436,#REF!,$E$2,0),0)</f>
        <v>0</v>
      </c>
      <c r="F436" s="9">
        <f>IFERROR(VLOOKUP(B436,cubo!$A$6:$BE$37,12,0)-VLOOKUP(B436,#REF!,$F$2,0),0)</f>
        <v>0</v>
      </c>
      <c r="G436" s="9">
        <f>IFERROR(VLOOKUP(B436,cubo!$A$6:$BE$37,54,0)-VLOOKUP(B436,#REF!,$G$2,0),0)</f>
        <v>0</v>
      </c>
      <c r="H436" s="10">
        <f>IFERROR(VLOOKUP(B436,cubo!$A$6:$BE$37,15,0)-VLOOKUP(B436,#REF!,$H$2,0),0)</f>
        <v>0</v>
      </c>
      <c r="I436" s="9">
        <f>IFERROR(VLOOKUP(B436,cubo!$A$6:$BE$37,18,0)-VLOOKUP(B436,#REF!,$I$2,0),0)</f>
        <v>0</v>
      </c>
      <c r="J436" s="9">
        <f>IFERROR(VLOOKUP(B436,cubo!$A$6:$BE$37,24,0)-VLOOKUP(B436,#REF!,$J$2,0),0)</f>
        <v>0</v>
      </c>
      <c r="K436" s="9">
        <f>IFERROR(VLOOKUP(B436,cubo!$A$6:$BE$37,34,0)-VLOOKUP(B436,#REF!,$K$2,0),0)</f>
        <v>0</v>
      </c>
      <c r="L436" s="8">
        <f>IFERROR(VLOOKUP(B436,cubo!$A$6:$BE$37,38,0)-VLOOKUP(B436,#REF!,$L$2,0),0)</f>
        <v>0</v>
      </c>
      <c r="M436" s="15">
        <f>IFERROR(VLOOKUP(B436,cubo!$A$6:$BE$37,57,0)-VLOOKUP(B436,#REF!,$M$2,0),0)</f>
        <v>0</v>
      </c>
      <c r="N436" s="9">
        <f>IFERROR(VLOOKUP(B436,cubo!$A$6:$BK$37,41,0)-VLOOKUP(conciliacao_custos!B436,#REF!,18,0),0)</f>
        <v>0</v>
      </c>
      <c r="O436" s="9">
        <f>IFERROR(VLOOKUP(B436,cubo!$A$6:$BK$37,44,0)-VLOOKUP(conciliacao_custos!B436,#REF!,13,0),0)</f>
        <v>0</v>
      </c>
      <c r="P436" s="9">
        <f>IFERROR(VLOOKUP(B436,cubo!$A$6:$BK$37,47,0)-VLOOKUP(conciliacao_custos!B436,#REF!,14,0),0)</f>
        <v>0</v>
      </c>
      <c r="Q436" s="9">
        <f>IFERROR(VLOOKUP(B436,cubo!$A$6:$BK$37,58,0)-VLOOKUP(conciliacao_custos!B436,#REF!,16,0),0)</f>
        <v>0</v>
      </c>
      <c r="R436" s="9">
        <f>IFERROR(VLOOKUP(B436,cubo!$A$6:$BK$37,64,0)-VLOOKUP(conciliacao_custos!B436,#REF!,17,0),0)</f>
        <v>0</v>
      </c>
      <c r="S436" s="9">
        <f>IFERROR(VLOOKUP(B436,cubo!$A$6:$BK$37,61,0)-VLOOKUP(conciliacao_custos!B436,#REF!,15,0),0)</f>
        <v>0</v>
      </c>
    </row>
    <row r="437" spans="2:19" x14ac:dyDescent="0.25">
      <c r="B437" s="7">
        <f>[1]salario!A436</f>
        <v>0</v>
      </c>
      <c r="C437" s="8">
        <f>[1]salario!C436</f>
        <v>0</v>
      </c>
      <c r="D437" s="10">
        <f>IFERROR(VLOOKUP(B437,cubo!$A$6:$BE$37,6,0)-VLOOKUP(B437,#REF!,$D$2,0),0)</f>
        <v>0</v>
      </c>
      <c r="E437" s="10">
        <f>IFERROR(VLOOKUP(B437,cubo!$A$6:$BE$37,9,0)-VLOOKUP(B437,#REF!,$E$2,0),0)</f>
        <v>0</v>
      </c>
      <c r="F437" s="9">
        <f>IFERROR(VLOOKUP(B437,cubo!$A$6:$BE$37,12,0)-VLOOKUP(B437,#REF!,$F$2,0),0)</f>
        <v>0</v>
      </c>
      <c r="G437" s="9">
        <f>IFERROR(VLOOKUP(B437,cubo!$A$6:$BE$37,54,0)-VLOOKUP(B437,#REF!,$G$2,0),0)</f>
        <v>0</v>
      </c>
      <c r="H437" s="10">
        <f>IFERROR(VLOOKUP(B437,cubo!$A$6:$BE$37,15,0)-VLOOKUP(B437,#REF!,$H$2,0),0)</f>
        <v>0</v>
      </c>
      <c r="I437" s="9">
        <f>IFERROR(VLOOKUP(B437,cubo!$A$6:$BE$37,18,0)-VLOOKUP(B437,#REF!,$I$2,0),0)</f>
        <v>0</v>
      </c>
      <c r="J437" s="9">
        <f>IFERROR(VLOOKUP(B437,cubo!$A$6:$BE$37,24,0)-VLOOKUP(B437,#REF!,$J$2,0),0)</f>
        <v>0</v>
      </c>
      <c r="K437" s="9">
        <f>IFERROR(VLOOKUP(B437,cubo!$A$6:$BE$37,34,0)-VLOOKUP(B437,#REF!,$K$2,0),0)</f>
        <v>0</v>
      </c>
      <c r="L437" s="8">
        <f>IFERROR(VLOOKUP(B437,cubo!$A$6:$BE$37,38,0)-VLOOKUP(B437,#REF!,$L$2,0),0)</f>
        <v>0</v>
      </c>
      <c r="M437" s="15">
        <f>IFERROR(VLOOKUP(B437,cubo!$A$6:$BE$37,57,0)-VLOOKUP(B437,#REF!,$M$2,0),0)</f>
        <v>0</v>
      </c>
      <c r="N437" s="9">
        <f>IFERROR(VLOOKUP(B437,cubo!$A$6:$BK$37,41,0)-VLOOKUP(conciliacao_custos!B437,#REF!,18,0),0)</f>
        <v>0</v>
      </c>
      <c r="O437" s="9">
        <f>IFERROR(VLOOKUP(B437,cubo!$A$6:$BK$37,44,0)-VLOOKUP(conciliacao_custos!B437,#REF!,13,0),0)</f>
        <v>0</v>
      </c>
      <c r="P437" s="9">
        <f>IFERROR(VLOOKUP(B437,cubo!$A$6:$BK$37,47,0)-VLOOKUP(conciliacao_custos!B437,#REF!,14,0),0)</f>
        <v>0</v>
      </c>
      <c r="Q437" s="9">
        <f>IFERROR(VLOOKUP(B437,cubo!$A$6:$BK$37,58,0)-VLOOKUP(conciliacao_custos!B437,#REF!,16,0),0)</f>
        <v>0</v>
      </c>
      <c r="R437" s="9">
        <f>IFERROR(VLOOKUP(B437,cubo!$A$6:$BK$37,64,0)-VLOOKUP(conciliacao_custos!B437,#REF!,17,0),0)</f>
        <v>0</v>
      </c>
      <c r="S437" s="9">
        <f>IFERROR(VLOOKUP(B437,cubo!$A$6:$BK$37,61,0)-VLOOKUP(conciliacao_custos!B437,#REF!,15,0),0)</f>
        <v>0</v>
      </c>
    </row>
    <row r="438" spans="2:19" x14ac:dyDescent="0.25">
      <c r="B438" s="7">
        <f>[1]salario!A437</f>
        <v>0</v>
      </c>
      <c r="C438" s="8">
        <f>[1]salario!C437</f>
        <v>0</v>
      </c>
      <c r="D438" s="10">
        <f>IFERROR(VLOOKUP(B438,cubo!$A$6:$BE$37,6,0)-VLOOKUP(B438,#REF!,$D$2,0),0)</f>
        <v>0</v>
      </c>
      <c r="E438" s="10">
        <f>IFERROR(VLOOKUP(B438,cubo!$A$6:$BE$37,9,0)-VLOOKUP(B438,#REF!,$E$2,0),0)</f>
        <v>0</v>
      </c>
      <c r="F438" s="9">
        <f>IFERROR(VLOOKUP(B438,cubo!$A$6:$BE$37,12,0)-VLOOKUP(B438,#REF!,$F$2,0),0)</f>
        <v>0</v>
      </c>
      <c r="G438" s="9">
        <f>IFERROR(VLOOKUP(B438,cubo!$A$6:$BE$37,54,0)-VLOOKUP(B438,#REF!,$G$2,0),0)</f>
        <v>0</v>
      </c>
      <c r="H438" s="10">
        <f>IFERROR(VLOOKUP(B438,cubo!$A$6:$BE$37,15,0)-VLOOKUP(B438,#REF!,$H$2,0),0)</f>
        <v>0</v>
      </c>
      <c r="I438" s="9">
        <f>IFERROR(VLOOKUP(B438,cubo!$A$6:$BE$37,18,0)-VLOOKUP(B438,#REF!,$I$2,0),0)</f>
        <v>0</v>
      </c>
      <c r="J438" s="9">
        <f>IFERROR(VLOOKUP(B438,cubo!$A$6:$BE$37,24,0)-VLOOKUP(B438,#REF!,$J$2,0),0)</f>
        <v>0</v>
      </c>
      <c r="K438" s="9">
        <f>IFERROR(VLOOKUP(B438,cubo!$A$6:$BE$37,34,0)-VLOOKUP(B438,#REF!,$K$2,0),0)</f>
        <v>0</v>
      </c>
      <c r="L438" s="8">
        <f>IFERROR(VLOOKUP(B438,cubo!$A$6:$BE$37,38,0)-VLOOKUP(B438,#REF!,$L$2,0),0)</f>
        <v>0</v>
      </c>
      <c r="M438" s="15">
        <f>IFERROR(VLOOKUP(B438,cubo!$A$6:$BE$37,57,0)-VLOOKUP(B438,#REF!,$M$2,0),0)</f>
        <v>0</v>
      </c>
      <c r="N438" s="9">
        <f>IFERROR(VLOOKUP(B438,cubo!$A$6:$BK$37,41,0)-VLOOKUP(conciliacao_custos!B438,#REF!,18,0),0)</f>
        <v>0</v>
      </c>
      <c r="O438" s="9">
        <f>IFERROR(VLOOKUP(B438,cubo!$A$6:$BK$37,44,0)-VLOOKUP(conciliacao_custos!B438,#REF!,13,0),0)</f>
        <v>0</v>
      </c>
      <c r="P438" s="9">
        <f>IFERROR(VLOOKUP(B438,cubo!$A$6:$BK$37,47,0)-VLOOKUP(conciliacao_custos!B438,#REF!,14,0),0)</f>
        <v>0</v>
      </c>
      <c r="Q438" s="9">
        <f>IFERROR(VLOOKUP(B438,cubo!$A$6:$BK$37,58,0)-VLOOKUP(conciliacao_custos!B438,#REF!,16,0),0)</f>
        <v>0</v>
      </c>
      <c r="R438" s="9">
        <f>IFERROR(VLOOKUP(B438,cubo!$A$6:$BK$37,64,0)-VLOOKUP(conciliacao_custos!B438,#REF!,17,0),0)</f>
        <v>0</v>
      </c>
      <c r="S438" s="9">
        <f>IFERROR(VLOOKUP(B438,cubo!$A$6:$BK$37,61,0)-VLOOKUP(conciliacao_custos!B438,#REF!,15,0),0)</f>
        <v>0</v>
      </c>
    </row>
    <row r="439" spans="2:19" x14ac:dyDescent="0.25">
      <c r="B439" s="7">
        <f>[1]salario!A438</f>
        <v>0</v>
      </c>
      <c r="C439" s="8">
        <f>[1]salario!C438</f>
        <v>0</v>
      </c>
      <c r="D439" s="10">
        <f>IFERROR(VLOOKUP(B439,cubo!$A$6:$BE$37,6,0)-VLOOKUP(B439,#REF!,$D$2,0),0)</f>
        <v>0</v>
      </c>
      <c r="E439" s="10">
        <f>IFERROR(VLOOKUP(B439,cubo!$A$6:$BE$37,9,0)-VLOOKUP(B439,#REF!,$E$2,0),0)</f>
        <v>0</v>
      </c>
      <c r="F439" s="9">
        <f>IFERROR(VLOOKUP(B439,cubo!$A$6:$BE$37,12,0)-VLOOKUP(B439,#REF!,$F$2,0),0)</f>
        <v>0</v>
      </c>
      <c r="G439" s="9">
        <f>IFERROR(VLOOKUP(B439,cubo!$A$6:$BE$37,54,0)-VLOOKUP(B439,#REF!,$G$2,0),0)</f>
        <v>0</v>
      </c>
      <c r="H439" s="10">
        <f>IFERROR(VLOOKUP(B439,cubo!$A$6:$BE$37,15,0)-VLOOKUP(B439,#REF!,$H$2,0),0)</f>
        <v>0</v>
      </c>
      <c r="I439" s="9">
        <f>IFERROR(VLOOKUP(B439,cubo!$A$6:$BE$37,18,0)-VLOOKUP(B439,#REF!,$I$2,0),0)</f>
        <v>0</v>
      </c>
      <c r="J439" s="9">
        <f>IFERROR(VLOOKUP(B439,cubo!$A$6:$BE$37,24,0)-VLOOKUP(B439,#REF!,$J$2,0),0)</f>
        <v>0</v>
      </c>
      <c r="K439" s="9">
        <f>IFERROR(VLOOKUP(B439,cubo!$A$6:$BE$37,34,0)-VLOOKUP(B439,#REF!,$K$2,0),0)</f>
        <v>0</v>
      </c>
      <c r="L439" s="8">
        <f>IFERROR(VLOOKUP(B439,cubo!$A$6:$BE$37,38,0)-VLOOKUP(B439,#REF!,$L$2,0),0)</f>
        <v>0</v>
      </c>
      <c r="M439" s="15">
        <f>IFERROR(VLOOKUP(B439,cubo!$A$6:$BE$37,57,0)-VLOOKUP(B439,#REF!,$M$2,0),0)</f>
        <v>0</v>
      </c>
      <c r="N439" s="9">
        <f>IFERROR(VLOOKUP(B439,cubo!$A$6:$BK$37,41,0)-VLOOKUP(conciliacao_custos!B439,#REF!,18,0),0)</f>
        <v>0</v>
      </c>
      <c r="O439" s="9">
        <f>IFERROR(VLOOKUP(B439,cubo!$A$6:$BK$37,44,0)-VLOOKUP(conciliacao_custos!B439,#REF!,13,0),0)</f>
        <v>0</v>
      </c>
      <c r="P439" s="9">
        <f>IFERROR(VLOOKUP(B439,cubo!$A$6:$BK$37,47,0)-VLOOKUP(conciliacao_custos!B439,#REF!,14,0),0)</f>
        <v>0</v>
      </c>
      <c r="Q439" s="9">
        <f>IFERROR(VLOOKUP(B439,cubo!$A$6:$BK$37,58,0)-VLOOKUP(conciliacao_custos!B439,#REF!,16,0),0)</f>
        <v>0</v>
      </c>
      <c r="R439" s="9">
        <f>IFERROR(VLOOKUP(B439,cubo!$A$6:$BK$37,64,0)-VLOOKUP(conciliacao_custos!B439,#REF!,17,0),0)</f>
        <v>0</v>
      </c>
      <c r="S439" s="9">
        <f>IFERROR(VLOOKUP(B439,cubo!$A$6:$BK$37,61,0)-VLOOKUP(conciliacao_custos!B439,#REF!,15,0),0)</f>
        <v>0</v>
      </c>
    </row>
    <row r="440" spans="2:19" x14ac:dyDescent="0.25">
      <c r="B440" s="7">
        <f>[1]salario!A439</f>
        <v>0</v>
      </c>
      <c r="C440" s="8">
        <f>[1]salario!C439</f>
        <v>0</v>
      </c>
      <c r="D440" s="10">
        <f>IFERROR(VLOOKUP(B440,cubo!$A$6:$BE$37,6,0)-VLOOKUP(B440,#REF!,$D$2,0),0)</f>
        <v>0</v>
      </c>
      <c r="E440" s="10">
        <f>IFERROR(VLOOKUP(B440,cubo!$A$6:$BE$37,9,0)-VLOOKUP(B440,#REF!,$E$2,0),0)</f>
        <v>0</v>
      </c>
      <c r="F440" s="9">
        <f>IFERROR(VLOOKUP(B440,cubo!$A$6:$BE$37,12,0)-VLOOKUP(B440,#REF!,$F$2,0),0)</f>
        <v>0</v>
      </c>
      <c r="G440" s="9">
        <f>IFERROR(VLOOKUP(B440,cubo!$A$6:$BE$37,54,0)-VLOOKUP(B440,#REF!,$G$2,0),0)</f>
        <v>0</v>
      </c>
      <c r="H440" s="10">
        <f>IFERROR(VLOOKUP(B440,cubo!$A$6:$BE$37,15,0)-VLOOKUP(B440,#REF!,$H$2,0),0)</f>
        <v>0</v>
      </c>
      <c r="I440" s="9">
        <f>IFERROR(VLOOKUP(B440,cubo!$A$6:$BE$37,18,0)-VLOOKUP(B440,#REF!,$I$2,0),0)</f>
        <v>0</v>
      </c>
      <c r="J440" s="9">
        <f>IFERROR(VLOOKUP(B440,cubo!$A$6:$BE$37,24,0)-VLOOKUP(B440,#REF!,$J$2,0),0)</f>
        <v>0</v>
      </c>
      <c r="K440" s="9">
        <f>IFERROR(VLOOKUP(B440,cubo!$A$6:$BE$37,34,0)-VLOOKUP(B440,#REF!,$K$2,0),0)</f>
        <v>0</v>
      </c>
      <c r="L440" s="8">
        <f>IFERROR(VLOOKUP(B440,cubo!$A$6:$BE$37,38,0)-VLOOKUP(B440,#REF!,$L$2,0),0)</f>
        <v>0</v>
      </c>
      <c r="M440" s="15">
        <f>IFERROR(VLOOKUP(B440,cubo!$A$6:$BE$37,57,0)-VLOOKUP(B440,#REF!,$M$2,0),0)</f>
        <v>0</v>
      </c>
      <c r="N440" s="9">
        <f>IFERROR(VLOOKUP(B440,cubo!$A$6:$BK$37,41,0)-VLOOKUP(conciliacao_custos!B440,#REF!,18,0),0)</f>
        <v>0</v>
      </c>
      <c r="O440" s="9">
        <f>IFERROR(VLOOKUP(B440,cubo!$A$6:$BK$37,44,0)-VLOOKUP(conciliacao_custos!B440,#REF!,13,0),0)</f>
        <v>0</v>
      </c>
      <c r="P440" s="9">
        <f>IFERROR(VLOOKUP(B440,cubo!$A$6:$BK$37,47,0)-VLOOKUP(conciliacao_custos!B440,#REF!,14,0),0)</f>
        <v>0</v>
      </c>
      <c r="Q440" s="9">
        <f>IFERROR(VLOOKUP(B440,cubo!$A$6:$BK$37,58,0)-VLOOKUP(conciliacao_custos!B440,#REF!,16,0),0)</f>
        <v>0</v>
      </c>
      <c r="R440" s="9">
        <f>IFERROR(VLOOKUP(B440,cubo!$A$6:$BK$37,64,0)-VLOOKUP(conciliacao_custos!B440,#REF!,17,0),0)</f>
        <v>0</v>
      </c>
      <c r="S440" s="9">
        <f>IFERROR(VLOOKUP(B440,cubo!$A$6:$BK$37,61,0)-VLOOKUP(conciliacao_custos!B440,#REF!,15,0),0)</f>
        <v>0</v>
      </c>
    </row>
    <row r="441" spans="2:19" x14ac:dyDescent="0.25">
      <c r="B441" s="7">
        <f>[1]salario!A440</f>
        <v>0</v>
      </c>
      <c r="C441" s="8">
        <f>[1]salario!C440</f>
        <v>0</v>
      </c>
      <c r="D441" s="10">
        <f>IFERROR(VLOOKUP(B441,cubo!$A$6:$BE$37,6,0)-VLOOKUP(B441,#REF!,$D$2,0),0)</f>
        <v>0</v>
      </c>
      <c r="E441" s="10">
        <f>IFERROR(VLOOKUP(B441,cubo!$A$6:$BE$37,9,0)-VLOOKUP(B441,#REF!,$E$2,0),0)</f>
        <v>0</v>
      </c>
      <c r="F441" s="9">
        <f>IFERROR(VLOOKUP(B441,cubo!$A$6:$BE$37,12,0)-VLOOKUP(B441,#REF!,$F$2,0),0)</f>
        <v>0</v>
      </c>
      <c r="G441" s="9">
        <f>IFERROR(VLOOKUP(B441,cubo!$A$6:$BE$37,54,0)-VLOOKUP(B441,#REF!,$G$2,0),0)</f>
        <v>0</v>
      </c>
      <c r="H441" s="10">
        <f>IFERROR(VLOOKUP(B441,cubo!$A$6:$BE$37,15,0)-VLOOKUP(B441,#REF!,$H$2,0),0)</f>
        <v>0</v>
      </c>
      <c r="I441" s="9">
        <f>IFERROR(VLOOKUP(B441,cubo!$A$6:$BE$37,18,0)-VLOOKUP(B441,#REF!,$I$2,0),0)</f>
        <v>0</v>
      </c>
      <c r="J441" s="9">
        <f>IFERROR(VLOOKUP(B441,cubo!$A$6:$BE$37,24,0)-VLOOKUP(B441,#REF!,$J$2,0),0)</f>
        <v>0</v>
      </c>
      <c r="K441" s="9">
        <f>IFERROR(VLOOKUP(B441,cubo!$A$6:$BE$37,34,0)-VLOOKUP(B441,#REF!,$K$2,0),0)</f>
        <v>0</v>
      </c>
      <c r="L441" s="8">
        <f>IFERROR(VLOOKUP(B441,cubo!$A$6:$BE$37,38,0)-VLOOKUP(B441,#REF!,$L$2,0),0)</f>
        <v>0</v>
      </c>
      <c r="M441" s="15">
        <f>IFERROR(VLOOKUP(B441,cubo!$A$6:$BE$37,57,0)-VLOOKUP(B441,#REF!,$M$2,0),0)</f>
        <v>0</v>
      </c>
      <c r="N441" s="9">
        <f>IFERROR(VLOOKUP(B441,cubo!$A$6:$BK$37,41,0)-VLOOKUP(conciliacao_custos!B441,#REF!,18,0),0)</f>
        <v>0</v>
      </c>
      <c r="O441" s="9">
        <f>IFERROR(VLOOKUP(B441,cubo!$A$6:$BK$37,44,0)-VLOOKUP(conciliacao_custos!B441,#REF!,13,0),0)</f>
        <v>0</v>
      </c>
      <c r="P441" s="9">
        <f>IFERROR(VLOOKUP(B441,cubo!$A$6:$BK$37,47,0)-VLOOKUP(conciliacao_custos!B441,#REF!,14,0),0)</f>
        <v>0</v>
      </c>
      <c r="Q441" s="9">
        <f>IFERROR(VLOOKUP(B441,cubo!$A$6:$BK$37,58,0)-VLOOKUP(conciliacao_custos!B441,#REF!,16,0),0)</f>
        <v>0</v>
      </c>
      <c r="R441" s="9">
        <f>IFERROR(VLOOKUP(B441,cubo!$A$6:$BK$37,64,0)-VLOOKUP(conciliacao_custos!B441,#REF!,17,0),0)</f>
        <v>0</v>
      </c>
      <c r="S441" s="9">
        <f>IFERROR(VLOOKUP(B441,cubo!$A$6:$BK$37,61,0)-VLOOKUP(conciliacao_custos!B441,#REF!,15,0),0)</f>
        <v>0</v>
      </c>
    </row>
    <row r="442" spans="2:19" x14ac:dyDescent="0.25">
      <c r="B442" s="7">
        <f>[1]salario!A441</f>
        <v>0</v>
      </c>
      <c r="C442" s="8">
        <f>[1]salario!C441</f>
        <v>0</v>
      </c>
      <c r="D442" s="10">
        <f>IFERROR(VLOOKUP(B442,cubo!$A$6:$BE$37,6,0)-VLOOKUP(B442,#REF!,$D$2,0),0)</f>
        <v>0</v>
      </c>
      <c r="E442" s="10">
        <f>IFERROR(VLOOKUP(B442,cubo!$A$6:$BE$37,9,0)-VLOOKUP(B442,#REF!,$E$2,0),0)</f>
        <v>0</v>
      </c>
      <c r="F442" s="9">
        <f>IFERROR(VLOOKUP(B442,cubo!$A$6:$BE$37,12,0)-VLOOKUP(B442,#REF!,$F$2,0),0)</f>
        <v>0</v>
      </c>
      <c r="G442" s="9">
        <f>IFERROR(VLOOKUP(B442,cubo!$A$6:$BE$37,54,0)-VLOOKUP(B442,#REF!,$G$2,0),0)</f>
        <v>0</v>
      </c>
      <c r="H442" s="10">
        <f>IFERROR(VLOOKUP(B442,cubo!$A$6:$BE$37,15,0)-VLOOKUP(B442,#REF!,$H$2,0),0)</f>
        <v>0</v>
      </c>
      <c r="I442" s="9">
        <f>IFERROR(VLOOKUP(B442,cubo!$A$6:$BE$37,18,0)-VLOOKUP(B442,#REF!,$I$2,0),0)</f>
        <v>0</v>
      </c>
      <c r="J442" s="9">
        <f>IFERROR(VLOOKUP(B442,cubo!$A$6:$BE$37,24,0)-VLOOKUP(B442,#REF!,$J$2,0),0)</f>
        <v>0</v>
      </c>
      <c r="K442" s="9">
        <f>IFERROR(VLOOKUP(B442,cubo!$A$6:$BE$37,34,0)-VLOOKUP(B442,#REF!,$K$2,0),0)</f>
        <v>0</v>
      </c>
      <c r="L442" s="8">
        <f>IFERROR(VLOOKUP(B442,cubo!$A$6:$BE$37,38,0)-VLOOKUP(B442,#REF!,$L$2,0),0)</f>
        <v>0</v>
      </c>
      <c r="M442" s="15">
        <f>IFERROR(VLOOKUP(B442,cubo!$A$6:$BE$37,57,0)-VLOOKUP(B442,#REF!,$M$2,0),0)</f>
        <v>0</v>
      </c>
      <c r="N442" s="9">
        <f>IFERROR(VLOOKUP(B442,cubo!$A$6:$BK$37,41,0)-VLOOKUP(conciliacao_custos!B442,#REF!,18,0),0)</f>
        <v>0</v>
      </c>
      <c r="O442" s="9">
        <f>IFERROR(VLOOKUP(B442,cubo!$A$6:$BK$37,44,0)-VLOOKUP(conciliacao_custos!B442,#REF!,13,0),0)</f>
        <v>0</v>
      </c>
      <c r="P442" s="9">
        <f>IFERROR(VLOOKUP(B442,cubo!$A$6:$BK$37,47,0)-VLOOKUP(conciliacao_custos!B442,#REF!,14,0),0)</f>
        <v>0</v>
      </c>
      <c r="Q442" s="9">
        <f>IFERROR(VLOOKUP(B442,cubo!$A$6:$BK$37,58,0)-VLOOKUP(conciliacao_custos!B442,#REF!,16,0),0)</f>
        <v>0</v>
      </c>
      <c r="R442" s="9">
        <f>IFERROR(VLOOKUP(B442,cubo!$A$6:$BK$37,64,0)-VLOOKUP(conciliacao_custos!B442,#REF!,17,0),0)</f>
        <v>0</v>
      </c>
      <c r="S442" s="9">
        <f>IFERROR(VLOOKUP(B442,cubo!$A$6:$BK$37,61,0)-VLOOKUP(conciliacao_custos!B442,#REF!,15,0),0)</f>
        <v>0</v>
      </c>
    </row>
    <row r="443" spans="2:19" x14ac:dyDescent="0.25">
      <c r="B443" s="7">
        <f>[1]salario!A442</f>
        <v>0</v>
      </c>
      <c r="C443" s="8">
        <f>[1]salario!C442</f>
        <v>0</v>
      </c>
      <c r="D443" s="10">
        <f>IFERROR(VLOOKUP(B443,cubo!$A$6:$BE$37,6,0)-VLOOKUP(B443,#REF!,$D$2,0),0)</f>
        <v>0</v>
      </c>
      <c r="E443" s="10">
        <f>IFERROR(VLOOKUP(B443,cubo!$A$6:$BE$37,9,0)-VLOOKUP(B443,#REF!,$E$2,0),0)</f>
        <v>0</v>
      </c>
      <c r="F443" s="9">
        <f>IFERROR(VLOOKUP(B443,cubo!$A$6:$BE$37,12,0)-VLOOKUP(B443,#REF!,$F$2,0),0)</f>
        <v>0</v>
      </c>
      <c r="G443" s="9">
        <f>IFERROR(VLOOKUP(B443,cubo!$A$6:$BE$37,54,0)-VLOOKUP(B443,#REF!,$G$2,0),0)</f>
        <v>0</v>
      </c>
      <c r="H443" s="10">
        <f>IFERROR(VLOOKUP(B443,cubo!$A$6:$BE$37,15,0)-VLOOKUP(B443,#REF!,$H$2,0),0)</f>
        <v>0</v>
      </c>
      <c r="I443" s="9">
        <f>IFERROR(VLOOKUP(B443,cubo!$A$6:$BE$37,18,0)-VLOOKUP(B443,#REF!,$I$2,0),0)</f>
        <v>0</v>
      </c>
      <c r="J443" s="9">
        <f>IFERROR(VLOOKUP(B443,cubo!$A$6:$BE$37,24,0)-VLOOKUP(B443,#REF!,$J$2,0),0)</f>
        <v>0</v>
      </c>
      <c r="K443" s="9">
        <f>IFERROR(VLOOKUP(B443,cubo!$A$6:$BE$37,34,0)-VLOOKUP(B443,#REF!,$K$2,0),0)</f>
        <v>0</v>
      </c>
      <c r="L443" s="8">
        <f>IFERROR(VLOOKUP(B443,cubo!$A$6:$BE$37,38,0)-VLOOKUP(B443,#REF!,$L$2,0),0)</f>
        <v>0</v>
      </c>
      <c r="M443" s="15">
        <f>IFERROR(VLOOKUP(B443,cubo!$A$6:$BE$37,57,0)-VLOOKUP(B443,#REF!,$M$2,0),0)</f>
        <v>0</v>
      </c>
      <c r="N443" s="9">
        <f>IFERROR(VLOOKUP(B443,cubo!$A$6:$BK$37,41,0)-VLOOKUP(conciliacao_custos!B443,#REF!,18,0),0)</f>
        <v>0</v>
      </c>
      <c r="O443" s="9">
        <f>IFERROR(VLOOKUP(B443,cubo!$A$6:$BK$37,44,0)-VLOOKUP(conciliacao_custos!B443,#REF!,13,0),0)</f>
        <v>0</v>
      </c>
      <c r="P443" s="9">
        <f>IFERROR(VLOOKUP(B443,cubo!$A$6:$BK$37,47,0)-VLOOKUP(conciliacao_custos!B443,#REF!,14,0),0)</f>
        <v>0</v>
      </c>
      <c r="Q443" s="9">
        <f>IFERROR(VLOOKUP(B443,cubo!$A$6:$BK$37,58,0)-VLOOKUP(conciliacao_custos!B443,#REF!,16,0),0)</f>
        <v>0</v>
      </c>
      <c r="R443" s="9">
        <f>IFERROR(VLOOKUP(B443,cubo!$A$6:$BK$37,64,0)-VLOOKUP(conciliacao_custos!B443,#REF!,17,0),0)</f>
        <v>0</v>
      </c>
      <c r="S443" s="9">
        <f>IFERROR(VLOOKUP(B443,cubo!$A$6:$BK$37,61,0)-VLOOKUP(conciliacao_custos!B443,#REF!,15,0),0)</f>
        <v>0</v>
      </c>
    </row>
    <row r="444" spans="2:19" x14ac:dyDescent="0.25">
      <c r="B444" s="7">
        <f>[1]salario!A443</f>
        <v>0</v>
      </c>
      <c r="C444" s="8">
        <f>[1]salario!C443</f>
        <v>0</v>
      </c>
      <c r="D444" s="10">
        <f>IFERROR(VLOOKUP(B444,cubo!$A$6:$BE$37,6,0)-VLOOKUP(B444,#REF!,$D$2,0),0)</f>
        <v>0</v>
      </c>
      <c r="E444" s="10">
        <f>IFERROR(VLOOKUP(B444,cubo!$A$6:$BE$37,9,0)-VLOOKUP(B444,#REF!,$E$2,0),0)</f>
        <v>0</v>
      </c>
      <c r="F444" s="9">
        <f>IFERROR(VLOOKUP(B444,cubo!$A$6:$BE$37,12,0)-VLOOKUP(B444,#REF!,$F$2,0),0)</f>
        <v>0</v>
      </c>
      <c r="G444" s="9">
        <f>IFERROR(VLOOKUP(B444,cubo!$A$6:$BE$37,54,0)-VLOOKUP(B444,#REF!,$G$2,0),0)</f>
        <v>0</v>
      </c>
      <c r="H444" s="10">
        <f>IFERROR(VLOOKUP(B444,cubo!$A$6:$BE$37,15,0)-VLOOKUP(B444,#REF!,$H$2,0),0)</f>
        <v>0</v>
      </c>
      <c r="I444" s="9">
        <f>IFERROR(VLOOKUP(B444,cubo!$A$6:$BE$37,18,0)-VLOOKUP(B444,#REF!,$I$2,0),0)</f>
        <v>0</v>
      </c>
      <c r="J444" s="9">
        <f>IFERROR(VLOOKUP(B444,cubo!$A$6:$BE$37,24,0)-VLOOKUP(B444,#REF!,$J$2,0),0)</f>
        <v>0</v>
      </c>
      <c r="K444" s="9">
        <f>IFERROR(VLOOKUP(B444,cubo!$A$6:$BE$37,34,0)-VLOOKUP(B444,#REF!,$K$2,0),0)</f>
        <v>0</v>
      </c>
      <c r="L444" s="8">
        <f>IFERROR(VLOOKUP(B444,cubo!$A$6:$BE$37,38,0)-VLOOKUP(B444,#REF!,$L$2,0),0)</f>
        <v>0</v>
      </c>
      <c r="M444" s="15">
        <f>IFERROR(VLOOKUP(B444,cubo!$A$6:$BE$37,57,0)-VLOOKUP(B444,#REF!,$M$2,0),0)</f>
        <v>0</v>
      </c>
      <c r="N444" s="9">
        <f>IFERROR(VLOOKUP(B444,cubo!$A$6:$BK$37,41,0)-VLOOKUP(conciliacao_custos!B444,#REF!,18,0),0)</f>
        <v>0</v>
      </c>
      <c r="O444" s="9">
        <f>IFERROR(VLOOKUP(B444,cubo!$A$6:$BK$37,44,0)-VLOOKUP(conciliacao_custos!B444,#REF!,13,0),0)</f>
        <v>0</v>
      </c>
      <c r="P444" s="9">
        <f>IFERROR(VLOOKUP(B444,cubo!$A$6:$BK$37,47,0)-VLOOKUP(conciliacao_custos!B444,#REF!,14,0),0)</f>
        <v>0</v>
      </c>
      <c r="Q444" s="9">
        <f>IFERROR(VLOOKUP(B444,cubo!$A$6:$BK$37,58,0)-VLOOKUP(conciliacao_custos!B444,#REF!,16,0),0)</f>
        <v>0</v>
      </c>
      <c r="R444" s="9">
        <f>IFERROR(VLOOKUP(B444,cubo!$A$6:$BK$37,64,0)-VLOOKUP(conciliacao_custos!B444,#REF!,17,0),0)</f>
        <v>0</v>
      </c>
      <c r="S444" s="9">
        <f>IFERROR(VLOOKUP(B444,cubo!$A$6:$BK$37,61,0)-VLOOKUP(conciliacao_custos!B444,#REF!,15,0),0)</f>
        <v>0</v>
      </c>
    </row>
    <row r="445" spans="2:19" x14ac:dyDescent="0.25">
      <c r="B445" s="7">
        <f>[1]salario!A444</f>
        <v>0</v>
      </c>
      <c r="C445" s="8">
        <f>[1]salario!C444</f>
        <v>0</v>
      </c>
      <c r="D445" s="10">
        <f>IFERROR(VLOOKUP(B445,cubo!$A$6:$BE$37,6,0)-VLOOKUP(B445,#REF!,$D$2,0),0)</f>
        <v>0</v>
      </c>
      <c r="E445" s="10">
        <f>IFERROR(VLOOKUP(B445,cubo!$A$6:$BE$37,9,0)-VLOOKUP(B445,#REF!,$E$2,0),0)</f>
        <v>0</v>
      </c>
      <c r="F445" s="9">
        <f>IFERROR(VLOOKUP(B445,cubo!$A$6:$BE$37,12,0)-VLOOKUP(B445,#REF!,$F$2,0),0)</f>
        <v>0</v>
      </c>
      <c r="G445" s="9">
        <f>IFERROR(VLOOKUP(B445,cubo!$A$6:$BE$37,54,0)-VLOOKUP(B445,#REF!,$G$2,0),0)</f>
        <v>0</v>
      </c>
      <c r="H445" s="10">
        <f>IFERROR(VLOOKUP(B445,cubo!$A$6:$BE$37,15,0)-VLOOKUP(B445,#REF!,$H$2,0),0)</f>
        <v>0</v>
      </c>
      <c r="I445" s="9">
        <f>IFERROR(VLOOKUP(B445,cubo!$A$6:$BE$37,18,0)-VLOOKUP(B445,#REF!,$I$2,0),0)</f>
        <v>0</v>
      </c>
      <c r="J445" s="9">
        <f>IFERROR(VLOOKUP(B445,cubo!$A$6:$BE$37,24,0)-VLOOKUP(B445,#REF!,$J$2,0),0)</f>
        <v>0</v>
      </c>
      <c r="K445" s="9">
        <f>IFERROR(VLOOKUP(B445,cubo!$A$6:$BE$37,34,0)-VLOOKUP(B445,#REF!,$K$2,0),0)</f>
        <v>0</v>
      </c>
      <c r="L445" s="8">
        <f>IFERROR(VLOOKUP(B445,cubo!$A$6:$BE$37,38,0)-VLOOKUP(B445,#REF!,$L$2,0),0)</f>
        <v>0</v>
      </c>
      <c r="M445" s="15">
        <f>IFERROR(VLOOKUP(B445,cubo!$A$6:$BE$37,57,0)-VLOOKUP(B445,#REF!,$M$2,0),0)</f>
        <v>0</v>
      </c>
      <c r="N445" s="9">
        <f>IFERROR(VLOOKUP(B445,cubo!$A$6:$BK$37,41,0)-VLOOKUP(conciliacao_custos!B445,#REF!,18,0),0)</f>
        <v>0</v>
      </c>
      <c r="O445" s="9">
        <f>IFERROR(VLOOKUP(B445,cubo!$A$6:$BK$37,44,0)-VLOOKUP(conciliacao_custos!B445,#REF!,13,0),0)</f>
        <v>0</v>
      </c>
      <c r="P445" s="9">
        <f>IFERROR(VLOOKUP(B445,cubo!$A$6:$BK$37,47,0)-VLOOKUP(conciliacao_custos!B445,#REF!,14,0),0)</f>
        <v>0</v>
      </c>
      <c r="Q445" s="9">
        <f>IFERROR(VLOOKUP(B445,cubo!$A$6:$BK$37,58,0)-VLOOKUP(conciliacao_custos!B445,#REF!,16,0),0)</f>
        <v>0</v>
      </c>
      <c r="R445" s="9">
        <f>IFERROR(VLOOKUP(B445,cubo!$A$6:$BK$37,64,0)-VLOOKUP(conciliacao_custos!B445,#REF!,17,0),0)</f>
        <v>0</v>
      </c>
      <c r="S445" s="9">
        <f>IFERROR(VLOOKUP(B445,cubo!$A$6:$BK$37,61,0)-VLOOKUP(conciliacao_custos!B445,#REF!,15,0),0)</f>
        <v>0</v>
      </c>
    </row>
    <row r="446" spans="2:19" x14ac:dyDescent="0.25">
      <c r="B446" s="7">
        <f>[1]salario!A445</f>
        <v>0</v>
      </c>
      <c r="C446" s="8">
        <f>[1]salario!C445</f>
        <v>0</v>
      </c>
      <c r="D446" s="10">
        <f>IFERROR(VLOOKUP(B446,cubo!$A$6:$BE$37,6,0)-VLOOKUP(B446,#REF!,$D$2,0),0)</f>
        <v>0</v>
      </c>
      <c r="E446" s="10">
        <f>IFERROR(VLOOKUP(B446,cubo!$A$6:$BE$37,9,0)-VLOOKUP(B446,#REF!,$E$2,0),0)</f>
        <v>0</v>
      </c>
      <c r="F446" s="9">
        <f>IFERROR(VLOOKUP(B446,cubo!$A$6:$BE$37,12,0)-VLOOKUP(B446,#REF!,$F$2,0),0)</f>
        <v>0</v>
      </c>
      <c r="G446" s="9">
        <f>IFERROR(VLOOKUP(B446,cubo!$A$6:$BE$37,54,0)-VLOOKUP(B446,#REF!,$G$2,0),0)</f>
        <v>0</v>
      </c>
      <c r="H446" s="10">
        <f>IFERROR(VLOOKUP(B446,cubo!$A$6:$BE$37,15,0)-VLOOKUP(B446,#REF!,$H$2,0),0)</f>
        <v>0</v>
      </c>
      <c r="I446" s="9">
        <f>IFERROR(VLOOKUP(B446,cubo!$A$6:$BE$37,18,0)-VLOOKUP(B446,#REF!,$I$2,0),0)</f>
        <v>0</v>
      </c>
      <c r="J446" s="9">
        <f>IFERROR(VLOOKUP(B446,cubo!$A$6:$BE$37,24,0)-VLOOKUP(B446,#REF!,$J$2,0),0)</f>
        <v>0</v>
      </c>
      <c r="K446" s="9">
        <f>IFERROR(VLOOKUP(B446,cubo!$A$6:$BE$37,34,0)-VLOOKUP(B446,#REF!,$K$2,0),0)</f>
        <v>0</v>
      </c>
      <c r="L446" s="8">
        <f>IFERROR(VLOOKUP(B446,cubo!$A$6:$BE$37,38,0)-VLOOKUP(B446,#REF!,$L$2,0),0)</f>
        <v>0</v>
      </c>
      <c r="M446" s="15">
        <f>IFERROR(VLOOKUP(B446,cubo!$A$6:$BE$37,57,0)-VLOOKUP(B446,#REF!,$M$2,0),0)</f>
        <v>0</v>
      </c>
      <c r="N446" s="9">
        <f>IFERROR(VLOOKUP(B446,cubo!$A$6:$BK$37,41,0)-VLOOKUP(conciliacao_custos!B446,#REF!,18,0),0)</f>
        <v>0</v>
      </c>
      <c r="O446" s="9">
        <f>IFERROR(VLOOKUP(B446,cubo!$A$6:$BK$37,44,0)-VLOOKUP(conciliacao_custos!B446,#REF!,13,0),0)</f>
        <v>0</v>
      </c>
      <c r="P446" s="9">
        <f>IFERROR(VLOOKUP(B446,cubo!$A$6:$BK$37,47,0)-VLOOKUP(conciliacao_custos!B446,#REF!,14,0),0)</f>
        <v>0</v>
      </c>
      <c r="Q446" s="9">
        <f>IFERROR(VLOOKUP(B446,cubo!$A$6:$BK$37,58,0)-VLOOKUP(conciliacao_custos!B446,#REF!,16,0),0)</f>
        <v>0</v>
      </c>
      <c r="R446" s="9">
        <f>IFERROR(VLOOKUP(B446,cubo!$A$6:$BK$37,64,0)-VLOOKUP(conciliacao_custos!B446,#REF!,17,0),0)</f>
        <v>0</v>
      </c>
      <c r="S446" s="9">
        <f>IFERROR(VLOOKUP(B446,cubo!$A$6:$BK$37,61,0)-VLOOKUP(conciliacao_custos!B446,#REF!,15,0),0)</f>
        <v>0</v>
      </c>
    </row>
    <row r="447" spans="2:19" x14ac:dyDescent="0.25">
      <c r="B447" s="7">
        <f>[1]salario!A446</f>
        <v>0</v>
      </c>
      <c r="C447" s="8">
        <f>[1]salario!C446</f>
        <v>0</v>
      </c>
      <c r="D447" s="10">
        <f>IFERROR(VLOOKUP(B447,cubo!$A$6:$BE$37,6,0)-VLOOKUP(B447,#REF!,$D$2,0),0)</f>
        <v>0</v>
      </c>
      <c r="E447" s="10">
        <f>IFERROR(VLOOKUP(B447,cubo!$A$6:$BE$37,9,0)-VLOOKUP(B447,#REF!,$E$2,0),0)</f>
        <v>0</v>
      </c>
      <c r="F447" s="9">
        <f>IFERROR(VLOOKUP(B447,cubo!$A$6:$BE$37,12,0)-VLOOKUP(B447,#REF!,$F$2,0),0)</f>
        <v>0</v>
      </c>
      <c r="G447" s="9">
        <f>IFERROR(VLOOKUP(B447,cubo!$A$6:$BE$37,54,0)-VLOOKUP(B447,#REF!,$G$2,0),0)</f>
        <v>0</v>
      </c>
      <c r="H447" s="10">
        <f>IFERROR(VLOOKUP(B447,cubo!$A$6:$BE$37,15,0)-VLOOKUP(B447,#REF!,$H$2,0),0)</f>
        <v>0</v>
      </c>
      <c r="I447" s="9">
        <f>IFERROR(VLOOKUP(B447,cubo!$A$6:$BE$37,18,0)-VLOOKUP(B447,#REF!,$I$2,0),0)</f>
        <v>0</v>
      </c>
      <c r="J447" s="9">
        <f>IFERROR(VLOOKUP(B447,cubo!$A$6:$BE$37,24,0)-VLOOKUP(B447,#REF!,$J$2,0),0)</f>
        <v>0</v>
      </c>
      <c r="K447" s="9">
        <f>IFERROR(VLOOKUP(B447,cubo!$A$6:$BE$37,34,0)-VLOOKUP(B447,#REF!,$K$2,0),0)</f>
        <v>0</v>
      </c>
      <c r="L447" s="8">
        <f>IFERROR(VLOOKUP(B447,cubo!$A$6:$BE$37,38,0)-VLOOKUP(B447,#REF!,$L$2,0),0)</f>
        <v>0</v>
      </c>
      <c r="M447" s="15">
        <f>IFERROR(VLOOKUP(B447,cubo!$A$6:$BE$37,57,0)-VLOOKUP(B447,#REF!,$M$2,0),0)</f>
        <v>0</v>
      </c>
      <c r="N447" s="9">
        <f>IFERROR(VLOOKUP(B447,cubo!$A$6:$BK$37,41,0)-VLOOKUP(conciliacao_custos!B447,#REF!,18,0),0)</f>
        <v>0</v>
      </c>
      <c r="O447" s="9">
        <f>IFERROR(VLOOKUP(B447,cubo!$A$6:$BK$37,44,0)-VLOOKUP(conciliacao_custos!B447,#REF!,13,0),0)</f>
        <v>0</v>
      </c>
      <c r="P447" s="9">
        <f>IFERROR(VLOOKUP(B447,cubo!$A$6:$BK$37,47,0)-VLOOKUP(conciliacao_custos!B447,#REF!,14,0),0)</f>
        <v>0</v>
      </c>
      <c r="Q447" s="9">
        <f>IFERROR(VLOOKUP(B447,cubo!$A$6:$BK$37,58,0)-VLOOKUP(conciliacao_custos!B447,#REF!,16,0),0)</f>
        <v>0</v>
      </c>
      <c r="R447" s="9">
        <f>IFERROR(VLOOKUP(B447,cubo!$A$6:$BK$37,64,0)-VLOOKUP(conciliacao_custos!B447,#REF!,17,0),0)</f>
        <v>0</v>
      </c>
      <c r="S447" s="9">
        <f>IFERROR(VLOOKUP(B447,cubo!$A$6:$BK$37,61,0)-VLOOKUP(conciliacao_custos!B447,#REF!,15,0),0)</f>
        <v>0</v>
      </c>
    </row>
    <row r="448" spans="2:19" x14ac:dyDescent="0.25">
      <c r="B448" s="7">
        <f>[1]salario!A447</f>
        <v>0</v>
      </c>
      <c r="C448" s="8">
        <f>[1]salario!C447</f>
        <v>0</v>
      </c>
      <c r="D448" s="10">
        <f>IFERROR(VLOOKUP(B448,cubo!$A$6:$BE$37,6,0)-VLOOKUP(B448,#REF!,$D$2,0),0)</f>
        <v>0</v>
      </c>
      <c r="E448" s="10">
        <f>IFERROR(VLOOKUP(B448,cubo!$A$6:$BE$37,9,0)-VLOOKUP(B448,#REF!,$E$2,0),0)</f>
        <v>0</v>
      </c>
      <c r="F448" s="9">
        <f>IFERROR(VLOOKUP(B448,cubo!$A$6:$BE$37,12,0)-VLOOKUP(B448,#REF!,$F$2,0),0)</f>
        <v>0</v>
      </c>
      <c r="G448" s="9">
        <f>IFERROR(VLOOKUP(B448,cubo!$A$6:$BE$37,54,0)-VLOOKUP(B448,#REF!,$G$2,0),0)</f>
        <v>0</v>
      </c>
      <c r="H448" s="10">
        <f>IFERROR(VLOOKUP(B448,cubo!$A$6:$BE$37,15,0)-VLOOKUP(B448,#REF!,$H$2,0),0)</f>
        <v>0</v>
      </c>
      <c r="I448" s="9">
        <f>IFERROR(VLOOKUP(B448,cubo!$A$6:$BE$37,18,0)-VLOOKUP(B448,#REF!,$I$2,0),0)</f>
        <v>0</v>
      </c>
      <c r="J448" s="9">
        <f>IFERROR(VLOOKUP(B448,cubo!$A$6:$BE$37,24,0)-VLOOKUP(B448,#REF!,$J$2,0),0)</f>
        <v>0</v>
      </c>
      <c r="K448" s="9">
        <f>IFERROR(VLOOKUP(B448,cubo!$A$6:$BE$37,34,0)-VLOOKUP(B448,#REF!,$K$2,0),0)</f>
        <v>0</v>
      </c>
      <c r="L448" s="8">
        <f>IFERROR(VLOOKUP(B448,cubo!$A$6:$BE$37,38,0)-VLOOKUP(B448,#REF!,$L$2,0),0)</f>
        <v>0</v>
      </c>
      <c r="M448" s="15">
        <f>IFERROR(VLOOKUP(B448,cubo!$A$6:$BE$37,57,0)-VLOOKUP(B448,#REF!,$M$2,0),0)</f>
        <v>0</v>
      </c>
      <c r="N448" s="9">
        <f>IFERROR(VLOOKUP(B448,cubo!$A$6:$BK$37,41,0)-VLOOKUP(conciliacao_custos!B448,#REF!,18,0),0)</f>
        <v>0</v>
      </c>
      <c r="O448" s="9">
        <f>IFERROR(VLOOKUP(B448,cubo!$A$6:$BK$37,44,0)-VLOOKUP(conciliacao_custos!B448,#REF!,13,0),0)</f>
        <v>0</v>
      </c>
      <c r="P448" s="9">
        <f>IFERROR(VLOOKUP(B448,cubo!$A$6:$BK$37,47,0)-VLOOKUP(conciliacao_custos!B448,#REF!,14,0),0)</f>
        <v>0</v>
      </c>
      <c r="Q448" s="9">
        <f>IFERROR(VLOOKUP(B448,cubo!$A$6:$BK$37,58,0)-VLOOKUP(conciliacao_custos!B448,#REF!,16,0),0)</f>
        <v>0</v>
      </c>
      <c r="R448" s="9">
        <f>IFERROR(VLOOKUP(B448,cubo!$A$6:$BK$37,64,0)-VLOOKUP(conciliacao_custos!B448,#REF!,17,0),0)</f>
        <v>0</v>
      </c>
      <c r="S448" s="9">
        <f>IFERROR(VLOOKUP(B448,cubo!$A$6:$BK$37,61,0)-VLOOKUP(conciliacao_custos!B448,#REF!,15,0),0)</f>
        <v>0</v>
      </c>
    </row>
    <row r="449" spans="2:19" x14ac:dyDescent="0.25">
      <c r="B449" s="7">
        <f>[1]salario!A448</f>
        <v>0</v>
      </c>
      <c r="C449" s="8">
        <f>[1]salario!C448</f>
        <v>0</v>
      </c>
      <c r="D449" s="10">
        <f>IFERROR(VLOOKUP(B449,cubo!$A$6:$BE$37,6,0)-VLOOKUP(B449,#REF!,$D$2,0),0)</f>
        <v>0</v>
      </c>
      <c r="E449" s="10">
        <f>IFERROR(VLOOKUP(B449,cubo!$A$6:$BE$37,9,0)-VLOOKUP(B449,#REF!,$E$2,0),0)</f>
        <v>0</v>
      </c>
      <c r="F449" s="9">
        <f>IFERROR(VLOOKUP(B449,cubo!$A$6:$BE$37,12,0)-VLOOKUP(B449,#REF!,$F$2,0),0)</f>
        <v>0</v>
      </c>
      <c r="G449" s="9">
        <f>IFERROR(VLOOKUP(B449,cubo!$A$6:$BE$37,54,0)-VLOOKUP(B449,#REF!,$G$2,0),0)</f>
        <v>0</v>
      </c>
      <c r="H449" s="10">
        <f>IFERROR(VLOOKUP(B449,cubo!$A$6:$BE$37,15,0)-VLOOKUP(B449,#REF!,$H$2,0),0)</f>
        <v>0</v>
      </c>
      <c r="I449" s="9">
        <f>IFERROR(VLOOKUP(B449,cubo!$A$6:$BE$37,18,0)-VLOOKUP(B449,#REF!,$I$2,0),0)</f>
        <v>0</v>
      </c>
      <c r="J449" s="9">
        <f>IFERROR(VLOOKUP(B449,cubo!$A$6:$BE$37,24,0)-VLOOKUP(B449,#REF!,$J$2,0),0)</f>
        <v>0</v>
      </c>
      <c r="K449" s="9">
        <f>IFERROR(VLOOKUP(B449,cubo!$A$6:$BE$37,34,0)-VLOOKUP(B449,#REF!,$K$2,0),0)</f>
        <v>0</v>
      </c>
      <c r="L449" s="8">
        <f>IFERROR(VLOOKUP(B449,cubo!$A$6:$BE$37,38,0)-VLOOKUP(B449,#REF!,$L$2,0),0)</f>
        <v>0</v>
      </c>
      <c r="M449" s="15">
        <f>IFERROR(VLOOKUP(B449,cubo!$A$6:$BE$37,57,0)-VLOOKUP(B449,#REF!,$M$2,0),0)</f>
        <v>0</v>
      </c>
      <c r="N449" s="9">
        <f>IFERROR(VLOOKUP(B449,cubo!$A$6:$BK$37,41,0)-VLOOKUP(conciliacao_custos!B449,#REF!,18,0),0)</f>
        <v>0</v>
      </c>
      <c r="O449" s="9">
        <f>IFERROR(VLOOKUP(B449,cubo!$A$6:$BK$37,44,0)-VLOOKUP(conciliacao_custos!B449,#REF!,13,0),0)</f>
        <v>0</v>
      </c>
      <c r="P449" s="9">
        <f>IFERROR(VLOOKUP(B449,cubo!$A$6:$BK$37,47,0)-VLOOKUP(conciliacao_custos!B449,#REF!,14,0),0)</f>
        <v>0</v>
      </c>
      <c r="Q449" s="9">
        <f>IFERROR(VLOOKUP(B449,cubo!$A$6:$BK$37,58,0)-VLOOKUP(conciliacao_custos!B449,#REF!,16,0),0)</f>
        <v>0</v>
      </c>
      <c r="R449" s="9">
        <f>IFERROR(VLOOKUP(B449,cubo!$A$6:$BK$37,64,0)-VLOOKUP(conciliacao_custos!B449,#REF!,17,0),0)</f>
        <v>0</v>
      </c>
      <c r="S449" s="9">
        <f>IFERROR(VLOOKUP(B449,cubo!$A$6:$BK$37,61,0)-VLOOKUP(conciliacao_custos!B449,#REF!,15,0),0)</f>
        <v>0</v>
      </c>
    </row>
    <row r="450" spans="2:19" x14ac:dyDescent="0.25">
      <c r="B450" s="7">
        <f>[1]salario!A449</f>
        <v>0</v>
      </c>
      <c r="C450" s="8">
        <f>[1]salario!C449</f>
        <v>0</v>
      </c>
      <c r="D450" s="10">
        <f>IFERROR(VLOOKUP(B450,cubo!$A$6:$BE$37,6,0)-VLOOKUP(B450,#REF!,$D$2,0),0)</f>
        <v>0</v>
      </c>
      <c r="E450" s="10">
        <f>IFERROR(VLOOKUP(B450,cubo!$A$6:$BE$37,9,0)-VLOOKUP(B450,#REF!,$E$2,0),0)</f>
        <v>0</v>
      </c>
      <c r="F450" s="9">
        <f>IFERROR(VLOOKUP(B450,cubo!$A$6:$BE$37,12,0)-VLOOKUP(B450,#REF!,$F$2,0),0)</f>
        <v>0</v>
      </c>
      <c r="G450" s="9">
        <f>IFERROR(VLOOKUP(B450,cubo!$A$6:$BE$37,54,0)-VLOOKUP(B450,#REF!,$G$2,0),0)</f>
        <v>0</v>
      </c>
      <c r="H450" s="10">
        <f>IFERROR(VLOOKUP(B450,cubo!$A$6:$BE$37,15,0)-VLOOKUP(B450,#REF!,$H$2,0),0)</f>
        <v>0</v>
      </c>
      <c r="I450" s="9">
        <f>IFERROR(VLOOKUP(B450,cubo!$A$6:$BE$37,18,0)-VLOOKUP(B450,#REF!,$I$2,0),0)</f>
        <v>0</v>
      </c>
      <c r="J450" s="9">
        <f>IFERROR(VLOOKUP(B450,cubo!$A$6:$BE$37,24,0)-VLOOKUP(B450,#REF!,$J$2,0),0)</f>
        <v>0</v>
      </c>
      <c r="K450" s="9">
        <f>IFERROR(VLOOKUP(B450,cubo!$A$6:$BE$37,34,0)-VLOOKUP(B450,#REF!,$K$2,0),0)</f>
        <v>0</v>
      </c>
      <c r="L450" s="8">
        <f>IFERROR(VLOOKUP(B450,cubo!$A$6:$BE$37,38,0)-VLOOKUP(B450,#REF!,$L$2,0),0)</f>
        <v>0</v>
      </c>
      <c r="M450" s="15">
        <f>IFERROR(VLOOKUP(B450,cubo!$A$6:$BE$37,57,0)-VLOOKUP(B450,#REF!,$M$2,0),0)</f>
        <v>0</v>
      </c>
      <c r="N450" s="9">
        <f>IFERROR(VLOOKUP(B450,cubo!$A$6:$BK$37,41,0)-VLOOKUP(conciliacao_custos!B450,#REF!,18,0),0)</f>
        <v>0</v>
      </c>
      <c r="O450" s="9">
        <f>IFERROR(VLOOKUP(B450,cubo!$A$6:$BK$37,44,0)-VLOOKUP(conciliacao_custos!B450,#REF!,13,0),0)</f>
        <v>0</v>
      </c>
      <c r="P450" s="9">
        <f>IFERROR(VLOOKUP(B450,cubo!$A$6:$BK$37,47,0)-VLOOKUP(conciliacao_custos!B450,#REF!,14,0),0)</f>
        <v>0</v>
      </c>
      <c r="Q450" s="9">
        <f>IFERROR(VLOOKUP(B450,cubo!$A$6:$BK$37,58,0)-VLOOKUP(conciliacao_custos!B450,#REF!,16,0),0)</f>
        <v>0</v>
      </c>
      <c r="R450" s="9">
        <f>IFERROR(VLOOKUP(B450,cubo!$A$6:$BK$37,64,0)-VLOOKUP(conciliacao_custos!B450,#REF!,17,0),0)</f>
        <v>0</v>
      </c>
      <c r="S450" s="9">
        <f>IFERROR(VLOOKUP(B450,cubo!$A$6:$BK$37,61,0)-VLOOKUP(conciliacao_custos!B450,#REF!,15,0),0)</f>
        <v>0</v>
      </c>
    </row>
    <row r="451" spans="2:19" x14ac:dyDescent="0.25">
      <c r="B451" s="7">
        <f>[1]salario!A450</f>
        <v>0</v>
      </c>
      <c r="C451" s="8">
        <f>[1]salario!C450</f>
        <v>0</v>
      </c>
      <c r="D451" s="10">
        <f>IFERROR(VLOOKUP(B451,cubo!$A$6:$BE$37,6,0)-VLOOKUP(B451,#REF!,$D$2,0),0)</f>
        <v>0</v>
      </c>
      <c r="E451" s="10">
        <f>IFERROR(VLOOKUP(B451,cubo!$A$6:$BE$37,9,0)-VLOOKUP(B451,#REF!,$E$2,0),0)</f>
        <v>0</v>
      </c>
      <c r="F451" s="9">
        <f>IFERROR(VLOOKUP(B451,cubo!$A$6:$BE$37,12,0)-VLOOKUP(B451,#REF!,$F$2,0),0)</f>
        <v>0</v>
      </c>
      <c r="G451" s="9">
        <f>IFERROR(VLOOKUP(B451,cubo!$A$6:$BE$37,54,0)-VLOOKUP(B451,#REF!,$G$2,0),0)</f>
        <v>0</v>
      </c>
      <c r="H451" s="10">
        <f>IFERROR(VLOOKUP(B451,cubo!$A$6:$BE$37,15,0)-VLOOKUP(B451,#REF!,$H$2,0),0)</f>
        <v>0</v>
      </c>
      <c r="I451" s="9">
        <f>IFERROR(VLOOKUP(B451,cubo!$A$6:$BE$37,18,0)-VLOOKUP(B451,#REF!,$I$2,0),0)</f>
        <v>0</v>
      </c>
      <c r="J451" s="9">
        <f>IFERROR(VLOOKUP(B451,cubo!$A$6:$BE$37,24,0)-VLOOKUP(B451,#REF!,$J$2,0),0)</f>
        <v>0</v>
      </c>
      <c r="K451" s="9">
        <f>IFERROR(VLOOKUP(B451,cubo!$A$6:$BE$37,34,0)-VLOOKUP(B451,#REF!,$K$2,0),0)</f>
        <v>0</v>
      </c>
      <c r="L451" s="8">
        <f>IFERROR(VLOOKUP(B451,cubo!$A$6:$BE$37,38,0)-VLOOKUP(B451,#REF!,$L$2,0),0)</f>
        <v>0</v>
      </c>
      <c r="M451" s="15">
        <f>IFERROR(VLOOKUP(B451,cubo!$A$6:$BE$37,57,0)-VLOOKUP(B451,#REF!,$M$2,0),0)</f>
        <v>0</v>
      </c>
      <c r="N451" s="9">
        <f>IFERROR(VLOOKUP(B451,cubo!$A$6:$BK$37,41,0)-VLOOKUP(conciliacao_custos!B451,#REF!,18,0),0)</f>
        <v>0</v>
      </c>
      <c r="O451" s="9">
        <f>IFERROR(VLOOKUP(B451,cubo!$A$6:$BK$37,44,0)-VLOOKUP(conciliacao_custos!B451,#REF!,13,0),0)</f>
        <v>0</v>
      </c>
      <c r="P451" s="9">
        <f>IFERROR(VLOOKUP(B451,cubo!$A$6:$BK$37,47,0)-VLOOKUP(conciliacao_custos!B451,#REF!,14,0),0)</f>
        <v>0</v>
      </c>
      <c r="Q451" s="9">
        <f>IFERROR(VLOOKUP(B451,cubo!$A$6:$BK$37,58,0)-VLOOKUP(conciliacao_custos!B451,#REF!,16,0),0)</f>
        <v>0</v>
      </c>
      <c r="R451" s="9">
        <f>IFERROR(VLOOKUP(B451,cubo!$A$6:$BK$37,64,0)-VLOOKUP(conciliacao_custos!B451,#REF!,17,0),0)</f>
        <v>0</v>
      </c>
      <c r="S451" s="9">
        <f>IFERROR(VLOOKUP(B451,cubo!$A$6:$BK$37,61,0)-VLOOKUP(conciliacao_custos!B451,#REF!,15,0),0)</f>
        <v>0</v>
      </c>
    </row>
    <row r="452" spans="2:19" x14ac:dyDescent="0.25">
      <c r="B452" s="7">
        <f>[1]salario!A451</f>
        <v>0</v>
      </c>
      <c r="C452" s="8">
        <f>[1]salario!C451</f>
        <v>0</v>
      </c>
      <c r="D452" s="10">
        <f>IFERROR(VLOOKUP(B452,cubo!$A$6:$BE$37,6,0)-VLOOKUP(B452,#REF!,$D$2,0),0)</f>
        <v>0</v>
      </c>
      <c r="E452" s="10">
        <f>IFERROR(VLOOKUP(B452,cubo!$A$6:$BE$37,9,0)-VLOOKUP(B452,#REF!,$E$2,0),0)</f>
        <v>0</v>
      </c>
      <c r="F452" s="9">
        <f>IFERROR(VLOOKUP(B452,cubo!$A$6:$BE$37,12,0)-VLOOKUP(B452,#REF!,$F$2,0),0)</f>
        <v>0</v>
      </c>
      <c r="G452" s="9">
        <f>IFERROR(VLOOKUP(B452,cubo!$A$6:$BE$37,54,0)-VLOOKUP(B452,#REF!,$G$2,0),0)</f>
        <v>0</v>
      </c>
      <c r="H452" s="10">
        <f>IFERROR(VLOOKUP(B452,cubo!$A$6:$BE$37,15,0)-VLOOKUP(B452,#REF!,$H$2,0),0)</f>
        <v>0</v>
      </c>
      <c r="I452" s="9">
        <f>IFERROR(VLOOKUP(B452,cubo!$A$6:$BE$37,18,0)-VLOOKUP(B452,#REF!,$I$2,0),0)</f>
        <v>0</v>
      </c>
      <c r="J452" s="9">
        <f>IFERROR(VLOOKUP(B452,cubo!$A$6:$BE$37,24,0)-VLOOKUP(B452,#REF!,$J$2,0),0)</f>
        <v>0</v>
      </c>
      <c r="K452" s="9">
        <f>IFERROR(VLOOKUP(B452,cubo!$A$6:$BE$37,34,0)-VLOOKUP(B452,#REF!,$K$2,0),0)</f>
        <v>0</v>
      </c>
      <c r="L452" s="8">
        <f>IFERROR(VLOOKUP(B452,cubo!$A$6:$BE$37,38,0)-VLOOKUP(B452,#REF!,$L$2,0),0)</f>
        <v>0</v>
      </c>
      <c r="M452" s="15">
        <f>IFERROR(VLOOKUP(B452,cubo!$A$6:$BE$37,57,0)-VLOOKUP(B452,#REF!,$M$2,0),0)</f>
        <v>0</v>
      </c>
      <c r="N452" s="9">
        <f>IFERROR(VLOOKUP(B452,cubo!$A$6:$BK$37,41,0)-VLOOKUP(conciliacao_custos!B452,#REF!,18,0),0)</f>
        <v>0</v>
      </c>
      <c r="O452" s="9">
        <f>IFERROR(VLOOKUP(B452,cubo!$A$6:$BK$37,44,0)-VLOOKUP(conciliacao_custos!B452,#REF!,13,0),0)</f>
        <v>0</v>
      </c>
      <c r="P452" s="9">
        <f>IFERROR(VLOOKUP(B452,cubo!$A$6:$BK$37,47,0)-VLOOKUP(conciliacao_custos!B452,#REF!,14,0),0)</f>
        <v>0</v>
      </c>
      <c r="Q452" s="9">
        <f>IFERROR(VLOOKUP(B452,cubo!$A$6:$BK$37,58,0)-VLOOKUP(conciliacao_custos!B452,#REF!,16,0),0)</f>
        <v>0</v>
      </c>
      <c r="R452" s="9">
        <f>IFERROR(VLOOKUP(B452,cubo!$A$6:$BK$37,64,0)-VLOOKUP(conciliacao_custos!B452,#REF!,17,0),0)</f>
        <v>0</v>
      </c>
      <c r="S452" s="9">
        <f>IFERROR(VLOOKUP(B452,cubo!$A$6:$BK$37,61,0)-VLOOKUP(conciliacao_custos!B452,#REF!,15,0),0)</f>
        <v>0</v>
      </c>
    </row>
    <row r="453" spans="2:19" x14ac:dyDescent="0.25">
      <c r="B453" s="7">
        <f>[1]salario!A452</f>
        <v>0</v>
      </c>
      <c r="C453" s="8">
        <f>[1]salario!C452</f>
        <v>0</v>
      </c>
      <c r="D453" s="10">
        <f>IFERROR(VLOOKUP(B453,cubo!$A$6:$BE$37,6,0)-VLOOKUP(B453,#REF!,$D$2,0),0)</f>
        <v>0</v>
      </c>
      <c r="E453" s="10">
        <f>IFERROR(VLOOKUP(B453,cubo!$A$6:$BE$37,9,0)-VLOOKUP(B453,#REF!,$E$2,0),0)</f>
        <v>0</v>
      </c>
      <c r="F453" s="9">
        <f>IFERROR(VLOOKUP(B453,cubo!$A$6:$BE$37,12,0)-VLOOKUP(B453,#REF!,$F$2,0),0)</f>
        <v>0</v>
      </c>
      <c r="G453" s="9">
        <f>IFERROR(VLOOKUP(B453,cubo!$A$6:$BE$37,54,0)-VLOOKUP(B453,#REF!,$G$2,0),0)</f>
        <v>0</v>
      </c>
      <c r="H453" s="10">
        <f>IFERROR(VLOOKUP(B453,cubo!$A$6:$BE$37,15,0)-VLOOKUP(B453,#REF!,$H$2,0),0)</f>
        <v>0</v>
      </c>
      <c r="I453" s="9">
        <f>IFERROR(VLOOKUP(B453,cubo!$A$6:$BE$37,18,0)-VLOOKUP(B453,#REF!,$I$2,0),0)</f>
        <v>0</v>
      </c>
      <c r="J453" s="9">
        <f>IFERROR(VLOOKUP(B453,cubo!$A$6:$BE$37,24,0)-VLOOKUP(B453,#REF!,$J$2,0),0)</f>
        <v>0</v>
      </c>
      <c r="K453" s="9">
        <f>IFERROR(VLOOKUP(B453,cubo!$A$6:$BE$37,34,0)-VLOOKUP(B453,#REF!,$K$2,0),0)</f>
        <v>0</v>
      </c>
      <c r="L453" s="8">
        <f>IFERROR(VLOOKUP(B453,cubo!$A$6:$BE$37,38,0)-VLOOKUP(B453,#REF!,$L$2,0),0)</f>
        <v>0</v>
      </c>
      <c r="M453" s="15">
        <f>IFERROR(VLOOKUP(B453,cubo!$A$6:$BE$37,57,0)-VLOOKUP(B453,#REF!,$M$2,0),0)</f>
        <v>0</v>
      </c>
      <c r="N453" s="9">
        <f>IFERROR(VLOOKUP(B453,cubo!$A$6:$BK$37,41,0)-VLOOKUP(conciliacao_custos!B453,#REF!,18,0),0)</f>
        <v>0</v>
      </c>
      <c r="O453" s="9">
        <f>IFERROR(VLOOKUP(B453,cubo!$A$6:$BK$37,44,0)-VLOOKUP(conciliacao_custos!B453,#REF!,13,0),0)</f>
        <v>0</v>
      </c>
      <c r="P453" s="9">
        <f>IFERROR(VLOOKUP(B453,cubo!$A$6:$BK$37,47,0)-VLOOKUP(conciliacao_custos!B453,#REF!,14,0),0)</f>
        <v>0</v>
      </c>
      <c r="Q453" s="9">
        <f>IFERROR(VLOOKUP(B453,cubo!$A$6:$BK$37,58,0)-VLOOKUP(conciliacao_custos!B453,#REF!,16,0),0)</f>
        <v>0</v>
      </c>
      <c r="R453" s="9">
        <f>IFERROR(VLOOKUP(B453,cubo!$A$6:$BK$37,64,0)-VLOOKUP(conciliacao_custos!B453,#REF!,17,0),0)</f>
        <v>0</v>
      </c>
      <c r="S453" s="9">
        <f>IFERROR(VLOOKUP(B453,cubo!$A$6:$BK$37,61,0)-VLOOKUP(conciliacao_custos!B453,#REF!,15,0),0)</f>
        <v>0</v>
      </c>
    </row>
    <row r="454" spans="2:19" x14ac:dyDescent="0.25">
      <c r="B454" s="7">
        <f>[1]salario!A453</f>
        <v>0</v>
      </c>
      <c r="C454" s="8">
        <f>[1]salario!C453</f>
        <v>0</v>
      </c>
      <c r="D454" s="10">
        <f>IFERROR(VLOOKUP(B454,cubo!$A$6:$BE$37,6,0)-VLOOKUP(B454,#REF!,$D$2,0),0)</f>
        <v>0</v>
      </c>
      <c r="E454" s="10">
        <f>IFERROR(VLOOKUP(B454,cubo!$A$6:$BE$37,9,0)-VLOOKUP(B454,#REF!,$E$2,0),0)</f>
        <v>0</v>
      </c>
      <c r="F454" s="9">
        <f>IFERROR(VLOOKUP(B454,cubo!$A$6:$BE$37,12,0)-VLOOKUP(B454,#REF!,$F$2,0),0)</f>
        <v>0</v>
      </c>
      <c r="G454" s="9">
        <f>IFERROR(VLOOKUP(B454,cubo!$A$6:$BE$37,54,0)-VLOOKUP(B454,#REF!,$G$2,0),0)</f>
        <v>0</v>
      </c>
      <c r="H454" s="10">
        <f>IFERROR(VLOOKUP(B454,cubo!$A$6:$BE$37,15,0)-VLOOKUP(B454,#REF!,$H$2,0),0)</f>
        <v>0</v>
      </c>
      <c r="I454" s="9">
        <f>IFERROR(VLOOKUP(B454,cubo!$A$6:$BE$37,18,0)-VLOOKUP(B454,#REF!,$I$2,0),0)</f>
        <v>0</v>
      </c>
      <c r="J454" s="9">
        <f>IFERROR(VLOOKUP(B454,cubo!$A$6:$BE$37,24,0)-VLOOKUP(B454,#REF!,$J$2,0),0)</f>
        <v>0</v>
      </c>
      <c r="K454" s="9">
        <f>IFERROR(VLOOKUP(B454,cubo!$A$6:$BE$37,34,0)-VLOOKUP(B454,#REF!,$K$2,0),0)</f>
        <v>0</v>
      </c>
      <c r="L454" s="8">
        <f>IFERROR(VLOOKUP(B454,cubo!$A$6:$BE$37,38,0)-VLOOKUP(B454,#REF!,$L$2,0),0)</f>
        <v>0</v>
      </c>
      <c r="M454" s="15">
        <f>IFERROR(VLOOKUP(B454,cubo!$A$6:$BE$37,57,0)-VLOOKUP(B454,#REF!,$M$2,0),0)</f>
        <v>0</v>
      </c>
      <c r="N454" s="9">
        <f>IFERROR(VLOOKUP(B454,cubo!$A$6:$BK$37,41,0)-VLOOKUP(conciliacao_custos!B454,#REF!,18,0),0)</f>
        <v>0</v>
      </c>
      <c r="O454" s="9">
        <f>IFERROR(VLOOKUP(B454,cubo!$A$6:$BK$37,44,0)-VLOOKUP(conciliacao_custos!B454,#REF!,13,0),0)</f>
        <v>0</v>
      </c>
      <c r="P454" s="9">
        <f>IFERROR(VLOOKUP(B454,cubo!$A$6:$BK$37,47,0)-VLOOKUP(conciliacao_custos!B454,#REF!,14,0),0)</f>
        <v>0</v>
      </c>
      <c r="Q454" s="9">
        <f>IFERROR(VLOOKUP(B454,cubo!$A$6:$BK$37,58,0)-VLOOKUP(conciliacao_custos!B454,#REF!,16,0),0)</f>
        <v>0</v>
      </c>
      <c r="R454" s="9">
        <f>IFERROR(VLOOKUP(B454,cubo!$A$6:$BK$37,64,0)-VLOOKUP(conciliacao_custos!B454,#REF!,17,0),0)</f>
        <v>0</v>
      </c>
      <c r="S454" s="9">
        <f>IFERROR(VLOOKUP(B454,cubo!$A$6:$BK$37,61,0)-VLOOKUP(conciliacao_custos!B454,#REF!,15,0),0)</f>
        <v>0</v>
      </c>
    </row>
    <row r="455" spans="2:19" x14ac:dyDescent="0.25">
      <c r="B455" s="7">
        <f>[1]salario!A454</f>
        <v>0</v>
      </c>
      <c r="C455" s="8">
        <f>[1]salario!C454</f>
        <v>0</v>
      </c>
      <c r="D455" s="10">
        <f>IFERROR(VLOOKUP(B455,cubo!$A$6:$BE$37,6,0)-VLOOKUP(B455,#REF!,$D$2,0),0)</f>
        <v>0</v>
      </c>
      <c r="E455" s="10">
        <f>IFERROR(VLOOKUP(B455,cubo!$A$6:$BE$37,9,0)-VLOOKUP(B455,#REF!,$E$2,0),0)</f>
        <v>0</v>
      </c>
      <c r="F455" s="9">
        <f>IFERROR(VLOOKUP(B455,cubo!$A$6:$BE$37,12,0)-VLOOKUP(B455,#REF!,$F$2,0),0)</f>
        <v>0</v>
      </c>
      <c r="G455" s="9">
        <f>IFERROR(VLOOKUP(B455,cubo!$A$6:$BE$37,54,0)-VLOOKUP(B455,#REF!,$G$2,0),0)</f>
        <v>0</v>
      </c>
      <c r="H455" s="10">
        <f>IFERROR(VLOOKUP(B455,cubo!$A$6:$BE$37,15,0)-VLOOKUP(B455,#REF!,$H$2,0),0)</f>
        <v>0</v>
      </c>
      <c r="I455" s="9">
        <f>IFERROR(VLOOKUP(B455,cubo!$A$6:$BE$37,18,0)-VLOOKUP(B455,#REF!,$I$2,0),0)</f>
        <v>0</v>
      </c>
      <c r="J455" s="9">
        <f>IFERROR(VLOOKUP(B455,cubo!$A$6:$BE$37,24,0)-VLOOKUP(B455,#REF!,$J$2,0),0)</f>
        <v>0</v>
      </c>
      <c r="K455" s="9">
        <f>IFERROR(VLOOKUP(B455,cubo!$A$6:$BE$37,34,0)-VLOOKUP(B455,#REF!,$K$2,0),0)</f>
        <v>0</v>
      </c>
      <c r="L455" s="8">
        <f>IFERROR(VLOOKUP(B455,cubo!$A$6:$BE$37,38,0)-VLOOKUP(B455,#REF!,$L$2,0),0)</f>
        <v>0</v>
      </c>
      <c r="M455" s="15">
        <f>IFERROR(VLOOKUP(B455,cubo!$A$6:$BE$37,57,0)-VLOOKUP(B455,#REF!,$M$2,0),0)</f>
        <v>0</v>
      </c>
      <c r="N455" s="9">
        <f>IFERROR(VLOOKUP(B455,cubo!$A$6:$BK$37,41,0)-VLOOKUP(conciliacao_custos!B455,#REF!,18,0),0)</f>
        <v>0</v>
      </c>
      <c r="O455" s="9">
        <f>IFERROR(VLOOKUP(B455,cubo!$A$6:$BK$37,44,0)-VLOOKUP(conciliacao_custos!B455,#REF!,13,0),0)</f>
        <v>0</v>
      </c>
      <c r="P455" s="9">
        <f>IFERROR(VLOOKUP(B455,cubo!$A$6:$BK$37,47,0)-VLOOKUP(conciliacao_custos!B455,#REF!,14,0),0)</f>
        <v>0</v>
      </c>
      <c r="Q455" s="9">
        <f>IFERROR(VLOOKUP(B455,cubo!$A$6:$BK$37,58,0)-VLOOKUP(conciliacao_custos!B455,#REF!,16,0),0)</f>
        <v>0</v>
      </c>
      <c r="R455" s="9">
        <f>IFERROR(VLOOKUP(B455,cubo!$A$6:$BK$37,64,0)-VLOOKUP(conciliacao_custos!B455,#REF!,17,0),0)</f>
        <v>0</v>
      </c>
      <c r="S455" s="9">
        <f>IFERROR(VLOOKUP(B455,cubo!$A$6:$BK$37,61,0)-VLOOKUP(conciliacao_custos!B455,#REF!,15,0),0)</f>
        <v>0</v>
      </c>
    </row>
    <row r="456" spans="2:19" x14ac:dyDescent="0.25">
      <c r="B456" s="7">
        <f>[1]salario!A455</f>
        <v>0</v>
      </c>
      <c r="C456" s="8">
        <f>[1]salario!C455</f>
        <v>0</v>
      </c>
      <c r="D456" s="10">
        <f>IFERROR(VLOOKUP(B456,cubo!$A$6:$BE$37,6,0)-VLOOKUP(B456,#REF!,$D$2,0),0)</f>
        <v>0</v>
      </c>
      <c r="E456" s="10">
        <f>IFERROR(VLOOKUP(B456,cubo!$A$6:$BE$37,9,0)-VLOOKUP(B456,#REF!,$E$2,0),0)</f>
        <v>0</v>
      </c>
      <c r="F456" s="9">
        <f>IFERROR(VLOOKUP(B456,cubo!$A$6:$BE$37,12,0)-VLOOKUP(B456,#REF!,$F$2,0),0)</f>
        <v>0</v>
      </c>
      <c r="G456" s="9">
        <f>IFERROR(VLOOKUP(B456,cubo!$A$6:$BE$37,54,0)-VLOOKUP(B456,#REF!,$G$2,0),0)</f>
        <v>0</v>
      </c>
      <c r="H456" s="10">
        <f>IFERROR(VLOOKUP(B456,cubo!$A$6:$BE$37,15,0)-VLOOKUP(B456,#REF!,$H$2,0),0)</f>
        <v>0</v>
      </c>
      <c r="I456" s="9">
        <f>IFERROR(VLOOKUP(B456,cubo!$A$6:$BE$37,18,0)-VLOOKUP(B456,#REF!,$I$2,0),0)</f>
        <v>0</v>
      </c>
      <c r="J456" s="9">
        <f>IFERROR(VLOOKUP(B456,cubo!$A$6:$BE$37,24,0)-VLOOKUP(B456,#REF!,$J$2,0),0)</f>
        <v>0</v>
      </c>
      <c r="K456" s="9">
        <f>IFERROR(VLOOKUP(B456,cubo!$A$6:$BE$37,34,0)-VLOOKUP(B456,#REF!,$K$2,0),0)</f>
        <v>0</v>
      </c>
      <c r="L456" s="8">
        <f>IFERROR(VLOOKUP(B456,cubo!$A$6:$BE$37,38,0)-VLOOKUP(B456,#REF!,$L$2,0),0)</f>
        <v>0</v>
      </c>
      <c r="M456" s="15">
        <f>IFERROR(VLOOKUP(B456,cubo!$A$6:$BE$37,57,0)-VLOOKUP(B456,#REF!,$M$2,0),0)</f>
        <v>0</v>
      </c>
      <c r="N456" s="9">
        <f>IFERROR(VLOOKUP(B456,cubo!$A$6:$BK$37,41,0)-VLOOKUP(conciliacao_custos!B456,#REF!,18,0),0)</f>
        <v>0</v>
      </c>
      <c r="O456" s="9">
        <f>IFERROR(VLOOKUP(B456,cubo!$A$6:$BK$37,44,0)-VLOOKUP(conciliacao_custos!B456,#REF!,13,0),0)</f>
        <v>0</v>
      </c>
      <c r="P456" s="9">
        <f>IFERROR(VLOOKUP(B456,cubo!$A$6:$BK$37,47,0)-VLOOKUP(conciliacao_custos!B456,#REF!,14,0),0)</f>
        <v>0</v>
      </c>
      <c r="Q456" s="9">
        <f>IFERROR(VLOOKUP(B456,cubo!$A$6:$BK$37,58,0)-VLOOKUP(conciliacao_custos!B456,#REF!,16,0),0)</f>
        <v>0</v>
      </c>
      <c r="R456" s="9">
        <f>IFERROR(VLOOKUP(B456,cubo!$A$6:$BK$37,64,0)-VLOOKUP(conciliacao_custos!B456,#REF!,17,0),0)</f>
        <v>0</v>
      </c>
      <c r="S456" s="9">
        <f>IFERROR(VLOOKUP(B456,cubo!$A$6:$BK$37,61,0)-VLOOKUP(conciliacao_custos!B456,#REF!,15,0),0)</f>
        <v>0</v>
      </c>
    </row>
    <row r="457" spans="2:19" x14ac:dyDescent="0.25">
      <c r="B457" s="7">
        <f>[1]salario!A456</f>
        <v>0</v>
      </c>
      <c r="C457" s="8">
        <f>[1]salario!C456</f>
        <v>0</v>
      </c>
      <c r="D457" s="10">
        <f>IFERROR(VLOOKUP(B457,cubo!$A$6:$BE$37,6,0)-VLOOKUP(B457,#REF!,$D$2,0),0)</f>
        <v>0</v>
      </c>
      <c r="E457" s="10">
        <f>IFERROR(VLOOKUP(B457,cubo!$A$6:$BE$37,9,0)-VLOOKUP(B457,#REF!,$E$2,0),0)</f>
        <v>0</v>
      </c>
      <c r="F457" s="9">
        <f>IFERROR(VLOOKUP(B457,cubo!$A$6:$BE$37,12,0)-VLOOKUP(B457,#REF!,$F$2,0),0)</f>
        <v>0</v>
      </c>
      <c r="G457" s="9">
        <f>IFERROR(VLOOKUP(B457,cubo!$A$6:$BE$37,54,0)-VLOOKUP(B457,#REF!,$G$2,0),0)</f>
        <v>0</v>
      </c>
      <c r="H457" s="10">
        <f>IFERROR(VLOOKUP(B457,cubo!$A$6:$BE$37,15,0)-VLOOKUP(B457,#REF!,$H$2,0),0)</f>
        <v>0</v>
      </c>
      <c r="I457" s="9">
        <f>IFERROR(VLOOKUP(B457,cubo!$A$6:$BE$37,18,0)-VLOOKUP(B457,#REF!,$I$2,0),0)</f>
        <v>0</v>
      </c>
      <c r="J457" s="9">
        <f>IFERROR(VLOOKUP(B457,cubo!$A$6:$BE$37,24,0)-VLOOKUP(B457,#REF!,$J$2,0),0)</f>
        <v>0</v>
      </c>
      <c r="K457" s="9">
        <f>IFERROR(VLOOKUP(B457,cubo!$A$6:$BE$37,34,0)-VLOOKUP(B457,#REF!,$K$2,0),0)</f>
        <v>0</v>
      </c>
      <c r="L457" s="8">
        <f>IFERROR(VLOOKUP(B457,cubo!$A$6:$BE$37,38,0)-VLOOKUP(B457,#REF!,$L$2,0),0)</f>
        <v>0</v>
      </c>
      <c r="M457" s="15">
        <f>IFERROR(VLOOKUP(B457,cubo!$A$6:$BE$37,57,0)-VLOOKUP(B457,#REF!,$M$2,0),0)</f>
        <v>0</v>
      </c>
      <c r="N457" s="9">
        <f>IFERROR(VLOOKUP(B457,cubo!$A$6:$BK$37,41,0)-VLOOKUP(conciliacao_custos!B457,#REF!,18,0),0)</f>
        <v>0</v>
      </c>
      <c r="O457" s="9">
        <f>IFERROR(VLOOKUP(B457,cubo!$A$6:$BK$37,44,0)-VLOOKUP(conciliacao_custos!B457,#REF!,13,0),0)</f>
        <v>0</v>
      </c>
      <c r="P457" s="9">
        <f>IFERROR(VLOOKUP(B457,cubo!$A$6:$BK$37,47,0)-VLOOKUP(conciliacao_custos!B457,#REF!,14,0),0)</f>
        <v>0</v>
      </c>
      <c r="Q457" s="9">
        <f>IFERROR(VLOOKUP(B457,cubo!$A$6:$BK$37,58,0)-VLOOKUP(conciliacao_custos!B457,#REF!,16,0),0)</f>
        <v>0</v>
      </c>
      <c r="R457" s="9">
        <f>IFERROR(VLOOKUP(B457,cubo!$A$6:$BK$37,64,0)-VLOOKUP(conciliacao_custos!B457,#REF!,17,0),0)</f>
        <v>0</v>
      </c>
      <c r="S457" s="9">
        <f>IFERROR(VLOOKUP(B457,cubo!$A$6:$BK$37,61,0)-VLOOKUP(conciliacao_custos!B457,#REF!,15,0),0)</f>
        <v>0</v>
      </c>
    </row>
    <row r="458" spans="2:19" x14ac:dyDescent="0.25">
      <c r="B458" s="7">
        <f>[1]salario!A457</f>
        <v>0</v>
      </c>
      <c r="C458" s="8">
        <f>[1]salario!C457</f>
        <v>0</v>
      </c>
      <c r="D458" s="10">
        <f>IFERROR(VLOOKUP(B458,cubo!$A$6:$BE$37,6,0)-VLOOKUP(B458,#REF!,$D$2,0),0)</f>
        <v>0</v>
      </c>
      <c r="E458" s="10">
        <f>IFERROR(VLOOKUP(B458,cubo!$A$6:$BE$37,9,0)-VLOOKUP(B458,#REF!,$E$2,0),0)</f>
        <v>0</v>
      </c>
      <c r="F458" s="9">
        <f>IFERROR(VLOOKUP(B458,cubo!$A$6:$BE$37,12,0)-VLOOKUP(B458,#REF!,$F$2,0),0)</f>
        <v>0</v>
      </c>
      <c r="G458" s="9">
        <f>IFERROR(VLOOKUP(B458,cubo!$A$6:$BE$37,54,0)-VLOOKUP(B458,#REF!,$G$2,0),0)</f>
        <v>0</v>
      </c>
      <c r="H458" s="10">
        <f>IFERROR(VLOOKUP(B458,cubo!$A$6:$BE$37,15,0)-VLOOKUP(B458,#REF!,$H$2,0),0)</f>
        <v>0</v>
      </c>
      <c r="I458" s="9">
        <f>IFERROR(VLOOKUP(B458,cubo!$A$6:$BE$37,18,0)-VLOOKUP(B458,#REF!,$I$2,0),0)</f>
        <v>0</v>
      </c>
      <c r="J458" s="9">
        <f>IFERROR(VLOOKUP(B458,cubo!$A$6:$BE$37,24,0)-VLOOKUP(B458,#REF!,$J$2,0),0)</f>
        <v>0</v>
      </c>
      <c r="K458" s="9">
        <f>IFERROR(VLOOKUP(B458,cubo!$A$6:$BE$37,34,0)-VLOOKUP(B458,#REF!,$K$2,0),0)</f>
        <v>0</v>
      </c>
      <c r="L458" s="8">
        <f>IFERROR(VLOOKUP(B458,cubo!$A$6:$BE$37,38,0)-VLOOKUP(B458,#REF!,$L$2,0),0)</f>
        <v>0</v>
      </c>
      <c r="M458" s="15">
        <f>IFERROR(VLOOKUP(B458,cubo!$A$6:$BE$37,57,0)-VLOOKUP(B458,#REF!,$M$2,0),0)</f>
        <v>0</v>
      </c>
      <c r="N458" s="9">
        <f>IFERROR(VLOOKUP(B458,cubo!$A$6:$BK$37,41,0)-VLOOKUP(conciliacao_custos!B458,#REF!,18,0),0)</f>
        <v>0</v>
      </c>
      <c r="O458" s="9">
        <f>IFERROR(VLOOKUP(B458,cubo!$A$6:$BK$37,44,0)-VLOOKUP(conciliacao_custos!B458,#REF!,13,0),0)</f>
        <v>0</v>
      </c>
      <c r="P458" s="9">
        <f>IFERROR(VLOOKUP(B458,cubo!$A$6:$BK$37,47,0)-VLOOKUP(conciliacao_custos!B458,#REF!,14,0),0)</f>
        <v>0</v>
      </c>
      <c r="Q458" s="9">
        <f>IFERROR(VLOOKUP(B458,cubo!$A$6:$BK$37,58,0)-VLOOKUP(conciliacao_custos!B458,#REF!,16,0),0)</f>
        <v>0</v>
      </c>
      <c r="R458" s="9">
        <f>IFERROR(VLOOKUP(B458,cubo!$A$6:$BK$37,64,0)-VLOOKUP(conciliacao_custos!B458,#REF!,17,0),0)</f>
        <v>0</v>
      </c>
      <c r="S458" s="9">
        <f>IFERROR(VLOOKUP(B458,cubo!$A$6:$BK$37,61,0)-VLOOKUP(conciliacao_custos!B458,#REF!,15,0),0)</f>
        <v>0</v>
      </c>
    </row>
    <row r="459" spans="2:19" x14ac:dyDescent="0.25">
      <c r="B459" s="7">
        <f>[1]salario!A458</f>
        <v>0</v>
      </c>
      <c r="C459" s="8">
        <f>[1]salario!C458</f>
        <v>0</v>
      </c>
      <c r="D459" s="10">
        <f>IFERROR(VLOOKUP(B459,cubo!$A$6:$BE$37,6,0)-VLOOKUP(B459,#REF!,$D$2,0),0)</f>
        <v>0</v>
      </c>
      <c r="E459" s="10">
        <f>IFERROR(VLOOKUP(B459,cubo!$A$6:$BE$37,9,0)-VLOOKUP(B459,#REF!,$E$2,0),0)</f>
        <v>0</v>
      </c>
      <c r="F459" s="9">
        <f>IFERROR(VLOOKUP(B459,cubo!$A$6:$BE$37,12,0)-VLOOKUP(B459,#REF!,$F$2,0),0)</f>
        <v>0</v>
      </c>
      <c r="G459" s="9">
        <f>IFERROR(VLOOKUP(B459,cubo!$A$6:$BE$37,54,0)-VLOOKUP(B459,#REF!,$G$2,0),0)</f>
        <v>0</v>
      </c>
      <c r="H459" s="10">
        <f>IFERROR(VLOOKUP(B459,cubo!$A$6:$BE$37,15,0)-VLOOKUP(B459,#REF!,$H$2,0),0)</f>
        <v>0</v>
      </c>
      <c r="I459" s="9">
        <f>IFERROR(VLOOKUP(B459,cubo!$A$6:$BE$37,18,0)-VLOOKUP(B459,#REF!,$I$2,0),0)</f>
        <v>0</v>
      </c>
      <c r="J459" s="9">
        <f>IFERROR(VLOOKUP(B459,cubo!$A$6:$BE$37,24,0)-VLOOKUP(B459,#REF!,$J$2,0),0)</f>
        <v>0</v>
      </c>
      <c r="K459" s="9">
        <f>IFERROR(VLOOKUP(B459,cubo!$A$6:$BE$37,34,0)-VLOOKUP(B459,#REF!,$K$2,0),0)</f>
        <v>0</v>
      </c>
      <c r="L459" s="8">
        <f>IFERROR(VLOOKUP(B459,cubo!$A$6:$BE$37,38,0)-VLOOKUP(B459,#REF!,$L$2,0),0)</f>
        <v>0</v>
      </c>
      <c r="M459" s="15">
        <f>IFERROR(VLOOKUP(B459,cubo!$A$6:$BE$37,57,0)-VLOOKUP(B459,#REF!,$M$2,0),0)</f>
        <v>0</v>
      </c>
      <c r="N459" s="9">
        <f>IFERROR(VLOOKUP(B459,cubo!$A$6:$BK$37,41,0)-VLOOKUP(conciliacao_custos!B459,#REF!,18,0),0)</f>
        <v>0</v>
      </c>
      <c r="O459" s="9">
        <f>IFERROR(VLOOKUP(B459,cubo!$A$6:$BK$37,44,0)-VLOOKUP(conciliacao_custos!B459,#REF!,13,0),0)</f>
        <v>0</v>
      </c>
      <c r="P459" s="9">
        <f>IFERROR(VLOOKUP(B459,cubo!$A$6:$BK$37,47,0)-VLOOKUP(conciliacao_custos!B459,#REF!,14,0),0)</f>
        <v>0</v>
      </c>
      <c r="Q459" s="9">
        <f>IFERROR(VLOOKUP(B459,cubo!$A$6:$BK$37,58,0)-VLOOKUP(conciliacao_custos!B459,#REF!,16,0),0)</f>
        <v>0</v>
      </c>
      <c r="R459" s="9">
        <f>IFERROR(VLOOKUP(B459,cubo!$A$6:$BK$37,64,0)-VLOOKUP(conciliacao_custos!B459,#REF!,17,0),0)</f>
        <v>0</v>
      </c>
      <c r="S459" s="9">
        <f>IFERROR(VLOOKUP(B459,cubo!$A$6:$BK$37,61,0)-VLOOKUP(conciliacao_custos!B459,#REF!,15,0),0)</f>
        <v>0</v>
      </c>
    </row>
    <row r="460" spans="2:19" x14ac:dyDescent="0.25">
      <c r="B460" s="7">
        <f>[1]salario!A459</f>
        <v>0</v>
      </c>
      <c r="C460" s="8">
        <f>[1]salario!C459</f>
        <v>0</v>
      </c>
      <c r="D460" s="10">
        <f>IFERROR(VLOOKUP(B460,cubo!$A$6:$BE$37,6,0)-VLOOKUP(B460,#REF!,$D$2,0),0)</f>
        <v>0</v>
      </c>
      <c r="E460" s="10">
        <f>IFERROR(VLOOKUP(B460,cubo!$A$6:$BE$37,9,0)-VLOOKUP(B460,#REF!,$E$2,0),0)</f>
        <v>0</v>
      </c>
      <c r="F460" s="9">
        <f>IFERROR(VLOOKUP(B460,cubo!$A$6:$BE$37,12,0)-VLOOKUP(B460,#REF!,$F$2,0),0)</f>
        <v>0</v>
      </c>
      <c r="G460" s="9">
        <f>IFERROR(VLOOKUP(B460,cubo!$A$6:$BE$37,54,0)-VLOOKUP(B460,#REF!,$G$2,0),0)</f>
        <v>0</v>
      </c>
      <c r="H460" s="10">
        <f>IFERROR(VLOOKUP(B460,cubo!$A$6:$BE$37,15,0)-VLOOKUP(B460,#REF!,$H$2,0),0)</f>
        <v>0</v>
      </c>
      <c r="I460" s="9">
        <f>IFERROR(VLOOKUP(B460,cubo!$A$6:$BE$37,18,0)-VLOOKUP(B460,#REF!,$I$2,0),0)</f>
        <v>0</v>
      </c>
      <c r="J460" s="9">
        <f>IFERROR(VLOOKUP(B460,cubo!$A$6:$BE$37,24,0)-VLOOKUP(B460,#REF!,$J$2,0),0)</f>
        <v>0</v>
      </c>
      <c r="K460" s="9">
        <f>IFERROR(VLOOKUP(B460,cubo!$A$6:$BE$37,34,0)-VLOOKUP(B460,#REF!,$K$2,0),0)</f>
        <v>0</v>
      </c>
      <c r="L460" s="8">
        <f>IFERROR(VLOOKUP(B460,cubo!$A$6:$BE$37,38,0)-VLOOKUP(B460,#REF!,$L$2,0),0)</f>
        <v>0</v>
      </c>
      <c r="M460" s="15">
        <f>IFERROR(VLOOKUP(B460,cubo!$A$6:$BE$37,57,0)-VLOOKUP(B460,#REF!,$M$2,0),0)</f>
        <v>0</v>
      </c>
      <c r="N460" s="9">
        <f>IFERROR(VLOOKUP(B460,cubo!$A$6:$BK$37,41,0)-VLOOKUP(conciliacao_custos!B460,#REF!,18,0),0)</f>
        <v>0</v>
      </c>
      <c r="O460" s="9">
        <f>IFERROR(VLOOKUP(B460,cubo!$A$6:$BK$37,44,0)-VLOOKUP(conciliacao_custos!B460,#REF!,13,0),0)</f>
        <v>0</v>
      </c>
      <c r="P460" s="9">
        <f>IFERROR(VLOOKUP(B460,cubo!$A$6:$BK$37,47,0)-VLOOKUP(conciliacao_custos!B460,#REF!,14,0),0)</f>
        <v>0</v>
      </c>
      <c r="Q460" s="9">
        <f>IFERROR(VLOOKUP(B460,cubo!$A$6:$BK$37,58,0)-VLOOKUP(conciliacao_custos!B460,#REF!,16,0),0)</f>
        <v>0</v>
      </c>
      <c r="R460" s="9">
        <f>IFERROR(VLOOKUP(B460,cubo!$A$6:$BK$37,64,0)-VLOOKUP(conciliacao_custos!B460,#REF!,17,0),0)</f>
        <v>0</v>
      </c>
      <c r="S460" s="9">
        <f>IFERROR(VLOOKUP(B460,cubo!$A$6:$BK$37,61,0)-VLOOKUP(conciliacao_custos!B460,#REF!,15,0),0)</f>
        <v>0</v>
      </c>
    </row>
    <row r="461" spans="2:19" x14ac:dyDescent="0.25">
      <c r="B461" s="7">
        <f>[1]salario!A460</f>
        <v>0</v>
      </c>
      <c r="C461" s="8">
        <f>[1]salario!C460</f>
        <v>0</v>
      </c>
      <c r="D461" s="10">
        <f>IFERROR(VLOOKUP(B461,cubo!$A$6:$BE$37,6,0)-VLOOKUP(B461,#REF!,$D$2,0),0)</f>
        <v>0</v>
      </c>
      <c r="E461" s="10">
        <f>IFERROR(VLOOKUP(B461,cubo!$A$6:$BE$37,9,0)-VLOOKUP(B461,#REF!,$E$2,0),0)</f>
        <v>0</v>
      </c>
      <c r="F461" s="9">
        <f>IFERROR(VLOOKUP(B461,cubo!$A$6:$BE$37,12,0)-VLOOKUP(B461,#REF!,$F$2,0),0)</f>
        <v>0</v>
      </c>
      <c r="G461" s="9">
        <f>IFERROR(VLOOKUP(B461,cubo!$A$6:$BE$37,54,0)-VLOOKUP(B461,#REF!,$G$2,0),0)</f>
        <v>0</v>
      </c>
      <c r="H461" s="10">
        <f>IFERROR(VLOOKUP(B461,cubo!$A$6:$BE$37,15,0)-VLOOKUP(B461,#REF!,$H$2,0),0)</f>
        <v>0</v>
      </c>
      <c r="I461" s="9">
        <f>IFERROR(VLOOKUP(B461,cubo!$A$6:$BE$37,18,0)-VLOOKUP(B461,#REF!,$I$2,0),0)</f>
        <v>0</v>
      </c>
      <c r="J461" s="9">
        <f>IFERROR(VLOOKUP(B461,cubo!$A$6:$BE$37,24,0)-VLOOKUP(B461,#REF!,$J$2,0),0)</f>
        <v>0</v>
      </c>
      <c r="K461" s="9">
        <f>IFERROR(VLOOKUP(B461,cubo!$A$6:$BE$37,34,0)-VLOOKUP(B461,#REF!,$K$2,0),0)</f>
        <v>0</v>
      </c>
      <c r="L461" s="8">
        <f>IFERROR(VLOOKUP(B461,cubo!$A$6:$BE$37,38,0)-VLOOKUP(B461,#REF!,$L$2,0),0)</f>
        <v>0</v>
      </c>
      <c r="M461" s="15">
        <f>IFERROR(VLOOKUP(B461,cubo!$A$6:$BE$37,57,0)-VLOOKUP(B461,#REF!,$M$2,0),0)</f>
        <v>0</v>
      </c>
      <c r="N461" s="9">
        <f>IFERROR(VLOOKUP(B461,cubo!$A$6:$BK$37,41,0)-VLOOKUP(conciliacao_custos!B461,#REF!,18,0),0)</f>
        <v>0</v>
      </c>
      <c r="O461" s="9">
        <f>IFERROR(VLOOKUP(B461,cubo!$A$6:$BK$37,44,0)-VLOOKUP(conciliacao_custos!B461,#REF!,13,0),0)</f>
        <v>0</v>
      </c>
      <c r="P461" s="9">
        <f>IFERROR(VLOOKUP(B461,cubo!$A$6:$BK$37,47,0)-VLOOKUP(conciliacao_custos!B461,#REF!,14,0),0)</f>
        <v>0</v>
      </c>
      <c r="Q461" s="9">
        <f>IFERROR(VLOOKUP(B461,cubo!$A$6:$BK$37,58,0)-VLOOKUP(conciliacao_custos!B461,#REF!,16,0),0)</f>
        <v>0</v>
      </c>
      <c r="R461" s="9">
        <f>IFERROR(VLOOKUP(B461,cubo!$A$6:$BK$37,64,0)-VLOOKUP(conciliacao_custos!B461,#REF!,17,0),0)</f>
        <v>0</v>
      </c>
      <c r="S461" s="9">
        <f>IFERROR(VLOOKUP(B461,cubo!$A$6:$BK$37,61,0)-VLOOKUP(conciliacao_custos!B461,#REF!,15,0),0)</f>
        <v>0</v>
      </c>
    </row>
    <row r="462" spans="2:19" x14ac:dyDescent="0.25">
      <c r="B462" s="7">
        <f>[1]salario!A461</f>
        <v>0</v>
      </c>
      <c r="C462" s="8">
        <f>[1]salario!C461</f>
        <v>0</v>
      </c>
      <c r="D462" s="10">
        <f>IFERROR(VLOOKUP(B462,cubo!$A$6:$BE$37,6,0)-VLOOKUP(B462,#REF!,$D$2,0),0)</f>
        <v>0</v>
      </c>
      <c r="E462" s="10">
        <f>IFERROR(VLOOKUP(B462,cubo!$A$6:$BE$37,9,0)-VLOOKUP(B462,#REF!,$E$2,0),0)</f>
        <v>0</v>
      </c>
      <c r="F462" s="9">
        <f>IFERROR(VLOOKUP(B462,cubo!$A$6:$BE$37,12,0)-VLOOKUP(B462,#REF!,$F$2,0),0)</f>
        <v>0</v>
      </c>
      <c r="G462" s="9">
        <f>IFERROR(VLOOKUP(B462,cubo!$A$6:$BE$37,54,0)-VLOOKUP(B462,#REF!,$G$2,0),0)</f>
        <v>0</v>
      </c>
      <c r="H462" s="10">
        <f>IFERROR(VLOOKUP(B462,cubo!$A$6:$BE$37,15,0)-VLOOKUP(B462,#REF!,$H$2,0),0)</f>
        <v>0</v>
      </c>
      <c r="I462" s="9">
        <f>IFERROR(VLOOKUP(B462,cubo!$A$6:$BE$37,18,0)-VLOOKUP(B462,#REF!,$I$2,0),0)</f>
        <v>0</v>
      </c>
      <c r="J462" s="9">
        <f>IFERROR(VLOOKUP(B462,cubo!$A$6:$BE$37,24,0)-VLOOKUP(B462,#REF!,$J$2,0),0)</f>
        <v>0</v>
      </c>
      <c r="K462" s="9">
        <f>IFERROR(VLOOKUP(B462,cubo!$A$6:$BE$37,34,0)-VLOOKUP(B462,#REF!,$K$2,0),0)</f>
        <v>0</v>
      </c>
      <c r="L462" s="8">
        <f>IFERROR(VLOOKUP(B462,cubo!$A$6:$BE$37,38,0)-VLOOKUP(B462,#REF!,$L$2,0),0)</f>
        <v>0</v>
      </c>
      <c r="M462" s="15">
        <f>IFERROR(VLOOKUP(B462,cubo!$A$6:$BE$37,57,0)-VLOOKUP(B462,#REF!,$M$2,0),0)</f>
        <v>0</v>
      </c>
      <c r="N462" s="9">
        <f>IFERROR(VLOOKUP(B462,cubo!$A$6:$BK$37,41,0)-VLOOKUP(conciliacao_custos!B462,#REF!,18,0),0)</f>
        <v>0</v>
      </c>
      <c r="O462" s="9">
        <f>IFERROR(VLOOKUP(B462,cubo!$A$6:$BK$37,44,0)-VLOOKUP(conciliacao_custos!B462,#REF!,13,0),0)</f>
        <v>0</v>
      </c>
      <c r="P462" s="9">
        <f>IFERROR(VLOOKUP(B462,cubo!$A$6:$BK$37,47,0)-VLOOKUP(conciliacao_custos!B462,#REF!,14,0),0)</f>
        <v>0</v>
      </c>
      <c r="Q462" s="9">
        <f>IFERROR(VLOOKUP(B462,cubo!$A$6:$BK$37,58,0)-VLOOKUP(conciliacao_custos!B462,#REF!,16,0),0)</f>
        <v>0</v>
      </c>
      <c r="R462" s="9">
        <f>IFERROR(VLOOKUP(B462,cubo!$A$6:$BK$37,64,0)-VLOOKUP(conciliacao_custos!B462,#REF!,17,0),0)</f>
        <v>0</v>
      </c>
      <c r="S462" s="9">
        <f>IFERROR(VLOOKUP(B462,cubo!$A$6:$BK$37,61,0)-VLOOKUP(conciliacao_custos!B462,#REF!,15,0),0)</f>
        <v>0</v>
      </c>
    </row>
    <row r="463" spans="2:19" x14ac:dyDescent="0.25">
      <c r="B463" s="7">
        <f>[1]salario!A462</f>
        <v>0</v>
      </c>
      <c r="C463" s="8">
        <f>[1]salario!C462</f>
        <v>0</v>
      </c>
      <c r="D463" s="10">
        <f>IFERROR(VLOOKUP(B463,cubo!$A$6:$BE$37,6,0)-VLOOKUP(B463,#REF!,$D$2,0),0)</f>
        <v>0</v>
      </c>
      <c r="E463" s="10">
        <f>IFERROR(VLOOKUP(B463,cubo!$A$6:$BE$37,9,0)-VLOOKUP(B463,#REF!,$E$2,0),0)</f>
        <v>0</v>
      </c>
      <c r="F463" s="9">
        <f>IFERROR(VLOOKUP(B463,cubo!$A$6:$BE$37,12,0)-VLOOKUP(B463,#REF!,$F$2,0),0)</f>
        <v>0</v>
      </c>
      <c r="G463" s="9">
        <f>IFERROR(VLOOKUP(B463,cubo!$A$6:$BE$37,54,0)-VLOOKUP(B463,#REF!,$G$2,0),0)</f>
        <v>0</v>
      </c>
      <c r="H463" s="10">
        <f>IFERROR(VLOOKUP(B463,cubo!$A$6:$BE$37,15,0)-VLOOKUP(B463,#REF!,$H$2,0),0)</f>
        <v>0</v>
      </c>
      <c r="I463" s="9">
        <f>IFERROR(VLOOKUP(B463,cubo!$A$6:$BE$37,18,0)-VLOOKUP(B463,#REF!,$I$2,0),0)</f>
        <v>0</v>
      </c>
      <c r="J463" s="9">
        <f>IFERROR(VLOOKUP(B463,cubo!$A$6:$BE$37,24,0)-VLOOKUP(B463,#REF!,$J$2,0),0)</f>
        <v>0</v>
      </c>
      <c r="K463" s="9">
        <f>IFERROR(VLOOKUP(B463,cubo!$A$6:$BE$37,34,0)-VLOOKUP(B463,#REF!,$K$2,0),0)</f>
        <v>0</v>
      </c>
      <c r="L463" s="8">
        <f>IFERROR(VLOOKUP(B463,cubo!$A$6:$BE$37,38,0)-VLOOKUP(B463,#REF!,$L$2,0),0)</f>
        <v>0</v>
      </c>
      <c r="M463" s="15">
        <f>IFERROR(VLOOKUP(B463,cubo!$A$6:$BE$37,57,0)-VLOOKUP(B463,#REF!,$M$2,0),0)</f>
        <v>0</v>
      </c>
      <c r="N463" s="9">
        <f>IFERROR(VLOOKUP(B463,cubo!$A$6:$BK$37,41,0)-VLOOKUP(conciliacao_custos!B463,#REF!,18,0),0)</f>
        <v>0</v>
      </c>
      <c r="O463" s="9">
        <f>IFERROR(VLOOKUP(B463,cubo!$A$6:$BK$37,44,0)-VLOOKUP(conciliacao_custos!B463,#REF!,13,0),0)</f>
        <v>0</v>
      </c>
      <c r="P463" s="9">
        <f>IFERROR(VLOOKUP(B463,cubo!$A$6:$BK$37,47,0)-VLOOKUP(conciliacao_custos!B463,#REF!,14,0),0)</f>
        <v>0</v>
      </c>
      <c r="Q463" s="9">
        <f>IFERROR(VLOOKUP(B463,cubo!$A$6:$BK$37,58,0)-VLOOKUP(conciliacao_custos!B463,#REF!,16,0),0)</f>
        <v>0</v>
      </c>
      <c r="R463" s="9">
        <f>IFERROR(VLOOKUP(B463,cubo!$A$6:$BK$37,64,0)-VLOOKUP(conciliacao_custos!B463,#REF!,17,0),0)</f>
        <v>0</v>
      </c>
      <c r="S463" s="9">
        <f>IFERROR(VLOOKUP(B463,cubo!$A$6:$BK$37,61,0)-VLOOKUP(conciliacao_custos!B463,#REF!,15,0),0)</f>
        <v>0</v>
      </c>
    </row>
    <row r="464" spans="2:19" x14ac:dyDescent="0.25">
      <c r="B464" s="7">
        <f>[1]salario!A463</f>
        <v>0</v>
      </c>
      <c r="C464" s="8">
        <f>[1]salario!C463</f>
        <v>0</v>
      </c>
      <c r="D464" s="10">
        <f>IFERROR(VLOOKUP(B464,cubo!$A$6:$BE$37,6,0)-VLOOKUP(B464,#REF!,$D$2,0),0)</f>
        <v>0</v>
      </c>
      <c r="E464" s="10">
        <f>IFERROR(VLOOKUP(B464,cubo!$A$6:$BE$37,9,0)-VLOOKUP(B464,#REF!,$E$2,0),0)</f>
        <v>0</v>
      </c>
      <c r="F464" s="9">
        <f>IFERROR(VLOOKUP(B464,cubo!$A$6:$BE$37,12,0)-VLOOKUP(B464,#REF!,$F$2,0),0)</f>
        <v>0</v>
      </c>
      <c r="G464" s="9">
        <f>IFERROR(VLOOKUP(B464,cubo!$A$6:$BE$37,54,0)-VLOOKUP(B464,#REF!,$G$2,0),0)</f>
        <v>0</v>
      </c>
      <c r="H464" s="10">
        <f>IFERROR(VLOOKUP(B464,cubo!$A$6:$BE$37,15,0)-VLOOKUP(B464,#REF!,$H$2,0),0)</f>
        <v>0</v>
      </c>
      <c r="I464" s="9">
        <f>IFERROR(VLOOKUP(B464,cubo!$A$6:$BE$37,18,0)-VLOOKUP(B464,#REF!,$I$2,0),0)</f>
        <v>0</v>
      </c>
      <c r="J464" s="9">
        <f>IFERROR(VLOOKUP(B464,cubo!$A$6:$BE$37,24,0)-VLOOKUP(B464,#REF!,$J$2,0),0)</f>
        <v>0</v>
      </c>
      <c r="K464" s="9">
        <f>IFERROR(VLOOKUP(B464,cubo!$A$6:$BE$37,34,0)-VLOOKUP(B464,#REF!,$K$2,0),0)</f>
        <v>0</v>
      </c>
      <c r="L464" s="8">
        <f>IFERROR(VLOOKUP(B464,cubo!$A$6:$BE$37,38,0)-VLOOKUP(B464,#REF!,$L$2,0),0)</f>
        <v>0</v>
      </c>
      <c r="M464" s="15">
        <f>IFERROR(VLOOKUP(B464,cubo!$A$6:$BE$37,57,0)-VLOOKUP(B464,#REF!,$M$2,0),0)</f>
        <v>0</v>
      </c>
      <c r="N464" s="9">
        <f>IFERROR(VLOOKUP(B464,cubo!$A$6:$BK$37,41,0)-VLOOKUP(conciliacao_custos!B464,#REF!,18,0),0)</f>
        <v>0</v>
      </c>
      <c r="O464" s="9">
        <f>IFERROR(VLOOKUP(B464,cubo!$A$6:$BK$37,44,0)-VLOOKUP(conciliacao_custos!B464,#REF!,13,0),0)</f>
        <v>0</v>
      </c>
      <c r="P464" s="9">
        <f>IFERROR(VLOOKUP(B464,cubo!$A$6:$BK$37,47,0)-VLOOKUP(conciliacao_custos!B464,#REF!,14,0),0)</f>
        <v>0</v>
      </c>
      <c r="Q464" s="9">
        <f>IFERROR(VLOOKUP(B464,cubo!$A$6:$BK$37,58,0)-VLOOKUP(conciliacao_custos!B464,#REF!,16,0),0)</f>
        <v>0</v>
      </c>
      <c r="R464" s="9">
        <f>IFERROR(VLOOKUP(B464,cubo!$A$6:$BK$37,64,0)-VLOOKUP(conciliacao_custos!B464,#REF!,17,0),0)</f>
        <v>0</v>
      </c>
      <c r="S464" s="9">
        <f>IFERROR(VLOOKUP(B464,cubo!$A$6:$BK$37,61,0)-VLOOKUP(conciliacao_custos!B464,#REF!,15,0),0)</f>
        <v>0</v>
      </c>
    </row>
    <row r="465" spans="2:19" x14ac:dyDescent="0.25">
      <c r="B465" s="7">
        <f>[1]salario!A464</f>
        <v>0</v>
      </c>
      <c r="C465" s="8">
        <f>[1]salario!C464</f>
        <v>0</v>
      </c>
      <c r="D465" s="10">
        <f>IFERROR(VLOOKUP(B465,cubo!$A$6:$BE$37,6,0)-VLOOKUP(B465,#REF!,$D$2,0),0)</f>
        <v>0</v>
      </c>
      <c r="E465" s="10">
        <f>IFERROR(VLOOKUP(B465,cubo!$A$6:$BE$37,9,0)-VLOOKUP(B465,#REF!,$E$2,0),0)</f>
        <v>0</v>
      </c>
      <c r="F465" s="9">
        <f>IFERROR(VLOOKUP(B465,cubo!$A$6:$BE$37,12,0)-VLOOKUP(B465,#REF!,$F$2,0),0)</f>
        <v>0</v>
      </c>
      <c r="G465" s="9">
        <f>IFERROR(VLOOKUP(B465,cubo!$A$6:$BE$37,54,0)-VLOOKUP(B465,#REF!,$G$2,0),0)</f>
        <v>0</v>
      </c>
      <c r="H465" s="10">
        <f>IFERROR(VLOOKUP(B465,cubo!$A$6:$BE$37,15,0)-VLOOKUP(B465,#REF!,$H$2,0),0)</f>
        <v>0</v>
      </c>
      <c r="I465" s="9">
        <f>IFERROR(VLOOKUP(B465,cubo!$A$6:$BE$37,18,0)-VLOOKUP(B465,#REF!,$I$2,0),0)</f>
        <v>0</v>
      </c>
      <c r="J465" s="9">
        <f>IFERROR(VLOOKUP(B465,cubo!$A$6:$BE$37,24,0)-VLOOKUP(B465,#REF!,$J$2,0),0)</f>
        <v>0</v>
      </c>
      <c r="K465" s="9">
        <f>IFERROR(VLOOKUP(B465,cubo!$A$6:$BE$37,34,0)-VLOOKUP(B465,#REF!,$K$2,0),0)</f>
        <v>0</v>
      </c>
      <c r="L465" s="8">
        <f>IFERROR(VLOOKUP(B465,cubo!$A$6:$BE$37,38,0)-VLOOKUP(B465,#REF!,$L$2,0),0)</f>
        <v>0</v>
      </c>
      <c r="M465" s="15">
        <f>IFERROR(VLOOKUP(B465,cubo!$A$6:$BE$37,57,0)-VLOOKUP(B465,#REF!,$M$2,0),0)</f>
        <v>0</v>
      </c>
      <c r="N465" s="9">
        <f>IFERROR(VLOOKUP(B465,cubo!$A$6:$BK$37,41,0)-VLOOKUP(conciliacao_custos!B465,#REF!,18,0),0)</f>
        <v>0</v>
      </c>
      <c r="O465" s="9">
        <f>IFERROR(VLOOKUP(B465,cubo!$A$6:$BK$37,44,0)-VLOOKUP(conciliacao_custos!B465,#REF!,13,0),0)</f>
        <v>0</v>
      </c>
      <c r="P465" s="9">
        <f>IFERROR(VLOOKUP(B465,cubo!$A$6:$BK$37,47,0)-VLOOKUP(conciliacao_custos!B465,#REF!,14,0),0)</f>
        <v>0</v>
      </c>
      <c r="Q465" s="9">
        <f>IFERROR(VLOOKUP(B465,cubo!$A$6:$BK$37,58,0)-VLOOKUP(conciliacao_custos!B465,#REF!,16,0),0)</f>
        <v>0</v>
      </c>
      <c r="R465" s="9">
        <f>IFERROR(VLOOKUP(B465,cubo!$A$6:$BK$37,64,0)-VLOOKUP(conciliacao_custos!B465,#REF!,17,0),0)</f>
        <v>0</v>
      </c>
      <c r="S465" s="9">
        <f>IFERROR(VLOOKUP(B465,cubo!$A$6:$BK$37,61,0)-VLOOKUP(conciliacao_custos!B465,#REF!,15,0),0)</f>
        <v>0</v>
      </c>
    </row>
    <row r="466" spans="2:19" x14ac:dyDescent="0.25">
      <c r="B466" s="7">
        <f>[1]salario!A465</f>
        <v>0</v>
      </c>
      <c r="C466" s="8">
        <f>[1]salario!C465</f>
        <v>0</v>
      </c>
      <c r="D466" s="10">
        <f>IFERROR(VLOOKUP(B466,cubo!$A$6:$BE$37,6,0)-VLOOKUP(B466,#REF!,$D$2,0),0)</f>
        <v>0</v>
      </c>
      <c r="E466" s="10">
        <f>IFERROR(VLOOKUP(B466,cubo!$A$6:$BE$37,9,0)-VLOOKUP(B466,#REF!,$E$2,0),0)</f>
        <v>0</v>
      </c>
      <c r="F466" s="9">
        <f>IFERROR(VLOOKUP(B466,cubo!$A$6:$BE$37,12,0)-VLOOKUP(B466,#REF!,$F$2,0),0)</f>
        <v>0</v>
      </c>
      <c r="G466" s="9">
        <f>IFERROR(VLOOKUP(B466,cubo!$A$6:$BE$37,54,0)-VLOOKUP(B466,#REF!,$G$2,0),0)</f>
        <v>0</v>
      </c>
      <c r="H466" s="10">
        <f>IFERROR(VLOOKUP(B466,cubo!$A$6:$BE$37,15,0)-VLOOKUP(B466,#REF!,$H$2,0),0)</f>
        <v>0</v>
      </c>
      <c r="I466" s="9">
        <f>IFERROR(VLOOKUP(B466,cubo!$A$6:$BE$37,18,0)-VLOOKUP(B466,#REF!,$I$2,0),0)</f>
        <v>0</v>
      </c>
      <c r="J466" s="9">
        <f>IFERROR(VLOOKUP(B466,cubo!$A$6:$BE$37,24,0)-VLOOKUP(B466,#REF!,$J$2,0),0)</f>
        <v>0</v>
      </c>
      <c r="K466" s="9">
        <f>IFERROR(VLOOKUP(B466,cubo!$A$6:$BE$37,34,0)-VLOOKUP(B466,#REF!,$K$2,0),0)</f>
        <v>0</v>
      </c>
      <c r="L466" s="8">
        <f>IFERROR(VLOOKUP(B466,cubo!$A$6:$BE$37,38,0)-VLOOKUP(B466,#REF!,$L$2,0),0)</f>
        <v>0</v>
      </c>
      <c r="M466" s="15">
        <f>IFERROR(VLOOKUP(B466,cubo!$A$6:$BE$37,57,0)-VLOOKUP(B466,#REF!,$M$2,0),0)</f>
        <v>0</v>
      </c>
      <c r="N466" s="9">
        <f>IFERROR(VLOOKUP(B466,cubo!$A$6:$BK$37,41,0)-VLOOKUP(conciliacao_custos!B466,#REF!,18,0),0)</f>
        <v>0</v>
      </c>
      <c r="O466" s="9">
        <f>IFERROR(VLOOKUP(B466,cubo!$A$6:$BK$37,44,0)-VLOOKUP(conciliacao_custos!B466,#REF!,13,0),0)</f>
        <v>0</v>
      </c>
      <c r="P466" s="9">
        <f>IFERROR(VLOOKUP(B466,cubo!$A$6:$BK$37,47,0)-VLOOKUP(conciliacao_custos!B466,#REF!,14,0),0)</f>
        <v>0</v>
      </c>
      <c r="Q466" s="9">
        <f>IFERROR(VLOOKUP(B466,cubo!$A$6:$BK$37,58,0)-VLOOKUP(conciliacao_custos!B466,#REF!,16,0),0)</f>
        <v>0</v>
      </c>
      <c r="R466" s="9">
        <f>IFERROR(VLOOKUP(B466,cubo!$A$6:$BK$37,64,0)-VLOOKUP(conciliacao_custos!B466,#REF!,17,0),0)</f>
        <v>0</v>
      </c>
      <c r="S466" s="9">
        <f>IFERROR(VLOOKUP(B466,cubo!$A$6:$BK$37,61,0)-VLOOKUP(conciliacao_custos!B466,#REF!,15,0),0)</f>
        <v>0</v>
      </c>
    </row>
    <row r="467" spans="2:19" x14ac:dyDescent="0.25">
      <c r="B467" s="7">
        <f>[1]salario!A466</f>
        <v>0</v>
      </c>
      <c r="C467" s="8">
        <f>[1]salario!C466</f>
        <v>0</v>
      </c>
      <c r="D467" s="10">
        <f>IFERROR(VLOOKUP(B467,cubo!$A$6:$BE$37,6,0)-VLOOKUP(B467,#REF!,$D$2,0),0)</f>
        <v>0</v>
      </c>
      <c r="E467" s="10">
        <f>IFERROR(VLOOKUP(B467,cubo!$A$6:$BE$37,9,0)-VLOOKUP(B467,#REF!,$E$2,0),0)</f>
        <v>0</v>
      </c>
      <c r="F467" s="9">
        <f>IFERROR(VLOOKUP(B467,cubo!$A$6:$BE$37,12,0)-VLOOKUP(B467,#REF!,$F$2,0),0)</f>
        <v>0</v>
      </c>
      <c r="G467" s="9">
        <f>IFERROR(VLOOKUP(B467,cubo!$A$6:$BE$37,54,0)-VLOOKUP(B467,#REF!,$G$2,0),0)</f>
        <v>0</v>
      </c>
      <c r="H467" s="10">
        <f>IFERROR(VLOOKUP(B467,cubo!$A$6:$BE$37,15,0)-VLOOKUP(B467,#REF!,$H$2,0),0)</f>
        <v>0</v>
      </c>
      <c r="I467" s="9">
        <f>IFERROR(VLOOKUP(B467,cubo!$A$6:$BE$37,18,0)-VLOOKUP(B467,#REF!,$I$2,0),0)</f>
        <v>0</v>
      </c>
      <c r="J467" s="9">
        <f>IFERROR(VLOOKUP(B467,cubo!$A$6:$BE$37,24,0)-VLOOKUP(B467,#REF!,$J$2,0),0)</f>
        <v>0</v>
      </c>
      <c r="K467" s="9">
        <f>IFERROR(VLOOKUP(B467,cubo!$A$6:$BE$37,34,0)-VLOOKUP(B467,#REF!,$K$2,0),0)</f>
        <v>0</v>
      </c>
      <c r="L467" s="8">
        <f>IFERROR(VLOOKUP(B467,cubo!$A$6:$BE$37,38,0)-VLOOKUP(B467,#REF!,$L$2,0),0)</f>
        <v>0</v>
      </c>
      <c r="M467" s="15">
        <f>IFERROR(VLOOKUP(B467,cubo!$A$6:$BE$37,57,0)-VLOOKUP(B467,#REF!,$M$2,0),0)</f>
        <v>0</v>
      </c>
      <c r="N467" s="9">
        <f>IFERROR(VLOOKUP(B467,cubo!$A$6:$BK$37,41,0)-VLOOKUP(conciliacao_custos!B467,#REF!,18,0),0)</f>
        <v>0</v>
      </c>
      <c r="O467" s="9">
        <f>IFERROR(VLOOKUP(B467,cubo!$A$6:$BK$37,44,0)-VLOOKUP(conciliacao_custos!B467,#REF!,13,0),0)</f>
        <v>0</v>
      </c>
      <c r="P467" s="9">
        <f>IFERROR(VLOOKUP(B467,cubo!$A$6:$BK$37,47,0)-VLOOKUP(conciliacao_custos!B467,#REF!,14,0),0)</f>
        <v>0</v>
      </c>
      <c r="Q467" s="9">
        <f>IFERROR(VLOOKUP(B467,cubo!$A$6:$BK$37,58,0)-VLOOKUP(conciliacao_custos!B467,#REF!,16,0),0)</f>
        <v>0</v>
      </c>
      <c r="R467" s="9">
        <f>IFERROR(VLOOKUP(B467,cubo!$A$6:$BK$37,64,0)-VLOOKUP(conciliacao_custos!B467,#REF!,17,0),0)</f>
        <v>0</v>
      </c>
      <c r="S467" s="9">
        <f>IFERROR(VLOOKUP(B467,cubo!$A$6:$BK$37,61,0)-VLOOKUP(conciliacao_custos!B467,#REF!,15,0),0)</f>
        <v>0</v>
      </c>
    </row>
    <row r="468" spans="2:19" x14ac:dyDescent="0.25">
      <c r="B468" s="7">
        <f>[1]salario!A467</f>
        <v>0</v>
      </c>
      <c r="C468" s="8">
        <f>[1]salario!C467</f>
        <v>0</v>
      </c>
      <c r="D468" s="10">
        <f>IFERROR(VLOOKUP(B468,cubo!$A$6:$BE$37,6,0)-VLOOKUP(B468,#REF!,$D$2,0),0)</f>
        <v>0</v>
      </c>
      <c r="E468" s="10">
        <f>IFERROR(VLOOKUP(B468,cubo!$A$6:$BE$37,9,0)-VLOOKUP(B468,#REF!,$E$2,0),0)</f>
        <v>0</v>
      </c>
      <c r="F468" s="9">
        <f>IFERROR(VLOOKUP(B468,cubo!$A$6:$BE$37,12,0)-VLOOKUP(B468,#REF!,$F$2,0),0)</f>
        <v>0</v>
      </c>
      <c r="G468" s="9">
        <f>IFERROR(VLOOKUP(B468,cubo!$A$6:$BE$37,54,0)-VLOOKUP(B468,#REF!,$G$2,0),0)</f>
        <v>0</v>
      </c>
      <c r="H468" s="10">
        <f>IFERROR(VLOOKUP(B468,cubo!$A$6:$BE$37,15,0)-VLOOKUP(B468,#REF!,$H$2,0),0)</f>
        <v>0</v>
      </c>
      <c r="I468" s="9">
        <f>IFERROR(VLOOKUP(B468,cubo!$A$6:$BE$37,18,0)-VLOOKUP(B468,#REF!,$I$2,0),0)</f>
        <v>0</v>
      </c>
      <c r="J468" s="9">
        <f>IFERROR(VLOOKUP(B468,cubo!$A$6:$BE$37,24,0)-VLOOKUP(B468,#REF!,$J$2,0),0)</f>
        <v>0</v>
      </c>
      <c r="K468" s="9">
        <f>IFERROR(VLOOKUP(B468,cubo!$A$6:$BE$37,34,0)-VLOOKUP(B468,#REF!,$K$2,0),0)</f>
        <v>0</v>
      </c>
      <c r="L468" s="8">
        <f>IFERROR(VLOOKUP(B468,cubo!$A$6:$BE$37,38,0)-VLOOKUP(B468,#REF!,$L$2,0),0)</f>
        <v>0</v>
      </c>
      <c r="M468" s="15">
        <f>IFERROR(VLOOKUP(B468,cubo!$A$6:$BE$37,57,0)-VLOOKUP(B468,#REF!,$M$2,0),0)</f>
        <v>0</v>
      </c>
      <c r="N468" s="9">
        <f>IFERROR(VLOOKUP(B468,cubo!$A$6:$BK$37,41,0)-VLOOKUP(conciliacao_custos!B468,#REF!,18,0),0)</f>
        <v>0</v>
      </c>
      <c r="O468" s="9">
        <f>IFERROR(VLOOKUP(B468,cubo!$A$6:$BK$37,44,0)-VLOOKUP(conciliacao_custos!B468,#REF!,13,0),0)</f>
        <v>0</v>
      </c>
      <c r="P468" s="9">
        <f>IFERROR(VLOOKUP(B468,cubo!$A$6:$BK$37,47,0)-VLOOKUP(conciliacao_custos!B468,#REF!,14,0),0)</f>
        <v>0</v>
      </c>
      <c r="Q468" s="9">
        <f>IFERROR(VLOOKUP(B468,cubo!$A$6:$BK$37,58,0)-VLOOKUP(conciliacao_custos!B468,#REF!,16,0),0)</f>
        <v>0</v>
      </c>
      <c r="R468" s="9">
        <f>IFERROR(VLOOKUP(B468,cubo!$A$6:$BK$37,64,0)-VLOOKUP(conciliacao_custos!B468,#REF!,17,0),0)</f>
        <v>0</v>
      </c>
      <c r="S468" s="9">
        <f>IFERROR(VLOOKUP(B468,cubo!$A$6:$BK$37,61,0)-VLOOKUP(conciliacao_custos!B468,#REF!,15,0),0)</f>
        <v>0</v>
      </c>
    </row>
    <row r="469" spans="2:19" x14ac:dyDescent="0.25">
      <c r="B469" s="7">
        <f>[1]salario!A468</f>
        <v>0</v>
      </c>
      <c r="C469" s="8">
        <f>[1]salario!C468</f>
        <v>0</v>
      </c>
      <c r="D469" s="10">
        <f>IFERROR(VLOOKUP(B469,cubo!$A$6:$BE$37,6,0)-VLOOKUP(B469,#REF!,$D$2,0),0)</f>
        <v>0</v>
      </c>
      <c r="E469" s="10">
        <f>IFERROR(VLOOKUP(B469,cubo!$A$6:$BE$37,9,0)-VLOOKUP(B469,#REF!,$E$2,0),0)</f>
        <v>0</v>
      </c>
      <c r="F469" s="9">
        <f>IFERROR(VLOOKUP(B469,cubo!$A$6:$BE$37,12,0)-VLOOKUP(B469,#REF!,$F$2,0),0)</f>
        <v>0</v>
      </c>
      <c r="G469" s="9">
        <f>IFERROR(VLOOKUP(B469,cubo!$A$6:$BE$37,54,0)-VLOOKUP(B469,#REF!,$G$2,0),0)</f>
        <v>0</v>
      </c>
      <c r="H469" s="10">
        <f>IFERROR(VLOOKUP(B469,cubo!$A$6:$BE$37,15,0)-VLOOKUP(B469,#REF!,$H$2,0),0)</f>
        <v>0</v>
      </c>
      <c r="I469" s="9">
        <f>IFERROR(VLOOKUP(B469,cubo!$A$6:$BE$37,18,0)-VLOOKUP(B469,#REF!,$I$2,0),0)</f>
        <v>0</v>
      </c>
      <c r="J469" s="9">
        <f>IFERROR(VLOOKUP(B469,cubo!$A$6:$BE$37,24,0)-VLOOKUP(B469,#REF!,$J$2,0),0)</f>
        <v>0</v>
      </c>
      <c r="K469" s="9">
        <f>IFERROR(VLOOKUP(B469,cubo!$A$6:$BE$37,34,0)-VLOOKUP(B469,#REF!,$K$2,0),0)</f>
        <v>0</v>
      </c>
      <c r="L469" s="8">
        <f>IFERROR(VLOOKUP(B469,cubo!$A$6:$BE$37,38,0)-VLOOKUP(B469,#REF!,$L$2,0),0)</f>
        <v>0</v>
      </c>
      <c r="M469" s="15">
        <f>IFERROR(VLOOKUP(B469,cubo!$A$6:$BE$37,57,0)-VLOOKUP(B469,#REF!,$M$2,0),0)</f>
        <v>0</v>
      </c>
      <c r="N469" s="9">
        <f>IFERROR(VLOOKUP(B469,cubo!$A$6:$BK$37,41,0)-VLOOKUP(conciliacao_custos!B469,#REF!,18,0),0)</f>
        <v>0</v>
      </c>
      <c r="O469" s="9">
        <f>IFERROR(VLOOKUP(B469,cubo!$A$6:$BK$37,44,0)-VLOOKUP(conciliacao_custos!B469,#REF!,13,0),0)</f>
        <v>0</v>
      </c>
      <c r="P469" s="9">
        <f>IFERROR(VLOOKUP(B469,cubo!$A$6:$BK$37,47,0)-VLOOKUP(conciliacao_custos!B469,#REF!,14,0),0)</f>
        <v>0</v>
      </c>
      <c r="Q469" s="9">
        <f>IFERROR(VLOOKUP(B469,cubo!$A$6:$BK$37,58,0)-VLOOKUP(conciliacao_custos!B469,#REF!,16,0),0)</f>
        <v>0</v>
      </c>
      <c r="R469" s="9">
        <f>IFERROR(VLOOKUP(B469,cubo!$A$6:$BK$37,64,0)-VLOOKUP(conciliacao_custos!B469,#REF!,17,0),0)</f>
        <v>0</v>
      </c>
      <c r="S469" s="9">
        <f>IFERROR(VLOOKUP(B469,cubo!$A$6:$BK$37,61,0)-VLOOKUP(conciliacao_custos!B469,#REF!,15,0),0)</f>
        <v>0</v>
      </c>
    </row>
    <row r="470" spans="2:19" x14ac:dyDescent="0.25">
      <c r="B470" s="7">
        <f>[1]salario!A469</f>
        <v>0</v>
      </c>
      <c r="C470" s="8">
        <f>[1]salario!C469</f>
        <v>0</v>
      </c>
      <c r="D470" s="10">
        <f>IFERROR(VLOOKUP(B470,cubo!$A$6:$BE$37,6,0)-VLOOKUP(B470,#REF!,$D$2,0),0)</f>
        <v>0</v>
      </c>
      <c r="E470" s="10">
        <f>IFERROR(VLOOKUP(B470,cubo!$A$6:$BE$37,9,0)-VLOOKUP(B470,#REF!,$E$2,0),0)</f>
        <v>0</v>
      </c>
      <c r="F470" s="9">
        <f>IFERROR(VLOOKUP(B470,cubo!$A$6:$BE$37,12,0)-VLOOKUP(B470,#REF!,$F$2,0),0)</f>
        <v>0</v>
      </c>
      <c r="G470" s="9">
        <f>IFERROR(VLOOKUP(B470,cubo!$A$6:$BE$37,54,0)-VLOOKUP(B470,#REF!,$G$2,0),0)</f>
        <v>0</v>
      </c>
      <c r="H470" s="10">
        <f>IFERROR(VLOOKUP(B470,cubo!$A$6:$BE$37,15,0)-VLOOKUP(B470,#REF!,$H$2,0),0)</f>
        <v>0</v>
      </c>
      <c r="I470" s="9">
        <f>IFERROR(VLOOKUP(B470,cubo!$A$6:$BE$37,18,0)-VLOOKUP(B470,#REF!,$I$2,0),0)</f>
        <v>0</v>
      </c>
      <c r="J470" s="9">
        <f>IFERROR(VLOOKUP(B470,cubo!$A$6:$BE$37,24,0)-VLOOKUP(B470,#REF!,$J$2,0),0)</f>
        <v>0</v>
      </c>
      <c r="K470" s="9">
        <f>IFERROR(VLOOKUP(B470,cubo!$A$6:$BE$37,34,0)-VLOOKUP(B470,#REF!,$K$2,0),0)</f>
        <v>0</v>
      </c>
      <c r="L470" s="8">
        <f>IFERROR(VLOOKUP(B470,cubo!$A$6:$BE$37,38,0)-VLOOKUP(B470,#REF!,$L$2,0),0)</f>
        <v>0</v>
      </c>
      <c r="M470" s="15">
        <f>IFERROR(VLOOKUP(B470,cubo!$A$6:$BE$37,57,0)-VLOOKUP(B470,#REF!,$M$2,0),0)</f>
        <v>0</v>
      </c>
      <c r="N470" s="9">
        <f>IFERROR(VLOOKUP(B470,cubo!$A$6:$BK$37,41,0)-VLOOKUP(conciliacao_custos!B470,#REF!,18,0),0)</f>
        <v>0</v>
      </c>
      <c r="O470" s="9">
        <f>IFERROR(VLOOKUP(B470,cubo!$A$6:$BK$37,44,0)-VLOOKUP(conciliacao_custos!B470,#REF!,13,0),0)</f>
        <v>0</v>
      </c>
      <c r="P470" s="9">
        <f>IFERROR(VLOOKUP(B470,cubo!$A$6:$BK$37,47,0)-VLOOKUP(conciliacao_custos!B470,#REF!,14,0),0)</f>
        <v>0</v>
      </c>
      <c r="Q470" s="9">
        <f>IFERROR(VLOOKUP(B470,cubo!$A$6:$BK$37,58,0)-VLOOKUP(conciliacao_custos!B470,#REF!,16,0),0)</f>
        <v>0</v>
      </c>
      <c r="R470" s="9">
        <f>IFERROR(VLOOKUP(B470,cubo!$A$6:$BK$37,64,0)-VLOOKUP(conciliacao_custos!B470,#REF!,17,0),0)</f>
        <v>0</v>
      </c>
      <c r="S470" s="9">
        <f>IFERROR(VLOOKUP(B470,cubo!$A$6:$BK$37,61,0)-VLOOKUP(conciliacao_custos!B470,#REF!,15,0),0)</f>
        <v>0</v>
      </c>
    </row>
    <row r="471" spans="2:19" x14ac:dyDescent="0.25">
      <c r="B471" s="7">
        <f>[1]salario!A470</f>
        <v>0</v>
      </c>
      <c r="C471" s="8">
        <f>[1]salario!C470</f>
        <v>0</v>
      </c>
      <c r="D471" s="10">
        <f>IFERROR(VLOOKUP(B471,cubo!$A$6:$BE$37,6,0)-VLOOKUP(B471,#REF!,$D$2,0),0)</f>
        <v>0</v>
      </c>
      <c r="E471" s="10">
        <f>IFERROR(VLOOKUP(B471,cubo!$A$6:$BE$37,9,0)-VLOOKUP(B471,#REF!,$E$2,0),0)</f>
        <v>0</v>
      </c>
      <c r="F471" s="9">
        <f>IFERROR(VLOOKUP(B471,cubo!$A$6:$BE$37,12,0)-VLOOKUP(B471,#REF!,$F$2,0),0)</f>
        <v>0</v>
      </c>
      <c r="G471" s="9">
        <f>IFERROR(VLOOKUP(B471,cubo!$A$6:$BE$37,54,0)-VLOOKUP(B471,#REF!,$G$2,0),0)</f>
        <v>0</v>
      </c>
      <c r="H471" s="10">
        <f>IFERROR(VLOOKUP(B471,cubo!$A$6:$BE$37,15,0)-VLOOKUP(B471,#REF!,$H$2,0),0)</f>
        <v>0</v>
      </c>
      <c r="I471" s="9">
        <f>IFERROR(VLOOKUP(B471,cubo!$A$6:$BE$37,18,0)-VLOOKUP(B471,#REF!,$I$2,0),0)</f>
        <v>0</v>
      </c>
      <c r="J471" s="9">
        <f>IFERROR(VLOOKUP(B471,cubo!$A$6:$BE$37,24,0)-VLOOKUP(B471,#REF!,$J$2,0),0)</f>
        <v>0</v>
      </c>
      <c r="K471" s="9">
        <f>IFERROR(VLOOKUP(B471,cubo!$A$6:$BE$37,34,0)-VLOOKUP(B471,#REF!,$K$2,0),0)</f>
        <v>0</v>
      </c>
      <c r="L471" s="8">
        <f>IFERROR(VLOOKUP(B471,cubo!$A$6:$BE$37,38,0)-VLOOKUP(B471,#REF!,$L$2,0),0)</f>
        <v>0</v>
      </c>
      <c r="M471" s="15">
        <f>IFERROR(VLOOKUP(B471,cubo!$A$6:$BE$37,57,0)-VLOOKUP(B471,#REF!,$M$2,0),0)</f>
        <v>0</v>
      </c>
      <c r="N471" s="9">
        <f>IFERROR(VLOOKUP(B471,cubo!$A$6:$BK$37,41,0)-VLOOKUP(conciliacao_custos!B471,#REF!,18,0),0)</f>
        <v>0</v>
      </c>
      <c r="O471" s="9">
        <f>IFERROR(VLOOKUP(B471,cubo!$A$6:$BK$37,44,0)-VLOOKUP(conciliacao_custos!B471,#REF!,13,0),0)</f>
        <v>0</v>
      </c>
      <c r="P471" s="9">
        <f>IFERROR(VLOOKUP(B471,cubo!$A$6:$BK$37,47,0)-VLOOKUP(conciliacao_custos!B471,#REF!,14,0),0)</f>
        <v>0</v>
      </c>
      <c r="Q471" s="9">
        <f>IFERROR(VLOOKUP(B471,cubo!$A$6:$BK$37,58,0)-VLOOKUP(conciliacao_custos!B471,#REF!,16,0),0)</f>
        <v>0</v>
      </c>
      <c r="R471" s="9">
        <f>IFERROR(VLOOKUP(B471,cubo!$A$6:$BK$37,64,0)-VLOOKUP(conciliacao_custos!B471,#REF!,17,0),0)</f>
        <v>0</v>
      </c>
      <c r="S471" s="9">
        <f>IFERROR(VLOOKUP(B471,cubo!$A$6:$BK$37,61,0)-VLOOKUP(conciliacao_custos!B471,#REF!,15,0),0)</f>
        <v>0</v>
      </c>
    </row>
    <row r="472" spans="2:19" x14ac:dyDescent="0.25">
      <c r="B472" s="7">
        <f>[1]salario!A471</f>
        <v>0</v>
      </c>
      <c r="C472" s="8">
        <f>[1]salario!C471</f>
        <v>0</v>
      </c>
      <c r="D472" s="10">
        <f>IFERROR(VLOOKUP(B472,cubo!$A$6:$BE$37,6,0)-VLOOKUP(B472,#REF!,$D$2,0),0)</f>
        <v>0</v>
      </c>
      <c r="E472" s="10">
        <f>IFERROR(VLOOKUP(B472,cubo!$A$6:$BE$37,9,0)-VLOOKUP(B472,#REF!,$E$2,0),0)</f>
        <v>0</v>
      </c>
      <c r="F472" s="9">
        <f>IFERROR(VLOOKUP(B472,cubo!$A$6:$BE$37,12,0)-VLOOKUP(B472,#REF!,$F$2,0),0)</f>
        <v>0</v>
      </c>
      <c r="G472" s="9">
        <f>IFERROR(VLOOKUP(B472,cubo!$A$6:$BE$37,54,0)-VLOOKUP(B472,#REF!,$G$2,0),0)</f>
        <v>0</v>
      </c>
      <c r="H472" s="10">
        <f>IFERROR(VLOOKUP(B472,cubo!$A$6:$BE$37,15,0)-VLOOKUP(B472,#REF!,$H$2,0),0)</f>
        <v>0</v>
      </c>
      <c r="I472" s="9">
        <f>IFERROR(VLOOKUP(B472,cubo!$A$6:$BE$37,18,0)-VLOOKUP(B472,#REF!,$I$2,0),0)</f>
        <v>0</v>
      </c>
      <c r="J472" s="9">
        <f>IFERROR(VLOOKUP(B472,cubo!$A$6:$BE$37,24,0)-VLOOKUP(B472,#REF!,$J$2,0),0)</f>
        <v>0</v>
      </c>
      <c r="K472" s="9">
        <f>IFERROR(VLOOKUP(B472,cubo!$A$6:$BE$37,34,0)-VLOOKUP(B472,#REF!,$K$2,0),0)</f>
        <v>0</v>
      </c>
      <c r="L472" s="8">
        <f>IFERROR(VLOOKUP(B472,cubo!$A$6:$BE$37,38,0)-VLOOKUP(B472,#REF!,$L$2,0),0)</f>
        <v>0</v>
      </c>
      <c r="M472" s="15">
        <f>IFERROR(VLOOKUP(B472,cubo!$A$6:$BE$37,57,0)-VLOOKUP(B472,#REF!,$M$2,0),0)</f>
        <v>0</v>
      </c>
      <c r="N472" s="9">
        <f>IFERROR(VLOOKUP(B472,cubo!$A$6:$BK$37,41,0)-VLOOKUP(conciliacao_custos!B472,#REF!,18,0),0)</f>
        <v>0</v>
      </c>
      <c r="O472" s="9">
        <f>IFERROR(VLOOKUP(B472,cubo!$A$6:$BK$37,44,0)-VLOOKUP(conciliacao_custos!B472,#REF!,13,0),0)</f>
        <v>0</v>
      </c>
      <c r="P472" s="9">
        <f>IFERROR(VLOOKUP(B472,cubo!$A$6:$BK$37,47,0)-VLOOKUP(conciliacao_custos!B472,#REF!,14,0),0)</f>
        <v>0</v>
      </c>
      <c r="Q472" s="9">
        <f>IFERROR(VLOOKUP(B472,cubo!$A$6:$BK$37,58,0)-VLOOKUP(conciliacao_custos!B472,#REF!,16,0),0)</f>
        <v>0</v>
      </c>
      <c r="R472" s="9">
        <f>IFERROR(VLOOKUP(B472,cubo!$A$6:$BK$37,64,0)-VLOOKUP(conciliacao_custos!B472,#REF!,17,0),0)</f>
        <v>0</v>
      </c>
      <c r="S472" s="9">
        <f>IFERROR(VLOOKUP(B472,cubo!$A$6:$BK$37,61,0)-VLOOKUP(conciliacao_custos!B472,#REF!,15,0),0)</f>
        <v>0</v>
      </c>
    </row>
    <row r="473" spans="2:19" x14ac:dyDescent="0.25">
      <c r="B473" s="7">
        <f>[1]salario!A472</f>
        <v>0</v>
      </c>
      <c r="C473" s="8">
        <f>[1]salario!C472</f>
        <v>0</v>
      </c>
      <c r="D473" s="10">
        <f>IFERROR(VLOOKUP(B473,cubo!$A$6:$BE$37,6,0)-VLOOKUP(B473,#REF!,$D$2,0),0)</f>
        <v>0</v>
      </c>
      <c r="E473" s="10">
        <f>IFERROR(VLOOKUP(B473,cubo!$A$6:$BE$37,9,0)-VLOOKUP(B473,#REF!,$E$2,0),0)</f>
        <v>0</v>
      </c>
      <c r="F473" s="9">
        <f>IFERROR(VLOOKUP(B473,cubo!$A$6:$BE$37,12,0)-VLOOKUP(B473,#REF!,$F$2,0),0)</f>
        <v>0</v>
      </c>
      <c r="G473" s="9">
        <f>IFERROR(VLOOKUP(B473,cubo!$A$6:$BE$37,54,0)-VLOOKUP(B473,#REF!,$G$2,0),0)</f>
        <v>0</v>
      </c>
      <c r="H473" s="10">
        <f>IFERROR(VLOOKUP(B473,cubo!$A$6:$BE$37,15,0)-VLOOKUP(B473,#REF!,$H$2,0),0)</f>
        <v>0</v>
      </c>
      <c r="I473" s="9">
        <f>IFERROR(VLOOKUP(B473,cubo!$A$6:$BE$37,18,0)-VLOOKUP(B473,#REF!,$I$2,0),0)</f>
        <v>0</v>
      </c>
      <c r="J473" s="9">
        <f>IFERROR(VLOOKUP(B473,cubo!$A$6:$BE$37,24,0)-VLOOKUP(B473,#REF!,$J$2,0),0)</f>
        <v>0</v>
      </c>
      <c r="K473" s="9">
        <f>IFERROR(VLOOKUP(B473,cubo!$A$6:$BE$37,34,0)-VLOOKUP(B473,#REF!,$K$2,0),0)</f>
        <v>0</v>
      </c>
      <c r="L473" s="8">
        <f>IFERROR(VLOOKUP(B473,cubo!$A$6:$BE$37,38,0)-VLOOKUP(B473,#REF!,$L$2,0),0)</f>
        <v>0</v>
      </c>
      <c r="M473" s="15">
        <f>IFERROR(VLOOKUP(B473,cubo!$A$6:$BE$37,57,0)-VLOOKUP(B473,#REF!,$M$2,0),0)</f>
        <v>0</v>
      </c>
      <c r="N473" s="9">
        <f>IFERROR(VLOOKUP(B473,cubo!$A$6:$BK$37,41,0)-VLOOKUP(conciliacao_custos!B473,#REF!,18,0),0)</f>
        <v>0</v>
      </c>
      <c r="O473" s="9">
        <f>IFERROR(VLOOKUP(B473,cubo!$A$6:$BK$37,44,0)-VLOOKUP(conciliacao_custos!B473,#REF!,13,0),0)</f>
        <v>0</v>
      </c>
      <c r="P473" s="9">
        <f>IFERROR(VLOOKUP(B473,cubo!$A$6:$BK$37,47,0)-VLOOKUP(conciliacao_custos!B473,#REF!,14,0),0)</f>
        <v>0</v>
      </c>
      <c r="Q473" s="9">
        <f>IFERROR(VLOOKUP(B473,cubo!$A$6:$BK$37,58,0)-VLOOKUP(conciliacao_custos!B473,#REF!,16,0),0)</f>
        <v>0</v>
      </c>
      <c r="R473" s="9">
        <f>IFERROR(VLOOKUP(B473,cubo!$A$6:$BK$37,64,0)-VLOOKUP(conciliacao_custos!B473,#REF!,17,0),0)</f>
        <v>0</v>
      </c>
      <c r="S473" s="9">
        <f>IFERROR(VLOOKUP(B473,cubo!$A$6:$BK$37,61,0)-VLOOKUP(conciliacao_custos!B473,#REF!,15,0),0)</f>
        <v>0</v>
      </c>
    </row>
    <row r="474" spans="2:19" x14ac:dyDescent="0.25">
      <c r="B474" s="7">
        <f>[1]salario!A473</f>
        <v>0</v>
      </c>
      <c r="C474" s="8">
        <f>[1]salario!C473</f>
        <v>0</v>
      </c>
      <c r="D474" s="10">
        <f>IFERROR(VLOOKUP(B474,cubo!$A$6:$BE$37,6,0)-VLOOKUP(B474,#REF!,$D$2,0),0)</f>
        <v>0</v>
      </c>
      <c r="E474" s="10">
        <f>IFERROR(VLOOKUP(B474,cubo!$A$6:$BE$37,9,0)-VLOOKUP(B474,#REF!,$E$2,0),0)</f>
        <v>0</v>
      </c>
      <c r="F474" s="9">
        <f>IFERROR(VLOOKUP(B474,cubo!$A$6:$BE$37,12,0)-VLOOKUP(B474,#REF!,$F$2,0),0)</f>
        <v>0</v>
      </c>
      <c r="G474" s="9">
        <f>IFERROR(VLOOKUP(B474,cubo!$A$6:$BE$37,54,0)-VLOOKUP(B474,#REF!,$G$2,0),0)</f>
        <v>0</v>
      </c>
      <c r="H474" s="10">
        <f>IFERROR(VLOOKUP(B474,cubo!$A$6:$BE$37,15,0)-VLOOKUP(B474,#REF!,$H$2,0),0)</f>
        <v>0</v>
      </c>
      <c r="I474" s="9">
        <f>IFERROR(VLOOKUP(B474,cubo!$A$6:$BE$37,18,0)-VLOOKUP(B474,#REF!,$I$2,0),0)</f>
        <v>0</v>
      </c>
      <c r="J474" s="9">
        <f>IFERROR(VLOOKUP(B474,cubo!$A$6:$BE$37,24,0)-VLOOKUP(B474,#REF!,$J$2,0),0)</f>
        <v>0</v>
      </c>
      <c r="K474" s="9">
        <f>IFERROR(VLOOKUP(B474,cubo!$A$6:$BE$37,34,0)-VLOOKUP(B474,#REF!,$K$2,0),0)</f>
        <v>0</v>
      </c>
      <c r="L474" s="8">
        <f>IFERROR(VLOOKUP(B474,cubo!$A$6:$BE$37,38,0)-VLOOKUP(B474,#REF!,$L$2,0),0)</f>
        <v>0</v>
      </c>
      <c r="M474" s="15">
        <f>IFERROR(VLOOKUP(B474,cubo!$A$6:$BE$37,57,0)-VLOOKUP(B474,#REF!,$M$2,0),0)</f>
        <v>0</v>
      </c>
      <c r="N474" s="9">
        <f>IFERROR(VLOOKUP(B474,cubo!$A$6:$BK$37,41,0)-VLOOKUP(conciliacao_custos!B474,#REF!,18,0),0)</f>
        <v>0</v>
      </c>
      <c r="O474" s="9">
        <f>IFERROR(VLOOKUP(B474,cubo!$A$6:$BK$37,44,0)-VLOOKUP(conciliacao_custos!B474,#REF!,13,0),0)</f>
        <v>0</v>
      </c>
      <c r="P474" s="9">
        <f>IFERROR(VLOOKUP(B474,cubo!$A$6:$BK$37,47,0)-VLOOKUP(conciliacao_custos!B474,#REF!,14,0),0)</f>
        <v>0</v>
      </c>
      <c r="Q474" s="9">
        <f>IFERROR(VLOOKUP(B474,cubo!$A$6:$BK$37,58,0)-VLOOKUP(conciliacao_custos!B474,#REF!,16,0),0)</f>
        <v>0</v>
      </c>
      <c r="R474" s="9">
        <f>IFERROR(VLOOKUP(B474,cubo!$A$6:$BK$37,64,0)-VLOOKUP(conciliacao_custos!B474,#REF!,17,0),0)</f>
        <v>0</v>
      </c>
      <c r="S474" s="9">
        <f>IFERROR(VLOOKUP(B474,cubo!$A$6:$BK$37,61,0)-VLOOKUP(conciliacao_custos!B474,#REF!,15,0),0)</f>
        <v>0</v>
      </c>
    </row>
    <row r="475" spans="2:19" x14ac:dyDescent="0.25">
      <c r="B475" s="7">
        <f>[1]salario!A474</f>
        <v>0</v>
      </c>
      <c r="C475" s="8">
        <f>[1]salario!C474</f>
        <v>0</v>
      </c>
      <c r="D475" s="10">
        <f>IFERROR(VLOOKUP(B475,cubo!$A$6:$BE$37,6,0)-VLOOKUP(B475,#REF!,$D$2,0),0)</f>
        <v>0</v>
      </c>
      <c r="E475" s="10">
        <f>IFERROR(VLOOKUP(B475,cubo!$A$6:$BE$37,9,0)-VLOOKUP(B475,#REF!,$E$2,0),0)</f>
        <v>0</v>
      </c>
      <c r="F475" s="9">
        <f>IFERROR(VLOOKUP(B475,cubo!$A$6:$BE$37,12,0)-VLOOKUP(B475,#REF!,$F$2,0),0)</f>
        <v>0</v>
      </c>
      <c r="G475" s="9">
        <f>IFERROR(VLOOKUP(B475,cubo!$A$6:$BE$37,54,0)-VLOOKUP(B475,#REF!,$G$2,0),0)</f>
        <v>0</v>
      </c>
      <c r="H475" s="10">
        <f>IFERROR(VLOOKUP(B475,cubo!$A$6:$BE$37,15,0)-VLOOKUP(B475,#REF!,$H$2,0),0)</f>
        <v>0</v>
      </c>
      <c r="I475" s="9">
        <f>IFERROR(VLOOKUP(B475,cubo!$A$6:$BE$37,18,0)-VLOOKUP(B475,#REF!,$I$2,0),0)</f>
        <v>0</v>
      </c>
      <c r="J475" s="9">
        <f>IFERROR(VLOOKUP(B475,cubo!$A$6:$BE$37,24,0)-VLOOKUP(B475,#REF!,$J$2,0),0)</f>
        <v>0</v>
      </c>
      <c r="K475" s="9">
        <f>IFERROR(VLOOKUP(B475,cubo!$A$6:$BE$37,34,0)-VLOOKUP(B475,#REF!,$K$2,0),0)</f>
        <v>0</v>
      </c>
      <c r="L475" s="8">
        <f>IFERROR(VLOOKUP(B475,cubo!$A$6:$BE$37,38,0)-VLOOKUP(B475,#REF!,$L$2,0),0)</f>
        <v>0</v>
      </c>
      <c r="M475" s="15">
        <f>IFERROR(VLOOKUP(B475,cubo!$A$6:$BE$37,57,0)-VLOOKUP(B475,#REF!,$M$2,0),0)</f>
        <v>0</v>
      </c>
      <c r="N475" s="9">
        <f>IFERROR(VLOOKUP(B475,cubo!$A$6:$BK$37,41,0)-VLOOKUP(conciliacao_custos!B475,#REF!,18,0),0)</f>
        <v>0</v>
      </c>
      <c r="O475" s="9">
        <f>IFERROR(VLOOKUP(B475,cubo!$A$6:$BK$37,44,0)-VLOOKUP(conciliacao_custos!B475,#REF!,13,0),0)</f>
        <v>0</v>
      </c>
      <c r="P475" s="9">
        <f>IFERROR(VLOOKUP(B475,cubo!$A$6:$BK$37,47,0)-VLOOKUP(conciliacao_custos!B475,#REF!,14,0),0)</f>
        <v>0</v>
      </c>
      <c r="Q475" s="9">
        <f>IFERROR(VLOOKUP(B475,cubo!$A$6:$BK$37,58,0)-VLOOKUP(conciliacao_custos!B475,#REF!,16,0),0)</f>
        <v>0</v>
      </c>
      <c r="R475" s="9">
        <f>IFERROR(VLOOKUP(B475,cubo!$A$6:$BK$37,64,0)-VLOOKUP(conciliacao_custos!B475,#REF!,17,0),0)</f>
        <v>0</v>
      </c>
      <c r="S475" s="9">
        <f>IFERROR(VLOOKUP(B475,cubo!$A$6:$BK$37,61,0)-VLOOKUP(conciliacao_custos!B475,#REF!,15,0),0)</f>
        <v>0</v>
      </c>
    </row>
    <row r="476" spans="2:19" x14ac:dyDescent="0.25">
      <c r="B476" s="7">
        <f>[1]salario!A475</f>
        <v>0</v>
      </c>
      <c r="C476" s="8">
        <f>[1]salario!C475</f>
        <v>0</v>
      </c>
      <c r="D476" s="10">
        <f>IFERROR(VLOOKUP(B476,cubo!$A$6:$BE$37,6,0)-VLOOKUP(B476,#REF!,$D$2,0),0)</f>
        <v>0</v>
      </c>
      <c r="E476" s="10">
        <f>IFERROR(VLOOKUP(B476,cubo!$A$6:$BE$37,9,0)-VLOOKUP(B476,#REF!,$E$2,0),0)</f>
        <v>0</v>
      </c>
      <c r="F476" s="9">
        <f>IFERROR(VLOOKUP(B476,cubo!$A$6:$BE$37,12,0)-VLOOKUP(B476,#REF!,$F$2,0),0)</f>
        <v>0</v>
      </c>
      <c r="G476" s="9">
        <f>IFERROR(VLOOKUP(B476,cubo!$A$6:$BE$37,54,0)-VLOOKUP(B476,#REF!,$G$2,0),0)</f>
        <v>0</v>
      </c>
      <c r="H476" s="10">
        <f>IFERROR(VLOOKUP(B476,cubo!$A$6:$BE$37,15,0)-VLOOKUP(B476,#REF!,$H$2,0),0)</f>
        <v>0</v>
      </c>
      <c r="I476" s="9">
        <f>IFERROR(VLOOKUP(B476,cubo!$A$6:$BE$37,18,0)-VLOOKUP(B476,#REF!,$I$2,0),0)</f>
        <v>0</v>
      </c>
      <c r="J476" s="9">
        <f>IFERROR(VLOOKUP(B476,cubo!$A$6:$BE$37,24,0)-VLOOKUP(B476,#REF!,$J$2,0),0)</f>
        <v>0</v>
      </c>
      <c r="K476" s="9">
        <f>IFERROR(VLOOKUP(B476,cubo!$A$6:$BE$37,34,0)-VLOOKUP(B476,#REF!,$K$2,0),0)</f>
        <v>0</v>
      </c>
      <c r="L476" s="8">
        <f>IFERROR(VLOOKUP(B476,cubo!$A$6:$BE$37,38,0)-VLOOKUP(B476,#REF!,$L$2,0),0)</f>
        <v>0</v>
      </c>
      <c r="M476" s="15">
        <f>IFERROR(VLOOKUP(B476,cubo!$A$6:$BE$37,57,0)-VLOOKUP(B476,#REF!,$M$2,0),0)</f>
        <v>0</v>
      </c>
      <c r="N476" s="9">
        <f>IFERROR(VLOOKUP(B476,cubo!$A$6:$BK$37,41,0)-VLOOKUP(conciliacao_custos!B476,#REF!,18,0),0)</f>
        <v>0</v>
      </c>
      <c r="O476" s="9">
        <f>IFERROR(VLOOKUP(B476,cubo!$A$6:$BK$37,44,0)-VLOOKUP(conciliacao_custos!B476,#REF!,13,0),0)</f>
        <v>0</v>
      </c>
      <c r="P476" s="9">
        <f>IFERROR(VLOOKUP(B476,cubo!$A$6:$BK$37,47,0)-VLOOKUP(conciliacao_custos!B476,#REF!,14,0),0)</f>
        <v>0</v>
      </c>
      <c r="Q476" s="9">
        <f>IFERROR(VLOOKUP(B476,cubo!$A$6:$BK$37,58,0)-VLOOKUP(conciliacao_custos!B476,#REF!,16,0),0)</f>
        <v>0</v>
      </c>
      <c r="R476" s="9">
        <f>IFERROR(VLOOKUP(B476,cubo!$A$6:$BK$37,64,0)-VLOOKUP(conciliacao_custos!B476,#REF!,17,0),0)</f>
        <v>0</v>
      </c>
      <c r="S476" s="9">
        <f>IFERROR(VLOOKUP(B476,cubo!$A$6:$BK$37,61,0)-VLOOKUP(conciliacao_custos!B476,#REF!,15,0),0)</f>
        <v>0</v>
      </c>
    </row>
    <row r="477" spans="2:19" x14ac:dyDescent="0.25">
      <c r="B477" s="7">
        <f>[1]salario!A476</f>
        <v>0</v>
      </c>
      <c r="C477" s="8">
        <f>[1]salario!C476</f>
        <v>0</v>
      </c>
      <c r="D477" s="10">
        <f>IFERROR(VLOOKUP(B477,cubo!$A$6:$BE$37,6,0)-VLOOKUP(B477,#REF!,$D$2,0),0)</f>
        <v>0</v>
      </c>
      <c r="E477" s="10">
        <f>IFERROR(VLOOKUP(B477,cubo!$A$6:$BE$37,9,0)-VLOOKUP(B477,#REF!,$E$2,0),0)</f>
        <v>0</v>
      </c>
      <c r="F477" s="9">
        <f>IFERROR(VLOOKUP(B477,cubo!$A$6:$BE$37,12,0)-VLOOKUP(B477,#REF!,$F$2,0),0)</f>
        <v>0</v>
      </c>
      <c r="G477" s="9">
        <f>IFERROR(VLOOKUP(B477,cubo!$A$6:$BE$37,54,0)-VLOOKUP(B477,#REF!,$G$2,0),0)</f>
        <v>0</v>
      </c>
      <c r="H477" s="10">
        <f>IFERROR(VLOOKUP(B477,cubo!$A$6:$BE$37,15,0)-VLOOKUP(B477,#REF!,$H$2,0),0)</f>
        <v>0</v>
      </c>
      <c r="I477" s="9">
        <f>IFERROR(VLOOKUP(B477,cubo!$A$6:$BE$37,18,0)-VLOOKUP(B477,#REF!,$I$2,0),0)</f>
        <v>0</v>
      </c>
      <c r="J477" s="9">
        <f>IFERROR(VLOOKUP(B477,cubo!$A$6:$BE$37,24,0)-VLOOKUP(B477,#REF!,$J$2,0),0)</f>
        <v>0</v>
      </c>
      <c r="K477" s="9">
        <f>IFERROR(VLOOKUP(B477,cubo!$A$6:$BE$37,34,0)-VLOOKUP(B477,#REF!,$K$2,0),0)</f>
        <v>0</v>
      </c>
      <c r="L477" s="8">
        <f>IFERROR(VLOOKUP(B477,cubo!$A$6:$BE$37,38,0)-VLOOKUP(B477,#REF!,$L$2,0),0)</f>
        <v>0</v>
      </c>
      <c r="M477" s="15">
        <f>IFERROR(VLOOKUP(B477,cubo!$A$6:$BE$37,57,0)-VLOOKUP(B477,#REF!,$M$2,0),0)</f>
        <v>0</v>
      </c>
      <c r="N477" s="9">
        <f>IFERROR(VLOOKUP(B477,cubo!$A$6:$BK$37,41,0)-VLOOKUP(conciliacao_custos!B477,#REF!,18,0),0)</f>
        <v>0</v>
      </c>
      <c r="O477" s="9">
        <f>IFERROR(VLOOKUP(B477,cubo!$A$6:$BK$37,44,0)-VLOOKUP(conciliacao_custos!B477,#REF!,13,0),0)</f>
        <v>0</v>
      </c>
      <c r="P477" s="9">
        <f>IFERROR(VLOOKUP(B477,cubo!$A$6:$BK$37,47,0)-VLOOKUP(conciliacao_custos!B477,#REF!,14,0),0)</f>
        <v>0</v>
      </c>
      <c r="Q477" s="9">
        <f>IFERROR(VLOOKUP(B477,cubo!$A$6:$BK$37,58,0)-VLOOKUP(conciliacao_custos!B477,#REF!,16,0),0)</f>
        <v>0</v>
      </c>
      <c r="R477" s="9">
        <f>IFERROR(VLOOKUP(B477,cubo!$A$6:$BK$37,64,0)-VLOOKUP(conciliacao_custos!B477,#REF!,17,0),0)</f>
        <v>0</v>
      </c>
      <c r="S477" s="9">
        <f>IFERROR(VLOOKUP(B477,cubo!$A$6:$BK$37,61,0)-VLOOKUP(conciliacao_custos!B477,#REF!,15,0),0)</f>
        <v>0</v>
      </c>
    </row>
    <row r="478" spans="2:19" x14ac:dyDescent="0.25">
      <c r="B478" s="7">
        <f>[1]salario!A477</f>
        <v>0</v>
      </c>
      <c r="C478" s="8">
        <f>[1]salario!C477</f>
        <v>0</v>
      </c>
      <c r="D478" s="10">
        <f>IFERROR(VLOOKUP(B478,cubo!$A$6:$BE$37,6,0)-VLOOKUP(B478,#REF!,$D$2,0),0)</f>
        <v>0</v>
      </c>
      <c r="E478" s="10">
        <f>IFERROR(VLOOKUP(B478,cubo!$A$6:$BE$37,9,0)-VLOOKUP(B478,#REF!,$E$2,0),0)</f>
        <v>0</v>
      </c>
      <c r="F478" s="9">
        <f>IFERROR(VLOOKUP(B478,cubo!$A$6:$BE$37,12,0)-VLOOKUP(B478,#REF!,$F$2,0),0)</f>
        <v>0</v>
      </c>
      <c r="G478" s="9">
        <f>IFERROR(VLOOKUP(B478,cubo!$A$6:$BE$37,54,0)-VLOOKUP(B478,#REF!,$G$2,0),0)</f>
        <v>0</v>
      </c>
      <c r="H478" s="10">
        <f>IFERROR(VLOOKUP(B478,cubo!$A$6:$BE$37,15,0)-VLOOKUP(B478,#REF!,$H$2,0),0)</f>
        <v>0</v>
      </c>
      <c r="I478" s="9">
        <f>IFERROR(VLOOKUP(B478,cubo!$A$6:$BE$37,18,0)-VLOOKUP(B478,#REF!,$I$2,0),0)</f>
        <v>0</v>
      </c>
      <c r="J478" s="9">
        <f>IFERROR(VLOOKUP(B478,cubo!$A$6:$BE$37,24,0)-VLOOKUP(B478,#REF!,$J$2,0),0)</f>
        <v>0</v>
      </c>
      <c r="K478" s="9">
        <f>IFERROR(VLOOKUP(B478,cubo!$A$6:$BE$37,34,0)-VLOOKUP(B478,#REF!,$K$2,0),0)</f>
        <v>0</v>
      </c>
      <c r="L478" s="8">
        <f>IFERROR(VLOOKUP(B478,cubo!$A$6:$BE$37,38,0)-VLOOKUP(B478,#REF!,$L$2,0),0)</f>
        <v>0</v>
      </c>
      <c r="M478" s="15">
        <f>IFERROR(VLOOKUP(B478,cubo!$A$6:$BE$37,57,0)-VLOOKUP(B478,#REF!,$M$2,0),0)</f>
        <v>0</v>
      </c>
      <c r="N478" s="9">
        <f>IFERROR(VLOOKUP(B478,cubo!$A$6:$BK$37,41,0)-VLOOKUP(conciliacao_custos!B478,#REF!,18,0),0)</f>
        <v>0</v>
      </c>
      <c r="O478" s="9">
        <f>IFERROR(VLOOKUP(B478,cubo!$A$6:$BK$37,44,0)-VLOOKUP(conciliacao_custos!B478,#REF!,13,0),0)</f>
        <v>0</v>
      </c>
      <c r="P478" s="9">
        <f>IFERROR(VLOOKUP(B478,cubo!$A$6:$BK$37,47,0)-VLOOKUP(conciliacao_custos!B478,#REF!,14,0),0)</f>
        <v>0</v>
      </c>
      <c r="Q478" s="9">
        <f>IFERROR(VLOOKUP(B478,cubo!$A$6:$BK$37,58,0)-VLOOKUP(conciliacao_custos!B478,#REF!,16,0),0)</f>
        <v>0</v>
      </c>
      <c r="R478" s="9">
        <f>IFERROR(VLOOKUP(B478,cubo!$A$6:$BK$37,64,0)-VLOOKUP(conciliacao_custos!B478,#REF!,17,0),0)</f>
        <v>0</v>
      </c>
      <c r="S478" s="9">
        <f>IFERROR(VLOOKUP(B478,cubo!$A$6:$BK$37,61,0)-VLOOKUP(conciliacao_custos!B478,#REF!,15,0),0)</f>
        <v>0</v>
      </c>
    </row>
    <row r="479" spans="2:19" x14ac:dyDescent="0.25">
      <c r="B479" s="7">
        <f>[1]salario!A478</f>
        <v>0</v>
      </c>
      <c r="C479" s="8">
        <f>[1]salario!C478</f>
        <v>0</v>
      </c>
      <c r="D479" s="10">
        <f>IFERROR(VLOOKUP(B479,cubo!$A$6:$BE$37,6,0)-VLOOKUP(B479,#REF!,$D$2,0),0)</f>
        <v>0</v>
      </c>
      <c r="E479" s="10">
        <f>IFERROR(VLOOKUP(B479,cubo!$A$6:$BE$37,9,0)-VLOOKUP(B479,#REF!,$E$2,0),0)</f>
        <v>0</v>
      </c>
      <c r="F479" s="9">
        <f>IFERROR(VLOOKUP(B479,cubo!$A$6:$BE$37,12,0)-VLOOKUP(B479,#REF!,$F$2,0),0)</f>
        <v>0</v>
      </c>
      <c r="G479" s="9">
        <f>IFERROR(VLOOKUP(B479,cubo!$A$6:$BE$37,54,0)-VLOOKUP(B479,#REF!,$G$2,0),0)</f>
        <v>0</v>
      </c>
      <c r="H479" s="10">
        <f>IFERROR(VLOOKUP(B479,cubo!$A$6:$BE$37,15,0)-VLOOKUP(B479,#REF!,$H$2,0),0)</f>
        <v>0</v>
      </c>
      <c r="I479" s="9">
        <f>IFERROR(VLOOKUP(B479,cubo!$A$6:$BE$37,18,0)-VLOOKUP(B479,#REF!,$I$2,0),0)</f>
        <v>0</v>
      </c>
      <c r="J479" s="9">
        <f>IFERROR(VLOOKUP(B479,cubo!$A$6:$BE$37,24,0)-VLOOKUP(B479,#REF!,$J$2,0),0)</f>
        <v>0</v>
      </c>
      <c r="K479" s="9">
        <f>IFERROR(VLOOKUP(B479,cubo!$A$6:$BE$37,34,0)-VLOOKUP(B479,#REF!,$K$2,0),0)</f>
        <v>0</v>
      </c>
      <c r="L479" s="8">
        <f>IFERROR(VLOOKUP(B479,cubo!$A$6:$BE$37,38,0)-VLOOKUP(B479,#REF!,$L$2,0),0)</f>
        <v>0</v>
      </c>
      <c r="M479" s="15">
        <f>IFERROR(VLOOKUP(B479,cubo!$A$6:$BE$37,57,0)-VLOOKUP(B479,#REF!,$M$2,0),0)</f>
        <v>0</v>
      </c>
      <c r="N479" s="9">
        <f>IFERROR(VLOOKUP(B479,cubo!$A$6:$BK$37,41,0)-VLOOKUP(conciliacao_custos!B479,#REF!,18,0),0)</f>
        <v>0</v>
      </c>
      <c r="O479" s="9">
        <f>IFERROR(VLOOKUP(B479,cubo!$A$6:$BK$37,44,0)-VLOOKUP(conciliacao_custos!B479,#REF!,13,0),0)</f>
        <v>0</v>
      </c>
      <c r="P479" s="9">
        <f>IFERROR(VLOOKUP(B479,cubo!$A$6:$BK$37,47,0)-VLOOKUP(conciliacao_custos!B479,#REF!,14,0),0)</f>
        <v>0</v>
      </c>
      <c r="Q479" s="9">
        <f>IFERROR(VLOOKUP(B479,cubo!$A$6:$BK$37,58,0)-VLOOKUP(conciliacao_custos!B479,#REF!,16,0),0)</f>
        <v>0</v>
      </c>
      <c r="R479" s="9">
        <f>IFERROR(VLOOKUP(B479,cubo!$A$6:$BK$37,64,0)-VLOOKUP(conciliacao_custos!B479,#REF!,17,0),0)</f>
        <v>0</v>
      </c>
      <c r="S479" s="9">
        <f>IFERROR(VLOOKUP(B479,cubo!$A$6:$BK$37,61,0)-VLOOKUP(conciliacao_custos!B479,#REF!,15,0),0)</f>
        <v>0</v>
      </c>
    </row>
    <row r="480" spans="2:19" x14ac:dyDescent="0.25">
      <c r="B480" s="7">
        <f>[1]salario!A479</f>
        <v>0</v>
      </c>
      <c r="C480" s="8">
        <f>[1]salario!C479</f>
        <v>0</v>
      </c>
      <c r="D480" s="10">
        <f>IFERROR(VLOOKUP(B480,cubo!$A$6:$BE$37,6,0)-VLOOKUP(B480,#REF!,$D$2,0),0)</f>
        <v>0</v>
      </c>
      <c r="E480" s="10">
        <f>IFERROR(VLOOKUP(B480,cubo!$A$6:$BE$37,9,0)-VLOOKUP(B480,#REF!,$E$2,0),0)</f>
        <v>0</v>
      </c>
      <c r="F480" s="9">
        <f>IFERROR(VLOOKUP(B480,cubo!$A$6:$BE$37,12,0)-VLOOKUP(B480,#REF!,$F$2,0),0)</f>
        <v>0</v>
      </c>
      <c r="G480" s="9">
        <f>IFERROR(VLOOKUP(B480,cubo!$A$6:$BE$37,54,0)-VLOOKUP(B480,#REF!,$G$2,0),0)</f>
        <v>0</v>
      </c>
      <c r="H480" s="10">
        <f>IFERROR(VLOOKUP(B480,cubo!$A$6:$BE$37,15,0)-VLOOKUP(B480,#REF!,$H$2,0),0)</f>
        <v>0</v>
      </c>
      <c r="I480" s="9">
        <f>IFERROR(VLOOKUP(B480,cubo!$A$6:$BE$37,18,0)-VLOOKUP(B480,#REF!,$I$2,0),0)</f>
        <v>0</v>
      </c>
      <c r="J480" s="9">
        <f>IFERROR(VLOOKUP(B480,cubo!$A$6:$BE$37,24,0)-VLOOKUP(B480,#REF!,$J$2,0),0)</f>
        <v>0</v>
      </c>
      <c r="K480" s="9">
        <f>IFERROR(VLOOKUP(B480,cubo!$A$6:$BE$37,34,0)-VLOOKUP(B480,#REF!,$K$2,0),0)</f>
        <v>0</v>
      </c>
      <c r="L480" s="8">
        <f>IFERROR(VLOOKUP(B480,cubo!$A$6:$BE$37,38,0)-VLOOKUP(B480,#REF!,$L$2,0),0)</f>
        <v>0</v>
      </c>
      <c r="M480" s="15">
        <f>IFERROR(VLOOKUP(B480,cubo!$A$6:$BE$37,57,0)-VLOOKUP(B480,#REF!,$M$2,0),0)</f>
        <v>0</v>
      </c>
      <c r="N480" s="9">
        <f>IFERROR(VLOOKUP(B480,cubo!$A$6:$BK$37,41,0)-VLOOKUP(conciliacao_custos!B480,#REF!,18,0),0)</f>
        <v>0</v>
      </c>
      <c r="O480" s="9">
        <f>IFERROR(VLOOKUP(B480,cubo!$A$6:$BK$37,44,0)-VLOOKUP(conciliacao_custos!B480,#REF!,13,0),0)</f>
        <v>0</v>
      </c>
      <c r="P480" s="9">
        <f>IFERROR(VLOOKUP(B480,cubo!$A$6:$BK$37,47,0)-VLOOKUP(conciliacao_custos!B480,#REF!,14,0),0)</f>
        <v>0</v>
      </c>
      <c r="Q480" s="9">
        <f>IFERROR(VLOOKUP(B480,cubo!$A$6:$BK$37,58,0)-VLOOKUP(conciliacao_custos!B480,#REF!,16,0),0)</f>
        <v>0</v>
      </c>
      <c r="R480" s="9">
        <f>IFERROR(VLOOKUP(B480,cubo!$A$6:$BK$37,64,0)-VLOOKUP(conciliacao_custos!B480,#REF!,17,0),0)</f>
        <v>0</v>
      </c>
      <c r="S480" s="9">
        <f>IFERROR(VLOOKUP(B480,cubo!$A$6:$BK$37,61,0)-VLOOKUP(conciliacao_custos!B480,#REF!,15,0),0)</f>
        <v>0</v>
      </c>
    </row>
    <row r="481" spans="2:19" x14ac:dyDescent="0.25">
      <c r="B481" s="7">
        <f>[1]salario!A480</f>
        <v>0</v>
      </c>
      <c r="C481" s="8">
        <f>[1]salario!C480</f>
        <v>0</v>
      </c>
      <c r="D481" s="10">
        <f>IFERROR(VLOOKUP(B481,cubo!$A$6:$BE$37,6,0)-VLOOKUP(B481,#REF!,$D$2,0),0)</f>
        <v>0</v>
      </c>
      <c r="E481" s="10">
        <f>IFERROR(VLOOKUP(B481,cubo!$A$6:$BE$37,9,0)-VLOOKUP(B481,#REF!,$E$2,0),0)</f>
        <v>0</v>
      </c>
      <c r="F481" s="9">
        <f>IFERROR(VLOOKUP(B481,cubo!$A$6:$BE$37,12,0)-VLOOKUP(B481,#REF!,$F$2,0),0)</f>
        <v>0</v>
      </c>
      <c r="G481" s="9">
        <f>IFERROR(VLOOKUP(B481,cubo!$A$6:$BE$37,54,0)-VLOOKUP(B481,#REF!,$G$2,0),0)</f>
        <v>0</v>
      </c>
      <c r="H481" s="10">
        <f>IFERROR(VLOOKUP(B481,cubo!$A$6:$BE$37,15,0)-VLOOKUP(B481,#REF!,$H$2,0),0)</f>
        <v>0</v>
      </c>
      <c r="I481" s="9">
        <f>IFERROR(VLOOKUP(B481,cubo!$A$6:$BE$37,18,0)-VLOOKUP(B481,#REF!,$I$2,0),0)</f>
        <v>0</v>
      </c>
      <c r="J481" s="9">
        <f>IFERROR(VLOOKUP(B481,cubo!$A$6:$BE$37,24,0)-VLOOKUP(B481,#REF!,$J$2,0),0)</f>
        <v>0</v>
      </c>
      <c r="K481" s="9">
        <f>IFERROR(VLOOKUP(B481,cubo!$A$6:$BE$37,34,0)-VLOOKUP(B481,#REF!,$K$2,0),0)</f>
        <v>0</v>
      </c>
      <c r="L481" s="8">
        <f>IFERROR(VLOOKUP(B481,cubo!$A$6:$BE$37,38,0)-VLOOKUP(B481,#REF!,$L$2,0),0)</f>
        <v>0</v>
      </c>
      <c r="M481" s="15">
        <f>IFERROR(VLOOKUP(B481,cubo!$A$6:$BE$37,57,0)-VLOOKUP(B481,#REF!,$M$2,0),0)</f>
        <v>0</v>
      </c>
      <c r="N481" s="9">
        <f>IFERROR(VLOOKUP(B481,cubo!$A$6:$BK$37,41,0)-VLOOKUP(conciliacao_custos!B481,#REF!,18,0),0)</f>
        <v>0</v>
      </c>
      <c r="O481" s="9">
        <f>IFERROR(VLOOKUP(B481,cubo!$A$6:$BK$37,44,0)-VLOOKUP(conciliacao_custos!B481,#REF!,13,0),0)</f>
        <v>0</v>
      </c>
      <c r="P481" s="9">
        <f>IFERROR(VLOOKUP(B481,cubo!$A$6:$BK$37,47,0)-VLOOKUP(conciliacao_custos!B481,#REF!,14,0),0)</f>
        <v>0</v>
      </c>
      <c r="Q481" s="9">
        <f>IFERROR(VLOOKUP(B481,cubo!$A$6:$BK$37,58,0)-VLOOKUP(conciliacao_custos!B481,#REF!,16,0),0)</f>
        <v>0</v>
      </c>
      <c r="R481" s="9">
        <f>IFERROR(VLOOKUP(B481,cubo!$A$6:$BK$37,64,0)-VLOOKUP(conciliacao_custos!B481,#REF!,17,0),0)</f>
        <v>0</v>
      </c>
      <c r="S481" s="9">
        <f>IFERROR(VLOOKUP(B481,cubo!$A$6:$BK$37,61,0)-VLOOKUP(conciliacao_custos!B481,#REF!,15,0),0)</f>
        <v>0</v>
      </c>
    </row>
    <row r="482" spans="2:19" x14ac:dyDescent="0.25">
      <c r="B482" s="7">
        <f>[1]salario!A481</f>
        <v>0</v>
      </c>
      <c r="C482" s="8">
        <f>[1]salario!C481</f>
        <v>0</v>
      </c>
      <c r="D482" s="10">
        <f>IFERROR(VLOOKUP(B482,cubo!$A$6:$BE$37,6,0)-VLOOKUP(B482,#REF!,$D$2,0),0)</f>
        <v>0</v>
      </c>
      <c r="E482" s="10">
        <f>IFERROR(VLOOKUP(B482,cubo!$A$6:$BE$37,9,0)-VLOOKUP(B482,#REF!,$E$2,0),0)</f>
        <v>0</v>
      </c>
      <c r="F482" s="9">
        <f>IFERROR(VLOOKUP(B482,cubo!$A$6:$BE$37,12,0)-VLOOKUP(B482,#REF!,$F$2,0),0)</f>
        <v>0</v>
      </c>
      <c r="G482" s="9">
        <f>IFERROR(VLOOKUP(B482,cubo!$A$6:$BE$37,54,0)-VLOOKUP(B482,#REF!,$G$2,0),0)</f>
        <v>0</v>
      </c>
      <c r="H482" s="10">
        <f>IFERROR(VLOOKUP(B482,cubo!$A$6:$BE$37,15,0)-VLOOKUP(B482,#REF!,$H$2,0),0)</f>
        <v>0</v>
      </c>
      <c r="I482" s="9">
        <f>IFERROR(VLOOKUP(B482,cubo!$A$6:$BE$37,18,0)-VLOOKUP(B482,#REF!,$I$2,0),0)</f>
        <v>0</v>
      </c>
      <c r="J482" s="9">
        <f>IFERROR(VLOOKUP(B482,cubo!$A$6:$BE$37,24,0)-VLOOKUP(B482,#REF!,$J$2,0),0)</f>
        <v>0</v>
      </c>
      <c r="K482" s="9">
        <f>IFERROR(VLOOKUP(B482,cubo!$A$6:$BE$37,34,0)-VLOOKUP(B482,#REF!,$K$2,0),0)</f>
        <v>0</v>
      </c>
      <c r="L482" s="8">
        <f>IFERROR(VLOOKUP(B482,cubo!$A$6:$BE$37,38,0)-VLOOKUP(B482,#REF!,$L$2,0),0)</f>
        <v>0</v>
      </c>
      <c r="M482" s="15">
        <f>IFERROR(VLOOKUP(B482,cubo!$A$6:$BE$37,57,0)-VLOOKUP(B482,#REF!,$M$2,0),0)</f>
        <v>0</v>
      </c>
      <c r="N482" s="9">
        <f>IFERROR(VLOOKUP(B482,cubo!$A$6:$BK$37,41,0)-VLOOKUP(conciliacao_custos!B482,#REF!,18,0),0)</f>
        <v>0</v>
      </c>
      <c r="O482" s="9">
        <f>IFERROR(VLOOKUP(B482,cubo!$A$6:$BK$37,44,0)-VLOOKUP(conciliacao_custos!B482,#REF!,13,0),0)</f>
        <v>0</v>
      </c>
      <c r="P482" s="9">
        <f>IFERROR(VLOOKUP(B482,cubo!$A$6:$BK$37,47,0)-VLOOKUP(conciliacao_custos!B482,#REF!,14,0),0)</f>
        <v>0</v>
      </c>
      <c r="Q482" s="9">
        <f>IFERROR(VLOOKUP(B482,cubo!$A$6:$BK$37,58,0)-VLOOKUP(conciliacao_custos!B482,#REF!,16,0),0)</f>
        <v>0</v>
      </c>
      <c r="R482" s="9">
        <f>IFERROR(VLOOKUP(B482,cubo!$A$6:$BK$37,64,0)-VLOOKUP(conciliacao_custos!B482,#REF!,17,0),0)</f>
        <v>0</v>
      </c>
      <c r="S482" s="9">
        <f>IFERROR(VLOOKUP(B482,cubo!$A$6:$BK$37,61,0)-VLOOKUP(conciliacao_custos!B482,#REF!,15,0),0)</f>
        <v>0</v>
      </c>
    </row>
    <row r="483" spans="2:19" x14ac:dyDescent="0.25">
      <c r="B483" s="7">
        <f>[1]salario!A482</f>
        <v>0</v>
      </c>
      <c r="C483" s="8">
        <f>[1]salario!C482</f>
        <v>0</v>
      </c>
      <c r="D483" s="10">
        <f>IFERROR(VLOOKUP(B483,cubo!$A$6:$BE$37,6,0)-VLOOKUP(B483,#REF!,$D$2,0),0)</f>
        <v>0</v>
      </c>
      <c r="E483" s="10">
        <f>IFERROR(VLOOKUP(B483,cubo!$A$6:$BE$37,9,0)-VLOOKUP(B483,#REF!,$E$2,0),0)</f>
        <v>0</v>
      </c>
      <c r="F483" s="9">
        <f>IFERROR(VLOOKUP(B483,cubo!$A$6:$BE$37,12,0)-VLOOKUP(B483,#REF!,$F$2,0),0)</f>
        <v>0</v>
      </c>
      <c r="G483" s="9">
        <f>IFERROR(VLOOKUP(B483,cubo!$A$6:$BE$37,54,0)-VLOOKUP(B483,#REF!,$G$2,0),0)</f>
        <v>0</v>
      </c>
      <c r="H483" s="10">
        <f>IFERROR(VLOOKUP(B483,cubo!$A$6:$BE$37,15,0)-VLOOKUP(B483,#REF!,$H$2,0),0)</f>
        <v>0</v>
      </c>
      <c r="I483" s="9">
        <f>IFERROR(VLOOKUP(B483,cubo!$A$6:$BE$37,18,0)-VLOOKUP(B483,#REF!,$I$2,0),0)</f>
        <v>0</v>
      </c>
      <c r="J483" s="9">
        <f>IFERROR(VLOOKUP(B483,cubo!$A$6:$BE$37,24,0)-VLOOKUP(B483,#REF!,$J$2,0),0)</f>
        <v>0</v>
      </c>
      <c r="K483" s="9">
        <f>IFERROR(VLOOKUP(B483,cubo!$A$6:$BE$37,34,0)-VLOOKUP(B483,#REF!,$K$2,0),0)</f>
        <v>0</v>
      </c>
      <c r="L483" s="8">
        <f>IFERROR(VLOOKUP(B483,cubo!$A$6:$BE$37,38,0)-VLOOKUP(B483,#REF!,$L$2,0),0)</f>
        <v>0</v>
      </c>
      <c r="M483" s="15">
        <f>IFERROR(VLOOKUP(B483,cubo!$A$6:$BE$37,57,0)-VLOOKUP(B483,#REF!,$M$2,0),0)</f>
        <v>0</v>
      </c>
      <c r="N483" s="9">
        <f>IFERROR(VLOOKUP(B483,cubo!$A$6:$BK$37,41,0)-VLOOKUP(conciliacao_custos!B483,#REF!,18,0),0)</f>
        <v>0</v>
      </c>
      <c r="O483" s="9">
        <f>IFERROR(VLOOKUP(B483,cubo!$A$6:$BK$37,44,0)-VLOOKUP(conciliacao_custos!B483,#REF!,13,0),0)</f>
        <v>0</v>
      </c>
      <c r="P483" s="9">
        <f>IFERROR(VLOOKUP(B483,cubo!$A$6:$BK$37,47,0)-VLOOKUP(conciliacao_custos!B483,#REF!,14,0),0)</f>
        <v>0</v>
      </c>
      <c r="Q483" s="9">
        <f>IFERROR(VLOOKUP(B483,cubo!$A$6:$BK$37,58,0)-VLOOKUP(conciliacao_custos!B483,#REF!,16,0),0)</f>
        <v>0</v>
      </c>
      <c r="R483" s="9">
        <f>IFERROR(VLOOKUP(B483,cubo!$A$6:$BK$37,64,0)-VLOOKUP(conciliacao_custos!B483,#REF!,17,0),0)</f>
        <v>0</v>
      </c>
      <c r="S483" s="9">
        <f>IFERROR(VLOOKUP(B483,cubo!$A$6:$BK$37,61,0)-VLOOKUP(conciliacao_custos!B483,#REF!,15,0),0)</f>
        <v>0</v>
      </c>
    </row>
    <row r="484" spans="2:19" x14ac:dyDescent="0.25">
      <c r="B484" s="7">
        <f>[1]salario!A483</f>
        <v>0</v>
      </c>
      <c r="C484" s="8">
        <f>[1]salario!C483</f>
        <v>0</v>
      </c>
      <c r="D484" s="10">
        <f>IFERROR(VLOOKUP(B484,cubo!$A$6:$BE$37,6,0)-VLOOKUP(B484,#REF!,$D$2,0),0)</f>
        <v>0</v>
      </c>
      <c r="E484" s="10">
        <f>IFERROR(VLOOKUP(B484,cubo!$A$6:$BE$37,9,0)-VLOOKUP(B484,#REF!,$E$2,0),0)</f>
        <v>0</v>
      </c>
      <c r="F484" s="9">
        <f>IFERROR(VLOOKUP(B484,cubo!$A$6:$BE$37,12,0)-VLOOKUP(B484,#REF!,$F$2,0),0)</f>
        <v>0</v>
      </c>
      <c r="G484" s="9">
        <f>IFERROR(VLOOKUP(B484,cubo!$A$6:$BE$37,54,0)-VLOOKUP(B484,#REF!,$G$2,0),0)</f>
        <v>0</v>
      </c>
      <c r="H484" s="10">
        <f>IFERROR(VLOOKUP(B484,cubo!$A$6:$BE$37,15,0)-VLOOKUP(B484,#REF!,$H$2,0),0)</f>
        <v>0</v>
      </c>
      <c r="I484" s="9">
        <f>IFERROR(VLOOKUP(B484,cubo!$A$6:$BE$37,18,0)-VLOOKUP(B484,#REF!,$I$2,0),0)</f>
        <v>0</v>
      </c>
      <c r="J484" s="9">
        <f>IFERROR(VLOOKUP(B484,cubo!$A$6:$BE$37,24,0)-VLOOKUP(B484,#REF!,$J$2,0),0)</f>
        <v>0</v>
      </c>
      <c r="K484" s="9">
        <f>IFERROR(VLOOKUP(B484,cubo!$A$6:$BE$37,34,0)-VLOOKUP(B484,#REF!,$K$2,0),0)</f>
        <v>0</v>
      </c>
      <c r="L484" s="8">
        <f>IFERROR(VLOOKUP(B484,cubo!$A$6:$BE$37,38,0)-VLOOKUP(B484,#REF!,$L$2,0),0)</f>
        <v>0</v>
      </c>
      <c r="M484" s="15">
        <f>IFERROR(VLOOKUP(B484,cubo!$A$6:$BE$37,57,0)-VLOOKUP(B484,#REF!,$M$2,0),0)</f>
        <v>0</v>
      </c>
      <c r="N484" s="9">
        <f>IFERROR(VLOOKUP(B484,cubo!$A$6:$BK$37,41,0)-VLOOKUP(conciliacao_custos!B484,#REF!,18,0),0)</f>
        <v>0</v>
      </c>
      <c r="O484" s="9">
        <f>IFERROR(VLOOKUP(B484,cubo!$A$6:$BK$37,44,0)-VLOOKUP(conciliacao_custos!B484,#REF!,13,0),0)</f>
        <v>0</v>
      </c>
      <c r="P484" s="9">
        <f>IFERROR(VLOOKUP(B484,cubo!$A$6:$BK$37,47,0)-VLOOKUP(conciliacao_custos!B484,#REF!,14,0),0)</f>
        <v>0</v>
      </c>
      <c r="Q484" s="9">
        <f>IFERROR(VLOOKUP(B484,cubo!$A$6:$BK$37,58,0)-VLOOKUP(conciliacao_custos!B484,#REF!,16,0),0)</f>
        <v>0</v>
      </c>
      <c r="R484" s="9">
        <f>IFERROR(VLOOKUP(B484,cubo!$A$6:$BK$37,64,0)-VLOOKUP(conciliacao_custos!B484,#REF!,17,0),0)</f>
        <v>0</v>
      </c>
      <c r="S484" s="9">
        <f>IFERROR(VLOOKUP(B484,cubo!$A$6:$BK$37,61,0)-VLOOKUP(conciliacao_custos!B484,#REF!,15,0),0)</f>
        <v>0</v>
      </c>
    </row>
    <row r="485" spans="2:19" x14ac:dyDescent="0.25">
      <c r="B485" s="7">
        <f>[1]salario!A484</f>
        <v>0</v>
      </c>
      <c r="C485" s="8">
        <f>[1]salario!C484</f>
        <v>0</v>
      </c>
      <c r="D485" s="10">
        <f>IFERROR(VLOOKUP(B485,cubo!$A$6:$BE$37,6,0)-VLOOKUP(B485,#REF!,$D$2,0),0)</f>
        <v>0</v>
      </c>
      <c r="E485" s="10">
        <f>IFERROR(VLOOKUP(B485,cubo!$A$6:$BE$37,9,0)-VLOOKUP(B485,#REF!,$E$2,0),0)</f>
        <v>0</v>
      </c>
      <c r="F485" s="9">
        <f>IFERROR(VLOOKUP(B485,cubo!$A$6:$BE$37,12,0)-VLOOKUP(B485,#REF!,$F$2,0),0)</f>
        <v>0</v>
      </c>
      <c r="G485" s="9">
        <f>IFERROR(VLOOKUP(B485,cubo!$A$6:$BE$37,54,0)-VLOOKUP(B485,#REF!,$G$2,0),0)</f>
        <v>0</v>
      </c>
      <c r="H485" s="10">
        <f>IFERROR(VLOOKUP(B485,cubo!$A$6:$BE$37,15,0)-VLOOKUP(B485,#REF!,$H$2,0),0)</f>
        <v>0</v>
      </c>
      <c r="I485" s="9">
        <f>IFERROR(VLOOKUP(B485,cubo!$A$6:$BE$37,18,0)-VLOOKUP(B485,#REF!,$I$2,0),0)</f>
        <v>0</v>
      </c>
      <c r="J485" s="9">
        <f>IFERROR(VLOOKUP(B485,cubo!$A$6:$BE$37,24,0)-VLOOKUP(B485,#REF!,$J$2,0),0)</f>
        <v>0</v>
      </c>
      <c r="K485" s="9">
        <f>IFERROR(VLOOKUP(B485,cubo!$A$6:$BE$37,34,0)-VLOOKUP(B485,#REF!,$K$2,0),0)</f>
        <v>0</v>
      </c>
      <c r="L485" s="8">
        <f>IFERROR(VLOOKUP(B485,cubo!$A$6:$BE$37,38,0)-VLOOKUP(B485,#REF!,$L$2,0),0)</f>
        <v>0</v>
      </c>
      <c r="M485" s="15">
        <f>IFERROR(VLOOKUP(B485,cubo!$A$6:$BE$37,57,0)-VLOOKUP(B485,#REF!,$M$2,0),0)</f>
        <v>0</v>
      </c>
      <c r="N485" s="9">
        <f>IFERROR(VLOOKUP(B485,cubo!$A$6:$BK$37,41,0)-VLOOKUP(conciliacao_custos!B485,#REF!,18,0),0)</f>
        <v>0</v>
      </c>
      <c r="O485" s="9">
        <f>IFERROR(VLOOKUP(B485,cubo!$A$6:$BK$37,44,0)-VLOOKUP(conciliacao_custos!B485,#REF!,13,0),0)</f>
        <v>0</v>
      </c>
      <c r="P485" s="9">
        <f>IFERROR(VLOOKUP(B485,cubo!$A$6:$BK$37,47,0)-VLOOKUP(conciliacao_custos!B485,#REF!,14,0),0)</f>
        <v>0</v>
      </c>
      <c r="Q485" s="9">
        <f>IFERROR(VLOOKUP(B485,cubo!$A$6:$BK$37,58,0)-VLOOKUP(conciliacao_custos!B485,#REF!,16,0),0)</f>
        <v>0</v>
      </c>
      <c r="R485" s="9">
        <f>IFERROR(VLOOKUP(B485,cubo!$A$6:$BK$37,64,0)-VLOOKUP(conciliacao_custos!B485,#REF!,17,0),0)</f>
        <v>0</v>
      </c>
      <c r="S485" s="9">
        <f>IFERROR(VLOOKUP(B485,cubo!$A$6:$BK$37,61,0)-VLOOKUP(conciliacao_custos!B485,#REF!,15,0),0)</f>
        <v>0</v>
      </c>
    </row>
    <row r="486" spans="2:19" x14ac:dyDescent="0.25">
      <c r="B486" s="7">
        <f>[1]salario!A485</f>
        <v>0</v>
      </c>
      <c r="C486" s="8">
        <f>[1]salario!C485</f>
        <v>0</v>
      </c>
      <c r="D486" s="10">
        <f>IFERROR(VLOOKUP(B486,cubo!$A$6:$BE$37,6,0)-VLOOKUP(B486,#REF!,$D$2,0),0)</f>
        <v>0</v>
      </c>
      <c r="E486" s="10">
        <f>IFERROR(VLOOKUP(B486,cubo!$A$6:$BE$37,9,0)-VLOOKUP(B486,#REF!,$E$2,0),0)</f>
        <v>0</v>
      </c>
      <c r="F486" s="9">
        <f>IFERROR(VLOOKUP(B486,cubo!$A$6:$BE$37,12,0)-VLOOKUP(B486,#REF!,$F$2,0),0)</f>
        <v>0</v>
      </c>
      <c r="G486" s="9">
        <f>IFERROR(VLOOKUP(B486,cubo!$A$6:$BE$37,54,0)-VLOOKUP(B486,#REF!,$G$2,0),0)</f>
        <v>0</v>
      </c>
      <c r="H486" s="10">
        <f>IFERROR(VLOOKUP(B486,cubo!$A$6:$BE$37,15,0)-VLOOKUP(B486,#REF!,$H$2,0),0)</f>
        <v>0</v>
      </c>
      <c r="I486" s="9">
        <f>IFERROR(VLOOKUP(B486,cubo!$A$6:$BE$37,18,0)-VLOOKUP(B486,#REF!,$I$2,0),0)</f>
        <v>0</v>
      </c>
      <c r="J486" s="9">
        <f>IFERROR(VLOOKUP(B486,cubo!$A$6:$BE$37,24,0)-VLOOKUP(B486,#REF!,$J$2,0),0)</f>
        <v>0</v>
      </c>
      <c r="K486" s="9">
        <f>IFERROR(VLOOKUP(B486,cubo!$A$6:$BE$37,34,0)-VLOOKUP(B486,#REF!,$K$2,0),0)</f>
        <v>0</v>
      </c>
      <c r="L486" s="8">
        <f>IFERROR(VLOOKUP(B486,cubo!$A$6:$BE$37,38,0)-VLOOKUP(B486,#REF!,$L$2,0),0)</f>
        <v>0</v>
      </c>
      <c r="M486" s="15">
        <f>IFERROR(VLOOKUP(B486,cubo!$A$6:$BE$37,57,0)-VLOOKUP(B486,#REF!,$M$2,0),0)</f>
        <v>0</v>
      </c>
      <c r="N486" s="9">
        <f>IFERROR(VLOOKUP(B486,cubo!$A$6:$BK$37,41,0)-VLOOKUP(conciliacao_custos!B486,#REF!,18,0),0)</f>
        <v>0</v>
      </c>
      <c r="O486" s="9">
        <f>IFERROR(VLOOKUP(B486,cubo!$A$6:$BK$37,44,0)-VLOOKUP(conciliacao_custos!B486,#REF!,13,0),0)</f>
        <v>0</v>
      </c>
      <c r="P486" s="9">
        <f>IFERROR(VLOOKUP(B486,cubo!$A$6:$BK$37,47,0)-VLOOKUP(conciliacao_custos!B486,#REF!,14,0),0)</f>
        <v>0</v>
      </c>
      <c r="Q486" s="9">
        <f>IFERROR(VLOOKUP(B486,cubo!$A$6:$BK$37,58,0)-VLOOKUP(conciliacao_custos!B486,#REF!,16,0),0)</f>
        <v>0</v>
      </c>
      <c r="R486" s="9">
        <f>IFERROR(VLOOKUP(B486,cubo!$A$6:$BK$37,64,0)-VLOOKUP(conciliacao_custos!B486,#REF!,17,0),0)</f>
        <v>0</v>
      </c>
      <c r="S486" s="9">
        <f>IFERROR(VLOOKUP(B486,cubo!$A$6:$BK$37,61,0)-VLOOKUP(conciliacao_custos!B486,#REF!,15,0),0)</f>
        <v>0</v>
      </c>
    </row>
    <row r="487" spans="2:19" x14ac:dyDescent="0.25">
      <c r="B487" s="7">
        <f>[1]salario!A486</f>
        <v>0</v>
      </c>
      <c r="C487" s="8">
        <f>[1]salario!C486</f>
        <v>0</v>
      </c>
      <c r="D487" s="10">
        <f>IFERROR(VLOOKUP(B487,cubo!$A$6:$BE$37,6,0)-VLOOKUP(B487,#REF!,$D$2,0),0)</f>
        <v>0</v>
      </c>
      <c r="E487" s="10">
        <f>IFERROR(VLOOKUP(B487,cubo!$A$6:$BE$37,9,0)-VLOOKUP(B487,#REF!,$E$2,0),0)</f>
        <v>0</v>
      </c>
      <c r="F487" s="9">
        <f>IFERROR(VLOOKUP(B487,cubo!$A$6:$BE$37,12,0)-VLOOKUP(B487,#REF!,$F$2,0),0)</f>
        <v>0</v>
      </c>
      <c r="G487" s="9">
        <f>IFERROR(VLOOKUP(B487,cubo!$A$6:$BE$37,54,0)-VLOOKUP(B487,#REF!,$G$2,0),0)</f>
        <v>0</v>
      </c>
      <c r="H487" s="10">
        <f>IFERROR(VLOOKUP(B487,cubo!$A$6:$BE$37,15,0)-VLOOKUP(B487,#REF!,$H$2,0),0)</f>
        <v>0</v>
      </c>
      <c r="I487" s="9">
        <f>IFERROR(VLOOKUP(B487,cubo!$A$6:$BE$37,18,0)-VLOOKUP(B487,#REF!,$I$2,0),0)</f>
        <v>0</v>
      </c>
      <c r="J487" s="9">
        <f>IFERROR(VLOOKUP(B487,cubo!$A$6:$BE$37,24,0)-VLOOKUP(B487,#REF!,$J$2,0),0)</f>
        <v>0</v>
      </c>
      <c r="K487" s="9">
        <f>IFERROR(VLOOKUP(B487,cubo!$A$6:$BE$37,34,0)-VLOOKUP(B487,#REF!,$K$2,0),0)</f>
        <v>0</v>
      </c>
      <c r="L487" s="8">
        <f>IFERROR(VLOOKUP(B487,cubo!$A$6:$BE$37,38,0)-VLOOKUP(B487,#REF!,$L$2,0),0)</f>
        <v>0</v>
      </c>
      <c r="M487" s="15">
        <f>IFERROR(VLOOKUP(B487,cubo!$A$6:$BE$37,57,0)-VLOOKUP(B487,#REF!,$M$2,0),0)</f>
        <v>0</v>
      </c>
      <c r="N487" s="9">
        <f>IFERROR(VLOOKUP(B487,cubo!$A$6:$BK$37,41,0)-VLOOKUP(conciliacao_custos!B487,#REF!,18,0),0)</f>
        <v>0</v>
      </c>
      <c r="O487" s="9">
        <f>IFERROR(VLOOKUP(B487,cubo!$A$6:$BK$37,44,0)-VLOOKUP(conciliacao_custos!B487,#REF!,13,0),0)</f>
        <v>0</v>
      </c>
      <c r="P487" s="9">
        <f>IFERROR(VLOOKUP(B487,cubo!$A$6:$BK$37,47,0)-VLOOKUP(conciliacao_custos!B487,#REF!,14,0),0)</f>
        <v>0</v>
      </c>
      <c r="Q487" s="9">
        <f>IFERROR(VLOOKUP(B487,cubo!$A$6:$BK$37,58,0)-VLOOKUP(conciliacao_custos!B487,#REF!,16,0),0)</f>
        <v>0</v>
      </c>
      <c r="R487" s="9">
        <f>IFERROR(VLOOKUP(B487,cubo!$A$6:$BK$37,64,0)-VLOOKUP(conciliacao_custos!B487,#REF!,17,0),0)</f>
        <v>0</v>
      </c>
      <c r="S487" s="9">
        <f>IFERROR(VLOOKUP(B487,cubo!$A$6:$BK$37,61,0)-VLOOKUP(conciliacao_custos!B487,#REF!,15,0),0)</f>
        <v>0</v>
      </c>
    </row>
    <row r="488" spans="2:19" x14ac:dyDescent="0.25">
      <c r="B488" s="7">
        <f>[1]salario!A487</f>
        <v>0</v>
      </c>
      <c r="C488" s="8">
        <f>[1]salario!C487</f>
        <v>0</v>
      </c>
      <c r="D488" s="10">
        <f>IFERROR(VLOOKUP(B488,cubo!$A$6:$BE$37,6,0)-VLOOKUP(B488,#REF!,$D$2,0),0)</f>
        <v>0</v>
      </c>
      <c r="E488" s="10">
        <f>IFERROR(VLOOKUP(B488,cubo!$A$6:$BE$37,9,0)-VLOOKUP(B488,#REF!,$E$2,0),0)</f>
        <v>0</v>
      </c>
      <c r="F488" s="9">
        <f>IFERROR(VLOOKUP(B488,cubo!$A$6:$BE$37,12,0)-VLOOKUP(B488,#REF!,$F$2,0),0)</f>
        <v>0</v>
      </c>
      <c r="G488" s="9">
        <f>IFERROR(VLOOKUP(B488,cubo!$A$6:$BE$37,54,0)-VLOOKUP(B488,#REF!,$G$2,0),0)</f>
        <v>0</v>
      </c>
      <c r="H488" s="10">
        <f>IFERROR(VLOOKUP(B488,cubo!$A$6:$BE$37,15,0)-VLOOKUP(B488,#REF!,$H$2,0),0)</f>
        <v>0</v>
      </c>
      <c r="I488" s="9">
        <f>IFERROR(VLOOKUP(B488,cubo!$A$6:$BE$37,18,0)-VLOOKUP(B488,#REF!,$I$2,0),0)</f>
        <v>0</v>
      </c>
      <c r="J488" s="9">
        <f>IFERROR(VLOOKUP(B488,cubo!$A$6:$BE$37,24,0)-VLOOKUP(B488,#REF!,$J$2,0),0)</f>
        <v>0</v>
      </c>
      <c r="K488" s="9">
        <f>IFERROR(VLOOKUP(B488,cubo!$A$6:$BE$37,34,0)-VLOOKUP(B488,#REF!,$K$2,0),0)</f>
        <v>0</v>
      </c>
      <c r="L488" s="8">
        <f>IFERROR(VLOOKUP(B488,cubo!$A$6:$BE$37,38,0)-VLOOKUP(B488,#REF!,$L$2,0),0)</f>
        <v>0</v>
      </c>
      <c r="M488" s="15">
        <f>IFERROR(VLOOKUP(B488,cubo!$A$6:$BE$37,57,0)-VLOOKUP(B488,#REF!,$M$2,0),0)</f>
        <v>0</v>
      </c>
      <c r="N488" s="9">
        <f>IFERROR(VLOOKUP(B488,cubo!$A$6:$BK$37,41,0)-VLOOKUP(conciliacao_custos!B488,#REF!,18,0),0)</f>
        <v>0</v>
      </c>
      <c r="O488" s="9">
        <f>IFERROR(VLOOKUP(B488,cubo!$A$6:$BK$37,44,0)-VLOOKUP(conciliacao_custos!B488,#REF!,13,0),0)</f>
        <v>0</v>
      </c>
      <c r="P488" s="9">
        <f>IFERROR(VLOOKUP(B488,cubo!$A$6:$BK$37,47,0)-VLOOKUP(conciliacao_custos!B488,#REF!,14,0),0)</f>
        <v>0</v>
      </c>
      <c r="Q488" s="9">
        <f>IFERROR(VLOOKUP(B488,cubo!$A$6:$BK$37,58,0)-VLOOKUP(conciliacao_custos!B488,#REF!,16,0),0)</f>
        <v>0</v>
      </c>
      <c r="R488" s="9">
        <f>IFERROR(VLOOKUP(B488,cubo!$A$6:$BK$37,64,0)-VLOOKUP(conciliacao_custos!B488,#REF!,17,0),0)</f>
        <v>0</v>
      </c>
      <c r="S488" s="9">
        <f>IFERROR(VLOOKUP(B488,cubo!$A$6:$BK$37,61,0)-VLOOKUP(conciliacao_custos!B488,#REF!,15,0),0)</f>
        <v>0</v>
      </c>
    </row>
    <row r="489" spans="2:19" x14ac:dyDescent="0.25">
      <c r="B489" s="7">
        <f>[1]salario!A488</f>
        <v>0</v>
      </c>
      <c r="C489" s="8">
        <f>[1]salario!C488</f>
        <v>0</v>
      </c>
      <c r="D489" s="10">
        <f>IFERROR(VLOOKUP(B489,cubo!$A$6:$BE$37,6,0)-VLOOKUP(B489,#REF!,$D$2,0),0)</f>
        <v>0</v>
      </c>
      <c r="E489" s="10">
        <f>IFERROR(VLOOKUP(B489,cubo!$A$6:$BE$37,9,0)-VLOOKUP(B489,#REF!,$E$2,0),0)</f>
        <v>0</v>
      </c>
      <c r="F489" s="9">
        <f>IFERROR(VLOOKUP(B489,cubo!$A$6:$BE$37,12,0)-VLOOKUP(B489,#REF!,$F$2,0),0)</f>
        <v>0</v>
      </c>
      <c r="G489" s="9">
        <f>IFERROR(VLOOKUP(B489,cubo!$A$6:$BE$37,54,0)-VLOOKUP(B489,#REF!,$G$2,0),0)</f>
        <v>0</v>
      </c>
      <c r="H489" s="10">
        <f>IFERROR(VLOOKUP(B489,cubo!$A$6:$BE$37,15,0)-VLOOKUP(B489,#REF!,$H$2,0),0)</f>
        <v>0</v>
      </c>
      <c r="I489" s="9">
        <f>IFERROR(VLOOKUP(B489,cubo!$A$6:$BE$37,18,0)-VLOOKUP(B489,#REF!,$I$2,0),0)</f>
        <v>0</v>
      </c>
      <c r="J489" s="9">
        <f>IFERROR(VLOOKUP(B489,cubo!$A$6:$BE$37,24,0)-VLOOKUP(B489,#REF!,$J$2,0),0)</f>
        <v>0</v>
      </c>
      <c r="K489" s="9">
        <f>IFERROR(VLOOKUP(B489,cubo!$A$6:$BE$37,34,0)-VLOOKUP(B489,#REF!,$K$2,0),0)</f>
        <v>0</v>
      </c>
      <c r="L489" s="8">
        <f>IFERROR(VLOOKUP(B489,cubo!$A$6:$BE$37,38,0)-VLOOKUP(B489,#REF!,$L$2,0),0)</f>
        <v>0</v>
      </c>
      <c r="M489" s="15">
        <f>IFERROR(VLOOKUP(B489,cubo!$A$6:$BE$37,57,0)-VLOOKUP(B489,#REF!,$M$2,0),0)</f>
        <v>0</v>
      </c>
      <c r="N489" s="9">
        <f>IFERROR(VLOOKUP(B489,cubo!$A$6:$BK$37,41,0)-VLOOKUP(conciliacao_custos!B489,#REF!,18,0),0)</f>
        <v>0</v>
      </c>
      <c r="O489" s="9">
        <f>IFERROR(VLOOKUP(B489,cubo!$A$6:$BK$37,44,0)-VLOOKUP(conciliacao_custos!B489,#REF!,13,0),0)</f>
        <v>0</v>
      </c>
      <c r="P489" s="9">
        <f>IFERROR(VLOOKUP(B489,cubo!$A$6:$BK$37,47,0)-VLOOKUP(conciliacao_custos!B489,#REF!,14,0),0)</f>
        <v>0</v>
      </c>
      <c r="Q489" s="9">
        <f>IFERROR(VLOOKUP(B489,cubo!$A$6:$BK$37,58,0)-VLOOKUP(conciliacao_custos!B489,#REF!,16,0),0)</f>
        <v>0</v>
      </c>
      <c r="R489" s="9">
        <f>IFERROR(VLOOKUP(B489,cubo!$A$6:$BK$37,64,0)-VLOOKUP(conciliacao_custos!B489,#REF!,17,0),0)</f>
        <v>0</v>
      </c>
      <c r="S489" s="9">
        <f>IFERROR(VLOOKUP(B489,cubo!$A$6:$BK$37,61,0)-VLOOKUP(conciliacao_custos!B489,#REF!,15,0),0)</f>
        <v>0</v>
      </c>
    </row>
    <row r="490" spans="2:19" x14ac:dyDescent="0.25">
      <c r="B490" s="7">
        <f>[1]salario!A489</f>
        <v>0</v>
      </c>
      <c r="C490" s="8">
        <f>[1]salario!C489</f>
        <v>0</v>
      </c>
      <c r="D490" s="10">
        <f>IFERROR(VLOOKUP(B490,cubo!$A$6:$BE$37,6,0)-VLOOKUP(B490,#REF!,$D$2,0),0)</f>
        <v>0</v>
      </c>
      <c r="E490" s="10">
        <f>IFERROR(VLOOKUP(B490,cubo!$A$6:$BE$37,9,0)-VLOOKUP(B490,#REF!,$E$2,0),0)</f>
        <v>0</v>
      </c>
      <c r="F490" s="9">
        <f>IFERROR(VLOOKUP(B490,cubo!$A$6:$BE$37,12,0)-VLOOKUP(B490,#REF!,$F$2,0),0)</f>
        <v>0</v>
      </c>
      <c r="G490" s="9">
        <f>IFERROR(VLOOKUP(B490,cubo!$A$6:$BE$37,54,0)-VLOOKUP(B490,#REF!,$G$2,0),0)</f>
        <v>0</v>
      </c>
      <c r="H490" s="10">
        <f>IFERROR(VLOOKUP(B490,cubo!$A$6:$BE$37,15,0)-VLOOKUP(B490,#REF!,$H$2,0),0)</f>
        <v>0</v>
      </c>
      <c r="I490" s="9">
        <f>IFERROR(VLOOKUP(B490,cubo!$A$6:$BE$37,18,0)-VLOOKUP(B490,#REF!,$I$2,0),0)</f>
        <v>0</v>
      </c>
      <c r="J490" s="9">
        <f>IFERROR(VLOOKUP(B490,cubo!$A$6:$BE$37,24,0)-VLOOKUP(B490,#REF!,$J$2,0),0)</f>
        <v>0</v>
      </c>
      <c r="K490" s="9">
        <f>IFERROR(VLOOKUP(B490,cubo!$A$6:$BE$37,34,0)-VLOOKUP(B490,#REF!,$K$2,0),0)</f>
        <v>0</v>
      </c>
      <c r="L490" s="8">
        <f>IFERROR(VLOOKUP(B490,cubo!$A$6:$BE$37,38,0)-VLOOKUP(B490,#REF!,$L$2,0),0)</f>
        <v>0</v>
      </c>
      <c r="M490" s="15">
        <f>IFERROR(VLOOKUP(B490,cubo!$A$6:$BE$37,57,0)-VLOOKUP(B490,#REF!,$M$2,0),0)</f>
        <v>0</v>
      </c>
      <c r="N490" s="9">
        <f>IFERROR(VLOOKUP(B490,cubo!$A$6:$BK$37,41,0)-VLOOKUP(conciliacao_custos!B490,#REF!,18,0),0)</f>
        <v>0</v>
      </c>
      <c r="O490" s="9">
        <f>IFERROR(VLOOKUP(B490,cubo!$A$6:$BK$37,44,0)-VLOOKUP(conciliacao_custos!B490,#REF!,13,0),0)</f>
        <v>0</v>
      </c>
      <c r="P490" s="9">
        <f>IFERROR(VLOOKUP(B490,cubo!$A$6:$BK$37,47,0)-VLOOKUP(conciliacao_custos!B490,#REF!,14,0),0)</f>
        <v>0</v>
      </c>
      <c r="Q490" s="9">
        <f>IFERROR(VLOOKUP(B490,cubo!$A$6:$BK$37,58,0)-VLOOKUP(conciliacao_custos!B490,#REF!,16,0),0)</f>
        <v>0</v>
      </c>
      <c r="R490" s="9">
        <f>IFERROR(VLOOKUP(B490,cubo!$A$6:$BK$37,64,0)-VLOOKUP(conciliacao_custos!B490,#REF!,17,0),0)</f>
        <v>0</v>
      </c>
      <c r="S490" s="9">
        <f>IFERROR(VLOOKUP(B490,cubo!$A$6:$BK$37,61,0)-VLOOKUP(conciliacao_custos!B490,#REF!,15,0),0)</f>
        <v>0</v>
      </c>
    </row>
    <row r="491" spans="2:19" x14ac:dyDescent="0.25">
      <c r="B491" s="7">
        <f>[1]salario!A490</f>
        <v>0</v>
      </c>
      <c r="C491" s="8">
        <f>[1]salario!C490</f>
        <v>0</v>
      </c>
      <c r="D491" s="10">
        <f>IFERROR(VLOOKUP(B491,cubo!$A$6:$BE$37,6,0)-VLOOKUP(B491,#REF!,$D$2,0),0)</f>
        <v>0</v>
      </c>
      <c r="E491" s="10">
        <f>IFERROR(VLOOKUP(B491,cubo!$A$6:$BE$37,9,0)-VLOOKUP(B491,#REF!,$E$2,0),0)</f>
        <v>0</v>
      </c>
      <c r="F491" s="9">
        <f>IFERROR(VLOOKUP(B491,cubo!$A$6:$BE$37,12,0)-VLOOKUP(B491,#REF!,$F$2,0),0)</f>
        <v>0</v>
      </c>
      <c r="G491" s="9">
        <f>IFERROR(VLOOKUP(B491,cubo!$A$6:$BE$37,54,0)-VLOOKUP(B491,#REF!,$G$2,0),0)</f>
        <v>0</v>
      </c>
      <c r="H491" s="10">
        <f>IFERROR(VLOOKUP(B491,cubo!$A$6:$BE$37,15,0)-VLOOKUP(B491,#REF!,$H$2,0),0)</f>
        <v>0</v>
      </c>
      <c r="I491" s="9">
        <f>IFERROR(VLOOKUP(B491,cubo!$A$6:$BE$37,18,0)-VLOOKUP(B491,#REF!,$I$2,0),0)</f>
        <v>0</v>
      </c>
      <c r="J491" s="9">
        <f>IFERROR(VLOOKUP(B491,cubo!$A$6:$BE$37,24,0)-VLOOKUP(B491,#REF!,$J$2,0),0)</f>
        <v>0</v>
      </c>
      <c r="K491" s="9">
        <f>IFERROR(VLOOKUP(B491,cubo!$A$6:$BE$37,34,0)-VLOOKUP(B491,#REF!,$K$2,0),0)</f>
        <v>0</v>
      </c>
      <c r="L491" s="8">
        <f>IFERROR(VLOOKUP(B491,cubo!$A$6:$BE$37,38,0)-VLOOKUP(B491,#REF!,$L$2,0),0)</f>
        <v>0</v>
      </c>
      <c r="M491" s="15">
        <f>IFERROR(VLOOKUP(B491,cubo!$A$6:$BE$37,57,0)-VLOOKUP(B491,#REF!,$M$2,0),0)</f>
        <v>0</v>
      </c>
      <c r="N491" s="9">
        <f>IFERROR(VLOOKUP(B491,cubo!$A$6:$BK$37,41,0)-VLOOKUP(conciliacao_custos!B491,#REF!,18,0),0)</f>
        <v>0</v>
      </c>
      <c r="O491" s="9">
        <f>IFERROR(VLOOKUP(B491,cubo!$A$6:$BK$37,44,0)-VLOOKUP(conciliacao_custos!B491,#REF!,13,0),0)</f>
        <v>0</v>
      </c>
      <c r="P491" s="9">
        <f>IFERROR(VLOOKUP(B491,cubo!$A$6:$BK$37,47,0)-VLOOKUP(conciliacao_custos!B491,#REF!,14,0),0)</f>
        <v>0</v>
      </c>
      <c r="Q491" s="9">
        <f>IFERROR(VLOOKUP(B491,cubo!$A$6:$BK$37,58,0)-VLOOKUP(conciliacao_custos!B491,#REF!,16,0),0)</f>
        <v>0</v>
      </c>
      <c r="R491" s="9">
        <f>IFERROR(VLOOKUP(B491,cubo!$A$6:$BK$37,64,0)-VLOOKUP(conciliacao_custos!B491,#REF!,17,0),0)</f>
        <v>0</v>
      </c>
      <c r="S491" s="9">
        <f>IFERROR(VLOOKUP(B491,cubo!$A$6:$BK$37,61,0)-VLOOKUP(conciliacao_custos!B491,#REF!,15,0),0)</f>
        <v>0</v>
      </c>
    </row>
    <row r="492" spans="2:19" x14ac:dyDescent="0.25">
      <c r="B492" s="7">
        <f>[1]salario!A491</f>
        <v>0</v>
      </c>
      <c r="C492" s="8">
        <f>[1]salario!C491</f>
        <v>0</v>
      </c>
      <c r="D492" s="10">
        <f>IFERROR(VLOOKUP(B492,cubo!$A$6:$BE$37,6,0)-VLOOKUP(B492,#REF!,$D$2,0),0)</f>
        <v>0</v>
      </c>
      <c r="E492" s="10">
        <f>IFERROR(VLOOKUP(B492,cubo!$A$6:$BE$37,9,0)-VLOOKUP(B492,#REF!,$E$2,0),0)</f>
        <v>0</v>
      </c>
      <c r="F492" s="9">
        <f>IFERROR(VLOOKUP(B492,cubo!$A$6:$BE$37,12,0)-VLOOKUP(B492,#REF!,$F$2,0),0)</f>
        <v>0</v>
      </c>
      <c r="G492" s="9">
        <f>IFERROR(VLOOKUP(B492,cubo!$A$6:$BE$37,54,0)-VLOOKUP(B492,#REF!,$G$2,0),0)</f>
        <v>0</v>
      </c>
      <c r="H492" s="10">
        <f>IFERROR(VLOOKUP(B492,cubo!$A$6:$BE$37,15,0)-VLOOKUP(B492,#REF!,$H$2,0),0)</f>
        <v>0</v>
      </c>
      <c r="I492" s="9">
        <f>IFERROR(VLOOKUP(B492,cubo!$A$6:$BE$37,18,0)-VLOOKUP(B492,#REF!,$I$2,0),0)</f>
        <v>0</v>
      </c>
      <c r="J492" s="9">
        <f>IFERROR(VLOOKUP(B492,cubo!$A$6:$BE$37,24,0)-VLOOKUP(B492,#REF!,$J$2,0),0)</f>
        <v>0</v>
      </c>
      <c r="K492" s="9">
        <f>IFERROR(VLOOKUP(B492,cubo!$A$6:$BE$37,34,0)-VLOOKUP(B492,#REF!,$K$2,0),0)</f>
        <v>0</v>
      </c>
      <c r="L492" s="8">
        <f>IFERROR(VLOOKUP(B492,cubo!$A$6:$BE$37,38,0)-VLOOKUP(B492,#REF!,$L$2,0),0)</f>
        <v>0</v>
      </c>
      <c r="M492" s="15">
        <f>IFERROR(VLOOKUP(B492,cubo!$A$6:$BE$37,57,0)-VLOOKUP(B492,#REF!,$M$2,0),0)</f>
        <v>0</v>
      </c>
      <c r="N492" s="9">
        <f>IFERROR(VLOOKUP(B492,cubo!$A$6:$BK$37,41,0)-VLOOKUP(conciliacao_custos!B492,#REF!,18,0),0)</f>
        <v>0</v>
      </c>
      <c r="O492" s="9">
        <f>IFERROR(VLOOKUP(B492,cubo!$A$6:$BK$37,44,0)-VLOOKUP(conciliacao_custos!B492,#REF!,13,0),0)</f>
        <v>0</v>
      </c>
      <c r="P492" s="9">
        <f>IFERROR(VLOOKUP(B492,cubo!$A$6:$BK$37,47,0)-VLOOKUP(conciliacao_custos!B492,#REF!,14,0),0)</f>
        <v>0</v>
      </c>
      <c r="Q492" s="9">
        <f>IFERROR(VLOOKUP(B492,cubo!$A$6:$BK$37,58,0)-VLOOKUP(conciliacao_custos!B492,#REF!,16,0),0)</f>
        <v>0</v>
      </c>
      <c r="R492" s="9">
        <f>IFERROR(VLOOKUP(B492,cubo!$A$6:$BK$37,64,0)-VLOOKUP(conciliacao_custos!B492,#REF!,17,0),0)</f>
        <v>0</v>
      </c>
      <c r="S492" s="9">
        <f>IFERROR(VLOOKUP(B492,cubo!$A$6:$BK$37,61,0)-VLOOKUP(conciliacao_custos!B492,#REF!,15,0),0)</f>
        <v>0</v>
      </c>
    </row>
    <row r="493" spans="2:19" x14ac:dyDescent="0.25">
      <c r="B493" s="7">
        <f>[1]salario!A492</f>
        <v>0</v>
      </c>
      <c r="C493" s="8">
        <f>[1]salario!C492</f>
        <v>0</v>
      </c>
      <c r="D493" s="10">
        <f>IFERROR(VLOOKUP(B493,cubo!$A$6:$BE$37,6,0)-VLOOKUP(B493,#REF!,$D$2,0),0)</f>
        <v>0</v>
      </c>
      <c r="E493" s="10">
        <f>IFERROR(VLOOKUP(B493,cubo!$A$6:$BE$37,9,0)-VLOOKUP(B493,#REF!,$E$2,0),0)</f>
        <v>0</v>
      </c>
      <c r="F493" s="9">
        <f>IFERROR(VLOOKUP(B493,cubo!$A$6:$BE$37,12,0)-VLOOKUP(B493,#REF!,$F$2,0),0)</f>
        <v>0</v>
      </c>
      <c r="G493" s="9">
        <f>IFERROR(VLOOKUP(B493,cubo!$A$6:$BE$37,54,0)-VLOOKUP(B493,#REF!,$G$2,0),0)</f>
        <v>0</v>
      </c>
      <c r="H493" s="10">
        <f>IFERROR(VLOOKUP(B493,cubo!$A$6:$BE$37,15,0)-VLOOKUP(B493,#REF!,$H$2,0),0)</f>
        <v>0</v>
      </c>
      <c r="I493" s="9">
        <f>IFERROR(VLOOKUP(B493,cubo!$A$6:$BE$37,18,0)-VLOOKUP(B493,#REF!,$I$2,0),0)</f>
        <v>0</v>
      </c>
      <c r="J493" s="9">
        <f>IFERROR(VLOOKUP(B493,cubo!$A$6:$BE$37,24,0)-VLOOKUP(B493,#REF!,$J$2,0),0)</f>
        <v>0</v>
      </c>
      <c r="K493" s="9">
        <f>IFERROR(VLOOKUP(B493,cubo!$A$6:$BE$37,34,0)-VLOOKUP(B493,#REF!,$K$2,0),0)</f>
        <v>0</v>
      </c>
      <c r="L493" s="8">
        <f>IFERROR(VLOOKUP(B493,cubo!$A$6:$BE$37,38,0)-VLOOKUP(B493,#REF!,$L$2,0),0)</f>
        <v>0</v>
      </c>
      <c r="M493" s="15">
        <f>IFERROR(VLOOKUP(B493,cubo!$A$6:$BE$37,57,0)-VLOOKUP(B493,#REF!,$M$2,0),0)</f>
        <v>0</v>
      </c>
      <c r="N493" s="9">
        <f>IFERROR(VLOOKUP(B493,cubo!$A$6:$BK$37,41,0)-VLOOKUP(conciliacao_custos!B493,#REF!,18,0),0)</f>
        <v>0</v>
      </c>
      <c r="O493" s="9">
        <f>IFERROR(VLOOKUP(B493,cubo!$A$6:$BK$37,44,0)-VLOOKUP(conciliacao_custos!B493,#REF!,13,0),0)</f>
        <v>0</v>
      </c>
      <c r="P493" s="9">
        <f>IFERROR(VLOOKUP(B493,cubo!$A$6:$BK$37,47,0)-VLOOKUP(conciliacao_custos!B493,#REF!,14,0),0)</f>
        <v>0</v>
      </c>
      <c r="Q493" s="9">
        <f>IFERROR(VLOOKUP(B493,cubo!$A$6:$BK$37,58,0)-VLOOKUP(conciliacao_custos!B493,#REF!,16,0),0)</f>
        <v>0</v>
      </c>
      <c r="R493" s="9">
        <f>IFERROR(VLOOKUP(B493,cubo!$A$6:$BK$37,64,0)-VLOOKUP(conciliacao_custos!B493,#REF!,17,0),0)</f>
        <v>0</v>
      </c>
      <c r="S493" s="9">
        <f>IFERROR(VLOOKUP(B493,cubo!$A$6:$BK$37,61,0)-VLOOKUP(conciliacao_custos!B493,#REF!,15,0),0)</f>
        <v>0</v>
      </c>
    </row>
    <row r="494" spans="2:19" x14ac:dyDescent="0.25">
      <c r="B494" s="7">
        <f>[1]salario!A493</f>
        <v>0</v>
      </c>
      <c r="C494" s="8">
        <f>[1]salario!C493</f>
        <v>0</v>
      </c>
      <c r="D494" s="10">
        <f>IFERROR(VLOOKUP(B494,cubo!$A$6:$BE$37,6,0)-VLOOKUP(B494,#REF!,$D$2,0),0)</f>
        <v>0</v>
      </c>
      <c r="E494" s="10">
        <f>IFERROR(VLOOKUP(B494,cubo!$A$6:$BE$37,9,0)-VLOOKUP(B494,#REF!,$E$2,0),0)</f>
        <v>0</v>
      </c>
      <c r="F494" s="9">
        <f>IFERROR(VLOOKUP(B494,cubo!$A$6:$BE$37,12,0)-VLOOKUP(B494,#REF!,$F$2,0),0)</f>
        <v>0</v>
      </c>
      <c r="G494" s="9">
        <f>IFERROR(VLOOKUP(B494,cubo!$A$6:$BE$37,54,0)-VLOOKUP(B494,#REF!,$G$2,0),0)</f>
        <v>0</v>
      </c>
      <c r="H494" s="10">
        <f>IFERROR(VLOOKUP(B494,cubo!$A$6:$BE$37,15,0)-VLOOKUP(B494,#REF!,$H$2,0),0)</f>
        <v>0</v>
      </c>
      <c r="I494" s="9">
        <f>IFERROR(VLOOKUP(B494,cubo!$A$6:$BE$37,18,0)-VLOOKUP(B494,#REF!,$I$2,0),0)</f>
        <v>0</v>
      </c>
      <c r="J494" s="9">
        <f>IFERROR(VLOOKUP(B494,cubo!$A$6:$BE$37,24,0)-VLOOKUP(B494,#REF!,$J$2,0),0)</f>
        <v>0</v>
      </c>
      <c r="K494" s="9">
        <f>IFERROR(VLOOKUP(B494,cubo!$A$6:$BE$37,34,0)-VLOOKUP(B494,#REF!,$K$2,0),0)</f>
        <v>0</v>
      </c>
      <c r="L494" s="8">
        <f>IFERROR(VLOOKUP(B494,cubo!$A$6:$BE$37,38,0)-VLOOKUP(B494,#REF!,$L$2,0),0)</f>
        <v>0</v>
      </c>
      <c r="M494" s="15">
        <f>IFERROR(VLOOKUP(B494,cubo!$A$6:$BE$37,57,0)-VLOOKUP(B494,#REF!,$M$2,0),0)</f>
        <v>0</v>
      </c>
      <c r="N494" s="9">
        <f>IFERROR(VLOOKUP(B494,cubo!$A$6:$BK$37,41,0)-VLOOKUP(conciliacao_custos!B494,#REF!,18,0),0)</f>
        <v>0</v>
      </c>
      <c r="O494" s="9">
        <f>IFERROR(VLOOKUP(B494,cubo!$A$6:$BK$37,44,0)-VLOOKUP(conciliacao_custos!B494,#REF!,13,0),0)</f>
        <v>0</v>
      </c>
      <c r="P494" s="9">
        <f>IFERROR(VLOOKUP(B494,cubo!$A$6:$BK$37,47,0)-VLOOKUP(conciliacao_custos!B494,#REF!,14,0),0)</f>
        <v>0</v>
      </c>
      <c r="Q494" s="9">
        <f>IFERROR(VLOOKUP(B494,cubo!$A$6:$BK$37,58,0)-VLOOKUP(conciliacao_custos!B494,#REF!,16,0),0)</f>
        <v>0</v>
      </c>
      <c r="R494" s="9">
        <f>IFERROR(VLOOKUP(B494,cubo!$A$6:$BK$37,64,0)-VLOOKUP(conciliacao_custos!B494,#REF!,17,0),0)</f>
        <v>0</v>
      </c>
      <c r="S494" s="9">
        <f>IFERROR(VLOOKUP(B494,cubo!$A$6:$BK$37,61,0)-VLOOKUP(conciliacao_custos!B494,#REF!,15,0),0)</f>
        <v>0</v>
      </c>
    </row>
    <row r="495" spans="2:19" x14ac:dyDescent="0.25">
      <c r="B495" s="7">
        <f>[1]salario!A494</f>
        <v>0</v>
      </c>
      <c r="C495" s="8">
        <f>[1]salario!C494</f>
        <v>0</v>
      </c>
      <c r="D495" s="10">
        <f>IFERROR(VLOOKUP(B495,cubo!$A$6:$BE$37,6,0)-VLOOKUP(B495,#REF!,$D$2,0),0)</f>
        <v>0</v>
      </c>
      <c r="E495" s="10">
        <f>IFERROR(VLOOKUP(B495,cubo!$A$6:$BE$37,9,0)-VLOOKUP(B495,#REF!,$E$2,0),0)</f>
        <v>0</v>
      </c>
      <c r="F495" s="9">
        <f>IFERROR(VLOOKUP(B495,cubo!$A$6:$BE$37,12,0)-VLOOKUP(B495,#REF!,$F$2,0),0)</f>
        <v>0</v>
      </c>
      <c r="G495" s="9">
        <f>IFERROR(VLOOKUP(B495,cubo!$A$6:$BE$37,54,0)-VLOOKUP(B495,#REF!,$G$2,0),0)</f>
        <v>0</v>
      </c>
      <c r="H495" s="10">
        <f>IFERROR(VLOOKUP(B495,cubo!$A$6:$BE$37,15,0)-VLOOKUP(B495,#REF!,$H$2,0),0)</f>
        <v>0</v>
      </c>
      <c r="I495" s="9">
        <f>IFERROR(VLOOKUP(B495,cubo!$A$6:$BE$37,18,0)-VLOOKUP(B495,#REF!,$I$2,0),0)</f>
        <v>0</v>
      </c>
      <c r="J495" s="9">
        <f>IFERROR(VLOOKUP(B495,cubo!$A$6:$BE$37,24,0)-VLOOKUP(B495,#REF!,$J$2,0),0)</f>
        <v>0</v>
      </c>
      <c r="K495" s="9">
        <f>IFERROR(VLOOKUP(B495,cubo!$A$6:$BE$37,34,0)-VLOOKUP(B495,#REF!,$K$2,0),0)</f>
        <v>0</v>
      </c>
      <c r="L495" s="8">
        <f>IFERROR(VLOOKUP(B495,cubo!$A$6:$BE$37,38,0)-VLOOKUP(B495,#REF!,$L$2,0),0)</f>
        <v>0</v>
      </c>
      <c r="M495" s="15">
        <f>IFERROR(VLOOKUP(B495,cubo!$A$6:$BE$37,57,0)-VLOOKUP(B495,#REF!,$M$2,0),0)</f>
        <v>0</v>
      </c>
      <c r="N495" s="9">
        <f>IFERROR(VLOOKUP(B495,cubo!$A$6:$BK$37,41,0)-VLOOKUP(conciliacao_custos!B495,#REF!,18,0),0)</f>
        <v>0</v>
      </c>
      <c r="O495" s="9">
        <f>IFERROR(VLOOKUP(B495,cubo!$A$6:$BK$37,44,0)-VLOOKUP(conciliacao_custos!B495,#REF!,13,0),0)</f>
        <v>0</v>
      </c>
      <c r="P495" s="9">
        <f>IFERROR(VLOOKUP(B495,cubo!$A$6:$BK$37,47,0)-VLOOKUP(conciliacao_custos!B495,#REF!,14,0),0)</f>
        <v>0</v>
      </c>
      <c r="Q495" s="9">
        <f>IFERROR(VLOOKUP(B495,cubo!$A$6:$BK$37,58,0)-VLOOKUP(conciliacao_custos!B495,#REF!,16,0),0)</f>
        <v>0</v>
      </c>
      <c r="R495" s="9">
        <f>IFERROR(VLOOKUP(B495,cubo!$A$6:$BK$37,64,0)-VLOOKUP(conciliacao_custos!B495,#REF!,17,0),0)</f>
        <v>0</v>
      </c>
      <c r="S495" s="9">
        <f>IFERROR(VLOOKUP(B495,cubo!$A$6:$BK$37,61,0)-VLOOKUP(conciliacao_custos!B495,#REF!,15,0),0)</f>
        <v>0</v>
      </c>
    </row>
    <row r="496" spans="2:19" x14ac:dyDescent="0.25">
      <c r="B496" s="7">
        <f>[1]salario!A495</f>
        <v>0</v>
      </c>
      <c r="C496" s="8">
        <f>[1]salario!C495</f>
        <v>0</v>
      </c>
      <c r="D496" s="10">
        <f>IFERROR(VLOOKUP(B496,cubo!$A$6:$BE$37,6,0)-VLOOKUP(B496,#REF!,$D$2,0),0)</f>
        <v>0</v>
      </c>
      <c r="E496" s="10">
        <f>IFERROR(VLOOKUP(B496,cubo!$A$6:$BE$37,9,0)-VLOOKUP(B496,#REF!,$E$2,0),0)</f>
        <v>0</v>
      </c>
      <c r="F496" s="9">
        <f>IFERROR(VLOOKUP(B496,cubo!$A$6:$BE$37,12,0)-VLOOKUP(B496,#REF!,$F$2,0),0)</f>
        <v>0</v>
      </c>
      <c r="G496" s="9">
        <f>IFERROR(VLOOKUP(B496,cubo!$A$6:$BE$37,54,0)-VLOOKUP(B496,#REF!,$G$2,0),0)</f>
        <v>0</v>
      </c>
      <c r="H496" s="10">
        <f>IFERROR(VLOOKUP(B496,cubo!$A$6:$BE$37,15,0)-VLOOKUP(B496,#REF!,$H$2,0),0)</f>
        <v>0</v>
      </c>
      <c r="I496" s="9">
        <f>IFERROR(VLOOKUP(B496,cubo!$A$6:$BE$37,18,0)-VLOOKUP(B496,#REF!,$I$2,0),0)</f>
        <v>0</v>
      </c>
      <c r="J496" s="9">
        <f>IFERROR(VLOOKUP(B496,cubo!$A$6:$BE$37,24,0)-VLOOKUP(B496,#REF!,$J$2,0),0)</f>
        <v>0</v>
      </c>
      <c r="K496" s="9">
        <f>IFERROR(VLOOKUP(B496,cubo!$A$6:$BE$37,34,0)-VLOOKUP(B496,#REF!,$K$2,0),0)</f>
        <v>0</v>
      </c>
      <c r="L496" s="8">
        <f>IFERROR(VLOOKUP(B496,cubo!$A$6:$BE$37,38,0)-VLOOKUP(B496,#REF!,$L$2,0),0)</f>
        <v>0</v>
      </c>
      <c r="M496" s="15">
        <f>IFERROR(VLOOKUP(B496,cubo!$A$6:$BE$37,57,0)-VLOOKUP(B496,#REF!,$M$2,0),0)</f>
        <v>0</v>
      </c>
      <c r="N496" s="9">
        <f>IFERROR(VLOOKUP(B496,cubo!$A$6:$BK$37,41,0)-VLOOKUP(conciliacao_custos!B496,#REF!,18,0),0)</f>
        <v>0</v>
      </c>
      <c r="O496" s="9">
        <f>IFERROR(VLOOKUP(B496,cubo!$A$6:$BK$37,44,0)-VLOOKUP(conciliacao_custos!B496,#REF!,13,0),0)</f>
        <v>0</v>
      </c>
      <c r="P496" s="9">
        <f>IFERROR(VLOOKUP(B496,cubo!$A$6:$BK$37,47,0)-VLOOKUP(conciliacao_custos!B496,#REF!,14,0),0)</f>
        <v>0</v>
      </c>
      <c r="Q496" s="9">
        <f>IFERROR(VLOOKUP(B496,cubo!$A$6:$BK$37,58,0)-VLOOKUP(conciliacao_custos!B496,#REF!,16,0),0)</f>
        <v>0</v>
      </c>
      <c r="R496" s="9">
        <f>IFERROR(VLOOKUP(B496,cubo!$A$6:$BK$37,64,0)-VLOOKUP(conciliacao_custos!B496,#REF!,17,0),0)</f>
        <v>0</v>
      </c>
      <c r="S496" s="9">
        <f>IFERROR(VLOOKUP(B496,cubo!$A$6:$BK$37,61,0)-VLOOKUP(conciliacao_custos!B496,#REF!,15,0),0)</f>
        <v>0</v>
      </c>
    </row>
    <row r="497" spans="2:19" x14ac:dyDescent="0.25">
      <c r="B497" s="7">
        <f>[1]salario!A496</f>
        <v>0</v>
      </c>
      <c r="C497" s="8">
        <f>[1]salario!C496</f>
        <v>0</v>
      </c>
      <c r="D497" s="10">
        <f>IFERROR(VLOOKUP(B497,cubo!$A$6:$BE$37,6,0)-VLOOKUP(B497,#REF!,$D$2,0),0)</f>
        <v>0</v>
      </c>
      <c r="E497" s="10">
        <f>IFERROR(VLOOKUP(B497,cubo!$A$6:$BE$37,9,0)-VLOOKUP(B497,#REF!,$E$2,0),0)</f>
        <v>0</v>
      </c>
      <c r="F497" s="9">
        <f>IFERROR(VLOOKUP(B497,cubo!$A$6:$BE$37,12,0)-VLOOKUP(B497,#REF!,$F$2,0),0)</f>
        <v>0</v>
      </c>
      <c r="G497" s="9">
        <f>IFERROR(VLOOKUP(B497,cubo!$A$6:$BE$37,54,0)-VLOOKUP(B497,#REF!,$G$2,0),0)</f>
        <v>0</v>
      </c>
      <c r="H497" s="10">
        <f>IFERROR(VLOOKUP(B497,cubo!$A$6:$BE$37,15,0)-VLOOKUP(B497,#REF!,$H$2,0),0)</f>
        <v>0</v>
      </c>
      <c r="I497" s="9">
        <f>IFERROR(VLOOKUP(B497,cubo!$A$6:$BE$37,18,0)-VLOOKUP(B497,#REF!,$I$2,0),0)</f>
        <v>0</v>
      </c>
      <c r="J497" s="9">
        <f>IFERROR(VLOOKUP(B497,cubo!$A$6:$BE$37,24,0)-VLOOKUP(B497,#REF!,$J$2,0),0)</f>
        <v>0</v>
      </c>
      <c r="K497" s="9">
        <f>IFERROR(VLOOKUP(B497,cubo!$A$6:$BE$37,34,0)-VLOOKUP(B497,#REF!,$K$2,0),0)</f>
        <v>0</v>
      </c>
      <c r="L497" s="8">
        <f>IFERROR(VLOOKUP(B497,cubo!$A$6:$BE$37,38,0)-VLOOKUP(B497,#REF!,$L$2,0),0)</f>
        <v>0</v>
      </c>
      <c r="M497" s="15">
        <f>IFERROR(VLOOKUP(B497,cubo!$A$6:$BE$37,57,0)-VLOOKUP(B497,#REF!,$M$2,0),0)</f>
        <v>0</v>
      </c>
      <c r="N497" s="9">
        <f>IFERROR(VLOOKUP(B497,cubo!$A$6:$BK$37,41,0)-VLOOKUP(conciliacao_custos!B497,#REF!,18,0),0)</f>
        <v>0</v>
      </c>
      <c r="O497" s="9">
        <f>IFERROR(VLOOKUP(B497,cubo!$A$6:$BK$37,44,0)-VLOOKUP(conciliacao_custos!B497,#REF!,13,0),0)</f>
        <v>0</v>
      </c>
      <c r="P497" s="9">
        <f>IFERROR(VLOOKUP(B497,cubo!$A$6:$BK$37,47,0)-VLOOKUP(conciliacao_custos!B497,#REF!,14,0),0)</f>
        <v>0</v>
      </c>
      <c r="Q497" s="9">
        <f>IFERROR(VLOOKUP(B497,cubo!$A$6:$BK$37,58,0)-VLOOKUP(conciliacao_custos!B497,#REF!,16,0),0)</f>
        <v>0</v>
      </c>
      <c r="R497" s="9">
        <f>IFERROR(VLOOKUP(B497,cubo!$A$6:$BK$37,64,0)-VLOOKUP(conciliacao_custos!B497,#REF!,17,0),0)</f>
        <v>0</v>
      </c>
      <c r="S497" s="9">
        <f>IFERROR(VLOOKUP(B497,cubo!$A$6:$BK$37,61,0)-VLOOKUP(conciliacao_custos!B497,#REF!,15,0),0)</f>
        <v>0</v>
      </c>
    </row>
    <row r="498" spans="2:19" x14ac:dyDescent="0.25">
      <c r="B498" s="7">
        <f>[1]salario!A497</f>
        <v>0</v>
      </c>
      <c r="C498" s="8">
        <f>[1]salario!C497</f>
        <v>0</v>
      </c>
      <c r="D498" s="10">
        <f>IFERROR(VLOOKUP(B498,cubo!$A$6:$BE$37,6,0)-VLOOKUP(B498,#REF!,$D$2,0),0)</f>
        <v>0</v>
      </c>
      <c r="E498" s="10">
        <f>IFERROR(VLOOKUP(B498,cubo!$A$6:$BE$37,9,0)-VLOOKUP(B498,#REF!,$E$2,0),0)</f>
        <v>0</v>
      </c>
      <c r="F498" s="9">
        <f>IFERROR(VLOOKUP(B498,cubo!$A$6:$BE$37,12,0)-VLOOKUP(B498,#REF!,$F$2,0),0)</f>
        <v>0</v>
      </c>
      <c r="G498" s="9">
        <f>IFERROR(VLOOKUP(B498,cubo!$A$6:$BE$37,54,0)-VLOOKUP(B498,#REF!,$G$2,0),0)</f>
        <v>0</v>
      </c>
      <c r="H498" s="10">
        <f>IFERROR(VLOOKUP(B498,cubo!$A$6:$BE$37,15,0)-VLOOKUP(B498,#REF!,$H$2,0),0)</f>
        <v>0</v>
      </c>
      <c r="I498" s="9">
        <f>IFERROR(VLOOKUP(B498,cubo!$A$6:$BE$37,18,0)-VLOOKUP(B498,#REF!,$I$2,0),0)</f>
        <v>0</v>
      </c>
      <c r="J498" s="9">
        <f>IFERROR(VLOOKUP(B498,cubo!$A$6:$BE$37,24,0)-VLOOKUP(B498,#REF!,$J$2,0),0)</f>
        <v>0</v>
      </c>
      <c r="K498" s="9">
        <f>IFERROR(VLOOKUP(B498,cubo!$A$6:$BE$37,34,0)-VLOOKUP(B498,#REF!,$K$2,0),0)</f>
        <v>0</v>
      </c>
      <c r="L498" s="8">
        <f>IFERROR(VLOOKUP(B498,cubo!$A$6:$BE$37,38,0)-VLOOKUP(B498,#REF!,$L$2,0),0)</f>
        <v>0</v>
      </c>
      <c r="M498" s="15">
        <f>IFERROR(VLOOKUP(B498,cubo!$A$6:$BE$37,57,0)-VLOOKUP(B498,#REF!,$M$2,0),0)</f>
        <v>0</v>
      </c>
      <c r="N498" s="9">
        <f>IFERROR(VLOOKUP(B498,cubo!$A$6:$BK$37,41,0)-VLOOKUP(conciliacao_custos!B498,#REF!,18,0),0)</f>
        <v>0</v>
      </c>
      <c r="O498" s="9">
        <f>IFERROR(VLOOKUP(B498,cubo!$A$6:$BK$37,44,0)-VLOOKUP(conciliacao_custos!B498,#REF!,13,0),0)</f>
        <v>0</v>
      </c>
      <c r="P498" s="9">
        <f>IFERROR(VLOOKUP(B498,cubo!$A$6:$BK$37,47,0)-VLOOKUP(conciliacao_custos!B498,#REF!,14,0),0)</f>
        <v>0</v>
      </c>
      <c r="Q498" s="9">
        <f>IFERROR(VLOOKUP(B498,cubo!$A$6:$BK$37,58,0)-VLOOKUP(conciliacao_custos!B498,#REF!,16,0),0)</f>
        <v>0</v>
      </c>
      <c r="R498" s="9">
        <f>IFERROR(VLOOKUP(B498,cubo!$A$6:$BK$37,64,0)-VLOOKUP(conciliacao_custos!B498,#REF!,17,0),0)</f>
        <v>0</v>
      </c>
      <c r="S498" s="9">
        <f>IFERROR(VLOOKUP(B498,cubo!$A$6:$BK$37,61,0)-VLOOKUP(conciliacao_custos!B498,#REF!,15,0),0)</f>
        <v>0</v>
      </c>
    </row>
    <row r="499" spans="2:19" x14ac:dyDescent="0.25">
      <c r="B499" s="7">
        <f>[1]salario!A498</f>
        <v>0</v>
      </c>
      <c r="C499" s="8">
        <f>[1]salario!C498</f>
        <v>0</v>
      </c>
      <c r="D499" s="10">
        <f>IFERROR(VLOOKUP(B499,cubo!$A$6:$BE$37,6,0)-VLOOKUP(B499,#REF!,$D$2,0),0)</f>
        <v>0</v>
      </c>
      <c r="E499" s="10">
        <f>IFERROR(VLOOKUP(B499,cubo!$A$6:$BE$37,9,0)-VLOOKUP(B499,#REF!,$E$2,0),0)</f>
        <v>0</v>
      </c>
      <c r="F499" s="9">
        <f>IFERROR(VLOOKUP(B499,cubo!$A$6:$BE$37,12,0)-VLOOKUP(B499,#REF!,$F$2,0),0)</f>
        <v>0</v>
      </c>
      <c r="G499" s="9">
        <f>IFERROR(VLOOKUP(B499,cubo!$A$6:$BE$37,54,0)-VLOOKUP(B499,#REF!,$G$2,0),0)</f>
        <v>0</v>
      </c>
      <c r="H499" s="10">
        <f>IFERROR(VLOOKUP(B499,cubo!$A$6:$BE$37,15,0)-VLOOKUP(B499,#REF!,$H$2,0),0)</f>
        <v>0</v>
      </c>
      <c r="I499" s="9">
        <f>IFERROR(VLOOKUP(B499,cubo!$A$6:$BE$37,18,0)-VLOOKUP(B499,#REF!,$I$2,0),0)</f>
        <v>0</v>
      </c>
      <c r="J499" s="9">
        <f>IFERROR(VLOOKUP(B499,cubo!$A$6:$BE$37,24,0)-VLOOKUP(B499,#REF!,$J$2,0),0)</f>
        <v>0</v>
      </c>
      <c r="K499" s="9">
        <f>IFERROR(VLOOKUP(B499,cubo!$A$6:$BE$37,34,0)-VLOOKUP(B499,#REF!,$K$2,0),0)</f>
        <v>0</v>
      </c>
      <c r="L499" s="8">
        <f>IFERROR(VLOOKUP(B499,cubo!$A$6:$BE$37,38,0)-VLOOKUP(B499,#REF!,$L$2,0),0)</f>
        <v>0</v>
      </c>
      <c r="M499" s="15">
        <f>IFERROR(VLOOKUP(B499,cubo!$A$6:$BE$37,57,0)-VLOOKUP(B499,#REF!,$M$2,0),0)</f>
        <v>0</v>
      </c>
      <c r="N499" s="9">
        <f>IFERROR(VLOOKUP(B499,cubo!$A$6:$BK$37,41,0)-VLOOKUP(conciliacao_custos!B499,#REF!,18,0),0)</f>
        <v>0</v>
      </c>
      <c r="O499" s="9">
        <f>IFERROR(VLOOKUP(B499,cubo!$A$6:$BK$37,44,0)-VLOOKUP(conciliacao_custos!B499,#REF!,13,0),0)</f>
        <v>0</v>
      </c>
      <c r="P499" s="9">
        <f>IFERROR(VLOOKUP(B499,cubo!$A$6:$BK$37,47,0)-VLOOKUP(conciliacao_custos!B499,#REF!,14,0),0)</f>
        <v>0</v>
      </c>
      <c r="Q499" s="9">
        <f>IFERROR(VLOOKUP(B499,cubo!$A$6:$BK$37,58,0)-VLOOKUP(conciliacao_custos!B499,#REF!,16,0),0)</f>
        <v>0</v>
      </c>
      <c r="R499" s="9">
        <f>IFERROR(VLOOKUP(B499,cubo!$A$6:$BK$37,64,0)-VLOOKUP(conciliacao_custos!B499,#REF!,17,0),0)</f>
        <v>0</v>
      </c>
      <c r="S499" s="9">
        <f>IFERROR(VLOOKUP(B499,cubo!$A$6:$BK$37,61,0)-VLOOKUP(conciliacao_custos!B499,#REF!,15,0),0)</f>
        <v>0</v>
      </c>
    </row>
    <row r="500" spans="2:19" x14ac:dyDescent="0.25">
      <c r="B500" s="7">
        <f>[1]salario!A499</f>
        <v>0</v>
      </c>
      <c r="C500" s="8">
        <f>[1]salario!C499</f>
        <v>0</v>
      </c>
      <c r="D500" s="10">
        <f>IFERROR(VLOOKUP(B500,cubo!$A$6:$BE$37,6,0)-VLOOKUP(B500,#REF!,$D$2,0),0)</f>
        <v>0</v>
      </c>
      <c r="E500" s="10">
        <f>IFERROR(VLOOKUP(B500,cubo!$A$6:$BE$37,9,0)-VLOOKUP(B500,#REF!,$E$2,0),0)</f>
        <v>0</v>
      </c>
      <c r="F500" s="9">
        <f>IFERROR(VLOOKUP(B500,cubo!$A$6:$BE$37,12,0)-VLOOKUP(B500,#REF!,$F$2,0),0)</f>
        <v>0</v>
      </c>
      <c r="G500" s="9">
        <f>IFERROR(VLOOKUP(B500,cubo!$A$6:$BE$37,54,0)-VLOOKUP(B500,#REF!,$G$2,0),0)</f>
        <v>0</v>
      </c>
      <c r="H500" s="10">
        <f>IFERROR(VLOOKUP(B500,cubo!$A$6:$BE$37,15,0)-VLOOKUP(B500,#REF!,$H$2,0),0)</f>
        <v>0</v>
      </c>
      <c r="I500" s="9">
        <f>IFERROR(VLOOKUP(B500,cubo!$A$6:$BE$37,18,0)-VLOOKUP(B500,#REF!,$I$2,0),0)</f>
        <v>0</v>
      </c>
      <c r="J500" s="9">
        <f>IFERROR(VLOOKUP(B500,cubo!$A$6:$BE$37,24,0)-VLOOKUP(B500,#REF!,$J$2,0),0)</f>
        <v>0</v>
      </c>
      <c r="K500" s="9">
        <f>IFERROR(VLOOKUP(B500,cubo!$A$6:$BE$37,34,0)-VLOOKUP(B500,#REF!,$K$2,0),0)</f>
        <v>0</v>
      </c>
      <c r="L500" s="8">
        <f>IFERROR(VLOOKUP(B500,cubo!$A$6:$BE$37,38,0)-VLOOKUP(B500,#REF!,$L$2,0),0)</f>
        <v>0</v>
      </c>
      <c r="M500" s="15">
        <f>IFERROR(VLOOKUP(B500,cubo!$A$6:$BE$37,57,0)-VLOOKUP(B500,#REF!,$M$2,0),0)</f>
        <v>0</v>
      </c>
      <c r="N500" s="9">
        <f>IFERROR(VLOOKUP(B500,cubo!$A$6:$BK$37,41,0)-VLOOKUP(conciliacao_custos!B500,#REF!,18,0),0)</f>
        <v>0</v>
      </c>
      <c r="O500" s="9">
        <f>IFERROR(VLOOKUP(B500,cubo!$A$6:$BK$37,44,0)-VLOOKUP(conciliacao_custos!B500,#REF!,13,0),0)</f>
        <v>0</v>
      </c>
      <c r="P500" s="9">
        <f>IFERROR(VLOOKUP(B500,cubo!$A$6:$BK$37,47,0)-VLOOKUP(conciliacao_custos!B500,#REF!,14,0),0)</f>
        <v>0</v>
      </c>
      <c r="Q500" s="9">
        <f>IFERROR(VLOOKUP(B500,cubo!$A$6:$BK$37,58,0)-VLOOKUP(conciliacao_custos!B500,#REF!,16,0),0)</f>
        <v>0</v>
      </c>
      <c r="R500" s="9">
        <f>IFERROR(VLOOKUP(B500,cubo!$A$6:$BK$37,64,0)-VLOOKUP(conciliacao_custos!B500,#REF!,17,0),0)</f>
        <v>0</v>
      </c>
      <c r="S500" s="9">
        <f>IFERROR(VLOOKUP(B500,cubo!$A$6:$BK$37,61,0)-VLOOKUP(conciliacao_custos!B500,#REF!,15,0),0)</f>
        <v>0</v>
      </c>
    </row>
    <row r="501" spans="2:19" x14ac:dyDescent="0.25">
      <c r="B501" s="7">
        <f>[1]salario!A500</f>
        <v>0</v>
      </c>
      <c r="C501" s="8">
        <f>[1]salario!C500</f>
        <v>0</v>
      </c>
      <c r="D501" s="10">
        <f>IFERROR(VLOOKUP(B501,cubo!$A$6:$BE$37,6,0)-VLOOKUP(B501,#REF!,$D$2,0),0)</f>
        <v>0</v>
      </c>
      <c r="E501" s="10">
        <f>IFERROR(VLOOKUP(B501,cubo!$A$6:$BE$37,9,0)-VLOOKUP(B501,#REF!,$E$2,0),0)</f>
        <v>0</v>
      </c>
      <c r="F501" s="9">
        <f>IFERROR(VLOOKUP(B501,cubo!$A$6:$BE$37,12,0)-VLOOKUP(B501,#REF!,$F$2,0),0)</f>
        <v>0</v>
      </c>
      <c r="G501" s="9">
        <f>IFERROR(VLOOKUP(B501,cubo!$A$6:$BE$37,54,0)-VLOOKUP(B501,#REF!,$G$2,0),0)</f>
        <v>0</v>
      </c>
      <c r="H501" s="10">
        <f>IFERROR(VLOOKUP(B501,cubo!$A$6:$BE$37,15,0)-VLOOKUP(B501,#REF!,$H$2,0),0)</f>
        <v>0</v>
      </c>
      <c r="I501" s="9">
        <f>IFERROR(VLOOKUP(B501,cubo!$A$6:$BE$37,18,0)-VLOOKUP(B501,#REF!,$I$2,0),0)</f>
        <v>0</v>
      </c>
      <c r="J501" s="9">
        <f>IFERROR(VLOOKUP(B501,cubo!$A$6:$BE$37,24,0)-VLOOKUP(B501,#REF!,$J$2,0),0)</f>
        <v>0</v>
      </c>
      <c r="K501" s="9">
        <f>IFERROR(VLOOKUP(B501,cubo!$A$6:$BE$37,34,0)-VLOOKUP(B501,#REF!,$K$2,0),0)</f>
        <v>0</v>
      </c>
      <c r="L501" s="8">
        <f>IFERROR(VLOOKUP(B501,cubo!$A$6:$BE$37,38,0)-VLOOKUP(B501,#REF!,$L$2,0),0)</f>
        <v>0</v>
      </c>
      <c r="M501" s="15">
        <f>IFERROR(VLOOKUP(B501,cubo!$A$6:$BE$37,57,0)-VLOOKUP(B501,#REF!,$M$2,0),0)</f>
        <v>0</v>
      </c>
      <c r="N501" s="9">
        <f>IFERROR(VLOOKUP(B501,cubo!$A$6:$BK$37,41,0)-VLOOKUP(conciliacao_custos!B501,#REF!,18,0),0)</f>
        <v>0</v>
      </c>
      <c r="O501" s="9">
        <f>IFERROR(VLOOKUP(B501,cubo!$A$6:$BK$37,44,0)-VLOOKUP(conciliacao_custos!B501,#REF!,13,0),0)</f>
        <v>0</v>
      </c>
      <c r="P501" s="9">
        <f>IFERROR(VLOOKUP(B501,cubo!$A$6:$BK$37,47,0)-VLOOKUP(conciliacao_custos!B501,#REF!,14,0),0)</f>
        <v>0</v>
      </c>
      <c r="Q501" s="9">
        <f>IFERROR(VLOOKUP(B501,cubo!$A$6:$BK$37,58,0)-VLOOKUP(conciliacao_custos!B501,#REF!,16,0),0)</f>
        <v>0</v>
      </c>
      <c r="R501" s="9">
        <f>IFERROR(VLOOKUP(B501,cubo!$A$6:$BK$37,64,0)-VLOOKUP(conciliacao_custos!B501,#REF!,17,0),0)</f>
        <v>0</v>
      </c>
      <c r="S501" s="9">
        <f>IFERROR(VLOOKUP(B501,cubo!$A$6:$BK$37,61,0)-VLOOKUP(conciliacao_custos!B501,#REF!,15,0),0)</f>
        <v>0</v>
      </c>
    </row>
    <row r="502" spans="2:19" x14ac:dyDescent="0.25">
      <c r="B502" s="7">
        <f>[1]salario!A501</f>
        <v>0</v>
      </c>
      <c r="C502" s="8">
        <f>[1]salario!C501</f>
        <v>0</v>
      </c>
      <c r="D502" s="10">
        <f>IFERROR(VLOOKUP(B502,cubo!$A$6:$BE$37,6,0)-VLOOKUP(B502,#REF!,$D$2,0),0)</f>
        <v>0</v>
      </c>
      <c r="E502" s="10">
        <f>IFERROR(VLOOKUP(B502,cubo!$A$6:$BE$37,9,0)-VLOOKUP(B502,#REF!,$E$2,0),0)</f>
        <v>0</v>
      </c>
      <c r="F502" s="9">
        <f>IFERROR(VLOOKUP(B502,cubo!$A$6:$BE$37,12,0)-VLOOKUP(B502,#REF!,$F$2,0),0)</f>
        <v>0</v>
      </c>
      <c r="G502" s="9">
        <f>IFERROR(VLOOKUP(B502,cubo!$A$6:$BE$37,54,0)-VLOOKUP(B502,#REF!,$G$2,0),0)</f>
        <v>0</v>
      </c>
      <c r="H502" s="10">
        <f>IFERROR(VLOOKUP(B502,cubo!$A$6:$BE$37,15,0)-VLOOKUP(B502,#REF!,$H$2,0),0)</f>
        <v>0</v>
      </c>
      <c r="I502" s="9">
        <f>IFERROR(VLOOKUP(B502,cubo!$A$6:$BE$37,18,0)-VLOOKUP(B502,#REF!,$I$2,0),0)</f>
        <v>0</v>
      </c>
      <c r="J502" s="9">
        <f>IFERROR(VLOOKUP(B502,cubo!$A$6:$BE$37,24,0)-VLOOKUP(B502,#REF!,$J$2,0),0)</f>
        <v>0</v>
      </c>
      <c r="K502" s="9">
        <f>IFERROR(VLOOKUP(B502,cubo!$A$6:$BE$37,34,0)-VLOOKUP(B502,#REF!,$K$2,0),0)</f>
        <v>0</v>
      </c>
      <c r="L502" s="8">
        <f>IFERROR(VLOOKUP(B502,cubo!$A$6:$BE$37,38,0)-VLOOKUP(B502,#REF!,$L$2,0),0)</f>
        <v>0</v>
      </c>
      <c r="M502" s="15">
        <f>IFERROR(VLOOKUP(B502,cubo!$A$6:$BE$37,57,0)-VLOOKUP(B502,#REF!,$M$2,0),0)</f>
        <v>0</v>
      </c>
      <c r="N502" s="9">
        <f>IFERROR(VLOOKUP(B502,cubo!$A$6:$BK$37,41,0)-VLOOKUP(conciliacao_custos!B502,#REF!,18,0),0)</f>
        <v>0</v>
      </c>
      <c r="O502" s="9">
        <f>IFERROR(VLOOKUP(B502,cubo!$A$6:$BK$37,44,0)-VLOOKUP(conciliacao_custos!B502,#REF!,13,0),0)</f>
        <v>0</v>
      </c>
      <c r="P502" s="9">
        <f>IFERROR(VLOOKUP(B502,cubo!$A$6:$BK$37,47,0)-VLOOKUP(conciliacao_custos!B502,#REF!,14,0),0)</f>
        <v>0</v>
      </c>
      <c r="Q502" s="9">
        <f>IFERROR(VLOOKUP(B502,cubo!$A$6:$BK$37,58,0)-VLOOKUP(conciliacao_custos!B502,#REF!,16,0),0)</f>
        <v>0</v>
      </c>
      <c r="R502" s="9">
        <f>IFERROR(VLOOKUP(B502,cubo!$A$6:$BK$37,64,0)-VLOOKUP(conciliacao_custos!B502,#REF!,17,0),0)</f>
        <v>0</v>
      </c>
      <c r="S502" s="9">
        <f>IFERROR(VLOOKUP(B502,cubo!$A$6:$BK$37,61,0)-VLOOKUP(conciliacao_custos!B502,#REF!,15,0),0)</f>
        <v>0</v>
      </c>
    </row>
    <row r="503" spans="2:19" x14ac:dyDescent="0.25">
      <c r="B503" s="7">
        <f>[1]salario!A502</f>
        <v>0</v>
      </c>
      <c r="C503" s="8">
        <f>[1]salario!C502</f>
        <v>0</v>
      </c>
      <c r="D503" s="10">
        <f>IFERROR(VLOOKUP(B503,cubo!$A$6:$BE$37,6,0)-VLOOKUP(B503,#REF!,$D$2,0),0)</f>
        <v>0</v>
      </c>
      <c r="E503" s="10">
        <f>IFERROR(VLOOKUP(B503,cubo!$A$6:$BE$37,9,0)-VLOOKUP(B503,#REF!,$E$2,0),0)</f>
        <v>0</v>
      </c>
      <c r="F503" s="9">
        <f>IFERROR(VLOOKUP(B503,cubo!$A$6:$BE$37,12,0)-VLOOKUP(B503,#REF!,$F$2,0),0)</f>
        <v>0</v>
      </c>
      <c r="G503" s="9">
        <f>IFERROR(VLOOKUP(B503,cubo!$A$6:$BE$37,54,0)-VLOOKUP(B503,#REF!,$G$2,0),0)</f>
        <v>0</v>
      </c>
      <c r="H503" s="10">
        <f>IFERROR(VLOOKUP(B503,cubo!$A$6:$BE$37,15,0)-VLOOKUP(B503,#REF!,$H$2,0),0)</f>
        <v>0</v>
      </c>
      <c r="I503" s="9">
        <f>IFERROR(VLOOKUP(B503,cubo!$A$6:$BE$37,18,0)-VLOOKUP(B503,#REF!,$I$2,0),0)</f>
        <v>0</v>
      </c>
      <c r="J503" s="9">
        <f>IFERROR(VLOOKUP(B503,cubo!$A$6:$BE$37,24,0)-VLOOKUP(B503,#REF!,$J$2,0),0)</f>
        <v>0</v>
      </c>
      <c r="K503" s="9">
        <f>IFERROR(VLOOKUP(B503,cubo!$A$6:$BE$37,34,0)-VLOOKUP(B503,#REF!,$K$2,0),0)</f>
        <v>0</v>
      </c>
      <c r="L503" s="8">
        <f>IFERROR(VLOOKUP(B503,cubo!$A$6:$BE$37,38,0)-VLOOKUP(B503,#REF!,$L$2,0),0)</f>
        <v>0</v>
      </c>
      <c r="M503" s="15">
        <f>IFERROR(VLOOKUP(B503,cubo!$A$6:$BE$37,57,0)-VLOOKUP(B503,#REF!,$M$2,0),0)</f>
        <v>0</v>
      </c>
      <c r="N503" s="9">
        <f>IFERROR(VLOOKUP(B503,cubo!$A$6:$BK$37,41,0)-VLOOKUP(conciliacao_custos!B503,#REF!,18,0),0)</f>
        <v>0</v>
      </c>
      <c r="O503" s="9">
        <f>IFERROR(VLOOKUP(B503,cubo!$A$6:$BK$37,44,0)-VLOOKUP(conciliacao_custos!B503,#REF!,13,0),0)</f>
        <v>0</v>
      </c>
      <c r="P503" s="9">
        <f>IFERROR(VLOOKUP(B503,cubo!$A$6:$BK$37,47,0)-VLOOKUP(conciliacao_custos!B503,#REF!,14,0),0)</f>
        <v>0</v>
      </c>
      <c r="Q503" s="9">
        <f>IFERROR(VLOOKUP(B503,cubo!$A$6:$BK$37,58,0)-VLOOKUP(conciliacao_custos!B503,#REF!,16,0),0)</f>
        <v>0</v>
      </c>
      <c r="R503" s="9">
        <f>IFERROR(VLOOKUP(B503,cubo!$A$6:$BK$37,64,0)-VLOOKUP(conciliacao_custos!B503,#REF!,17,0),0)</f>
        <v>0</v>
      </c>
      <c r="S503" s="9">
        <f>IFERROR(VLOOKUP(B503,cubo!$A$6:$BK$37,61,0)-VLOOKUP(conciliacao_custos!B503,#REF!,15,0),0)</f>
        <v>0</v>
      </c>
    </row>
    <row r="504" spans="2:19" x14ac:dyDescent="0.25">
      <c r="B504" s="7">
        <f>[1]salario!A503</f>
        <v>0</v>
      </c>
      <c r="C504" s="8">
        <f>[1]salario!C503</f>
        <v>0</v>
      </c>
      <c r="D504" s="10">
        <f>IFERROR(VLOOKUP(B504,cubo!$A$6:$BE$37,6,0)-VLOOKUP(B504,#REF!,$D$2,0),0)</f>
        <v>0</v>
      </c>
      <c r="E504" s="10">
        <f>IFERROR(VLOOKUP(B504,cubo!$A$6:$BE$37,9,0)-VLOOKUP(B504,#REF!,$E$2,0),0)</f>
        <v>0</v>
      </c>
      <c r="F504" s="9">
        <f>IFERROR(VLOOKUP(B504,cubo!$A$6:$BE$37,12,0)-VLOOKUP(B504,#REF!,$F$2,0),0)</f>
        <v>0</v>
      </c>
      <c r="G504" s="9">
        <f>IFERROR(VLOOKUP(B504,cubo!$A$6:$BE$37,54,0)-VLOOKUP(B504,#REF!,$G$2,0),0)</f>
        <v>0</v>
      </c>
      <c r="H504" s="10">
        <f>IFERROR(VLOOKUP(B504,cubo!$A$6:$BE$37,15,0)-VLOOKUP(B504,#REF!,$H$2,0),0)</f>
        <v>0</v>
      </c>
      <c r="I504" s="9">
        <f>IFERROR(VLOOKUP(B504,cubo!$A$6:$BE$37,18,0)-VLOOKUP(B504,#REF!,$I$2,0),0)</f>
        <v>0</v>
      </c>
      <c r="J504" s="9">
        <f>IFERROR(VLOOKUP(B504,cubo!$A$6:$BE$37,24,0)-VLOOKUP(B504,#REF!,$J$2,0),0)</f>
        <v>0</v>
      </c>
      <c r="K504" s="9">
        <f>IFERROR(VLOOKUP(B504,cubo!$A$6:$BE$37,34,0)-VLOOKUP(B504,#REF!,$K$2,0),0)</f>
        <v>0</v>
      </c>
      <c r="L504" s="8">
        <f>IFERROR(VLOOKUP(B504,cubo!$A$6:$BE$37,38,0)-VLOOKUP(B504,#REF!,$L$2,0),0)</f>
        <v>0</v>
      </c>
      <c r="M504" s="15">
        <f>IFERROR(VLOOKUP(B504,cubo!$A$6:$BE$37,57,0)-VLOOKUP(B504,#REF!,$M$2,0),0)</f>
        <v>0</v>
      </c>
      <c r="N504" s="9">
        <f>IFERROR(VLOOKUP(B504,cubo!$A$6:$BK$37,41,0)-VLOOKUP(conciliacao_custos!B504,#REF!,18,0),0)</f>
        <v>0</v>
      </c>
      <c r="O504" s="9">
        <f>IFERROR(VLOOKUP(B504,cubo!$A$6:$BK$37,44,0)-VLOOKUP(conciliacao_custos!B504,#REF!,13,0),0)</f>
        <v>0</v>
      </c>
      <c r="P504" s="9">
        <f>IFERROR(VLOOKUP(B504,cubo!$A$6:$BK$37,47,0)-VLOOKUP(conciliacao_custos!B504,#REF!,14,0),0)</f>
        <v>0</v>
      </c>
      <c r="Q504" s="9">
        <f>IFERROR(VLOOKUP(B504,cubo!$A$6:$BK$37,58,0)-VLOOKUP(conciliacao_custos!B504,#REF!,16,0),0)</f>
        <v>0</v>
      </c>
      <c r="R504" s="9">
        <f>IFERROR(VLOOKUP(B504,cubo!$A$6:$BK$37,64,0)-VLOOKUP(conciliacao_custos!B504,#REF!,17,0),0)</f>
        <v>0</v>
      </c>
      <c r="S504" s="9">
        <f>IFERROR(VLOOKUP(B504,cubo!$A$6:$BK$37,61,0)-VLOOKUP(conciliacao_custos!B504,#REF!,15,0),0)</f>
        <v>0</v>
      </c>
    </row>
    <row r="505" spans="2:19" x14ac:dyDescent="0.25">
      <c r="B505" s="7">
        <f>[1]salario!A504</f>
        <v>0</v>
      </c>
      <c r="C505" s="8">
        <f>[1]salario!C504</f>
        <v>0</v>
      </c>
      <c r="D505" s="10">
        <f>IFERROR(VLOOKUP(B505,cubo!$A$6:$BE$37,6,0)-VLOOKUP(B505,#REF!,$D$2,0),0)</f>
        <v>0</v>
      </c>
      <c r="E505" s="10">
        <f>IFERROR(VLOOKUP(B505,cubo!$A$6:$BE$37,9,0)-VLOOKUP(B505,#REF!,$E$2,0),0)</f>
        <v>0</v>
      </c>
      <c r="F505" s="9">
        <f>IFERROR(VLOOKUP(B505,cubo!$A$6:$BE$37,12,0)-VLOOKUP(B505,#REF!,$F$2,0),0)</f>
        <v>0</v>
      </c>
      <c r="G505" s="9">
        <f>IFERROR(VLOOKUP(B505,cubo!$A$6:$BE$37,54,0)-VLOOKUP(B505,#REF!,$G$2,0),0)</f>
        <v>0</v>
      </c>
      <c r="H505" s="10">
        <f>IFERROR(VLOOKUP(B505,cubo!$A$6:$BE$37,15,0)-VLOOKUP(B505,#REF!,$H$2,0),0)</f>
        <v>0</v>
      </c>
      <c r="I505" s="9">
        <f>IFERROR(VLOOKUP(B505,cubo!$A$6:$BE$37,18,0)-VLOOKUP(B505,#REF!,$I$2,0),0)</f>
        <v>0</v>
      </c>
      <c r="J505" s="9">
        <f>IFERROR(VLOOKUP(B505,cubo!$A$6:$BE$37,24,0)-VLOOKUP(B505,#REF!,$J$2,0),0)</f>
        <v>0</v>
      </c>
      <c r="K505" s="9">
        <f>IFERROR(VLOOKUP(B505,cubo!$A$6:$BE$37,34,0)-VLOOKUP(B505,#REF!,$K$2,0),0)</f>
        <v>0</v>
      </c>
      <c r="L505" s="8">
        <f>IFERROR(VLOOKUP(B505,cubo!$A$6:$BE$37,38,0)-VLOOKUP(B505,#REF!,$L$2,0),0)</f>
        <v>0</v>
      </c>
      <c r="M505" s="15">
        <f>IFERROR(VLOOKUP(B505,cubo!$A$6:$BE$37,57,0)-VLOOKUP(B505,#REF!,$M$2,0),0)</f>
        <v>0</v>
      </c>
      <c r="N505" s="9">
        <f>IFERROR(VLOOKUP(B505,cubo!$A$6:$BK$37,41,0)-VLOOKUP(conciliacao_custos!B505,#REF!,18,0),0)</f>
        <v>0</v>
      </c>
      <c r="O505" s="9">
        <f>IFERROR(VLOOKUP(B505,cubo!$A$6:$BK$37,44,0)-VLOOKUP(conciliacao_custos!B505,#REF!,13,0),0)</f>
        <v>0</v>
      </c>
      <c r="P505" s="9">
        <f>IFERROR(VLOOKUP(B505,cubo!$A$6:$BK$37,47,0)-VLOOKUP(conciliacao_custos!B505,#REF!,14,0),0)</f>
        <v>0</v>
      </c>
      <c r="Q505" s="9">
        <f>IFERROR(VLOOKUP(B505,cubo!$A$6:$BK$37,58,0)-VLOOKUP(conciliacao_custos!B505,#REF!,16,0),0)</f>
        <v>0</v>
      </c>
      <c r="R505" s="9">
        <f>IFERROR(VLOOKUP(B505,cubo!$A$6:$BK$37,64,0)-VLOOKUP(conciliacao_custos!B505,#REF!,17,0),0)</f>
        <v>0</v>
      </c>
      <c r="S505" s="9">
        <f>IFERROR(VLOOKUP(B505,cubo!$A$6:$BK$37,61,0)-VLOOKUP(conciliacao_custos!B505,#REF!,15,0),0)</f>
        <v>0</v>
      </c>
    </row>
    <row r="506" spans="2:19" x14ac:dyDescent="0.25">
      <c r="B506" s="7">
        <f>[1]salario!A505</f>
        <v>0</v>
      </c>
      <c r="C506" s="8">
        <f>[1]salario!C505</f>
        <v>0</v>
      </c>
      <c r="D506" s="10">
        <f>IFERROR(VLOOKUP(B506,cubo!$A$6:$BE$37,6,0)-VLOOKUP(B506,#REF!,$D$2,0),0)</f>
        <v>0</v>
      </c>
      <c r="E506" s="10">
        <f>IFERROR(VLOOKUP(B506,cubo!$A$6:$BE$37,9,0)-VLOOKUP(B506,#REF!,$E$2,0),0)</f>
        <v>0</v>
      </c>
      <c r="F506" s="9">
        <f>IFERROR(VLOOKUP(B506,cubo!$A$6:$BE$37,12,0)-VLOOKUP(B506,#REF!,$F$2,0),0)</f>
        <v>0</v>
      </c>
      <c r="G506" s="9">
        <f>IFERROR(VLOOKUP(B506,cubo!$A$6:$BE$37,54,0)-VLOOKUP(B506,#REF!,$G$2,0),0)</f>
        <v>0</v>
      </c>
      <c r="H506" s="10">
        <f>IFERROR(VLOOKUP(B506,cubo!$A$6:$BE$37,15,0)-VLOOKUP(B506,#REF!,$H$2,0),0)</f>
        <v>0</v>
      </c>
      <c r="I506" s="9">
        <f>IFERROR(VLOOKUP(B506,cubo!$A$6:$BE$37,18,0)-VLOOKUP(B506,#REF!,$I$2,0),0)</f>
        <v>0</v>
      </c>
      <c r="J506" s="9">
        <f>IFERROR(VLOOKUP(B506,cubo!$A$6:$BE$37,24,0)-VLOOKUP(B506,#REF!,$J$2,0),0)</f>
        <v>0</v>
      </c>
      <c r="K506" s="9">
        <f>IFERROR(VLOOKUP(B506,cubo!$A$6:$BE$37,34,0)-VLOOKUP(B506,#REF!,$K$2,0),0)</f>
        <v>0</v>
      </c>
      <c r="L506" s="8">
        <f>IFERROR(VLOOKUP(B506,cubo!$A$6:$BE$37,38,0)-VLOOKUP(B506,#REF!,$L$2,0),0)</f>
        <v>0</v>
      </c>
      <c r="M506" s="15">
        <f>IFERROR(VLOOKUP(B506,cubo!$A$6:$BE$37,57,0)-VLOOKUP(B506,#REF!,$M$2,0),0)</f>
        <v>0</v>
      </c>
      <c r="N506" s="9">
        <f>IFERROR(VLOOKUP(B506,cubo!$A$6:$BK$37,41,0)-VLOOKUP(conciliacao_custos!B506,#REF!,18,0),0)</f>
        <v>0</v>
      </c>
      <c r="O506" s="9">
        <f>IFERROR(VLOOKUP(B506,cubo!$A$6:$BK$37,44,0)-VLOOKUP(conciliacao_custos!B506,#REF!,13,0),0)</f>
        <v>0</v>
      </c>
      <c r="P506" s="9">
        <f>IFERROR(VLOOKUP(B506,cubo!$A$6:$BK$37,47,0)-VLOOKUP(conciliacao_custos!B506,#REF!,14,0),0)</f>
        <v>0</v>
      </c>
      <c r="Q506" s="9">
        <f>IFERROR(VLOOKUP(B506,cubo!$A$6:$BK$37,58,0)-VLOOKUP(conciliacao_custos!B506,#REF!,16,0),0)</f>
        <v>0</v>
      </c>
      <c r="R506" s="9">
        <f>IFERROR(VLOOKUP(B506,cubo!$A$6:$BK$37,64,0)-VLOOKUP(conciliacao_custos!B506,#REF!,17,0),0)</f>
        <v>0</v>
      </c>
      <c r="S506" s="9">
        <f>IFERROR(VLOOKUP(B506,cubo!$A$6:$BK$37,61,0)-VLOOKUP(conciliacao_custos!B506,#REF!,15,0),0)</f>
        <v>0</v>
      </c>
    </row>
    <row r="507" spans="2:19" x14ac:dyDescent="0.25">
      <c r="B507" s="7">
        <f>[1]salario!A506</f>
        <v>0</v>
      </c>
      <c r="C507" s="8">
        <f>[1]salario!C506</f>
        <v>0</v>
      </c>
      <c r="D507" s="10">
        <f>IFERROR(VLOOKUP(B507,cubo!$A$6:$BE$37,6,0)-VLOOKUP(B507,#REF!,$D$2,0),0)</f>
        <v>0</v>
      </c>
      <c r="E507" s="10">
        <f>IFERROR(VLOOKUP(B507,cubo!$A$6:$BE$37,9,0)-VLOOKUP(B507,#REF!,$E$2,0),0)</f>
        <v>0</v>
      </c>
      <c r="F507" s="9">
        <f>IFERROR(VLOOKUP(B507,cubo!$A$6:$BE$37,12,0)-VLOOKUP(B507,#REF!,$F$2,0),0)</f>
        <v>0</v>
      </c>
      <c r="G507" s="9">
        <f>IFERROR(VLOOKUP(B507,cubo!$A$6:$BE$37,54,0)-VLOOKUP(B507,#REF!,$G$2,0),0)</f>
        <v>0</v>
      </c>
      <c r="H507" s="10">
        <f>IFERROR(VLOOKUP(B507,cubo!$A$6:$BE$37,15,0)-VLOOKUP(B507,#REF!,$H$2,0),0)</f>
        <v>0</v>
      </c>
      <c r="I507" s="9">
        <f>IFERROR(VLOOKUP(B507,cubo!$A$6:$BE$37,18,0)-VLOOKUP(B507,#REF!,$I$2,0),0)</f>
        <v>0</v>
      </c>
      <c r="J507" s="9">
        <f>IFERROR(VLOOKUP(B507,cubo!$A$6:$BE$37,24,0)-VLOOKUP(B507,#REF!,$J$2,0),0)</f>
        <v>0</v>
      </c>
      <c r="K507" s="9">
        <f>IFERROR(VLOOKUP(B507,cubo!$A$6:$BE$37,34,0)-VLOOKUP(B507,#REF!,$K$2,0),0)</f>
        <v>0</v>
      </c>
      <c r="L507" s="8">
        <f>IFERROR(VLOOKUP(B507,cubo!$A$6:$BE$37,38,0)-VLOOKUP(B507,#REF!,$L$2,0),0)</f>
        <v>0</v>
      </c>
      <c r="M507" s="15">
        <f>IFERROR(VLOOKUP(B507,cubo!$A$6:$BE$37,57,0)-VLOOKUP(B507,#REF!,$M$2,0),0)</f>
        <v>0</v>
      </c>
      <c r="N507" s="9">
        <f>IFERROR(VLOOKUP(B507,cubo!$A$6:$BK$37,41,0)-VLOOKUP(conciliacao_custos!B507,#REF!,18,0),0)</f>
        <v>0</v>
      </c>
      <c r="O507" s="9">
        <f>IFERROR(VLOOKUP(B507,cubo!$A$6:$BK$37,44,0)-VLOOKUP(conciliacao_custos!B507,#REF!,13,0),0)</f>
        <v>0</v>
      </c>
      <c r="P507" s="9">
        <f>IFERROR(VLOOKUP(B507,cubo!$A$6:$BK$37,47,0)-VLOOKUP(conciliacao_custos!B507,#REF!,14,0),0)</f>
        <v>0</v>
      </c>
      <c r="Q507" s="9">
        <f>IFERROR(VLOOKUP(B507,cubo!$A$6:$BK$37,58,0)-VLOOKUP(conciliacao_custos!B507,#REF!,16,0),0)</f>
        <v>0</v>
      </c>
      <c r="R507" s="9">
        <f>IFERROR(VLOOKUP(B507,cubo!$A$6:$BK$37,64,0)-VLOOKUP(conciliacao_custos!B507,#REF!,17,0),0)</f>
        <v>0</v>
      </c>
      <c r="S507" s="9">
        <f>IFERROR(VLOOKUP(B507,cubo!$A$6:$BK$37,61,0)-VLOOKUP(conciliacao_custos!B507,#REF!,15,0),0)</f>
        <v>0</v>
      </c>
    </row>
    <row r="508" spans="2:19" x14ac:dyDescent="0.25">
      <c r="B508" s="7">
        <f>[1]salario!A507</f>
        <v>0</v>
      </c>
      <c r="C508" s="8">
        <f>[1]salario!C507</f>
        <v>0</v>
      </c>
      <c r="D508" s="10">
        <f>IFERROR(VLOOKUP(B508,cubo!$A$6:$BE$37,6,0)-VLOOKUP(B508,#REF!,$D$2,0),0)</f>
        <v>0</v>
      </c>
      <c r="E508" s="10">
        <f>IFERROR(VLOOKUP(B508,cubo!$A$6:$BE$37,9,0)-VLOOKUP(B508,#REF!,$E$2,0),0)</f>
        <v>0</v>
      </c>
      <c r="F508" s="9">
        <f>IFERROR(VLOOKUP(B508,cubo!$A$6:$BE$37,12,0)-VLOOKUP(B508,#REF!,$F$2,0),0)</f>
        <v>0</v>
      </c>
      <c r="G508" s="9">
        <f>IFERROR(VLOOKUP(B508,cubo!$A$6:$BE$37,54,0)-VLOOKUP(B508,#REF!,$G$2,0),0)</f>
        <v>0</v>
      </c>
      <c r="H508" s="10">
        <f>IFERROR(VLOOKUP(B508,cubo!$A$6:$BE$37,15,0)-VLOOKUP(B508,#REF!,$H$2,0),0)</f>
        <v>0</v>
      </c>
      <c r="I508" s="9">
        <f>IFERROR(VLOOKUP(B508,cubo!$A$6:$BE$37,18,0)-VLOOKUP(B508,#REF!,$I$2,0),0)</f>
        <v>0</v>
      </c>
      <c r="J508" s="9">
        <f>IFERROR(VLOOKUP(B508,cubo!$A$6:$BE$37,24,0)-VLOOKUP(B508,#REF!,$J$2,0),0)</f>
        <v>0</v>
      </c>
      <c r="K508" s="9">
        <f>IFERROR(VLOOKUP(B508,cubo!$A$6:$BE$37,34,0)-VLOOKUP(B508,#REF!,$K$2,0),0)</f>
        <v>0</v>
      </c>
      <c r="L508" s="8">
        <f>IFERROR(VLOOKUP(B508,cubo!$A$6:$BE$37,38,0)-VLOOKUP(B508,#REF!,$L$2,0),0)</f>
        <v>0</v>
      </c>
      <c r="M508" s="15">
        <f>IFERROR(VLOOKUP(B508,cubo!$A$6:$BE$37,57,0)-VLOOKUP(B508,#REF!,$M$2,0),0)</f>
        <v>0</v>
      </c>
      <c r="N508" s="9">
        <f>IFERROR(VLOOKUP(B508,cubo!$A$6:$BK$37,41,0)-VLOOKUP(conciliacao_custos!B508,#REF!,18,0),0)</f>
        <v>0</v>
      </c>
      <c r="O508" s="9">
        <f>IFERROR(VLOOKUP(B508,cubo!$A$6:$BK$37,44,0)-VLOOKUP(conciliacao_custos!B508,#REF!,13,0),0)</f>
        <v>0</v>
      </c>
      <c r="P508" s="9">
        <f>IFERROR(VLOOKUP(B508,cubo!$A$6:$BK$37,47,0)-VLOOKUP(conciliacao_custos!B508,#REF!,14,0),0)</f>
        <v>0</v>
      </c>
      <c r="Q508" s="9">
        <f>IFERROR(VLOOKUP(B508,cubo!$A$6:$BK$37,58,0)-VLOOKUP(conciliacao_custos!B508,#REF!,16,0),0)</f>
        <v>0</v>
      </c>
      <c r="R508" s="9">
        <f>IFERROR(VLOOKUP(B508,cubo!$A$6:$BK$37,64,0)-VLOOKUP(conciliacao_custos!B508,#REF!,17,0),0)</f>
        <v>0</v>
      </c>
      <c r="S508" s="9">
        <f>IFERROR(VLOOKUP(B508,cubo!$A$6:$BK$37,61,0)-VLOOKUP(conciliacao_custos!B508,#REF!,15,0),0)</f>
        <v>0</v>
      </c>
    </row>
    <row r="509" spans="2:19" x14ac:dyDescent="0.25">
      <c r="B509" s="7">
        <f>[1]salario!A508</f>
        <v>0</v>
      </c>
      <c r="C509" s="8">
        <f>[1]salario!C508</f>
        <v>0</v>
      </c>
      <c r="D509" s="10">
        <f>IFERROR(VLOOKUP(B509,cubo!$A$6:$BE$37,6,0)-VLOOKUP(B509,#REF!,$D$2,0),0)</f>
        <v>0</v>
      </c>
      <c r="E509" s="10">
        <f>IFERROR(VLOOKUP(B509,cubo!$A$6:$BE$37,9,0)-VLOOKUP(B509,#REF!,$E$2,0),0)</f>
        <v>0</v>
      </c>
      <c r="F509" s="9">
        <f>IFERROR(VLOOKUP(B509,cubo!$A$6:$BE$37,12,0)-VLOOKUP(B509,#REF!,$F$2,0),0)</f>
        <v>0</v>
      </c>
      <c r="G509" s="9">
        <f>IFERROR(VLOOKUP(B509,cubo!$A$6:$BE$37,54,0)-VLOOKUP(B509,#REF!,$G$2,0),0)</f>
        <v>0</v>
      </c>
      <c r="H509" s="10">
        <f>IFERROR(VLOOKUP(B509,cubo!$A$6:$BE$37,15,0)-VLOOKUP(B509,#REF!,$H$2,0),0)</f>
        <v>0</v>
      </c>
      <c r="I509" s="9">
        <f>IFERROR(VLOOKUP(B509,cubo!$A$6:$BE$37,18,0)-VLOOKUP(B509,#REF!,$I$2,0),0)</f>
        <v>0</v>
      </c>
      <c r="J509" s="9">
        <f>IFERROR(VLOOKUP(B509,cubo!$A$6:$BE$37,24,0)-VLOOKUP(B509,#REF!,$J$2,0),0)</f>
        <v>0</v>
      </c>
      <c r="K509" s="9">
        <f>IFERROR(VLOOKUP(B509,cubo!$A$6:$BE$37,34,0)-VLOOKUP(B509,#REF!,$K$2,0),0)</f>
        <v>0</v>
      </c>
      <c r="L509" s="8">
        <f>IFERROR(VLOOKUP(B509,cubo!$A$6:$BE$37,38,0)-VLOOKUP(B509,#REF!,$L$2,0),0)</f>
        <v>0</v>
      </c>
      <c r="M509" s="15">
        <f>IFERROR(VLOOKUP(B509,cubo!$A$6:$BE$37,57,0)-VLOOKUP(B509,#REF!,$M$2,0),0)</f>
        <v>0</v>
      </c>
      <c r="N509" s="9">
        <f>IFERROR(VLOOKUP(B509,cubo!$A$6:$BK$37,41,0)-VLOOKUP(conciliacao_custos!B509,#REF!,18,0),0)</f>
        <v>0</v>
      </c>
      <c r="O509" s="9">
        <f>IFERROR(VLOOKUP(B509,cubo!$A$6:$BK$37,44,0)-VLOOKUP(conciliacao_custos!B509,#REF!,13,0),0)</f>
        <v>0</v>
      </c>
      <c r="P509" s="9">
        <f>IFERROR(VLOOKUP(B509,cubo!$A$6:$BK$37,47,0)-VLOOKUP(conciliacao_custos!B509,#REF!,14,0),0)</f>
        <v>0</v>
      </c>
      <c r="Q509" s="9">
        <f>IFERROR(VLOOKUP(B509,cubo!$A$6:$BK$37,58,0)-VLOOKUP(conciliacao_custos!B509,#REF!,16,0),0)</f>
        <v>0</v>
      </c>
      <c r="R509" s="9">
        <f>IFERROR(VLOOKUP(B509,cubo!$A$6:$BK$37,64,0)-VLOOKUP(conciliacao_custos!B509,#REF!,17,0),0)</f>
        <v>0</v>
      </c>
      <c r="S509" s="9">
        <f>IFERROR(VLOOKUP(B509,cubo!$A$6:$BK$37,61,0)-VLOOKUP(conciliacao_custos!B509,#REF!,15,0),0)</f>
        <v>0</v>
      </c>
    </row>
    <row r="510" spans="2:19" x14ac:dyDescent="0.25">
      <c r="B510" s="7">
        <f>[1]salario!A509</f>
        <v>0</v>
      </c>
      <c r="C510" s="8">
        <f>[1]salario!C509</f>
        <v>0</v>
      </c>
      <c r="D510" s="10">
        <f>IFERROR(VLOOKUP(B510,cubo!$A$6:$BE$37,6,0)-VLOOKUP(B510,#REF!,$D$2,0),0)</f>
        <v>0</v>
      </c>
      <c r="E510" s="10">
        <f>IFERROR(VLOOKUP(B510,cubo!$A$6:$BE$37,9,0)-VLOOKUP(B510,#REF!,$E$2,0),0)</f>
        <v>0</v>
      </c>
      <c r="F510" s="9">
        <f>IFERROR(VLOOKUP(B510,cubo!$A$6:$BE$37,12,0)-VLOOKUP(B510,#REF!,$F$2,0),0)</f>
        <v>0</v>
      </c>
      <c r="G510" s="9">
        <f>IFERROR(VLOOKUP(B510,cubo!$A$6:$BE$37,54,0)-VLOOKUP(B510,#REF!,$G$2,0),0)</f>
        <v>0</v>
      </c>
      <c r="H510" s="10">
        <f>IFERROR(VLOOKUP(B510,cubo!$A$6:$BE$37,15,0)-VLOOKUP(B510,#REF!,$H$2,0),0)</f>
        <v>0</v>
      </c>
      <c r="I510" s="9">
        <f>IFERROR(VLOOKUP(B510,cubo!$A$6:$BE$37,18,0)-VLOOKUP(B510,#REF!,$I$2,0),0)</f>
        <v>0</v>
      </c>
      <c r="J510" s="9">
        <f>IFERROR(VLOOKUP(B510,cubo!$A$6:$BE$37,24,0)-VLOOKUP(B510,#REF!,$J$2,0),0)</f>
        <v>0</v>
      </c>
      <c r="K510" s="9">
        <f>IFERROR(VLOOKUP(B510,cubo!$A$6:$BE$37,34,0)-VLOOKUP(B510,#REF!,$K$2,0),0)</f>
        <v>0</v>
      </c>
      <c r="L510" s="8">
        <f>IFERROR(VLOOKUP(B510,cubo!$A$6:$BE$37,38,0)-VLOOKUP(B510,#REF!,$L$2,0),0)</f>
        <v>0</v>
      </c>
      <c r="M510" s="15">
        <f>IFERROR(VLOOKUP(B510,cubo!$A$6:$BE$37,57,0)-VLOOKUP(B510,#REF!,$M$2,0),0)</f>
        <v>0</v>
      </c>
      <c r="N510" s="9">
        <f>IFERROR(VLOOKUP(B510,cubo!$A$6:$BK$37,41,0)-VLOOKUP(conciliacao_custos!B510,#REF!,18,0),0)</f>
        <v>0</v>
      </c>
      <c r="O510" s="9">
        <f>IFERROR(VLOOKUP(B510,cubo!$A$6:$BK$37,44,0)-VLOOKUP(conciliacao_custos!B510,#REF!,13,0),0)</f>
        <v>0</v>
      </c>
      <c r="P510" s="9">
        <f>IFERROR(VLOOKUP(B510,cubo!$A$6:$BK$37,47,0)-VLOOKUP(conciliacao_custos!B510,#REF!,14,0),0)</f>
        <v>0</v>
      </c>
      <c r="Q510" s="9">
        <f>IFERROR(VLOOKUP(B510,cubo!$A$6:$BK$37,58,0)-VLOOKUP(conciliacao_custos!B510,#REF!,16,0),0)</f>
        <v>0</v>
      </c>
      <c r="R510" s="9">
        <f>IFERROR(VLOOKUP(B510,cubo!$A$6:$BK$37,64,0)-VLOOKUP(conciliacao_custos!B510,#REF!,17,0),0)</f>
        <v>0</v>
      </c>
      <c r="S510" s="9">
        <f>IFERROR(VLOOKUP(B510,cubo!$A$6:$BK$37,61,0)-VLOOKUP(conciliacao_custos!B510,#REF!,15,0),0)</f>
        <v>0</v>
      </c>
    </row>
    <row r="511" spans="2:19" x14ac:dyDescent="0.25">
      <c r="B511" s="7">
        <f>[1]salario!A510</f>
        <v>0</v>
      </c>
      <c r="C511" s="8">
        <f>[1]salario!C510</f>
        <v>0</v>
      </c>
      <c r="D511" s="10">
        <f>IFERROR(VLOOKUP(B511,cubo!$A$6:$BE$37,6,0)-VLOOKUP(B511,#REF!,$D$2,0),0)</f>
        <v>0</v>
      </c>
      <c r="E511" s="10">
        <f>IFERROR(VLOOKUP(B511,cubo!$A$6:$BE$37,9,0)-VLOOKUP(B511,#REF!,$E$2,0),0)</f>
        <v>0</v>
      </c>
      <c r="F511" s="9">
        <f>IFERROR(VLOOKUP(B511,cubo!$A$6:$BE$37,12,0)-VLOOKUP(B511,#REF!,$F$2,0),0)</f>
        <v>0</v>
      </c>
      <c r="G511" s="9">
        <f>IFERROR(VLOOKUP(B511,cubo!$A$6:$BE$37,54,0)-VLOOKUP(B511,#REF!,$G$2,0),0)</f>
        <v>0</v>
      </c>
      <c r="H511" s="10">
        <f>IFERROR(VLOOKUP(B511,cubo!$A$6:$BE$37,15,0)-VLOOKUP(B511,#REF!,$H$2,0),0)</f>
        <v>0</v>
      </c>
      <c r="I511" s="9">
        <f>IFERROR(VLOOKUP(B511,cubo!$A$6:$BE$37,18,0)-VLOOKUP(B511,#REF!,$I$2,0),0)</f>
        <v>0</v>
      </c>
      <c r="J511" s="9">
        <f>IFERROR(VLOOKUP(B511,cubo!$A$6:$BE$37,24,0)-VLOOKUP(B511,#REF!,$J$2,0),0)</f>
        <v>0</v>
      </c>
      <c r="K511" s="9">
        <f>IFERROR(VLOOKUP(B511,cubo!$A$6:$BE$37,34,0)-VLOOKUP(B511,#REF!,$K$2,0),0)</f>
        <v>0</v>
      </c>
      <c r="L511" s="8">
        <f>IFERROR(VLOOKUP(B511,cubo!$A$6:$BE$37,38,0)-VLOOKUP(B511,#REF!,$L$2,0),0)</f>
        <v>0</v>
      </c>
      <c r="M511" s="15">
        <f>IFERROR(VLOOKUP(B511,cubo!$A$6:$BE$37,57,0)-VLOOKUP(B511,#REF!,$M$2,0),0)</f>
        <v>0</v>
      </c>
      <c r="N511" s="9">
        <f>IFERROR(VLOOKUP(B511,cubo!$A$6:$BK$37,41,0)-VLOOKUP(conciliacao_custos!B511,#REF!,18,0),0)</f>
        <v>0</v>
      </c>
      <c r="O511" s="9">
        <f>IFERROR(VLOOKUP(B511,cubo!$A$6:$BK$37,44,0)-VLOOKUP(conciliacao_custos!B511,#REF!,13,0),0)</f>
        <v>0</v>
      </c>
      <c r="P511" s="9">
        <f>IFERROR(VLOOKUP(B511,cubo!$A$6:$BK$37,47,0)-VLOOKUP(conciliacao_custos!B511,#REF!,14,0),0)</f>
        <v>0</v>
      </c>
      <c r="Q511" s="9">
        <f>IFERROR(VLOOKUP(B511,cubo!$A$6:$BK$37,58,0)-VLOOKUP(conciliacao_custos!B511,#REF!,16,0),0)</f>
        <v>0</v>
      </c>
      <c r="R511" s="9">
        <f>IFERROR(VLOOKUP(B511,cubo!$A$6:$BK$37,64,0)-VLOOKUP(conciliacao_custos!B511,#REF!,17,0),0)</f>
        <v>0</v>
      </c>
      <c r="S511" s="9">
        <f>IFERROR(VLOOKUP(B511,cubo!$A$6:$BK$37,61,0)-VLOOKUP(conciliacao_custos!B511,#REF!,15,0),0)</f>
        <v>0</v>
      </c>
    </row>
    <row r="512" spans="2:19" x14ac:dyDescent="0.25">
      <c r="B512" s="7">
        <f>[1]salario!A511</f>
        <v>0</v>
      </c>
      <c r="C512" s="8">
        <f>[1]salario!C511</f>
        <v>0</v>
      </c>
      <c r="D512" s="10">
        <f>IFERROR(VLOOKUP(B512,cubo!$A$6:$BE$37,6,0)-VLOOKUP(B512,#REF!,$D$2,0),0)</f>
        <v>0</v>
      </c>
      <c r="E512" s="10">
        <f>IFERROR(VLOOKUP(B512,cubo!$A$6:$BE$37,9,0)-VLOOKUP(B512,#REF!,$E$2,0),0)</f>
        <v>0</v>
      </c>
      <c r="F512" s="9">
        <f>IFERROR(VLOOKUP(B512,cubo!$A$6:$BE$37,12,0)-VLOOKUP(B512,#REF!,$F$2,0),0)</f>
        <v>0</v>
      </c>
      <c r="G512" s="9">
        <f>IFERROR(VLOOKUP(B512,cubo!$A$6:$BE$37,54,0)-VLOOKUP(B512,#REF!,$G$2,0),0)</f>
        <v>0</v>
      </c>
      <c r="H512" s="10">
        <f>IFERROR(VLOOKUP(B512,cubo!$A$6:$BE$37,15,0)-VLOOKUP(B512,#REF!,$H$2,0),0)</f>
        <v>0</v>
      </c>
      <c r="I512" s="9">
        <f>IFERROR(VLOOKUP(B512,cubo!$A$6:$BE$37,18,0)-VLOOKUP(B512,#REF!,$I$2,0),0)</f>
        <v>0</v>
      </c>
      <c r="J512" s="9">
        <f>IFERROR(VLOOKUP(B512,cubo!$A$6:$BE$37,24,0)-VLOOKUP(B512,#REF!,$J$2,0),0)</f>
        <v>0</v>
      </c>
      <c r="K512" s="9">
        <f>IFERROR(VLOOKUP(B512,cubo!$A$6:$BE$37,34,0)-VLOOKUP(B512,#REF!,$K$2,0),0)</f>
        <v>0</v>
      </c>
      <c r="L512" s="8">
        <f>IFERROR(VLOOKUP(B512,cubo!$A$6:$BE$37,38,0)-VLOOKUP(B512,#REF!,$L$2,0),0)</f>
        <v>0</v>
      </c>
      <c r="M512" s="15">
        <f>IFERROR(VLOOKUP(B512,cubo!$A$6:$BE$37,57,0)-VLOOKUP(B512,#REF!,$M$2,0),0)</f>
        <v>0</v>
      </c>
      <c r="N512" s="9">
        <f>IFERROR(VLOOKUP(B512,cubo!$A$6:$BK$37,41,0)-VLOOKUP(conciliacao_custos!B512,#REF!,18,0),0)</f>
        <v>0</v>
      </c>
      <c r="O512" s="9">
        <f>IFERROR(VLOOKUP(B512,cubo!$A$6:$BK$37,44,0)-VLOOKUP(conciliacao_custos!B512,#REF!,13,0),0)</f>
        <v>0</v>
      </c>
      <c r="P512" s="9">
        <f>IFERROR(VLOOKUP(B512,cubo!$A$6:$BK$37,47,0)-VLOOKUP(conciliacao_custos!B512,#REF!,14,0),0)</f>
        <v>0</v>
      </c>
      <c r="Q512" s="9">
        <f>IFERROR(VLOOKUP(B512,cubo!$A$6:$BK$37,58,0)-VLOOKUP(conciliacao_custos!B512,#REF!,16,0),0)</f>
        <v>0</v>
      </c>
      <c r="R512" s="9">
        <f>IFERROR(VLOOKUP(B512,cubo!$A$6:$BK$37,64,0)-VLOOKUP(conciliacao_custos!B512,#REF!,17,0),0)</f>
        <v>0</v>
      </c>
      <c r="S512" s="9">
        <f>IFERROR(VLOOKUP(B512,cubo!$A$6:$BK$37,61,0)-VLOOKUP(conciliacao_custos!B512,#REF!,15,0),0)</f>
        <v>0</v>
      </c>
    </row>
    <row r="513" spans="2:19" x14ac:dyDescent="0.25">
      <c r="B513" s="7">
        <f>[1]salario!A512</f>
        <v>0</v>
      </c>
      <c r="C513" s="8">
        <f>[1]salario!C512</f>
        <v>0</v>
      </c>
      <c r="D513" s="10">
        <f>IFERROR(VLOOKUP(B513,cubo!$A$6:$BE$37,6,0)-VLOOKUP(B513,#REF!,$D$2,0),0)</f>
        <v>0</v>
      </c>
      <c r="E513" s="10">
        <f>IFERROR(VLOOKUP(B513,cubo!$A$6:$BE$37,9,0)-VLOOKUP(B513,#REF!,$E$2,0),0)</f>
        <v>0</v>
      </c>
      <c r="F513" s="9">
        <f>IFERROR(VLOOKUP(B513,cubo!$A$6:$BE$37,12,0)-VLOOKUP(B513,#REF!,$F$2,0),0)</f>
        <v>0</v>
      </c>
      <c r="G513" s="9">
        <f>IFERROR(VLOOKUP(B513,cubo!$A$6:$BE$37,54,0)-VLOOKUP(B513,#REF!,$G$2,0),0)</f>
        <v>0</v>
      </c>
      <c r="H513" s="10">
        <f>IFERROR(VLOOKUP(B513,cubo!$A$6:$BE$37,15,0)-VLOOKUP(B513,#REF!,$H$2,0),0)</f>
        <v>0</v>
      </c>
      <c r="I513" s="9">
        <f>IFERROR(VLOOKUP(B513,cubo!$A$6:$BE$37,18,0)-VLOOKUP(B513,#REF!,$I$2,0),0)</f>
        <v>0</v>
      </c>
      <c r="J513" s="9">
        <f>IFERROR(VLOOKUP(B513,cubo!$A$6:$BE$37,24,0)-VLOOKUP(B513,#REF!,$J$2,0),0)</f>
        <v>0</v>
      </c>
      <c r="K513" s="9">
        <f>IFERROR(VLOOKUP(B513,cubo!$A$6:$BE$37,34,0)-VLOOKUP(B513,#REF!,$K$2,0),0)</f>
        <v>0</v>
      </c>
      <c r="L513" s="8">
        <f>IFERROR(VLOOKUP(B513,cubo!$A$6:$BE$37,38,0)-VLOOKUP(B513,#REF!,$L$2,0),0)</f>
        <v>0</v>
      </c>
      <c r="M513" s="15">
        <f>IFERROR(VLOOKUP(B513,cubo!$A$6:$BE$37,57,0)-VLOOKUP(B513,#REF!,$M$2,0),0)</f>
        <v>0</v>
      </c>
      <c r="N513" s="9">
        <f>IFERROR(VLOOKUP(B513,cubo!$A$6:$BK$37,41,0)-VLOOKUP(conciliacao_custos!B513,#REF!,18,0),0)</f>
        <v>0</v>
      </c>
      <c r="O513" s="9">
        <f>IFERROR(VLOOKUP(B513,cubo!$A$6:$BK$37,44,0)-VLOOKUP(conciliacao_custos!B513,#REF!,13,0),0)</f>
        <v>0</v>
      </c>
      <c r="P513" s="9">
        <f>IFERROR(VLOOKUP(B513,cubo!$A$6:$BK$37,47,0)-VLOOKUP(conciliacao_custos!B513,#REF!,14,0),0)</f>
        <v>0</v>
      </c>
      <c r="Q513" s="9">
        <f>IFERROR(VLOOKUP(B513,cubo!$A$6:$BK$37,58,0)-VLOOKUP(conciliacao_custos!B513,#REF!,16,0),0)</f>
        <v>0</v>
      </c>
      <c r="R513" s="9">
        <f>IFERROR(VLOOKUP(B513,cubo!$A$6:$BK$37,64,0)-VLOOKUP(conciliacao_custos!B513,#REF!,17,0),0)</f>
        <v>0</v>
      </c>
      <c r="S513" s="9">
        <f>IFERROR(VLOOKUP(B513,cubo!$A$6:$BK$37,61,0)-VLOOKUP(conciliacao_custos!B513,#REF!,15,0),0)</f>
        <v>0</v>
      </c>
    </row>
    <row r="514" spans="2:19" x14ac:dyDescent="0.25">
      <c r="B514" s="7">
        <f>[1]salario!A513</f>
        <v>0</v>
      </c>
      <c r="C514" s="8">
        <f>[1]salario!C513</f>
        <v>0</v>
      </c>
      <c r="D514" s="10">
        <f>IFERROR(VLOOKUP(B514,cubo!$A$6:$BE$37,6,0)-VLOOKUP(B514,#REF!,$D$2,0),0)</f>
        <v>0</v>
      </c>
      <c r="E514" s="10">
        <f>IFERROR(VLOOKUP(B514,cubo!$A$6:$BE$37,9,0)-VLOOKUP(B514,#REF!,$E$2,0),0)</f>
        <v>0</v>
      </c>
      <c r="F514" s="9">
        <f>IFERROR(VLOOKUP(B514,cubo!$A$6:$BE$37,12,0)-VLOOKUP(B514,#REF!,$F$2,0),0)</f>
        <v>0</v>
      </c>
      <c r="G514" s="9">
        <f>IFERROR(VLOOKUP(B514,cubo!$A$6:$BE$37,54,0)-VLOOKUP(B514,#REF!,$G$2,0),0)</f>
        <v>0</v>
      </c>
      <c r="H514" s="10">
        <f>IFERROR(VLOOKUP(B514,cubo!$A$6:$BE$37,15,0)-VLOOKUP(B514,#REF!,$H$2,0),0)</f>
        <v>0</v>
      </c>
      <c r="I514" s="9">
        <f>IFERROR(VLOOKUP(B514,cubo!$A$6:$BE$37,18,0)-VLOOKUP(B514,#REF!,$I$2,0),0)</f>
        <v>0</v>
      </c>
      <c r="J514" s="9">
        <f>IFERROR(VLOOKUP(B514,cubo!$A$6:$BE$37,24,0)-VLOOKUP(B514,#REF!,$J$2,0),0)</f>
        <v>0</v>
      </c>
      <c r="K514" s="9">
        <f>IFERROR(VLOOKUP(B514,cubo!$A$6:$BE$37,34,0)-VLOOKUP(B514,#REF!,$K$2,0),0)</f>
        <v>0</v>
      </c>
      <c r="L514" s="8">
        <f>IFERROR(VLOOKUP(B514,cubo!$A$6:$BE$37,38,0)-VLOOKUP(B514,#REF!,$L$2,0),0)</f>
        <v>0</v>
      </c>
      <c r="M514" s="15">
        <f>IFERROR(VLOOKUP(B514,cubo!$A$6:$BE$37,57,0)-VLOOKUP(B514,#REF!,$M$2,0),0)</f>
        <v>0</v>
      </c>
      <c r="N514" s="9">
        <f>IFERROR(VLOOKUP(B514,cubo!$A$6:$BK$37,41,0)-VLOOKUP(conciliacao_custos!B514,#REF!,18,0),0)</f>
        <v>0</v>
      </c>
      <c r="O514" s="9">
        <f>IFERROR(VLOOKUP(B514,cubo!$A$6:$BK$37,44,0)-VLOOKUP(conciliacao_custos!B514,#REF!,13,0),0)</f>
        <v>0</v>
      </c>
      <c r="P514" s="9">
        <f>IFERROR(VLOOKUP(B514,cubo!$A$6:$BK$37,47,0)-VLOOKUP(conciliacao_custos!B514,#REF!,14,0),0)</f>
        <v>0</v>
      </c>
      <c r="Q514" s="9">
        <f>IFERROR(VLOOKUP(B514,cubo!$A$6:$BK$37,58,0)-VLOOKUP(conciliacao_custos!B514,#REF!,16,0),0)</f>
        <v>0</v>
      </c>
      <c r="R514" s="9">
        <f>IFERROR(VLOOKUP(B514,cubo!$A$6:$BK$37,64,0)-VLOOKUP(conciliacao_custos!B514,#REF!,17,0),0)</f>
        <v>0</v>
      </c>
      <c r="S514" s="9">
        <f>IFERROR(VLOOKUP(B514,cubo!$A$6:$BK$37,61,0)-VLOOKUP(conciliacao_custos!B514,#REF!,15,0),0)</f>
        <v>0</v>
      </c>
    </row>
    <row r="515" spans="2:19" x14ac:dyDescent="0.25">
      <c r="B515" s="7">
        <f>[1]salario!A514</f>
        <v>0</v>
      </c>
      <c r="C515" s="8">
        <f>[1]salario!C514</f>
        <v>0</v>
      </c>
      <c r="D515" s="10">
        <f>IFERROR(VLOOKUP(B515,cubo!$A$6:$BE$37,6,0)-VLOOKUP(B515,#REF!,$D$2,0),0)</f>
        <v>0</v>
      </c>
      <c r="E515" s="10">
        <f>IFERROR(VLOOKUP(B515,cubo!$A$6:$BE$37,9,0)-VLOOKUP(B515,#REF!,$E$2,0),0)</f>
        <v>0</v>
      </c>
      <c r="F515" s="9">
        <f>IFERROR(VLOOKUP(B515,cubo!$A$6:$BE$37,12,0)-VLOOKUP(B515,#REF!,$F$2,0),0)</f>
        <v>0</v>
      </c>
      <c r="G515" s="9">
        <f>IFERROR(VLOOKUP(B515,cubo!$A$6:$BE$37,54,0)-VLOOKUP(B515,#REF!,$G$2,0),0)</f>
        <v>0</v>
      </c>
      <c r="H515" s="10">
        <f>IFERROR(VLOOKUP(B515,cubo!$A$6:$BE$37,15,0)-VLOOKUP(B515,#REF!,$H$2,0),0)</f>
        <v>0</v>
      </c>
      <c r="I515" s="9">
        <f>IFERROR(VLOOKUP(B515,cubo!$A$6:$BE$37,18,0)-VLOOKUP(B515,#REF!,$I$2,0),0)</f>
        <v>0</v>
      </c>
      <c r="J515" s="9">
        <f>IFERROR(VLOOKUP(B515,cubo!$A$6:$BE$37,24,0)-VLOOKUP(B515,#REF!,$J$2,0),0)</f>
        <v>0</v>
      </c>
      <c r="K515" s="9">
        <f>IFERROR(VLOOKUP(B515,cubo!$A$6:$BE$37,34,0)-VLOOKUP(B515,#REF!,$K$2,0),0)</f>
        <v>0</v>
      </c>
      <c r="L515" s="8">
        <f>IFERROR(VLOOKUP(B515,cubo!$A$6:$BE$37,38,0)-VLOOKUP(B515,#REF!,$L$2,0),0)</f>
        <v>0</v>
      </c>
      <c r="M515" s="15">
        <f>IFERROR(VLOOKUP(B515,cubo!$A$6:$BE$37,57,0)-VLOOKUP(B515,#REF!,$M$2,0),0)</f>
        <v>0</v>
      </c>
      <c r="N515" s="9">
        <f>IFERROR(VLOOKUP(B515,cubo!$A$6:$BK$37,41,0)-VLOOKUP(conciliacao_custos!B515,#REF!,18,0),0)</f>
        <v>0</v>
      </c>
      <c r="O515" s="9">
        <f>IFERROR(VLOOKUP(B515,cubo!$A$6:$BK$37,44,0)-VLOOKUP(conciliacao_custos!B515,#REF!,13,0),0)</f>
        <v>0</v>
      </c>
      <c r="P515" s="9">
        <f>IFERROR(VLOOKUP(B515,cubo!$A$6:$BK$37,47,0)-VLOOKUP(conciliacao_custos!B515,#REF!,14,0),0)</f>
        <v>0</v>
      </c>
      <c r="Q515" s="9">
        <f>IFERROR(VLOOKUP(B515,cubo!$A$6:$BK$37,58,0)-VLOOKUP(conciliacao_custos!B515,#REF!,16,0),0)</f>
        <v>0</v>
      </c>
      <c r="R515" s="9">
        <f>IFERROR(VLOOKUP(B515,cubo!$A$6:$BK$37,64,0)-VLOOKUP(conciliacao_custos!B515,#REF!,17,0),0)</f>
        <v>0</v>
      </c>
      <c r="S515" s="9">
        <f>IFERROR(VLOOKUP(B515,cubo!$A$6:$BK$37,61,0)-VLOOKUP(conciliacao_custos!B515,#REF!,15,0),0)</f>
        <v>0</v>
      </c>
    </row>
    <row r="516" spans="2:19" x14ac:dyDescent="0.25">
      <c r="B516" s="7">
        <f>[1]salario!A515</f>
        <v>0</v>
      </c>
      <c r="C516" s="8">
        <f>[1]salario!C515</f>
        <v>0</v>
      </c>
      <c r="D516" s="10">
        <f>IFERROR(VLOOKUP(B516,cubo!$A$6:$BE$37,6,0)-VLOOKUP(B516,#REF!,$D$2,0),0)</f>
        <v>0</v>
      </c>
      <c r="E516" s="10">
        <f>IFERROR(VLOOKUP(B516,cubo!$A$6:$BE$37,9,0)-VLOOKUP(B516,#REF!,$E$2,0),0)</f>
        <v>0</v>
      </c>
      <c r="F516" s="9">
        <f>IFERROR(VLOOKUP(B516,cubo!$A$6:$BE$37,12,0)-VLOOKUP(B516,#REF!,$F$2,0),0)</f>
        <v>0</v>
      </c>
      <c r="G516" s="9">
        <f>IFERROR(VLOOKUP(B516,cubo!$A$6:$BE$37,54,0)-VLOOKUP(B516,#REF!,$G$2,0),0)</f>
        <v>0</v>
      </c>
      <c r="H516" s="10">
        <f>IFERROR(VLOOKUP(B516,cubo!$A$6:$BE$37,15,0)-VLOOKUP(B516,#REF!,$H$2,0),0)</f>
        <v>0</v>
      </c>
      <c r="I516" s="9">
        <f>IFERROR(VLOOKUP(B516,cubo!$A$6:$BE$37,18,0)-VLOOKUP(B516,#REF!,$I$2,0),0)</f>
        <v>0</v>
      </c>
      <c r="J516" s="9">
        <f>IFERROR(VLOOKUP(B516,cubo!$A$6:$BE$37,24,0)-VLOOKUP(B516,#REF!,$J$2,0),0)</f>
        <v>0</v>
      </c>
      <c r="K516" s="9">
        <f>IFERROR(VLOOKUP(B516,cubo!$A$6:$BE$37,34,0)-VLOOKUP(B516,#REF!,$K$2,0),0)</f>
        <v>0</v>
      </c>
      <c r="L516" s="8">
        <f>IFERROR(VLOOKUP(B516,cubo!$A$6:$BE$37,38,0)-VLOOKUP(B516,#REF!,$L$2,0),0)</f>
        <v>0</v>
      </c>
      <c r="M516" s="15">
        <f>IFERROR(VLOOKUP(B516,cubo!$A$6:$BE$37,57,0)-VLOOKUP(B516,#REF!,$M$2,0),0)</f>
        <v>0</v>
      </c>
      <c r="N516" s="9">
        <f>IFERROR(VLOOKUP(B516,cubo!$A$6:$BK$37,41,0)-VLOOKUP(conciliacao_custos!B516,#REF!,18,0),0)</f>
        <v>0</v>
      </c>
      <c r="O516" s="9">
        <f>IFERROR(VLOOKUP(B516,cubo!$A$6:$BK$37,44,0)-VLOOKUP(conciliacao_custos!B516,#REF!,13,0),0)</f>
        <v>0</v>
      </c>
      <c r="P516" s="9">
        <f>IFERROR(VLOOKUP(B516,cubo!$A$6:$BK$37,47,0)-VLOOKUP(conciliacao_custos!B516,#REF!,14,0),0)</f>
        <v>0</v>
      </c>
      <c r="Q516" s="9">
        <f>IFERROR(VLOOKUP(B516,cubo!$A$6:$BK$37,58,0)-VLOOKUP(conciliacao_custos!B516,#REF!,16,0),0)</f>
        <v>0</v>
      </c>
      <c r="R516" s="9">
        <f>IFERROR(VLOOKUP(B516,cubo!$A$6:$BK$37,64,0)-VLOOKUP(conciliacao_custos!B516,#REF!,17,0),0)</f>
        <v>0</v>
      </c>
      <c r="S516" s="9">
        <f>IFERROR(VLOOKUP(B516,cubo!$A$6:$BK$37,61,0)-VLOOKUP(conciliacao_custos!B516,#REF!,15,0),0)</f>
        <v>0</v>
      </c>
    </row>
    <row r="517" spans="2:19" x14ac:dyDescent="0.25">
      <c r="B517" s="7">
        <f>[1]salario!A516</f>
        <v>0</v>
      </c>
      <c r="C517" s="8">
        <f>[1]salario!C516</f>
        <v>0</v>
      </c>
      <c r="D517" s="10">
        <f>IFERROR(VLOOKUP(B517,cubo!$A$6:$BE$37,6,0)-VLOOKUP(B517,#REF!,$D$2,0),0)</f>
        <v>0</v>
      </c>
      <c r="E517" s="10">
        <f>IFERROR(VLOOKUP(B517,cubo!$A$6:$BE$37,9,0)-VLOOKUP(B517,#REF!,$E$2,0),0)</f>
        <v>0</v>
      </c>
      <c r="F517" s="9">
        <f>IFERROR(VLOOKUP(B517,cubo!$A$6:$BE$37,12,0)-VLOOKUP(B517,#REF!,$F$2,0),0)</f>
        <v>0</v>
      </c>
      <c r="G517" s="9">
        <f>IFERROR(VLOOKUP(B517,cubo!$A$6:$BE$37,54,0)-VLOOKUP(B517,#REF!,$G$2,0),0)</f>
        <v>0</v>
      </c>
      <c r="H517" s="10">
        <f>IFERROR(VLOOKUP(B517,cubo!$A$6:$BE$37,15,0)-VLOOKUP(B517,#REF!,$H$2,0),0)</f>
        <v>0</v>
      </c>
      <c r="I517" s="9">
        <f>IFERROR(VLOOKUP(B517,cubo!$A$6:$BE$37,18,0)-VLOOKUP(B517,#REF!,$I$2,0),0)</f>
        <v>0</v>
      </c>
      <c r="J517" s="9">
        <f>IFERROR(VLOOKUP(B517,cubo!$A$6:$BE$37,24,0)-VLOOKUP(B517,#REF!,$J$2,0),0)</f>
        <v>0</v>
      </c>
      <c r="K517" s="9">
        <f>IFERROR(VLOOKUP(B517,cubo!$A$6:$BE$37,34,0)-VLOOKUP(B517,#REF!,$K$2,0),0)</f>
        <v>0</v>
      </c>
      <c r="L517" s="8">
        <f>IFERROR(VLOOKUP(B517,cubo!$A$6:$BE$37,38,0)-VLOOKUP(B517,#REF!,$L$2,0),0)</f>
        <v>0</v>
      </c>
      <c r="M517" s="15">
        <f>IFERROR(VLOOKUP(B517,cubo!$A$6:$BE$37,57,0)-VLOOKUP(B517,#REF!,$M$2,0),0)</f>
        <v>0</v>
      </c>
      <c r="N517" s="9">
        <f>IFERROR(VLOOKUP(B517,cubo!$A$6:$BK$37,41,0)-VLOOKUP(conciliacao_custos!B517,#REF!,18,0),0)</f>
        <v>0</v>
      </c>
      <c r="O517" s="9">
        <f>IFERROR(VLOOKUP(B517,cubo!$A$6:$BK$37,44,0)-VLOOKUP(conciliacao_custos!B517,#REF!,13,0),0)</f>
        <v>0</v>
      </c>
      <c r="P517" s="9">
        <f>IFERROR(VLOOKUP(B517,cubo!$A$6:$BK$37,47,0)-VLOOKUP(conciliacao_custos!B517,#REF!,14,0),0)</f>
        <v>0</v>
      </c>
      <c r="Q517" s="9">
        <f>IFERROR(VLOOKUP(B517,cubo!$A$6:$BK$37,58,0)-VLOOKUP(conciliacao_custos!B517,#REF!,16,0),0)</f>
        <v>0</v>
      </c>
      <c r="R517" s="9">
        <f>IFERROR(VLOOKUP(B517,cubo!$A$6:$BK$37,64,0)-VLOOKUP(conciliacao_custos!B517,#REF!,17,0),0)</f>
        <v>0</v>
      </c>
      <c r="S517" s="9">
        <f>IFERROR(VLOOKUP(B517,cubo!$A$6:$BK$37,61,0)-VLOOKUP(conciliacao_custos!B517,#REF!,15,0),0)</f>
        <v>0</v>
      </c>
    </row>
    <row r="518" spans="2:19" x14ac:dyDescent="0.25">
      <c r="B518" s="7">
        <f>[1]salario!A517</f>
        <v>0</v>
      </c>
      <c r="C518" s="8">
        <f>[1]salario!C517</f>
        <v>0</v>
      </c>
      <c r="D518" s="10">
        <f>IFERROR(VLOOKUP(B518,cubo!$A$6:$BE$37,6,0)-VLOOKUP(B518,#REF!,$D$2,0),0)</f>
        <v>0</v>
      </c>
      <c r="E518" s="10">
        <f>IFERROR(VLOOKUP(B518,cubo!$A$6:$BE$37,9,0)-VLOOKUP(B518,#REF!,$E$2,0),0)</f>
        <v>0</v>
      </c>
      <c r="F518" s="9">
        <f>IFERROR(VLOOKUP(B518,cubo!$A$6:$BE$37,12,0)-VLOOKUP(B518,#REF!,$F$2,0),0)</f>
        <v>0</v>
      </c>
      <c r="G518" s="9">
        <f>IFERROR(VLOOKUP(B518,cubo!$A$6:$BE$37,54,0)-VLOOKUP(B518,#REF!,$G$2,0),0)</f>
        <v>0</v>
      </c>
      <c r="H518" s="10">
        <f>IFERROR(VLOOKUP(B518,cubo!$A$6:$BE$37,15,0)-VLOOKUP(B518,#REF!,$H$2,0),0)</f>
        <v>0</v>
      </c>
      <c r="I518" s="9">
        <f>IFERROR(VLOOKUP(B518,cubo!$A$6:$BE$37,18,0)-VLOOKUP(B518,#REF!,$I$2,0),0)</f>
        <v>0</v>
      </c>
      <c r="J518" s="9">
        <f>IFERROR(VLOOKUP(B518,cubo!$A$6:$BE$37,24,0)-VLOOKUP(B518,#REF!,$J$2,0),0)</f>
        <v>0</v>
      </c>
      <c r="K518" s="9">
        <f>IFERROR(VLOOKUP(B518,cubo!$A$6:$BE$37,34,0)-VLOOKUP(B518,#REF!,$K$2,0),0)</f>
        <v>0</v>
      </c>
      <c r="L518" s="8">
        <f>IFERROR(VLOOKUP(B518,cubo!$A$6:$BE$37,38,0)-VLOOKUP(B518,#REF!,$L$2,0),0)</f>
        <v>0</v>
      </c>
      <c r="M518" s="15">
        <f>IFERROR(VLOOKUP(B518,cubo!$A$6:$BE$37,57,0)-VLOOKUP(B518,#REF!,$M$2,0),0)</f>
        <v>0</v>
      </c>
      <c r="N518" s="9">
        <f>IFERROR(VLOOKUP(B518,cubo!$A$6:$BK$37,41,0)-VLOOKUP(conciliacao_custos!B518,#REF!,18,0),0)</f>
        <v>0</v>
      </c>
      <c r="O518" s="9">
        <f>IFERROR(VLOOKUP(B518,cubo!$A$6:$BK$37,44,0)-VLOOKUP(conciliacao_custos!B518,#REF!,13,0),0)</f>
        <v>0</v>
      </c>
      <c r="P518" s="9">
        <f>IFERROR(VLOOKUP(B518,cubo!$A$6:$BK$37,47,0)-VLOOKUP(conciliacao_custos!B518,#REF!,14,0),0)</f>
        <v>0</v>
      </c>
      <c r="Q518" s="9">
        <f>IFERROR(VLOOKUP(B518,cubo!$A$6:$BK$37,58,0)-VLOOKUP(conciliacao_custos!B518,#REF!,16,0),0)</f>
        <v>0</v>
      </c>
      <c r="R518" s="9">
        <f>IFERROR(VLOOKUP(B518,cubo!$A$6:$BK$37,64,0)-VLOOKUP(conciliacao_custos!B518,#REF!,17,0),0)</f>
        <v>0</v>
      </c>
      <c r="S518" s="9">
        <f>IFERROR(VLOOKUP(B518,cubo!$A$6:$BK$37,61,0)-VLOOKUP(conciliacao_custos!B518,#REF!,15,0),0)</f>
        <v>0</v>
      </c>
    </row>
    <row r="519" spans="2:19" x14ac:dyDescent="0.25">
      <c r="B519" s="7">
        <f>[1]salario!A518</f>
        <v>0</v>
      </c>
      <c r="C519" s="8">
        <f>[1]salario!C518</f>
        <v>0</v>
      </c>
      <c r="D519" s="10">
        <f>IFERROR(VLOOKUP(B519,cubo!$A$6:$BE$37,6,0)-VLOOKUP(B519,#REF!,$D$2,0),0)</f>
        <v>0</v>
      </c>
      <c r="E519" s="10">
        <f>IFERROR(VLOOKUP(B519,cubo!$A$6:$BE$37,9,0)-VLOOKUP(B519,#REF!,$E$2,0),0)</f>
        <v>0</v>
      </c>
      <c r="F519" s="9">
        <f>IFERROR(VLOOKUP(B519,cubo!$A$6:$BE$37,12,0)-VLOOKUP(B519,#REF!,$F$2,0),0)</f>
        <v>0</v>
      </c>
      <c r="G519" s="9">
        <f>IFERROR(VLOOKUP(B519,cubo!$A$6:$BE$37,54,0)-VLOOKUP(B519,#REF!,$G$2,0),0)</f>
        <v>0</v>
      </c>
      <c r="H519" s="10">
        <f>IFERROR(VLOOKUP(B519,cubo!$A$6:$BE$37,15,0)-VLOOKUP(B519,#REF!,$H$2,0),0)</f>
        <v>0</v>
      </c>
      <c r="I519" s="9">
        <f>IFERROR(VLOOKUP(B519,cubo!$A$6:$BE$37,18,0)-VLOOKUP(B519,#REF!,$I$2,0),0)</f>
        <v>0</v>
      </c>
      <c r="J519" s="9">
        <f>IFERROR(VLOOKUP(B519,cubo!$A$6:$BE$37,24,0)-VLOOKUP(B519,#REF!,$J$2,0),0)</f>
        <v>0</v>
      </c>
      <c r="K519" s="9">
        <f>IFERROR(VLOOKUP(B519,cubo!$A$6:$BE$37,34,0)-VLOOKUP(B519,#REF!,$K$2,0),0)</f>
        <v>0</v>
      </c>
      <c r="L519" s="8">
        <f>IFERROR(VLOOKUP(B519,cubo!$A$6:$BE$37,38,0)-VLOOKUP(B519,#REF!,$L$2,0),0)</f>
        <v>0</v>
      </c>
      <c r="M519" s="15">
        <f>IFERROR(VLOOKUP(B519,cubo!$A$6:$BE$37,57,0)-VLOOKUP(B519,#REF!,$M$2,0),0)</f>
        <v>0</v>
      </c>
      <c r="N519" s="9">
        <f>IFERROR(VLOOKUP(B519,cubo!$A$6:$BK$37,41,0)-VLOOKUP(conciliacao_custos!B519,#REF!,18,0),0)</f>
        <v>0</v>
      </c>
      <c r="O519" s="9">
        <f>IFERROR(VLOOKUP(B519,cubo!$A$6:$BK$37,44,0)-VLOOKUP(conciliacao_custos!B519,#REF!,13,0),0)</f>
        <v>0</v>
      </c>
      <c r="P519" s="9">
        <f>IFERROR(VLOOKUP(B519,cubo!$A$6:$BK$37,47,0)-VLOOKUP(conciliacao_custos!B519,#REF!,14,0),0)</f>
        <v>0</v>
      </c>
      <c r="Q519" s="9">
        <f>IFERROR(VLOOKUP(B519,cubo!$A$6:$BK$37,58,0)-VLOOKUP(conciliacao_custos!B519,#REF!,16,0),0)</f>
        <v>0</v>
      </c>
      <c r="R519" s="9">
        <f>IFERROR(VLOOKUP(B519,cubo!$A$6:$BK$37,64,0)-VLOOKUP(conciliacao_custos!B519,#REF!,17,0),0)</f>
        <v>0</v>
      </c>
      <c r="S519" s="9">
        <f>IFERROR(VLOOKUP(B519,cubo!$A$6:$BK$37,61,0)-VLOOKUP(conciliacao_custos!B519,#REF!,15,0),0)</f>
        <v>0</v>
      </c>
    </row>
    <row r="520" spans="2:19" x14ac:dyDescent="0.25">
      <c r="B520" s="7">
        <f>[1]salario!A519</f>
        <v>0</v>
      </c>
      <c r="C520" s="8">
        <f>[1]salario!C519</f>
        <v>0</v>
      </c>
      <c r="D520" s="10">
        <f>IFERROR(VLOOKUP(B520,cubo!$A$6:$BE$37,6,0)-VLOOKUP(B520,#REF!,$D$2,0),0)</f>
        <v>0</v>
      </c>
      <c r="E520" s="10">
        <f>IFERROR(VLOOKUP(B520,cubo!$A$6:$BE$37,9,0)-VLOOKUP(B520,#REF!,$E$2,0),0)</f>
        <v>0</v>
      </c>
      <c r="F520" s="9">
        <f>IFERROR(VLOOKUP(B520,cubo!$A$6:$BE$37,12,0)-VLOOKUP(B520,#REF!,$F$2,0),0)</f>
        <v>0</v>
      </c>
      <c r="G520" s="9">
        <f>IFERROR(VLOOKUP(B520,cubo!$A$6:$BE$37,54,0)-VLOOKUP(B520,#REF!,$G$2,0),0)</f>
        <v>0</v>
      </c>
      <c r="H520" s="10">
        <f>IFERROR(VLOOKUP(B520,cubo!$A$6:$BE$37,15,0)-VLOOKUP(B520,#REF!,$H$2,0),0)</f>
        <v>0</v>
      </c>
      <c r="I520" s="9">
        <f>IFERROR(VLOOKUP(B520,cubo!$A$6:$BE$37,18,0)-VLOOKUP(B520,#REF!,$I$2,0),0)</f>
        <v>0</v>
      </c>
      <c r="J520" s="9">
        <f>IFERROR(VLOOKUP(B520,cubo!$A$6:$BE$37,24,0)-VLOOKUP(B520,#REF!,$J$2,0),0)</f>
        <v>0</v>
      </c>
      <c r="K520" s="9">
        <f>IFERROR(VLOOKUP(B520,cubo!$A$6:$BE$37,34,0)-VLOOKUP(B520,#REF!,$K$2,0),0)</f>
        <v>0</v>
      </c>
      <c r="L520" s="8">
        <f>IFERROR(VLOOKUP(B520,cubo!$A$6:$BE$37,38,0)-VLOOKUP(B520,#REF!,$L$2,0),0)</f>
        <v>0</v>
      </c>
      <c r="M520" s="15">
        <f>IFERROR(VLOOKUP(B520,cubo!$A$6:$BE$37,57,0)-VLOOKUP(B520,#REF!,$M$2,0),0)</f>
        <v>0</v>
      </c>
      <c r="N520" s="9">
        <f>IFERROR(VLOOKUP(B520,cubo!$A$6:$BK$37,41,0)-VLOOKUP(conciliacao_custos!B520,#REF!,18,0),0)</f>
        <v>0</v>
      </c>
      <c r="O520" s="9">
        <f>IFERROR(VLOOKUP(B520,cubo!$A$6:$BK$37,44,0)-VLOOKUP(conciliacao_custos!B520,#REF!,13,0),0)</f>
        <v>0</v>
      </c>
      <c r="P520" s="9">
        <f>IFERROR(VLOOKUP(B520,cubo!$A$6:$BK$37,47,0)-VLOOKUP(conciliacao_custos!B520,#REF!,14,0),0)</f>
        <v>0</v>
      </c>
      <c r="Q520" s="9">
        <f>IFERROR(VLOOKUP(B520,cubo!$A$6:$BK$37,58,0)-VLOOKUP(conciliacao_custos!B520,#REF!,16,0),0)</f>
        <v>0</v>
      </c>
      <c r="R520" s="9">
        <f>IFERROR(VLOOKUP(B520,cubo!$A$6:$BK$37,64,0)-VLOOKUP(conciliacao_custos!B520,#REF!,17,0),0)</f>
        <v>0</v>
      </c>
      <c r="S520" s="9">
        <f>IFERROR(VLOOKUP(B520,cubo!$A$6:$BK$37,61,0)-VLOOKUP(conciliacao_custos!B520,#REF!,15,0),0)</f>
        <v>0</v>
      </c>
    </row>
    <row r="521" spans="2:19" x14ac:dyDescent="0.25">
      <c r="B521" s="7">
        <f>[1]salario!A520</f>
        <v>0</v>
      </c>
      <c r="C521" s="8">
        <f>[1]salario!C520</f>
        <v>0</v>
      </c>
      <c r="D521" s="10">
        <f>IFERROR(VLOOKUP(B521,cubo!$A$6:$BE$37,6,0)-VLOOKUP(B521,#REF!,$D$2,0),0)</f>
        <v>0</v>
      </c>
      <c r="E521" s="10">
        <f>IFERROR(VLOOKUP(B521,cubo!$A$6:$BE$37,9,0)-VLOOKUP(B521,#REF!,$E$2,0),0)</f>
        <v>0</v>
      </c>
      <c r="F521" s="9">
        <f>IFERROR(VLOOKUP(B521,cubo!$A$6:$BE$37,12,0)-VLOOKUP(B521,#REF!,$F$2,0),0)</f>
        <v>0</v>
      </c>
      <c r="G521" s="9">
        <f>IFERROR(VLOOKUP(B521,cubo!$A$6:$BE$37,54,0)-VLOOKUP(B521,#REF!,$G$2,0),0)</f>
        <v>0</v>
      </c>
      <c r="H521" s="10">
        <f>IFERROR(VLOOKUP(B521,cubo!$A$6:$BE$37,15,0)-VLOOKUP(B521,#REF!,$H$2,0),0)</f>
        <v>0</v>
      </c>
      <c r="I521" s="9">
        <f>IFERROR(VLOOKUP(B521,cubo!$A$6:$BE$37,18,0)-VLOOKUP(B521,#REF!,$I$2,0),0)</f>
        <v>0</v>
      </c>
      <c r="J521" s="9">
        <f>IFERROR(VLOOKUP(B521,cubo!$A$6:$BE$37,24,0)-VLOOKUP(B521,#REF!,$J$2,0),0)</f>
        <v>0</v>
      </c>
      <c r="K521" s="9">
        <f>IFERROR(VLOOKUP(B521,cubo!$A$6:$BE$37,34,0)-VLOOKUP(B521,#REF!,$K$2,0),0)</f>
        <v>0</v>
      </c>
      <c r="L521" s="8">
        <f>IFERROR(VLOOKUP(B521,cubo!$A$6:$BE$37,38,0)-VLOOKUP(B521,#REF!,$L$2,0),0)</f>
        <v>0</v>
      </c>
      <c r="M521" s="15">
        <f>IFERROR(VLOOKUP(B521,cubo!$A$6:$BE$37,57,0)-VLOOKUP(B521,#REF!,$M$2,0),0)</f>
        <v>0</v>
      </c>
      <c r="N521" s="9">
        <f>IFERROR(VLOOKUP(B521,cubo!$A$6:$BK$37,41,0)-VLOOKUP(conciliacao_custos!B521,#REF!,18,0),0)</f>
        <v>0</v>
      </c>
      <c r="O521" s="9">
        <f>IFERROR(VLOOKUP(B521,cubo!$A$6:$BK$37,44,0)-VLOOKUP(conciliacao_custos!B521,#REF!,13,0),0)</f>
        <v>0</v>
      </c>
      <c r="P521" s="9">
        <f>IFERROR(VLOOKUP(B521,cubo!$A$6:$BK$37,47,0)-VLOOKUP(conciliacao_custos!B521,#REF!,14,0),0)</f>
        <v>0</v>
      </c>
      <c r="Q521" s="9">
        <f>IFERROR(VLOOKUP(B521,cubo!$A$6:$BK$37,58,0)-VLOOKUP(conciliacao_custos!B521,#REF!,16,0),0)</f>
        <v>0</v>
      </c>
      <c r="R521" s="9">
        <f>IFERROR(VLOOKUP(B521,cubo!$A$6:$BK$37,64,0)-VLOOKUP(conciliacao_custos!B521,#REF!,17,0),0)</f>
        <v>0</v>
      </c>
      <c r="S521" s="9">
        <f>IFERROR(VLOOKUP(B521,cubo!$A$6:$BK$37,61,0)-VLOOKUP(conciliacao_custos!B521,#REF!,15,0),0)</f>
        <v>0</v>
      </c>
    </row>
    <row r="522" spans="2:19" x14ac:dyDescent="0.25">
      <c r="B522" s="7">
        <f>[1]salario!A521</f>
        <v>0</v>
      </c>
      <c r="C522" s="8">
        <f>[1]salario!C521</f>
        <v>0</v>
      </c>
      <c r="D522" s="10">
        <f>IFERROR(VLOOKUP(B522,cubo!$A$6:$BE$37,6,0)-VLOOKUP(B522,#REF!,$D$2,0),0)</f>
        <v>0</v>
      </c>
      <c r="E522" s="10">
        <f>IFERROR(VLOOKUP(B522,cubo!$A$6:$BE$37,9,0)-VLOOKUP(B522,#REF!,$E$2,0),0)</f>
        <v>0</v>
      </c>
      <c r="F522" s="9">
        <f>IFERROR(VLOOKUP(B522,cubo!$A$6:$BE$37,12,0)-VLOOKUP(B522,#REF!,$F$2,0),0)</f>
        <v>0</v>
      </c>
      <c r="G522" s="9">
        <f>IFERROR(VLOOKUP(B522,cubo!$A$6:$BE$37,54,0)-VLOOKUP(B522,#REF!,$G$2,0),0)</f>
        <v>0</v>
      </c>
      <c r="H522" s="10">
        <f>IFERROR(VLOOKUP(B522,cubo!$A$6:$BE$37,15,0)-VLOOKUP(B522,#REF!,$H$2,0),0)</f>
        <v>0</v>
      </c>
      <c r="I522" s="9">
        <f>IFERROR(VLOOKUP(B522,cubo!$A$6:$BE$37,18,0)-VLOOKUP(B522,#REF!,$I$2,0),0)</f>
        <v>0</v>
      </c>
      <c r="J522" s="9">
        <f>IFERROR(VLOOKUP(B522,cubo!$A$6:$BE$37,24,0)-VLOOKUP(B522,#REF!,$J$2,0),0)</f>
        <v>0</v>
      </c>
      <c r="K522" s="9">
        <f>IFERROR(VLOOKUP(B522,cubo!$A$6:$BE$37,34,0)-VLOOKUP(B522,#REF!,$K$2,0),0)</f>
        <v>0</v>
      </c>
      <c r="L522" s="8">
        <f>IFERROR(VLOOKUP(B522,cubo!$A$6:$BE$37,38,0)-VLOOKUP(B522,#REF!,$L$2,0),0)</f>
        <v>0</v>
      </c>
      <c r="M522" s="15">
        <f>IFERROR(VLOOKUP(B522,cubo!$A$6:$BE$37,57,0)-VLOOKUP(B522,#REF!,$M$2,0),0)</f>
        <v>0</v>
      </c>
      <c r="N522" s="9">
        <f>IFERROR(VLOOKUP(B522,cubo!$A$6:$BK$37,41,0)-VLOOKUP(conciliacao_custos!B522,#REF!,18,0),0)</f>
        <v>0</v>
      </c>
      <c r="O522" s="9">
        <f>IFERROR(VLOOKUP(B522,cubo!$A$6:$BK$37,44,0)-VLOOKUP(conciliacao_custos!B522,#REF!,13,0),0)</f>
        <v>0</v>
      </c>
      <c r="P522" s="9">
        <f>IFERROR(VLOOKUP(B522,cubo!$A$6:$BK$37,47,0)-VLOOKUP(conciliacao_custos!B522,#REF!,14,0),0)</f>
        <v>0</v>
      </c>
      <c r="Q522" s="9">
        <f>IFERROR(VLOOKUP(B522,cubo!$A$6:$BK$37,58,0)-VLOOKUP(conciliacao_custos!B522,#REF!,16,0),0)</f>
        <v>0</v>
      </c>
      <c r="R522" s="9">
        <f>IFERROR(VLOOKUP(B522,cubo!$A$6:$BK$37,64,0)-VLOOKUP(conciliacao_custos!B522,#REF!,17,0),0)</f>
        <v>0</v>
      </c>
      <c r="S522" s="9">
        <f>IFERROR(VLOOKUP(B522,cubo!$A$6:$BK$37,61,0)-VLOOKUP(conciliacao_custos!B522,#REF!,15,0),0)</f>
        <v>0</v>
      </c>
    </row>
    <row r="523" spans="2:19" x14ac:dyDescent="0.25">
      <c r="B523" s="7">
        <f>[1]salario!A522</f>
        <v>0</v>
      </c>
      <c r="C523" s="8">
        <f>[1]salario!C522</f>
        <v>0</v>
      </c>
      <c r="D523" s="10">
        <f>IFERROR(VLOOKUP(B523,cubo!$A$6:$BE$37,6,0)-VLOOKUP(B523,#REF!,$D$2,0),0)</f>
        <v>0</v>
      </c>
      <c r="E523" s="10">
        <f>IFERROR(VLOOKUP(B523,cubo!$A$6:$BE$37,9,0)-VLOOKUP(B523,#REF!,$E$2,0),0)</f>
        <v>0</v>
      </c>
      <c r="F523" s="9">
        <f>IFERROR(VLOOKUP(B523,cubo!$A$6:$BE$37,12,0)-VLOOKUP(B523,#REF!,$F$2,0),0)</f>
        <v>0</v>
      </c>
      <c r="G523" s="9">
        <f>IFERROR(VLOOKUP(B523,cubo!$A$6:$BE$37,54,0)-VLOOKUP(B523,#REF!,$G$2,0),0)</f>
        <v>0</v>
      </c>
      <c r="H523" s="10">
        <f>IFERROR(VLOOKUP(B523,cubo!$A$6:$BE$37,15,0)-VLOOKUP(B523,#REF!,$H$2,0),0)</f>
        <v>0</v>
      </c>
      <c r="I523" s="9">
        <f>IFERROR(VLOOKUP(B523,cubo!$A$6:$BE$37,18,0)-VLOOKUP(B523,#REF!,$I$2,0),0)</f>
        <v>0</v>
      </c>
      <c r="J523" s="9">
        <f>IFERROR(VLOOKUP(B523,cubo!$A$6:$BE$37,24,0)-VLOOKUP(B523,#REF!,$J$2,0),0)</f>
        <v>0</v>
      </c>
      <c r="K523" s="9">
        <f>IFERROR(VLOOKUP(B523,cubo!$A$6:$BE$37,34,0)-VLOOKUP(B523,#REF!,$K$2,0),0)</f>
        <v>0</v>
      </c>
      <c r="L523" s="8">
        <f>IFERROR(VLOOKUP(B523,cubo!$A$6:$BE$37,38,0)-VLOOKUP(B523,#REF!,$L$2,0),0)</f>
        <v>0</v>
      </c>
      <c r="M523" s="15">
        <f>IFERROR(VLOOKUP(B523,cubo!$A$6:$BE$37,57,0)-VLOOKUP(B523,#REF!,$M$2,0),0)</f>
        <v>0</v>
      </c>
      <c r="N523" s="9">
        <f>IFERROR(VLOOKUP(B523,cubo!$A$6:$BK$37,41,0)-VLOOKUP(conciliacao_custos!B523,#REF!,18,0),0)</f>
        <v>0</v>
      </c>
      <c r="O523" s="9">
        <f>IFERROR(VLOOKUP(B523,cubo!$A$6:$BK$37,44,0)-VLOOKUP(conciliacao_custos!B523,#REF!,13,0),0)</f>
        <v>0</v>
      </c>
      <c r="P523" s="9">
        <f>IFERROR(VLOOKUP(B523,cubo!$A$6:$BK$37,47,0)-VLOOKUP(conciliacao_custos!B523,#REF!,14,0),0)</f>
        <v>0</v>
      </c>
      <c r="Q523" s="9">
        <f>IFERROR(VLOOKUP(B523,cubo!$A$6:$BK$37,58,0)-VLOOKUP(conciliacao_custos!B523,#REF!,16,0),0)</f>
        <v>0</v>
      </c>
      <c r="R523" s="9">
        <f>IFERROR(VLOOKUP(B523,cubo!$A$6:$BK$37,64,0)-VLOOKUP(conciliacao_custos!B523,#REF!,17,0),0)</f>
        <v>0</v>
      </c>
      <c r="S523" s="9">
        <f>IFERROR(VLOOKUP(B523,cubo!$A$6:$BK$37,61,0)-VLOOKUP(conciliacao_custos!B523,#REF!,15,0),0)</f>
        <v>0</v>
      </c>
    </row>
    <row r="524" spans="2:19" x14ac:dyDescent="0.25">
      <c r="B524" s="7">
        <f>[1]salario!A523</f>
        <v>0</v>
      </c>
      <c r="C524" s="8">
        <f>[1]salario!C523</f>
        <v>0</v>
      </c>
      <c r="D524" s="10">
        <f>IFERROR(VLOOKUP(B524,cubo!$A$6:$BE$37,6,0)-VLOOKUP(B524,#REF!,$D$2,0),0)</f>
        <v>0</v>
      </c>
      <c r="E524" s="10">
        <f>IFERROR(VLOOKUP(B524,cubo!$A$6:$BE$37,9,0)-VLOOKUP(B524,#REF!,$E$2,0),0)</f>
        <v>0</v>
      </c>
      <c r="F524" s="9">
        <f>IFERROR(VLOOKUP(B524,cubo!$A$6:$BE$37,12,0)-VLOOKUP(B524,#REF!,$F$2,0),0)</f>
        <v>0</v>
      </c>
      <c r="G524" s="9">
        <f>IFERROR(VLOOKUP(B524,cubo!$A$6:$BE$37,54,0)-VLOOKUP(B524,#REF!,$G$2,0),0)</f>
        <v>0</v>
      </c>
      <c r="H524" s="10">
        <f>IFERROR(VLOOKUP(B524,cubo!$A$6:$BE$37,15,0)-VLOOKUP(B524,#REF!,$H$2,0),0)</f>
        <v>0</v>
      </c>
      <c r="I524" s="9">
        <f>IFERROR(VLOOKUP(B524,cubo!$A$6:$BE$37,18,0)-VLOOKUP(B524,#REF!,$I$2,0),0)</f>
        <v>0</v>
      </c>
      <c r="J524" s="9">
        <f>IFERROR(VLOOKUP(B524,cubo!$A$6:$BE$37,24,0)-VLOOKUP(B524,#REF!,$J$2,0),0)</f>
        <v>0</v>
      </c>
      <c r="K524" s="9">
        <f>IFERROR(VLOOKUP(B524,cubo!$A$6:$BE$37,34,0)-VLOOKUP(B524,#REF!,$K$2,0),0)</f>
        <v>0</v>
      </c>
      <c r="L524" s="8">
        <f>IFERROR(VLOOKUP(B524,cubo!$A$6:$BE$37,38,0)-VLOOKUP(B524,#REF!,$L$2,0),0)</f>
        <v>0</v>
      </c>
      <c r="M524" s="15">
        <f>IFERROR(VLOOKUP(B524,cubo!$A$6:$BE$37,57,0)-VLOOKUP(B524,#REF!,$M$2,0),0)</f>
        <v>0</v>
      </c>
      <c r="N524" s="9">
        <f>IFERROR(VLOOKUP(B524,cubo!$A$6:$BK$37,41,0)-VLOOKUP(conciliacao_custos!B524,#REF!,18,0),0)</f>
        <v>0</v>
      </c>
      <c r="O524" s="9">
        <f>IFERROR(VLOOKUP(B524,cubo!$A$6:$BK$37,44,0)-VLOOKUP(conciliacao_custos!B524,#REF!,13,0),0)</f>
        <v>0</v>
      </c>
      <c r="P524" s="9">
        <f>IFERROR(VLOOKUP(B524,cubo!$A$6:$BK$37,47,0)-VLOOKUP(conciliacao_custos!B524,#REF!,14,0),0)</f>
        <v>0</v>
      </c>
      <c r="Q524" s="9">
        <f>IFERROR(VLOOKUP(B524,cubo!$A$6:$BK$37,58,0)-VLOOKUP(conciliacao_custos!B524,#REF!,16,0),0)</f>
        <v>0</v>
      </c>
      <c r="R524" s="9">
        <f>IFERROR(VLOOKUP(B524,cubo!$A$6:$BK$37,64,0)-VLOOKUP(conciliacao_custos!B524,#REF!,17,0),0)</f>
        <v>0</v>
      </c>
      <c r="S524" s="9">
        <f>IFERROR(VLOOKUP(B524,cubo!$A$6:$BK$37,61,0)-VLOOKUP(conciliacao_custos!B524,#REF!,15,0),0)</f>
        <v>0</v>
      </c>
    </row>
    <row r="525" spans="2:19" x14ac:dyDescent="0.25">
      <c r="B525" s="7">
        <f>[1]salario!A524</f>
        <v>0</v>
      </c>
      <c r="C525" s="8">
        <f>[1]salario!C524</f>
        <v>0</v>
      </c>
      <c r="D525" s="10">
        <f>IFERROR(VLOOKUP(B525,cubo!$A$6:$BE$37,6,0)-VLOOKUP(B525,#REF!,$D$2,0),0)</f>
        <v>0</v>
      </c>
      <c r="E525" s="10">
        <f>IFERROR(VLOOKUP(B525,cubo!$A$6:$BE$37,9,0)-VLOOKUP(B525,#REF!,$E$2,0),0)</f>
        <v>0</v>
      </c>
      <c r="F525" s="9">
        <f>IFERROR(VLOOKUP(B525,cubo!$A$6:$BE$37,12,0)-VLOOKUP(B525,#REF!,$F$2,0),0)</f>
        <v>0</v>
      </c>
      <c r="G525" s="9">
        <f>IFERROR(VLOOKUP(B525,cubo!$A$6:$BE$37,54,0)-VLOOKUP(B525,#REF!,$G$2,0),0)</f>
        <v>0</v>
      </c>
      <c r="H525" s="10">
        <f>IFERROR(VLOOKUP(B525,cubo!$A$6:$BE$37,15,0)-VLOOKUP(B525,#REF!,$H$2,0),0)</f>
        <v>0</v>
      </c>
      <c r="I525" s="9">
        <f>IFERROR(VLOOKUP(B525,cubo!$A$6:$BE$37,18,0)-VLOOKUP(B525,#REF!,$I$2,0),0)</f>
        <v>0</v>
      </c>
      <c r="J525" s="9">
        <f>IFERROR(VLOOKUP(B525,cubo!$A$6:$BE$37,24,0)-VLOOKUP(B525,#REF!,$J$2,0),0)</f>
        <v>0</v>
      </c>
      <c r="K525" s="9">
        <f>IFERROR(VLOOKUP(B525,cubo!$A$6:$BE$37,34,0)-VLOOKUP(B525,#REF!,$K$2,0),0)</f>
        <v>0</v>
      </c>
      <c r="L525" s="8">
        <f>IFERROR(VLOOKUP(B525,cubo!$A$6:$BE$37,38,0)-VLOOKUP(B525,#REF!,$L$2,0),0)</f>
        <v>0</v>
      </c>
      <c r="M525" s="15">
        <f>IFERROR(VLOOKUP(B525,cubo!$A$6:$BE$37,57,0)-VLOOKUP(B525,#REF!,$M$2,0),0)</f>
        <v>0</v>
      </c>
      <c r="N525" s="9">
        <f>IFERROR(VLOOKUP(B525,cubo!$A$6:$BK$37,41,0)-VLOOKUP(conciliacao_custos!B525,#REF!,18,0),0)</f>
        <v>0</v>
      </c>
      <c r="O525" s="9">
        <f>IFERROR(VLOOKUP(B525,cubo!$A$6:$BK$37,44,0)-VLOOKUP(conciliacao_custos!B525,#REF!,13,0),0)</f>
        <v>0</v>
      </c>
      <c r="P525" s="9">
        <f>IFERROR(VLOOKUP(B525,cubo!$A$6:$BK$37,47,0)-VLOOKUP(conciliacao_custos!B525,#REF!,14,0),0)</f>
        <v>0</v>
      </c>
      <c r="Q525" s="9">
        <f>IFERROR(VLOOKUP(B525,cubo!$A$6:$BK$37,58,0)-VLOOKUP(conciliacao_custos!B525,#REF!,16,0),0)</f>
        <v>0</v>
      </c>
      <c r="R525" s="9">
        <f>IFERROR(VLOOKUP(B525,cubo!$A$6:$BK$37,64,0)-VLOOKUP(conciliacao_custos!B525,#REF!,17,0),0)</f>
        <v>0</v>
      </c>
      <c r="S525" s="9">
        <f>IFERROR(VLOOKUP(B525,cubo!$A$6:$BK$37,61,0)-VLOOKUP(conciliacao_custos!B525,#REF!,15,0),0)</f>
        <v>0</v>
      </c>
    </row>
    <row r="526" spans="2:19" x14ac:dyDescent="0.25">
      <c r="B526" s="7">
        <f>[1]salario!A525</f>
        <v>0</v>
      </c>
      <c r="C526" s="8">
        <f>[1]salario!C525</f>
        <v>0</v>
      </c>
      <c r="D526" s="10">
        <f>IFERROR(VLOOKUP(B526,cubo!$A$6:$BE$37,6,0)-VLOOKUP(B526,#REF!,$D$2,0),0)</f>
        <v>0</v>
      </c>
      <c r="E526" s="10">
        <f>IFERROR(VLOOKUP(B526,cubo!$A$6:$BE$37,9,0)-VLOOKUP(B526,#REF!,$E$2,0),0)</f>
        <v>0</v>
      </c>
      <c r="F526" s="9">
        <f>IFERROR(VLOOKUP(B526,cubo!$A$6:$BE$37,12,0)-VLOOKUP(B526,#REF!,$F$2,0),0)</f>
        <v>0</v>
      </c>
      <c r="G526" s="9">
        <f>IFERROR(VLOOKUP(B526,cubo!$A$6:$BE$37,54,0)-VLOOKUP(B526,#REF!,$G$2,0),0)</f>
        <v>0</v>
      </c>
      <c r="H526" s="10">
        <f>IFERROR(VLOOKUP(B526,cubo!$A$6:$BE$37,15,0)-VLOOKUP(B526,#REF!,$H$2,0),0)</f>
        <v>0</v>
      </c>
      <c r="I526" s="9">
        <f>IFERROR(VLOOKUP(B526,cubo!$A$6:$BE$37,18,0)-VLOOKUP(B526,#REF!,$I$2,0),0)</f>
        <v>0</v>
      </c>
      <c r="J526" s="9">
        <f>IFERROR(VLOOKUP(B526,cubo!$A$6:$BE$37,24,0)-VLOOKUP(B526,#REF!,$J$2,0),0)</f>
        <v>0</v>
      </c>
      <c r="K526" s="9">
        <f>IFERROR(VLOOKUP(B526,cubo!$A$6:$BE$37,34,0)-VLOOKUP(B526,#REF!,$K$2,0),0)</f>
        <v>0</v>
      </c>
      <c r="L526" s="8">
        <f>IFERROR(VLOOKUP(B526,cubo!$A$6:$BE$37,38,0)-VLOOKUP(B526,#REF!,$L$2,0),0)</f>
        <v>0</v>
      </c>
      <c r="M526" s="15">
        <f>IFERROR(VLOOKUP(B526,cubo!$A$6:$BE$37,57,0)-VLOOKUP(B526,#REF!,$M$2,0),0)</f>
        <v>0</v>
      </c>
      <c r="N526" s="9">
        <f>IFERROR(VLOOKUP(B526,cubo!$A$6:$BK$37,41,0)-VLOOKUP(conciliacao_custos!B526,#REF!,18,0),0)</f>
        <v>0</v>
      </c>
      <c r="O526" s="9">
        <f>IFERROR(VLOOKUP(B526,cubo!$A$6:$BK$37,44,0)-VLOOKUP(conciliacao_custos!B526,#REF!,13,0),0)</f>
        <v>0</v>
      </c>
      <c r="P526" s="9">
        <f>IFERROR(VLOOKUP(B526,cubo!$A$6:$BK$37,47,0)-VLOOKUP(conciliacao_custos!B526,#REF!,14,0),0)</f>
        <v>0</v>
      </c>
      <c r="Q526" s="9">
        <f>IFERROR(VLOOKUP(B526,cubo!$A$6:$BK$37,58,0)-VLOOKUP(conciliacao_custos!B526,#REF!,16,0),0)</f>
        <v>0</v>
      </c>
      <c r="R526" s="9">
        <f>IFERROR(VLOOKUP(B526,cubo!$A$6:$BK$37,64,0)-VLOOKUP(conciliacao_custos!B526,#REF!,17,0),0)</f>
        <v>0</v>
      </c>
      <c r="S526" s="9">
        <f>IFERROR(VLOOKUP(B526,cubo!$A$6:$BK$37,61,0)-VLOOKUP(conciliacao_custos!B526,#REF!,15,0),0)</f>
        <v>0</v>
      </c>
    </row>
    <row r="527" spans="2:19" x14ac:dyDescent="0.25">
      <c r="B527" s="7">
        <f>[1]salario!A526</f>
        <v>0</v>
      </c>
      <c r="C527" s="8">
        <f>[1]salario!C526</f>
        <v>0</v>
      </c>
      <c r="D527" s="10">
        <f>IFERROR(VLOOKUP(B527,cubo!$A$6:$BE$37,6,0)-VLOOKUP(B527,#REF!,$D$2,0),0)</f>
        <v>0</v>
      </c>
      <c r="E527" s="10">
        <f>IFERROR(VLOOKUP(B527,cubo!$A$6:$BE$37,9,0)-VLOOKUP(B527,#REF!,$E$2,0),0)</f>
        <v>0</v>
      </c>
      <c r="F527" s="9">
        <f>IFERROR(VLOOKUP(B527,cubo!$A$6:$BE$37,12,0)-VLOOKUP(B527,#REF!,$F$2,0),0)</f>
        <v>0</v>
      </c>
      <c r="G527" s="9">
        <f>IFERROR(VLOOKUP(B527,cubo!$A$6:$BE$37,54,0)-VLOOKUP(B527,#REF!,$G$2,0),0)</f>
        <v>0</v>
      </c>
      <c r="H527" s="10">
        <f>IFERROR(VLOOKUP(B527,cubo!$A$6:$BE$37,15,0)-VLOOKUP(B527,#REF!,$H$2,0),0)</f>
        <v>0</v>
      </c>
      <c r="I527" s="9">
        <f>IFERROR(VLOOKUP(B527,cubo!$A$6:$BE$37,18,0)-VLOOKUP(B527,#REF!,$I$2,0),0)</f>
        <v>0</v>
      </c>
      <c r="J527" s="9">
        <f>IFERROR(VLOOKUP(B527,cubo!$A$6:$BE$37,24,0)-VLOOKUP(B527,#REF!,$J$2,0),0)</f>
        <v>0</v>
      </c>
      <c r="K527" s="9">
        <f>IFERROR(VLOOKUP(B527,cubo!$A$6:$BE$37,34,0)-VLOOKUP(B527,#REF!,$K$2,0),0)</f>
        <v>0</v>
      </c>
      <c r="L527" s="8">
        <f>IFERROR(VLOOKUP(B527,cubo!$A$6:$BE$37,38,0)-VLOOKUP(B527,#REF!,$L$2,0),0)</f>
        <v>0</v>
      </c>
      <c r="M527" s="15">
        <f>IFERROR(VLOOKUP(B527,cubo!$A$6:$BE$37,57,0)-VLOOKUP(B527,#REF!,$M$2,0),0)</f>
        <v>0</v>
      </c>
      <c r="N527" s="9">
        <f>IFERROR(VLOOKUP(B527,cubo!$A$6:$BK$37,41,0)-VLOOKUP(conciliacao_custos!B527,#REF!,18,0),0)</f>
        <v>0</v>
      </c>
      <c r="O527" s="9">
        <f>IFERROR(VLOOKUP(B527,cubo!$A$6:$BK$37,44,0)-VLOOKUP(conciliacao_custos!B527,#REF!,13,0),0)</f>
        <v>0</v>
      </c>
      <c r="P527" s="9">
        <f>IFERROR(VLOOKUP(B527,cubo!$A$6:$BK$37,47,0)-VLOOKUP(conciliacao_custos!B527,#REF!,14,0),0)</f>
        <v>0</v>
      </c>
      <c r="Q527" s="9">
        <f>IFERROR(VLOOKUP(B527,cubo!$A$6:$BK$37,58,0)-VLOOKUP(conciliacao_custos!B527,#REF!,16,0),0)</f>
        <v>0</v>
      </c>
      <c r="R527" s="9">
        <f>IFERROR(VLOOKUP(B527,cubo!$A$6:$BK$37,64,0)-VLOOKUP(conciliacao_custos!B527,#REF!,17,0),0)</f>
        <v>0</v>
      </c>
      <c r="S527" s="9">
        <f>IFERROR(VLOOKUP(B527,cubo!$A$6:$BK$37,61,0)-VLOOKUP(conciliacao_custos!B527,#REF!,15,0),0)</f>
        <v>0</v>
      </c>
    </row>
    <row r="528" spans="2:19" x14ac:dyDescent="0.25">
      <c r="B528" s="7">
        <f>[1]salario!A527</f>
        <v>0</v>
      </c>
      <c r="C528" s="8">
        <f>[1]salario!C527</f>
        <v>0</v>
      </c>
      <c r="D528" s="10">
        <f>IFERROR(VLOOKUP(B528,cubo!$A$6:$BE$37,6,0)-VLOOKUP(B528,#REF!,$D$2,0),0)</f>
        <v>0</v>
      </c>
      <c r="E528" s="10">
        <f>IFERROR(VLOOKUP(B528,cubo!$A$6:$BE$37,9,0)-VLOOKUP(B528,#REF!,$E$2,0),0)</f>
        <v>0</v>
      </c>
      <c r="F528" s="9">
        <f>IFERROR(VLOOKUP(B528,cubo!$A$6:$BE$37,12,0)-VLOOKUP(B528,#REF!,$F$2,0),0)</f>
        <v>0</v>
      </c>
      <c r="G528" s="9">
        <f>IFERROR(VLOOKUP(B528,cubo!$A$6:$BE$37,54,0)-VLOOKUP(B528,#REF!,$G$2,0),0)</f>
        <v>0</v>
      </c>
      <c r="H528" s="10">
        <f>IFERROR(VLOOKUP(B528,cubo!$A$6:$BE$37,15,0)-VLOOKUP(B528,#REF!,$H$2,0),0)</f>
        <v>0</v>
      </c>
      <c r="I528" s="9">
        <f>IFERROR(VLOOKUP(B528,cubo!$A$6:$BE$37,18,0)-VLOOKUP(B528,#REF!,$I$2,0),0)</f>
        <v>0</v>
      </c>
      <c r="J528" s="9">
        <f>IFERROR(VLOOKUP(B528,cubo!$A$6:$BE$37,24,0)-VLOOKUP(B528,#REF!,$J$2,0),0)</f>
        <v>0</v>
      </c>
      <c r="K528" s="9">
        <f>IFERROR(VLOOKUP(B528,cubo!$A$6:$BE$37,34,0)-VLOOKUP(B528,#REF!,$K$2,0),0)</f>
        <v>0</v>
      </c>
      <c r="L528" s="8">
        <f>IFERROR(VLOOKUP(B528,cubo!$A$6:$BE$37,38,0)-VLOOKUP(B528,#REF!,$L$2,0),0)</f>
        <v>0</v>
      </c>
      <c r="M528" s="15">
        <f>IFERROR(VLOOKUP(B528,cubo!$A$6:$BE$37,57,0)-VLOOKUP(B528,#REF!,$M$2,0),0)</f>
        <v>0</v>
      </c>
      <c r="N528" s="9">
        <f>IFERROR(VLOOKUP(B528,cubo!$A$6:$BK$37,41,0)-VLOOKUP(conciliacao_custos!B528,#REF!,18,0),0)</f>
        <v>0</v>
      </c>
      <c r="O528" s="9">
        <f>IFERROR(VLOOKUP(B528,cubo!$A$6:$BK$37,44,0)-VLOOKUP(conciliacao_custos!B528,#REF!,13,0),0)</f>
        <v>0</v>
      </c>
      <c r="P528" s="9">
        <f>IFERROR(VLOOKUP(B528,cubo!$A$6:$BK$37,47,0)-VLOOKUP(conciliacao_custos!B528,#REF!,14,0),0)</f>
        <v>0</v>
      </c>
      <c r="Q528" s="9">
        <f>IFERROR(VLOOKUP(B528,cubo!$A$6:$BK$37,58,0)-VLOOKUP(conciliacao_custos!B528,#REF!,16,0),0)</f>
        <v>0</v>
      </c>
      <c r="R528" s="9">
        <f>IFERROR(VLOOKUP(B528,cubo!$A$6:$BK$37,64,0)-VLOOKUP(conciliacao_custos!B528,#REF!,17,0),0)</f>
        <v>0</v>
      </c>
      <c r="S528" s="9">
        <f>IFERROR(VLOOKUP(B528,cubo!$A$6:$BK$37,61,0)-VLOOKUP(conciliacao_custos!B528,#REF!,15,0),0)</f>
        <v>0</v>
      </c>
    </row>
    <row r="529" spans="2:19" x14ac:dyDescent="0.25">
      <c r="B529" s="7">
        <f>[1]salario!A528</f>
        <v>0</v>
      </c>
      <c r="C529" s="8">
        <f>[1]salario!C528</f>
        <v>0</v>
      </c>
      <c r="D529" s="10">
        <f>IFERROR(VLOOKUP(B529,cubo!$A$6:$BE$37,6,0)-VLOOKUP(B529,#REF!,$D$2,0),0)</f>
        <v>0</v>
      </c>
      <c r="E529" s="10">
        <f>IFERROR(VLOOKUP(B529,cubo!$A$6:$BE$37,9,0)-VLOOKUP(B529,#REF!,$E$2,0),0)</f>
        <v>0</v>
      </c>
      <c r="F529" s="9">
        <f>IFERROR(VLOOKUP(B529,cubo!$A$6:$BE$37,12,0)-VLOOKUP(B529,#REF!,$F$2,0),0)</f>
        <v>0</v>
      </c>
      <c r="G529" s="9">
        <f>IFERROR(VLOOKUP(B529,cubo!$A$6:$BE$37,54,0)-VLOOKUP(B529,#REF!,$G$2,0),0)</f>
        <v>0</v>
      </c>
      <c r="H529" s="10">
        <f>IFERROR(VLOOKUP(B529,cubo!$A$6:$BE$37,15,0)-VLOOKUP(B529,#REF!,$H$2,0),0)</f>
        <v>0</v>
      </c>
      <c r="I529" s="9">
        <f>IFERROR(VLOOKUP(B529,cubo!$A$6:$BE$37,18,0)-VLOOKUP(B529,#REF!,$I$2,0),0)</f>
        <v>0</v>
      </c>
      <c r="J529" s="9">
        <f>IFERROR(VLOOKUP(B529,cubo!$A$6:$BE$37,24,0)-VLOOKUP(B529,#REF!,$J$2,0),0)</f>
        <v>0</v>
      </c>
      <c r="K529" s="9">
        <f>IFERROR(VLOOKUP(B529,cubo!$A$6:$BE$37,34,0)-VLOOKUP(B529,#REF!,$K$2,0),0)</f>
        <v>0</v>
      </c>
      <c r="L529" s="8">
        <f>IFERROR(VLOOKUP(B529,cubo!$A$6:$BE$37,38,0)-VLOOKUP(B529,#REF!,$L$2,0),0)</f>
        <v>0</v>
      </c>
      <c r="M529" s="15">
        <f>IFERROR(VLOOKUP(B529,cubo!$A$6:$BE$37,57,0)-VLOOKUP(B529,#REF!,$M$2,0),0)</f>
        <v>0</v>
      </c>
      <c r="N529" s="9">
        <f>IFERROR(VLOOKUP(B529,cubo!$A$6:$BK$37,41,0)-VLOOKUP(conciliacao_custos!B529,#REF!,18,0),0)</f>
        <v>0</v>
      </c>
      <c r="O529" s="9">
        <f>IFERROR(VLOOKUP(B529,cubo!$A$6:$BK$37,44,0)-VLOOKUP(conciliacao_custos!B529,#REF!,13,0),0)</f>
        <v>0</v>
      </c>
      <c r="P529" s="9">
        <f>IFERROR(VLOOKUP(B529,cubo!$A$6:$BK$37,47,0)-VLOOKUP(conciliacao_custos!B529,#REF!,14,0),0)</f>
        <v>0</v>
      </c>
      <c r="Q529" s="9">
        <f>IFERROR(VLOOKUP(B529,cubo!$A$6:$BK$37,58,0)-VLOOKUP(conciliacao_custos!B529,#REF!,16,0),0)</f>
        <v>0</v>
      </c>
      <c r="R529" s="9">
        <f>IFERROR(VLOOKUP(B529,cubo!$A$6:$BK$37,64,0)-VLOOKUP(conciliacao_custos!B529,#REF!,17,0),0)</f>
        <v>0</v>
      </c>
      <c r="S529" s="9">
        <f>IFERROR(VLOOKUP(B529,cubo!$A$6:$BK$37,61,0)-VLOOKUP(conciliacao_custos!B529,#REF!,15,0),0)</f>
        <v>0</v>
      </c>
    </row>
    <row r="530" spans="2:19" x14ac:dyDescent="0.25">
      <c r="B530" s="7">
        <f>[1]salario!A529</f>
        <v>0</v>
      </c>
      <c r="C530" s="8">
        <f>[1]salario!C529</f>
        <v>0</v>
      </c>
      <c r="D530" s="10">
        <f>IFERROR(VLOOKUP(B530,cubo!$A$6:$BE$37,6,0)-VLOOKUP(B530,#REF!,$D$2,0),0)</f>
        <v>0</v>
      </c>
      <c r="E530" s="10">
        <f>IFERROR(VLOOKUP(B530,cubo!$A$6:$BE$37,9,0)-VLOOKUP(B530,#REF!,$E$2,0),0)</f>
        <v>0</v>
      </c>
      <c r="F530" s="9">
        <f>IFERROR(VLOOKUP(B530,cubo!$A$6:$BE$37,12,0)-VLOOKUP(B530,#REF!,$F$2,0),0)</f>
        <v>0</v>
      </c>
      <c r="G530" s="9">
        <f>IFERROR(VLOOKUP(B530,cubo!$A$6:$BE$37,54,0)-VLOOKUP(B530,#REF!,$G$2,0),0)</f>
        <v>0</v>
      </c>
      <c r="H530" s="10">
        <f>IFERROR(VLOOKUP(B530,cubo!$A$6:$BE$37,15,0)-VLOOKUP(B530,#REF!,$H$2,0),0)</f>
        <v>0</v>
      </c>
      <c r="I530" s="9">
        <f>IFERROR(VLOOKUP(B530,cubo!$A$6:$BE$37,18,0)-VLOOKUP(B530,#REF!,$I$2,0),0)</f>
        <v>0</v>
      </c>
      <c r="J530" s="9">
        <f>IFERROR(VLOOKUP(B530,cubo!$A$6:$BE$37,24,0)-VLOOKUP(B530,#REF!,$J$2,0),0)</f>
        <v>0</v>
      </c>
      <c r="K530" s="9">
        <f>IFERROR(VLOOKUP(B530,cubo!$A$6:$BE$37,34,0)-VLOOKUP(B530,#REF!,$K$2,0),0)</f>
        <v>0</v>
      </c>
      <c r="L530" s="8">
        <f>IFERROR(VLOOKUP(B530,cubo!$A$6:$BE$37,38,0)-VLOOKUP(B530,#REF!,$L$2,0),0)</f>
        <v>0</v>
      </c>
      <c r="M530" s="15">
        <f>IFERROR(VLOOKUP(B530,cubo!$A$6:$BE$37,57,0)-VLOOKUP(B530,#REF!,$M$2,0),0)</f>
        <v>0</v>
      </c>
      <c r="N530" s="9">
        <f>IFERROR(VLOOKUP(B530,cubo!$A$6:$BK$37,41,0)-VLOOKUP(conciliacao_custos!B530,#REF!,18,0),0)</f>
        <v>0</v>
      </c>
      <c r="O530" s="9">
        <f>IFERROR(VLOOKUP(B530,cubo!$A$6:$BK$37,44,0)-VLOOKUP(conciliacao_custos!B530,#REF!,13,0),0)</f>
        <v>0</v>
      </c>
      <c r="P530" s="9">
        <f>IFERROR(VLOOKUP(B530,cubo!$A$6:$BK$37,47,0)-VLOOKUP(conciliacao_custos!B530,#REF!,14,0),0)</f>
        <v>0</v>
      </c>
      <c r="Q530" s="9">
        <f>IFERROR(VLOOKUP(B530,cubo!$A$6:$BK$37,58,0)-VLOOKUP(conciliacao_custos!B530,#REF!,16,0),0)</f>
        <v>0</v>
      </c>
      <c r="R530" s="9">
        <f>IFERROR(VLOOKUP(B530,cubo!$A$6:$BK$37,64,0)-VLOOKUP(conciliacao_custos!B530,#REF!,17,0),0)</f>
        <v>0</v>
      </c>
      <c r="S530" s="9">
        <f>IFERROR(VLOOKUP(B530,cubo!$A$6:$BK$37,61,0)-VLOOKUP(conciliacao_custos!B530,#REF!,15,0),0)</f>
        <v>0</v>
      </c>
    </row>
    <row r="531" spans="2:19" x14ac:dyDescent="0.25">
      <c r="B531" s="7">
        <f>[1]salario!A530</f>
        <v>0</v>
      </c>
      <c r="C531" s="8">
        <f>[1]salario!C530</f>
        <v>0</v>
      </c>
      <c r="D531" s="10">
        <f>IFERROR(VLOOKUP(B531,cubo!$A$6:$BE$37,6,0)-VLOOKUP(B531,#REF!,$D$2,0),0)</f>
        <v>0</v>
      </c>
      <c r="E531" s="10">
        <f>IFERROR(VLOOKUP(B531,cubo!$A$6:$BE$37,9,0)-VLOOKUP(B531,#REF!,$E$2,0),0)</f>
        <v>0</v>
      </c>
      <c r="F531" s="9">
        <f>IFERROR(VLOOKUP(B531,cubo!$A$6:$BE$37,12,0)-VLOOKUP(B531,#REF!,$F$2,0),0)</f>
        <v>0</v>
      </c>
      <c r="G531" s="9">
        <f>IFERROR(VLOOKUP(B531,cubo!$A$6:$BE$37,54,0)-VLOOKUP(B531,#REF!,$G$2,0),0)</f>
        <v>0</v>
      </c>
      <c r="H531" s="10">
        <f>IFERROR(VLOOKUP(B531,cubo!$A$6:$BE$37,15,0)-VLOOKUP(B531,#REF!,$H$2,0),0)</f>
        <v>0</v>
      </c>
      <c r="I531" s="9">
        <f>IFERROR(VLOOKUP(B531,cubo!$A$6:$BE$37,18,0)-VLOOKUP(B531,#REF!,$I$2,0),0)</f>
        <v>0</v>
      </c>
      <c r="J531" s="9">
        <f>IFERROR(VLOOKUP(B531,cubo!$A$6:$BE$37,24,0)-VLOOKUP(B531,#REF!,$J$2,0),0)</f>
        <v>0</v>
      </c>
      <c r="K531" s="9">
        <f>IFERROR(VLOOKUP(B531,cubo!$A$6:$BE$37,34,0)-VLOOKUP(B531,#REF!,$K$2,0),0)</f>
        <v>0</v>
      </c>
      <c r="L531" s="8">
        <f>IFERROR(VLOOKUP(B531,cubo!$A$6:$BE$37,38,0)-VLOOKUP(B531,#REF!,$L$2,0),0)</f>
        <v>0</v>
      </c>
      <c r="M531" s="15">
        <f>IFERROR(VLOOKUP(B531,cubo!$A$6:$BE$37,57,0)-VLOOKUP(B531,#REF!,$M$2,0),0)</f>
        <v>0</v>
      </c>
      <c r="N531" s="9">
        <f>IFERROR(VLOOKUP(B531,cubo!$A$6:$BK$37,41,0)-VLOOKUP(conciliacao_custos!B531,#REF!,18,0),0)</f>
        <v>0</v>
      </c>
      <c r="O531" s="9">
        <f>IFERROR(VLOOKUP(B531,cubo!$A$6:$BK$37,44,0)-VLOOKUP(conciliacao_custos!B531,#REF!,13,0),0)</f>
        <v>0</v>
      </c>
      <c r="P531" s="9">
        <f>IFERROR(VLOOKUP(B531,cubo!$A$6:$BK$37,47,0)-VLOOKUP(conciliacao_custos!B531,#REF!,14,0),0)</f>
        <v>0</v>
      </c>
      <c r="Q531" s="9">
        <f>IFERROR(VLOOKUP(B531,cubo!$A$6:$BK$37,58,0)-VLOOKUP(conciliacao_custos!B531,#REF!,16,0),0)</f>
        <v>0</v>
      </c>
      <c r="R531" s="9">
        <f>IFERROR(VLOOKUP(B531,cubo!$A$6:$BK$37,64,0)-VLOOKUP(conciliacao_custos!B531,#REF!,17,0),0)</f>
        <v>0</v>
      </c>
      <c r="S531" s="9">
        <f>IFERROR(VLOOKUP(B531,cubo!$A$6:$BK$37,61,0)-VLOOKUP(conciliacao_custos!B531,#REF!,15,0),0)</f>
        <v>0</v>
      </c>
    </row>
    <row r="532" spans="2:19" x14ac:dyDescent="0.25">
      <c r="B532" s="7">
        <f>[1]salario!A531</f>
        <v>0</v>
      </c>
      <c r="C532" s="8">
        <f>[1]salario!C531</f>
        <v>0</v>
      </c>
      <c r="D532" s="10">
        <f>IFERROR(VLOOKUP(B532,cubo!$A$6:$BE$37,6,0)-VLOOKUP(B532,#REF!,$D$2,0),0)</f>
        <v>0</v>
      </c>
      <c r="E532" s="10">
        <f>IFERROR(VLOOKUP(B532,cubo!$A$6:$BE$37,9,0)-VLOOKUP(B532,#REF!,$E$2,0),0)</f>
        <v>0</v>
      </c>
      <c r="F532" s="9">
        <f>IFERROR(VLOOKUP(B532,cubo!$A$6:$BE$37,12,0)-VLOOKUP(B532,#REF!,$F$2,0),0)</f>
        <v>0</v>
      </c>
      <c r="G532" s="9">
        <f>IFERROR(VLOOKUP(B532,cubo!$A$6:$BE$37,54,0)-VLOOKUP(B532,#REF!,$G$2,0),0)</f>
        <v>0</v>
      </c>
      <c r="H532" s="10">
        <f>IFERROR(VLOOKUP(B532,cubo!$A$6:$BE$37,15,0)-VLOOKUP(B532,#REF!,$H$2,0),0)</f>
        <v>0</v>
      </c>
      <c r="I532" s="9">
        <f>IFERROR(VLOOKUP(B532,cubo!$A$6:$BE$37,18,0)-VLOOKUP(B532,#REF!,$I$2,0),0)</f>
        <v>0</v>
      </c>
      <c r="J532" s="9">
        <f>IFERROR(VLOOKUP(B532,cubo!$A$6:$BE$37,24,0)-VLOOKUP(B532,#REF!,$J$2,0),0)</f>
        <v>0</v>
      </c>
      <c r="K532" s="9">
        <f>IFERROR(VLOOKUP(B532,cubo!$A$6:$BE$37,34,0)-VLOOKUP(B532,#REF!,$K$2,0),0)</f>
        <v>0</v>
      </c>
      <c r="L532" s="8">
        <f>IFERROR(VLOOKUP(B532,cubo!$A$6:$BE$37,38,0)-VLOOKUP(B532,#REF!,$L$2,0),0)</f>
        <v>0</v>
      </c>
      <c r="M532" s="15">
        <f>IFERROR(VLOOKUP(B532,cubo!$A$6:$BE$37,57,0)-VLOOKUP(B532,#REF!,$M$2,0),0)</f>
        <v>0</v>
      </c>
      <c r="N532" s="9">
        <f>IFERROR(VLOOKUP(B532,cubo!$A$6:$BK$37,41,0)-VLOOKUP(conciliacao_custos!B532,#REF!,18,0),0)</f>
        <v>0</v>
      </c>
      <c r="O532" s="9">
        <f>IFERROR(VLOOKUP(B532,cubo!$A$6:$BK$37,44,0)-VLOOKUP(conciliacao_custos!B532,#REF!,13,0),0)</f>
        <v>0</v>
      </c>
      <c r="P532" s="9">
        <f>IFERROR(VLOOKUP(B532,cubo!$A$6:$BK$37,47,0)-VLOOKUP(conciliacao_custos!B532,#REF!,14,0),0)</f>
        <v>0</v>
      </c>
      <c r="Q532" s="9">
        <f>IFERROR(VLOOKUP(B532,cubo!$A$6:$BK$37,58,0)-VLOOKUP(conciliacao_custos!B532,#REF!,16,0),0)</f>
        <v>0</v>
      </c>
      <c r="R532" s="9">
        <f>IFERROR(VLOOKUP(B532,cubo!$A$6:$BK$37,64,0)-VLOOKUP(conciliacao_custos!B532,#REF!,17,0),0)</f>
        <v>0</v>
      </c>
      <c r="S532" s="9">
        <f>IFERROR(VLOOKUP(B532,cubo!$A$6:$BK$37,61,0)-VLOOKUP(conciliacao_custos!B532,#REF!,15,0),0)</f>
        <v>0</v>
      </c>
    </row>
    <row r="533" spans="2:19" x14ac:dyDescent="0.25">
      <c r="B533" s="7">
        <f>[1]salario!A532</f>
        <v>0</v>
      </c>
      <c r="C533" s="8">
        <f>[1]salario!C532</f>
        <v>0</v>
      </c>
      <c r="D533" s="10">
        <f>IFERROR(VLOOKUP(B533,cubo!$A$6:$BE$37,6,0)-VLOOKUP(B533,#REF!,$D$2,0),0)</f>
        <v>0</v>
      </c>
      <c r="E533" s="10">
        <f>IFERROR(VLOOKUP(B533,cubo!$A$6:$BE$37,9,0)-VLOOKUP(B533,#REF!,$E$2,0),0)</f>
        <v>0</v>
      </c>
      <c r="F533" s="9">
        <f>IFERROR(VLOOKUP(B533,cubo!$A$6:$BE$37,12,0)-VLOOKUP(B533,#REF!,$F$2,0),0)</f>
        <v>0</v>
      </c>
      <c r="G533" s="9">
        <f>IFERROR(VLOOKUP(B533,cubo!$A$6:$BE$37,54,0)-VLOOKUP(B533,#REF!,$G$2,0),0)</f>
        <v>0</v>
      </c>
      <c r="H533" s="10">
        <f>IFERROR(VLOOKUP(B533,cubo!$A$6:$BE$37,15,0)-VLOOKUP(B533,#REF!,$H$2,0),0)</f>
        <v>0</v>
      </c>
      <c r="I533" s="9">
        <f>IFERROR(VLOOKUP(B533,cubo!$A$6:$BE$37,18,0)-VLOOKUP(B533,#REF!,$I$2,0),0)</f>
        <v>0</v>
      </c>
      <c r="J533" s="9">
        <f>IFERROR(VLOOKUP(B533,cubo!$A$6:$BE$37,24,0)-VLOOKUP(B533,#REF!,$J$2,0),0)</f>
        <v>0</v>
      </c>
      <c r="K533" s="9">
        <f>IFERROR(VLOOKUP(B533,cubo!$A$6:$BE$37,34,0)-VLOOKUP(B533,#REF!,$K$2,0),0)</f>
        <v>0</v>
      </c>
      <c r="L533" s="8">
        <f>IFERROR(VLOOKUP(B533,cubo!$A$6:$BE$37,38,0)-VLOOKUP(B533,#REF!,$L$2,0),0)</f>
        <v>0</v>
      </c>
      <c r="M533" s="15">
        <f>IFERROR(VLOOKUP(B533,cubo!$A$6:$BE$37,57,0)-VLOOKUP(B533,#REF!,$M$2,0),0)</f>
        <v>0</v>
      </c>
      <c r="N533" s="9">
        <f>IFERROR(VLOOKUP(B533,cubo!$A$6:$BK$37,41,0)-VLOOKUP(conciliacao_custos!B533,#REF!,18,0),0)</f>
        <v>0</v>
      </c>
      <c r="O533" s="9">
        <f>IFERROR(VLOOKUP(B533,cubo!$A$6:$BK$37,44,0)-VLOOKUP(conciliacao_custos!B533,#REF!,13,0),0)</f>
        <v>0</v>
      </c>
      <c r="P533" s="9">
        <f>IFERROR(VLOOKUP(B533,cubo!$A$6:$BK$37,47,0)-VLOOKUP(conciliacao_custos!B533,#REF!,14,0),0)</f>
        <v>0</v>
      </c>
      <c r="Q533" s="9">
        <f>IFERROR(VLOOKUP(B533,cubo!$A$6:$BK$37,58,0)-VLOOKUP(conciliacao_custos!B533,#REF!,16,0),0)</f>
        <v>0</v>
      </c>
      <c r="R533" s="9">
        <f>IFERROR(VLOOKUP(B533,cubo!$A$6:$BK$37,64,0)-VLOOKUP(conciliacao_custos!B533,#REF!,17,0),0)</f>
        <v>0</v>
      </c>
      <c r="S533" s="9">
        <f>IFERROR(VLOOKUP(B533,cubo!$A$6:$BK$37,61,0)-VLOOKUP(conciliacao_custos!B533,#REF!,15,0),0)</f>
        <v>0</v>
      </c>
    </row>
    <row r="534" spans="2:19" x14ac:dyDescent="0.25">
      <c r="B534" s="7">
        <f>[1]salario!A533</f>
        <v>0</v>
      </c>
      <c r="C534" s="8">
        <f>[1]salario!C533</f>
        <v>0</v>
      </c>
      <c r="D534" s="10">
        <f>IFERROR(VLOOKUP(B534,cubo!$A$6:$BE$37,6,0)-VLOOKUP(B534,#REF!,$D$2,0),0)</f>
        <v>0</v>
      </c>
      <c r="E534" s="10">
        <f>IFERROR(VLOOKUP(B534,cubo!$A$6:$BE$37,9,0)-VLOOKUP(B534,#REF!,$E$2,0),0)</f>
        <v>0</v>
      </c>
      <c r="F534" s="9">
        <f>IFERROR(VLOOKUP(B534,cubo!$A$6:$BE$37,12,0)-VLOOKUP(B534,#REF!,$F$2,0),0)</f>
        <v>0</v>
      </c>
      <c r="G534" s="9">
        <f>IFERROR(VLOOKUP(B534,cubo!$A$6:$BE$37,54,0)-VLOOKUP(B534,#REF!,$G$2,0),0)</f>
        <v>0</v>
      </c>
      <c r="H534" s="10">
        <f>IFERROR(VLOOKUP(B534,cubo!$A$6:$BE$37,15,0)-VLOOKUP(B534,#REF!,$H$2,0),0)</f>
        <v>0</v>
      </c>
      <c r="I534" s="9">
        <f>IFERROR(VLOOKUP(B534,cubo!$A$6:$BE$37,18,0)-VLOOKUP(B534,#REF!,$I$2,0),0)</f>
        <v>0</v>
      </c>
      <c r="J534" s="9">
        <f>IFERROR(VLOOKUP(B534,cubo!$A$6:$BE$37,24,0)-VLOOKUP(B534,#REF!,$J$2,0),0)</f>
        <v>0</v>
      </c>
      <c r="K534" s="9">
        <f>IFERROR(VLOOKUP(B534,cubo!$A$6:$BE$37,34,0)-VLOOKUP(B534,#REF!,$K$2,0),0)</f>
        <v>0</v>
      </c>
      <c r="L534" s="8">
        <f>IFERROR(VLOOKUP(B534,cubo!$A$6:$BE$37,38,0)-VLOOKUP(B534,#REF!,$L$2,0),0)</f>
        <v>0</v>
      </c>
      <c r="M534" s="15">
        <f>IFERROR(VLOOKUP(B534,cubo!$A$6:$BE$37,57,0)-VLOOKUP(B534,#REF!,$M$2,0),0)</f>
        <v>0</v>
      </c>
      <c r="N534" s="9">
        <f>IFERROR(VLOOKUP(B534,cubo!$A$6:$BK$37,41,0)-VLOOKUP(conciliacao_custos!B534,#REF!,18,0),0)</f>
        <v>0</v>
      </c>
      <c r="O534" s="9">
        <f>IFERROR(VLOOKUP(B534,cubo!$A$6:$BK$37,44,0)-VLOOKUP(conciliacao_custos!B534,#REF!,13,0),0)</f>
        <v>0</v>
      </c>
      <c r="P534" s="9">
        <f>IFERROR(VLOOKUP(B534,cubo!$A$6:$BK$37,47,0)-VLOOKUP(conciliacao_custos!B534,#REF!,14,0),0)</f>
        <v>0</v>
      </c>
      <c r="Q534" s="9">
        <f>IFERROR(VLOOKUP(B534,cubo!$A$6:$BK$37,58,0)-VLOOKUP(conciliacao_custos!B534,#REF!,16,0),0)</f>
        <v>0</v>
      </c>
      <c r="R534" s="9">
        <f>IFERROR(VLOOKUP(B534,cubo!$A$6:$BK$37,64,0)-VLOOKUP(conciliacao_custos!B534,#REF!,17,0),0)</f>
        <v>0</v>
      </c>
      <c r="S534" s="9">
        <f>IFERROR(VLOOKUP(B534,cubo!$A$6:$BK$37,61,0)-VLOOKUP(conciliacao_custos!B534,#REF!,15,0),0)</f>
        <v>0</v>
      </c>
    </row>
    <row r="535" spans="2:19" x14ac:dyDescent="0.25">
      <c r="B535" s="7">
        <f>[1]salario!A534</f>
        <v>0</v>
      </c>
      <c r="C535" s="8">
        <f>[1]salario!C534</f>
        <v>0</v>
      </c>
      <c r="D535" s="10">
        <f>IFERROR(VLOOKUP(B535,cubo!$A$6:$BE$37,6,0)-VLOOKUP(B535,#REF!,$D$2,0),0)</f>
        <v>0</v>
      </c>
      <c r="E535" s="10">
        <f>IFERROR(VLOOKUP(B535,cubo!$A$6:$BE$37,9,0)-VLOOKUP(B535,#REF!,$E$2,0),0)</f>
        <v>0</v>
      </c>
      <c r="F535" s="9">
        <f>IFERROR(VLOOKUP(B535,cubo!$A$6:$BE$37,12,0)-VLOOKUP(B535,#REF!,$F$2,0),0)</f>
        <v>0</v>
      </c>
      <c r="G535" s="9">
        <f>IFERROR(VLOOKUP(B535,cubo!$A$6:$BE$37,54,0)-VLOOKUP(B535,#REF!,$G$2,0),0)</f>
        <v>0</v>
      </c>
      <c r="H535" s="10">
        <f>IFERROR(VLOOKUP(B535,cubo!$A$6:$BE$37,15,0)-VLOOKUP(B535,#REF!,$H$2,0),0)</f>
        <v>0</v>
      </c>
      <c r="I535" s="9">
        <f>IFERROR(VLOOKUP(B535,cubo!$A$6:$BE$37,18,0)-VLOOKUP(B535,#REF!,$I$2,0),0)</f>
        <v>0</v>
      </c>
      <c r="J535" s="9">
        <f>IFERROR(VLOOKUP(B535,cubo!$A$6:$BE$37,24,0)-VLOOKUP(B535,#REF!,$J$2,0),0)</f>
        <v>0</v>
      </c>
      <c r="K535" s="9">
        <f>IFERROR(VLOOKUP(B535,cubo!$A$6:$BE$37,34,0)-VLOOKUP(B535,#REF!,$K$2,0),0)</f>
        <v>0</v>
      </c>
      <c r="L535" s="8">
        <f>IFERROR(VLOOKUP(B535,cubo!$A$6:$BE$37,38,0)-VLOOKUP(B535,#REF!,$L$2,0),0)</f>
        <v>0</v>
      </c>
      <c r="M535" s="15">
        <f>IFERROR(VLOOKUP(B535,cubo!$A$6:$BE$37,57,0)-VLOOKUP(B535,#REF!,$M$2,0),0)</f>
        <v>0</v>
      </c>
      <c r="N535" s="9">
        <f>IFERROR(VLOOKUP(B535,cubo!$A$6:$BK$37,41,0)-VLOOKUP(conciliacao_custos!B535,#REF!,18,0),0)</f>
        <v>0</v>
      </c>
      <c r="O535" s="9">
        <f>IFERROR(VLOOKUP(B535,cubo!$A$6:$BK$37,44,0)-VLOOKUP(conciliacao_custos!B535,#REF!,13,0),0)</f>
        <v>0</v>
      </c>
      <c r="P535" s="9">
        <f>IFERROR(VLOOKUP(B535,cubo!$A$6:$BK$37,47,0)-VLOOKUP(conciliacao_custos!B535,#REF!,14,0),0)</f>
        <v>0</v>
      </c>
      <c r="Q535" s="9">
        <f>IFERROR(VLOOKUP(B535,cubo!$A$6:$BK$37,58,0)-VLOOKUP(conciliacao_custos!B535,#REF!,16,0),0)</f>
        <v>0</v>
      </c>
      <c r="R535" s="9">
        <f>IFERROR(VLOOKUP(B535,cubo!$A$6:$BK$37,64,0)-VLOOKUP(conciliacao_custos!B535,#REF!,17,0),0)</f>
        <v>0</v>
      </c>
      <c r="S535" s="9">
        <f>IFERROR(VLOOKUP(B535,cubo!$A$6:$BK$37,61,0)-VLOOKUP(conciliacao_custos!B535,#REF!,15,0),0)</f>
        <v>0</v>
      </c>
    </row>
    <row r="536" spans="2:19" x14ac:dyDescent="0.25">
      <c r="B536" s="7">
        <f>[1]salario!A535</f>
        <v>0</v>
      </c>
      <c r="C536" s="8">
        <f>[1]salario!C535</f>
        <v>0</v>
      </c>
      <c r="D536" s="10">
        <f>IFERROR(VLOOKUP(B536,cubo!$A$6:$BE$37,6,0)-VLOOKUP(B536,#REF!,$D$2,0),0)</f>
        <v>0</v>
      </c>
      <c r="E536" s="10">
        <f>IFERROR(VLOOKUP(B536,cubo!$A$6:$BE$37,9,0)-VLOOKUP(B536,#REF!,$E$2,0),0)</f>
        <v>0</v>
      </c>
      <c r="F536" s="9">
        <f>IFERROR(VLOOKUP(B536,cubo!$A$6:$BE$37,12,0)-VLOOKUP(B536,#REF!,$F$2,0),0)</f>
        <v>0</v>
      </c>
      <c r="G536" s="9">
        <f>IFERROR(VLOOKUP(B536,cubo!$A$6:$BE$37,54,0)-VLOOKUP(B536,#REF!,$G$2,0),0)</f>
        <v>0</v>
      </c>
      <c r="H536" s="10">
        <f>IFERROR(VLOOKUP(B536,cubo!$A$6:$BE$37,15,0)-VLOOKUP(B536,#REF!,$H$2,0),0)</f>
        <v>0</v>
      </c>
      <c r="I536" s="9">
        <f>IFERROR(VLOOKUP(B536,cubo!$A$6:$BE$37,18,0)-VLOOKUP(B536,#REF!,$I$2,0),0)</f>
        <v>0</v>
      </c>
      <c r="J536" s="9">
        <f>IFERROR(VLOOKUP(B536,cubo!$A$6:$BE$37,24,0)-VLOOKUP(B536,#REF!,$J$2,0),0)</f>
        <v>0</v>
      </c>
      <c r="K536" s="9">
        <f>IFERROR(VLOOKUP(B536,cubo!$A$6:$BE$37,34,0)-VLOOKUP(B536,#REF!,$K$2,0),0)</f>
        <v>0</v>
      </c>
      <c r="L536" s="8">
        <f>IFERROR(VLOOKUP(B536,cubo!$A$6:$BE$37,38,0)-VLOOKUP(B536,#REF!,$L$2,0),0)</f>
        <v>0</v>
      </c>
      <c r="M536" s="15">
        <f>IFERROR(VLOOKUP(B536,cubo!$A$6:$BE$37,57,0)-VLOOKUP(B536,#REF!,$M$2,0),0)</f>
        <v>0</v>
      </c>
      <c r="N536" s="9">
        <f>IFERROR(VLOOKUP(B536,cubo!$A$6:$BK$37,41,0)-VLOOKUP(conciliacao_custos!B536,#REF!,18,0),0)</f>
        <v>0</v>
      </c>
      <c r="O536" s="9">
        <f>IFERROR(VLOOKUP(B536,cubo!$A$6:$BK$37,44,0)-VLOOKUP(conciliacao_custos!B536,#REF!,13,0),0)</f>
        <v>0</v>
      </c>
      <c r="P536" s="9">
        <f>IFERROR(VLOOKUP(B536,cubo!$A$6:$BK$37,47,0)-VLOOKUP(conciliacao_custos!B536,#REF!,14,0),0)</f>
        <v>0</v>
      </c>
      <c r="Q536" s="9">
        <f>IFERROR(VLOOKUP(B536,cubo!$A$6:$BK$37,58,0)-VLOOKUP(conciliacao_custos!B536,#REF!,16,0),0)</f>
        <v>0</v>
      </c>
      <c r="R536" s="9">
        <f>IFERROR(VLOOKUP(B536,cubo!$A$6:$BK$37,64,0)-VLOOKUP(conciliacao_custos!B536,#REF!,17,0),0)</f>
        <v>0</v>
      </c>
      <c r="S536" s="9">
        <f>IFERROR(VLOOKUP(B536,cubo!$A$6:$BK$37,61,0)-VLOOKUP(conciliacao_custos!B536,#REF!,15,0),0)</f>
        <v>0</v>
      </c>
    </row>
    <row r="537" spans="2:19" x14ac:dyDescent="0.25">
      <c r="B537" s="7">
        <f>[1]salario!A536</f>
        <v>0</v>
      </c>
      <c r="C537" s="8">
        <f>[1]salario!C536</f>
        <v>0</v>
      </c>
      <c r="D537" s="10">
        <f>IFERROR(VLOOKUP(B537,cubo!$A$6:$BE$37,6,0)-VLOOKUP(B537,#REF!,$D$2,0),0)</f>
        <v>0</v>
      </c>
      <c r="E537" s="10">
        <f>IFERROR(VLOOKUP(B537,cubo!$A$6:$BE$37,9,0)-VLOOKUP(B537,#REF!,$E$2,0),0)</f>
        <v>0</v>
      </c>
      <c r="F537" s="9">
        <f>IFERROR(VLOOKUP(B537,cubo!$A$6:$BE$37,12,0)-VLOOKUP(B537,#REF!,$F$2,0),0)</f>
        <v>0</v>
      </c>
      <c r="G537" s="9">
        <f>IFERROR(VLOOKUP(B537,cubo!$A$6:$BE$37,54,0)-VLOOKUP(B537,#REF!,$G$2,0),0)</f>
        <v>0</v>
      </c>
      <c r="H537" s="10">
        <f>IFERROR(VLOOKUP(B537,cubo!$A$6:$BE$37,15,0)-VLOOKUP(B537,#REF!,$H$2,0),0)</f>
        <v>0</v>
      </c>
      <c r="I537" s="9">
        <f>IFERROR(VLOOKUP(B537,cubo!$A$6:$BE$37,18,0)-VLOOKUP(B537,#REF!,$I$2,0),0)</f>
        <v>0</v>
      </c>
      <c r="J537" s="9">
        <f>IFERROR(VLOOKUP(B537,cubo!$A$6:$BE$37,24,0)-VLOOKUP(B537,#REF!,$J$2,0),0)</f>
        <v>0</v>
      </c>
      <c r="K537" s="9">
        <f>IFERROR(VLOOKUP(B537,cubo!$A$6:$BE$37,34,0)-VLOOKUP(B537,#REF!,$K$2,0),0)</f>
        <v>0</v>
      </c>
      <c r="L537" s="8">
        <f>IFERROR(VLOOKUP(B537,cubo!$A$6:$BE$37,38,0)-VLOOKUP(B537,#REF!,$L$2,0),0)</f>
        <v>0</v>
      </c>
      <c r="M537" s="15">
        <f>IFERROR(VLOOKUP(B537,cubo!$A$6:$BE$37,57,0)-VLOOKUP(B537,#REF!,$M$2,0),0)</f>
        <v>0</v>
      </c>
      <c r="N537" s="9">
        <f>IFERROR(VLOOKUP(B537,cubo!$A$6:$BK$37,41,0)-VLOOKUP(conciliacao_custos!B537,#REF!,18,0),0)</f>
        <v>0</v>
      </c>
      <c r="O537" s="9">
        <f>IFERROR(VLOOKUP(B537,cubo!$A$6:$BK$37,44,0)-VLOOKUP(conciliacao_custos!B537,#REF!,13,0),0)</f>
        <v>0</v>
      </c>
      <c r="P537" s="9">
        <f>IFERROR(VLOOKUP(B537,cubo!$A$6:$BK$37,47,0)-VLOOKUP(conciliacao_custos!B537,#REF!,14,0),0)</f>
        <v>0</v>
      </c>
      <c r="Q537" s="9">
        <f>IFERROR(VLOOKUP(B537,cubo!$A$6:$BK$37,58,0)-VLOOKUP(conciliacao_custos!B537,#REF!,16,0),0)</f>
        <v>0</v>
      </c>
      <c r="R537" s="9">
        <f>IFERROR(VLOOKUP(B537,cubo!$A$6:$BK$37,64,0)-VLOOKUP(conciliacao_custos!B537,#REF!,17,0),0)</f>
        <v>0</v>
      </c>
      <c r="S537" s="9">
        <f>IFERROR(VLOOKUP(B537,cubo!$A$6:$BK$37,61,0)-VLOOKUP(conciliacao_custos!B537,#REF!,15,0),0)</f>
        <v>0</v>
      </c>
    </row>
    <row r="538" spans="2:19" x14ac:dyDescent="0.25">
      <c r="B538" s="7">
        <f>[1]salario!A537</f>
        <v>0</v>
      </c>
      <c r="C538" s="8">
        <f>[1]salario!C537</f>
        <v>0</v>
      </c>
      <c r="D538" s="10">
        <f>IFERROR(VLOOKUP(B538,cubo!$A$6:$BE$37,6,0)-VLOOKUP(B538,#REF!,$D$2,0),0)</f>
        <v>0</v>
      </c>
      <c r="E538" s="10">
        <f>IFERROR(VLOOKUP(B538,cubo!$A$6:$BE$37,9,0)-VLOOKUP(B538,#REF!,$E$2,0),0)</f>
        <v>0</v>
      </c>
      <c r="F538" s="9">
        <f>IFERROR(VLOOKUP(B538,cubo!$A$6:$BE$37,12,0)-VLOOKUP(B538,#REF!,$F$2,0),0)</f>
        <v>0</v>
      </c>
      <c r="G538" s="9">
        <f>IFERROR(VLOOKUP(B538,cubo!$A$6:$BE$37,54,0)-VLOOKUP(B538,#REF!,$G$2,0),0)</f>
        <v>0</v>
      </c>
      <c r="H538" s="10">
        <f>IFERROR(VLOOKUP(B538,cubo!$A$6:$BE$37,15,0)-VLOOKUP(B538,#REF!,$H$2,0),0)</f>
        <v>0</v>
      </c>
      <c r="I538" s="9">
        <f>IFERROR(VLOOKUP(B538,cubo!$A$6:$BE$37,18,0)-VLOOKUP(B538,#REF!,$I$2,0),0)</f>
        <v>0</v>
      </c>
      <c r="J538" s="9">
        <f>IFERROR(VLOOKUP(B538,cubo!$A$6:$BE$37,24,0)-VLOOKUP(B538,#REF!,$J$2,0),0)</f>
        <v>0</v>
      </c>
      <c r="K538" s="9">
        <f>IFERROR(VLOOKUP(B538,cubo!$A$6:$BE$37,34,0)-VLOOKUP(B538,#REF!,$K$2,0),0)</f>
        <v>0</v>
      </c>
      <c r="L538" s="8">
        <f>IFERROR(VLOOKUP(B538,cubo!$A$6:$BE$37,38,0)-VLOOKUP(B538,#REF!,$L$2,0),0)</f>
        <v>0</v>
      </c>
      <c r="M538" s="15">
        <f>IFERROR(VLOOKUP(B538,cubo!$A$6:$BE$37,57,0)-VLOOKUP(B538,#REF!,$M$2,0),0)</f>
        <v>0</v>
      </c>
      <c r="N538" s="9">
        <f>IFERROR(VLOOKUP(B538,cubo!$A$6:$BK$37,41,0)-VLOOKUP(conciliacao_custos!B538,#REF!,18,0),0)</f>
        <v>0</v>
      </c>
      <c r="O538" s="9">
        <f>IFERROR(VLOOKUP(B538,cubo!$A$6:$BK$37,44,0)-VLOOKUP(conciliacao_custos!B538,#REF!,13,0),0)</f>
        <v>0</v>
      </c>
      <c r="P538" s="9">
        <f>IFERROR(VLOOKUP(B538,cubo!$A$6:$BK$37,47,0)-VLOOKUP(conciliacao_custos!B538,#REF!,14,0),0)</f>
        <v>0</v>
      </c>
      <c r="Q538" s="9">
        <f>IFERROR(VLOOKUP(B538,cubo!$A$6:$BK$37,58,0)-VLOOKUP(conciliacao_custos!B538,#REF!,16,0),0)</f>
        <v>0</v>
      </c>
      <c r="R538" s="9">
        <f>IFERROR(VLOOKUP(B538,cubo!$A$6:$BK$37,64,0)-VLOOKUP(conciliacao_custos!B538,#REF!,17,0),0)</f>
        <v>0</v>
      </c>
      <c r="S538" s="9">
        <f>IFERROR(VLOOKUP(B538,cubo!$A$6:$BK$37,61,0)-VLOOKUP(conciliacao_custos!B538,#REF!,15,0),0)</f>
        <v>0</v>
      </c>
    </row>
    <row r="539" spans="2:19" x14ac:dyDescent="0.25">
      <c r="B539" s="7">
        <f>[1]salario!A538</f>
        <v>0</v>
      </c>
      <c r="C539" s="8">
        <f>[1]salario!C538</f>
        <v>0</v>
      </c>
      <c r="D539" s="10">
        <f>IFERROR(VLOOKUP(B539,cubo!$A$6:$BE$37,6,0)-VLOOKUP(B539,#REF!,$D$2,0),0)</f>
        <v>0</v>
      </c>
      <c r="E539" s="10">
        <f>IFERROR(VLOOKUP(B539,cubo!$A$6:$BE$37,9,0)-VLOOKUP(B539,#REF!,$E$2,0),0)</f>
        <v>0</v>
      </c>
      <c r="F539" s="9">
        <f>IFERROR(VLOOKUP(B539,cubo!$A$6:$BE$37,12,0)-VLOOKUP(B539,#REF!,$F$2,0),0)</f>
        <v>0</v>
      </c>
      <c r="G539" s="9">
        <f>IFERROR(VLOOKUP(B539,cubo!$A$6:$BE$37,54,0)-VLOOKUP(B539,#REF!,$G$2,0),0)</f>
        <v>0</v>
      </c>
      <c r="H539" s="10">
        <f>IFERROR(VLOOKUP(B539,cubo!$A$6:$BE$37,15,0)-VLOOKUP(B539,#REF!,$H$2,0),0)</f>
        <v>0</v>
      </c>
      <c r="I539" s="9">
        <f>IFERROR(VLOOKUP(B539,cubo!$A$6:$BE$37,18,0)-VLOOKUP(B539,#REF!,$I$2,0),0)</f>
        <v>0</v>
      </c>
      <c r="J539" s="9">
        <f>IFERROR(VLOOKUP(B539,cubo!$A$6:$BE$37,24,0)-VLOOKUP(B539,#REF!,$J$2,0),0)</f>
        <v>0</v>
      </c>
      <c r="K539" s="9">
        <f>IFERROR(VLOOKUP(B539,cubo!$A$6:$BE$37,34,0)-VLOOKUP(B539,#REF!,$K$2,0),0)</f>
        <v>0</v>
      </c>
      <c r="L539" s="8">
        <f>IFERROR(VLOOKUP(B539,cubo!$A$6:$BE$37,38,0)-VLOOKUP(B539,#REF!,$L$2,0),0)</f>
        <v>0</v>
      </c>
      <c r="M539" s="15">
        <f>IFERROR(VLOOKUP(B539,cubo!$A$6:$BE$37,57,0)-VLOOKUP(B539,#REF!,$M$2,0),0)</f>
        <v>0</v>
      </c>
      <c r="N539" s="9">
        <f>IFERROR(VLOOKUP(B539,cubo!$A$6:$BK$37,41,0)-VLOOKUP(conciliacao_custos!B539,#REF!,18,0),0)</f>
        <v>0</v>
      </c>
      <c r="O539" s="9">
        <f>IFERROR(VLOOKUP(B539,cubo!$A$6:$BK$37,44,0)-VLOOKUP(conciliacao_custos!B539,#REF!,13,0),0)</f>
        <v>0</v>
      </c>
      <c r="P539" s="9">
        <f>IFERROR(VLOOKUP(B539,cubo!$A$6:$BK$37,47,0)-VLOOKUP(conciliacao_custos!B539,#REF!,14,0),0)</f>
        <v>0</v>
      </c>
      <c r="Q539" s="9">
        <f>IFERROR(VLOOKUP(B539,cubo!$A$6:$BK$37,58,0)-VLOOKUP(conciliacao_custos!B539,#REF!,16,0),0)</f>
        <v>0</v>
      </c>
      <c r="R539" s="9">
        <f>IFERROR(VLOOKUP(B539,cubo!$A$6:$BK$37,64,0)-VLOOKUP(conciliacao_custos!B539,#REF!,17,0),0)</f>
        <v>0</v>
      </c>
      <c r="S539" s="9">
        <f>IFERROR(VLOOKUP(B539,cubo!$A$6:$BK$37,61,0)-VLOOKUP(conciliacao_custos!B539,#REF!,15,0),0)</f>
        <v>0</v>
      </c>
    </row>
    <row r="540" spans="2:19" x14ac:dyDescent="0.25">
      <c r="B540" s="7">
        <f>[1]salario!A539</f>
        <v>0</v>
      </c>
      <c r="C540" s="8">
        <f>[1]salario!C539</f>
        <v>0</v>
      </c>
      <c r="D540" s="10">
        <f>IFERROR(VLOOKUP(B540,cubo!$A$6:$BE$37,6,0)-VLOOKUP(B540,#REF!,$D$2,0),0)</f>
        <v>0</v>
      </c>
      <c r="E540" s="10">
        <f>IFERROR(VLOOKUP(B540,cubo!$A$6:$BE$37,9,0)-VLOOKUP(B540,#REF!,$E$2,0),0)</f>
        <v>0</v>
      </c>
      <c r="F540" s="9">
        <f>IFERROR(VLOOKUP(B540,cubo!$A$6:$BE$37,12,0)-VLOOKUP(B540,#REF!,$F$2,0),0)</f>
        <v>0</v>
      </c>
      <c r="G540" s="9">
        <f>IFERROR(VLOOKUP(B540,cubo!$A$6:$BE$37,54,0)-VLOOKUP(B540,#REF!,$G$2,0),0)</f>
        <v>0</v>
      </c>
      <c r="H540" s="10">
        <f>IFERROR(VLOOKUP(B540,cubo!$A$6:$BE$37,15,0)-VLOOKUP(B540,#REF!,$H$2,0),0)</f>
        <v>0</v>
      </c>
      <c r="I540" s="9">
        <f>IFERROR(VLOOKUP(B540,cubo!$A$6:$BE$37,18,0)-VLOOKUP(B540,#REF!,$I$2,0),0)</f>
        <v>0</v>
      </c>
      <c r="J540" s="9">
        <f>IFERROR(VLOOKUP(B540,cubo!$A$6:$BE$37,24,0)-VLOOKUP(B540,#REF!,$J$2,0),0)</f>
        <v>0</v>
      </c>
      <c r="K540" s="9">
        <f>IFERROR(VLOOKUP(B540,cubo!$A$6:$BE$37,34,0)-VLOOKUP(B540,#REF!,$K$2,0),0)</f>
        <v>0</v>
      </c>
      <c r="L540" s="8">
        <f>IFERROR(VLOOKUP(B540,cubo!$A$6:$BE$37,38,0)-VLOOKUP(B540,#REF!,$L$2,0),0)</f>
        <v>0</v>
      </c>
      <c r="M540" s="15">
        <f>IFERROR(VLOOKUP(B540,cubo!$A$6:$BE$37,57,0)-VLOOKUP(B540,#REF!,$M$2,0),0)</f>
        <v>0</v>
      </c>
      <c r="N540" s="9">
        <f>IFERROR(VLOOKUP(B540,cubo!$A$6:$BK$37,41,0)-VLOOKUP(conciliacao_custos!B540,#REF!,18,0),0)</f>
        <v>0</v>
      </c>
      <c r="O540" s="9">
        <f>IFERROR(VLOOKUP(B540,cubo!$A$6:$BK$37,44,0)-VLOOKUP(conciliacao_custos!B540,#REF!,13,0),0)</f>
        <v>0</v>
      </c>
      <c r="P540" s="9">
        <f>IFERROR(VLOOKUP(B540,cubo!$A$6:$BK$37,47,0)-VLOOKUP(conciliacao_custos!B540,#REF!,14,0),0)</f>
        <v>0</v>
      </c>
      <c r="Q540" s="9">
        <f>IFERROR(VLOOKUP(B540,cubo!$A$6:$BK$37,58,0)-VLOOKUP(conciliacao_custos!B540,#REF!,16,0),0)</f>
        <v>0</v>
      </c>
      <c r="R540" s="9">
        <f>IFERROR(VLOOKUP(B540,cubo!$A$6:$BK$37,64,0)-VLOOKUP(conciliacao_custos!B540,#REF!,17,0),0)</f>
        <v>0</v>
      </c>
      <c r="S540" s="9">
        <f>IFERROR(VLOOKUP(B540,cubo!$A$6:$BK$37,61,0)-VLOOKUP(conciliacao_custos!B540,#REF!,15,0),0)</f>
        <v>0</v>
      </c>
    </row>
    <row r="541" spans="2:19" x14ac:dyDescent="0.25">
      <c r="B541" s="7">
        <f>[1]salario!A540</f>
        <v>0</v>
      </c>
      <c r="C541" s="8">
        <f>[1]salario!C540</f>
        <v>0</v>
      </c>
      <c r="D541" s="10">
        <f>IFERROR(VLOOKUP(B541,cubo!$A$6:$BE$37,6,0)-VLOOKUP(B541,#REF!,$D$2,0),0)</f>
        <v>0</v>
      </c>
      <c r="E541" s="10">
        <f>IFERROR(VLOOKUP(B541,cubo!$A$6:$BE$37,9,0)-VLOOKUP(B541,#REF!,$E$2,0),0)</f>
        <v>0</v>
      </c>
      <c r="F541" s="9">
        <f>IFERROR(VLOOKUP(B541,cubo!$A$6:$BE$37,12,0)-VLOOKUP(B541,#REF!,$F$2,0),0)</f>
        <v>0</v>
      </c>
      <c r="G541" s="9">
        <f>IFERROR(VLOOKUP(B541,cubo!$A$6:$BE$37,54,0)-VLOOKUP(B541,#REF!,$G$2,0),0)</f>
        <v>0</v>
      </c>
      <c r="H541" s="10">
        <f>IFERROR(VLOOKUP(B541,cubo!$A$6:$BE$37,15,0)-VLOOKUP(B541,#REF!,$H$2,0),0)</f>
        <v>0</v>
      </c>
      <c r="I541" s="9">
        <f>IFERROR(VLOOKUP(B541,cubo!$A$6:$BE$37,18,0)-VLOOKUP(B541,#REF!,$I$2,0),0)</f>
        <v>0</v>
      </c>
      <c r="J541" s="9">
        <f>IFERROR(VLOOKUP(B541,cubo!$A$6:$BE$37,24,0)-VLOOKUP(B541,#REF!,$J$2,0),0)</f>
        <v>0</v>
      </c>
      <c r="K541" s="9">
        <f>IFERROR(VLOOKUP(B541,cubo!$A$6:$BE$37,34,0)-VLOOKUP(B541,#REF!,$K$2,0),0)</f>
        <v>0</v>
      </c>
      <c r="L541" s="8">
        <f>IFERROR(VLOOKUP(B541,cubo!$A$6:$BE$37,38,0)-VLOOKUP(B541,#REF!,$L$2,0),0)</f>
        <v>0</v>
      </c>
      <c r="M541" s="15">
        <f>IFERROR(VLOOKUP(B541,cubo!$A$6:$BE$37,57,0)-VLOOKUP(B541,#REF!,$M$2,0),0)</f>
        <v>0</v>
      </c>
      <c r="N541" s="9">
        <f>IFERROR(VLOOKUP(B541,cubo!$A$6:$BK$37,41,0)-VLOOKUP(conciliacao_custos!B541,#REF!,18,0),0)</f>
        <v>0</v>
      </c>
      <c r="O541" s="9">
        <f>IFERROR(VLOOKUP(B541,cubo!$A$6:$BK$37,44,0)-VLOOKUP(conciliacao_custos!B541,#REF!,13,0),0)</f>
        <v>0</v>
      </c>
      <c r="P541" s="9">
        <f>IFERROR(VLOOKUP(B541,cubo!$A$6:$BK$37,47,0)-VLOOKUP(conciliacao_custos!B541,#REF!,14,0),0)</f>
        <v>0</v>
      </c>
      <c r="Q541" s="9">
        <f>IFERROR(VLOOKUP(B541,cubo!$A$6:$BK$37,58,0)-VLOOKUP(conciliacao_custos!B541,#REF!,16,0),0)</f>
        <v>0</v>
      </c>
      <c r="R541" s="9">
        <f>IFERROR(VLOOKUP(B541,cubo!$A$6:$BK$37,64,0)-VLOOKUP(conciliacao_custos!B541,#REF!,17,0),0)</f>
        <v>0</v>
      </c>
      <c r="S541" s="9">
        <f>IFERROR(VLOOKUP(B541,cubo!$A$6:$BK$37,61,0)-VLOOKUP(conciliacao_custos!B541,#REF!,15,0),0)</f>
        <v>0</v>
      </c>
    </row>
    <row r="542" spans="2:19" x14ac:dyDescent="0.25">
      <c r="B542" s="7">
        <f>[1]salario!A541</f>
        <v>0</v>
      </c>
      <c r="C542" s="8">
        <f>[1]salario!C541</f>
        <v>0</v>
      </c>
      <c r="D542" s="10">
        <f>IFERROR(VLOOKUP(B542,cubo!$A$6:$BE$37,6,0)-VLOOKUP(B542,#REF!,$D$2,0),0)</f>
        <v>0</v>
      </c>
      <c r="E542" s="10">
        <f>IFERROR(VLOOKUP(B542,cubo!$A$6:$BE$37,9,0)-VLOOKUP(B542,#REF!,$E$2,0),0)</f>
        <v>0</v>
      </c>
      <c r="F542" s="9">
        <f>IFERROR(VLOOKUP(B542,cubo!$A$6:$BE$37,12,0)-VLOOKUP(B542,#REF!,$F$2,0),0)</f>
        <v>0</v>
      </c>
      <c r="G542" s="9">
        <f>IFERROR(VLOOKUP(B542,cubo!$A$6:$BE$37,54,0)-VLOOKUP(B542,#REF!,$G$2,0),0)</f>
        <v>0</v>
      </c>
      <c r="H542" s="10">
        <f>IFERROR(VLOOKUP(B542,cubo!$A$6:$BE$37,15,0)-VLOOKUP(B542,#REF!,$H$2,0),0)</f>
        <v>0</v>
      </c>
      <c r="I542" s="9">
        <f>IFERROR(VLOOKUP(B542,cubo!$A$6:$BE$37,18,0)-VLOOKUP(B542,#REF!,$I$2,0),0)</f>
        <v>0</v>
      </c>
      <c r="J542" s="9">
        <f>IFERROR(VLOOKUP(B542,cubo!$A$6:$BE$37,24,0)-VLOOKUP(B542,#REF!,$J$2,0),0)</f>
        <v>0</v>
      </c>
      <c r="K542" s="9">
        <f>IFERROR(VLOOKUP(B542,cubo!$A$6:$BE$37,34,0)-VLOOKUP(B542,#REF!,$K$2,0),0)</f>
        <v>0</v>
      </c>
      <c r="L542" s="8">
        <f>IFERROR(VLOOKUP(B542,cubo!$A$6:$BE$37,38,0)-VLOOKUP(B542,#REF!,$L$2,0),0)</f>
        <v>0</v>
      </c>
      <c r="M542" s="15">
        <f>IFERROR(VLOOKUP(B542,cubo!$A$6:$BE$37,57,0)-VLOOKUP(B542,#REF!,$M$2,0),0)</f>
        <v>0</v>
      </c>
      <c r="N542" s="9">
        <f>IFERROR(VLOOKUP(B542,cubo!$A$6:$BK$37,41,0)-VLOOKUP(conciliacao_custos!B542,#REF!,18,0),0)</f>
        <v>0</v>
      </c>
      <c r="O542" s="9">
        <f>IFERROR(VLOOKUP(B542,cubo!$A$6:$BK$37,44,0)-VLOOKUP(conciliacao_custos!B542,#REF!,13,0),0)</f>
        <v>0</v>
      </c>
      <c r="P542" s="9">
        <f>IFERROR(VLOOKUP(B542,cubo!$A$6:$BK$37,47,0)-VLOOKUP(conciliacao_custos!B542,#REF!,14,0),0)</f>
        <v>0</v>
      </c>
      <c r="Q542" s="9">
        <f>IFERROR(VLOOKUP(B542,cubo!$A$6:$BK$37,58,0)-VLOOKUP(conciliacao_custos!B542,#REF!,16,0),0)</f>
        <v>0</v>
      </c>
      <c r="R542" s="9">
        <f>IFERROR(VLOOKUP(B542,cubo!$A$6:$BK$37,64,0)-VLOOKUP(conciliacao_custos!B542,#REF!,17,0),0)</f>
        <v>0</v>
      </c>
      <c r="S542" s="9">
        <f>IFERROR(VLOOKUP(B542,cubo!$A$6:$BK$37,61,0)-VLOOKUP(conciliacao_custos!B542,#REF!,15,0),0)</f>
        <v>0</v>
      </c>
    </row>
    <row r="543" spans="2:19" x14ac:dyDescent="0.25">
      <c r="B543" s="7">
        <f>[1]salario!A542</f>
        <v>0</v>
      </c>
      <c r="C543" s="8">
        <f>[1]salario!C542</f>
        <v>0</v>
      </c>
      <c r="D543" s="10">
        <f>IFERROR(VLOOKUP(B543,cubo!$A$6:$BE$37,6,0)-VLOOKUP(B543,#REF!,$D$2,0),0)</f>
        <v>0</v>
      </c>
      <c r="E543" s="10">
        <f>IFERROR(VLOOKUP(B543,cubo!$A$6:$BE$37,9,0)-VLOOKUP(B543,#REF!,$E$2,0),0)</f>
        <v>0</v>
      </c>
      <c r="F543" s="9">
        <f>IFERROR(VLOOKUP(B543,cubo!$A$6:$BE$37,12,0)-VLOOKUP(B543,#REF!,$F$2,0),0)</f>
        <v>0</v>
      </c>
      <c r="G543" s="9">
        <f>IFERROR(VLOOKUP(B543,cubo!$A$6:$BE$37,54,0)-VLOOKUP(B543,#REF!,$G$2,0),0)</f>
        <v>0</v>
      </c>
      <c r="H543" s="10">
        <f>IFERROR(VLOOKUP(B543,cubo!$A$6:$BE$37,15,0)-VLOOKUP(B543,#REF!,$H$2,0),0)</f>
        <v>0</v>
      </c>
      <c r="I543" s="9">
        <f>IFERROR(VLOOKUP(B543,cubo!$A$6:$BE$37,18,0)-VLOOKUP(B543,#REF!,$I$2,0),0)</f>
        <v>0</v>
      </c>
      <c r="J543" s="9">
        <f>IFERROR(VLOOKUP(B543,cubo!$A$6:$BE$37,24,0)-VLOOKUP(B543,#REF!,$J$2,0),0)</f>
        <v>0</v>
      </c>
      <c r="K543" s="9">
        <f>IFERROR(VLOOKUP(B543,cubo!$A$6:$BE$37,34,0)-VLOOKUP(B543,#REF!,$K$2,0),0)</f>
        <v>0</v>
      </c>
      <c r="L543" s="8">
        <f>IFERROR(VLOOKUP(B543,cubo!$A$6:$BE$37,38,0)-VLOOKUP(B543,#REF!,$L$2,0),0)</f>
        <v>0</v>
      </c>
      <c r="M543" s="15">
        <f>IFERROR(VLOOKUP(B543,cubo!$A$6:$BE$37,57,0)-VLOOKUP(B543,#REF!,$M$2,0),0)</f>
        <v>0</v>
      </c>
      <c r="N543" s="9">
        <f>IFERROR(VLOOKUP(B543,cubo!$A$6:$BK$37,41,0)-VLOOKUP(conciliacao_custos!B543,#REF!,18,0),0)</f>
        <v>0</v>
      </c>
      <c r="O543" s="9">
        <f>IFERROR(VLOOKUP(B543,cubo!$A$6:$BK$37,44,0)-VLOOKUP(conciliacao_custos!B543,#REF!,13,0),0)</f>
        <v>0</v>
      </c>
      <c r="P543" s="9">
        <f>IFERROR(VLOOKUP(B543,cubo!$A$6:$BK$37,47,0)-VLOOKUP(conciliacao_custos!B543,#REF!,14,0),0)</f>
        <v>0</v>
      </c>
      <c r="Q543" s="9">
        <f>IFERROR(VLOOKUP(B543,cubo!$A$6:$BK$37,58,0)-VLOOKUP(conciliacao_custos!B543,#REF!,16,0),0)</f>
        <v>0</v>
      </c>
      <c r="R543" s="9">
        <f>IFERROR(VLOOKUP(B543,cubo!$A$6:$BK$37,64,0)-VLOOKUP(conciliacao_custos!B543,#REF!,17,0),0)</f>
        <v>0</v>
      </c>
      <c r="S543" s="9">
        <f>IFERROR(VLOOKUP(B543,cubo!$A$6:$BK$37,61,0)-VLOOKUP(conciliacao_custos!B543,#REF!,15,0),0)</f>
        <v>0</v>
      </c>
    </row>
    <row r="544" spans="2:19" x14ac:dyDescent="0.25">
      <c r="B544" s="7">
        <f>[1]salario!A543</f>
        <v>0</v>
      </c>
      <c r="C544" s="8">
        <f>[1]salario!C543</f>
        <v>0</v>
      </c>
      <c r="D544" s="10">
        <f>IFERROR(VLOOKUP(B544,cubo!$A$6:$BE$37,6,0)-VLOOKUP(B544,#REF!,$D$2,0),0)</f>
        <v>0</v>
      </c>
      <c r="E544" s="10">
        <f>IFERROR(VLOOKUP(B544,cubo!$A$6:$BE$37,9,0)-VLOOKUP(B544,#REF!,$E$2,0),0)</f>
        <v>0</v>
      </c>
      <c r="F544" s="9">
        <f>IFERROR(VLOOKUP(B544,cubo!$A$6:$BE$37,12,0)-VLOOKUP(B544,#REF!,$F$2,0),0)</f>
        <v>0</v>
      </c>
      <c r="G544" s="9">
        <f>IFERROR(VLOOKUP(B544,cubo!$A$6:$BE$37,54,0)-VLOOKUP(B544,#REF!,$G$2,0),0)</f>
        <v>0</v>
      </c>
      <c r="H544" s="10">
        <f>IFERROR(VLOOKUP(B544,cubo!$A$6:$BE$37,15,0)-VLOOKUP(B544,#REF!,$H$2,0),0)</f>
        <v>0</v>
      </c>
      <c r="I544" s="9">
        <f>IFERROR(VLOOKUP(B544,cubo!$A$6:$BE$37,18,0)-VLOOKUP(B544,#REF!,$I$2,0),0)</f>
        <v>0</v>
      </c>
      <c r="J544" s="9">
        <f>IFERROR(VLOOKUP(B544,cubo!$A$6:$BE$37,24,0)-VLOOKUP(B544,#REF!,$J$2,0),0)</f>
        <v>0</v>
      </c>
      <c r="K544" s="9">
        <f>IFERROR(VLOOKUP(B544,cubo!$A$6:$BE$37,34,0)-VLOOKUP(B544,#REF!,$K$2,0),0)</f>
        <v>0</v>
      </c>
      <c r="L544" s="8">
        <f>IFERROR(VLOOKUP(B544,cubo!$A$6:$BE$37,38,0)-VLOOKUP(B544,#REF!,$L$2,0),0)</f>
        <v>0</v>
      </c>
      <c r="M544" s="15">
        <f>IFERROR(VLOOKUP(B544,cubo!$A$6:$BE$37,57,0)-VLOOKUP(B544,#REF!,$M$2,0),0)</f>
        <v>0</v>
      </c>
      <c r="N544" s="9">
        <f>IFERROR(VLOOKUP(B544,cubo!$A$6:$BK$37,41,0)-VLOOKUP(conciliacao_custos!B544,#REF!,18,0),0)</f>
        <v>0</v>
      </c>
      <c r="O544" s="9">
        <f>IFERROR(VLOOKUP(B544,cubo!$A$6:$BK$37,44,0)-VLOOKUP(conciliacao_custos!B544,#REF!,13,0),0)</f>
        <v>0</v>
      </c>
      <c r="P544" s="9">
        <f>IFERROR(VLOOKUP(B544,cubo!$A$6:$BK$37,47,0)-VLOOKUP(conciliacao_custos!B544,#REF!,14,0),0)</f>
        <v>0</v>
      </c>
      <c r="Q544" s="9">
        <f>IFERROR(VLOOKUP(B544,cubo!$A$6:$BK$37,58,0)-VLOOKUP(conciliacao_custos!B544,#REF!,16,0),0)</f>
        <v>0</v>
      </c>
      <c r="R544" s="9">
        <f>IFERROR(VLOOKUP(B544,cubo!$A$6:$BK$37,64,0)-VLOOKUP(conciliacao_custos!B544,#REF!,17,0),0)</f>
        <v>0</v>
      </c>
      <c r="S544" s="9">
        <f>IFERROR(VLOOKUP(B544,cubo!$A$6:$BK$37,61,0)-VLOOKUP(conciliacao_custos!B544,#REF!,15,0),0)</f>
        <v>0</v>
      </c>
    </row>
    <row r="545" spans="2:19" x14ac:dyDescent="0.25">
      <c r="B545" s="7">
        <f>[1]salario!A544</f>
        <v>0</v>
      </c>
      <c r="C545" s="8">
        <f>[1]salario!C544</f>
        <v>0</v>
      </c>
      <c r="D545" s="10">
        <f>IFERROR(VLOOKUP(B545,cubo!$A$6:$BE$37,6,0)-VLOOKUP(B545,#REF!,$D$2,0),0)</f>
        <v>0</v>
      </c>
      <c r="E545" s="10">
        <f>IFERROR(VLOOKUP(B545,cubo!$A$6:$BE$37,9,0)-VLOOKUP(B545,#REF!,$E$2,0),0)</f>
        <v>0</v>
      </c>
      <c r="F545" s="9">
        <f>IFERROR(VLOOKUP(B545,cubo!$A$6:$BE$37,12,0)-VLOOKUP(B545,#REF!,$F$2,0),0)</f>
        <v>0</v>
      </c>
      <c r="G545" s="9">
        <f>IFERROR(VLOOKUP(B545,cubo!$A$6:$BE$37,54,0)-VLOOKUP(B545,#REF!,$G$2,0),0)</f>
        <v>0</v>
      </c>
      <c r="H545" s="10">
        <f>IFERROR(VLOOKUP(B545,cubo!$A$6:$BE$37,15,0)-VLOOKUP(B545,#REF!,$H$2,0),0)</f>
        <v>0</v>
      </c>
      <c r="I545" s="9">
        <f>IFERROR(VLOOKUP(B545,cubo!$A$6:$BE$37,18,0)-VLOOKUP(B545,#REF!,$I$2,0),0)</f>
        <v>0</v>
      </c>
      <c r="J545" s="9">
        <f>IFERROR(VLOOKUP(B545,cubo!$A$6:$BE$37,24,0)-VLOOKUP(B545,#REF!,$J$2,0),0)</f>
        <v>0</v>
      </c>
      <c r="K545" s="9">
        <f>IFERROR(VLOOKUP(B545,cubo!$A$6:$BE$37,34,0)-VLOOKUP(B545,#REF!,$K$2,0),0)</f>
        <v>0</v>
      </c>
      <c r="L545" s="8">
        <f>IFERROR(VLOOKUP(B545,cubo!$A$6:$BE$37,38,0)-VLOOKUP(B545,#REF!,$L$2,0),0)</f>
        <v>0</v>
      </c>
      <c r="M545" s="15">
        <f>IFERROR(VLOOKUP(B545,cubo!$A$6:$BE$37,57,0)-VLOOKUP(B545,#REF!,$M$2,0),0)</f>
        <v>0</v>
      </c>
      <c r="N545" s="9">
        <f>IFERROR(VLOOKUP(B545,cubo!$A$6:$BK$37,41,0)-VLOOKUP(conciliacao_custos!B545,#REF!,18,0),0)</f>
        <v>0</v>
      </c>
      <c r="O545" s="9">
        <f>IFERROR(VLOOKUP(B545,cubo!$A$6:$BK$37,44,0)-VLOOKUP(conciliacao_custos!B545,#REF!,13,0),0)</f>
        <v>0</v>
      </c>
      <c r="P545" s="9">
        <f>IFERROR(VLOOKUP(B545,cubo!$A$6:$BK$37,47,0)-VLOOKUP(conciliacao_custos!B545,#REF!,14,0),0)</f>
        <v>0</v>
      </c>
      <c r="Q545" s="9">
        <f>IFERROR(VLOOKUP(B545,cubo!$A$6:$BK$37,58,0)-VLOOKUP(conciliacao_custos!B545,#REF!,16,0),0)</f>
        <v>0</v>
      </c>
      <c r="R545" s="9">
        <f>IFERROR(VLOOKUP(B545,cubo!$A$6:$BK$37,64,0)-VLOOKUP(conciliacao_custos!B545,#REF!,17,0),0)</f>
        <v>0</v>
      </c>
      <c r="S545" s="9">
        <f>IFERROR(VLOOKUP(B545,cubo!$A$6:$BK$37,61,0)-VLOOKUP(conciliacao_custos!B545,#REF!,15,0),0)</f>
        <v>0</v>
      </c>
    </row>
    <row r="546" spans="2:19" x14ac:dyDescent="0.25">
      <c r="B546" s="7">
        <f>[1]salario!A545</f>
        <v>0</v>
      </c>
      <c r="C546" s="8">
        <f>[1]salario!C545</f>
        <v>0</v>
      </c>
      <c r="D546" s="10">
        <f>IFERROR(VLOOKUP(B546,cubo!$A$6:$BE$37,6,0)-VLOOKUP(B546,#REF!,$D$2,0),0)</f>
        <v>0</v>
      </c>
      <c r="E546" s="10">
        <f>IFERROR(VLOOKUP(B546,cubo!$A$6:$BE$37,9,0)-VLOOKUP(B546,#REF!,$E$2,0),0)</f>
        <v>0</v>
      </c>
      <c r="F546" s="9">
        <f>IFERROR(VLOOKUP(B546,cubo!$A$6:$BE$37,12,0)-VLOOKUP(B546,#REF!,$F$2,0),0)</f>
        <v>0</v>
      </c>
      <c r="G546" s="9">
        <f>IFERROR(VLOOKUP(B546,cubo!$A$6:$BE$37,54,0)-VLOOKUP(B546,#REF!,$G$2,0),0)</f>
        <v>0</v>
      </c>
      <c r="H546" s="10">
        <f>IFERROR(VLOOKUP(B546,cubo!$A$6:$BE$37,15,0)-VLOOKUP(B546,#REF!,$H$2,0),0)</f>
        <v>0</v>
      </c>
      <c r="I546" s="9">
        <f>IFERROR(VLOOKUP(B546,cubo!$A$6:$BE$37,18,0)-VLOOKUP(B546,#REF!,$I$2,0),0)</f>
        <v>0</v>
      </c>
      <c r="J546" s="9">
        <f>IFERROR(VLOOKUP(B546,cubo!$A$6:$BE$37,24,0)-VLOOKUP(B546,#REF!,$J$2,0),0)</f>
        <v>0</v>
      </c>
      <c r="K546" s="9">
        <f>IFERROR(VLOOKUP(B546,cubo!$A$6:$BE$37,34,0)-VLOOKUP(B546,#REF!,$K$2,0),0)</f>
        <v>0</v>
      </c>
      <c r="L546" s="8">
        <f>IFERROR(VLOOKUP(B546,cubo!$A$6:$BE$37,38,0)-VLOOKUP(B546,#REF!,$L$2,0),0)</f>
        <v>0</v>
      </c>
      <c r="M546" s="15">
        <f>IFERROR(VLOOKUP(B546,cubo!$A$6:$BE$37,57,0)-VLOOKUP(B546,#REF!,$M$2,0),0)</f>
        <v>0</v>
      </c>
      <c r="N546" s="9">
        <f>IFERROR(VLOOKUP(B546,cubo!$A$6:$BK$37,41,0)-VLOOKUP(conciliacao_custos!B546,#REF!,18,0),0)</f>
        <v>0</v>
      </c>
      <c r="O546" s="9">
        <f>IFERROR(VLOOKUP(B546,cubo!$A$6:$BK$37,44,0)-VLOOKUP(conciliacao_custos!B546,#REF!,13,0),0)</f>
        <v>0</v>
      </c>
      <c r="P546" s="9">
        <f>IFERROR(VLOOKUP(B546,cubo!$A$6:$BK$37,47,0)-VLOOKUP(conciliacao_custos!B546,#REF!,14,0),0)</f>
        <v>0</v>
      </c>
      <c r="Q546" s="9">
        <f>IFERROR(VLOOKUP(B546,cubo!$A$6:$BK$37,58,0)-VLOOKUP(conciliacao_custos!B546,#REF!,16,0),0)</f>
        <v>0</v>
      </c>
      <c r="R546" s="9">
        <f>IFERROR(VLOOKUP(B546,cubo!$A$6:$BK$37,64,0)-VLOOKUP(conciliacao_custos!B546,#REF!,17,0),0)</f>
        <v>0</v>
      </c>
      <c r="S546" s="9">
        <f>IFERROR(VLOOKUP(B546,cubo!$A$6:$BK$37,61,0)-VLOOKUP(conciliacao_custos!B546,#REF!,15,0),0)</f>
        <v>0</v>
      </c>
    </row>
    <row r="547" spans="2:19" x14ac:dyDescent="0.25">
      <c r="B547" s="7">
        <f>[1]salario!A546</f>
        <v>0</v>
      </c>
      <c r="C547" s="8">
        <f>[1]salario!C546</f>
        <v>0</v>
      </c>
      <c r="D547" s="10">
        <f>IFERROR(VLOOKUP(B547,cubo!$A$6:$BE$37,6,0)-VLOOKUP(B547,#REF!,$D$2,0),0)</f>
        <v>0</v>
      </c>
      <c r="E547" s="10">
        <f>IFERROR(VLOOKUP(B547,cubo!$A$6:$BE$37,9,0)-VLOOKUP(B547,#REF!,$E$2,0),0)</f>
        <v>0</v>
      </c>
      <c r="F547" s="9">
        <f>IFERROR(VLOOKUP(B547,cubo!$A$6:$BE$37,12,0)-VLOOKUP(B547,#REF!,$F$2,0),0)</f>
        <v>0</v>
      </c>
      <c r="G547" s="9">
        <f>IFERROR(VLOOKUP(B547,cubo!$A$6:$BE$37,54,0)-VLOOKUP(B547,#REF!,$G$2,0),0)</f>
        <v>0</v>
      </c>
      <c r="H547" s="10">
        <f>IFERROR(VLOOKUP(B547,cubo!$A$6:$BE$37,15,0)-VLOOKUP(B547,#REF!,$H$2,0),0)</f>
        <v>0</v>
      </c>
      <c r="I547" s="9">
        <f>IFERROR(VLOOKUP(B547,cubo!$A$6:$BE$37,18,0)-VLOOKUP(B547,#REF!,$I$2,0),0)</f>
        <v>0</v>
      </c>
      <c r="J547" s="9">
        <f>IFERROR(VLOOKUP(B547,cubo!$A$6:$BE$37,24,0)-VLOOKUP(B547,#REF!,$J$2,0),0)</f>
        <v>0</v>
      </c>
      <c r="K547" s="9">
        <f>IFERROR(VLOOKUP(B547,cubo!$A$6:$BE$37,34,0)-VLOOKUP(B547,#REF!,$K$2,0),0)</f>
        <v>0</v>
      </c>
      <c r="L547" s="8">
        <f>IFERROR(VLOOKUP(B547,cubo!$A$6:$BE$37,38,0)-VLOOKUP(B547,#REF!,$L$2,0),0)</f>
        <v>0</v>
      </c>
      <c r="M547" s="15">
        <f>IFERROR(VLOOKUP(B547,cubo!$A$6:$BE$37,57,0)-VLOOKUP(B547,#REF!,$M$2,0),0)</f>
        <v>0</v>
      </c>
      <c r="N547" s="9">
        <f>IFERROR(VLOOKUP(B547,cubo!$A$6:$BK$37,41,0)-VLOOKUP(conciliacao_custos!B547,#REF!,18,0),0)</f>
        <v>0</v>
      </c>
      <c r="O547" s="9">
        <f>IFERROR(VLOOKUP(B547,cubo!$A$6:$BK$37,44,0)-VLOOKUP(conciliacao_custos!B547,#REF!,13,0),0)</f>
        <v>0</v>
      </c>
      <c r="P547" s="9">
        <f>IFERROR(VLOOKUP(B547,cubo!$A$6:$BK$37,47,0)-VLOOKUP(conciliacao_custos!B547,#REF!,14,0),0)</f>
        <v>0</v>
      </c>
      <c r="Q547" s="9">
        <f>IFERROR(VLOOKUP(B547,cubo!$A$6:$BK$37,58,0)-VLOOKUP(conciliacao_custos!B547,#REF!,16,0),0)</f>
        <v>0</v>
      </c>
      <c r="R547" s="9">
        <f>IFERROR(VLOOKUP(B547,cubo!$A$6:$BK$37,64,0)-VLOOKUP(conciliacao_custos!B547,#REF!,17,0),0)</f>
        <v>0</v>
      </c>
      <c r="S547" s="9">
        <f>IFERROR(VLOOKUP(B547,cubo!$A$6:$BK$37,61,0)-VLOOKUP(conciliacao_custos!B547,#REF!,15,0),0)</f>
        <v>0</v>
      </c>
    </row>
    <row r="548" spans="2:19" x14ac:dyDescent="0.25">
      <c r="B548" s="7">
        <f>[1]salario!A547</f>
        <v>0</v>
      </c>
      <c r="C548" s="8">
        <f>[1]salario!C547</f>
        <v>0</v>
      </c>
      <c r="D548" s="10">
        <f>IFERROR(VLOOKUP(B548,cubo!$A$6:$BE$37,6,0)-VLOOKUP(B548,#REF!,$D$2,0),0)</f>
        <v>0</v>
      </c>
      <c r="E548" s="10">
        <f>IFERROR(VLOOKUP(B548,cubo!$A$6:$BE$37,9,0)-VLOOKUP(B548,#REF!,$E$2,0),0)</f>
        <v>0</v>
      </c>
      <c r="F548" s="9">
        <f>IFERROR(VLOOKUP(B548,cubo!$A$6:$BE$37,12,0)-VLOOKUP(B548,#REF!,$F$2,0),0)</f>
        <v>0</v>
      </c>
      <c r="G548" s="9">
        <f>IFERROR(VLOOKUP(B548,cubo!$A$6:$BE$37,54,0)-VLOOKUP(B548,#REF!,$G$2,0),0)</f>
        <v>0</v>
      </c>
      <c r="H548" s="10">
        <f>IFERROR(VLOOKUP(B548,cubo!$A$6:$BE$37,15,0)-VLOOKUP(B548,#REF!,$H$2,0),0)</f>
        <v>0</v>
      </c>
      <c r="I548" s="9">
        <f>IFERROR(VLOOKUP(B548,cubo!$A$6:$BE$37,18,0)-VLOOKUP(B548,#REF!,$I$2,0),0)</f>
        <v>0</v>
      </c>
      <c r="J548" s="9">
        <f>IFERROR(VLOOKUP(B548,cubo!$A$6:$BE$37,24,0)-VLOOKUP(B548,#REF!,$J$2,0),0)</f>
        <v>0</v>
      </c>
      <c r="K548" s="9">
        <f>IFERROR(VLOOKUP(B548,cubo!$A$6:$BE$37,34,0)-VLOOKUP(B548,#REF!,$K$2,0),0)</f>
        <v>0</v>
      </c>
      <c r="L548" s="8">
        <f>IFERROR(VLOOKUP(B548,cubo!$A$6:$BE$37,38,0)-VLOOKUP(B548,#REF!,$L$2,0),0)</f>
        <v>0</v>
      </c>
      <c r="M548" s="15">
        <f>IFERROR(VLOOKUP(B548,cubo!$A$6:$BE$37,57,0)-VLOOKUP(B548,#REF!,$M$2,0),0)</f>
        <v>0</v>
      </c>
      <c r="N548" s="9">
        <f>IFERROR(VLOOKUP(B548,cubo!$A$6:$BK$37,41,0)-VLOOKUP(conciliacao_custos!B548,#REF!,18,0),0)</f>
        <v>0</v>
      </c>
      <c r="O548" s="9">
        <f>IFERROR(VLOOKUP(B548,cubo!$A$6:$BK$37,44,0)-VLOOKUP(conciliacao_custos!B548,#REF!,13,0),0)</f>
        <v>0</v>
      </c>
      <c r="P548" s="9">
        <f>IFERROR(VLOOKUP(B548,cubo!$A$6:$BK$37,47,0)-VLOOKUP(conciliacao_custos!B548,#REF!,14,0),0)</f>
        <v>0</v>
      </c>
      <c r="Q548" s="9">
        <f>IFERROR(VLOOKUP(B548,cubo!$A$6:$BK$37,58,0)-VLOOKUP(conciliacao_custos!B548,#REF!,16,0),0)</f>
        <v>0</v>
      </c>
      <c r="R548" s="9">
        <f>IFERROR(VLOOKUP(B548,cubo!$A$6:$BK$37,64,0)-VLOOKUP(conciliacao_custos!B548,#REF!,17,0),0)</f>
        <v>0</v>
      </c>
      <c r="S548" s="9">
        <f>IFERROR(VLOOKUP(B548,cubo!$A$6:$BK$37,61,0)-VLOOKUP(conciliacao_custos!B548,#REF!,15,0),0)</f>
        <v>0</v>
      </c>
    </row>
    <row r="549" spans="2:19" x14ac:dyDescent="0.25">
      <c r="B549" s="7">
        <f>[1]salario!A548</f>
        <v>0</v>
      </c>
      <c r="C549" s="8">
        <f>[1]salario!C548</f>
        <v>0</v>
      </c>
      <c r="D549" s="10">
        <f>IFERROR(VLOOKUP(B549,cubo!$A$6:$BE$37,6,0)-VLOOKUP(B549,#REF!,$D$2,0),0)</f>
        <v>0</v>
      </c>
      <c r="E549" s="10">
        <f>IFERROR(VLOOKUP(B549,cubo!$A$6:$BE$37,9,0)-VLOOKUP(B549,#REF!,$E$2,0),0)</f>
        <v>0</v>
      </c>
      <c r="F549" s="9">
        <f>IFERROR(VLOOKUP(B549,cubo!$A$6:$BE$37,12,0)-VLOOKUP(B549,#REF!,$F$2,0),0)</f>
        <v>0</v>
      </c>
      <c r="G549" s="9">
        <f>IFERROR(VLOOKUP(B549,cubo!$A$6:$BE$37,54,0)-VLOOKUP(B549,#REF!,$G$2,0),0)</f>
        <v>0</v>
      </c>
      <c r="H549" s="10">
        <f>IFERROR(VLOOKUP(B549,cubo!$A$6:$BE$37,15,0)-VLOOKUP(B549,#REF!,$H$2,0),0)</f>
        <v>0</v>
      </c>
      <c r="I549" s="9">
        <f>IFERROR(VLOOKUP(B549,cubo!$A$6:$BE$37,18,0)-VLOOKUP(B549,#REF!,$I$2,0),0)</f>
        <v>0</v>
      </c>
      <c r="J549" s="9">
        <f>IFERROR(VLOOKUP(B549,cubo!$A$6:$BE$37,24,0)-VLOOKUP(B549,#REF!,$J$2,0),0)</f>
        <v>0</v>
      </c>
      <c r="K549" s="9">
        <f>IFERROR(VLOOKUP(B549,cubo!$A$6:$BE$37,34,0)-VLOOKUP(B549,#REF!,$K$2,0),0)</f>
        <v>0</v>
      </c>
      <c r="L549" s="8">
        <f>IFERROR(VLOOKUP(B549,cubo!$A$6:$BE$37,38,0)-VLOOKUP(B549,#REF!,$L$2,0),0)</f>
        <v>0</v>
      </c>
      <c r="M549" s="15">
        <f>IFERROR(VLOOKUP(B549,cubo!$A$6:$BE$37,57,0)-VLOOKUP(B549,#REF!,$M$2,0),0)</f>
        <v>0</v>
      </c>
      <c r="N549" s="9">
        <f>IFERROR(VLOOKUP(B549,cubo!$A$6:$BK$37,41,0)-VLOOKUP(conciliacao_custos!B549,#REF!,18,0),0)</f>
        <v>0</v>
      </c>
      <c r="O549" s="9">
        <f>IFERROR(VLOOKUP(B549,cubo!$A$6:$BK$37,44,0)-VLOOKUP(conciliacao_custos!B549,#REF!,13,0),0)</f>
        <v>0</v>
      </c>
      <c r="P549" s="9">
        <f>IFERROR(VLOOKUP(B549,cubo!$A$6:$BK$37,47,0)-VLOOKUP(conciliacao_custos!B549,#REF!,14,0),0)</f>
        <v>0</v>
      </c>
      <c r="Q549" s="9">
        <f>IFERROR(VLOOKUP(B549,cubo!$A$6:$BK$37,58,0)-VLOOKUP(conciliacao_custos!B549,#REF!,16,0),0)</f>
        <v>0</v>
      </c>
      <c r="R549" s="9">
        <f>IFERROR(VLOOKUP(B549,cubo!$A$6:$BK$37,64,0)-VLOOKUP(conciliacao_custos!B549,#REF!,17,0),0)</f>
        <v>0</v>
      </c>
      <c r="S549" s="9">
        <f>IFERROR(VLOOKUP(B549,cubo!$A$6:$BK$37,61,0)-VLOOKUP(conciliacao_custos!B549,#REF!,15,0),0)</f>
        <v>0</v>
      </c>
    </row>
    <row r="550" spans="2:19" x14ac:dyDescent="0.25">
      <c r="B550" s="7">
        <f>[1]salario!A549</f>
        <v>0</v>
      </c>
      <c r="C550" s="8">
        <f>[1]salario!C549</f>
        <v>0</v>
      </c>
      <c r="D550" s="10">
        <f>IFERROR(VLOOKUP(B550,cubo!$A$6:$BE$37,6,0)-VLOOKUP(B550,#REF!,$D$2,0),0)</f>
        <v>0</v>
      </c>
      <c r="E550" s="10">
        <f>IFERROR(VLOOKUP(B550,cubo!$A$6:$BE$37,9,0)-VLOOKUP(B550,#REF!,$E$2,0),0)</f>
        <v>0</v>
      </c>
      <c r="F550" s="9">
        <f>IFERROR(VLOOKUP(B550,cubo!$A$6:$BE$37,12,0)-VLOOKUP(B550,#REF!,$F$2,0),0)</f>
        <v>0</v>
      </c>
      <c r="G550" s="9">
        <f>IFERROR(VLOOKUP(B550,cubo!$A$6:$BE$37,54,0)-VLOOKUP(B550,#REF!,$G$2,0),0)</f>
        <v>0</v>
      </c>
      <c r="H550" s="10">
        <f>IFERROR(VLOOKUP(B550,cubo!$A$6:$BE$37,15,0)-VLOOKUP(B550,#REF!,$H$2,0),0)</f>
        <v>0</v>
      </c>
      <c r="I550" s="9">
        <f>IFERROR(VLOOKUP(B550,cubo!$A$6:$BE$37,18,0)-VLOOKUP(B550,#REF!,$I$2,0),0)</f>
        <v>0</v>
      </c>
      <c r="J550" s="9">
        <f>IFERROR(VLOOKUP(B550,cubo!$A$6:$BE$37,24,0)-VLOOKUP(B550,#REF!,$J$2,0),0)</f>
        <v>0</v>
      </c>
      <c r="K550" s="9">
        <f>IFERROR(VLOOKUP(B550,cubo!$A$6:$BE$37,34,0)-VLOOKUP(B550,#REF!,$K$2,0),0)</f>
        <v>0</v>
      </c>
      <c r="L550" s="8">
        <f>IFERROR(VLOOKUP(B550,cubo!$A$6:$BE$37,38,0)-VLOOKUP(B550,#REF!,$L$2,0),0)</f>
        <v>0</v>
      </c>
      <c r="M550" s="15">
        <f>IFERROR(VLOOKUP(B550,cubo!$A$6:$BE$37,57,0)-VLOOKUP(B550,#REF!,$M$2,0),0)</f>
        <v>0</v>
      </c>
      <c r="N550" s="9">
        <f>IFERROR(VLOOKUP(B550,cubo!$A$6:$BK$37,41,0)-VLOOKUP(conciliacao_custos!B550,#REF!,18,0),0)</f>
        <v>0</v>
      </c>
      <c r="O550" s="9">
        <f>IFERROR(VLOOKUP(B550,cubo!$A$6:$BK$37,44,0)-VLOOKUP(conciliacao_custos!B550,#REF!,13,0),0)</f>
        <v>0</v>
      </c>
      <c r="P550" s="9">
        <f>IFERROR(VLOOKUP(B550,cubo!$A$6:$BK$37,47,0)-VLOOKUP(conciliacao_custos!B550,#REF!,14,0),0)</f>
        <v>0</v>
      </c>
      <c r="Q550" s="9">
        <f>IFERROR(VLOOKUP(B550,cubo!$A$6:$BK$37,58,0)-VLOOKUP(conciliacao_custos!B550,#REF!,16,0),0)</f>
        <v>0</v>
      </c>
      <c r="R550" s="9">
        <f>IFERROR(VLOOKUP(B550,cubo!$A$6:$BK$37,64,0)-VLOOKUP(conciliacao_custos!B550,#REF!,17,0),0)</f>
        <v>0</v>
      </c>
      <c r="S550" s="9">
        <f>IFERROR(VLOOKUP(B550,cubo!$A$6:$BK$37,61,0)-VLOOKUP(conciliacao_custos!B550,#REF!,15,0),0)</f>
        <v>0</v>
      </c>
    </row>
    <row r="551" spans="2:19" x14ac:dyDescent="0.25">
      <c r="B551" s="7">
        <f>[1]salario!A550</f>
        <v>0</v>
      </c>
      <c r="C551" s="8">
        <f>[1]salario!C550</f>
        <v>0</v>
      </c>
      <c r="D551" s="10">
        <f>IFERROR(VLOOKUP(B551,cubo!$A$6:$BE$37,6,0)-VLOOKUP(B551,#REF!,$D$2,0),0)</f>
        <v>0</v>
      </c>
      <c r="E551" s="10">
        <f>IFERROR(VLOOKUP(B551,cubo!$A$6:$BE$37,9,0)-VLOOKUP(B551,#REF!,$E$2,0),0)</f>
        <v>0</v>
      </c>
      <c r="F551" s="9">
        <f>IFERROR(VLOOKUP(B551,cubo!$A$6:$BE$37,12,0)-VLOOKUP(B551,#REF!,$F$2,0),0)</f>
        <v>0</v>
      </c>
      <c r="G551" s="9">
        <f>IFERROR(VLOOKUP(B551,cubo!$A$6:$BE$37,54,0)-VLOOKUP(B551,#REF!,$G$2,0),0)</f>
        <v>0</v>
      </c>
      <c r="H551" s="10">
        <f>IFERROR(VLOOKUP(B551,cubo!$A$6:$BE$37,15,0)-VLOOKUP(B551,#REF!,$H$2,0),0)</f>
        <v>0</v>
      </c>
      <c r="I551" s="9">
        <f>IFERROR(VLOOKUP(B551,cubo!$A$6:$BE$37,18,0)-VLOOKUP(B551,#REF!,$I$2,0),0)</f>
        <v>0</v>
      </c>
      <c r="J551" s="9">
        <f>IFERROR(VLOOKUP(B551,cubo!$A$6:$BE$37,24,0)-VLOOKUP(B551,#REF!,$J$2,0),0)</f>
        <v>0</v>
      </c>
      <c r="K551" s="9">
        <f>IFERROR(VLOOKUP(B551,cubo!$A$6:$BE$37,34,0)-VLOOKUP(B551,#REF!,$K$2,0),0)</f>
        <v>0</v>
      </c>
      <c r="L551" s="8">
        <f>IFERROR(VLOOKUP(B551,cubo!$A$6:$BE$37,38,0)-VLOOKUP(B551,#REF!,$L$2,0),0)</f>
        <v>0</v>
      </c>
      <c r="M551" s="15">
        <f>IFERROR(VLOOKUP(B551,cubo!$A$6:$BE$37,57,0)-VLOOKUP(B551,#REF!,$M$2,0),0)</f>
        <v>0</v>
      </c>
      <c r="N551" s="9">
        <f>IFERROR(VLOOKUP(B551,cubo!$A$6:$BK$37,41,0)-VLOOKUP(conciliacao_custos!B551,#REF!,18,0),0)</f>
        <v>0</v>
      </c>
      <c r="O551" s="9">
        <f>IFERROR(VLOOKUP(B551,cubo!$A$6:$BK$37,44,0)-VLOOKUP(conciliacao_custos!B551,#REF!,13,0),0)</f>
        <v>0</v>
      </c>
      <c r="P551" s="9">
        <f>IFERROR(VLOOKUP(B551,cubo!$A$6:$BK$37,47,0)-VLOOKUP(conciliacao_custos!B551,#REF!,14,0),0)</f>
        <v>0</v>
      </c>
      <c r="Q551" s="9">
        <f>IFERROR(VLOOKUP(B551,cubo!$A$6:$BK$37,58,0)-VLOOKUP(conciliacao_custos!B551,#REF!,16,0),0)</f>
        <v>0</v>
      </c>
      <c r="R551" s="9">
        <f>IFERROR(VLOOKUP(B551,cubo!$A$6:$BK$37,64,0)-VLOOKUP(conciliacao_custos!B551,#REF!,17,0),0)</f>
        <v>0</v>
      </c>
      <c r="S551" s="9">
        <f>IFERROR(VLOOKUP(B551,cubo!$A$6:$BK$37,61,0)-VLOOKUP(conciliacao_custos!B551,#REF!,15,0),0)</f>
        <v>0</v>
      </c>
    </row>
    <row r="552" spans="2:19" x14ac:dyDescent="0.25">
      <c r="B552" s="7">
        <f>[1]salario!A551</f>
        <v>0</v>
      </c>
      <c r="C552" s="8">
        <f>[1]salario!C551</f>
        <v>0</v>
      </c>
      <c r="D552" s="10">
        <f>IFERROR(VLOOKUP(B552,cubo!$A$6:$BE$37,6,0)-VLOOKUP(B552,#REF!,$D$2,0),0)</f>
        <v>0</v>
      </c>
      <c r="E552" s="10">
        <f>IFERROR(VLOOKUP(B552,cubo!$A$6:$BE$37,9,0)-VLOOKUP(B552,#REF!,$E$2,0),0)</f>
        <v>0</v>
      </c>
      <c r="F552" s="9">
        <f>IFERROR(VLOOKUP(B552,cubo!$A$6:$BE$37,12,0)-VLOOKUP(B552,#REF!,$F$2,0),0)</f>
        <v>0</v>
      </c>
      <c r="G552" s="9">
        <f>IFERROR(VLOOKUP(B552,cubo!$A$6:$BE$37,54,0)-VLOOKUP(B552,#REF!,$G$2,0),0)</f>
        <v>0</v>
      </c>
      <c r="H552" s="10">
        <f>IFERROR(VLOOKUP(B552,cubo!$A$6:$BE$37,15,0)-VLOOKUP(B552,#REF!,$H$2,0),0)</f>
        <v>0</v>
      </c>
      <c r="I552" s="9">
        <f>IFERROR(VLOOKUP(B552,cubo!$A$6:$BE$37,18,0)-VLOOKUP(B552,#REF!,$I$2,0),0)</f>
        <v>0</v>
      </c>
      <c r="J552" s="9">
        <f>IFERROR(VLOOKUP(B552,cubo!$A$6:$BE$37,24,0)-VLOOKUP(B552,#REF!,$J$2,0),0)</f>
        <v>0</v>
      </c>
      <c r="K552" s="9">
        <f>IFERROR(VLOOKUP(B552,cubo!$A$6:$BE$37,34,0)-VLOOKUP(B552,#REF!,$K$2,0),0)</f>
        <v>0</v>
      </c>
      <c r="L552" s="8">
        <f>IFERROR(VLOOKUP(B552,cubo!$A$6:$BE$37,38,0)-VLOOKUP(B552,#REF!,$L$2,0),0)</f>
        <v>0</v>
      </c>
      <c r="M552" s="15">
        <f>IFERROR(VLOOKUP(B552,cubo!$A$6:$BE$37,57,0)-VLOOKUP(B552,#REF!,$M$2,0),0)</f>
        <v>0</v>
      </c>
      <c r="N552" s="9">
        <f>IFERROR(VLOOKUP(B552,cubo!$A$6:$BK$37,41,0)-VLOOKUP(conciliacao_custos!B552,#REF!,18,0),0)</f>
        <v>0</v>
      </c>
      <c r="O552" s="9">
        <f>IFERROR(VLOOKUP(B552,cubo!$A$6:$BK$37,44,0)-VLOOKUP(conciliacao_custos!B552,#REF!,13,0),0)</f>
        <v>0</v>
      </c>
      <c r="P552" s="9">
        <f>IFERROR(VLOOKUP(B552,cubo!$A$6:$BK$37,47,0)-VLOOKUP(conciliacao_custos!B552,#REF!,14,0),0)</f>
        <v>0</v>
      </c>
      <c r="Q552" s="9">
        <f>IFERROR(VLOOKUP(B552,cubo!$A$6:$BK$37,58,0)-VLOOKUP(conciliacao_custos!B552,#REF!,16,0),0)</f>
        <v>0</v>
      </c>
      <c r="R552" s="9">
        <f>IFERROR(VLOOKUP(B552,cubo!$A$6:$BK$37,64,0)-VLOOKUP(conciliacao_custos!B552,#REF!,17,0),0)</f>
        <v>0</v>
      </c>
      <c r="S552" s="9">
        <f>IFERROR(VLOOKUP(B552,cubo!$A$6:$BK$37,61,0)-VLOOKUP(conciliacao_custos!B552,#REF!,15,0),0)</f>
        <v>0</v>
      </c>
    </row>
    <row r="553" spans="2:19" x14ac:dyDescent="0.25">
      <c r="B553" s="7">
        <f>[1]salario!A552</f>
        <v>0</v>
      </c>
      <c r="C553" s="8">
        <f>[1]salario!C552</f>
        <v>0</v>
      </c>
      <c r="D553" s="10">
        <f>IFERROR(VLOOKUP(B553,cubo!$A$6:$BE$37,6,0)-VLOOKUP(B553,#REF!,$D$2,0),0)</f>
        <v>0</v>
      </c>
      <c r="E553" s="10">
        <f>IFERROR(VLOOKUP(B553,cubo!$A$6:$BE$37,9,0)-VLOOKUP(B553,#REF!,$E$2,0),0)</f>
        <v>0</v>
      </c>
      <c r="F553" s="9">
        <f>IFERROR(VLOOKUP(B553,cubo!$A$6:$BE$37,12,0)-VLOOKUP(B553,#REF!,$F$2,0),0)</f>
        <v>0</v>
      </c>
      <c r="G553" s="9">
        <f>IFERROR(VLOOKUP(B553,cubo!$A$6:$BE$37,54,0)-VLOOKUP(B553,#REF!,$G$2,0),0)</f>
        <v>0</v>
      </c>
      <c r="H553" s="10">
        <f>IFERROR(VLOOKUP(B553,cubo!$A$6:$BE$37,15,0)-VLOOKUP(B553,#REF!,$H$2,0),0)</f>
        <v>0</v>
      </c>
      <c r="I553" s="9">
        <f>IFERROR(VLOOKUP(B553,cubo!$A$6:$BE$37,18,0)-VLOOKUP(B553,#REF!,$I$2,0),0)</f>
        <v>0</v>
      </c>
      <c r="J553" s="9">
        <f>IFERROR(VLOOKUP(B553,cubo!$A$6:$BE$37,24,0)-VLOOKUP(B553,#REF!,$J$2,0),0)</f>
        <v>0</v>
      </c>
      <c r="K553" s="9">
        <f>IFERROR(VLOOKUP(B553,cubo!$A$6:$BE$37,34,0)-VLOOKUP(B553,#REF!,$K$2,0),0)</f>
        <v>0</v>
      </c>
      <c r="L553" s="8">
        <f>IFERROR(VLOOKUP(B553,cubo!$A$6:$BE$37,38,0)-VLOOKUP(B553,#REF!,$L$2,0),0)</f>
        <v>0</v>
      </c>
      <c r="M553" s="15">
        <f>IFERROR(VLOOKUP(B553,cubo!$A$6:$BE$37,57,0)-VLOOKUP(B553,#REF!,$M$2,0),0)</f>
        <v>0</v>
      </c>
      <c r="N553" s="9">
        <f>IFERROR(VLOOKUP(B553,cubo!$A$6:$BK$37,41,0)-VLOOKUP(conciliacao_custos!B553,#REF!,18,0),0)</f>
        <v>0</v>
      </c>
      <c r="O553" s="9">
        <f>IFERROR(VLOOKUP(B553,cubo!$A$6:$BK$37,44,0)-VLOOKUP(conciliacao_custos!B553,#REF!,13,0),0)</f>
        <v>0</v>
      </c>
      <c r="P553" s="9">
        <f>IFERROR(VLOOKUP(B553,cubo!$A$6:$BK$37,47,0)-VLOOKUP(conciliacao_custos!B553,#REF!,14,0),0)</f>
        <v>0</v>
      </c>
      <c r="Q553" s="9">
        <f>IFERROR(VLOOKUP(B553,cubo!$A$6:$BK$37,58,0)-VLOOKUP(conciliacao_custos!B553,#REF!,16,0),0)</f>
        <v>0</v>
      </c>
      <c r="R553" s="9">
        <f>IFERROR(VLOOKUP(B553,cubo!$A$6:$BK$37,64,0)-VLOOKUP(conciliacao_custos!B553,#REF!,17,0),0)</f>
        <v>0</v>
      </c>
      <c r="S553" s="9">
        <f>IFERROR(VLOOKUP(B553,cubo!$A$6:$BK$37,61,0)-VLOOKUP(conciliacao_custos!B553,#REF!,15,0),0)</f>
        <v>0</v>
      </c>
    </row>
    <row r="554" spans="2:19" x14ac:dyDescent="0.25">
      <c r="B554" s="7">
        <f>[1]salario!A553</f>
        <v>0</v>
      </c>
      <c r="C554" s="8">
        <f>[1]salario!C553</f>
        <v>0</v>
      </c>
      <c r="D554" s="10">
        <f>IFERROR(VLOOKUP(B554,cubo!$A$6:$BE$37,6,0)-VLOOKUP(B554,#REF!,$D$2,0),0)</f>
        <v>0</v>
      </c>
      <c r="E554" s="10">
        <f>IFERROR(VLOOKUP(B554,cubo!$A$6:$BE$37,9,0)-VLOOKUP(B554,#REF!,$E$2,0),0)</f>
        <v>0</v>
      </c>
      <c r="F554" s="9">
        <f>IFERROR(VLOOKUP(B554,cubo!$A$6:$BE$37,12,0)-VLOOKUP(B554,#REF!,$F$2,0),0)</f>
        <v>0</v>
      </c>
      <c r="G554" s="9">
        <f>IFERROR(VLOOKUP(B554,cubo!$A$6:$BE$37,54,0)-VLOOKUP(B554,#REF!,$G$2,0),0)</f>
        <v>0</v>
      </c>
      <c r="H554" s="10">
        <f>IFERROR(VLOOKUP(B554,cubo!$A$6:$BE$37,15,0)-VLOOKUP(B554,#REF!,$H$2,0),0)</f>
        <v>0</v>
      </c>
      <c r="I554" s="9">
        <f>IFERROR(VLOOKUP(B554,cubo!$A$6:$BE$37,18,0)-VLOOKUP(B554,#REF!,$I$2,0),0)</f>
        <v>0</v>
      </c>
      <c r="J554" s="9">
        <f>IFERROR(VLOOKUP(B554,cubo!$A$6:$BE$37,24,0)-VLOOKUP(B554,#REF!,$J$2,0),0)</f>
        <v>0</v>
      </c>
      <c r="K554" s="9">
        <f>IFERROR(VLOOKUP(B554,cubo!$A$6:$BE$37,34,0)-VLOOKUP(B554,#REF!,$K$2,0),0)</f>
        <v>0</v>
      </c>
      <c r="L554" s="8">
        <f>IFERROR(VLOOKUP(B554,cubo!$A$6:$BE$37,38,0)-VLOOKUP(B554,#REF!,$L$2,0),0)</f>
        <v>0</v>
      </c>
      <c r="M554" s="15">
        <f>IFERROR(VLOOKUP(B554,cubo!$A$6:$BE$37,57,0)-VLOOKUP(B554,#REF!,$M$2,0),0)</f>
        <v>0</v>
      </c>
      <c r="N554" s="9">
        <f>IFERROR(VLOOKUP(B554,cubo!$A$6:$BK$37,41,0)-VLOOKUP(conciliacao_custos!B554,#REF!,18,0),0)</f>
        <v>0</v>
      </c>
      <c r="O554" s="9">
        <f>IFERROR(VLOOKUP(B554,cubo!$A$6:$BK$37,44,0)-VLOOKUP(conciliacao_custos!B554,#REF!,13,0),0)</f>
        <v>0</v>
      </c>
      <c r="P554" s="9">
        <f>IFERROR(VLOOKUP(B554,cubo!$A$6:$BK$37,47,0)-VLOOKUP(conciliacao_custos!B554,#REF!,14,0),0)</f>
        <v>0</v>
      </c>
      <c r="Q554" s="9">
        <f>IFERROR(VLOOKUP(B554,cubo!$A$6:$BK$37,58,0)-VLOOKUP(conciliacao_custos!B554,#REF!,16,0),0)</f>
        <v>0</v>
      </c>
      <c r="R554" s="9">
        <f>IFERROR(VLOOKUP(B554,cubo!$A$6:$BK$37,64,0)-VLOOKUP(conciliacao_custos!B554,#REF!,17,0),0)</f>
        <v>0</v>
      </c>
      <c r="S554" s="9">
        <f>IFERROR(VLOOKUP(B554,cubo!$A$6:$BK$37,61,0)-VLOOKUP(conciliacao_custos!B554,#REF!,15,0),0)</f>
        <v>0</v>
      </c>
    </row>
    <row r="555" spans="2:19" x14ac:dyDescent="0.25">
      <c r="B555" s="7">
        <f>[1]salario!A554</f>
        <v>0</v>
      </c>
      <c r="C555" s="8">
        <f>[1]salario!C554</f>
        <v>0</v>
      </c>
      <c r="D555" s="10">
        <f>IFERROR(VLOOKUP(B555,cubo!$A$6:$BE$37,6,0)-VLOOKUP(B555,#REF!,$D$2,0),0)</f>
        <v>0</v>
      </c>
      <c r="E555" s="10">
        <f>IFERROR(VLOOKUP(B555,cubo!$A$6:$BE$37,9,0)-VLOOKUP(B555,#REF!,$E$2,0),0)</f>
        <v>0</v>
      </c>
      <c r="F555" s="9">
        <f>IFERROR(VLOOKUP(B555,cubo!$A$6:$BE$37,12,0)-VLOOKUP(B555,#REF!,$F$2,0),0)</f>
        <v>0</v>
      </c>
      <c r="G555" s="9">
        <f>IFERROR(VLOOKUP(B555,cubo!$A$6:$BE$37,54,0)-VLOOKUP(B555,#REF!,$G$2,0),0)</f>
        <v>0</v>
      </c>
      <c r="H555" s="10">
        <f>IFERROR(VLOOKUP(B555,cubo!$A$6:$BE$37,15,0)-VLOOKUP(B555,#REF!,$H$2,0),0)</f>
        <v>0</v>
      </c>
      <c r="I555" s="9">
        <f>IFERROR(VLOOKUP(B555,cubo!$A$6:$BE$37,18,0)-VLOOKUP(B555,#REF!,$I$2,0),0)</f>
        <v>0</v>
      </c>
      <c r="J555" s="9">
        <f>IFERROR(VLOOKUP(B555,cubo!$A$6:$BE$37,24,0)-VLOOKUP(B555,#REF!,$J$2,0),0)</f>
        <v>0</v>
      </c>
      <c r="K555" s="9">
        <f>IFERROR(VLOOKUP(B555,cubo!$A$6:$BE$37,34,0)-VLOOKUP(B555,#REF!,$K$2,0),0)</f>
        <v>0</v>
      </c>
      <c r="L555" s="8">
        <f>IFERROR(VLOOKUP(B555,cubo!$A$6:$BE$37,38,0)-VLOOKUP(B555,#REF!,$L$2,0),0)</f>
        <v>0</v>
      </c>
      <c r="M555" s="15">
        <f>IFERROR(VLOOKUP(B555,cubo!$A$6:$BE$37,57,0)-VLOOKUP(B555,#REF!,$M$2,0),0)</f>
        <v>0</v>
      </c>
      <c r="N555" s="9">
        <f>IFERROR(VLOOKUP(B555,cubo!$A$6:$BK$37,41,0)-VLOOKUP(conciliacao_custos!B555,#REF!,18,0),0)</f>
        <v>0</v>
      </c>
      <c r="O555" s="9">
        <f>IFERROR(VLOOKUP(B555,cubo!$A$6:$BK$37,44,0)-VLOOKUP(conciliacao_custos!B555,#REF!,13,0),0)</f>
        <v>0</v>
      </c>
      <c r="P555" s="9">
        <f>IFERROR(VLOOKUP(B555,cubo!$A$6:$BK$37,47,0)-VLOOKUP(conciliacao_custos!B555,#REF!,14,0),0)</f>
        <v>0</v>
      </c>
      <c r="Q555" s="9">
        <f>IFERROR(VLOOKUP(B555,cubo!$A$6:$BK$37,58,0)-VLOOKUP(conciliacao_custos!B555,#REF!,16,0),0)</f>
        <v>0</v>
      </c>
      <c r="R555" s="9">
        <f>IFERROR(VLOOKUP(B555,cubo!$A$6:$BK$37,64,0)-VLOOKUP(conciliacao_custos!B555,#REF!,17,0),0)</f>
        <v>0</v>
      </c>
      <c r="S555" s="9">
        <f>IFERROR(VLOOKUP(B555,cubo!$A$6:$BK$37,61,0)-VLOOKUP(conciliacao_custos!B555,#REF!,15,0),0)</f>
        <v>0</v>
      </c>
    </row>
    <row r="556" spans="2:19" x14ac:dyDescent="0.25">
      <c r="B556" s="7">
        <f>[1]salario!A555</f>
        <v>0</v>
      </c>
      <c r="C556" s="8">
        <f>[1]salario!C555</f>
        <v>0</v>
      </c>
      <c r="D556" s="10">
        <f>IFERROR(VLOOKUP(B556,cubo!$A$6:$BE$37,6,0)-VLOOKUP(B556,#REF!,$D$2,0),0)</f>
        <v>0</v>
      </c>
      <c r="E556" s="10">
        <f>IFERROR(VLOOKUP(B556,cubo!$A$6:$BE$37,9,0)-VLOOKUP(B556,#REF!,$E$2,0),0)</f>
        <v>0</v>
      </c>
      <c r="F556" s="9">
        <f>IFERROR(VLOOKUP(B556,cubo!$A$6:$BE$37,12,0)-VLOOKUP(B556,#REF!,$F$2,0),0)</f>
        <v>0</v>
      </c>
      <c r="G556" s="9">
        <f>IFERROR(VLOOKUP(B556,cubo!$A$6:$BE$37,54,0)-VLOOKUP(B556,#REF!,$G$2,0),0)</f>
        <v>0</v>
      </c>
      <c r="H556" s="10">
        <f>IFERROR(VLOOKUP(B556,cubo!$A$6:$BE$37,15,0)-VLOOKUP(B556,#REF!,$H$2,0),0)</f>
        <v>0</v>
      </c>
      <c r="I556" s="9">
        <f>IFERROR(VLOOKUP(B556,cubo!$A$6:$BE$37,18,0)-VLOOKUP(B556,#REF!,$I$2,0),0)</f>
        <v>0</v>
      </c>
      <c r="J556" s="9">
        <f>IFERROR(VLOOKUP(B556,cubo!$A$6:$BE$37,24,0)-VLOOKUP(B556,#REF!,$J$2,0),0)</f>
        <v>0</v>
      </c>
      <c r="K556" s="9">
        <f>IFERROR(VLOOKUP(B556,cubo!$A$6:$BE$37,34,0)-VLOOKUP(B556,#REF!,$K$2,0),0)</f>
        <v>0</v>
      </c>
      <c r="L556" s="8">
        <f>IFERROR(VLOOKUP(B556,cubo!$A$6:$BE$37,38,0)-VLOOKUP(B556,#REF!,$L$2,0),0)</f>
        <v>0</v>
      </c>
      <c r="M556" s="15">
        <f>IFERROR(VLOOKUP(B556,cubo!$A$6:$BE$37,57,0)-VLOOKUP(B556,#REF!,$M$2,0),0)</f>
        <v>0</v>
      </c>
      <c r="N556" s="9">
        <f>IFERROR(VLOOKUP(B556,cubo!$A$6:$BK$37,41,0)-VLOOKUP(conciliacao_custos!B556,#REF!,18,0),0)</f>
        <v>0</v>
      </c>
      <c r="O556" s="9">
        <f>IFERROR(VLOOKUP(B556,cubo!$A$6:$BK$37,44,0)-VLOOKUP(conciliacao_custos!B556,#REF!,13,0),0)</f>
        <v>0</v>
      </c>
      <c r="P556" s="9">
        <f>IFERROR(VLOOKUP(B556,cubo!$A$6:$BK$37,47,0)-VLOOKUP(conciliacao_custos!B556,#REF!,14,0),0)</f>
        <v>0</v>
      </c>
      <c r="Q556" s="9">
        <f>IFERROR(VLOOKUP(B556,cubo!$A$6:$BK$37,58,0)-VLOOKUP(conciliacao_custos!B556,#REF!,16,0),0)</f>
        <v>0</v>
      </c>
      <c r="R556" s="9">
        <f>IFERROR(VLOOKUP(B556,cubo!$A$6:$BK$37,64,0)-VLOOKUP(conciliacao_custos!B556,#REF!,17,0),0)</f>
        <v>0</v>
      </c>
      <c r="S556" s="9">
        <f>IFERROR(VLOOKUP(B556,cubo!$A$6:$BK$37,61,0)-VLOOKUP(conciliacao_custos!B556,#REF!,15,0),0)</f>
        <v>0</v>
      </c>
    </row>
    <row r="557" spans="2:19" x14ac:dyDescent="0.25">
      <c r="B557" s="7">
        <f>[1]salario!A556</f>
        <v>0</v>
      </c>
      <c r="C557" s="8">
        <f>[1]salario!C556</f>
        <v>0</v>
      </c>
      <c r="D557" s="10">
        <f>IFERROR(VLOOKUP(B557,cubo!$A$6:$BE$37,6,0)-VLOOKUP(B557,#REF!,$D$2,0),0)</f>
        <v>0</v>
      </c>
      <c r="E557" s="10">
        <f>IFERROR(VLOOKUP(B557,cubo!$A$6:$BE$37,9,0)-VLOOKUP(B557,#REF!,$E$2,0),0)</f>
        <v>0</v>
      </c>
      <c r="F557" s="9">
        <f>IFERROR(VLOOKUP(B557,cubo!$A$6:$BE$37,12,0)-VLOOKUP(B557,#REF!,$F$2,0),0)</f>
        <v>0</v>
      </c>
      <c r="G557" s="9">
        <f>IFERROR(VLOOKUP(B557,cubo!$A$6:$BE$37,54,0)-VLOOKUP(B557,#REF!,$G$2,0),0)</f>
        <v>0</v>
      </c>
      <c r="H557" s="10">
        <f>IFERROR(VLOOKUP(B557,cubo!$A$6:$BE$37,15,0)-VLOOKUP(B557,#REF!,$H$2,0),0)</f>
        <v>0</v>
      </c>
      <c r="I557" s="9">
        <f>IFERROR(VLOOKUP(B557,cubo!$A$6:$BE$37,18,0)-VLOOKUP(B557,#REF!,$I$2,0),0)</f>
        <v>0</v>
      </c>
      <c r="J557" s="9">
        <f>IFERROR(VLOOKUP(B557,cubo!$A$6:$BE$37,24,0)-VLOOKUP(B557,#REF!,$J$2,0),0)</f>
        <v>0</v>
      </c>
      <c r="K557" s="9">
        <f>IFERROR(VLOOKUP(B557,cubo!$A$6:$BE$37,34,0)-VLOOKUP(B557,#REF!,$K$2,0),0)</f>
        <v>0</v>
      </c>
      <c r="L557" s="8">
        <f>IFERROR(VLOOKUP(B557,cubo!$A$6:$BE$37,38,0)-VLOOKUP(B557,#REF!,$L$2,0),0)</f>
        <v>0</v>
      </c>
      <c r="M557" s="15">
        <f>IFERROR(VLOOKUP(B557,cubo!$A$6:$BE$37,57,0)-VLOOKUP(B557,#REF!,$M$2,0),0)</f>
        <v>0</v>
      </c>
      <c r="N557" s="9">
        <f>IFERROR(VLOOKUP(B557,cubo!$A$6:$BK$37,41,0)-VLOOKUP(conciliacao_custos!B557,#REF!,18,0),0)</f>
        <v>0</v>
      </c>
      <c r="O557" s="9">
        <f>IFERROR(VLOOKUP(B557,cubo!$A$6:$BK$37,44,0)-VLOOKUP(conciliacao_custos!B557,#REF!,13,0),0)</f>
        <v>0</v>
      </c>
      <c r="P557" s="9">
        <f>IFERROR(VLOOKUP(B557,cubo!$A$6:$BK$37,47,0)-VLOOKUP(conciliacao_custos!B557,#REF!,14,0),0)</f>
        <v>0</v>
      </c>
      <c r="Q557" s="9">
        <f>IFERROR(VLOOKUP(B557,cubo!$A$6:$BK$37,58,0)-VLOOKUP(conciliacao_custos!B557,#REF!,16,0),0)</f>
        <v>0</v>
      </c>
      <c r="R557" s="9">
        <f>IFERROR(VLOOKUP(B557,cubo!$A$6:$BK$37,64,0)-VLOOKUP(conciliacao_custos!B557,#REF!,17,0),0)</f>
        <v>0</v>
      </c>
      <c r="S557" s="9">
        <f>IFERROR(VLOOKUP(B557,cubo!$A$6:$BK$37,61,0)-VLOOKUP(conciliacao_custos!B557,#REF!,15,0),0)</f>
        <v>0</v>
      </c>
    </row>
    <row r="558" spans="2:19" x14ac:dyDescent="0.25">
      <c r="B558" s="7">
        <f>[1]salario!A557</f>
        <v>0</v>
      </c>
      <c r="C558" s="8">
        <f>[1]salario!C557</f>
        <v>0</v>
      </c>
      <c r="D558" s="10">
        <f>IFERROR(VLOOKUP(B558,cubo!$A$6:$BE$37,6,0)-VLOOKUP(B558,#REF!,$D$2,0),0)</f>
        <v>0</v>
      </c>
      <c r="E558" s="10">
        <f>IFERROR(VLOOKUP(B558,cubo!$A$6:$BE$37,9,0)-VLOOKUP(B558,#REF!,$E$2,0),0)</f>
        <v>0</v>
      </c>
      <c r="F558" s="9">
        <f>IFERROR(VLOOKUP(B558,cubo!$A$6:$BE$37,12,0)-VLOOKUP(B558,#REF!,$F$2,0),0)</f>
        <v>0</v>
      </c>
      <c r="G558" s="9">
        <f>IFERROR(VLOOKUP(B558,cubo!$A$6:$BE$37,54,0)-VLOOKUP(B558,#REF!,$G$2,0),0)</f>
        <v>0</v>
      </c>
      <c r="H558" s="10">
        <f>IFERROR(VLOOKUP(B558,cubo!$A$6:$BE$37,15,0)-VLOOKUP(B558,#REF!,$H$2,0),0)</f>
        <v>0</v>
      </c>
      <c r="I558" s="9">
        <f>IFERROR(VLOOKUP(B558,cubo!$A$6:$BE$37,18,0)-VLOOKUP(B558,#REF!,$I$2,0),0)</f>
        <v>0</v>
      </c>
      <c r="J558" s="9">
        <f>IFERROR(VLOOKUP(B558,cubo!$A$6:$BE$37,24,0)-VLOOKUP(B558,#REF!,$J$2,0),0)</f>
        <v>0</v>
      </c>
      <c r="K558" s="9">
        <f>IFERROR(VLOOKUP(B558,cubo!$A$6:$BE$37,34,0)-VLOOKUP(B558,#REF!,$K$2,0),0)</f>
        <v>0</v>
      </c>
      <c r="L558" s="8">
        <f>IFERROR(VLOOKUP(B558,cubo!$A$6:$BE$37,38,0)-VLOOKUP(B558,#REF!,$L$2,0),0)</f>
        <v>0</v>
      </c>
      <c r="M558" s="15">
        <f>IFERROR(VLOOKUP(B558,cubo!$A$6:$BE$37,57,0)-VLOOKUP(B558,#REF!,$M$2,0),0)</f>
        <v>0</v>
      </c>
      <c r="N558" s="9">
        <f>IFERROR(VLOOKUP(B558,cubo!$A$6:$BK$37,41,0)-VLOOKUP(conciliacao_custos!B558,#REF!,18,0),0)</f>
        <v>0</v>
      </c>
      <c r="O558" s="9">
        <f>IFERROR(VLOOKUP(B558,cubo!$A$6:$BK$37,44,0)-VLOOKUP(conciliacao_custos!B558,#REF!,13,0),0)</f>
        <v>0</v>
      </c>
      <c r="P558" s="9">
        <f>IFERROR(VLOOKUP(B558,cubo!$A$6:$BK$37,47,0)-VLOOKUP(conciliacao_custos!B558,#REF!,14,0),0)</f>
        <v>0</v>
      </c>
      <c r="Q558" s="9">
        <f>IFERROR(VLOOKUP(B558,cubo!$A$6:$BK$37,58,0)-VLOOKUP(conciliacao_custos!B558,#REF!,16,0),0)</f>
        <v>0</v>
      </c>
      <c r="R558" s="9">
        <f>IFERROR(VLOOKUP(B558,cubo!$A$6:$BK$37,64,0)-VLOOKUP(conciliacao_custos!B558,#REF!,17,0),0)</f>
        <v>0</v>
      </c>
      <c r="S558" s="9">
        <f>IFERROR(VLOOKUP(B558,cubo!$A$6:$BK$37,61,0)-VLOOKUP(conciliacao_custos!B558,#REF!,15,0),0)</f>
        <v>0</v>
      </c>
    </row>
    <row r="559" spans="2:19" x14ac:dyDescent="0.25">
      <c r="B559" s="7">
        <f>[1]salario!A558</f>
        <v>0</v>
      </c>
      <c r="C559" s="8">
        <f>[1]salario!C558</f>
        <v>0</v>
      </c>
      <c r="D559" s="10">
        <f>IFERROR(VLOOKUP(B559,cubo!$A$6:$BE$37,6,0)-VLOOKUP(B559,#REF!,$D$2,0),0)</f>
        <v>0</v>
      </c>
      <c r="E559" s="10">
        <f>IFERROR(VLOOKUP(B559,cubo!$A$6:$BE$37,9,0)-VLOOKUP(B559,#REF!,$E$2,0),0)</f>
        <v>0</v>
      </c>
      <c r="F559" s="9">
        <f>IFERROR(VLOOKUP(B559,cubo!$A$6:$BE$37,12,0)-VLOOKUP(B559,#REF!,$F$2,0),0)</f>
        <v>0</v>
      </c>
      <c r="G559" s="9">
        <f>IFERROR(VLOOKUP(B559,cubo!$A$6:$BE$37,54,0)-VLOOKUP(B559,#REF!,$G$2,0),0)</f>
        <v>0</v>
      </c>
      <c r="H559" s="10">
        <f>IFERROR(VLOOKUP(B559,cubo!$A$6:$BE$37,15,0)-VLOOKUP(B559,#REF!,$H$2,0),0)</f>
        <v>0</v>
      </c>
      <c r="I559" s="9">
        <f>IFERROR(VLOOKUP(B559,cubo!$A$6:$BE$37,18,0)-VLOOKUP(B559,#REF!,$I$2,0),0)</f>
        <v>0</v>
      </c>
      <c r="J559" s="9">
        <f>IFERROR(VLOOKUP(B559,cubo!$A$6:$BE$37,24,0)-VLOOKUP(B559,#REF!,$J$2,0),0)</f>
        <v>0</v>
      </c>
      <c r="K559" s="9">
        <f>IFERROR(VLOOKUP(B559,cubo!$A$6:$BE$37,34,0)-VLOOKUP(B559,#REF!,$K$2,0),0)</f>
        <v>0</v>
      </c>
      <c r="L559" s="8">
        <f>IFERROR(VLOOKUP(B559,cubo!$A$6:$BE$37,38,0)-VLOOKUP(B559,#REF!,$L$2,0),0)</f>
        <v>0</v>
      </c>
      <c r="M559" s="15">
        <f>IFERROR(VLOOKUP(B559,cubo!$A$6:$BE$37,57,0)-VLOOKUP(B559,#REF!,$M$2,0),0)</f>
        <v>0</v>
      </c>
      <c r="N559" s="9">
        <f>IFERROR(VLOOKUP(B559,cubo!$A$6:$BK$37,41,0)-VLOOKUP(conciliacao_custos!B559,#REF!,18,0),0)</f>
        <v>0</v>
      </c>
      <c r="O559" s="9">
        <f>IFERROR(VLOOKUP(B559,cubo!$A$6:$BK$37,44,0)-VLOOKUP(conciliacao_custos!B559,#REF!,13,0),0)</f>
        <v>0</v>
      </c>
      <c r="P559" s="9">
        <f>IFERROR(VLOOKUP(B559,cubo!$A$6:$BK$37,47,0)-VLOOKUP(conciliacao_custos!B559,#REF!,14,0),0)</f>
        <v>0</v>
      </c>
      <c r="Q559" s="9">
        <f>IFERROR(VLOOKUP(B559,cubo!$A$6:$BK$37,58,0)-VLOOKUP(conciliacao_custos!B559,#REF!,16,0),0)</f>
        <v>0</v>
      </c>
      <c r="R559" s="9">
        <f>IFERROR(VLOOKUP(B559,cubo!$A$6:$BK$37,64,0)-VLOOKUP(conciliacao_custos!B559,#REF!,17,0),0)</f>
        <v>0</v>
      </c>
      <c r="S559" s="9">
        <f>IFERROR(VLOOKUP(B559,cubo!$A$6:$BK$37,61,0)-VLOOKUP(conciliacao_custos!B559,#REF!,15,0),0)</f>
        <v>0</v>
      </c>
    </row>
    <row r="560" spans="2:19" x14ac:dyDescent="0.25">
      <c r="B560" s="7">
        <f>[1]salario!A559</f>
        <v>0</v>
      </c>
      <c r="C560" s="8">
        <f>[1]salario!C559</f>
        <v>0</v>
      </c>
      <c r="D560" s="10">
        <f>IFERROR(VLOOKUP(B560,cubo!$A$6:$BE$37,6,0)-VLOOKUP(B560,#REF!,$D$2,0),0)</f>
        <v>0</v>
      </c>
      <c r="E560" s="10">
        <f>IFERROR(VLOOKUP(B560,cubo!$A$6:$BE$37,9,0)-VLOOKUP(B560,#REF!,$E$2,0),0)</f>
        <v>0</v>
      </c>
      <c r="F560" s="9">
        <f>IFERROR(VLOOKUP(B560,cubo!$A$6:$BE$37,12,0)-VLOOKUP(B560,#REF!,$F$2,0),0)</f>
        <v>0</v>
      </c>
      <c r="G560" s="9">
        <f>IFERROR(VLOOKUP(B560,cubo!$A$6:$BE$37,54,0)-VLOOKUP(B560,#REF!,$G$2,0),0)</f>
        <v>0</v>
      </c>
      <c r="H560" s="10">
        <f>IFERROR(VLOOKUP(B560,cubo!$A$6:$BE$37,15,0)-VLOOKUP(B560,#REF!,$H$2,0),0)</f>
        <v>0</v>
      </c>
      <c r="I560" s="9">
        <f>IFERROR(VLOOKUP(B560,cubo!$A$6:$BE$37,18,0)-VLOOKUP(B560,#REF!,$I$2,0),0)</f>
        <v>0</v>
      </c>
      <c r="J560" s="9">
        <f>IFERROR(VLOOKUP(B560,cubo!$A$6:$BE$37,24,0)-VLOOKUP(B560,#REF!,$J$2,0),0)</f>
        <v>0</v>
      </c>
      <c r="K560" s="9">
        <f>IFERROR(VLOOKUP(B560,cubo!$A$6:$BE$37,34,0)-VLOOKUP(B560,#REF!,$K$2,0),0)</f>
        <v>0</v>
      </c>
      <c r="L560" s="8">
        <f>IFERROR(VLOOKUP(B560,cubo!$A$6:$BE$37,38,0)-VLOOKUP(B560,#REF!,$L$2,0),0)</f>
        <v>0</v>
      </c>
      <c r="M560" s="15">
        <f>IFERROR(VLOOKUP(B560,cubo!$A$6:$BE$37,57,0)-VLOOKUP(B560,#REF!,$M$2,0),0)</f>
        <v>0</v>
      </c>
      <c r="N560" s="9">
        <f>IFERROR(VLOOKUP(B560,cubo!$A$6:$BK$37,41,0)-VLOOKUP(conciliacao_custos!B560,#REF!,18,0),0)</f>
        <v>0</v>
      </c>
      <c r="O560" s="9">
        <f>IFERROR(VLOOKUP(B560,cubo!$A$6:$BK$37,44,0)-VLOOKUP(conciliacao_custos!B560,#REF!,13,0),0)</f>
        <v>0</v>
      </c>
      <c r="P560" s="9">
        <f>IFERROR(VLOOKUP(B560,cubo!$A$6:$BK$37,47,0)-VLOOKUP(conciliacao_custos!B560,#REF!,14,0),0)</f>
        <v>0</v>
      </c>
      <c r="Q560" s="9">
        <f>IFERROR(VLOOKUP(B560,cubo!$A$6:$BK$37,58,0)-VLOOKUP(conciliacao_custos!B560,#REF!,16,0),0)</f>
        <v>0</v>
      </c>
      <c r="R560" s="9">
        <f>IFERROR(VLOOKUP(B560,cubo!$A$6:$BK$37,64,0)-VLOOKUP(conciliacao_custos!B560,#REF!,17,0),0)</f>
        <v>0</v>
      </c>
      <c r="S560" s="9">
        <f>IFERROR(VLOOKUP(B560,cubo!$A$6:$BK$37,61,0)-VLOOKUP(conciliacao_custos!B560,#REF!,15,0),0)</f>
        <v>0</v>
      </c>
    </row>
    <row r="561" spans="2:19" x14ac:dyDescent="0.25">
      <c r="B561" s="7">
        <f>[1]salario!A560</f>
        <v>0</v>
      </c>
      <c r="C561" s="8">
        <f>[1]salario!C560</f>
        <v>0</v>
      </c>
      <c r="D561" s="10">
        <f>IFERROR(VLOOKUP(B561,cubo!$A$6:$BE$37,6,0)-VLOOKUP(B561,#REF!,$D$2,0),0)</f>
        <v>0</v>
      </c>
      <c r="E561" s="10">
        <f>IFERROR(VLOOKUP(B561,cubo!$A$6:$BE$37,9,0)-VLOOKUP(B561,#REF!,$E$2,0),0)</f>
        <v>0</v>
      </c>
      <c r="F561" s="9">
        <f>IFERROR(VLOOKUP(B561,cubo!$A$6:$BE$37,12,0)-VLOOKUP(B561,#REF!,$F$2,0),0)</f>
        <v>0</v>
      </c>
      <c r="G561" s="9">
        <f>IFERROR(VLOOKUP(B561,cubo!$A$6:$BE$37,54,0)-VLOOKUP(B561,#REF!,$G$2,0),0)</f>
        <v>0</v>
      </c>
      <c r="H561" s="10">
        <f>IFERROR(VLOOKUP(B561,cubo!$A$6:$BE$37,15,0)-VLOOKUP(B561,#REF!,$H$2,0),0)</f>
        <v>0</v>
      </c>
      <c r="I561" s="9">
        <f>IFERROR(VLOOKUP(B561,cubo!$A$6:$BE$37,18,0)-VLOOKUP(B561,#REF!,$I$2,0),0)</f>
        <v>0</v>
      </c>
      <c r="J561" s="9">
        <f>IFERROR(VLOOKUP(B561,cubo!$A$6:$BE$37,24,0)-VLOOKUP(B561,#REF!,$J$2,0),0)</f>
        <v>0</v>
      </c>
      <c r="K561" s="9">
        <f>IFERROR(VLOOKUP(B561,cubo!$A$6:$BE$37,34,0)-VLOOKUP(B561,#REF!,$K$2,0),0)</f>
        <v>0</v>
      </c>
      <c r="L561" s="8">
        <f>IFERROR(VLOOKUP(B561,cubo!$A$6:$BE$37,38,0)-VLOOKUP(B561,#REF!,$L$2,0),0)</f>
        <v>0</v>
      </c>
      <c r="M561" s="15">
        <f>IFERROR(VLOOKUP(B561,cubo!$A$6:$BE$37,57,0)-VLOOKUP(B561,#REF!,$M$2,0),0)</f>
        <v>0</v>
      </c>
      <c r="N561" s="9">
        <f>IFERROR(VLOOKUP(B561,cubo!$A$6:$BK$37,41,0)-VLOOKUP(conciliacao_custos!B561,#REF!,18,0),0)</f>
        <v>0</v>
      </c>
      <c r="O561" s="9">
        <f>IFERROR(VLOOKUP(B561,cubo!$A$6:$BK$37,44,0)-VLOOKUP(conciliacao_custos!B561,#REF!,13,0),0)</f>
        <v>0</v>
      </c>
      <c r="P561" s="9">
        <f>IFERROR(VLOOKUP(B561,cubo!$A$6:$BK$37,47,0)-VLOOKUP(conciliacao_custos!B561,#REF!,14,0),0)</f>
        <v>0</v>
      </c>
      <c r="Q561" s="9">
        <f>IFERROR(VLOOKUP(B561,cubo!$A$6:$BK$37,58,0)-VLOOKUP(conciliacao_custos!B561,#REF!,16,0),0)</f>
        <v>0</v>
      </c>
      <c r="R561" s="9">
        <f>IFERROR(VLOOKUP(B561,cubo!$A$6:$BK$37,64,0)-VLOOKUP(conciliacao_custos!B561,#REF!,17,0),0)</f>
        <v>0</v>
      </c>
      <c r="S561" s="9">
        <f>IFERROR(VLOOKUP(B561,cubo!$A$6:$BK$37,61,0)-VLOOKUP(conciliacao_custos!B561,#REF!,15,0),0)</f>
        <v>0</v>
      </c>
    </row>
    <row r="562" spans="2:19" x14ac:dyDescent="0.25">
      <c r="B562" s="7">
        <f>[1]salario!A561</f>
        <v>0</v>
      </c>
      <c r="C562" s="8">
        <f>[1]salario!C561</f>
        <v>0</v>
      </c>
      <c r="D562" s="10">
        <f>IFERROR(VLOOKUP(B562,cubo!$A$6:$BE$37,6,0)-VLOOKUP(B562,#REF!,$D$2,0),0)</f>
        <v>0</v>
      </c>
      <c r="E562" s="10">
        <f>IFERROR(VLOOKUP(B562,cubo!$A$6:$BE$37,9,0)-VLOOKUP(B562,#REF!,$E$2,0),0)</f>
        <v>0</v>
      </c>
      <c r="F562" s="9">
        <f>IFERROR(VLOOKUP(B562,cubo!$A$6:$BE$37,12,0)-VLOOKUP(B562,#REF!,$F$2,0),0)</f>
        <v>0</v>
      </c>
      <c r="G562" s="9">
        <f>IFERROR(VLOOKUP(B562,cubo!$A$6:$BE$37,54,0)-VLOOKUP(B562,#REF!,$G$2,0),0)</f>
        <v>0</v>
      </c>
      <c r="H562" s="10">
        <f>IFERROR(VLOOKUP(B562,cubo!$A$6:$BE$37,15,0)-VLOOKUP(B562,#REF!,$H$2,0),0)</f>
        <v>0</v>
      </c>
      <c r="I562" s="9">
        <f>IFERROR(VLOOKUP(B562,cubo!$A$6:$BE$37,18,0)-VLOOKUP(B562,#REF!,$I$2,0),0)</f>
        <v>0</v>
      </c>
      <c r="J562" s="9">
        <f>IFERROR(VLOOKUP(B562,cubo!$A$6:$BE$37,24,0)-VLOOKUP(B562,#REF!,$J$2,0),0)</f>
        <v>0</v>
      </c>
      <c r="K562" s="9">
        <f>IFERROR(VLOOKUP(B562,cubo!$A$6:$BE$37,34,0)-VLOOKUP(B562,#REF!,$K$2,0),0)</f>
        <v>0</v>
      </c>
      <c r="L562" s="8">
        <f>IFERROR(VLOOKUP(B562,cubo!$A$6:$BE$37,38,0)-VLOOKUP(B562,#REF!,$L$2,0),0)</f>
        <v>0</v>
      </c>
      <c r="M562" s="15">
        <f>IFERROR(VLOOKUP(B562,cubo!$A$6:$BE$37,57,0)-VLOOKUP(B562,#REF!,$M$2,0),0)</f>
        <v>0</v>
      </c>
      <c r="N562" s="9">
        <f>IFERROR(VLOOKUP(B562,cubo!$A$6:$BK$37,41,0)-VLOOKUP(conciliacao_custos!B562,#REF!,18,0),0)</f>
        <v>0</v>
      </c>
      <c r="O562" s="9">
        <f>IFERROR(VLOOKUP(B562,cubo!$A$6:$BK$37,44,0)-VLOOKUP(conciliacao_custos!B562,#REF!,13,0),0)</f>
        <v>0</v>
      </c>
      <c r="P562" s="9">
        <f>IFERROR(VLOOKUP(B562,cubo!$A$6:$BK$37,47,0)-VLOOKUP(conciliacao_custos!B562,#REF!,14,0),0)</f>
        <v>0</v>
      </c>
      <c r="Q562" s="9">
        <f>IFERROR(VLOOKUP(B562,cubo!$A$6:$BK$37,58,0)-VLOOKUP(conciliacao_custos!B562,#REF!,16,0),0)</f>
        <v>0</v>
      </c>
      <c r="R562" s="9">
        <f>IFERROR(VLOOKUP(B562,cubo!$A$6:$BK$37,64,0)-VLOOKUP(conciliacao_custos!B562,#REF!,17,0),0)</f>
        <v>0</v>
      </c>
      <c r="S562" s="9">
        <f>IFERROR(VLOOKUP(B562,cubo!$A$6:$BK$37,61,0)-VLOOKUP(conciliacao_custos!B562,#REF!,15,0),0)</f>
        <v>0</v>
      </c>
    </row>
    <row r="563" spans="2:19" x14ac:dyDescent="0.25">
      <c r="B563" s="7">
        <f>[1]salario!A562</f>
        <v>0</v>
      </c>
      <c r="C563" s="8">
        <f>[1]salario!C562</f>
        <v>0</v>
      </c>
      <c r="D563" s="10">
        <f>IFERROR(VLOOKUP(B563,cubo!$A$6:$BE$37,6,0)-VLOOKUP(B563,#REF!,$D$2,0),0)</f>
        <v>0</v>
      </c>
      <c r="E563" s="10">
        <f>IFERROR(VLOOKUP(B563,cubo!$A$6:$BE$37,9,0)-VLOOKUP(B563,#REF!,$E$2,0),0)</f>
        <v>0</v>
      </c>
      <c r="F563" s="9">
        <f>IFERROR(VLOOKUP(B563,cubo!$A$6:$BE$37,12,0)-VLOOKUP(B563,#REF!,$F$2,0),0)</f>
        <v>0</v>
      </c>
      <c r="G563" s="9">
        <f>IFERROR(VLOOKUP(B563,cubo!$A$6:$BE$37,54,0)-VLOOKUP(B563,#REF!,$G$2,0),0)</f>
        <v>0</v>
      </c>
      <c r="H563" s="10">
        <f>IFERROR(VLOOKUP(B563,cubo!$A$6:$BE$37,15,0)-VLOOKUP(B563,#REF!,$H$2,0),0)</f>
        <v>0</v>
      </c>
      <c r="I563" s="9">
        <f>IFERROR(VLOOKUP(B563,cubo!$A$6:$BE$37,18,0)-VLOOKUP(B563,#REF!,$I$2,0),0)</f>
        <v>0</v>
      </c>
      <c r="J563" s="9">
        <f>IFERROR(VLOOKUP(B563,cubo!$A$6:$BE$37,24,0)-VLOOKUP(B563,#REF!,$J$2,0),0)</f>
        <v>0</v>
      </c>
      <c r="K563" s="9">
        <f>IFERROR(VLOOKUP(B563,cubo!$A$6:$BE$37,34,0)-VLOOKUP(B563,#REF!,$K$2,0),0)</f>
        <v>0</v>
      </c>
      <c r="L563" s="8">
        <f>IFERROR(VLOOKUP(B563,cubo!$A$6:$BE$37,38,0)-VLOOKUP(B563,#REF!,$L$2,0),0)</f>
        <v>0</v>
      </c>
      <c r="M563" s="15">
        <f>IFERROR(VLOOKUP(B563,cubo!$A$6:$BE$37,57,0)-VLOOKUP(B563,#REF!,$M$2,0),0)</f>
        <v>0</v>
      </c>
      <c r="N563" s="9">
        <f>IFERROR(VLOOKUP(B563,cubo!$A$6:$BK$37,41,0)-VLOOKUP(conciliacao_custos!B563,#REF!,18,0),0)</f>
        <v>0</v>
      </c>
      <c r="O563" s="9">
        <f>IFERROR(VLOOKUP(B563,cubo!$A$6:$BK$37,44,0)-VLOOKUP(conciliacao_custos!B563,#REF!,13,0),0)</f>
        <v>0</v>
      </c>
      <c r="P563" s="9">
        <f>IFERROR(VLOOKUP(B563,cubo!$A$6:$BK$37,47,0)-VLOOKUP(conciliacao_custos!B563,#REF!,14,0),0)</f>
        <v>0</v>
      </c>
      <c r="Q563" s="9">
        <f>IFERROR(VLOOKUP(B563,cubo!$A$6:$BK$37,58,0)-VLOOKUP(conciliacao_custos!B563,#REF!,16,0),0)</f>
        <v>0</v>
      </c>
      <c r="R563" s="9">
        <f>IFERROR(VLOOKUP(B563,cubo!$A$6:$BK$37,64,0)-VLOOKUP(conciliacao_custos!B563,#REF!,17,0),0)</f>
        <v>0</v>
      </c>
      <c r="S563" s="9">
        <f>IFERROR(VLOOKUP(B563,cubo!$A$6:$BK$37,61,0)-VLOOKUP(conciliacao_custos!B563,#REF!,15,0),0)</f>
        <v>0</v>
      </c>
    </row>
    <row r="564" spans="2:19" x14ac:dyDescent="0.25">
      <c r="B564" s="7">
        <f>[1]salario!A563</f>
        <v>0</v>
      </c>
      <c r="C564" s="8">
        <f>[1]salario!C563</f>
        <v>0</v>
      </c>
      <c r="D564" s="10">
        <f>IFERROR(VLOOKUP(B564,cubo!$A$6:$BE$37,6,0)-VLOOKUP(B564,#REF!,$D$2,0),0)</f>
        <v>0</v>
      </c>
      <c r="E564" s="10">
        <f>IFERROR(VLOOKUP(B564,cubo!$A$6:$BE$37,9,0)-VLOOKUP(B564,#REF!,$E$2,0),0)</f>
        <v>0</v>
      </c>
      <c r="F564" s="9">
        <f>IFERROR(VLOOKUP(B564,cubo!$A$6:$BE$37,12,0)-VLOOKUP(B564,#REF!,$F$2,0),0)</f>
        <v>0</v>
      </c>
      <c r="G564" s="9">
        <f>IFERROR(VLOOKUP(B564,cubo!$A$6:$BE$37,54,0)-VLOOKUP(B564,#REF!,$G$2,0),0)</f>
        <v>0</v>
      </c>
      <c r="H564" s="10">
        <f>IFERROR(VLOOKUP(B564,cubo!$A$6:$BE$37,15,0)-VLOOKUP(B564,#REF!,$H$2,0),0)</f>
        <v>0</v>
      </c>
      <c r="I564" s="9">
        <f>IFERROR(VLOOKUP(B564,cubo!$A$6:$BE$37,18,0)-VLOOKUP(B564,#REF!,$I$2,0),0)</f>
        <v>0</v>
      </c>
      <c r="J564" s="9">
        <f>IFERROR(VLOOKUP(B564,cubo!$A$6:$BE$37,24,0)-VLOOKUP(B564,#REF!,$J$2,0),0)</f>
        <v>0</v>
      </c>
      <c r="K564" s="9">
        <f>IFERROR(VLOOKUP(B564,cubo!$A$6:$BE$37,34,0)-VLOOKUP(B564,#REF!,$K$2,0),0)</f>
        <v>0</v>
      </c>
      <c r="L564" s="8">
        <f>IFERROR(VLOOKUP(B564,cubo!$A$6:$BE$37,38,0)-VLOOKUP(B564,#REF!,$L$2,0),0)</f>
        <v>0</v>
      </c>
      <c r="M564" s="15">
        <f>IFERROR(VLOOKUP(B564,cubo!$A$6:$BE$37,57,0)-VLOOKUP(B564,#REF!,$M$2,0),0)</f>
        <v>0</v>
      </c>
      <c r="N564" s="9">
        <f>IFERROR(VLOOKUP(B564,cubo!$A$6:$BK$37,41,0)-VLOOKUP(conciliacao_custos!B564,#REF!,18,0),0)</f>
        <v>0</v>
      </c>
      <c r="O564" s="9">
        <f>IFERROR(VLOOKUP(B564,cubo!$A$6:$BK$37,44,0)-VLOOKUP(conciliacao_custos!B564,#REF!,13,0),0)</f>
        <v>0</v>
      </c>
      <c r="P564" s="9">
        <f>IFERROR(VLOOKUP(B564,cubo!$A$6:$BK$37,47,0)-VLOOKUP(conciliacao_custos!B564,#REF!,14,0),0)</f>
        <v>0</v>
      </c>
      <c r="Q564" s="9">
        <f>IFERROR(VLOOKUP(B564,cubo!$A$6:$BK$37,58,0)-VLOOKUP(conciliacao_custos!B564,#REF!,16,0),0)</f>
        <v>0</v>
      </c>
      <c r="R564" s="9">
        <f>IFERROR(VLOOKUP(B564,cubo!$A$6:$BK$37,64,0)-VLOOKUP(conciliacao_custos!B564,#REF!,17,0),0)</f>
        <v>0</v>
      </c>
      <c r="S564" s="9">
        <f>IFERROR(VLOOKUP(B564,cubo!$A$6:$BK$37,61,0)-VLOOKUP(conciliacao_custos!B564,#REF!,15,0),0)</f>
        <v>0</v>
      </c>
    </row>
    <row r="565" spans="2:19" x14ac:dyDescent="0.25">
      <c r="B565" s="7">
        <f>[1]salario!A564</f>
        <v>0</v>
      </c>
      <c r="C565" s="8">
        <f>[1]salario!C564</f>
        <v>0</v>
      </c>
      <c r="D565" s="10">
        <f>IFERROR(VLOOKUP(B565,cubo!$A$6:$BE$37,6,0)-VLOOKUP(B565,#REF!,$D$2,0),0)</f>
        <v>0</v>
      </c>
      <c r="E565" s="10">
        <f>IFERROR(VLOOKUP(B565,cubo!$A$6:$BE$37,9,0)-VLOOKUP(B565,#REF!,$E$2,0),0)</f>
        <v>0</v>
      </c>
      <c r="F565" s="9">
        <f>IFERROR(VLOOKUP(B565,cubo!$A$6:$BE$37,12,0)-VLOOKUP(B565,#REF!,$F$2,0),0)</f>
        <v>0</v>
      </c>
      <c r="G565" s="9">
        <f>IFERROR(VLOOKUP(B565,cubo!$A$6:$BE$37,54,0)-VLOOKUP(B565,#REF!,$G$2,0),0)</f>
        <v>0</v>
      </c>
      <c r="H565" s="10">
        <f>IFERROR(VLOOKUP(B565,cubo!$A$6:$BE$37,15,0)-VLOOKUP(B565,#REF!,$H$2,0),0)</f>
        <v>0</v>
      </c>
      <c r="I565" s="9">
        <f>IFERROR(VLOOKUP(B565,cubo!$A$6:$BE$37,18,0)-VLOOKUP(B565,#REF!,$I$2,0),0)</f>
        <v>0</v>
      </c>
      <c r="J565" s="9">
        <f>IFERROR(VLOOKUP(B565,cubo!$A$6:$BE$37,24,0)-VLOOKUP(B565,#REF!,$J$2,0),0)</f>
        <v>0</v>
      </c>
      <c r="K565" s="9">
        <f>IFERROR(VLOOKUP(B565,cubo!$A$6:$BE$37,34,0)-VLOOKUP(B565,#REF!,$K$2,0),0)</f>
        <v>0</v>
      </c>
      <c r="L565" s="8">
        <f>IFERROR(VLOOKUP(B565,cubo!$A$6:$BE$37,38,0)-VLOOKUP(B565,#REF!,$L$2,0),0)</f>
        <v>0</v>
      </c>
      <c r="M565" s="15">
        <f>IFERROR(VLOOKUP(B565,cubo!$A$6:$BE$37,57,0)-VLOOKUP(B565,#REF!,$M$2,0),0)</f>
        <v>0</v>
      </c>
      <c r="N565" s="9">
        <f>IFERROR(VLOOKUP(B565,cubo!$A$6:$BK$37,41,0)-VLOOKUP(conciliacao_custos!B565,#REF!,18,0),0)</f>
        <v>0</v>
      </c>
      <c r="O565" s="9">
        <f>IFERROR(VLOOKUP(B565,cubo!$A$6:$BK$37,44,0)-VLOOKUP(conciliacao_custos!B565,#REF!,13,0),0)</f>
        <v>0</v>
      </c>
      <c r="P565" s="9">
        <f>IFERROR(VLOOKUP(B565,cubo!$A$6:$BK$37,47,0)-VLOOKUP(conciliacao_custos!B565,#REF!,14,0),0)</f>
        <v>0</v>
      </c>
      <c r="Q565" s="9">
        <f>IFERROR(VLOOKUP(B565,cubo!$A$6:$BK$37,58,0)-VLOOKUP(conciliacao_custos!B565,#REF!,16,0),0)</f>
        <v>0</v>
      </c>
      <c r="R565" s="9">
        <f>IFERROR(VLOOKUP(B565,cubo!$A$6:$BK$37,64,0)-VLOOKUP(conciliacao_custos!B565,#REF!,17,0),0)</f>
        <v>0</v>
      </c>
      <c r="S565" s="9">
        <f>IFERROR(VLOOKUP(B565,cubo!$A$6:$BK$37,61,0)-VLOOKUP(conciliacao_custos!B565,#REF!,15,0),0)</f>
        <v>0</v>
      </c>
    </row>
    <row r="566" spans="2:19" x14ac:dyDescent="0.25">
      <c r="B566" s="7">
        <f>[1]salario!A565</f>
        <v>0</v>
      </c>
      <c r="C566" s="8">
        <f>[1]salario!C565</f>
        <v>0</v>
      </c>
      <c r="D566" s="10">
        <f>IFERROR(VLOOKUP(B566,cubo!$A$6:$BE$37,6,0)-VLOOKUP(B566,#REF!,$D$2,0),0)</f>
        <v>0</v>
      </c>
      <c r="E566" s="10">
        <f>IFERROR(VLOOKUP(B566,cubo!$A$6:$BE$37,9,0)-VLOOKUP(B566,#REF!,$E$2,0),0)</f>
        <v>0</v>
      </c>
      <c r="F566" s="9">
        <f>IFERROR(VLOOKUP(B566,cubo!$A$6:$BE$37,12,0)-VLOOKUP(B566,#REF!,$F$2,0),0)</f>
        <v>0</v>
      </c>
      <c r="G566" s="9">
        <f>IFERROR(VLOOKUP(B566,cubo!$A$6:$BE$37,54,0)-VLOOKUP(B566,#REF!,$G$2,0),0)</f>
        <v>0</v>
      </c>
      <c r="H566" s="10">
        <f>IFERROR(VLOOKUP(B566,cubo!$A$6:$BE$37,15,0)-VLOOKUP(B566,#REF!,$H$2,0),0)</f>
        <v>0</v>
      </c>
      <c r="I566" s="9">
        <f>IFERROR(VLOOKUP(B566,cubo!$A$6:$BE$37,18,0)-VLOOKUP(B566,#REF!,$I$2,0),0)</f>
        <v>0</v>
      </c>
      <c r="J566" s="9">
        <f>IFERROR(VLOOKUP(B566,cubo!$A$6:$BE$37,24,0)-VLOOKUP(B566,#REF!,$J$2,0),0)</f>
        <v>0</v>
      </c>
      <c r="K566" s="9">
        <f>IFERROR(VLOOKUP(B566,cubo!$A$6:$BE$37,34,0)-VLOOKUP(B566,#REF!,$K$2,0),0)</f>
        <v>0</v>
      </c>
      <c r="L566" s="8">
        <f>IFERROR(VLOOKUP(B566,cubo!$A$6:$BE$37,38,0)-VLOOKUP(B566,#REF!,$L$2,0),0)</f>
        <v>0</v>
      </c>
      <c r="M566" s="15">
        <f>IFERROR(VLOOKUP(B566,cubo!$A$6:$BE$37,57,0)-VLOOKUP(B566,#REF!,$M$2,0),0)</f>
        <v>0</v>
      </c>
      <c r="N566" s="9">
        <f>IFERROR(VLOOKUP(B566,cubo!$A$6:$BK$37,41,0)-VLOOKUP(conciliacao_custos!B566,#REF!,18,0),0)</f>
        <v>0</v>
      </c>
      <c r="O566" s="9">
        <f>IFERROR(VLOOKUP(B566,cubo!$A$6:$BK$37,44,0)-VLOOKUP(conciliacao_custos!B566,#REF!,13,0),0)</f>
        <v>0</v>
      </c>
      <c r="P566" s="9">
        <f>IFERROR(VLOOKUP(B566,cubo!$A$6:$BK$37,47,0)-VLOOKUP(conciliacao_custos!B566,#REF!,14,0),0)</f>
        <v>0</v>
      </c>
      <c r="Q566" s="9">
        <f>IFERROR(VLOOKUP(B566,cubo!$A$6:$BK$37,58,0)-VLOOKUP(conciliacao_custos!B566,#REF!,16,0),0)</f>
        <v>0</v>
      </c>
      <c r="R566" s="9">
        <f>IFERROR(VLOOKUP(B566,cubo!$A$6:$BK$37,64,0)-VLOOKUP(conciliacao_custos!B566,#REF!,17,0),0)</f>
        <v>0</v>
      </c>
      <c r="S566" s="9">
        <f>IFERROR(VLOOKUP(B566,cubo!$A$6:$BK$37,61,0)-VLOOKUP(conciliacao_custos!B566,#REF!,15,0),0)</f>
        <v>0</v>
      </c>
    </row>
    <row r="567" spans="2:19" x14ac:dyDescent="0.25">
      <c r="B567" s="7">
        <f>[1]salario!A566</f>
        <v>0</v>
      </c>
      <c r="C567" s="8">
        <f>[1]salario!C566</f>
        <v>0</v>
      </c>
      <c r="D567" s="10">
        <f>IFERROR(VLOOKUP(B567,cubo!$A$6:$BE$37,6,0)-VLOOKUP(B567,#REF!,$D$2,0),0)</f>
        <v>0</v>
      </c>
      <c r="E567" s="10">
        <f>IFERROR(VLOOKUP(B567,cubo!$A$6:$BE$37,9,0)-VLOOKUP(B567,#REF!,$E$2,0),0)</f>
        <v>0</v>
      </c>
      <c r="F567" s="9">
        <f>IFERROR(VLOOKUP(B567,cubo!$A$6:$BE$37,12,0)-VLOOKUP(B567,#REF!,$F$2,0),0)</f>
        <v>0</v>
      </c>
      <c r="G567" s="9">
        <f>IFERROR(VLOOKUP(B567,cubo!$A$6:$BE$37,54,0)-VLOOKUP(B567,#REF!,$G$2,0),0)</f>
        <v>0</v>
      </c>
      <c r="H567" s="10">
        <f>IFERROR(VLOOKUP(B567,cubo!$A$6:$BE$37,15,0)-VLOOKUP(B567,#REF!,$H$2,0),0)</f>
        <v>0</v>
      </c>
      <c r="I567" s="9">
        <f>IFERROR(VLOOKUP(B567,cubo!$A$6:$BE$37,18,0)-VLOOKUP(B567,#REF!,$I$2,0),0)</f>
        <v>0</v>
      </c>
      <c r="J567" s="9">
        <f>IFERROR(VLOOKUP(B567,cubo!$A$6:$BE$37,24,0)-VLOOKUP(B567,#REF!,$J$2,0),0)</f>
        <v>0</v>
      </c>
      <c r="K567" s="9">
        <f>IFERROR(VLOOKUP(B567,cubo!$A$6:$BE$37,34,0)-VLOOKUP(B567,#REF!,$K$2,0),0)</f>
        <v>0</v>
      </c>
      <c r="L567" s="8">
        <f>IFERROR(VLOOKUP(B567,cubo!$A$6:$BE$37,38,0)-VLOOKUP(B567,#REF!,$L$2,0),0)</f>
        <v>0</v>
      </c>
      <c r="M567" s="15">
        <f>IFERROR(VLOOKUP(B567,cubo!$A$6:$BE$37,57,0)-VLOOKUP(B567,#REF!,$M$2,0),0)</f>
        <v>0</v>
      </c>
      <c r="N567" s="9">
        <f>IFERROR(VLOOKUP(B567,cubo!$A$6:$BK$37,41,0)-VLOOKUP(conciliacao_custos!B567,#REF!,18,0),0)</f>
        <v>0</v>
      </c>
      <c r="O567" s="9">
        <f>IFERROR(VLOOKUP(B567,cubo!$A$6:$BK$37,44,0)-VLOOKUP(conciliacao_custos!B567,#REF!,13,0),0)</f>
        <v>0</v>
      </c>
      <c r="P567" s="9">
        <f>IFERROR(VLOOKUP(B567,cubo!$A$6:$BK$37,47,0)-VLOOKUP(conciliacao_custos!B567,#REF!,14,0),0)</f>
        <v>0</v>
      </c>
      <c r="Q567" s="9">
        <f>IFERROR(VLOOKUP(B567,cubo!$A$6:$BK$37,58,0)-VLOOKUP(conciliacao_custos!B567,#REF!,16,0),0)</f>
        <v>0</v>
      </c>
      <c r="R567" s="9">
        <f>IFERROR(VLOOKUP(B567,cubo!$A$6:$BK$37,64,0)-VLOOKUP(conciliacao_custos!B567,#REF!,17,0),0)</f>
        <v>0</v>
      </c>
      <c r="S567" s="9">
        <f>IFERROR(VLOOKUP(B567,cubo!$A$6:$BK$37,61,0)-VLOOKUP(conciliacao_custos!B567,#REF!,15,0),0)</f>
        <v>0</v>
      </c>
    </row>
    <row r="568" spans="2:19" x14ac:dyDescent="0.25">
      <c r="B568" s="7">
        <f>[1]salario!A567</f>
        <v>0</v>
      </c>
      <c r="C568" s="8">
        <f>[1]salario!C567</f>
        <v>0</v>
      </c>
      <c r="D568" s="10">
        <f>IFERROR(VLOOKUP(B568,cubo!$A$6:$BE$37,6,0)-VLOOKUP(B568,#REF!,$D$2,0),0)</f>
        <v>0</v>
      </c>
      <c r="E568" s="10">
        <f>IFERROR(VLOOKUP(B568,cubo!$A$6:$BE$37,9,0)-VLOOKUP(B568,#REF!,$E$2,0),0)</f>
        <v>0</v>
      </c>
      <c r="F568" s="9">
        <f>IFERROR(VLOOKUP(B568,cubo!$A$6:$BE$37,12,0)-VLOOKUP(B568,#REF!,$F$2,0),0)</f>
        <v>0</v>
      </c>
      <c r="G568" s="9">
        <f>IFERROR(VLOOKUP(B568,cubo!$A$6:$BE$37,54,0)-VLOOKUP(B568,#REF!,$G$2,0),0)</f>
        <v>0</v>
      </c>
      <c r="H568" s="10">
        <f>IFERROR(VLOOKUP(B568,cubo!$A$6:$BE$37,15,0)-VLOOKUP(B568,#REF!,$H$2,0),0)</f>
        <v>0</v>
      </c>
      <c r="I568" s="9">
        <f>IFERROR(VLOOKUP(B568,cubo!$A$6:$BE$37,18,0)-VLOOKUP(B568,#REF!,$I$2,0),0)</f>
        <v>0</v>
      </c>
      <c r="J568" s="9">
        <f>IFERROR(VLOOKUP(B568,cubo!$A$6:$BE$37,24,0)-VLOOKUP(B568,#REF!,$J$2,0),0)</f>
        <v>0</v>
      </c>
      <c r="K568" s="9">
        <f>IFERROR(VLOOKUP(B568,cubo!$A$6:$BE$37,34,0)-VLOOKUP(B568,#REF!,$K$2,0),0)</f>
        <v>0</v>
      </c>
      <c r="L568" s="8">
        <f>IFERROR(VLOOKUP(B568,cubo!$A$6:$BE$37,38,0)-VLOOKUP(B568,#REF!,$L$2,0),0)</f>
        <v>0</v>
      </c>
      <c r="M568" s="15">
        <f>IFERROR(VLOOKUP(B568,cubo!$A$6:$BE$37,57,0)-VLOOKUP(B568,#REF!,$M$2,0),0)</f>
        <v>0</v>
      </c>
      <c r="N568" s="9">
        <f>IFERROR(VLOOKUP(B568,cubo!$A$6:$BK$37,41,0)-VLOOKUP(conciliacao_custos!B568,#REF!,18,0),0)</f>
        <v>0</v>
      </c>
      <c r="O568" s="9">
        <f>IFERROR(VLOOKUP(B568,cubo!$A$6:$BK$37,44,0)-VLOOKUP(conciliacao_custos!B568,#REF!,13,0),0)</f>
        <v>0</v>
      </c>
      <c r="P568" s="9">
        <f>IFERROR(VLOOKUP(B568,cubo!$A$6:$BK$37,47,0)-VLOOKUP(conciliacao_custos!B568,#REF!,14,0),0)</f>
        <v>0</v>
      </c>
      <c r="Q568" s="9">
        <f>IFERROR(VLOOKUP(B568,cubo!$A$6:$BK$37,58,0)-VLOOKUP(conciliacao_custos!B568,#REF!,16,0),0)</f>
        <v>0</v>
      </c>
      <c r="R568" s="9">
        <f>IFERROR(VLOOKUP(B568,cubo!$A$6:$BK$37,64,0)-VLOOKUP(conciliacao_custos!B568,#REF!,17,0),0)</f>
        <v>0</v>
      </c>
      <c r="S568" s="9">
        <f>IFERROR(VLOOKUP(B568,cubo!$A$6:$BK$37,61,0)-VLOOKUP(conciliacao_custos!B568,#REF!,15,0),0)</f>
        <v>0</v>
      </c>
    </row>
    <row r="569" spans="2:19" x14ac:dyDescent="0.25">
      <c r="B569" s="7">
        <f>[1]salario!A568</f>
        <v>0</v>
      </c>
      <c r="C569" s="8">
        <f>[1]salario!C568</f>
        <v>0</v>
      </c>
      <c r="D569" s="10">
        <f>IFERROR(VLOOKUP(B569,cubo!$A$6:$BE$37,6,0)-VLOOKUP(B569,#REF!,$D$2,0),0)</f>
        <v>0</v>
      </c>
      <c r="E569" s="10">
        <f>IFERROR(VLOOKUP(B569,cubo!$A$6:$BE$37,9,0)-VLOOKUP(B569,#REF!,$E$2,0),0)</f>
        <v>0</v>
      </c>
      <c r="F569" s="9">
        <f>IFERROR(VLOOKUP(B569,cubo!$A$6:$BE$37,12,0)-VLOOKUP(B569,#REF!,$F$2,0),0)</f>
        <v>0</v>
      </c>
      <c r="G569" s="9">
        <f>IFERROR(VLOOKUP(B569,cubo!$A$6:$BE$37,54,0)-VLOOKUP(B569,#REF!,$G$2,0),0)</f>
        <v>0</v>
      </c>
      <c r="H569" s="10">
        <f>IFERROR(VLOOKUP(B569,cubo!$A$6:$BE$37,15,0)-VLOOKUP(B569,#REF!,$H$2,0),0)</f>
        <v>0</v>
      </c>
      <c r="I569" s="9">
        <f>IFERROR(VLOOKUP(B569,cubo!$A$6:$BE$37,18,0)-VLOOKUP(B569,#REF!,$I$2,0),0)</f>
        <v>0</v>
      </c>
      <c r="J569" s="9">
        <f>IFERROR(VLOOKUP(B569,cubo!$A$6:$BE$37,24,0)-VLOOKUP(B569,#REF!,$J$2,0),0)</f>
        <v>0</v>
      </c>
      <c r="K569" s="9">
        <f>IFERROR(VLOOKUP(B569,cubo!$A$6:$BE$37,34,0)-VLOOKUP(B569,#REF!,$K$2,0),0)</f>
        <v>0</v>
      </c>
      <c r="L569" s="8">
        <f>IFERROR(VLOOKUP(B569,cubo!$A$6:$BE$37,38,0)-VLOOKUP(B569,#REF!,$L$2,0),0)</f>
        <v>0</v>
      </c>
      <c r="M569" s="15">
        <f>IFERROR(VLOOKUP(B569,cubo!$A$6:$BE$37,57,0)-VLOOKUP(B569,#REF!,$M$2,0),0)</f>
        <v>0</v>
      </c>
      <c r="N569" s="9">
        <f>IFERROR(VLOOKUP(B569,cubo!$A$6:$BK$37,41,0)-VLOOKUP(conciliacao_custos!B569,#REF!,18,0),0)</f>
        <v>0</v>
      </c>
      <c r="O569" s="9">
        <f>IFERROR(VLOOKUP(B569,cubo!$A$6:$BK$37,44,0)-VLOOKUP(conciliacao_custos!B569,#REF!,13,0),0)</f>
        <v>0</v>
      </c>
      <c r="P569" s="9">
        <f>IFERROR(VLOOKUP(B569,cubo!$A$6:$BK$37,47,0)-VLOOKUP(conciliacao_custos!B569,#REF!,14,0),0)</f>
        <v>0</v>
      </c>
      <c r="Q569" s="9">
        <f>IFERROR(VLOOKUP(B569,cubo!$A$6:$BK$37,58,0)-VLOOKUP(conciliacao_custos!B569,#REF!,16,0),0)</f>
        <v>0</v>
      </c>
      <c r="R569" s="9">
        <f>IFERROR(VLOOKUP(B569,cubo!$A$6:$BK$37,64,0)-VLOOKUP(conciliacao_custos!B569,#REF!,17,0),0)</f>
        <v>0</v>
      </c>
      <c r="S569" s="9">
        <f>IFERROR(VLOOKUP(B569,cubo!$A$6:$BK$37,61,0)-VLOOKUP(conciliacao_custos!B569,#REF!,15,0),0)</f>
        <v>0</v>
      </c>
    </row>
    <row r="570" spans="2:19" x14ac:dyDescent="0.25">
      <c r="B570" s="7">
        <f>[1]salario!A569</f>
        <v>0</v>
      </c>
      <c r="C570" s="8">
        <f>[1]salario!C569</f>
        <v>0</v>
      </c>
      <c r="D570" s="10">
        <f>IFERROR(VLOOKUP(B570,cubo!$A$6:$BE$37,6,0)-VLOOKUP(B570,#REF!,$D$2,0),0)</f>
        <v>0</v>
      </c>
      <c r="E570" s="10">
        <f>IFERROR(VLOOKUP(B570,cubo!$A$6:$BE$37,9,0)-VLOOKUP(B570,#REF!,$E$2,0),0)</f>
        <v>0</v>
      </c>
      <c r="F570" s="9">
        <f>IFERROR(VLOOKUP(B570,cubo!$A$6:$BE$37,12,0)-VLOOKUP(B570,#REF!,$F$2,0),0)</f>
        <v>0</v>
      </c>
      <c r="G570" s="9">
        <f>IFERROR(VLOOKUP(B570,cubo!$A$6:$BE$37,54,0)-VLOOKUP(B570,#REF!,$G$2,0),0)</f>
        <v>0</v>
      </c>
      <c r="H570" s="10">
        <f>IFERROR(VLOOKUP(B570,cubo!$A$6:$BE$37,15,0)-VLOOKUP(B570,#REF!,$H$2,0),0)</f>
        <v>0</v>
      </c>
      <c r="I570" s="9">
        <f>IFERROR(VLOOKUP(B570,cubo!$A$6:$BE$37,18,0)-VLOOKUP(B570,#REF!,$I$2,0),0)</f>
        <v>0</v>
      </c>
      <c r="J570" s="9">
        <f>IFERROR(VLOOKUP(B570,cubo!$A$6:$BE$37,24,0)-VLOOKUP(B570,#REF!,$J$2,0),0)</f>
        <v>0</v>
      </c>
      <c r="K570" s="9">
        <f>IFERROR(VLOOKUP(B570,cubo!$A$6:$BE$37,34,0)-VLOOKUP(B570,#REF!,$K$2,0),0)</f>
        <v>0</v>
      </c>
      <c r="L570" s="8">
        <f>IFERROR(VLOOKUP(B570,cubo!$A$6:$BE$37,38,0)-VLOOKUP(B570,#REF!,$L$2,0),0)</f>
        <v>0</v>
      </c>
      <c r="M570" s="15">
        <f>IFERROR(VLOOKUP(B570,cubo!$A$6:$BE$37,57,0)-VLOOKUP(B570,#REF!,$M$2,0),0)</f>
        <v>0</v>
      </c>
      <c r="N570" s="9">
        <f>IFERROR(VLOOKUP(B570,cubo!$A$6:$BK$37,41,0)-VLOOKUP(conciliacao_custos!B570,#REF!,18,0),0)</f>
        <v>0</v>
      </c>
      <c r="O570" s="9">
        <f>IFERROR(VLOOKUP(B570,cubo!$A$6:$BK$37,44,0)-VLOOKUP(conciliacao_custos!B570,#REF!,13,0),0)</f>
        <v>0</v>
      </c>
      <c r="P570" s="9">
        <f>IFERROR(VLOOKUP(B570,cubo!$A$6:$BK$37,47,0)-VLOOKUP(conciliacao_custos!B570,#REF!,14,0),0)</f>
        <v>0</v>
      </c>
      <c r="Q570" s="9">
        <f>IFERROR(VLOOKUP(B570,cubo!$A$6:$BK$37,58,0)-VLOOKUP(conciliacao_custos!B570,#REF!,16,0),0)</f>
        <v>0</v>
      </c>
      <c r="R570" s="9">
        <f>IFERROR(VLOOKUP(B570,cubo!$A$6:$BK$37,64,0)-VLOOKUP(conciliacao_custos!B570,#REF!,17,0),0)</f>
        <v>0</v>
      </c>
      <c r="S570" s="9">
        <f>IFERROR(VLOOKUP(B570,cubo!$A$6:$BK$37,61,0)-VLOOKUP(conciliacao_custos!B570,#REF!,15,0),0)</f>
        <v>0</v>
      </c>
    </row>
    <row r="571" spans="2:19" x14ac:dyDescent="0.25">
      <c r="B571" s="7">
        <f>[1]salario!A570</f>
        <v>0</v>
      </c>
      <c r="C571" s="8">
        <f>[1]salario!C570</f>
        <v>0</v>
      </c>
      <c r="D571" s="10">
        <f>IFERROR(VLOOKUP(B571,cubo!$A$6:$BE$37,6,0)-VLOOKUP(B571,#REF!,$D$2,0),0)</f>
        <v>0</v>
      </c>
      <c r="E571" s="10">
        <f>IFERROR(VLOOKUP(B571,cubo!$A$6:$BE$37,9,0)-VLOOKUP(B571,#REF!,$E$2,0),0)</f>
        <v>0</v>
      </c>
      <c r="F571" s="9">
        <f>IFERROR(VLOOKUP(B571,cubo!$A$6:$BE$37,12,0)-VLOOKUP(B571,#REF!,$F$2,0),0)</f>
        <v>0</v>
      </c>
      <c r="G571" s="9">
        <f>IFERROR(VLOOKUP(B571,cubo!$A$6:$BE$37,54,0)-VLOOKUP(B571,#REF!,$G$2,0),0)</f>
        <v>0</v>
      </c>
      <c r="H571" s="10">
        <f>IFERROR(VLOOKUP(B571,cubo!$A$6:$BE$37,15,0)-VLOOKUP(B571,#REF!,$H$2,0),0)</f>
        <v>0</v>
      </c>
      <c r="I571" s="9">
        <f>IFERROR(VLOOKUP(B571,cubo!$A$6:$BE$37,18,0)-VLOOKUP(B571,#REF!,$I$2,0),0)</f>
        <v>0</v>
      </c>
      <c r="J571" s="9">
        <f>IFERROR(VLOOKUP(B571,cubo!$A$6:$BE$37,24,0)-VLOOKUP(B571,#REF!,$J$2,0),0)</f>
        <v>0</v>
      </c>
      <c r="K571" s="9">
        <f>IFERROR(VLOOKUP(B571,cubo!$A$6:$BE$37,34,0)-VLOOKUP(B571,#REF!,$K$2,0),0)</f>
        <v>0</v>
      </c>
      <c r="L571" s="8">
        <f>IFERROR(VLOOKUP(B571,cubo!$A$6:$BE$37,38,0)-VLOOKUP(B571,#REF!,$L$2,0),0)</f>
        <v>0</v>
      </c>
      <c r="M571" s="15">
        <f>IFERROR(VLOOKUP(B571,cubo!$A$6:$BE$37,57,0)-VLOOKUP(B571,#REF!,$M$2,0),0)</f>
        <v>0</v>
      </c>
      <c r="N571" s="9">
        <f>IFERROR(VLOOKUP(B571,cubo!$A$6:$BK$37,41,0)-VLOOKUP(conciliacao_custos!B571,#REF!,18,0),0)</f>
        <v>0</v>
      </c>
      <c r="O571" s="9">
        <f>IFERROR(VLOOKUP(B571,cubo!$A$6:$BK$37,44,0)-VLOOKUP(conciliacao_custos!B571,#REF!,13,0),0)</f>
        <v>0</v>
      </c>
      <c r="P571" s="9">
        <f>IFERROR(VLOOKUP(B571,cubo!$A$6:$BK$37,47,0)-VLOOKUP(conciliacao_custos!B571,#REF!,14,0),0)</f>
        <v>0</v>
      </c>
      <c r="Q571" s="9">
        <f>IFERROR(VLOOKUP(B571,cubo!$A$6:$BK$37,58,0)-VLOOKUP(conciliacao_custos!B571,#REF!,16,0),0)</f>
        <v>0</v>
      </c>
      <c r="R571" s="9">
        <f>IFERROR(VLOOKUP(B571,cubo!$A$6:$BK$37,64,0)-VLOOKUP(conciliacao_custos!B571,#REF!,17,0),0)</f>
        <v>0</v>
      </c>
      <c r="S571" s="9">
        <f>IFERROR(VLOOKUP(B571,cubo!$A$6:$BK$37,61,0)-VLOOKUP(conciliacao_custos!B571,#REF!,15,0),0)</f>
        <v>0</v>
      </c>
    </row>
    <row r="572" spans="2:19" x14ac:dyDescent="0.25">
      <c r="B572" s="7">
        <f>[1]salario!A571</f>
        <v>0</v>
      </c>
      <c r="C572" s="8">
        <f>[1]salario!C571</f>
        <v>0</v>
      </c>
      <c r="D572" s="10">
        <f>IFERROR(VLOOKUP(B572,cubo!$A$6:$BE$37,6,0)-VLOOKUP(B572,#REF!,$D$2,0),0)</f>
        <v>0</v>
      </c>
      <c r="E572" s="10">
        <f>IFERROR(VLOOKUP(B572,cubo!$A$6:$BE$37,9,0)-VLOOKUP(B572,#REF!,$E$2,0),0)</f>
        <v>0</v>
      </c>
      <c r="F572" s="9">
        <f>IFERROR(VLOOKUP(B572,cubo!$A$6:$BE$37,12,0)-VLOOKUP(B572,#REF!,$F$2,0),0)</f>
        <v>0</v>
      </c>
      <c r="G572" s="9">
        <f>IFERROR(VLOOKUP(B572,cubo!$A$6:$BE$37,54,0)-VLOOKUP(B572,#REF!,$G$2,0),0)</f>
        <v>0</v>
      </c>
      <c r="H572" s="10">
        <f>IFERROR(VLOOKUP(B572,cubo!$A$6:$BE$37,15,0)-VLOOKUP(B572,#REF!,$H$2,0),0)</f>
        <v>0</v>
      </c>
      <c r="I572" s="9">
        <f>IFERROR(VLOOKUP(B572,cubo!$A$6:$BE$37,18,0)-VLOOKUP(B572,#REF!,$I$2,0),0)</f>
        <v>0</v>
      </c>
      <c r="J572" s="9">
        <f>IFERROR(VLOOKUP(B572,cubo!$A$6:$BE$37,24,0)-VLOOKUP(B572,#REF!,$J$2,0),0)</f>
        <v>0</v>
      </c>
      <c r="K572" s="9">
        <f>IFERROR(VLOOKUP(B572,cubo!$A$6:$BE$37,34,0)-VLOOKUP(B572,#REF!,$K$2,0),0)</f>
        <v>0</v>
      </c>
      <c r="L572" s="8">
        <f>IFERROR(VLOOKUP(B572,cubo!$A$6:$BE$37,38,0)-VLOOKUP(B572,#REF!,$L$2,0),0)</f>
        <v>0</v>
      </c>
      <c r="M572" s="15">
        <f>IFERROR(VLOOKUP(B572,cubo!$A$6:$BE$37,57,0)-VLOOKUP(B572,#REF!,$M$2,0),0)</f>
        <v>0</v>
      </c>
      <c r="N572" s="9">
        <f>IFERROR(VLOOKUP(B572,cubo!$A$6:$BK$37,41,0)-VLOOKUP(conciliacao_custos!B572,#REF!,18,0),0)</f>
        <v>0</v>
      </c>
      <c r="O572" s="9">
        <f>IFERROR(VLOOKUP(B572,cubo!$A$6:$BK$37,44,0)-VLOOKUP(conciliacao_custos!B572,#REF!,13,0),0)</f>
        <v>0</v>
      </c>
      <c r="P572" s="9">
        <f>IFERROR(VLOOKUP(B572,cubo!$A$6:$BK$37,47,0)-VLOOKUP(conciliacao_custos!B572,#REF!,14,0),0)</f>
        <v>0</v>
      </c>
      <c r="Q572" s="9">
        <f>IFERROR(VLOOKUP(B572,cubo!$A$6:$BK$37,58,0)-VLOOKUP(conciliacao_custos!B572,#REF!,16,0),0)</f>
        <v>0</v>
      </c>
      <c r="R572" s="9">
        <f>IFERROR(VLOOKUP(B572,cubo!$A$6:$BK$37,64,0)-VLOOKUP(conciliacao_custos!B572,#REF!,17,0),0)</f>
        <v>0</v>
      </c>
      <c r="S572" s="9">
        <f>IFERROR(VLOOKUP(B572,cubo!$A$6:$BK$37,61,0)-VLOOKUP(conciliacao_custos!B572,#REF!,15,0),0)</f>
        <v>0</v>
      </c>
    </row>
    <row r="573" spans="2:19" x14ac:dyDescent="0.25">
      <c r="B573" s="7">
        <f>[1]salario!A572</f>
        <v>0</v>
      </c>
      <c r="C573" s="8">
        <f>[1]salario!C572</f>
        <v>0</v>
      </c>
      <c r="D573" s="10">
        <f>IFERROR(VLOOKUP(B573,cubo!$A$6:$BE$37,6,0)-VLOOKUP(B573,#REF!,$D$2,0),0)</f>
        <v>0</v>
      </c>
      <c r="E573" s="10">
        <f>IFERROR(VLOOKUP(B573,cubo!$A$6:$BE$37,9,0)-VLOOKUP(B573,#REF!,$E$2,0),0)</f>
        <v>0</v>
      </c>
      <c r="F573" s="9">
        <f>IFERROR(VLOOKUP(B573,cubo!$A$6:$BE$37,12,0)-VLOOKUP(B573,#REF!,$F$2,0),0)</f>
        <v>0</v>
      </c>
      <c r="G573" s="9">
        <f>IFERROR(VLOOKUP(B573,cubo!$A$6:$BE$37,54,0)-VLOOKUP(B573,#REF!,$G$2,0),0)</f>
        <v>0</v>
      </c>
      <c r="H573" s="10">
        <f>IFERROR(VLOOKUP(B573,cubo!$A$6:$BE$37,15,0)-VLOOKUP(B573,#REF!,$H$2,0),0)</f>
        <v>0</v>
      </c>
      <c r="I573" s="9">
        <f>IFERROR(VLOOKUP(B573,cubo!$A$6:$BE$37,18,0)-VLOOKUP(B573,#REF!,$I$2,0),0)</f>
        <v>0</v>
      </c>
      <c r="J573" s="9">
        <f>IFERROR(VLOOKUP(B573,cubo!$A$6:$BE$37,24,0)-VLOOKUP(B573,#REF!,$J$2,0),0)</f>
        <v>0</v>
      </c>
      <c r="K573" s="9">
        <f>IFERROR(VLOOKUP(B573,cubo!$A$6:$BE$37,34,0)-VLOOKUP(B573,#REF!,$K$2,0),0)</f>
        <v>0</v>
      </c>
      <c r="L573" s="8">
        <f>IFERROR(VLOOKUP(B573,cubo!$A$6:$BE$37,38,0)-VLOOKUP(B573,#REF!,$L$2,0),0)</f>
        <v>0</v>
      </c>
      <c r="M573" s="15">
        <f>IFERROR(VLOOKUP(B573,cubo!$A$6:$BE$37,57,0)-VLOOKUP(B573,#REF!,$M$2,0),0)</f>
        <v>0</v>
      </c>
      <c r="N573" s="9">
        <f>IFERROR(VLOOKUP(B573,cubo!$A$6:$BK$37,41,0)-VLOOKUP(conciliacao_custos!B573,#REF!,18,0),0)</f>
        <v>0</v>
      </c>
      <c r="O573" s="9">
        <f>IFERROR(VLOOKUP(B573,cubo!$A$6:$BK$37,44,0)-VLOOKUP(conciliacao_custos!B573,#REF!,13,0),0)</f>
        <v>0</v>
      </c>
      <c r="P573" s="9">
        <f>IFERROR(VLOOKUP(B573,cubo!$A$6:$BK$37,47,0)-VLOOKUP(conciliacao_custos!B573,#REF!,14,0),0)</f>
        <v>0</v>
      </c>
      <c r="Q573" s="9">
        <f>IFERROR(VLOOKUP(B573,cubo!$A$6:$BK$37,58,0)-VLOOKUP(conciliacao_custos!B573,#REF!,16,0),0)</f>
        <v>0</v>
      </c>
      <c r="R573" s="9">
        <f>IFERROR(VLOOKUP(B573,cubo!$A$6:$BK$37,64,0)-VLOOKUP(conciliacao_custos!B573,#REF!,17,0),0)</f>
        <v>0</v>
      </c>
      <c r="S573" s="9">
        <f>IFERROR(VLOOKUP(B573,cubo!$A$6:$BK$37,61,0)-VLOOKUP(conciliacao_custos!B573,#REF!,15,0),0)</f>
        <v>0</v>
      </c>
    </row>
    <row r="574" spans="2:19" x14ac:dyDescent="0.25">
      <c r="B574" s="7">
        <f>[1]salario!A573</f>
        <v>0</v>
      </c>
      <c r="C574" s="8">
        <f>[1]salario!C573</f>
        <v>0</v>
      </c>
      <c r="D574" s="10">
        <f>IFERROR(VLOOKUP(B574,cubo!$A$6:$BE$37,6,0)-VLOOKUP(B574,#REF!,$D$2,0),0)</f>
        <v>0</v>
      </c>
      <c r="E574" s="10">
        <f>IFERROR(VLOOKUP(B574,cubo!$A$6:$BE$37,9,0)-VLOOKUP(B574,#REF!,$E$2,0),0)</f>
        <v>0</v>
      </c>
      <c r="F574" s="9">
        <f>IFERROR(VLOOKUP(B574,cubo!$A$6:$BE$37,12,0)-VLOOKUP(B574,#REF!,$F$2,0),0)</f>
        <v>0</v>
      </c>
      <c r="G574" s="9">
        <f>IFERROR(VLOOKUP(B574,cubo!$A$6:$BE$37,54,0)-VLOOKUP(B574,#REF!,$G$2,0),0)</f>
        <v>0</v>
      </c>
      <c r="H574" s="10">
        <f>IFERROR(VLOOKUP(B574,cubo!$A$6:$BE$37,15,0)-VLOOKUP(B574,#REF!,$H$2,0),0)</f>
        <v>0</v>
      </c>
      <c r="I574" s="9">
        <f>IFERROR(VLOOKUP(B574,cubo!$A$6:$BE$37,18,0)-VLOOKUP(B574,#REF!,$I$2,0),0)</f>
        <v>0</v>
      </c>
      <c r="J574" s="9">
        <f>IFERROR(VLOOKUP(B574,cubo!$A$6:$BE$37,24,0)-VLOOKUP(B574,#REF!,$J$2,0),0)</f>
        <v>0</v>
      </c>
      <c r="K574" s="9">
        <f>IFERROR(VLOOKUP(B574,cubo!$A$6:$BE$37,34,0)-VLOOKUP(B574,#REF!,$K$2,0),0)</f>
        <v>0</v>
      </c>
      <c r="L574" s="8">
        <f>IFERROR(VLOOKUP(B574,cubo!$A$6:$BE$37,38,0)-VLOOKUP(B574,#REF!,$L$2,0),0)</f>
        <v>0</v>
      </c>
      <c r="M574" s="15">
        <f>IFERROR(VLOOKUP(B574,cubo!$A$6:$BE$37,57,0)-VLOOKUP(B574,#REF!,$M$2,0),0)</f>
        <v>0</v>
      </c>
      <c r="N574" s="9">
        <f>IFERROR(VLOOKUP(B574,cubo!$A$6:$BK$37,41,0)-VLOOKUP(conciliacao_custos!B574,#REF!,18,0),0)</f>
        <v>0</v>
      </c>
      <c r="O574" s="9">
        <f>IFERROR(VLOOKUP(B574,cubo!$A$6:$BK$37,44,0)-VLOOKUP(conciliacao_custos!B574,#REF!,13,0),0)</f>
        <v>0</v>
      </c>
      <c r="P574" s="9">
        <f>IFERROR(VLOOKUP(B574,cubo!$A$6:$BK$37,47,0)-VLOOKUP(conciliacao_custos!B574,#REF!,14,0),0)</f>
        <v>0</v>
      </c>
      <c r="Q574" s="9">
        <f>IFERROR(VLOOKUP(B574,cubo!$A$6:$BK$37,58,0)-VLOOKUP(conciliacao_custos!B574,#REF!,16,0),0)</f>
        <v>0</v>
      </c>
      <c r="R574" s="9">
        <f>IFERROR(VLOOKUP(B574,cubo!$A$6:$BK$37,64,0)-VLOOKUP(conciliacao_custos!B574,#REF!,17,0),0)</f>
        <v>0</v>
      </c>
      <c r="S574" s="9">
        <f>IFERROR(VLOOKUP(B574,cubo!$A$6:$BK$37,61,0)-VLOOKUP(conciliacao_custos!B574,#REF!,15,0),0)</f>
        <v>0</v>
      </c>
    </row>
    <row r="575" spans="2:19" x14ac:dyDescent="0.25">
      <c r="B575" s="7">
        <f>[1]salario!A574</f>
        <v>0</v>
      </c>
      <c r="C575" s="8">
        <f>[1]salario!C574</f>
        <v>0</v>
      </c>
      <c r="D575" s="10">
        <f>IFERROR(VLOOKUP(B575,cubo!$A$6:$BE$37,6,0)-VLOOKUP(B575,#REF!,$D$2,0),0)</f>
        <v>0</v>
      </c>
      <c r="E575" s="10">
        <f>IFERROR(VLOOKUP(B575,cubo!$A$6:$BE$37,9,0)-VLOOKUP(B575,#REF!,$E$2,0),0)</f>
        <v>0</v>
      </c>
      <c r="F575" s="9">
        <f>IFERROR(VLOOKUP(B575,cubo!$A$6:$BE$37,12,0)-VLOOKUP(B575,#REF!,$F$2,0),0)</f>
        <v>0</v>
      </c>
      <c r="G575" s="9">
        <f>IFERROR(VLOOKUP(B575,cubo!$A$6:$BE$37,54,0)-VLOOKUP(B575,#REF!,$G$2,0),0)</f>
        <v>0</v>
      </c>
      <c r="H575" s="10">
        <f>IFERROR(VLOOKUP(B575,cubo!$A$6:$BE$37,15,0)-VLOOKUP(B575,#REF!,$H$2,0),0)</f>
        <v>0</v>
      </c>
      <c r="I575" s="9">
        <f>IFERROR(VLOOKUP(B575,cubo!$A$6:$BE$37,18,0)-VLOOKUP(B575,#REF!,$I$2,0),0)</f>
        <v>0</v>
      </c>
      <c r="J575" s="9">
        <f>IFERROR(VLOOKUP(B575,cubo!$A$6:$BE$37,24,0)-VLOOKUP(B575,#REF!,$J$2,0),0)</f>
        <v>0</v>
      </c>
      <c r="K575" s="9">
        <f>IFERROR(VLOOKUP(B575,cubo!$A$6:$BE$37,34,0)-VLOOKUP(B575,#REF!,$K$2,0),0)</f>
        <v>0</v>
      </c>
      <c r="L575" s="8">
        <f>IFERROR(VLOOKUP(B575,cubo!$A$6:$BE$37,38,0)-VLOOKUP(B575,#REF!,$L$2,0),0)</f>
        <v>0</v>
      </c>
      <c r="M575" s="15">
        <f>IFERROR(VLOOKUP(B575,cubo!$A$6:$BE$37,57,0)-VLOOKUP(B575,#REF!,$M$2,0),0)</f>
        <v>0</v>
      </c>
      <c r="N575" s="9">
        <f>IFERROR(VLOOKUP(B575,cubo!$A$6:$BK$37,41,0)-VLOOKUP(conciliacao_custos!B575,#REF!,18,0),0)</f>
        <v>0</v>
      </c>
      <c r="O575" s="9">
        <f>IFERROR(VLOOKUP(B575,cubo!$A$6:$BK$37,44,0)-VLOOKUP(conciliacao_custos!B575,#REF!,13,0),0)</f>
        <v>0</v>
      </c>
      <c r="P575" s="9">
        <f>IFERROR(VLOOKUP(B575,cubo!$A$6:$BK$37,47,0)-VLOOKUP(conciliacao_custos!B575,#REF!,14,0),0)</f>
        <v>0</v>
      </c>
      <c r="Q575" s="9">
        <f>IFERROR(VLOOKUP(B575,cubo!$A$6:$BK$37,58,0)-VLOOKUP(conciliacao_custos!B575,#REF!,16,0),0)</f>
        <v>0</v>
      </c>
      <c r="R575" s="9">
        <f>IFERROR(VLOOKUP(B575,cubo!$A$6:$BK$37,64,0)-VLOOKUP(conciliacao_custos!B575,#REF!,17,0),0)</f>
        <v>0</v>
      </c>
      <c r="S575" s="9">
        <f>IFERROR(VLOOKUP(B575,cubo!$A$6:$BK$37,61,0)-VLOOKUP(conciliacao_custos!B575,#REF!,15,0),0)</f>
        <v>0</v>
      </c>
    </row>
    <row r="576" spans="2:19" x14ac:dyDescent="0.25">
      <c r="B576" s="7">
        <f>[1]salario!A575</f>
        <v>0</v>
      </c>
      <c r="C576" s="8">
        <f>[1]salario!C575</f>
        <v>0</v>
      </c>
      <c r="D576" s="10">
        <f>IFERROR(VLOOKUP(B576,cubo!$A$6:$BE$37,6,0)-VLOOKUP(B576,#REF!,$D$2,0),0)</f>
        <v>0</v>
      </c>
      <c r="E576" s="10">
        <f>IFERROR(VLOOKUP(B576,cubo!$A$6:$BE$37,9,0)-VLOOKUP(B576,#REF!,$E$2,0),0)</f>
        <v>0</v>
      </c>
      <c r="F576" s="9">
        <f>IFERROR(VLOOKUP(B576,cubo!$A$6:$BE$37,12,0)-VLOOKUP(B576,#REF!,$F$2,0),0)</f>
        <v>0</v>
      </c>
      <c r="G576" s="9">
        <f>IFERROR(VLOOKUP(B576,cubo!$A$6:$BE$37,54,0)-VLOOKUP(B576,#REF!,$G$2,0),0)</f>
        <v>0</v>
      </c>
      <c r="H576" s="10">
        <f>IFERROR(VLOOKUP(B576,cubo!$A$6:$BE$37,15,0)-VLOOKUP(B576,#REF!,$H$2,0),0)</f>
        <v>0</v>
      </c>
      <c r="I576" s="9">
        <f>IFERROR(VLOOKUP(B576,cubo!$A$6:$BE$37,18,0)-VLOOKUP(B576,#REF!,$I$2,0),0)</f>
        <v>0</v>
      </c>
      <c r="J576" s="9">
        <f>IFERROR(VLOOKUP(B576,cubo!$A$6:$BE$37,24,0)-VLOOKUP(B576,#REF!,$J$2,0),0)</f>
        <v>0</v>
      </c>
      <c r="K576" s="9">
        <f>IFERROR(VLOOKUP(B576,cubo!$A$6:$BE$37,34,0)-VLOOKUP(B576,#REF!,$K$2,0),0)</f>
        <v>0</v>
      </c>
      <c r="L576" s="8">
        <f>IFERROR(VLOOKUP(B576,cubo!$A$6:$BE$37,38,0)-VLOOKUP(B576,#REF!,$L$2,0),0)</f>
        <v>0</v>
      </c>
      <c r="M576" s="15">
        <f>IFERROR(VLOOKUP(B576,cubo!$A$6:$BE$37,57,0)-VLOOKUP(B576,#REF!,$M$2,0),0)</f>
        <v>0</v>
      </c>
      <c r="N576" s="9">
        <f>IFERROR(VLOOKUP(B576,cubo!$A$6:$BK$37,41,0)-VLOOKUP(conciliacao_custos!B576,#REF!,18,0),0)</f>
        <v>0</v>
      </c>
      <c r="O576" s="9">
        <f>IFERROR(VLOOKUP(B576,cubo!$A$6:$BK$37,44,0)-VLOOKUP(conciliacao_custos!B576,#REF!,13,0),0)</f>
        <v>0</v>
      </c>
      <c r="P576" s="9">
        <f>IFERROR(VLOOKUP(B576,cubo!$A$6:$BK$37,47,0)-VLOOKUP(conciliacao_custos!B576,#REF!,14,0),0)</f>
        <v>0</v>
      </c>
      <c r="Q576" s="9">
        <f>IFERROR(VLOOKUP(B576,cubo!$A$6:$BK$37,58,0)-VLOOKUP(conciliacao_custos!B576,#REF!,16,0),0)</f>
        <v>0</v>
      </c>
      <c r="R576" s="9">
        <f>IFERROR(VLOOKUP(B576,cubo!$A$6:$BK$37,64,0)-VLOOKUP(conciliacao_custos!B576,#REF!,17,0),0)</f>
        <v>0</v>
      </c>
      <c r="S576" s="9">
        <f>IFERROR(VLOOKUP(B576,cubo!$A$6:$BK$37,61,0)-VLOOKUP(conciliacao_custos!B576,#REF!,15,0),0)</f>
        <v>0</v>
      </c>
    </row>
    <row r="577" spans="2:19" x14ac:dyDescent="0.25">
      <c r="B577" s="7">
        <f>[1]salario!A576</f>
        <v>0</v>
      </c>
      <c r="C577" s="8">
        <f>[1]salario!C576</f>
        <v>0</v>
      </c>
      <c r="D577" s="10">
        <f>IFERROR(VLOOKUP(B577,cubo!$A$6:$BE$37,6,0)-VLOOKUP(B577,#REF!,$D$2,0),0)</f>
        <v>0</v>
      </c>
      <c r="E577" s="10">
        <f>IFERROR(VLOOKUP(B577,cubo!$A$6:$BE$37,9,0)-VLOOKUP(B577,#REF!,$E$2,0),0)</f>
        <v>0</v>
      </c>
      <c r="F577" s="9">
        <f>IFERROR(VLOOKUP(B577,cubo!$A$6:$BE$37,12,0)-VLOOKUP(B577,#REF!,$F$2,0),0)</f>
        <v>0</v>
      </c>
      <c r="G577" s="9">
        <f>IFERROR(VLOOKUP(B577,cubo!$A$6:$BE$37,54,0)-VLOOKUP(B577,#REF!,$G$2,0),0)</f>
        <v>0</v>
      </c>
      <c r="H577" s="10">
        <f>IFERROR(VLOOKUP(B577,cubo!$A$6:$BE$37,15,0)-VLOOKUP(B577,#REF!,$H$2,0),0)</f>
        <v>0</v>
      </c>
      <c r="I577" s="9">
        <f>IFERROR(VLOOKUP(B577,cubo!$A$6:$BE$37,18,0)-VLOOKUP(B577,#REF!,$I$2,0),0)</f>
        <v>0</v>
      </c>
      <c r="J577" s="9">
        <f>IFERROR(VLOOKUP(B577,cubo!$A$6:$BE$37,24,0)-VLOOKUP(B577,#REF!,$J$2,0),0)</f>
        <v>0</v>
      </c>
      <c r="K577" s="9">
        <f>IFERROR(VLOOKUP(B577,cubo!$A$6:$BE$37,34,0)-VLOOKUP(B577,#REF!,$K$2,0),0)</f>
        <v>0</v>
      </c>
      <c r="L577" s="8">
        <f>IFERROR(VLOOKUP(B577,cubo!$A$6:$BE$37,38,0)-VLOOKUP(B577,#REF!,$L$2,0),0)</f>
        <v>0</v>
      </c>
      <c r="M577" s="15">
        <f>IFERROR(VLOOKUP(B577,cubo!$A$6:$BE$37,57,0)-VLOOKUP(B577,#REF!,$M$2,0),0)</f>
        <v>0</v>
      </c>
      <c r="N577" s="9">
        <f>IFERROR(VLOOKUP(B577,cubo!$A$6:$BK$37,41,0)-VLOOKUP(conciliacao_custos!B577,#REF!,18,0),0)</f>
        <v>0</v>
      </c>
      <c r="O577" s="9">
        <f>IFERROR(VLOOKUP(B577,cubo!$A$6:$BK$37,44,0)-VLOOKUP(conciliacao_custos!B577,#REF!,13,0),0)</f>
        <v>0</v>
      </c>
      <c r="P577" s="9">
        <f>IFERROR(VLOOKUP(B577,cubo!$A$6:$BK$37,47,0)-VLOOKUP(conciliacao_custos!B577,#REF!,14,0),0)</f>
        <v>0</v>
      </c>
      <c r="Q577" s="9">
        <f>IFERROR(VLOOKUP(B577,cubo!$A$6:$BK$37,58,0)-VLOOKUP(conciliacao_custos!B577,#REF!,16,0),0)</f>
        <v>0</v>
      </c>
      <c r="R577" s="9">
        <f>IFERROR(VLOOKUP(B577,cubo!$A$6:$BK$37,64,0)-VLOOKUP(conciliacao_custos!B577,#REF!,17,0),0)</f>
        <v>0</v>
      </c>
      <c r="S577" s="9">
        <f>IFERROR(VLOOKUP(B577,cubo!$A$6:$BK$37,61,0)-VLOOKUP(conciliacao_custos!B577,#REF!,15,0),0)</f>
        <v>0</v>
      </c>
    </row>
    <row r="578" spans="2:19" x14ac:dyDescent="0.25">
      <c r="B578" s="7">
        <f>[1]salario!A577</f>
        <v>0</v>
      </c>
      <c r="C578" s="8">
        <f>[1]salario!C577</f>
        <v>0</v>
      </c>
      <c r="D578" s="10">
        <f>IFERROR(VLOOKUP(B578,cubo!$A$6:$BE$37,6,0)-VLOOKUP(B578,#REF!,$D$2,0),0)</f>
        <v>0</v>
      </c>
      <c r="E578" s="10">
        <f>IFERROR(VLOOKUP(B578,cubo!$A$6:$BE$37,9,0)-VLOOKUP(B578,#REF!,$E$2,0),0)</f>
        <v>0</v>
      </c>
      <c r="F578" s="9">
        <f>IFERROR(VLOOKUP(B578,cubo!$A$6:$BE$37,12,0)-VLOOKUP(B578,#REF!,$F$2,0),0)</f>
        <v>0</v>
      </c>
      <c r="G578" s="9">
        <f>IFERROR(VLOOKUP(B578,cubo!$A$6:$BE$37,54,0)-VLOOKUP(B578,#REF!,$G$2,0),0)</f>
        <v>0</v>
      </c>
      <c r="H578" s="10">
        <f>IFERROR(VLOOKUP(B578,cubo!$A$6:$BE$37,15,0)-VLOOKUP(B578,#REF!,$H$2,0),0)</f>
        <v>0</v>
      </c>
      <c r="I578" s="9">
        <f>IFERROR(VLOOKUP(B578,cubo!$A$6:$BE$37,18,0)-VLOOKUP(B578,#REF!,$I$2,0),0)</f>
        <v>0</v>
      </c>
      <c r="J578" s="9">
        <f>IFERROR(VLOOKUP(B578,cubo!$A$6:$BE$37,24,0)-VLOOKUP(B578,#REF!,$J$2,0),0)</f>
        <v>0</v>
      </c>
      <c r="K578" s="9">
        <f>IFERROR(VLOOKUP(B578,cubo!$A$6:$BE$37,34,0)-VLOOKUP(B578,#REF!,$K$2,0),0)</f>
        <v>0</v>
      </c>
      <c r="L578" s="8">
        <f>IFERROR(VLOOKUP(B578,cubo!$A$6:$BE$37,38,0)-VLOOKUP(B578,#REF!,$L$2,0),0)</f>
        <v>0</v>
      </c>
      <c r="M578" s="15">
        <f>IFERROR(VLOOKUP(B578,cubo!$A$6:$BE$37,57,0)-VLOOKUP(B578,#REF!,$M$2,0),0)</f>
        <v>0</v>
      </c>
      <c r="N578" s="9">
        <f>IFERROR(VLOOKUP(B578,cubo!$A$6:$BK$37,41,0)-VLOOKUP(conciliacao_custos!B578,#REF!,18,0),0)</f>
        <v>0</v>
      </c>
      <c r="O578" s="9">
        <f>IFERROR(VLOOKUP(B578,cubo!$A$6:$BK$37,44,0)-VLOOKUP(conciliacao_custos!B578,#REF!,13,0),0)</f>
        <v>0</v>
      </c>
      <c r="P578" s="9">
        <f>IFERROR(VLOOKUP(B578,cubo!$A$6:$BK$37,47,0)-VLOOKUP(conciliacao_custos!B578,#REF!,14,0),0)</f>
        <v>0</v>
      </c>
      <c r="Q578" s="9">
        <f>IFERROR(VLOOKUP(B578,cubo!$A$6:$BK$37,58,0)-VLOOKUP(conciliacao_custos!B578,#REF!,16,0),0)</f>
        <v>0</v>
      </c>
      <c r="R578" s="9">
        <f>IFERROR(VLOOKUP(B578,cubo!$A$6:$BK$37,64,0)-VLOOKUP(conciliacao_custos!B578,#REF!,17,0),0)</f>
        <v>0</v>
      </c>
      <c r="S578" s="9">
        <f>IFERROR(VLOOKUP(B578,cubo!$A$6:$BK$37,61,0)-VLOOKUP(conciliacao_custos!B578,#REF!,15,0),0)</f>
        <v>0</v>
      </c>
    </row>
    <row r="579" spans="2:19" x14ac:dyDescent="0.25">
      <c r="B579" s="7">
        <f>[1]salario!A578</f>
        <v>0</v>
      </c>
      <c r="C579" s="8">
        <f>[1]salario!C578</f>
        <v>0</v>
      </c>
      <c r="D579" s="10">
        <f>IFERROR(VLOOKUP(B579,cubo!$A$6:$BE$37,6,0)-VLOOKUP(B579,#REF!,$D$2,0),0)</f>
        <v>0</v>
      </c>
      <c r="E579" s="10">
        <f>IFERROR(VLOOKUP(B579,cubo!$A$6:$BE$37,9,0)-VLOOKUP(B579,#REF!,$E$2,0),0)</f>
        <v>0</v>
      </c>
      <c r="F579" s="9">
        <f>IFERROR(VLOOKUP(B579,cubo!$A$6:$BE$37,12,0)-VLOOKUP(B579,#REF!,$F$2,0),0)</f>
        <v>0</v>
      </c>
      <c r="G579" s="9">
        <f>IFERROR(VLOOKUP(B579,cubo!$A$6:$BE$37,54,0)-VLOOKUP(B579,#REF!,$G$2,0),0)</f>
        <v>0</v>
      </c>
      <c r="H579" s="10">
        <f>IFERROR(VLOOKUP(B579,cubo!$A$6:$BE$37,15,0)-VLOOKUP(B579,#REF!,$H$2,0),0)</f>
        <v>0</v>
      </c>
      <c r="I579" s="9">
        <f>IFERROR(VLOOKUP(B579,cubo!$A$6:$BE$37,18,0)-VLOOKUP(B579,#REF!,$I$2,0),0)</f>
        <v>0</v>
      </c>
      <c r="J579" s="9">
        <f>IFERROR(VLOOKUP(B579,cubo!$A$6:$BE$37,24,0)-VLOOKUP(B579,#REF!,$J$2,0),0)</f>
        <v>0</v>
      </c>
      <c r="K579" s="9">
        <f>IFERROR(VLOOKUP(B579,cubo!$A$6:$BE$37,34,0)-VLOOKUP(B579,#REF!,$K$2,0),0)</f>
        <v>0</v>
      </c>
      <c r="L579" s="8">
        <f>IFERROR(VLOOKUP(B579,cubo!$A$6:$BE$37,38,0)-VLOOKUP(B579,#REF!,$L$2,0),0)</f>
        <v>0</v>
      </c>
      <c r="M579" s="15">
        <f>IFERROR(VLOOKUP(B579,cubo!$A$6:$BE$37,57,0)-VLOOKUP(B579,#REF!,$M$2,0),0)</f>
        <v>0</v>
      </c>
      <c r="N579" s="9">
        <f>IFERROR(VLOOKUP(B579,cubo!$A$6:$BK$37,41,0)-VLOOKUP(conciliacao_custos!B579,#REF!,18,0),0)</f>
        <v>0</v>
      </c>
      <c r="O579" s="9">
        <f>IFERROR(VLOOKUP(B579,cubo!$A$6:$BK$37,44,0)-VLOOKUP(conciliacao_custos!B579,#REF!,13,0),0)</f>
        <v>0</v>
      </c>
      <c r="P579" s="9">
        <f>IFERROR(VLOOKUP(B579,cubo!$A$6:$BK$37,47,0)-VLOOKUP(conciliacao_custos!B579,#REF!,14,0),0)</f>
        <v>0</v>
      </c>
      <c r="Q579" s="9">
        <f>IFERROR(VLOOKUP(B579,cubo!$A$6:$BK$37,58,0)-VLOOKUP(conciliacao_custos!B579,#REF!,16,0),0)</f>
        <v>0</v>
      </c>
      <c r="R579" s="9">
        <f>IFERROR(VLOOKUP(B579,cubo!$A$6:$BK$37,64,0)-VLOOKUP(conciliacao_custos!B579,#REF!,17,0),0)</f>
        <v>0</v>
      </c>
      <c r="S579" s="9">
        <f>IFERROR(VLOOKUP(B579,cubo!$A$6:$BK$37,61,0)-VLOOKUP(conciliacao_custos!B579,#REF!,15,0),0)</f>
        <v>0</v>
      </c>
    </row>
    <row r="580" spans="2:19" x14ac:dyDescent="0.25">
      <c r="B580" s="7">
        <f>[1]salario!A579</f>
        <v>0</v>
      </c>
      <c r="C580" s="8">
        <f>[1]salario!C579</f>
        <v>0</v>
      </c>
      <c r="D580" s="10">
        <f>IFERROR(VLOOKUP(B580,cubo!$A$6:$BE$37,6,0)-VLOOKUP(B580,#REF!,$D$2,0),0)</f>
        <v>0</v>
      </c>
      <c r="E580" s="10">
        <f>IFERROR(VLOOKUP(B580,cubo!$A$6:$BE$37,9,0)-VLOOKUP(B580,#REF!,$E$2,0),0)</f>
        <v>0</v>
      </c>
      <c r="F580" s="9">
        <f>IFERROR(VLOOKUP(B580,cubo!$A$6:$BE$37,12,0)-VLOOKUP(B580,#REF!,$F$2,0),0)</f>
        <v>0</v>
      </c>
      <c r="G580" s="9">
        <f>IFERROR(VLOOKUP(B580,cubo!$A$6:$BE$37,54,0)-VLOOKUP(B580,#REF!,$G$2,0),0)</f>
        <v>0</v>
      </c>
      <c r="H580" s="10">
        <f>IFERROR(VLOOKUP(B580,cubo!$A$6:$BE$37,15,0)-VLOOKUP(B580,#REF!,$H$2,0),0)</f>
        <v>0</v>
      </c>
      <c r="I580" s="9">
        <f>IFERROR(VLOOKUP(B580,cubo!$A$6:$BE$37,18,0)-VLOOKUP(B580,#REF!,$I$2,0),0)</f>
        <v>0</v>
      </c>
      <c r="J580" s="9">
        <f>IFERROR(VLOOKUP(B580,cubo!$A$6:$BE$37,24,0)-VLOOKUP(B580,#REF!,$J$2,0),0)</f>
        <v>0</v>
      </c>
      <c r="K580" s="9">
        <f>IFERROR(VLOOKUP(B580,cubo!$A$6:$BE$37,34,0)-VLOOKUP(B580,#REF!,$K$2,0),0)</f>
        <v>0</v>
      </c>
      <c r="L580" s="8">
        <f>IFERROR(VLOOKUP(B580,cubo!$A$6:$BE$37,38,0)-VLOOKUP(B580,#REF!,$L$2,0),0)</f>
        <v>0</v>
      </c>
      <c r="M580" s="15">
        <f>IFERROR(VLOOKUP(B580,cubo!$A$6:$BE$37,57,0)-VLOOKUP(B580,#REF!,$M$2,0),0)</f>
        <v>0</v>
      </c>
      <c r="N580" s="9">
        <f>IFERROR(VLOOKUP(B580,cubo!$A$6:$BK$37,41,0)-VLOOKUP(conciliacao_custos!B580,#REF!,18,0),0)</f>
        <v>0</v>
      </c>
      <c r="O580" s="9">
        <f>IFERROR(VLOOKUP(B580,cubo!$A$6:$BK$37,44,0)-VLOOKUP(conciliacao_custos!B580,#REF!,13,0),0)</f>
        <v>0</v>
      </c>
      <c r="P580" s="9">
        <f>IFERROR(VLOOKUP(B580,cubo!$A$6:$BK$37,47,0)-VLOOKUP(conciliacao_custos!B580,#REF!,14,0),0)</f>
        <v>0</v>
      </c>
      <c r="Q580" s="9">
        <f>IFERROR(VLOOKUP(B580,cubo!$A$6:$BK$37,58,0)-VLOOKUP(conciliacao_custos!B580,#REF!,16,0),0)</f>
        <v>0</v>
      </c>
      <c r="R580" s="9">
        <f>IFERROR(VLOOKUP(B580,cubo!$A$6:$BK$37,64,0)-VLOOKUP(conciliacao_custos!B580,#REF!,17,0),0)</f>
        <v>0</v>
      </c>
      <c r="S580" s="9">
        <f>IFERROR(VLOOKUP(B580,cubo!$A$6:$BK$37,61,0)-VLOOKUP(conciliacao_custos!B580,#REF!,15,0),0)</f>
        <v>0</v>
      </c>
    </row>
    <row r="581" spans="2:19" x14ac:dyDescent="0.25">
      <c r="B581" s="7">
        <f>[1]salario!A580</f>
        <v>0</v>
      </c>
      <c r="C581" s="8">
        <f>[1]salario!C580</f>
        <v>0</v>
      </c>
      <c r="D581" s="10">
        <f>IFERROR(VLOOKUP(B581,cubo!$A$6:$BE$37,6,0)-VLOOKUP(B581,#REF!,$D$2,0),0)</f>
        <v>0</v>
      </c>
      <c r="E581" s="10">
        <f>IFERROR(VLOOKUP(B581,cubo!$A$6:$BE$37,9,0)-VLOOKUP(B581,#REF!,$E$2,0),0)</f>
        <v>0</v>
      </c>
      <c r="F581" s="9">
        <f>IFERROR(VLOOKUP(B581,cubo!$A$6:$BE$37,12,0)-VLOOKUP(B581,#REF!,$F$2,0),0)</f>
        <v>0</v>
      </c>
      <c r="G581" s="9">
        <f>IFERROR(VLOOKUP(B581,cubo!$A$6:$BE$37,54,0)-VLOOKUP(B581,#REF!,$G$2,0),0)</f>
        <v>0</v>
      </c>
      <c r="H581" s="10">
        <f>IFERROR(VLOOKUP(B581,cubo!$A$6:$BE$37,15,0)-VLOOKUP(B581,#REF!,$H$2,0),0)</f>
        <v>0</v>
      </c>
      <c r="I581" s="9">
        <f>IFERROR(VLOOKUP(B581,cubo!$A$6:$BE$37,18,0)-VLOOKUP(B581,#REF!,$I$2,0),0)</f>
        <v>0</v>
      </c>
      <c r="J581" s="9">
        <f>IFERROR(VLOOKUP(B581,cubo!$A$6:$BE$37,24,0)-VLOOKUP(B581,#REF!,$J$2,0),0)</f>
        <v>0</v>
      </c>
      <c r="K581" s="9">
        <f>IFERROR(VLOOKUP(B581,cubo!$A$6:$BE$37,34,0)-VLOOKUP(B581,#REF!,$K$2,0),0)</f>
        <v>0</v>
      </c>
      <c r="L581" s="8">
        <f>IFERROR(VLOOKUP(B581,cubo!$A$6:$BE$37,38,0)-VLOOKUP(B581,#REF!,$L$2,0),0)</f>
        <v>0</v>
      </c>
      <c r="M581" s="15">
        <f>IFERROR(VLOOKUP(B581,cubo!$A$6:$BE$37,57,0)-VLOOKUP(B581,#REF!,$M$2,0),0)</f>
        <v>0</v>
      </c>
      <c r="N581" s="9">
        <f>IFERROR(VLOOKUP(B581,cubo!$A$6:$BK$37,41,0)-VLOOKUP(conciliacao_custos!B581,#REF!,18,0),0)</f>
        <v>0</v>
      </c>
      <c r="O581" s="9">
        <f>IFERROR(VLOOKUP(B581,cubo!$A$6:$BK$37,44,0)-VLOOKUP(conciliacao_custos!B581,#REF!,13,0),0)</f>
        <v>0</v>
      </c>
      <c r="P581" s="9">
        <f>IFERROR(VLOOKUP(B581,cubo!$A$6:$BK$37,47,0)-VLOOKUP(conciliacao_custos!B581,#REF!,14,0),0)</f>
        <v>0</v>
      </c>
      <c r="Q581" s="9">
        <f>IFERROR(VLOOKUP(B581,cubo!$A$6:$BK$37,58,0)-VLOOKUP(conciliacao_custos!B581,#REF!,16,0),0)</f>
        <v>0</v>
      </c>
      <c r="R581" s="9">
        <f>IFERROR(VLOOKUP(B581,cubo!$A$6:$BK$37,64,0)-VLOOKUP(conciliacao_custos!B581,#REF!,17,0),0)</f>
        <v>0</v>
      </c>
      <c r="S581" s="9">
        <f>IFERROR(VLOOKUP(B581,cubo!$A$6:$BK$37,61,0)-VLOOKUP(conciliacao_custos!B581,#REF!,15,0),0)</f>
        <v>0</v>
      </c>
    </row>
    <row r="582" spans="2:19" x14ac:dyDescent="0.25">
      <c r="B582" s="7">
        <f>[1]salario!A581</f>
        <v>0</v>
      </c>
      <c r="C582" s="8">
        <f>[1]salario!C581</f>
        <v>0</v>
      </c>
      <c r="D582" s="10">
        <f>IFERROR(VLOOKUP(B582,cubo!$A$6:$BE$37,6,0)-VLOOKUP(B582,#REF!,$D$2,0),0)</f>
        <v>0</v>
      </c>
      <c r="E582" s="10">
        <f>IFERROR(VLOOKUP(B582,cubo!$A$6:$BE$37,9,0)-VLOOKUP(B582,#REF!,$E$2,0),0)</f>
        <v>0</v>
      </c>
      <c r="F582" s="9">
        <f>IFERROR(VLOOKUP(B582,cubo!$A$6:$BE$37,12,0)-VLOOKUP(B582,#REF!,$F$2,0),0)</f>
        <v>0</v>
      </c>
      <c r="G582" s="9">
        <f>IFERROR(VLOOKUP(B582,cubo!$A$6:$BE$37,54,0)-VLOOKUP(B582,#REF!,$G$2,0),0)</f>
        <v>0</v>
      </c>
      <c r="H582" s="10">
        <f>IFERROR(VLOOKUP(B582,cubo!$A$6:$BE$37,15,0)-VLOOKUP(B582,#REF!,$H$2,0),0)</f>
        <v>0</v>
      </c>
      <c r="I582" s="9">
        <f>IFERROR(VLOOKUP(B582,cubo!$A$6:$BE$37,18,0)-VLOOKUP(B582,#REF!,$I$2,0),0)</f>
        <v>0</v>
      </c>
      <c r="J582" s="9">
        <f>IFERROR(VLOOKUP(B582,cubo!$A$6:$BE$37,24,0)-VLOOKUP(B582,#REF!,$J$2,0),0)</f>
        <v>0</v>
      </c>
      <c r="K582" s="9">
        <f>IFERROR(VLOOKUP(B582,cubo!$A$6:$BE$37,34,0)-VLOOKUP(B582,#REF!,$K$2,0),0)</f>
        <v>0</v>
      </c>
      <c r="L582" s="8">
        <f>IFERROR(VLOOKUP(B582,cubo!$A$6:$BE$37,38,0)-VLOOKUP(B582,#REF!,$L$2,0),0)</f>
        <v>0</v>
      </c>
      <c r="M582" s="15">
        <f>IFERROR(VLOOKUP(B582,cubo!$A$6:$BE$37,57,0)-VLOOKUP(B582,#REF!,$M$2,0),0)</f>
        <v>0</v>
      </c>
      <c r="N582" s="9">
        <f>IFERROR(VLOOKUP(B582,cubo!$A$6:$BK$37,41,0)-VLOOKUP(conciliacao_custos!B582,#REF!,18,0),0)</f>
        <v>0</v>
      </c>
      <c r="O582" s="9">
        <f>IFERROR(VLOOKUP(B582,cubo!$A$6:$BK$37,44,0)-VLOOKUP(conciliacao_custos!B582,#REF!,13,0),0)</f>
        <v>0</v>
      </c>
      <c r="P582" s="9">
        <f>IFERROR(VLOOKUP(B582,cubo!$A$6:$BK$37,47,0)-VLOOKUP(conciliacao_custos!B582,#REF!,14,0),0)</f>
        <v>0</v>
      </c>
      <c r="Q582" s="9">
        <f>IFERROR(VLOOKUP(B582,cubo!$A$6:$BK$37,58,0)-VLOOKUP(conciliacao_custos!B582,#REF!,16,0),0)</f>
        <v>0</v>
      </c>
      <c r="R582" s="9">
        <f>IFERROR(VLOOKUP(B582,cubo!$A$6:$BK$37,64,0)-VLOOKUP(conciliacao_custos!B582,#REF!,17,0),0)</f>
        <v>0</v>
      </c>
      <c r="S582" s="9">
        <f>IFERROR(VLOOKUP(B582,cubo!$A$6:$BK$37,61,0)-VLOOKUP(conciliacao_custos!B582,#REF!,15,0),0)</f>
        <v>0</v>
      </c>
    </row>
    <row r="583" spans="2:19" x14ac:dyDescent="0.25">
      <c r="B583" s="7">
        <f>[1]salario!A582</f>
        <v>0</v>
      </c>
      <c r="C583" s="8">
        <f>[1]salario!C582</f>
        <v>0</v>
      </c>
      <c r="D583" s="10">
        <f>IFERROR(VLOOKUP(B583,cubo!$A$6:$BE$37,6,0)-VLOOKUP(B583,#REF!,$D$2,0),0)</f>
        <v>0</v>
      </c>
      <c r="E583" s="10">
        <f>IFERROR(VLOOKUP(B583,cubo!$A$6:$BE$37,9,0)-VLOOKUP(B583,#REF!,$E$2,0),0)</f>
        <v>0</v>
      </c>
      <c r="F583" s="9">
        <f>IFERROR(VLOOKUP(B583,cubo!$A$6:$BE$37,12,0)-VLOOKUP(B583,#REF!,$F$2,0),0)</f>
        <v>0</v>
      </c>
      <c r="G583" s="9">
        <f>IFERROR(VLOOKUP(B583,cubo!$A$6:$BE$37,54,0)-VLOOKUP(B583,#REF!,$G$2,0),0)</f>
        <v>0</v>
      </c>
      <c r="H583" s="10">
        <f>IFERROR(VLOOKUP(B583,cubo!$A$6:$BE$37,15,0)-VLOOKUP(B583,#REF!,$H$2,0),0)</f>
        <v>0</v>
      </c>
      <c r="I583" s="9">
        <f>IFERROR(VLOOKUP(B583,cubo!$A$6:$BE$37,18,0)-VLOOKUP(B583,#REF!,$I$2,0),0)</f>
        <v>0</v>
      </c>
      <c r="J583" s="9">
        <f>IFERROR(VLOOKUP(B583,cubo!$A$6:$BE$37,24,0)-VLOOKUP(B583,#REF!,$J$2,0),0)</f>
        <v>0</v>
      </c>
      <c r="K583" s="9">
        <f>IFERROR(VLOOKUP(B583,cubo!$A$6:$BE$37,34,0)-VLOOKUP(B583,#REF!,$K$2,0),0)</f>
        <v>0</v>
      </c>
      <c r="L583" s="8">
        <f>IFERROR(VLOOKUP(B583,cubo!$A$6:$BE$37,38,0)-VLOOKUP(B583,#REF!,$L$2,0),0)</f>
        <v>0</v>
      </c>
      <c r="M583" s="15">
        <f>IFERROR(VLOOKUP(B583,cubo!$A$6:$BE$37,57,0)-VLOOKUP(B583,#REF!,$M$2,0),0)</f>
        <v>0</v>
      </c>
      <c r="N583" s="9">
        <f>IFERROR(VLOOKUP(B583,cubo!$A$6:$BK$37,41,0)-VLOOKUP(conciliacao_custos!B583,#REF!,18,0),0)</f>
        <v>0</v>
      </c>
      <c r="O583" s="9">
        <f>IFERROR(VLOOKUP(B583,cubo!$A$6:$BK$37,44,0)-VLOOKUP(conciliacao_custos!B583,#REF!,13,0),0)</f>
        <v>0</v>
      </c>
      <c r="P583" s="9">
        <f>IFERROR(VLOOKUP(B583,cubo!$A$6:$BK$37,47,0)-VLOOKUP(conciliacao_custos!B583,#REF!,14,0),0)</f>
        <v>0</v>
      </c>
      <c r="Q583" s="9">
        <f>IFERROR(VLOOKUP(B583,cubo!$A$6:$BK$37,58,0)-VLOOKUP(conciliacao_custos!B583,#REF!,16,0),0)</f>
        <v>0</v>
      </c>
      <c r="R583" s="9">
        <f>IFERROR(VLOOKUP(B583,cubo!$A$6:$BK$37,64,0)-VLOOKUP(conciliacao_custos!B583,#REF!,17,0),0)</f>
        <v>0</v>
      </c>
      <c r="S583" s="9">
        <f>IFERROR(VLOOKUP(B583,cubo!$A$6:$BK$37,61,0)-VLOOKUP(conciliacao_custos!B583,#REF!,15,0),0)</f>
        <v>0</v>
      </c>
    </row>
    <row r="584" spans="2:19" x14ac:dyDescent="0.25">
      <c r="B584" s="7">
        <f>[1]salario!A583</f>
        <v>0</v>
      </c>
      <c r="C584" s="8">
        <f>[1]salario!C583</f>
        <v>0</v>
      </c>
      <c r="D584" s="10">
        <f>IFERROR(VLOOKUP(B584,cubo!$A$6:$BE$37,6,0)-VLOOKUP(B584,#REF!,$D$2,0),0)</f>
        <v>0</v>
      </c>
      <c r="E584" s="10">
        <f>IFERROR(VLOOKUP(B584,cubo!$A$6:$BE$37,9,0)-VLOOKUP(B584,#REF!,$E$2,0),0)</f>
        <v>0</v>
      </c>
      <c r="F584" s="9">
        <f>IFERROR(VLOOKUP(B584,cubo!$A$6:$BE$37,12,0)-VLOOKUP(B584,#REF!,$F$2,0),0)</f>
        <v>0</v>
      </c>
      <c r="G584" s="9">
        <f>IFERROR(VLOOKUP(B584,cubo!$A$6:$BE$37,54,0)-VLOOKUP(B584,#REF!,$G$2,0),0)</f>
        <v>0</v>
      </c>
      <c r="H584" s="10">
        <f>IFERROR(VLOOKUP(B584,cubo!$A$6:$BE$37,15,0)-VLOOKUP(B584,#REF!,$H$2,0),0)</f>
        <v>0</v>
      </c>
      <c r="I584" s="9">
        <f>IFERROR(VLOOKUP(B584,cubo!$A$6:$BE$37,18,0)-VLOOKUP(B584,#REF!,$I$2,0),0)</f>
        <v>0</v>
      </c>
      <c r="J584" s="9">
        <f>IFERROR(VLOOKUP(B584,cubo!$A$6:$BE$37,24,0)-VLOOKUP(B584,#REF!,$J$2,0),0)</f>
        <v>0</v>
      </c>
      <c r="K584" s="9">
        <f>IFERROR(VLOOKUP(B584,cubo!$A$6:$BE$37,34,0)-VLOOKUP(B584,#REF!,$K$2,0),0)</f>
        <v>0</v>
      </c>
      <c r="L584" s="8">
        <f>IFERROR(VLOOKUP(B584,cubo!$A$6:$BE$37,38,0)-VLOOKUP(B584,#REF!,$L$2,0),0)</f>
        <v>0</v>
      </c>
      <c r="M584" s="15">
        <f>IFERROR(VLOOKUP(B584,cubo!$A$6:$BE$37,57,0)-VLOOKUP(B584,#REF!,$M$2,0),0)</f>
        <v>0</v>
      </c>
      <c r="N584" s="9">
        <f>IFERROR(VLOOKUP(B584,cubo!$A$6:$BK$37,41,0)-VLOOKUP(conciliacao_custos!B584,#REF!,18,0),0)</f>
        <v>0</v>
      </c>
      <c r="O584" s="9">
        <f>IFERROR(VLOOKUP(B584,cubo!$A$6:$BK$37,44,0)-VLOOKUP(conciliacao_custos!B584,#REF!,13,0),0)</f>
        <v>0</v>
      </c>
      <c r="P584" s="9">
        <f>IFERROR(VLOOKUP(B584,cubo!$A$6:$BK$37,47,0)-VLOOKUP(conciliacao_custos!B584,#REF!,14,0),0)</f>
        <v>0</v>
      </c>
      <c r="Q584" s="9">
        <f>IFERROR(VLOOKUP(B584,cubo!$A$6:$BK$37,58,0)-VLOOKUP(conciliacao_custos!B584,#REF!,16,0),0)</f>
        <v>0</v>
      </c>
      <c r="R584" s="9">
        <f>IFERROR(VLOOKUP(B584,cubo!$A$6:$BK$37,64,0)-VLOOKUP(conciliacao_custos!B584,#REF!,17,0),0)</f>
        <v>0</v>
      </c>
      <c r="S584" s="9">
        <f>IFERROR(VLOOKUP(B584,cubo!$A$6:$BK$37,61,0)-VLOOKUP(conciliacao_custos!B584,#REF!,15,0),0)</f>
        <v>0</v>
      </c>
    </row>
    <row r="585" spans="2:19" x14ac:dyDescent="0.25">
      <c r="B585" s="7">
        <f>[1]salario!A584</f>
        <v>0</v>
      </c>
      <c r="C585" s="8">
        <f>[1]salario!C584</f>
        <v>0</v>
      </c>
      <c r="D585" s="10">
        <f>IFERROR(VLOOKUP(B585,cubo!$A$6:$BE$37,6,0)-VLOOKUP(B585,#REF!,$D$2,0),0)</f>
        <v>0</v>
      </c>
      <c r="E585" s="10">
        <f>IFERROR(VLOOKUP(B585,cubo!$A$6:$BE$37,9,0)-VLOOKUP(B585,#REF!,$E$2,0),0)</f>
        <v>0</v>
      </c>
      <c r="F585" s="9">
        <f>IFERROR(VLOOKUP(B585,cubo!$A$6:$BE$37,12,0)-VLOOKUP(B585,#REF!,$F$2,0),0)</f>
        <v>0</v>
      </c>
      <c r="G585" s="9">
        <f>IFERROR(VLOOKUP(B585,cubo!$A$6:$BE$37,54,0)-VLOOKUP(B585,#REF!,$G$2,0),0)</f>
        <v>0</v>
      </c>
      <c r="H585" s="10">
        <f>IFERROR(VLOOKUP(B585,cubo!$A$6:$BE$37,15,0)-VLOOKUP(B585,#REF!,$H$2,0),0)</f>
        <v>0</v>
      </c>
      <c r="I585" s="9">
        <f>IFERROR(VLOOKUP(B585,cubo!$A$6:$BE$37,18,0)-VLOOKUP(B585,#REF!,$I$2,0),0)</f>
        <v>0</v>
      </c>
      <c r="J585" s="9">
        <f>IFERROR(VLOOKUP(B585,cubo!$A$6:$BE$37,24,0)-VLOOKUP(B585,#REF!,$J$2,0),0)</f>
        <v>0</v>
      </c>
      <c r="K585" s="9">
        <f>IFERROR(VLOOKUP(B585,cubo!$A$6:$BE$37,34,0)-VLOOKUP(B585,#REF!,$K$2,0),0)</f>
        <v>0</v>
      </c>
      <c r="L585" s="8">
        <f>IFERROR(VLOOKUP(B585,cubo!$A$6:$BE$37,38,0)-VLOOKUP(B585,#REF!,$L$2,0),0)</f>
        <v>0</v>
      </c>
      <c r="M585" s="15">
        <f>IFERROR(VLOOKUP(B585,cubo!$A$6:$BE$37,57,0)-VLOOKUP(B585,#REF!,$M$2,0),0)</f>
        <v>0</v>
      </c>
      <c r="N585" s="9">
        <f>IFERROR(VLOOKUP(B585,cubo!$A$6:$BK$37,41,0)-VLOOKUP(conciliacao_custos!B585,#REF!,18,0),0)</f>
        <v>0</v>
      </c>
      <c r="O585" s="9">
        <f>IFERROR(VLOOKUP(B585,cubo!$A$6:$BK$37,44,0)-VLOOKUP(conciliacao_custos!B585,#REF!,13,0),0)</f>
        <v>0</v>
      </c>
      <c r="P585" s="9">
        <f>IFERROR(VLOOKUP(B585,cubo!$A$6:$BK$37,47,0)-VLOOKUP(conciliacao_custos!B585,#REF!,14,0),0)</f>
        <v>0</v>
      </c>
      <c r="Q585" s="9">
        <f>IFERROR(VLOOKUP(B585,cubo!$A$6:$BK$37,58,0)-VLOOKUP(conciliacao_custos!B585,#REF!,16,0),0)</f>
        <v>0</v>
      </c>
      <c r="R585" s="9">
        <f>IFERROR(VLOOKUP(B585,cubo!$A$6:$BK$37,64,0)-VLOOKUP(conciliacao_custos!B585,#REF!,17,0),0)</f>
        <v>0</v>
      </c>
      <c r="S585" s="9">
        <f>IFERROR(VLOOKUP(B585,cubo!$A$6:$BK$37,61,0)-VLOOKUP(conciliacao_custos!B585,#REF!,15,0),0)</f>
        <v>0</v>
      </c>
    </row>
    <row r="586" spans="2:19" x14ac:dyDescent="0.25">
      <c r="B586" s="7">
        <f>[1]salario!A585</f>
        <v>0</v>
      </c>
      <c r="C586" s="8">
        <f>[1]salario!C585</f>
        <v>0</v>
      </c>
      <c r="D586" s="10">
        <f>IFERROR(VLOOKUP(B586,cubo!$A$6:$BE$37,6,0)-VLOOKUP(B586,#REF!,$D$2,0),0)</f>
        <v>0</v>
      </c>
      <c r="E586" s="10">
        <f>IFERROR(VLOOKUP(B586,cubo!$A$6:$BE$37,9,0)-VLOOKUP(B586,#REF!,$E$2,0),0)</f>
        <v>0</v>
      </c>
      <c r="F586" s="9">
        <f>IFERROR(VLOOKUP(B586,cubo!$A$6:$BE$37,12,0)-VLOOKUP(B586,#REF!,$F$2,0),0)</f>
        <v>0</v>
      </c>
      <c r="G586" s="9">
        <f>IFERROR(VLOOKUP(B586,cubo!$A$6:$BE$37,54,0)-VLOOKUP(B586,#REF!,$G$2,0),0)</f>
        <v>0</v>
      </c>
      <c r="H586" s="10">
        <f>IFERROR(VLOOKUP(B586,cubo!$A$6:$BE$37,15,0)-VLOOKUP(B586,#REF!,$H$2,0),0)</f>
        <v>0</v>
      </c>
      <c r="I586" s="9">
        <f>IFERROR(VLOOKUP(B586,cubo!$A$6:$BE$37,18,0)-VLOOKUP(B586,#REF!,$I$2,0),0)</f>
        <v>0</v>
      </c>
      <c r="J586" s="9">
        <f>IFERROR(VLOOKUP(B586,cubo!$A$6:$BE$37,24,0)-VLOOKUP(B586,#REF!,$J$2,0),0)</f>
        <v>0</v>
      </c>
      <c r="K586" s="9">
        <f>IFERROR(VLOOKUP(B586,cubo!$A$6:$BE$37,34,0)-VLOOKUP(B586,#REF!,$K$2,0),0)</f>
        <v>0</v>
      </c>
      <c r="L586" s="8">
        <f>IFERROR(VLOOKUP(B586,cubo!$A$6:$BE$37,38,0)-VLOOKUP(B586,#REF!,$L$2,0),0)</f>
        <v>0</v>
      </c>
      <c r="M586" s="15">
        <f>IFERROR(VLOOKUP(B586,cubo!$A$6:$BE$37,57,0)-VLOOKUP(B586,#REF!,$M$2,0),0)</f>
        <v>0</v>
      </c>
      <c r="N586" s="9">
        <f>IFERROR(VLOOKUP(B586,cubo!$A$6:$BK$37,41,0)-VLOOKUP(conciliacao_custos!B586,#REF!,18,0),0)</f>
        <v>0</v>
      </c>
      <c r="O586" s="9">
        <f>IFERROR(VLOOKUP(B586,cubo!$A$6:$BK$37,44,0)-VLOOKUP(conciliacao_custos!B586,#REF!,13,0),0)</f>
        <v>0</v>
      </c>
      <c r="P586" s="9">
        <f>IFERROR(VLOOKUP(B586,cubo!$A$6:$BK$37,47,0)-VLOOKUP(conciliacao_custos!B586,#REF!,14,0),0)</f>
        <v>0</v>
      </c>
      <c r="Q586" s="9">
        <f>IFERROR(VLOOKUP(B586,cubo!$A$6:$BK$37,58,0)-VLOOKUP(conciliacao_custos!B586,#REF!,16,0),0)</f>
        <v>0</v>
      </c>
      <c r="R586" s="9">
        <f>IFERROR(VLOOKUP(B586,cubo!$A$6:$BK$37,64,0)-VLOOKUP(conciliacao_custos!B586,#REF!,17,0),0)</f>
        <v>0</v>
      </c>
      <c r="S586" s="9">
        <f>IFERROR(VLOOKUP(B586,cubo!$A$6:$BK$37,61,0)-VLOOKUP(conciliacao_custos!B586,#REF!,15,0),0)</f>
        <v>0</v>
      </c>
    </row>
    <row r="587" spans="2:19" x14ac:dyDescent="0.25">
      <c r="B587" s="7">
        <f>[1]salario!A586</f>
        <v>0</v>
      </c>
      <c r="C587" s="8">
        <f>[1]salario!C586</f>
        <v>0</v>
      </c>
      <c r="D587" s="10">
        <f>IFERROR(VLOOKUP(B587,cubo!$A$6:$BE$37,6,0)-VLOOKUP(B587,#REF!,$D$2,0),0)</f>
        <v>0</v>
      </c>
      <c r="E587" s="10">
        <f>IFERROR(VLOOKUP(B587,cubo!$A$6:$BE$37,9,0)-VLOOKUP(B587,#REF!,$E$2,0),0)</f>
        <v>0</v>
      </c>
      <c r="F587" s="9">
        <f>IFERROR(VLOOKUP(B587,cubo!$A$6:$BE$37,12,0)-VLOOKUP(B587,#REF!,$F$2,0),0)</f>
        <v>0</v>
      </c>
      <c r="G587" s="9">
        <f>IFERROR(VLOOKUP(B587,cubo!$A$6:$BE$37,54,0)-VLOOKUP(B587,#REF!,$G$2,0),0)</f>
        <v>0</v>
      </c>
      <c r="H587" s="10">
        <f>IFERROR(VLOOKUP(B587,cubo!$A$6:$BE$37,15,0)-VLOOKUP(B587,#REF!,$H$2,0),0)</f>
        <v>0</v>
      </c>
      <c r="I587" s="9">
        <f>IFERROR(VLOOKUP(B587,cubo!$A$6:$BE$37,18,0)-VLOOKUP(B587,#REF!,$I$2,0),0)</f>
        <v>0</v>
      </c>
      <c r="J587" s="9">
        <f>IFERROR(VLOOKUP(B587,cubo!$A$6:$BE$37,24,0)-VLOOKUP(B587,#REF!,$J$2,0),0)</f>
        <v>0</v>
      </c>
      <c r="K587" s="9">
        <f>IFERROR(VLOOKUP(B587,cubo!$A$6:$BE$37,34,0)-VLOOKUP(B587,#REF!,$K$2,0),0)</f>
        <v>0</v>
      </c>
      <c r="L587" s="8">
        <f>IFERROR(VLOOKUP(B587,cubo!$A$6:$BE$37,38,0)-VLOOKUP(B587,#REF!,$L$2,0),0)</f>
        <v>0</v>
      </c>
      <c r="M587" s="15">
        <f>IFERROR(VLOOKUP(B587,cubo!$A$6:$BE$37,57,0)-VLOOKUP(B587,#REF!,$M$2,0),0)</f>
        <v>0</v>
      </c>
      <c r="N587" s="9">
        <f>IFERROR(VLOOKUP(B587,cubo!$A$6:$BK$37,41,0)-VLOOKUP(conciliacao_custos!B587,#REF!,18,0),0)</f>
        <v>0</v>
      </c>
      <c r="O587" s="9">
        <f>IFERROR(VLOOKUP(B587,cubo!$A$6:$BK$37,44,0)-VLOOKUP(conciliacao_custos!B587,#REF!,13,0),0)</f>
        <v>0</v>
      </c>
      <c r="P587" s="9">
        <f>IFERROR(VLOOKUP(B587,cubo!$A$6:$BK$37,47,0)-VLOOKUP(conciliacao_custos!B587,#REF!,14,0),0)</f>
        <v>0</v>
      </c>
      <c r="Q587" s="9">
        <f>IFERROR(VLOOKUP(B587,cubo!$A$6:$BK$37,58,0)-VLOOKUP(conciliacao_custos!B587,#REF!,16,0),0)</f>
        <v>0</v>
      </c>
      <c r="R587" s="9">
        <f>IFERROR(VLOOKUP(B587,cubo!$A$6:$BK$37,64,0)-VLOOKUP(conciliacao_custos!B587,#REF!,17,0),0)</f>
        <v>0</v>
      </c>
      <c r="S587" s="9">
        <f>IFERROR(VLOOKUP(B587,cubo!$A$6:$BK$37,61,0)-VLOOKUP(conciliacao_custos!B587,#REF!,15,0),0)</f>
        <v>0</v>
      </c>
    </row>
    <row r="588" spans="2:19" x14ac:dyDescent="0.25">
      <c r="B588" s="7">
        <f>[1]salario!A587</f>
        <v>0</v>
      </c>
      <c r="C588" s="8">
        <f>[1]salario!C587</f>
        <v>0</v>
      </c>
      <c r="D588" s="10">
        <f>IFERROR(VLOOKUP(B588,cubo!$A$6:$BE$37,6,0)-VLOOKUP(B588,#REF!,$D$2,0),0)</f>
        <v>0</v>
      </c>
      <c r="E588" s="10">
        <f>IFERROR(VLOOKUP(B588,cubo!$A$6:$BE$37,9,0)-VLOOKUP(B588,#REF!,$E$2,0),0)</f>
        <v>0</v>
      </c>
      <c r="F588" s="9">
        <f>IFERROR(VLOOKUP(B588,cubo!$A$6:$BE$37,12,0)-VLOOKUP(B588,#REF!,$F$2,0),0)</f>
        <v>0</v>
      </c>
      <c r="G588" s="9">
        <f>IFERROR(VLOOKUP(B588,cubo!$A$6:$BE$37,54,0)-VLOOKUP(B588,#REF!,$G$2,0),0)</f>
        <v>0</v>
      </c>
      <c r="H588" s="10">
        <f>IFERROR(VLOOKUP(B588,cubo!$A$6:$BE$37,15,0)-VLOOKUP(B588,#REF!,$H$2,0),0)</f>
        <v>0</v>
      </c>
      <c r="I588" s="9">
        <f>IFERROR(VLOOKUP(B588,cubo!$A$6:$BE$37,18,0)-VLOOKUP(B588,#REF!,$I$2,0),0)</f>
        <v>0</v>
      </c>
      <c r="J588" s="9">
        <f>IFERROR(VLOOKUP(B588,cubo!$A$6:$BE$37,24,0)-VLOOKUP(B588,#REF!,$J$2,0),0)</f>
        <v>0</v>
      </c>
      <c r="K588" s="9">
        <f>IFERROR(VLOOKUP(B588,cubo!$A$6:$BE$37,34,0)-VLOOKUP(B588,#REF!,$K$2,0),0)</f>
        <v>0</v>
      </c>
      <c r="L588" s="8">
        <f>IFERROR(VLOOKUP(B588,cubo!$A$6:$BE$37,38,0)-VLOOKUP(B588,#REF!,$L$2,0),0)</f>
        <v>0</v>
      </c>
      <c r="M588" s="15">
        <f>IFERROR(VLOOKUP(B588,cubo!$A$6:$BE$37,57,0)-VLOOKUP(B588,#REF!,$M$2,0),0)</f>
        <v>0</v>
      </c>
      <c r="N588" s="9">
        <f>IFERROR(VLOOKUP(B588,cubo!$A$6:$BK$37,41,0)-VLOOKUP(conciliacao_custos!B588,#REF!,18,0),0)</f>
        <v>0</v>
      </c>
      <c r="O588" s="9">
        <f>IFERROR(VLOOKUP(B588,cubo!$A$6:$BK$37,44,0)-VLOOKUP(conciliacao_custos!B588,#REF!,13,0),0)</f>
        <v>0</v>
      </c>
      <c r="P588" s="9">
        <f>IFERROR(VLOOKUP(B588,cubo!$A$6:$BK$37,47,0)-VLOOKUP(conciliacao_custos!B588,#REF!,14,0),0)</f>
        <v>0</v>
      </c>
      <c r="Q588" s="9">
        <f>IFERROR(VLOOKUP(B588,cubo!$A$6:$BK$37,58,0)-VLOOKUP(conciliacao_custos!B588,#REF!,16,0),0)</f>
        <v>0</v>
      </c>
      <c r="R588" s="9">
        <f>IFERROR(VLOOKUP(B588,cubo!$A$6:$BK$37,64,0)-VLOOKUP(conciliacao_custos!B588,#REF!,17,0),0)</f>
        <v>0</v>
      </c>
      <c r="S588" s="9">
        <f>IFERROR(VLOOKUP(B588,cubo!$A$6:$BK$37,61,0)-VLOOKUP(conciliacao_custos!B588,#REF!,15,0),0)</f>
        <v>0</v>
      </c>
    </row>
    <row r="589" spans="2:19" x14ac:dyDescent="0.25">
      <c r="B589" s="7">
        <f>[1]salario!A588</f>
        <v>0</v>
      </c>
      <c r="C589" s="8">
        <f>[1]salario!C588</f>
        <v>0</v>
      </c>
      <c r="D589" s="10">
        <f>IFERROR(VLOOKUP(B589,cubo!$A$6:$BE$37,6,0)-VLOOKUP(B589,#REF!,$D$2,0),0)</f>
        <v>0</v>
      </c>
      <c r="E589" s="10">
        <f>IFERROR(VLOOKUP(B589,cubo!$A$6:$BE$37,9,0)-VLOOKUP(B589,#REF!,$E$2,0),0)</f>
        <v>0</v>
      </c>
      <c r="F589" s="9">
        <f>IFERROR(VLOOKUP(B589,cubo!$A$6:$BE$37,12,0)-VLOOKUP(B589,#REF!,$F$2,0),0)</f>
        <v>0</v>
      </c>
      <c r="G589" s="9">
        <f>IFERROR(VLOOKUP(B589,cubo!$A$6:$BE$37,54,0)-VLOOKUP(B589,#REF!,$G$2,0),0)</f>
        <v>0</v>
      </c>
      <c r="H589" s="10">
        <f>IFERROR(VLOOKUP(B589,cubo!$A$6:$BE$37,15,0)-VLOOKUP(B589,#REF!,$H$2,0),0)</f>
        <v>0</v>
      </c>
      <c r="I589" s="9">
        <f>IFERROR(VLOOKUP(B589,cubo!$A$6:$BE$37,18,0)-VLOOKUP(B589,#REF!,$I$2,0),0)</f>
        <v>0</v>
      </c>
      <c r="J589" s="9">
        <f>IFERROR(VLOOKUP(B589,cubo!$A$6:$BE$37,24,0)-VLOOKUP(B589,#REF!,$J$2,0),0)</f>
        <v>0</v>
      </c>
      <c r="K589" s="9">
        <f>IFERROR(VLOOKUP(B589,cubo!$A$6:$BE$37,34,0)-VLOOKUP(B589,#REF!,$K$2,0),0)</f>
        <v>0</v>
      </c>
      <c r="L589" s="8">
        <f>IFERROR(VLOOKUP(B589,cubo!$A$6:$BE$37,38,0)-VLOOKUP(B589,#REF!,$L$2,0),0)</f>
        <v>0</v>
      </c>
      <c r="M589" s="15">
        <f>IFERROR(VLOOKUP(B589,cubo!$A$6:$BE$37,57,0)-VLOOKUP(B589,#REF!,$M$2,0),0)</f>
        <v>0</v>
      </c>
      <c r="N589" s="9">
        <f>IFERROR(VLOOKUP(B589,cubo!$A$6:$BK$37,41,0)-VLOOKUP(conciliacao_custos!B589,#REF!,18,0),0)</f>
        <v>0</v>
      </c>
      <c r="O589" s="9">
        <f>IFERROR(VLOOKUP(B589,cubo!$A$6:$BK$37,44,0)-VLOOKUP(conciliacao_custos!B589,#REF!,13,0),0)</f>
        <v>0</v>
      </c>
      <c r="P589" s="9">
        <f>IFERROR(VLOOKUP(B589,cubo!$A$6:$BK$37,47,0)-VLOOKUP(conciliacao_custos!B589,#REF!,14,0),0)</f>
        <v>0</v>
      </c>
      <c r="Q589" s="9">
        <f>IFERROR(VLOOKUP(B589,cubo!$A$6:$BK$37,58,0)-VLOOKUP(conciliacao_custos!B589,#REF!,16,0),0)</f>
        <v>0</v>
      </c>
      <c r="R589" s="9">
        <f>IFERROR(VLOOKUP(B589,cubo!$A$6:$BK$37,64,0)-VLOOKUP(conciliacao_custos!B589,#REF!,17,0),0)</f>
        <v>0</v>
      </c>
      <c r="S589" s="9">
        <f>IFERROR(VLOOKUP(B589,cubo!$A$6:$BK$37,61,0)-VLOOKUP(conciliacao_custos!B589,#REF!,15,0),0)</f>
        <v>0</v>
      </c>
    </row>
    <row r="590" spans="2:19" x14ac:dyDescent="0.25">
      <c r="B590" s="7">
        <f>[1]salario!A589</f>
        <v>0</v>
      </c>
      <c r="C590" s="8">
        <f>[1]salario!C589</f>
        <v>0</v>
      </c>
      <c r="D590" s="10">
        <f>IFERROR(VLOOKUP(B590,cubo!$A$6:$BE$37,6,0)-VLOOKUP(B590,#REF!,$D$2,0),0)</f>
        <v>0</v>
      </c>
      <c r="E590" s="10">
        <f>IFERROR(VLOOKUP(B590,cubo!$A$6:$BE$37,9,0)-VLOOKUP(B590,#REF!,$E$2,0),0)</f>
        <v>0</v>
      </c>
      <c r="F590" s="9">
        <f>IFERROR(VLOOKUP(B590,cubo!$A$6:$BE$37,12,0)-VLOOKUP(B590,#REF!,$F$2,0),0)</f>
        <v>0</v>
      </c>
      <c r="G590" s="9">
        <f>IFERROR(VLOOKUP(B590,cubo!$A$6:$BE$37,54,0)-VLOOKUP(B590,#REF!,$G$2,0),0)</f>
        <v>0</v>
      </c>
      <c r="H590" s="10">
        <f>IFERROR(VLOOKUP(B590,cubo!$A$6:$BE$37,15,0)-VLOOKUP(B590,#REF!,$H$2,0),0)</f>
        <v>0</v>
      </c>
      <c r="I590" s="9">
        <f>IFERROR(VLOOKUP(B590,cubo!$A$6:$BE$37,18,0)-VLOOKUP(B590,#REF!,$I$2,0),0)</f>
        <v>0</v>
      </c>
      <c r="J590" s="9">
        <f>IFERROR(VLOOKUP(B590,cubo!$A$6:$BE$37,24,0)-VLOOKUP(B590,#REF!,$J$2,0),0)</f>
        <v>0</v>
      </c>
      <c r="K590" s="9">
        <f>IFERROR(VLOOKUP(B590,cubo!$A$6:$BE$37,34,0)-VLOOKUP(B590,#REF!,$K$2,0),0)</f>
        <v>0</v>
      </c>
      <c r="L590" s="8">
        <f>IFERROR(VLOOKUP(B590,cubo!$A$6:$BE$37,38,0)-VLOOKUP(B590,#REF!,$L$2,0),0)</f>
        <v>0</v>
      </c>
      <c r="M590" s="15">
        <f>IFERROR(VLOOKUP(B590,cubo!$A$6:$BE$37,57,0)-VLOOKUP(B590,#REF!,$M$2,0),0)</f>
        <v>0</v>
      </c>
      <c r="N590" s="9">
        <f>IFERROR(VLOOKUP(B590,cubo!$A$6:$BK$37,41,0)-VLOOKUP(conciliacao_custos!B590,#REF!,18,0),0)</f>
        <v>0</v>
      </c>
      <c r="O590" s="9">
        <f>IFERROR(VLOOKUP(B590,cubo!$A$6:$BK$37,44,0)-VLOOKUP(conciliacao_custos!B590,#REF!,13,0),0)</f>
        <v>0</v>
      </c>
      <c r="P590" s="9">
        <f>IFERROR(VLOOKUP(B590,cubo!$A$6:$BK$37,47,0)-VLOOKUP(conciliacao_custos!B590,#REF!,14,0),0)</f>
        <v>0</v>
      </c>
      <c r="Q590" s="9">
        <f>IFERROR(VLOOKUP(B590,cubo!$A$6:$BK$37,58,0)-VLOOKUP(conciliacao_custos!B590,#REF!,16,0),0)</f>
        <v>0</v>
      </c>
      <c r="R590" s="9">
        <f>IFERROR(VLOOKUP(B590,cubo!$A$6:$BK$37,64,0)-VLOOKUP(conciliacao_custos!B590,#REF!,17,0),0)</f>
        <v>0</v>
      </c>
      <c r="S590" s="9">
        <f>IFERROR(VLOOKUP(B590,cubo!$A$6:$BK$37,61,0)-VLOOKUP(conciliacao_custos!B590,#REF!,15,0),0)</f>
        <v>0</v>
      </c>
    </row>
    <row r="591" spans="2:19" x14ac:dyDescent="0.25">
      <c r="B591" s="7">
        <f>[1]salario!A590</f>
        <v>0</v>
      </c>
      <c r="C591" s="8">
        <f>[1]salario!C590</f>
        <v>0</v>
      </c>
      <c r="D591" s="10">
        <f>IFERROR(VLOOKUP(B591,cubo!$A$6:$BE$37,6,0)-VLOOKUP(B591,#REF!,$D$2,0),0)</f>
        <v>0</v>
      </c>
      <c r="E591" s="10">
        <f>IFERROR(VLOOKUP(B591,cubo!$A$6:$BE$37,9,0)-VLOOKUP(B591,#REF!,$E$2,0),0)</f>
        <v>0</v>
      </c>
      <c r="F591" s="9">
        <f>IFERROR(VLOOKUP(B591,cubo!$A$6:$BE$37,12,0)-VLOOKUP(B591,#REF!,$F$2,0),0)</f>
        <v>0</v>
      </c>
      <c r="G591" s="9">
        <f>IFERROR(VLOOKUP(B591,cubo!$A$6:$BE$37,54,0)-VLOOKUP(B591,#REF!,$G$2,0),0)</f>
        <v>0</v>
      </c>
      <c r="H591" s="10">
        <f>IFERROR(VLOOKUP(B591,cubo!$A$6:$BE$37,15,0)-VLOOKUP(B591,#REF!,$H$2,0),0)</f>
        <v>0</v>
      </c>
      <c r="I591" s="9">
        <f>IFERROR(VLOOKUP(B591,cubo!$A$6:$BE$37,18,0)-VLOOKUP(B591,#REF!,$I$2,0),0)</f>
        <v>0</v>
      </c>
      <c r="J591" s="9">
        <f>IFERROR(VLOOKUP(B591,cubo!$A$6:$BE$37,24,0)-VLOOKUP(B591,#REF!,$J$2,0),0)</f>
        <v>0</v>
      </c>
      <c r="K591" s="9">
        <f>IFERROR(VLOOKUP(B591,cubo!$A$6:$BE$37,34,0)-VLOOKUP(B591,#REF!,$K$2,0),0)</f>
        <v>0</v>
      </c>
      <c r="L591" s="8">
        <f>IFERROR(VLOOKUP(B591,cubo!$A$6:$BE$37,38,0)-VLOOKUP(B591,#REF!,$L$2,0),0)</f>
        <v>0</v>
      </c>
      <c r="M591" s="15">
        <f>IFERROR(VLOOKUP(B591,cubo!$A$6:$BE$37,57,0)-VLOOKUP(B591,#REF!,$M$2,0),0)</f>
        <v>0</v>
      </c>
      <c r="N591" s="9">
        <f>IFERROR(VLOOKUP(B591,cubo!$A$6:$BK$37,41,0)-VLOOKUP(conciliacao_custos!B591,#REF!,18,0),0)</f>
        <v>0</v>
      </c>
      <c r="O591" s="9">
        <f>IFERROR(VLOOKUP(B591,cubo!$A$6:$BK$37,44,0)-VLOOKUP(conciliacao_custos!B591,#REF!,13,0),0)</f>
        <v>0</v>
      </c>
      <c r="P591" s="9">
        <f>IFERROR(VLOOKUP(B591,cubo!$A$6:$BK$37,47,0)-VLOOKUP(conciliacao_custos!B591,#REF!,14,0),0)</f>
        <v>0</v>
      </c>
      <c r="Q591" s="9">
        <f>IFERROR(VLOOKUP(B591,cubo!$A$6:$BK$37,58,0)-VLOOKUP(conciliacao_custos!B591,#REF!,16,0),0)</f>
        <v>0</v>
      </c>
      <c r="R591" s="9">
        <f>IFERROR(VLOOKUP(B591,cubo!$A$6:$BK$37,64,0)-VLOOKUP(conciliacao_custos!B591,#REF!,17,0),0)</f>
        <v>0</v>
      </c>
      <c r="S591" s="9">
        <f>IFERROR(VLOOKUP(B591,cubo!$A$6:$BK$37,61,0)-VLOOKUP(conciliacao_custos!B591,#REF!,15,0),0)</f>
        <v>0</v>
      </c>
    </row>
    <row r="592" spans="2:19" x14ac:dyDescent="0.25">
      <c r="B592" s="7">
        <f>[1]salario!A591</f>
        <v>0</v>
      </c>
      <c r="C592" s="8">
        <f>[1]salario!C591</f>
        <v>0</v>
      </c>
      <c r="D592" s="10">
        <f>IFERROR(VLOOKUP(B592,cubo!$A$6:$BE$37,6,0)-VLOOKUP(B592,#REF!,$D$2,0),0)</f>
        <v>0</v>
      </c>
      <c r="E592" s="10">
        <f>IFERROR(VLOOKUP(B592,cubo!$A$6:$BE$37,9,0)-VLOOKUP(B592,#REF!,$E$2,0),0)</f>
        <v>0</v>
      </c>
      <c r="F592" s="9">
        <f>IFERROR(VLOOKUP(B592,cubo!$A$6:$BE$37,12,0)-VLOOKUP(B592,#REF!,$F$2,0),0)</f>
        <v>0</v>
      </c>
      <c r="G592" s="9">
        <f>IFERROR(VLOOKUP(B592,cubo!$A$6:$BE$37,54,0)-VLOOKUP(B592,#REF!,$G$2,0),0)</f>
        <v>0</v>
      </c>
      <c r="H592" s="10">
        <f>IFERROR(VLOOKUP(B592,cubo!$A$6:$BE$37,15,0)-VLOOKUP(B592,#REF!,$H$2,0),0)</f>
        <v>0</v>
      </c>
      <c r="I592" s="9">
        <f>IFERROR(VLOOKUP(B592,cubo!$A$6:$BE$37,18,0)-VLOOKUP(B592,#REF!,$I$2,0),0)</f>
        <v>0</v>
      </c>
      <c r="J592" s="9">
        <f>IFERROR(VLOOKUP(B592,cubo!$A$6:$BE$37,24,0)-VLOOKUP(B592,#REF!,$J$2,0),0)</f>
        <v>0</v>
      </c>
      <c r="K592" s="9">
        <f>IFERROR(VLOOKUP(B592,cubo!$A$6:$BE$37,34,0)-VLOOKUP(B592,#REF!,$K$2,0),0)</f>
        <v>0</v>
      </c>
      <c r="L592" s="8">
        <f>IFERROR(VLOOKUP(B592,cubo!$A$6:$BE$37,38,0)-VLOOKUP(B592,#REF!,$L$2,0),0)</f>
        <v>0</v>
      </c>
      <c r="M592" s="15">
        <f>IFERROR(VLOOKUP(B592,cubo!$A$6:$BE$37,57,0)-VLOOKUP(B592,#REF!,$M$2,0),0)</f>
        <v>0</v>
      </c>
      <c r="N592" s="9">
        <f>IFERROR(VLOOKUP(B592,cubo!$A$6:$BK$37,41,0)-VLOOKUP(conciliacao_custos!B592,#REF!,18,0),0)</f>
        <v>0</v>
      </c>
      <c r="O592" s="9">
        <f>IFERROR(VLOOKUP(B592,cubo!$A$6:$BK$37,44,0)-VLOOKUP(conciliacao_custos!B592,#REF!,13,0),0)</f>
        <v>0</v>
      </c>
      <c r="P592" s="9">
        <f>IFERROR(VLOOKUP(B592,cubo!$A$6:$BK$37,47,0)-VLOOKUP(conciliacao_custos!B592,#REF!,14,0),0)</f>
        <v>0</v>
      </c>
      <c r="Q592" s="9">
        <f>IFERROR(VLOOKUP(B592,cubo!$A$6:$BK$37,58,0)-VLOOKUP(conciliacao_custos!B592,#REF!,16,0),0)</f>
        <v>0</v>
      </c>
      <c r="R592" s="9">
        <f>IFERROR(VLOOKUP(B592,cubo!$A$6:$BK$37,64,0)-VLOOKUP(conciliacao_custos!B592,#REF!,17,0),0)</f>
        <v>0</v>
      </c>
      <c r="S592" s="9">
        <f>IFERROR(VLOOKUP(B592,cubo!$A$6:$BK$37,61,0)-VLOOKUP(conciliacao_custos!B592,#REF!,15,0),0)</f>
        <v>0</v>
      </c>
    </row>
    <row r="593" spans="2:19" x14ac:dyDescent="0.25">
      <c r="B593" s="7">
        <f>[1]salario!A592</f>
        <v>0</v>
      </c>
      <c r="C593" s="8">
        <f>[1]salario!C592</f>
        <v>0</v>
      </c>
      <c r="D593" s="10">
        <f>IFERROR(VLOOKUP(B593,cubo!$A$6:$BE$37,6,0)-VLOOKUP(B593,#REF!,$D$2,0),0)</f>
        <v>0</v>
      </c>
      <c r="E593" s="10">
        <f>IFERROR(VLOOKUP(B593,cubo!$A$6:$BE$37,9,0)-VLOOKUP(B593,#REF!,$E$2,0),0)</f>
        <v>0</v>
      </c>
      <c r="F593" s="9">
        <f>IFERROR(VLOOKUP(B593,cubo!$A$6:$BE$37,12,0)-VLOOKUP(B593,#REF!,$F$2,0),0)</f>
        <v>0</v>
      </c>
      <c r="G593" s="9">
        <f>IFERROR(VLOOKUP(B593,cubo!$A$6:$BE$37,54,0)-VLOOKUP(B593,#REF!,$G$2,0),0)</f>
        <v>0</v>
      </c>
      <c r="H593" s="10">
        <f>IFERROR(VLOOKUP(B593,cubo!$A$6:$BE$37,15,0)-VLOOKUP(B593,#REF!,$H$2,0),0)</f>
        <v>0</v>
      </c>
      <c r="I593" s="9">
        <f>IFERROR(VLOOKUP(B593,cubo!$A$6:$BE$37,18,0)-VLOOKUP(B593,#REF!,$I$2,0),0)</f>
        <v>0</v>
      </c>
      <c r="J593" s="9">
        <f>IFERROR(VLOOKUP(B593,cubo!$A$6:$BE$37,24,0)-VLOOKUP(B593,#REF!,$J$2,0),0)</f>
        <v>0</v>
      </c>
      <c r="K593" s="9">
        <f>IFERROR(VLOOKUP(B593,cubo!$A$6:$BE$37,34,0)-VLOOKUP(B593,#REF!,$K$2,0),0)</f>
        <v>0</v>
      </c>
      <c r="L593" s="8">
        <f>IFERROR(VLOOKUP(B593,cubo!$A$6:$BE$37,38,0)-VLOOKUP(B593,#REF!,$L$2,0),0)</f>
        <v>0</v>
      </c>
      <c r="M593" s="15">
        <f>IFERROR(VLOOKUP(B593,cubo!$A$6:$BE$37,57,0)-VLOOKUP(B593,#REF!,$M$2,0),0)</f>
        <v>0</v>
      </c>
      <c r="N593" s="9">
        <f>IFERROR(VLOOKUP(B593,cubo!$A$6:$BK$37,41,0)-VLOOKUP(conciliacao_custos!B593,#REF!,18,0),0)</f>
        <v>0</v>
      </c>
      <c r="O593" s="9">
        <f>IFERROR(VLOOKUP(B593,cubo!$A$6:$BK$37,44,0)-VLOOKUP(conciliacao_custos!B593,#REF!,13,0),0)</f>
        <v>0</v>
      </c>
      <c r="P593" s="9">
        <f>IFERROR(VLOOKUP(B593,cubo!$A$6:$BK$37,47,0)-VLOOKUP(conciliacao_custos!B593,#REF!,14,0),0)</f>
        <v>0</v>
      </c>
      <c r="Q593" s="9">
        <f>IFERROR(VLOOKUP(B593,cubo!$A$6:$BK$37,58,0)-VLOOKUP(conciliacao_custos!B593,#REF!,16,0),0)</f>
        <v>0</v>
      </c>
      <c r="R593" s="9">
        <f>IFERROR(VLOOKUP(B593,cubo!$A$6:$BK$37,64,0)-VLOOKUP(conciliacao_custos!B593,#REF!,17,0),0)</f>
        <v>0</v>
      </c>
      <c r="S593" s="9">
        <f>IFERROR(VLOOKUP(B593,cubo!$A$6:$BK$37,61,0)-VLOOKUP(conciliacao_custos!B593,#REF!,15,0),0)</f>
        <v>0</v>
      </c>
    </row>
    <row r="594" spans="2:19" x14ac:dyDescent="0.25">
      <c r="B594" s="7">
        <f>[1]salario!A593</f>
        <v>0</v>
      </c>
      <c r="C594" s="8">
        <f>[1]salario!C593</f>
        <v>0</v>
      </c>
      <c r="D594" s="10">
        <f>IFERROR(VLOOKUP(B594,cubo!$A$6:$BE$37,6,0)-VLOOKUP(B594,#REF!,$D$2,0),0)</f>
        <v>0</v>
      </c>
      <c r="E594" s="10">
        <f>IFERROR(VLOOKUP(B594,cubo!$A$6:$BE$37,9,0)-VLOOKUP(B594,#REF!,$E$2,0),0)</f>
        <v>0</v>
      </c>
      <c r="F594" s="9">
        <f>IFERROR(VLOOKUP(B594,cubo!$A$6:$BE$37,12,0)-VLOOKUP(B594,#REF!,$F$2,0),0)</f>
        <v>0</v>
      </c>
      <c r="G594" s="9">
        <f>IFERROR(VLOOKUP(B594,cubo!$A$6:$BE$37,54,0)-VLOOKUP(B594,#REF!,$G$2,0),0)</f>
        <v>0</v>
      </c>
      <c r="H594" s="10">
        <f>IFERROR(VLOOKUP(B594,cubo!$A$6:$BE$37,15,0)-VLOOKUP(B594,#REF!,$H$2,0),0)</f>
        <v>0</v>
      </c>
      <c r="I594" s="9">
        <f>IFERROR(VLOOKUP(B594,cubo!$A$6:$BE$37,18,0)-VLOOKUP(B594,#REF!,$I$2,0),0)</f>
        <v>0</v>
      </c>
      <c r="J594" s="9">
        <f>IFERROR(VLOOKUP(B594,cubo!$A$6:$BE$37,24,0)-VLOOKUP(B594,#REF!,$J$2,0),0)</f>
        <v>0</v>
      </c>
      <c r="K594" s="9">
        <f>IFERROR(VLOOKUP(B594,cubo!$A$6:$BE$37,34,0)-VLOOKUP(B594,#REF!,$K$2,0),0)</f>
        <v>0</v>
      </c>
      <c r="L594" s="8">
        <f>IFERROR(VLOOKUP(B594,cubo!$A$6:$BE$37,38,0)-VLOOKUP(B594,#REF!,$L$2,0),0)</f>
        <v>0</v>
      </c>
      <c r="M594" s="15">
        <f>IFERROR(VLOOKUP(B594,cubo!$A$6:$BE$37,57,0)-VLOOKUP(B594,#REF!,$M$2,0),0)</f>
        <v>0</v>
      </c>
      <c r="N594" s="9">
        <f>IFERROR(VLOOKUP(B594,cubo!$A$6:$BK$37,41,0)-VLOOKUP(conciliacao_custos!B594,#REF!,18,0),0)</f>
        <v>0</v>
      </c>
      <c r="O594" s="9">
        <f>IFERROR(VLOOKUP(B594,cubo!$A$6:$BK$37,44,0)-VLOOKUP(conciliacao_custos!B594,#REF!,13,0),0)</f>
        <v>0</v>
      </c>
      <c r="P594" s="9">
        <f>IFERROR(VLOOKUP(B594,cubo!$A$6:$BK$37,47,0)-VLOOKUP(conciliacao_custos!B594,#REF!,14,0),0)</f>
        <v>0</v>
      </c>
      <c r="Q594" s="9">
        <f>IFERROR(VLOOKUP(B594,cubo!$A$6:$BK$37,58,0)-VLOOKUP(conciliacao_custos!B594,#REF!,16,0),0)</f>
        <v>0</v>
      </c>
      <c r="R594" s="9">
        <f>IFERROR(VLOOKUP(B594,cubo!$A$6:$BK$37,64,0)-VLOOKUP(conciliacao_custos!B594,#REF!,17,0),0)</f>
        <v>0</v>
      </c>
      <c r="S594" s="9">
        <f>IFERROR(VLOOKUP(B594,cubo!$A$6:$BK$37,61,0)-VLOOKUP(conciliacao_custos!B594,#REF!,15,0),0)</f>
        <v>0</v>
      </c>
    </row>
    <row r="595" spans="2:19" x14ac:dyDescent="0.25">
      <c r="B595" s="7">
        <f>[1]salario!A594</f>
        <v>0</v>
      </c>
      <c r="C595" s="8">
        <f>[1]salario!C594</f>
        <v>0</v>
      </c>
      <c r="D595" s="10">
        <f>IFERROR(VLOOKUP(B595,cubo!$A$6:$BE$37,6,0)-VLOOKUP(B595,#REF!,$D$2,0),0)</f>
        <v>0</v>
      </c>
      <c r="E595" s="10">
        <f>IFERROR(VLOOKUP(B595,cubo!$A$6:$BE$37,9,0)-VLOOKUP(B595,#REF!,$E$2,0),0)</f>
        <v>0</v>
      </c>
      <c r="F595" s="9">
        <f>IFERROR(VLOOKUP(B595,cubo!$A$6:$BE$37,12,0)-VLOOKUP(B595,#REF!,$F$2,0),0)</f>
        <v>0</v>
      </c>
      <c r="G595" s="9">
        <f>IFERROR(VLOOKUP(B595,cubo!$A$6:$BE$37,54,0)-VLOOKUP(B595,#REF!,$G$2,0),0)</f>
        <v>0</v>
      </c>
      <c r="H595" s="10">
        <f>IFERROR(VLOOKUP(B595,cubo!$A$6:$BE$37,15,0)-VLOOKUP(B595,#REF!,$H$2,0),0)</f>
        <v>0</v>
      </c>
      <c r="I595" s="9">
        <f>IFERROR(VLOOKUP(B595,cubo!$A$6:$BE$37,18,0)-VLOOKUP(B595,#REF!,$I$2,0),0)</f>
        <v>0</v>
      </c>
      <c r="J595" s="9">
        <f>IFERROR(VLOOKUP(B595,cubo!$A$6:$BE$37,24,0)-VLOOKUP(B595,#REF!,$J$2,0),0)</f>
        <v>0</v>
      </c>
      <c r="K595" s="9">
        <f>IFERROR(VLOOKUP(B595,cubo!$A$6:$BE$37,34,0)-VLOOKUP(B595,#REF!,$K$2,0),0)</f>
        <v>0</v>
      </c>
      <c r="L595" s="8">
        <f>IFERROR(VLOOKUP(B595,cubo!$A$6:$BE$37,38,0)-VLOOKUP(B595,#REF!,$L$2,0),0)</f>
        <v>0</v>
      </c>
      <c r="M595" s="15">
        <f>IFERROR(VLOOKUP(B595,cubo!$A$6:$BE$37,57,0)-VLOOKUP(B595,#REF!,$M$2,0),0)</f>
        <v>0</v>
      </c>
      <c r="N595" s="9">
        <f>IFERROR(VLOOKUP(B595,cubo!$A$6:$BK$37,41,0)-VLOOKUP(conciliacao_custos!B595,#REF!,18,0),0)</f>
        <v>0</v>
      </c>
      <c r="O595" s="9">
        <f>IFERROR(VLOOKUP(B595,cubo!$A$6:$BK$37,44,0)-VLOOKUP(conciliacao_custos!B595,#REF!,13,0),0)</f>
        <v>0</v>
      </c>
      <c r="P595" s="9">
        <f>IFERROR(VLOOKUP(B595,cubo!$A$6:$BK$37,47,0)-VLOOKUP(conciliacao_custos!B595,#REF!,14,0),0)</f>
        <v>0</v>
      </c>
      <c r="Q595" s="9">
        <f>IFERROR(VLOOKUP(B595,cubo!$A$6:$BK$37,58,0)-VLOOKUP(conciliacao_custos!B595,#REF!,16,0),0)</f>
        <v>0</v>
      </c>
      <c r="R595" s="9">
        <f>IFERROR(VLOOKUP(B595,cubo!$A$6:$BK$37,64,0)-VLOOKUP(conciliacao_custos!B595,#REF!,17,0),0)</f>
        <v>0</v>
      </c>
      <c r="S595" s="9">
        <f>IFERROR(VLOOKUP(B595,cubo!$A$6:$BK$37,61,0)-VLOOKUP(conciliacao_custos!B595,#REF!,15,0),0)</f>
        <v>0</v>
      </c>
    </row>
    <row r="596" spans="2:19" x14ac:dyDescent="0.25">
      <c r="B596" s="7">
        <f>[1]salario!A595</f>
        <v>0</v>
      </c>
      <c r="C596" s="8">
        <f>[1]salario!C595</f>
        <v>0</v>
      </c>
      <c r="D596" s="10">
        <f>IFERROR(VLOOKUP(B596,cubo!$A$6:$BE$37,6,0)-VLOOKUP(B596,#REF!,$D$2,0),0)</f>
        <v>0</v>
      </c>
      <c r="E596" s="10">
        <f>IFERROR(VLOOKUP(B596,cubo!$A$6:$BE$37,9,0)-VLOOKUP(B596,#REF!,$E$2,0),0)</f>
        <v>0</v>
      </c>
      <c r="F596" s="9">
        <f>IFERROR(VLOOKUP(B596,cubo!$A$6:$BE$37,12,0)-VLOOKUP(B596,#REF!,$F$2,0),0)</f>
        <v>0</v>
      </c>
      <c r="G596" s="9">
        <f>IFERROR(VLOOKUP(B596,cubo!$A$6:$BE$37,54,0)-VLOOKUP(B596,#REF!,$G$2,0),0)</f>
        <v>0</v>
      </c>
      <c r="H596" s="10">
        <f>IFERROR(VLOOKUP(B596,cubo!$A$6:$BE$37,15,0)-VLOOKUP(B596,#REF!,$H$2,0),0)</f>
        <v>0</v>
      </c>
      <c r="I596" s="9">
        <f>IFERROR(VLOOKUP(B596,cubo!$A$6:$BE$37,18,0)-VLOOKUP(B596,#REF!,$I$2,0),0)</f>
        <v>0</v>
      </c>
      <c r="J596" s="9">
        <f>IFERROR(VLOOKUP(B596,cubo!$A$6:$BE$37,24,0)-VLOOKUP(B596,#REF!,$J$2,0),0)</f>
        <v>0</v>
      </c>
      <c r="K596" s="9">
        <f>IFERROR(VLOOKUP(B596,cubo!$A$6:$BE$37,34,0)-VLOOKUP(B596,#REF!,$K$2,0),0)</f>
        <v>0</v>
      </c>
      <c r="L596" s="8">
        <f>IFERROR(VLOOKUP(B596,cubo!$A$6:$BE$37,38,0)-VLOOKUP(B596,#REF!,$L$2,0),0)</f>
        <v>0</v>
      </c>
      <c r="M596" s="15">
        <f>IFERROR(VLOOKUP(B596,cubo!$A$6:$BE$37,57,0)-VLOOKUP(B596,#REF!,$M$2,0),0)</f>
        <v>0</v>
      </c>
      <c r="N596" s="9">
        <f>IFERROR(VLOOKUP(B596,cubo!$A$6:$BK$37,41,0)-VLOOKUP(conciliacao_custos!B596,#REF!,18,0),0)</f>
        <v>0</v>
      </c>
      <c r="O596" s="9">
        <f>IFERROR(VLOOKUP(B596,cubo!$A$6:$BK$37,44,0)-VLOOKUP(conciliacao_custos!B596,#REF!,13,0),0)</f>
        <v>0</v>
      </c>
      <c r="P596" s="9">
        <f>IFERROR(VLOOKUP(B596,cubo!$A$6:$BK$37,47,0)-VLOOKUP(conciliacao_custos!B596,#REF!,14,0),0)</f>
        <v>0</v>
      </c>
      <c r="Q596" s="9">
        <f>IFERROR(VLOOKUP(B596,cubo!$A$6:$BK$37,58,0)-VLOOKUP(conciliacao_custos!B596,#REF!,16,0),0)</f>
        <v>0</v>
      </c>
      <c r="R596" s="9">
        <f>IFERROR(VLOOKUP(B596,cubo!$A$6:$BK$37,64,0)-VLOOKUP(conciliacao_custos!B596,#REF!,17,0),0)</f>
        <v>0</v>
      </c>
      <c r="S596" s="9">
        <f>IFERROR(VLOOKUP(B596,cubo!$A$6:$BK$37,61,0)-VLOOKUP(conciliacao_custos!B596,#REF!,15,0),0)</f>
        <v>0</v>
      </c>
    </row>
    <row r="597" spans="2:19" x14ac:dyDescent="0.25">
      <c r="B597" s="7">
        <f>[1]salario!A596</f>
        <v>0</v>
      </c>
      <c r="C597" s="8">
        <f>[1]salario!C596</f>
        <v>0</v>
      </c>
      <c r="D597" s="10">
        <f>IFERROR(VLOOKUP(B597,cubo!$A$6:$BE$37,6,0)-VLOOKUP(B597,#REF!,$D$2,0),0)</f>
        <v>0</v>
      </c>
      <c r="E597" s="10">
        <f>IFERROR(VLOOKUP(B597,cubo!$A$6:$BE$37,9,0)-VLOOKUP(B597,#REF!,$E$2,0),0)</f>
        <v>0</v>
      </c>
      <c r="F597" s="9">
        <f>IFERROR(VLOOKUP(B597,cubo!$A$6:$BE$37,12,0)-VLOOKUP(B597,#REF!,$F$2,0),0)</f>
        <v>0</v>
      </c>
      <c r="G597" s="9">
        <f>IFERROR(VLOOKUP(B597,cubo!$A$6:$BE$37,54,0)-VLOOKUP(B597,#REF!,$G$2,0),0)</f>
        <v>0</v>
      </c>
      <c r="H597" s="10">
        <f>IFERROR(VLOOKUP(B597,cubo!$A$6:$BE$37,15,0)-VLOOKUP(B597,#REF!,$H$2,0),0)</f>
        <v>0</v>
      </c>
      <c r="I597" s="9">
        <f>IFERROR(VLOOKUP(B597,cubo!$A$6:$BE$37,18,0)-VLOOKUP(B597,#REF!,$I$2,0),0)</f>
        <v>0</v>
      </c>
      <c r="J597" s="9">
        <f>IFERROR(VLOOKUP(B597,cubo!$A$6:$BE$37,24,0)-VLOOKUP(B597,#REF!,$J$2,0),0)</f>
        <v>0</v>
      </c>
      <c r="K597" s="9">
        <f>IFERROR(VLOOKUP(B597,cubo!$A$6:$BE$37,34,0)-VLOOKUP(B597,#REF!,$K$2,0),0)</f>
        <v>0</v>
      </c>
      <c r="L597" s="8">
        <f>IFERROR(VLOOKUP(B597,cubo!$A$6:$BE$37,38,0)-VLOOKUP(B597,#REF!,$L$2,0),0)</f>
        <v>0</v>
      </c>
      <c r="M597" s="15">
        <f>IFERROR(VLOOKUP(B597,cubo!$A$6:$BE$37,57,0)-VLOOKUP(B597,#REF!,$M$2,0),0)</f>
        <v>0</v>
      </c>
      <c r="N597" s="9">
        <f>IFERROR(VLOOKUP(B597,cubo!$A$6:$BK$37,41,0)-VLOOKUP(conciliacao_custos!B597,#REF!,18,0),0)</f>
        <v>0</v>
      </c>
      <c r="O597" s="9">
        <f>IFERROR(VLOOKUP(B597,cubo!$A$6:$BK$37,44,0)-VLOOKUP(conciliacao_custos!B597,#REF!,13,0),0)</f>
        <v>0</v>
      </c>
      <c r="P597" s="9">
        <f>IFERROR(VLOOKUP(B597,cubo!$A$6:$BK$37,47,0)-VLOOKUP(conciliacao_custos!B597,#REF!,14,0),0)</f>
        <v>0</v>
      </c>
      <c r="Q597" s="9">
        <f>IFERROR(VLOOKUP(B597,cubo!$A$6:$BK$37,58,0)-VLOOKUP(conciliacao_custos!B597,#REF!,16,0),0)</f>
        <v>0</v>
      </c>
      <c r="R597" s="9">
        <f>IFERROR(VLOOKUP(B597,cubo!$A$6:$BK$37,64,0)-VLOOKUP(conciliacao_custos!B597,#REF!,17,0),0)</f>
        <v>0</v>
      </c>
      <c r="S597" s="9">
        <f>IFERROR(VLOOKUP(B597,cubo!$A$6:$BK$37,61,0)-VLOOKUP(conciliacao_custos!B597,#REF!,15,0),0)</f>
        <v>0</v>
      </c>
    </row>
    <row r="598" spans="2:19" x14ac:dyDescent="0.25">
      <c r="B598" s="7">
        <f>[1]salario!A597</f>
        <v>0</v>
      </c>
      <c r="C598" s="8">
        <f>[1]salario!C597</f>
        <v>0</v>
      </c>
      <c r="D598" s="10">
        <f>IFERROR(VLOOKUP(B598,cubo!$A$6:$BE$37,6,0)-VLOOKUP(B598,#REF!,$D$2,0),0)</f>
        <v>0</v>
      </c>
      <c r="E598" s="10">
        <f>IFERROR(VLOOKUP(B598,cubo!$A$6:$BE$37,9,0)-VLOOKUP(B598,#REF!,$E$2,0),0)</f>
        <v>0</v>
      </c>
      <c r="F598" s="9">
        <f>IFERROR(VLOOKUP(B598,cubo!$A$6:$BE$37,12,0)-VLOOKUP(B598,#REF!,$F$2,0),0)</f>
        <v>0</v>
      </c>
      <c r="G598" s="9">
        <f>IFERROR(VLOOKUP(B598,cubo!$A$6:$BE$37,54,0)-VLOOKUP(B598,#REF!,$G$2,0),0)</f>
        <v>0</v>
      </c>
      <c r="H598" s="10">
        <f>IFERROR(VLOOKUP(B598,cubo!$A$6:$BE$37,15,0)-VLOOKUP(B598,#REF!,$H$2,0),0)</f>
        <v>0</v>
      </c>
      <c r="I598" s="9">
        <f>IFERROR(VLOOKUP(B598,cubo!$A$6:$BE$37,18,0)-VLOOKUP(B598,#REF!,$I$2,0),0)</f>
        <v>0</v>
      </c>
      <c r="J598" s="9">
        <f>IFERROR(VLOOKUP(B598,cubo!$A$6:$BE$37,24,0)-VLOOKUP(B598,#REF!,$J$2,0),0)</f>
        <v>0</v>
      </c>
      <c r="K598" s="9">
        <f>IFERROR(VLOOKUP(B598,cubo!$A$6:$BE$37,34,0)-VLOOKUP(B598,#REF!,$K$2,0),0)</f>
        <v>0</v>
      </c>
      <c r="L598" s="8">
        <f>IFERROR(VLOOKUP(B598,cubo!$A$6:$BE$37,38,0)-VLOOKUP(B598,#REF!,$L$2,0),0)</f>
        <v>0</v>
      </c>
      <c r="M598" s="15">
        <f>IFERROR(VLOOKUP(B598,cubo!$A$6:$BE$37,57,0)-VLOOKUP(B598,#REF!,$M$2,0),0)</f>
        <v>0</v>
      </c>
      <c r="N598" s="9">
        <f>IFERROR(VLOOKUP(B598,cubo!$A$6:$BK$37,41,0)-VLOOKUP(conciliacao_custos!B598,#REF!,18,0),0)</f>
        <v>0</v>
      </c>
      <c r="O598" s="9">
        <f>IFERROR(VLOOKUP(B598,cubo!$A$6:$BK$37,44,0)-VLOOKUP(conciliacao_custos!B598,#REF!,13,0),0)</f>
        <v>0</v>
      </c>
      <c r="P598" s="9">
        <f>IFERROR(VLOOKUP(B598,cubo!$A$6:$BK$37,47,0)-VLOOKUP(conciliacao_custos!B598,#REF!,14,0),0)</f>
        <v>0</v>
      </c>
      <c r="Q598" s="9">
        <f>IFERROR(VLOOKUP(B598,cubo!$A$6:$BK$37,58,0)-VLOOKUP(conciliacao_custos!B598,#REF!,16,0),0)</f>
        <v>0</v>
      </c>
      <c r="R598" s="9">
        <f>IFERROR(VLOOKUP(B598,cubo!$A$6:$BK$37,64,0)-VLOOKUP(conciliacao_custos!B598,#REF!,17,0),0)</f>
        <v>0</v>
      </c>
      <c r="S598" s="9">
        <f>IFERROR(VLOOKUP(B598,cubo!$A$6:$BK$37,61,0)-VLOOKUP(conciliacao_custos!B598,#REF!,15,0),0)</f>
        <v>0</v>
      </c>
    </row>
    <row r="599" spans="2:19" x14ac:dyDescent="0.25">
      <c r="B599" s="7">
        <f>[1]salario!A598</f>
        <v>0</v>
      </c>
      <c r="C599" s="8">
        <f>[1]salario!C598</f>
        <v>0</v>
      </c>
      <c r="D599" s="10">
        <f>IFERROR(VLOOKUP(B599,cubo!$A$6:$BE$37,6,0)-VLOOKUP(B599,#REF!,$D$2,0),0)</f>
        <v>0</v>
      </c>
      <c r="E599" s="10">
        <f>IFERROR(VLOOKUP(B599,cubo!$A$6:$BE$37,9,0)-VLOOKUP(B599,#REF!,$E$2,0),0)</f>
        <v>0</v>
      </c>
      <c r="F599" s="9">
        <f>IFERROR(VLOOKUP(B599,cubo!$A$6:$BE$37,12,0)-VLOOKUP(B599,#REF!,$F$2,0),0)</f>
        <v>0</v>
      </c>
      <c r="G599" s="9">
        <f>IFERROR(VLOOKUP(B599,cubo!$A$6:$BE$37,54,0)-VLOOKUP(B599,#REF!,$G$2,0),0)</f>
        <v>0</v>
      </c>
      <c r="H599" s="10">
        <f>IFERROR(VLOOKUP(B599,cubo!$A$6:$BE$37,15,0)-VLOOKUP(B599,#REF!,$H$2,0),0)</f>
        <v>0</v>
      </c>
      <c r="I599" s="9">
        <f>IFERROR(VLOOKUP(B599,cubo!$A$6:$BE$37,18,0)-VLOOKUP(B599,#REF!,$I$2,0),0)</f>
        <v>0</v>
      </c>
      <c r="J599" s="9">
        <f>IFERROR(VLOOKUP(B599,cubo!$A$6:$BE$37,24,0)-VLOOKUP(B599,#REF!,$J$2,0),0)</f>
        <v>0</v>
      </c>
      <c r="K599" s="9">
        <f>IFERROR(VLOOKUP(B599,cubo!$A$6:$BE$37,34,0)-VLOOKUP(B599,#REF!,$K$2,0),0)</f>
        <v>0</v>
      </c>
      <c r="L599" s="8">
        <f>IFERROR(VLOOKUP(B599,cubo!$A$6:$BE$37,38,0)-VLOOKUP(B599,#REF!,$L$2,0),0)</f>
        <v>0</v>
      </c>
      <c r="M599" s="15">
        <f>IFERROR(VLOOKUP(B599,cubo!$A$6:$BE$37,57,0)-VLOOKUP(B599,#REF!,$M$2,0),0)</f>
        <v>0</v>
      </c>
      <c r="N599" s="9">
        <f>IFERROR(VLOOKUP(B599,cubo!$A$6:$BK$37,41,0)-VLOOKUP(conciliacao_custos!B599,#REF!,18,0),0)</f>
        <v>0</v>
      </c>
      <c r="O599" s="9">
        <f>IFERROR(VLOOKUP(B599,cubo!$A$6:$BK$37,44,0)-VLOOKUP(conciliacao_custos!B599,#REF!,13,0),0)</f>
        <v>0</v>
      </c>
      <c r="P599" s="9">
        <f>IFERROR(VLOOKUP(B599,cubo!$A$6:$BK$37,47,0)-VLOOKUP(conciliacao_custos!B599,#REF!,14,0),0)</f>
        <v>0</v>
      </c>
      <c r="Q599" s="9">
        <f>IFERROR(VLOOKUP(B599,cubo!$A$6:$BK$37,58,0)-VLOOKUP(conciliacao_custos!B599,#REF!,16,0),0)</f>
        <v>0</v>
      </c>
      <c r="R599" s="9">
        <f>IFERROR(VLOOKUP(B599,cubo!$A$6:$BK$37,64,0)-VLOOKUP(conciliacao_custos!B599,#REF!,17,0),0)</f>
        <v>0</v>
      </c>
      <c r="S599" s="9">
        <f>IFERROR(VLOOKUP(B599,cubo!$A$6:$BK$37,61,0)-VLOOKUP(conciliacao_custos!B599,#REF!,15,0),0)</f>
        <v>0</v>
      </c>
    </row>
    <row r="600" spans="2:19" x14ac:dyDescent="0.25">
      <c r="B600" s="7">
        <f>[1]salario!A599</f>
        <v>0</v>
      </c>
      <c r="C600" s="8">
        <f>[1]salario!C599</f>
        <v>0</v>
      </c>
      <c r="D600" s="10">
        <f>IFERROR(VLOOKUP(B600,cubo!$A$6:$BE$37,6,0)-VLOOKUP(B600,#REF!,$D$2,0),0)</f>
        <v>0</v>
      </c>
      <c r="E600" s="10">
        <f>IFERROR(VLOOKUP(B600,cubo!$A$6:$BE$37,9,0)-VLOOKUP(B600,#REF!,$E$2,0),0)</f>
        <v>0</v>
      </c>
      <c r="F600" s="9">
        <f>IFERROR(VLOOKUP(B600,cubo!$A$6:$BE$37,12,0)-VLOOKUP(B600,#REF!,$F$2,0),0)</f>
        <v>0</v>
      </c>
      <c r="G600" s="9">
        <f>IFERROR(VLOOKUP(B600,cubo!$A$6:$BE$37,54,0)-VLOOKUP(B600,#REF!,$G$2,0),0)</f>
        <v>0</v>
      </c>
      <c r="H600" s="10">
        <f>IFERROR(VLOOKUP(B600,cubo!$A$6:$BE$37,15,0)-VLOOKUP(B600,#REF!,$H$2,0),0)</f>
        <v>0</v>
      </c>
      <c r="I600" s="9">
        <f>IFERROR(VLOOKUP(B600,cubo!$A$6:$BE$37,18,0)-VLOOKUP(B600,#REF!,$I$2,0),0)</f>
        <v>0</v>
      </c>
      <c r="J600" s="9">
        <f>IFERROR(VLOOKUP(B600,cubo!$A$6:$BE$37,24,0)-VLOOKUP(B600,#REF!,$J$2,0),0)</f>
        <v>0</v>
      </c>
      <c r="K600" s="9">
        <f>IFERROR(VLOOKUP(B600,cubo!$A$6:$BE$37,34,0)-VLOOKUP(B600,#REF!,$K$2,0),0)</f>
        <v>0</v>
      </c>
      <c r="L600" s="8">
        <f>IFERROR(VLOOKUP(B600,cubo!$A$6:$BE$37,38,0)-VLOOKUP(B600,#REF!,$L$2,0),0)</f>
        <v>0</v>
      </c>
      <c r="M600" s="15">
        <f>IFERROR(VLOOKUP(B600,cubo!$A$6:$BE$37,57,0)-VLOOKUP(B600,#REF!,$M$2,0),0)</f>
        <v>0</v>
      </c>
      <c r="N600" s="9">
        <f>IFERROR(VLOOKUP(B600,cubo!$A$6:$BK$37,41,0)-VLOOKUP(conciliacao_custos!B600,#REF!,18,0),0)</f>
        <v>0</v>
      </c>
      <c r="O600" s="9">
        <f>IFERROR(VLOOKUP(B600,cubo!$A$6:$BK$37,44,0)-VLOOKUP(conciliacao_custos!B600,#REF!,13,0),0)</f>
        <v>0</v>
      </c>
      <c r="P600" s="9">
        <f>IFERROR(VLOOKUP(B600,cubo!$A$6:$BK$37,47,0)-VLOOKUP(conciliacao_custos!B600,#REF!,14,0),0)</f>
        <v>0</v>
      </c>
      <c r="Q600" s="9">
        <f>IFERROR(VLOOKUP(B600,cubo!$A$6:$BK$37,58,0)-VLOOKUP(conciliacao_custos!B600,#REF!,16,0),0)</f>
        <v>0</v>
      </c>
      <c r="R600" s="9">
        <f>IFERROR(VLOOKUP(B600,cubo!$A$6:$BK$37,64,0)-VLOOKUP(conciliacao_custos!B600,#REF!,17,0),0)</f>
        <v>0</v>
      </c>
      <c r="S600" s="9">
        <f>IFERROR(VLOOKUP(B600,cubo!$A$6:$BK$37,61,0)-VLOOKUP(conciliacao_custos!B600,#REF!,15,0),0)</f>
        <v>0</v>
      </c>
    </row>
    <row r="601" spans="2:19" x14ac:dyDescent="0.25">
      <c r="B601" s="7">
        <f>[1]salario!A600</f>
        <v>0</v>
      </c>
      <c r="C601" s="8">
        <f>[1]salario!C600</f>
        <v>0</v>
      </c>
      <c r="D601" s="10">
        <f>IFERROR(VLOOKUP(B601,cubo!$A$6:$BE$37,6,0)-VLOOKUP(B601,#REF!,$D$2,0),0)</f>
        <v>0</v>
      </c>
      <c r="E601" s="10">
        <f>IFERROR(VLOOKUP(B601,cubo!$A$6:$BE$37,9,0)-VLOOKUP(B601,#REF!,$E$2,0),0)</f>
        <v>0</v>
      </c>
      <c r="F601" s="9">
        <f>IFERROR(VLOOKUP(B601,cubo!$A$6:$BE$37,12,0)-VLOOKUP(B601,#REF!,$F$2,0),0)</f>
        <v>0</v>
      </c>
      <c r="G601" s="9">
        <f>IFERROR(VLOOKUP(B601,cubo!$A$6:$BE$37,54,0)-VLOOKUP(B601,#REF!,$G$2,0),0)</f>
        <v>0</v>
      </c>
      <c r="H601" s="10">
        <f>IFERROR(VLOOKUP(B601,cubo!$A$6:$BE$37,15,0)-VLOOKUP(B601,#REF!,$H$2,0),0)</f>
        <v>0</v>
      </c>
      <c r="I601" s="9">
        <f>IFERROR(VLOOKUP(B601,cubo!$A$6:$BE$37,18,0)-VLOOKUP(B601,#REF!,$I$2,0),0)</f>
        <v>0</v>
      </c>
      <c r="J601" s="9">
        <f>IFERROR(VLOOKUP(B601,cubo!$A$6:$BE$37,24,0)-VLOOKUP(B601,#REF!,$J$2,0),0)</f>
        <v>0</v>
      </c>
      <c r="K601" s="9">
        <f>IFERROR(VLOOKUP(B601,cubo!$A$6:$BE$37,34,0)-VLOOKUP(B601,#REF!,$K$2,0),0)</f>
        <v>0</v>
      </c>
      <c r="L601" s="8">
        <f>IFERROR(VLOOKUP(B601,cubo!$A$6:$BE$37,38,0)-VLOOKUP(B601,#REF!,$L$2,0),0)</f>
        <v>0</v>
      </c>
      <c r="M601" s="15">
        <f>IFERROR(VLOOKUP(B601,cubo!$A$6:$BE$37,57,0)-VLOOKUP(B601,#REF!,$M$2,0),0)</f>
        <v>0</v>
      </c>
      <c r="N601" s="9">
        <f>IFERROR(VLOOKUP(B601,cubo!$A$6:$BK$37,41,0)-VLOOKUP(conciliacao_custos!B601,#REF!,18,0),0)</f>
        <v>0</v>
      </c>
      <c r="O601" s="9">
        <f>IFERROR(VLOOKUP(B601,cubo!$A$6:$BK$37,44,0)-VLOOKUP(conciliacao_custos!B601,#REF!,13,0),0)</f>
        <v>0</v>
      </c>
      <c r="P601" s="9">
        <f>IFERROR(VLOOKUP(B601,cubo!$A$6:$BK$37,47,0)-VLOOKUP(conciliacao_custos!B601,#REF!,14,0),0)</f>
        <v>0</v>
      </c>
      <c r="Q601" s="9">
        <f>IFERROR(VLOOKUP(B601,cubo!$A$6:$BK$37,58,0)-VLOOKUP(conciliacao_custos!B601,#REF!,16,0),0)</f>
        <v>0</v>
      </c>
      <c r="R601" s="9">
        <f>IFERROR(VLOOKUP(B601,cubo!$A$6:$BK$37,64,0)-VLOOKUP(conciliacao_custos!B601,#REF!,17,0),0)</f>
        <v>0</v>
      </c>
      <c r="S601" s="9">
        <f>IFERROR(VLOOKUP(B601,cubo!$A$6:$BK$37,61,0)-VLOOKUP(conciliacao_custos!B601,#REF!,15,0),0)</f>
        <v>0</v>
      </c>
    </row>
    <row r="602" spans="2:19" x14ac:dyDescent="0.25">
      <c r="B602" s="7">
        <f>[1]salario!A601</f>
        <v>0</v>
      </c>
      <c r="C602" s="8">
        <f>[1]salario!C601</f>
        <v>0</v>
      </c>
      <c r="D602" s="10">
        <f>IFERROR(VLOOKUP(B602,cubo!$A$6:$BE$37,6,0)-VLOOKUP(B602,#REF!,$D$2,0),0)</f>
        <v>0</v>
      </c>
      <c r="E602" s="10">
        <f>IFERROR(VLOOKUP(B602,cubo!$A$6:$BE$37,9,0)-VLOOKUP(B602,#REF!,$E$2,0),0)</f>
        <v>0</v>
      </c>
      <c r="F602" s="9">
        <f>IFERROR(VLOOKUP(B602,cubo!$A$6:$BE$37,12,0)-VLOOKUP(B602,#REF!,$F$2,0),0)</f>
        <v>0</v>
      </c>
      <c r="G602" s="9">
        <f>IFERROR(VLOOKUP(B602,cubo!$A$6:$BE$37,54,0)-VLOOKUP(B602,#REF!,$G$2,0),0)</f>
        <v>0</v>
      </c>
      <c r="H602" s="10">
        <f>IFERROR(VLOOKUP(B602,cubo!$A$6:$BE$37,15,0)-VLOOKUP(B602,#REF!,$H$2,0),0)</f>
        <v>0</v>
      </c>
      <c r="I602" s="9">
        <f>IFERROR(VLOOKUP(B602,cubo!$A$6:$BE$37,18,0)-VLOOKUP(B602,#REF!,$I$2,0),0)</f>
        <v>0</v>
      </c>
      <c r="J602" s="9">
        <f>IFERROR(VLOOKUP(B602,cubo!$A$6:$BE$37,24,0)-VLOOKUP(B602,#REF!,$J$2,0),0)</f>
        <v>0</v>
      </c>
      <c r="K602" s="9">
        <f>IFERROR(VLOOKUP(B602,cubo!$A$6:$BE$37,34,0)-VLOOKUP(B602,#REF!,$K$2,0),0)</f>
        <v>0</v>
      </c>
      <c r="L602" s="8">
        <f>IFERROR(VLOOKUP(B602,cubo!$A$6:$BE$37,38,0)-VLOOKUP(B602,#REF!,$L$2,0),0)</f>
        <v>0</v>
      </c>
      <c r="M602" s="15">
        <f>IFERROR(VLOOKUP(B602,cubo!$A$6:$BE$37,57,0)-VLOOKUP(B602,#REF!,$M$2,0),0)</f>
        <v>0</v>
      </c>
      <c r="N602" s="9">
        <f>IFERROR(VLOOKUP(B602,cubo!$A$6:$BK$37,41,0)-VLOOKUP(conciliacao_custos!B602,#REF!,18,0),0)</f>
        <v>0</v>
      </c>
      <c r="O602" s="9">
        <f>IFERROR(VLOOKUP(B602,cubo!$A$6:$BK$37,44,0)-VLOOKUP(conciliacao_custos!B602,#REF!,13,0),0)</f>
        <v>0</v>
      </c>
      <c r="P602" s="9">
        <f>IFERROR(VLOOKUP(B602,cubo!$A$6:$BK$37,47,0)-VLOOKUP(conciliacao_custos!B602,#REF!,14,0),0)</f>
        <v>0</v>
      </c>
      <c r="Q602" s="9">
        <f>IFERROR(VLOOKUP(B602,cubo!$A$6:$BK$37,58,0)-VLOOKUP(conciliacao_custos!B602,#REF!,16,0),0)</f>
        <v>0</v>
      </c>
      <c r="R602" s="9">
        <f>IFERROR(VLOOKUP(B602,cubo!$A$6:$BK$37,64,0)-VLOOKUP(conciliacao_custos!B602,#REF!,17,0),0)</f>
        <v>0</v>
      </c>
      <c r="S602" s="9">
        <f>IFERROR(VLOOKUP(B602,cubo!$A$6:$BK$37,61,0)-VLOOKUP(conciliacao_custos!B602,#REF!,15,0),0)</f>
        <v>0</v>
      </c>
    </row>
    <row r="603" spans="2:19" x14ac:dyDescent="0.25">
      <c r="B603" s="7">
        <f>[1]salario!A602</f>
        <v>0</v>
      </c>
      <c r="C603" s="8">
        <f>[1]salario!C602</f>
        <v>0</v>
      </c>
      <c r="D603" s="10">
        <f>IFERROR(VLOOKUP(B603,cubo!$A$6:$BE$37,6,0)-VLOOKUP(B603,#REF!,$D$2,0),0)</f>
        <v>0</v>
      </c>
      <c r="E603" s="10">
        <f>IFERROR(VLOOKUP(B603,cubo!$A$6:$BE$37,9,0)-VLOOKUP(B603,#REF!,$E$2,0),0)</f>
        <v>0</v>
      </c>
      <c r="F603" s="9">
        <f>IFERROR(VLOOKUP(B603,cubo!$A$6:$BE$37,12,0)-VLOOKUP(B603,#REF!,$F$2,0),0)</f>
        <v>0</v>
      </c>
      <c r="G603" s="9">
        <f>IFERROR(VLOOKUP(B603,cubo!$A$6:$BE$37,54,0)-VLOOKUP(B603,#REF!,$G$2,0),0)</f>
        <v>0</v>
      </c>
      <c r="H603" s="10">
        <f>IFERROR(VLOOKUP(B603,cubo!$A$6:$BE$37,15,0)-VLOOKUP(B603,#REF!,$H$2,0),0)</f>
        <v>0</v>
      </c>
      <c r="I603" s="9">
        <f>IFERROR(VLOOKUP(B603,cubo!$A$6:$BE$37,18,0)-VLOOKUP(B603,#REF!,$I$2,0),0)</f>
        <v>0</v>
      </c>
      <c r="J603" s="9">
        <f>IFERROR(VLOOKUP(B603,cubo!$A$6:$BE$37,24,0)-VLOOKUP(B603,#REF!,$J$2,0),0)</f>
        <v>0</v>
      </c>
      <c r="K603" s="9">
        <f>IFERROR(VLOOKUP(B603,cubo!$A$6:$BE$37,34,0)-VLOOKUP(B603,#REF!,$K$2,0),0)</f>
        <v>0</v>
      </c>
      <c r="L603" s="8">
        <f>IFERROR(VLOOKUP(B603,cubo!$A$6:$BE$37,38,0)-VLOOKUP(B603,#REF!,$L$2,0),0)</f>
        <v>0</v>
      </c>
      <c r="M603" s="15">
        <f>IFERROR(VLOOKUP(B603,cubo!$A$6:$BE$37,57,0)-VLOOKUP(B603,#REF!,$M$2,0),0)</f>
        <v>0</v>
      </c>
      <c r="N603" s="9">
        <f>IFERROR(VLOOKUP(B603,cubo!$A$6:$BK$37,41,0)-VLOOKUP(conciliacao_custos!B603,#REF!,18,0),0)</f>
        <v>0</v>
      </c>
      <c r="O603" s="9">
        <f>IFERROR(VLOOKUP(B603,cubo!$A$6:$BK$37,44,0)-VLOOKUP(conciliacao_custos!B603,#REF!,13,0),0)</f>
        <v>0</v>
      </c>
      <c r="P603" s="9">
        <f>IFERROR(VLOOKUP(B603,cubo!$A$6:$BK$37,47,0)-VLOOKUP(conciliacao_custos!B603,#REF!,14,0),0)</f>
        <v>0</v>
      </c>
      <c r="Q603" s="9">
        <f>IFERROR(VLOOKUP(B603,cubo!$A$6:$BK$37,58,0)-VLOOKUP(conciliacao_custos!B603,#REF!,16,0),0)</f>
        <v>0</v>
      </c>
      <c r="R603" s="9">
        <f>IFERROR(VLOOKUP(B603,cubo!$A$6:$BK$37,64,0)-VLOOKUP(conciliacao_custos!B603,#REF!,17,0),0)</f>
        <v>0</v>
      </c>
      <c r="S603" s="9">
        <f>IFERROR(VLOOKUP(B603,cubo!$A$6:$BK$37,61,0)-VLOOKUP(conciliacao_custos!B603,#REF!,15,0),0)</f>
        <v>0</v>
      </c>
    </row>
    <row r="604" spans="2:19" x14ac:dyDescent="0.25">
      <c r="B604" s="7">
        <f>[1]salario!A603</f>
        <v>0</v>
      </c>
      <c r="C604" s="8">
        <f>[1]salario!C603</f>
        <v>0</v>
      </c>
      <c r="D604" s="10">
        <f>IFERROR(VLOOKUP(B604,cubo!$A$6:$BE$37,6,0)-VLOOKUP(B604,#REF!,$D$2,0),0)</f>
        <v>0</v>
      </c>
      <c r="E604" s="10">
        <f>IFERROR(VLOOKUP(B604,cubo!$A$6:$BE$37,9,0)-VLOOKUP(B604,#REF!,$E$2,0),0)</f>
        <v>0</v>
      </c>
      <c r="F604" s="9">
        <f>IFERROR(VLOOKUP(B604,cubo!$A$6:$BE$37,12,0)-VLOOKUP(B604,#REF!,$F$2,0),0)</f>
        <v>0</v>
      </c>
      <c r="G604" s="9">
        <f>IFERROR(VLOOKUP(B604,cubo!$A$6:$BE$37,54,0)-VLOOKUP(B604,#REF!,$G$2,0),0)</f>
        <v>0</v>
      </c>
      <c r="H604" s="10">
        <f>IFERROR(VLOOKUP(B604,cubo!$A$6:$BE$37,15,0)-VLOOKUP(B604,#REF!,$H$2,0),0)</f>
        <v>0</v>
      </c>
      <c r="I604" s="9">
        <f>IFERROR(VLOOKUP(B604,cubo!$A$6:$BE$37,18,0)-VLOOKUP(B604,#REF!,$I$2,0),0)</f>
        <v>0</v>
      </c>
      <c r="J604" s="9">
        <f>IFERROR(VLOOKUP(B604,cubo!$A$6:$BE$37,24,0)-VLOOKUP(B604,#REF!,$J$2,0),0)</f>
        <v>0</v>
      </c>
      <c r="K604" s="9">
        <f>IFERROR(VLOOKUP(B604,cubo!$A$6:$BE$37,34,0)-VLOOKUP(B604,#REF!,$K$2,0),0)</f>
        <v>0</v>
      </c>
      <c r="L604" s="8">
        <f>IFERROR(VLOOKUP(B604,cubo!$A$6:$BE$37,38,0)-VLOOKUP(B604,#REF!,$L$2,0),0)</f>
        <v>0</v>
      </c>
      <c r="M604" s="15">
        <f>IFERROR(VLOOKUP(B604,cubo!$A$6:$BE$37,57,0)-VLOOKUP(B604,#REF!,$M$2,0),0)</f>
        <v>0</v>
      </c>
      <c r="N604" s="9">
        <f>IFERROR(VLOOKUP(B604,cubo!$A$6:$BK$37,41,0)-VLOOKUP(conciliacao_custos!B604,#REF!,18,0),0)</f>
        <v>0</v>
      </c>
      <c r="O604" s="9">
        <f>IFERROR(VLOOKUP(B604,cubo!$A$6:$BK$37,44,0)-VLOOKUP(conciliacao_custos!B604,#REF!,13,0),0)</f>
        <v>0</v>
      </c>
      <c r="P604" s="9">
        <f>IFERROR(VLOOKUP(B604,cubo!$A$6:$BK$37,47,0)-VLOOKUP(conciliacao_custos!B604,#REF!,14,0),0)</f>
        <v>0</v>
      </c>
      <c r="Q604" s="9">
        <f>IFERROR(VLOOKUP(B604,cubo!$A$6:$BK$37,58,0)-VLOOKUP(conciliacao_custos!B604,#REF!,16,0),0)</f>
        <v>0</v>
      </c>
      <c r="R604" s="9">
        <f>IFERROR(VLOOKUP(B604,cubo!$A$6:$BK$37,64,0)-VLOOKUP(conciliacao_custos!B604,#REF!,17,0),0)</f>
        <v>0</v>
      </c>
      <c r="S604" s="9">
        <f>IFERROR(VLOOKUP(B604,cubo!$A$6:$BK$37,61,0)-VLOOKUP(conciliacao_custos!B604,#REF!,15,0),0)</f>
        <v>0</v>
      </c>
    </row>
    <row r="605" spans="2:19" x14ac:dyDescent="0.25">
      <c r="B605" s="7">
        <f>[1]salario!A604</f>
        <v>0</v>
      </c>
      <c r="C605" s="8">
        <f>[1]salario!C604</f>
        <v>0</v>
      </c>
      <c r="D605" s="10">
        <f>IFERROR(VLOOKUP(B605,cubo!$A$6:$BE$37,6,0)-VLOOKUP(B605,#REF!,$D$2,0),0)</f>
        <v>0</v>
      </c>
      <c r="E605" s="10">
        <f>IFERROR(VLOOKUP(B605,cubo!$A$6:$BE$37,9,0)-VLOOKUP(B605,#REF!,$E$2,0),0)</f>
        <v>0</v>
      </c>
      <c r="F605" s="9">
        <f>IFERROR(VLOOKUP(B605,cubo!$A$6:$BE$37,12,0)-VLOOKUP(B605,#REF!,$F$2,0),0)</f>
        <v>0</v>
      </c>
      <c r="G605" s="9">
        <f>IFERROR(VLOOKUP(B605,cubo!$A$6:$BE$37,54,0)-VLOOKUP(B605,#REF!,$G$2,0),0)</f>
        <v>0</v>
      </c>
      <c r="H605" s="10">
        <f>IFERROR(VLOOKUP(B605,cubo!$A$6:$BE$37,15,0)-VLOOKUP(B605,#REF!,$H$2,0),0)</f>
        <v>0</v>
      </c>
      <c r="I605" s="9">
        <f>IFERROR(VLOOKUP(B605,cubo!$A$6:$BE$37,18,0)-VLOOKUP(B605,#REF!,$I$2,0),0)</f>
        <v>0</v>
      </c>
      <c r="J605" s="9">
        <f>IFERROR(VLOOKUP(B605,cubo!$A$6:$BE$37,24,0)-VLOOKUP(B605,#REF!,$J$2,0),0)</f>
        <v>0</v>
      </c>
      <c r="K605" s="9">
        <f>IFERROR(VLOOKUP(B605,cubo!$A$6:$BE$37,34,0)-VLOOKUP(B605,#REF!,$K$2,0),0)</f>
        <v>0</v>
      </c>
      <c r="L605" s="8">
        <f>IFERROR(VLOOKUP(B605,cubo!$A$6:$BE$37,38,0)-VLOOKUP(B605,#REF!,$L$2,0),0)</f>
        <v>0</v>
      </c>
      <c r="M605" s="15">
        <f>IFERROR(VLOOKUP(B605,cubo!$A$6:$BE$37,57,0)-VLOOKUP(B605,#REF!,$M$2,0),0)</f>
        <v>0</v>
      </c>
      <c r="N605" s="9">
        <f>IFERROR(VLOOKUP(B605,cubo!$A$6:$BK$37,41,0)-VLOOKUP(conciliacao_custos!B605,#REF!,18,0),0)</f>
        <v>0</v>
      </c>
      <c r="O605" s="9">
        <f>IFERROR(VLOOKUP(B605,cubo!$A$6:$BK$37,44,0)-VLOOKUP(conciliacao_custos!B605,#REF!,13,0),0)</f>
        <v>0</v>
      </c>
      <c r="P605" s="9">
        <f>IFERROR(VLOOKUP(B605,cubo!$A$6:$BK$37,47,0)-VLOOKUP(conciliacao_custos!B605,#REF!,14,0),0)</f>
        <v>0</v>
      </c>
      <c r="Q605" s="9">
        <f>IFERROR(VLOOKUP(B605,cubo!$A$6:$BK$37,58,0)-VLOOKUP(conciliacao_custos!B605,#REF!,16,0),0)</f>
        <v>0</v>
      </c>
      <c r="R605" s="9">
        <f>IFERROR(VLOOKUP(B605,cubo!$A$6:$BK$37,64,0)-VLOOKUP(conciliacao_custos!B605,#REF!,17,0),0)</f>
        <v>0</v>
      </c>
      <c r="S605" s="9">
        <f>IFERROR(VLOOKUP(B605,cubo!$A$6:$BK$37,61,0)-VLOOKUP(conciliacao_custos!B605,#REF!,15,0),0)</f>
        <v>0</v>
      </c>
    </row>
    <row r="606" spans="2:19" x14ac:dyDescent="0.25">
      <c r="B606" s="7">
        <f>[1]salario!A605</f>
        <v>0</v>
      </c>
      <c r="C606" s="8">
        <f>[1]salario!C605</f>
        <v>0</v>
      </c>
      <c r="D606" s="10">
        <f>IFERROR(VLOOKUP(B606,cubo!$A$6:$BE$37,6,0)-VLOOKUP(B606,#REF!,$D$2,0),0)</f>
        <v>0</v>
      </c>
      <c r="E606" s="10">
        <f>IFERROR(VLOOKUP(B606,cubo!$A$6:$BE$37,9,0)-VLOOKUP(B606,#REF!,$E$2,0),0)</f>
        <v>0</v>
      </c>
      <c r="F606" s="9">
        <f>IFERROR(VLOOKUP(B606,cubo!$A$6:$BE$37,12,0)-VLOOKUP(B606,#REF!,$F$2,0),0)</f>
        <v>0</v>
      </c>
      <c r="G606" s="9">
        <f>IFERROR(VLOOKUP(B606,cubo!$A$6:$BE$37,54,0)-VLOOKUP(B606,#REF!,$G$2,0),0)</f>
        <v>0</v>
      </c>
      <c r="H606" s="10">
        <f>IFERROR(VLOOKUP(B606,cubo!$A$6:$BE$37,15,0)-VLOOKUP(B606,#REF!,$H$2,0),0)</f>
        <v>0</v>
      </c>
      <c r="I606" s="9">
        <f>IFERROR(VLOOKUP(B606,cubo!$A$6:$BE$37,18,0)-VLOOKUP(B606,#REF!,$I$2,0),0)</f>
        <v>0</v>
      </c>
      <c r="J606" s="9">
        <f>IFERROR(VLOOKUP(B606,cubo!$A$6:$BE$37,24,0)-VLOOKUP(B606,#REF!,$J$2,0),0)</f>
        <v>0</v>
      </c>
      <c r="K606" s="9">
        <f>IFERROR(VLOOKUP(B606,cubo!$A$6:$BE$37,34,0)-VLOOKUP(B606,#REF!,$K$2,0),0)</f>
        <v>0</v>
      </c>
      <c r="L606" s="8">
        <f>IFERROR(VLOOKUP(B606,cubo!$A$6:$BE$37,38,0)-VLOOKUP(B606,#REF!,$L$2,0),0)</f>
        <v>0</v>
      </c>
      <c r="M606" s="15">
        <f>IFERROR(VLOOKUP(B606,cubo!$A$6:$BE$37,57,0)-VLOOKUP(B606,#REF!,$M$2,0),0)</f>
        <v>0</v>
      </c>
      <c r="N606" s="9">
        <f>IFERROR(VLOOKUP(B606,cubo!$A$6:$BK$37,41,0)-VLOOKUP(conciliacao_custos!B606,#REF!,18,0),0)</f>
        <v>0</v>
      </c>
      <c r="O606" s="9">
        <f>IFERROR(VLOOKUP(B606,cubo!$A$6:$BK$37,44,0)-VLOOKUP(conciliacao_custos!B606,#REF!,13,0),0)</f>
        <v>0</v>
      </c>
      <c r="P606" s="9">
        <f>IFERROR(VLOOKUP(B606,cubo!$A$6:$BK$37,47,0)-VLOOKUP(conciliacao_custos!B606,#REF!,14,0),0)</f>
        <v>0</v>
      </c>
      <c r="Q606" s="9">
        <f>IFERROR(VLOOKUP(B606,cubo!$A$6:$BK$37,58,0)-VLOOKUP(conciliacao_custos!B606,#REF!,16,0),0)</f>
        <v>0</v>
      </c>
      <c r="R606" s="9">
        <f>IFERROR(VLOOKUP(B606,cubo!$A$6:$BK$37,64,0)-VLOOKUP(conciliacao_custos!B606,#REF!,17,0),0)</f>
        <v>0</v>
      </c>
      <c r="S606" s="9">
        <f>IFERROR(VLOOKUP(B606,cubo!$A$6:$BK$37,61,0)-VLOOKUP(conciliacao_custos!B606,#REF!,15,0),0)</f>
        <v>0</v>
      </c>
    </row>
    <row r="607" spans="2:19" x14ac:dyDescent="0.25">
      <c r="B607" s="7">
        <f>[1]salario!A606</f>
        <v>0</v>
      </c>
      <c r="C607" s="8">
        <f>[1]salario!C606</f>
        <v>0</v>
      </c>
      <c r="D607" s="10">
        <f>IFERROR(VLOOKUP(B607,cubo!$A$6:$BE$37,6,0)-VLOOKUP(B607,#REF!,$D$2,0),0)</f>
        <v>0</v>
      </c>
      <c r="E607" s="10">
        <f>IFERROR(VLOOKUP(B607,cubo!$A$6:$BE$37,9,0)-VLOOKUP(B607,#REF!,$E$2,0),0)</f>
        <v>0</v>
      </c>
      <c r="F607" s="9">
        <f>IFERROR(VLOOKUP(B607,cubo!$A$6:$BE$37,12,0)-VLOOKUP(B607,#REF!,$F$2,0),0)</f>
        <v>0</v>
      </c>
      <c r="G607" s="9">
        <f>IFERROR(VLOOKUP(B607,cubo!$A$6:$BE$37,54,0)-VLOOKUP(B607,#REF!,$G$2,0),0)</f>
        <v>0</v>
      </c>
      <c r="H607" s="10">
        <f>IFERROR(VLOOKUP(B607,cubo!$A$6:$BE$37,15,0)-VLOOKUP(B607,#REF!,$H$2,0),0)</f>
        <v>0</v>
      </c>
      <c r="I607" s="9">
        <f>IFERROR(VLOOKUP(B607,cubo!$A$6:$BE$37,18,0)-VLOOKUP(B607,#REF!,$I$2,0),0)</f>
        <v>0</v>
      </c>
      <c r="J607" s="9">
        <f>IFERROR(VLOOKUP(B607,cubo!$A$6:$BE$37,24,0)-VLOOKUP(B607,#REF!,$J$2,0),0)</f>
        <v>0</v>
      </c>
      <c r="K607" s="9">
        <f>IFERROR(VLOOKUP(B607,cubo!$A$6:$BE$37,34,0)-VLOOKUP(B607,#REF!,$K$2,0),0)</f>
        <v>0</v>
      </c>
      <c r="L607" s="8">
        <f>IFERROR(VLOOKUP(B607,cubo!$A$6:$BE$37,38,0)-VLOOKUP(B607,#REF!,$L$2,0),0)</f>
        <v>0</v>
      </c>
      <c r="M607" s="15">
        <f>IFERROR(VLOOKUP(B607,cubo!$A$6:$BE$37,57,0)-VLOOKUP(B607,#REF!,$M$2,0),0)</f>
        <v>0</v>
      </c>
      <c r="N607" s="9">
        <f>IFERROR(VLOOKUP(B607,cubo!$A$6:$BK$37,41,0)-VLOOKUP(conciliacao_custos!B607,#REF!,18,0),0)</f>
        <v>0</v>
      </c>
      <c r="O607" s="9">
        <f>IFERROR(VLOOKUP(B607,cubo!$A$6:$BK$37,44,0)-VLOOKUP(conciliacao_custos!B607,#REF!,13,0),0)</f>
        <v>0</v>
      </c>
      <c r="P607" s="9">
        <f>IFERROR(VLOOKUP(B607,cubo!$A$6:$BK$37,47,0)-VLOOKUP(conciliacao_custos!B607,#REF!,14,0),0)</f>
        <v>0</v>
      </c>
      <c r="Q607" s="9">
        <f>IFERROR(VLOOKUP(B607,cubo!$A$6:$BK$37,58,0)-VLOOKUP(conciliacao_custos!B607,#REF!,16,0),0)</f>
        <v>0</v>
      </c>
      <c r="R607" s="9">
        <f>IFERROR(VLOOKUP(B607,cubo!$A$6:$BK$37,64,0)-VLOOKUP(conciliacao_custos!B607,#REF!,17,0),0)</f>
        <v>0</v>
      </c>
      <c r="S607" s="9">
        <f>IFERROR(VLOOKUP(B607,cubo!$A$6:$BK$37,61,0)-VLOOKUP(conciliacao_custos!B607,#REF!,15,0),0)</f>
        <v>0</v>
      </c>
    </row>
    <row r="608" spans="2:19" x14ac:dyDescent="0.25">
      <c r="B608" s="7">
        <f>[1]salario!A607</f>
        <v>0</v>
      </c>
      <c r="C608" s="8">
        <f>[1]salario!C607</f>
        <v>0</v>
      </c>
      <c r="D608" s="10">
        <f>IFERROR(VLOOKUP(B608,cubo!$A$6:$BE$37,6,0)-VLOOKUP(B608,#REF!,$D$2,0),0)</f>
        <v>0</v>
      </c>
      <c r="E608" s="10">
        <f>IFERROR(VLOOKUP(B608,cubo!$A$6:$BE$37,9,0)-VLOOKUP(B608,#REF!,$E$2,0),0)</f>
        <v>0</v>
      </c>
      <c r="F608" s="9">
        <f>IFERROR(VLOOKUP(B608,cubo!$A$6:$BE$37,12,0)-VLOOKUP(B608,#REF!,$F$2,0),0)</f>
        <v>0</v>
      </c>
      <c r="G608" s="9">
        <f>IFERROR(VLOOKUP(B608,cubo!$A$6:$BE$37,54,0)-VLOOKUP(B608,#REF!,$G$2,0),0)</f>
        <v>0</v>
      </c>
      <c r="H608" s="10">
        <f>IFERROR(VLOOKUP(B608,cubo!$A$6:$BE$37,15,0)-VLOOKUP(B608,#REF!,$H$2,0),0)</f>
        <v>0</v>
      </c>
      <c r="I608" s="9">
        <f>IFERROR(VLOOKUP(B608,cubo!$A$6:$BE$37,18,0)-VLOOKUP(B608,#REF!,$I$2,0),0)</f>
        <v>0</v>
      </c>
      <c r="J608" s="9">
        <f>IFERROR(VLOOKUP(B608,cubo!$A$6:$BE$37,24,0)-VLOOKUP(B608,#REF!,$J$2,0),0)</f>
        <v>0</v>
      </c>
      <c r="K608" s="9">
        <f>IFERROR(VLOOKUP(B608,cubo!$A$6:$BE$37,34,0)-VLOOKUP(B608,#REF!,$K$2,0),0)</f>
        <v>0</v>
      </c>
      <c r="L608" s="8">
        <f>IFERROR(VLOOKUP(B608,cubo!$A$6:$BE$37,38,0)-VLOOKUP(B608,#REF!,$L$2,0),0)</f>
        <v>0</v>
      </c>
      <c r="M608" s="15">
        <f>IFERROR(VLOOKUP(B608,cubo!$A$6:$BE$37,57,0)-VLOOKUP(B608,#REF!,$M$2,0),0)</f>
        <v>0</v>
      </c>
      <c r="N608" s="9">
        <f>IFERROR(VLOOKUP(B608,cubo!$A$6:$BK$37,41,0)-VLOOKUP(conciliacao_custos!B608,#REF!,18,0),0)</f>
        <v>0</v>
      </c>
      <c r="O608" s="9">
        <f>IFERROR(VLOOKUP(B608,cubo!$A$6:$BK$37,44,0)-VLOOKUP(conciliacao_custos!B608,#REF!,13,0),0)</f>
        <v>0</v>
      </c>
      <c r="P608" s="9">
        <f>IFERROR(VLOOKUP(B608,cubo!$A$6:$BK$37,47,0)-VLOOKUP(conciliacao_custos!B608,#REF!,14,0),0)</f>
        <v>0</v>
      </c>
      <c r="Q608" s="9">
        <f>IFERROR(VLOOKUP(B608,cubo!$A$6:$BK$37,58,0)-VLOOKUP(conciliacao_custos!B608,#REF!,16,0),0)</f>
        <v>0</v>
      </c>
      <c r="R608" s="9">
        <f>IFERROR(VLOOKUP(B608,cubo!$A$6:$BK$37,64,0)-VLOOKUP(conciliacao_custos!B608,#REF!,17,0),0)</f>
        <v>0</v>
      </c>
      <c r="S608" s="9">
        <f>IFERROR(VLOOKUP(B608,cubo!$A$6:$BK$37,61,0)-VLOOKUP(conciliacao_custos!B608,#REF!,15,0),0)</f>
        <v>0</v>
      </c>
    </row>
    <row r="609" spans="2:19" x14ac:dyDescent="0.25">
      <c r="B609" s="7">
        <f>[1]salario!A608</f>
        <v>0</v>
      </c>
      <c r="C609" s="8">
        <f>[1]salario!C608</f>
        <v>0</v>
      </c>
      <c r="D609" s="10">
        <f>IFERROR(VLOOKUP(B609,cubo!$A$6:$BE$37,6,0)-VLOOKUP(B609,#REF!,$D$2,0),0)</f>
        <v>0</v>
      </c>
      <c r="E609" s="10">
        <f>IFERROR(VLOOKUP(B609,cubo!$A$6:$BE$37,9,0)-VLOOKUP(B609,#REF!,$E$2,0),0)</f>
        <v>0</v>
      </c>
      <c r="F609" s="9">
        <f>IFERROR(VLOOKUP(B609,cubo!$A$6:$BE$37,12,0)-VLOOKUP(B609,#REF!,$F$2,0),0)</f>
        <v>0</v>
      </c>
      <c r="G609" s="9">
        <f>IFERROR(VLOOKUP(B609,cubo!$A$6:$BE$37,54,0)-VLOOKUP(B609,#REF!,$G$2,0),0)</f>
        <v>0</v>
      </c>
      <c r="H609" s="10">
        <f>IFERROR(VLOOKUP(B609,cubo!$A$6:$BE$37,15,0)-VLOOKUP(B609,#REF!,$H$2,0),0)</f>
        <v>0</v>
      </c>
      <c r="I609" s="9">
        <f>IFERROR(VLOOKUP(B609,cubo!$A$6:$BE$37,18,0)-VLOOKUP(B609,#REF!,$I$2,0),0)</f>
        <v>0</v>
      </c>
      <c r="J609" s="9">
        <f>IFERROR(VLOOKUP(B609,cubo!$A$6:$BE$37,24,0)-VLOOKUP(B609,#REF!,$J$2,0),0)</f>
        <v>0</v>
      </c>
      <c r="K609" s="9">
        <f>IFERROR(VLOOKUP(B609,cubo!$A$6:$BE$37,34,0)-VLOOKUP(B609,#REF!,$K$2,0),0)</f>
        <v>0</v>
      </c>
      <c r="L609" s="8">
        <f>IFERROR(VLOOKUP(B609,cubo!$A$6:$BE$37,38,0)-VLOOKUP(B609,#REF!,$L$2,0),0)</f>
        <v>0</v>
      </c>
      <c r="M609" s="15">
        <f>IFERROR(VLOOKUP(B609,cubo!$A$6:$BE$37,57,0)-VLOOKUP(B609,#REF!,$M$2,0),0)</f>
        <v>0</v>
      </c>
      <c r="N609" s="9">
        <f>IFERROR(VLOOKUP(B609,cubo!$A$6:$BK$37,41,0)-VLOOKUP(conciliacao_custos!B609,#REF!,18,0),0)</f>
        <v>0</v>
      </c>
      <c r="O609" s="9">
        <f>IFERROR(VLOOKUP(B609,cubo!$A$6:$BK$37,44,0)-VLOOKUP(conciliacao_custos!B609,#REF!,13,0),0)</f>
        <v>0</v>
      </c>
      <c r="P609" s="9">
        <f>IFERROR(VLOOKUP(B609,cubo!$A$6:$BK$37,47,0)-VLOOKUP(conciliacao_custos!B609,#REF!,14,0),0)</f>
        <v>0</v>
      </c>
      <c r="Q609" s="9">
        <f>IFERROR(VLOOKUP(B609,cubo!$A$6:$BK$37,58,0)-VLOOKUP(conciliacao_custos!B609,#REF!,16,0),0)</f>
        <v>0</v>
      </c>
      <c r="R609" s="9">
        <f>IFERROR(VLOOKUP(B609,cubo!$A$6:$BK$37,64,0)-VLOOKUP(conciliacao_custos!B609,#REF!,17,0),0)</f>
        <v>0</v>
      </c>
      <c r="S609" s="9">
        <f>IFERROR(VLOOKUP(B609,cubo!$A$6:$BK$37,61,0)-VLOOKUP(conciliacao_custos!B609,#REF!,15,0),0)</f>
        <v>0</v>
      </c>
    </row>
    <row r="610" spans="2:19" x14ac:dyDescent="0.25">
      <c r="B610" s="7">
        <f>[1]salario!A609</f>
        <v>0</v>
      </c>
      <c r="C610" s="8">
        <f>[1]salario!C609</f>
        <v>0</v>
      </c>
      <c r="D610" s="10">
        <f>IFERROR(VLOOKUP(B610,cubo!$A$6:$BE$37,6,0)-VLOOKUP(B610,#REF!,$D$2,0),0)</f>
        <v>0</v>
      </c>
      <c r="E610" s="10">
        <f>IFERROR(VLOOKUP(B610,cubo!$A$6:$BE$37,9,0)-VLOOKUP(B610,#REF!,$E$2,0),0)</f>
        <v>0</v>
      </c>
      <c r="F610" s="9">
        <f>IFERROR(VLOOKUP(B610,cubo!$A$6:$BE$37,12,0)-VLOOKUP(B610,#REF!,$F$2,0),0)</f>
        <v>0</v>
      </c>
      <c r="G610" s="9">
        <f>IFERROR(VLOOKUP(B610,cubo!$A$6:$BE$37,54,0)-VLOOKUP(B610,#REF!,$G$2,0),0)</f>
        <v>0</v>
      </c>
      <c r="H610" s="10">
        <f>IFERROR(VLOOKUP(B610,cubo!$A$6:$BE$37,15,0)-VLOOKUP(B610,#REF!,$H$2,0),0)</f>
        <v>0</v>
      </c>
      <c r="I610" s="9">
        <f>IFERROR(VLOOKUP(B610,cubo!$A$6:$BE$37,18,0)-VLOOKUP(B610,#REF!,$I$2,0),0)</f>
        <v>0</v>
      </c>
      <c r="J610" s="9">
        <f>IFERROR(VLOOKUP(B610,cubo!$A$6:$BE$37,24,0)-VLOOKUP(B610,#REF!,$J$2,0),0)</f>
        <v>0</v>
      </c>
      <c r="K610" s="9">
        <f>IFERROR(VLOOKUP(B610,cubo!$A$6:$BE$37,34,0)-VLOOKUP(B610,#REF!,$K$2,0),0)</f>
        <v>0</v>
      </c>
      <c r="L610" s="8">
        <f>IFERROR(VLOOKUP(B610,cubo!$A$6:$BE$37,38,0)-VLOOKUP(B610,#REF!,$L$2,0),0)</f>
        <v>0</v>
      </c>
      <c r="M610" s="15">
        <f>IFERROR(VLOOKUP(B610,cubo!$A$6:$BE$37,57,0)-VLOOKUP(B610,#REF!,$M$2,0),0)</f>
        <v>0</v>
      </c>
      <c r="N610" s="9">
        <f>IFERROR(VLOOKUP(B610,cubo!$A$6:$BK$37,41,0)-VLOOKUP(conciliacao_custos!B610,#REF!,18,0),0)</f>
        <v>0</v>
      </c>
      <c r="O610" s="9">
        <f>IFERROR(VLOOKUP(B610,cubo!$A$6:$BK$37,44,0)-VLOOKUP(conciliacao_custos!B610,#REF!,13,0),0)</f>
        <v>0</v>
      </c>
      <c r="P610" s="9">
        <f>IFERROR(VLOOKUP(B610,cubo!$A$6:$BK$37,47,0)-VLOOKUP(conciliacao_custos!B610,#REF!,14,0),0)</f>
        <v>0</v>
      </c>
      <c r="Q610" s="9">
        <f>IFERROR(VLOOKUP(B610,cubo!$A$6:$BK$37,58,0)-VLOOKUP(conciliacao_custos!B610,#REF!,16,0),0)</f>
        <v>0</v>
      </c>
      <c r="R610" s="9">
        <f>IFERROR(VLOOKUP(B610,cubo!$A$6:$BK$37,64,0)-VLOOKUP(conciliacao_custos!B610,#REF!,17,0),0)</f>
        <v>0</v>
      </c>
      <c r="S610" s="9">
        <f>IFERROR(VLOOKUP(B610,cubo!$A$6:$BK$37,61,0)-VLOOKUP(conciliacao_custos!B610,#REF!,15,0),0)</f>
        <v>0</v>
      </c>
    </row>
    <row r="611" spans="2:19" x14ac:dyDescent="0.25">
      <c r="B611" s="7">
        <f>[1]salario!A610</f>
        <v>0</v>
      </c>
      <c r="C611" s="8">
        <f>[1]salario!C610</f>
        <v>0</v>
      </c>
      <c r="D611" s="10">
        <f>IFERROR(VLOOKUP(B611,cubo!$A$6:$BE$37,6,0)-VLOOKUP(B611,#REF!,$D$2,0),0)</f>
        <v>0</v>
      </c>
      <c r="E611" s="10">
        <f>IFERROR(VLOOKUP(B611,cubo!$A$6:$BE$37,9,0)-VLOOKUP(B611,#REF!,$E$2,0),0)</f>
        <v>0</v>
      </c>
      <c r="F611" s="9">
        <f>IFERROR(VLOOKUP(B611,cubo!$A$6:$BE$37,12,0)-VLOOKUP(B611,#REF!,$F$2,0),0)</f>
        <v>0</v>
      </c>
      <c r="G611" s="9">
        <f>IFERROR(VLOOKUP(B611,cubo!$A$6:$BE$37,54,0)-VLOOKUP(B611,#REF!,$G$2,0),0)</f>
        <v>0</v>
      </c>
      <c r="H611" s="10">
        <f>IFERROR(VLOOKUP(B611,cubo!$A$6:$BE$37,15,0)-VLOOKUP(B611,#REF!,$H$2,0),0)</f>
        <v>0</v>
      </c>
      <c r="I611" s="9">
        <f>IFERROR(VLOOKUP(B611,cubo!$A$6:$BE$37,18,0)-VLOOKUP(B611,#REF!,$I$2,0),0)</f>
        <v>0</v>
      </c>
      <c r="J611" s="9">
        <f>IFERROR(VLOOKUP(B611,cubo!$A$6:$BE$37,24,0)-VLOOKUP(B611,#REF!,$J$2,0),0)</f>
        <v>0</v>
      </c>
      <c r="K611" s="9">
        <f>IFERROR(VLOOKUP(B611,cubo!$A$6:$BE$37,34,0)-VLOOKUP(B611,#REF!,$K$2,0),0)</f>
        <v>0</v>
      </c>
      <c r="L611" s="8">
        <f>IFERROR(VLOOKUP(B611,cubo!$A$6:$BE$37,38,0)-VLOOKUP(B611,#REF!,$L$2,0),0)</f>
        <v>0</v>
      </c>
      <c r="M611" s="15">
        <f>IFERROR(VLOOKUP(B611,cubo!$A$6:$BE$37,57,0)-VLOOKUP(B611,#REF!,$M$2,0),0)</f>
        <v>0</v>
      </c>
      <c r="N611" s="9">
        <f>IFERROR(VLOOKUP(B611,cubo!$A$6:$BK$37,41,0)-VLOOKUP(conciliacao_custos!B611,#REF!,18,0),0)</f>
        <v>0</v>
      </c>
      <c r="O611" s="9">
        <f>IFERROR(VLOOKUP(B611,cubo!$A$6:$BK$37,44,0)-VLOOKUP(conciliacao_custos!B611,#REF!,13,0),0)</f>
        <v>0</v>
      </c>
      <c r="P611" s="9">
        <f>IFERROR(VLOOKUP(B611,cubo!$A$6:$BK$37,47,0)-VLOOKUP(conciliacao_custos!B611,#REF!,14,0),0)</f>
        <v>0</v>
      </c>
      <c r="Q611" s="9">
        <f>IFERROR(VLOOKUP(B611,cubo!$A$6:$BK$37,58,0)-VLOOKUP(conciliacao_custos!B611,#REF!,16,0),0)</f>
        <v>0</v>
      </c>
      <c r="R611" s="9">
        <f>IFERROR(VLOOKUP(B611,cubo!$A$6:$BK$37,64,0)-VLOOKUP(conciliacao_custos!B611,#REF!,17,0),0)</f>
        <v>0</v>
      </c>
      <c r="S611" s="9">
        <f>IFERROR(VLOOKUP(B611,cubo!$A$6:$BK$37,61,0)-VLOOKUP(conciliacao_custos!B611,#REF!,15,0),0)</f>
        <v>0</v>
      </c>
    </row>
    <row r="612" spans="2:19" x14ac:dyDescent="0.25">
      <c r="B612" s="7">
        <f>[1]salario!A611</f>
        <v>0</v>
      </c>
      <c r="C612" s="8">
        <f>[1]salario!C611</f>
        <v>0</v>
      </c>
      <c r="D612" s="10">
        <f>IFERROR(VLOOKUP(B612,cubo!$A$6:$BE$37,6,0)-VLOOKUP(B612,#REF!,$D$2,0),0)</f>
        <v>0</v>
      </c>
      <c r="E612" s="10">
        <f>IFERROR(VLOOKUP(B612,cubo!$A$6:$BE$37,9,0)-VLOOKUP(B612,#REF!,$E$2,0),0)</f>
        <v>0</v>
      </c>
      <c r="F612" s="9">
        <f>IFERROR(VLOOKUP(B612,cubo!$A$6:$BE$37,12,0)-VLOOKUP(B612,#REF!,$F$2,0),0)</f>
        <v>0</v>
      </c>
      <c r="G612" s="9">
        <f>IFERROR(VLOOKUP(B612,cubo!$A$6:$BE$37,54,0)-VLOOKUP(B612,#REF!,$G$2,0),0)</f>
        <v>0</v>
      </c>
      <c r="H612" s="10">
        <f>IFERROR(VLOOKUP(B612,cubo!$A$6:$BE$37,15,0)-VLOOKUP(B612,#REF!,$H$2,0),0)</f>
        <v>0</v>
      </c>
      <c r="I612" s="9">
        <f>IFERROR(VLOOKUP(B612,cubo!$A$6:$BE$37,18,0)-VLOOKUP(B612,#REF!,$I$2,0),0)</f>
        <v>0</v>
      </c>
      <c r="J612" s="9">
        <f>IFERROR(VLOOKUP(B612,cubo!$A$6:$BE$37,24,0)-VLOOKUP(B612,#REF!,$J$2,0),0)</f>
        <v>0</v>
      </c>
      <c r="K612" s="9">
        <f>IFERROR(VLOOKUP(B612,cubo!$A$6:$BE$37,34,0)-VLOOKUP(B612,#REF!,$K$2,0),0)</f>
        <v>0</v>
      </c>
      <c r="L612" s="8">
        <f>IFERROR(VLOOKUP(B612,cubo!$A$6:$BE$37,38,0)-VLOOKUP(B612,#REF!,$L$2,0),0)</f>
        <v>0</v>
      </c>
      <c r="M612" s="15">
        <f>IFERROR(VLOOKUP(B612,cubo!$A$6:$BE$37,57,0)-VLOOKUP(B612,#REF!,$M$2,0),0)</f>
        <v>0</v>
      </c>
      <c r="N612" s="9">
        <f>IFERROR(VLOOKUP(B612,cubo!$A$6:$BK$37,41,0)-VLOOKUP(conciliacao_custos!B612,#REF!,18,0),0)</f>
        <v>0</v>
      </c>
      <c r="O612" s="9">
        <f>IFERROR(VLOOKUP(B612,cubo!$A$6:$BK$37,44,0)-VLOOKUP(conciliacao_custos!B612,#REF!,13,0),0)</f>
        <v>0</v>
      </c>
      <c r="P612" s="9">
        <f>IFERROR(VLOOKUP(B612,cubo!$A$6:$BK$37,47,0)-VLOOKUP(conciliacao_custos!B612,#REF!,14,0),0)</f>
        <v>0</v>
      </c>
      <c r="Q612" s="9">
        <f>IFERROR(VLOOKUP(B612,cubo!$A$6:$BK$37,58,0)-VLOOKUP(conciliacao_custos!B612,#REF!,16,0),0)</f>
        <v>0</v>
      </c>
      <c r="R612" s="9">
        <f>IFERROR(VLOOKUP(B612,cubo!$A$6:$BK$37,64,0)-VLOOKUP(conciliacao_custos!B612,#REF!,17,0),0)</f>
        <v>0</v>
      </c>
      <c r="S612" s="9">
        <f>IFERROR(VLOOKUP(B612,cubo!$A$6:$BK$37,61,0)-VLOOKUP(conciliacao_custos!B612,#REF!,15,0),0)</f>
        <v>0</v>
      </c>
    </row>
    <row r="613" spans="2:19" x14ac:dyDescent="0.25">
      <c r="B613" s="7">
        <f>[1]salario!A612</f>
        <v>0</v>
      </c>
      <c r="C613" s="8">
        <f>[1]salario!C612</f>
        <v>0</v>
      </c>
      <c r="D613" s="10">
        <f>IFERROR(VLOOKUP(B613,cubo!$A$6:$BE$37,6,0)-VLOOKUP(B613,#REF!,$D$2,0),0)</f>
        <v>0</v>
      </c>
      <c r="E613" s="10">
        <f>IFERROR(VLOOKUP(B613,cubo!$A$6:$BE$37,9,0)-VLOOKUP(B613,#REF!,$E$2,0),0)</f>
        <v>0</v>
      </c>
      <c r="F613" s="9">
        <f>IFERROR(VLOOKUP(B613,cubo!$A$6:$BE$37,12,0)-VLOOKUP(B613,#REF!,$F$2,0),0)</f>
        <v>0</v>
      </c>
      <c r="G613" s="9">
        <f>IFERROR(VLOOKUP(B613,cubo!$A$6:$BE$37,54,0)-VLOOKUP(B613,#REF!,$G$2,0),0)</f>
        <v>0</v>
      </c>
      <c r="H613" s="10">
        <f>IFERROR(VLOOKUP(B613,cubo!$A$6:$BE$37,15,0)-VLOOKUP(B613,#REF!,$H$2,0),0)</f>
        <v>0</v>
      </c>
      <c r="I613" s="9">
        <f>IFERROR(VLOOKUP(B613,cubo!$A$6:$BE$37,18,0)-VLOOKUP(B613,#REF!,$I$2,0),0)</f>
        <v>0</v>
      </c>
      <c r="J613" s="9">
        <f>IFERROR(VLOOKUP(B613,cubo!$A$6:$BE$37,24,0)-VLOOKUP(B613,#REF!,$J$2,0),0)</f>
        <v>0</v>
      </c>
      <c r="K613" s="9">
        <f>IFERROR(VLOOKUP(B613,cubo!$A$6:$BE$37,34,0)-VLOOKUP(B613,#REF!,$K$2,0),0)</f>
        <v>0</v>
      </c>
      <c r="L613" s="8">
        <f>IFERROR(VLOOKUP(B613,cubo!$A$6:$BE$37,38,0)-VLOOKUP(B613,#REF!,$L$2,0),0)</f>
        <v>0</v>
      </c>
      <c r="M613" s="15">
        <f>IFERROR(VLOOKUP(B613,cubo!$A$6:$BE$37,57,0)-VLOOKUP(B613,#REF!,$M$2,0),0)</f>
        <v>0</v>
      </c>
      <c r="N613" s="9">
        <f>IFERROR(VLOOKUP(B613,cubo!$A$6:$BK$37,41,0)-VLOOKUP(conciliacao_custos!B613,#REF!,18,0),0)</f>
        <v>0</v>
      </c>
      <c r="O613" s="9">
        <f>IFERROR(VLOOKUP(B613,cubo!$A$6:$BK$37,44,0)-VLOOKUP(conciliacao_custos!B613,#REF!,13,0),0)</f>
        <v>0</v>
      </c>
      <c r="P613" s="9">
        <f>IFERROR(VLOOKUP(B613,cubo!$A$6:$BK$37,47,0)-VLOOKUP(conciliacao_custos!B613,#REF!,14,0),0)</f>
        <v>0</v>
      </c>
      <c r="Q613" s="9">
        <f>IFERROR(VLOOKUP(B613,cubo!$A$6:$BK$37,58,0)-VLOOKUP(conciliacao_custos!B613,#REF!,16,0),0)</f>
        <v>0</v>
      </c>
      <c r="R613" s="9">
        <f>IFERROR(VLOOKUP(B613,cubo!$A$6:$BK$37,64,0)-VLOOKUP(conciliacao_custos!B613,#REF!,17,0),0)</f>
        <v>0</v>
      </c>
      <c r="S613" s="9">
        <f>IFERROR(VLOOKUP(B613,cubo!$A$6:$BK$37,61,0)-VLOOKUP(conciliacao_custos!B613,#REF!,15,0),0)</f>
        <v>0</v>
      </c>
    </row>
    <row r="614" spans="2:19" x14ac:dyDescent="0.25">
      <c r="B614" s="7">
        <f>[1]salario!A613</f>
        <v>0</v>
      </c>
      <c r="C614" s="14">
        <f>[1]salario!C613</f>
        <v>0</v>
      </c>
      <c r="D614" s="10">
        <f>IFERROR(VLOOKUP(B614,cubo!$A$6:$BE$37,6,0)-VLOOKUP(B614,#REF!,$D$2,0),0)</f>
        <v>0</v>
      </c>
      <c r="E614" s="10">
        <f>IFERROR(VLOOKUP(B614,cubo!$A$6:$BE$37,9,0)-VLOOKUP(B614,#REF!,$E$2,0),0)</f>
        <v>0</v>
      </c>
      <c r="F614" s="9">
        <f>IFERROR(VLOOKUP(B614,cubo!$A$6:$BE$37,12,0)-VLOOKUP(B614,#REF!,$F$2,0),0)</f>
        <v>0</v>
      </c>
      <c r="G614" s="9">
        <f>IFERROR(VLOOKUP(B614,cubo!$A$6:$BE$37,54,0)-VLOOKUP(B614,#REF!,$G$2,0),0)</f>
        <v>0</v>
      </c>
      <c r="H614" s="10">
        <f>IFERROR(VLOOKUP(B614,cubo!$A$6:$BE$37,15,0)-VLOOKUP(B614,#REF!,$H$2,0),0)</f>
        <v>0</v>
      </c>
      <c r="I614" s="9">
        <f>IFERROR(VLOOKUP(B614,cubo!$A$6:$BE$37,18,0)-VLOOKUP(B614,#REF!,$I$2,0),0)</f>
        <v>0</v>
      </c>
      <c r="J614" s="9">
        <f>IFERROR(VLOOKUP(B614,cubo!$A$6:$BE$37,24,0)-VLOOKUP(B614,#REF!,$J$2,0),0)</f>
        <v>0</v>
      </c>
      <c r="K614" s="9">
        <f>IFERROR(VLOOKUP(B614,cubo!$A$6:$BE$37,34,0)-VLOOKUP(B614,#REF!,$K$2,0),0)</f>
        <v>0</v>
      </c>
      <c r="L614" s="8">
        <f>IFERROR(VLOOKUP(B614,cubo!$A$6:$BE$37,38,0)-VLOOKUP(B614,#REF!,$L$2,0),0)</f>
        <v>0</v>
      </c>
      <c r="M614" s="15">
        <f>IFERROR(VLOOKUP(B614,cubo!$A$6:$BE$37,57,0)-VLOOKUP(B614,#REF!,$M$2,0),0)</f>
        <v>0</v>
      </c>
      <c r="N614" s="9">
        <f>IFERROR(VLOOKUP(B614,cubo!$A$6:$BK$37,41,0)-VLOOKUP(conciliacao_custos!B614,#REF!,18,0),0)</f>
        <v>0</v>
      </c>
      <c r="O614" s="9">
        <f>IFERROR(VLOOKUP(B614,cubo!$A$6:$BK$37,44,0)-VLOOKUP(conciliacao_custos!B614,#REF!,13,0),0)</f>
        <v>0</v>
      </c>
      <c r="P614" s="9">
        <f>IFERROR(VLOOKUP(B614,cubo!$A$6:$BK$37,47,0)-VLOOKUP(conciliacao_custos!B614,#REF!,14,0),0)</f>
        <v>0</v>
      </c>
      <c r="Q614" s="9">
        <f>IFERROR(VLOOKUP(B614,cubo!$A$6:$BK$37,58,0)-VLOOKUP(conciliacao_custos!B614,#REF!,16,0),0)</f>
        <v>0</v>
      </c>
      <c r="R614" s="9">
        <f>IFERROR(VLOOKUP(B614,cubo!$A$6:$BK$37,64,0)-VLOOKUP(conciliacao_custos!B614,#REF!,17,0),0)</f>
        <v>0</v>
      </c>
      <c r="S614" s="9">
        <f>IFERROR(VLOOKUP(B614,cubo!$A$6:$BK$37,61,0)-VLOOKUP(conciliacao_custos!B614,#REF!,15,0),0)</f>
        <v>0</v>
      </c>
    </row>
    <row r="615" spans="2:19" x14ac:dyDescent="0.25">
      <c r="B615" s="7">
        <f>[1]salario!A614</f>
        <v>0</v>
      </c>
      <c r="C615" s="8">
        <f>[1]salario!C614</f>
        <v>0</v>
      </c>
      <c r="D615" s="10">
        <f>IFERROR(VLOOKUP(B615,cubo!$A$6:$BE$37,6,0)-VLOOKUP(B615,#REF!,$D$2,0),0)</f>
        <v>0</v>
      </c>
      <c r="E615" s="10">
        <f>IFERROR(VLOOKUP(B615,cubo!$A$6:$BE$37,9,0)-VLOOKUP(B615,#REF!,$E$2,0),0)</f>
        <v>0</v>
      </c>
      <c r="F615" s="9">
        <f>IFERROR(VLOOKUP(B615,cubo!$A$6:$BE$37,12,0)-VLOOKUP(B615,#REF!,$F$2,0),0)</f>
        <v>0</v>
      </c>
      <c r="G615" s="9">
        <f>IFERROR(VLOOKUP(B615,cubo!$A$6:$BE$37,54,0)-VLOOKUP(B615,#REF!,$G$2,0),0)</f>
        <v>0</v>
      </c>
      <c r="H615" s="10">
        <f>IFERROR(VLOOKUP(B615,cubo!$A$6:$BE$37,15,0)-VLOOKUP(B615,#REF!,$H$2,0),0)</f>
        <v>0</v>
      </c>
      <c r="I615" s="9">
        <f>IFERROR(VLOOKUP(B615,cubo!$A$6:$BE$37,18,0)-VLOOKUP(B615,#REF!,$I$2,0),0)</f>
        <v>0</v>
      </c>
      <c r="J615" s="9">
        <f>IFERROR(VLOOKUP(B615,cubo!$A$6:$BE$37,24,0)-VLOOKUP(B615,#REF!,$J$2,0),0)</f>
        <v>0</v>
      </c>
      <c r="K615" s="9">
        <f>IFERROR(VLOOKUP(B615,cubo!$A$6:$BE$37,34,0)-VLOOKUP(B615,#REF!,$K$2,0),0)</f>
        <v>0</v>
      </c>
      <c r="L615" s="8">
        <f>IFERROR(VLOOKUP(B615,cubo!$A$6:$BE$37,38,0)-VLOOKUP(B615,#REF!,$L$2,0),0)</f>
        <v>0</v>
      </c>
      <c r="M615" s="15">
        <f>IFERROR(VLOOKUP(B615,cubo!$A$6:$BE$37,57,0)-VLOOKUP(B615,#REF!,$M$2,0),0)</f>
        <v>0</v>
      </c>
      <c r="N615" s="9">
        <f>IFERROR(VLOOKUP(B615,cubo!$A$6:$BK$37,41,0)-VLOOKUP(conciliacao_custos!B615,#REF!,18,0),0)</f>
        <v>0</v>
      </c>
      <c r="O615" s="9">
        <f>IFERROR(VLOOKUP(B615,cubo!$A$6:$BK$37,44,0)-VLOOKUP(conciliacao_custos!B615,#REF!,13,0),0)</f>
        <v>0</v>
      </c>
      <c r="P615" s="9">
        <f>IFERROR(VLOOKUP(B615,cubo!$A$6:$BK$37,47,0)-VLOOKUP(conciliacao_custos!B615,#REF!,14,0),0)</f>
        <v>0</v>
      </c>
      <c r="Q615" s="9">
        <f>IFERROR(VLOOKUP(B615,cubo!$A$6:$BK$37,58,0)-VLOOKUP(conciliacao_custos!B615,#REF!,16,0),0)</f>
        <v>0</v>
      </c>
      <c r="R615" s="9">
        <f>IFERROR(VLOOKUP(B615,cubo!$A$6:$BK$37,64,0)-VLOOKUP(conciliacao_custos!B615,#REF!,17,0),0)</f>
        <v>0</v>
      </c>
      <c r="S615" s="9">
        <f>IFERROR(VLOOKUP(B615,cubo!$A$6:$BK$37,61,0)-VLOOKUP(conciliacao_custos!B615,#REF!,15,0),0)</f>
        <v>0</v>
      </c>
    </row>
    <row r="616" spans="2:19" x14ac:dyDescent="0.25">
      <c r="B616" s="7">
        <f>[1]salario!A615</f>
        <v>0</v>
      </c>
      <c r="C616" s="8">
        <f>[1]salario!C615</f>
        <v>0</v>
      </c>
      <c r="D616" s="10">
        <f>IFERROR(VLOOKUP(B616,cubo!$A$6:$BE$37,6,0)-VLOOKUP(B616,#REF!,$D$2,0),0)</f>
        <v>0</v>
      </c>
      <c r="E616" s="10">
        <f>IFERROR(VLOOKUP(B616,cubo!$A$6:$BE$37,9,0)-VLOOKUP(B616,#REF!,$E$2,0),0)</f>
        <v>0</v>
      </c>
      <c r="F616" s="9">
        <f>IFERROR(VLOOKUP(B616,cubo!$A$6:$BE$37,12,0)-VLOOKUP(B616,#REF!,$F$2,0),0)</f>
        <v>0</v>
      </c>
      <c r="G616" s="9">
        <f>IFERROR(VLOOKUP(B616,cubo!$A$6:$BE$37,54,0)-VLOOKUP(B616,#REF!,$G$2,0),0)</f>
        <v>0</v>
      </c>
      <c r="H616" s="10">
        <f>IFERROR(VLOOKUP(B616,cubo!$A$6:$BE$37,15,0)-VLOOKUP(B616,#REF!,$H$2,0),0)</f>
        <v>0</v>
      </c>
      <c r="I616" s="9">
        <f>IFERROR(VLOOKUP(B616,cubo!$A$6:$BE$37,18,0)-VLOOKUP(B616,#REF!,$I$2,0),0)</f>
        <v>0</v>
      </c>
      <c r="J616" s="9">
        <f>IFERROR(VLOOKUP(B616,cubo!$A$6:$BE$37,24,0)-VLOOKUP(B616,#REF!,$J$2,0),0)</f>
        <v>0</v>
      </c>
      <c r="K616" s="9">
        <f>IFERROR(VLOOKUP(B616,cubo!$A$6:$BE$37,34,0)-VLOOKUP(B616,#REF!,$K$2,0),0)</f>
        <v>0</v>
      </c>
      <c r="L616" s="8">
        <f>IFERROR(VLOOKUP(B616,cubo!$A$6:$BE$37,38,0)-VLOOKUP(B616,#REF!,$L$2,0),0)</f>
        <v>0</v>
      </c>
      <c r="M616" s="15">
        <f>IFERROR(VLOOKUP(B616,cubo!$A$6:$BE$37,57,0)-VLOOKUP(B616,#REF!,$M$2,0),0)</f>
        <v>0</v>
      </c>
      <c r="N616" s="9">
        <f>IFERROR(VLOOKUP(B616,cubo!$A$6:$BK$37,41,0)-VLOOKUP(conciliacao_custos!B616,#REF!,18,0),0)</f>
        <v>0</v>
      </c>
      <c r="O616" s="9">
        <f>IFERROR(VLOOKUP(B616,cubo!$A$6:$BK$37,44,0)-VLOOKUP(conciliacao_custos!B616,#REF!,13,0),0)</f>
        <v>0</v>
      </c>
      <c r="P616" s="9">
        <f>IFERROR(VLOOKUP(B616,cubo!$A$6:$BK$37,47,0)-VLOOKUP(conciliacao_custos!B616,#REF!,14,0),0)</f>
        <v>0</v>
      </c>
      <c r="Q616" s="9">
        <f>IFERROR(VLOOKUP(B616,cubo!$A$6:$BK$37,58,0)-VLOOKUP(conciliacao_custos!B616,#REF!,16,0),0)</f>
        <v>0</v>
      </c>
      <c r="R616" s="9">
        <f>IFERROR(VLOOKUP(B616,cubo!$A$6:$BK$37,64,0)-VLOOKUP(conciliacao_custos!B616,#REF!,17,0),0)</f>
        <v>0</v>
      </c>
      <c r="S616" s="9">
        <f>IFERROR(VLOOKUP(B616,cubo!$A$6:$BK$37,61,0)-VLOOKUP(conciliacao_custos!B616,#REF!,15,0),0)</f>
        <v>0</v>
      </c>
    </row>
    <row r="617" spans="2:19" x14ac:dyDescent="0.25">
      <c r="B617" s="7">
        <f>[1]salario!A616</f>
        <v>0</v>
      </c>
      <c r="C617" s="8">
        <f>[1]salario!C616</f>
        <v>0</v>
      </c>
      <c r="D617" s="10">
        <f>IFERROR(VLOOKUP(B617,cubo!$A$6:$BE$37,6,0)-VLOOKUP(B617,#REF!,$D$2,0),0)</f>
        <v>0</v>
      </c>
      <c r="E617" s="10">
        <f>IFERROR(VLOOKUP(B617,cubo!$A$6:$BE$37,9,0)-VLOOKUP(B617,#REF!,$E$2,0),0)</f>
        <v>0</v>
      </c>
      <c r="F617" s="9">
        <f>IFERROR(VLOOKUP(B617,cubo!$A$6:$BE$37,12,0)-VLOOKUP(B617,#REF!,$F$2,0),0)</f>
        <v>0</v>
      </c>
      <c r="G617" s="9">
        <f>IFERROR(VLOOKUP(B617,cubo!$A$6:$BE$37,54,0)-VLOOKUP(B617,#REF!,$G$2,0),0)</f>
        <v>0</v>
      </c>
      <c r="H617" s="10">
        <f>IFERROR(VLOOKUP(B617,cubo!$A$6:$BE$37,15,0)-VLOOKUP(B617,#REF!,$H$2,0),0)</f>
        <v>0</v>
      </c>
      <c r="I617" s="9">
        <f>IFERROR(VLOOKUP(B617,cubo!$A$6:$BE$37,18,0)-VLOOKUP(B617,#REF!,$I$2,0),0)</f>
        <v>0</v>
      </c>
      <c r="J617" s="9">
        <f>IFERROR(VLOOKUP(B617,cubo!$A$6:$BE$37,24,0)-VLOOKUP(B617,#REF!,$J$2,0),0)</f>
        <v>0</v>
      </c>
      <c r="K617" s="9">
        <f>IFERROR(VLOOKUP(B617,cubo!$A$6:$BE$37,34,0)-VLOOKUP(B617,#REF!,$K$2,0),0)</f>
        <v>0</v>
      </c>
      <c r="L617" s="8">
        <f>IFERROR(VLOOKUP(B617,cubo!$A$6:$BE$37,38,0)-VLOOKUP(B617,#REF!,$L$2,0),0)</f>
        <v>0</v>
      </c>
      <c r="M617" s="15">
        <f>IFERROR(VLOOKUP(B617,cubo!$A$6:$BE$37,57,0)-VLOOKUP(B617,#REF!,$M$2,0),0)</f>
        <v>0</v>
      </c>
      <c r="N617" s="9">
        <f>IFERROR(VLOOKUP(B617,cubo!$A$6:$BK$37,41,0)-VLOOKUP(conciliacao_custos!B617,#REF!,18,0),0)</f>
        <v>0</v>
      </c>
      <c r="O617" s="9">
        <f>IFERROR(VLOOKUP(B617,cubo!$A$6:$BK$37,44,0)-VLOOKUP(conciliacao_custos!B617,#REF!,13,0),0)</f>
        <v>0</v>
      </c>
      <c r="P617" s="9">
        <f>IFERROR(VLOOKUP(B617,cubo!$A$6:$BK$37,47,0)-VLOOKUP(conciliacao_custos!B617,#REF!,14,0),0)</f>
        <v>0</v>
      </c>
      <c r="Q617" s="9">
        <f>IFERROR(VLOOKUP(B617,cubo!$A$6:$BK$37,58,0)-VLOOKUP(conciliacao_custos!B617,#REF!,16,0),0)</f>
        <v>0</v>
      </c>
      <c r="R617" s="9">
        <f>IFERROR(VLOOKUP(B617,cubo!$A$6:$BK$37,64,0)-VLOOKUP(conciliacao_custos!B617,#REF!,17,0),0)</f>
        <v>0</v>
      </c>
      <c r="S617" s="9">
        <f>IFERROR(VLOOKUP(B617,cubo!$A$6:$BK$37,61,0)-VLOOKUP(conciliacao_custos!B617,#REF!,15,0),0)</f>
        <v>0</v>
      </c>
    </row>
    <row r="618" spans="2:19" x14ac:dyDescent="0.25">
      <c r="B618" s="7">
        <f>[1]salario!A617</f>
        <v>0</v>
      </c>
      <c r="C618" s="8">
        <f>[1]salario!C617</f>
        <v>0</v>
      </c>
      <c r="D618" s="10">
        <f>IFERROR(VLOOKUP(B618,cubo!$A$6:$BE$37,6,0)-VLOOKUP(B618,#REF!,$D$2,0),0)</f>
        <v>0</v>
      </c>
      <c r="E618" s="10">
        <f>IFERROR(VLOOKUP(B618,cubo!$A$6:$BE$37,9,0)-VLOOKUP(B618,#REF!,$E$2,0),0)</f>
        <v>0</v>
      </c>
      <c r="F618" s="9">
        <f>IFERROR(VLOOKUP(B618,cubo!$A$6:$BE$37,12,0)-VLOOKUP(B618,#REF!,$F$2,0),0)</f>
        <v>0</v>
      </c>
      <c r="G618" s="9">
        <f>IFERROR(VLOOKUP(B618,cubo!$A$6:$BE$37,54,0)-VLOOKUP(B618,#REF!,$G$2,0),0)</f>
        <v>0</v>
      </c>
      <c r="H618" s="10">
        <f>IFERROR(VLOOKUP(B618,cubo!$A$6:$BE$37,15,0)-VLOOKUP(B618,#REF!,$H$2,0),0)</f>
        <v>0</v>
      </c>
      <c r="I618" s="9">
        <f>IFERROR(VLOOKUP(B618,cubo!$A$6:$BE$37,18,0)-VLOOKUP(B618,#REF!,$I$2,0),0)</f>
        <v>0</v>
      </c>
      <c r="J618" s="9">
        <f>IFERROR(VLOOKUP(B618,cubo!$A$6:$BE$37,24,0)-VLOOKUP(B618,#REF!,$J$2,0),0)</f>
        <v>0</v>
      </c>
      <c r="K618" s="9">
        <f>IFERROR(VLOOKUP(B618,cubo!$A$6:$BE$37,34,0)-VLOOKUP(B618,#REF!,$K$2,0),0)</f>
        <v>0</v>
      </c>
      <c r="L618" s="8">
        <f>IFERROR(VLOOKUP(B618,cubo!$A$6:$BE$37,38,0)-VLOOKUP(B618,#REF!,$L$2,0),0)</f>
        <v>0</v>
      </c>
      <c r="M618" s="15">
        <f>IFERROR(VLOOKUP(B618,cubo!$A$6:$BE$37,57,0)-VLOOKUP(B618,#REF!,$M$2,0),0)</f>
        <v>0</v>
      </c>
      <c r="N618" s="9">
        <f>IFERROR(VLOOKUP(B618,cubo!$A$6:$BK$37,41,0)-VLOOKUP(conciliacao_custos!B618,#REF!,18,0),0)</f>
        <v>0</v>
      </c>
      <c r="O618" s="9">
        <f>IFERROR(VLOOKUP(B618,cubo!$A$6:$BK$37,44,0)-VLOOKUP(conciliacao_custos!B618,#REF!,13,0),0)</f>
        <v>0</v>
      </c>
      <c r="P618" s="9">
        <f>IFERROR(VLOOKUP(B618,cubo!$A$6:$BK$37,47,0)-VLOOKUP(conciliacao_custos!B618,#REF!,14,0),0)</f>
        <v>0</v>
      </c>
      <c r="Q618" s="9">
        <f>IFERROR(VLOOKUP(B618,cubo!$A$6:$BK$37,58,0)-VLOOKUP(conciliacao_custos!B618,#REF!,16,0),0)</f>
        <v>0</v>
      </c>
      <c r="R618" s="9">
        <f>IFERROR(VLOOKUP(B618,cubo!$A$6:$BK$37,64,0)-VLOOKUP(conciliacao_custos!B618,#REF!,17,0),0)</f>
        <v>0</v>
      </c>
      <c r="S618" s="9">
        <f>IFERROR(VLOOKUP(B618,cubo!$A$6:$BK$37,61,0)-VLOOKUP(conciliacao_custos!B618,#REF!,15,0),0)</f>
        <v>0</v>
      </c>
    </row>
    <row r="619" spans="2:19" x14ac:dyDescent="0.25">
      <c r="B619" s="7">
        <f>[1]salario!A618</f>
        <v>0</v>
      </c>
      <c r="C619" s="8">
        <f>[1]salario!C618</f>
        <v>0</v>
      </c>
      <c r="D619" s="10">
        <f>IFERROR(VLOOKUP(B619,cubo!$A$6:$BE$37,6,0)-VLOOKUP(B619,#REF!,$D$2,0),0)</f>
        <v>0</v>
      </c>
      <c r="E619" s="10">
        <f>IFERROR(VLOOKUP(B619,cubo!$A$6:$BE$37,9,0)-VLOOKUP(B619,#REF!,$E$2,0),0)</f>
        <v>0</v>
      </c>
      <c r="F619" s="9">
        <f>IFERROR(VLOOKUP(B619,cubo!$A$6:$BE$37,12,0)-VLOOKUP(B619,#REF!,$F$2,0),0)</f>
        <v>0</v>
      </c>
      <c r="G619" s="9">
        <f>IFERROR(VLOOKUP(B619,cubo!$A$6:$BE$37,54,0)-VLOOKUP(B619,#REF!,$G$2,0),0)</f>
        <v>0</v>
      </c>
      <c r="H619" s="10">
        <f>IFERROR(VLOOKUP(B619,cubo!$A$6:$BE$37,15,0)-VLOOKUP(B619,#REF!,$H$2,0),0)</f>
        <v>0</v>
      </c>
      <c r="I619" s="9">
        <f>IFERROR(VLOOKUP(B619,cubo!$A$6:$BE$37,18,0)-VLOOKUP(B619,#REF!,$I$2,0),0)</f>
        <v>0</v>
      </c>
      <c r="J619" s="9">
        <f>IFERROR(VLOOKUP(B619,cubo!$A$6:$BE$37,24,0)-VLOOKUP(B619,#REF!,$J$2,0),0)</f>
        <v>0</v>
      </c>
      <c r="K619" s="9">
        <f>IFERROR(VLOOKUP(B619,cubo!$A$6:$BE$37,34,0)-VLOOKUP(B619,#REF!,$K$2,0),0)</f>
        <v>0</v>
      </c>
      <c r="L619" s="8">
        <f>IFERROR(VLOOKUP(B619,cubo!$A$6:$BE$37,38,0)-VLOOKUP(B619,#REF!,$L$2,0),0)</f>
        <v>0</v>
      </c>
      <c r="M619" s="15">
        <f>IFERROR(VLOOKUP(B619,cubo!$A$6:$BE$37,57,0)-VLOOKUP(B619,#REF!,$M$2,0),0)</f>
        <v>0</v>
      </c>
      <c r="N619" s="9">
        <f>IFERROR(VLOOKUP(B619,cubo!$A$6:$BK$37,41,0)-VLOOKUP(conciliacao_custos!B619,#REF!,18,0),0)</f>
        <v>0</v>
      </c>
      <c r="O619" s="9">
        <f>IFERROR(VLOOKUP(B619,cubo!$A$6:$BK$37,44,0)-VLOOKUP(conciliacao_custos!B619,#REF!,13,0),0)</f>
        <v>0</v>
      </c>
      <c r="P619" s="9">
        <f>IFERROR(VLOOKUP(B619,cubo!$A$6:$BK$37,47,0)-VLOOKUP(conciliacao_custos!B619,#REF!,14,0),0)</f>
        <v>0</v>
      </c>
      <c r="Q619" s="9">
        <f>IFERROR(VLOOKUP(B619,cubo!$A$6:$BK$37,58,0)-VLOOKUP(conciliacao_custos!B619,#REF!,16,0),0)</f>
        <v>0</v>
      </c>
      <c r="R619" s="9">
        <f>IFERROR(VLOOKUP(B619,cubo!$A$6:$BK$37,64,0)-VLOOKUP(conciliacao_custos!B619,#REF!,17,0),0)</f>
        <v>0</v>
      </c>
      <c r="S619" s="9">
        <f>IFERROR(VLOOKUP(B619,cubo!$A$6:$BK$37,61,0)-VLOOKUP(conciliacao_custos!B619,#REF!,15,0),0)</f>
        <v>0</v>
      </c>
    </row>
    <row r="620" spans="2:19" x14ac:dyDescent="0.25">
      <c r="B620" s="7">
        <f>[1]salario!A619</f>
        <v>0</v>
      </c>
      <c r="C620" s="8">
        <f>[1]salario!C619</f>
        <v>0</v>
      </c>
      <c r="D620" s="10">
        <f>IFERROR(VLOOKUP(B620,cubo!$A$6:$BE$37,6,0)-VLOOKUP(B620,#REF!,$D$2,0),0)</f>
        <v>0</v>
      </c>
      <c r="E620" s="10">
        <f>IFERROR(VLOOKUP(B620,cubo!$A$6:$BE$37,9,0)-VLOOKUP(B620,#REF!,$E$2,0),0)</f>
        <v>0</v>
      </c>
      <c r="F620" s="9">
        <f>IFERROR(VLOOKUP(B620,cubo!$A$6:$BE$37,12,0)-VLOOKUP(B620,#REF!,$F$2,0),0)</f>
        <v>0</v>
      </c>
      <c r="G620" s="9">
        <f>IFERROR(VLOOKUP(B620,cubo!$A$6:$BE$37,54,0)-VLOOKUP(B620,#REF!,$G$2,0),0)</f>
        <v>0</v>
      </c>
      <c r="H620" s="10">
        <f>IFERROR(VLOOKUP(B620,cubo!$A$6:$BE$37,15,0)-VLOOKUP(B620,#REF!,$H$2,0),0)</f>
        <v>0</v>
      </c>
      <c r="I620" s="9">
        <f>IFERROR(VLOOKUP(B620,cubo!$A$6:$BE$37,18,0)-VLOOKUP(B620,#REF!,$I$2,0),0)</f>
        <v>0</v>
      </c>
      <c r="J620" s="9">
        <f>IFERROR(VLOOKUP(B620,cubo!$A$6:$BE$37,24,0)-VLOOKUP(B620,#REF!,$J$2,0),0)</f>
        <v>0</v>
      </c>
      <c r="K620" s="9">
        <f>IFERROR(VLOOKUP(B620,cubo!$A$6:$BE$37,34,0)-VLOOKUP(B620,#REF!,$K$2,0),0)</f>
        <v>0</v>
      </c>
      <c r="L620" s="8">
        <f>IFERROR(VLOOKUP(B620,cubo!$A$6:$BE$37,38,0)-VLOOKUP(B620,#REF!,$L$2,0),0)</f>
        <v>0</v>
      </c>
      <c r="M620" s="15">
        <f>IFERROR(VLOOKUP(B620,cubo!$A$6:$BE$37,57,0)-VLOOKUP(B620,#REF!,$M$2,0),0)</f>
        <v>0</v>
      </c>
      <c r="N620" s="9">
        <f>IFERROR(VLOOKUP(B620,cubo!$A$6:$BK$37,41,0)-VLOOKUP(conciliacao_custos!B620,#REF!,18,0),0)</f>
        <v>0</v>
      </c>
      <c r="O620" s="9">
        <f>IFERROR(VLOOKUP(B620,cubo!$A$6:$BK$37,44,0)-VLOOKUP(conciliacao_custos!B620,#REF!,13,0),0)</f>
        <v>0</v>
      </c>
      <c r="P620" s="9">
        <f>IFERROR(VLOOKUP(B620,cubo!$A$6:$BK$37,47,0)-VLOOKUP(conciliacao_custos!B620,#REF!,14,0),0)</f>
        <v>0</v>
      </c>
      <c r="Q620" s="9">
        <f>IFERROR(VLOOKUP(B620,cubo!$A$6:$BK$37,58,0)-VLOOKUP(conciliacao_custos!B620,#REF!,16,0),0)</f>
        <v>0</v>
      </c>
      <c r="R620" s="9">
        <f>IFERROR(VLOOKUP(B620,cubo!$A$6:$BK$37,64,0)-VLOOKUP(conciliacao_custos!B620,#REF!,17,0),0)</f>
        <v>0</v>
      </c>
      <c r="S620" s="9">
        <f>IFERROR(VLOOKUP(B620,cubo!$A$6:$BK$37,61,0)-VLOOKUP(conciliacao_custos!B620,#REF!,15,0),0)</f>
        <v>0</v>
      </c>
    </row>
    <row r="621" spans="2:19" x14ac:dyDescent="0.25">
      <c r="B621" s="7">
        <f>[1]salario!A620</f>
        <v>0</v>
      </c>
      <c r="C621" s="8">
        <f>[1]salario!C620</f>
        <v>0</v>
      </c>
      <c r="D621" s="10">
        <f>IFERROR(VLOOKUP(B621,cubo!$A$6:$BE$37,6,0)-VLOOKUP(B621,#REF!,$D$2,0),0)</f>
        <v>0</v>
      </c>
      <c r="E621" s="10">
        <f>IFERROR(VLOOKUP(B621,cubo!$A$6:$BE$37,9,0)-VLOOKUP(B621,#REF!,$E$2,0),0)</f>
        <v>0</v>
      </c>
      <c r="F621" s="9">
        <f>IFERROR(VLOOKUP(B621,cubo!$A$6:$BE$37,12,0)-VLOOKUP(B621,#REF!,$F$2,0),0)</f>
        <v>0</v>
      </c>
      <c r="G621" s="9">
        <f>IFERROR(VLOOKUP(B621,cubo!$A$6:$BE$37,54,0)-VLOOKUP(B621,#REF!,$G$2,0),0)</f>
        <v>0</v>
      </c>
      <c r="H621" s="10">
        <f>IFERROR(VLOOKUP(B621,cubo!$A$6:$BE$37,15,0)-VLOOKUP(B621,#REF!,$H$2,0),0)</f>
        <v>0</v>
      </c>
      <c r="I621" s="9">
        <f>IFERROR(VLOOKUP(B621,cubo!$A$6:$BE$37,18,0)-VLOOKUP(B621,#REF!,$I$2,0),0)</f>
        <v>0</v>
      </c>
      <c r="J621" s="9">
        <f>IFERROR(VLOOKUP(B621,cubo!$A$6:$BE$37,24,0)-VLOOKUP(B621,#REF!,$J$2,0),0)</f>
        <v>0</v>
      </c>
      <c r="K621" s="9">
        <f>IFERROR(VLOOKUP(B621,cubo!$A$6:$BE$37,34,0)-VLOOKUP(B621,#REF!,$K$2,0),0)</f>
        <v>0</v>
      </c>
      <c r="L621" s="8">
        <f>IFERROR(VLOOKUP(B621,cubo!$A$6:$BE$37,38,0)-VLOOKUP(B621,#REF!,$L$2,0),0)</f>
        <v>0</v>
      </c>
      <c r="M621" s="15">
        <f>IFERROR(VLOOKUP(B621,cubo!$A$6:$BE$37,57,0)-VLOOKUP(B621,#REF!,$M$2,0),0)</f>
        <v>0</v>
      </c>
      <c r="N621" s="9">
        <f>IFERROR(VLOOKUP(B621,cubo!$A$6:$BK$37,41,0)-VLOOKUP(conciliacao_custos!B621,#REF!,18,0),0)</f>
        <v>0</v>
      </c>
      <c r="O621" s="9">
        <f>IFERROR(VLOOKUP(B621,cubo!$A$6:$BK$37,44,0)-VLOOKUP(conciliacao_custos!B621,#REF!,13,0),0)</f>
        <v>0</v>
      </c>
      <c r="P621" s="9">
        <f>IFERROR(VLOOKUP(B621,cubo!$A$6:$BK$37,47,0)-VLOOKUP(conciliacao_custos!B621,#REF!,14,0),0)</f>
        <v>0</v>
      </c>
      <c r="Q621" s="9">
        <f>IFERROR(VLOOKUP(B621,cubo!$A$6:$BK$37,58,0)-VLOOKUP(conciliacao_custos!B621,#REF!,16,0),0)</f>
        <v>0</v>
      </c>
      <c r="R621" s="9">
        <f>IFERROR(VLOOKUP(B621,cubo!$A$6:$BK$37,64,0)-VLOOKUP(conciliacao_custos!B621,#REF!,17,0),0)</f>
        <v>0</v>
      </c>
      <c r="S621" s="9">
        <f>IFERROR(VLOOKUP(B621,cubo!$A$6:$BK$37,61,0)-VLOOKUP(conciliacao_custos!B621,#REF!,15,0),0)</f>
        <v>0</v>
      </c>
    </row>
    <row r="622" spans="2:19" x14ac:dyDescent="0.25">
      <c r="B622" s="7">
        <f>[1]salario!A621</f>
        <v>0</v>
      </c>
      <c r="C622" s="8">
        <f>[1]salario!C621</f>
        <v>0</v>
      </c>
      <c r="D622" s="10">
        <f>IFERROR(VLOOKUP(B622,cubo!$A$6:$BE$37,6,0)-VLOOKUP(B622,#REF!,$D$2,0),0)</f>
        <v>0</v>
      </c>
      <c r="E622" s="10">
        <f>IFERROR(VLOOKUP(B622,cubo!$A$6:$BE$37,9,0)-VLOOKUP(B622,#REF!,$E$2,0),0)</f>
        <v>0</v>
      </c>
      <c r="F622" s="9">
        <f>IFERROR(VLOOKUP(B622,cubo!$A$6:$BE$37,12,0)-VLOOKUP(B622,#REF!,$F$2,0),0)</f>
        <v>0</v>
      </c>
      <c r="G622" s="9">
        <f>IFERROR(VLOOKUP(B622,cubo!$A$6:$BE$37,54,0)-VLOOKUP(B622,#REF!,$G$2,0),0)</f>
        <v>0</v>
      </c>
      <c r="H622" s="10">
        <f>IFERROR(VLOOKUP(B622,cubo!$A$6:$BE$37,15,0)-VLOOKUP(B622,#REF!,$H$2,0),0)</f>
        <v>0</v>
      </c>
      <c r="I622" s="9">
        <f>IFERROR(VLOOKUP(B622,cubo!$A$6:$BE$37,18,0)-VLOOKUP(B622,#REF!,$I$2,0),0)</f>
        <v>0</v>
      </c>
      <c r="J622" s="9">
        <f>IFERROR(VLOOKUP(B622,cubo!$A$6:$BE$37,24,0)-VLOOKUP(B622,#REF!,$J$2,0),0)</f>
        <v>0</v>
      </c>
      <c r="K622" s="9">
        <f>IFERROR(VLOOKUP(B622,cubo!$A$6:$BE$37,34,0)-VLOOKUP(B622,#REF!,$K$2,0),0)</f>
        <v>0</v>
      </c>
      <c r="L622" s="8">
        <f>IFERROR(VLOOKUP(B622,cubo!$A$6:$BE$37,38,0)-VLOOKUP(B622,#REF!,$L$2,0),0)</f>
        <v>0</v>
      </c>
      <c r="M622" s="15">
        <f>IFERROR(VLOOKUP(B622,cubo!$A$6:$BE$37,57,0)-VLOOKUP(B622,#REF!,$M$2,0),0)</f>
        <v>0</v>
      </c>
      <c r="N622" s="9">
        <f>IFERROR(VLOOKUP(B622,cubo!$A$6:$BK$37,41,0)-VLOOKUP(conciliacao_custos!B622,#REF!,18,0),0)</f>
        <v>0</v>
      </c>
      <c r="O622" s="9">
        <f>IFERROR(VLOOKUP(B622,cubo!$A$6:$BK$37,44,0)-VLOOKUP(conciliacao_custos!B622,#REF!,13,0),0)</f>
        <v>0</v>
      </c>
      <c r="P622" s="9">
        <f>IFERROR(VLOOKUP(B622,cubo!$A$6:$BK$37,47,0)-VLOOKUP(conciliacao_custos!B622,#REF!,14,0),0)</f>
        <v>0</v>
      </c>
      <c r="Q622" s="9">
        <f>IFERROR(VLOOKUP(B622,cubo!$A$6:$BK$37,58,0)-VLOOKUP(conciliacao_custos!B622,#REF!,16,0),0)</f>
        <v>0</v>
      </c>
      <c r="R622" s="9">
        <f>IFERROR(VLOOKUP(B622,cubo!$A$6:$BK$37,64,0)-VLOOKUP(conciliacao_custos!B622,#REF!,17,0),0)</f>
        <v>0</v>
      </c>
      <c r="S622" s="9">
        <f>IFERROR(VLOOKUP(B622,cubo!$A$6:$BK$37,61,0)-VLOOKUP(conciliacao_custos!B622,#REF!,15,0),0)</f>
        <v>0</v>
      </c>
    </row>
    <row r="623" spans="2:19" x14ac:dyDescent="0.25">
      <c r="B623" s="7">
        <f>[1]salario!A622</f>
        <v>0</v>
      </c>
      <c r="C623" s="8">
        <f>[1]salario!C622</f>
        <v>0</v>
      </c>
      <c r="D623" s="10">
        <f>IFERROR(VLOOKUP(B623,cubo!$A$6:$BE$37,6,0)-VLOOKUP(B623,#REF!,$D$2,0),0)</f>
        <v>0</v>
      </c>
      <c r="E623" s="10">
        <f>IFERROR(VLOOKUP(B623,cubo!$A$6:$BE$37,9,0)-VLOOKUP(B623,#REF!,$E$2,0),0)</f>
        <v>0</v>
      </c>
      <c r="F623" s="9">
        <f>IFERROR(VLOOKUP(B623,cubo!$A$6:$BE$37,12,0)-VLOOKUP(B623,#REF!,$F$2,0),0)</f>
        <v>0</v>
      </c>
      <c r="G623" s="9">
        <f>IFERROR(VLOOKUP(B623,cubo!$A$6:$BE$37,54,0)-VLOOKUP(B623,#REF!,$G$2,0),0)</f>
        <v>0</v>
      </c>
      <c r="H623" s="10">
        <f>IFERROR(VLOOKUP(B623,cubo!$A$6:$BE$37,15,0)-VLOOKUP(B623,#REF!,$H$2,0),0)</f>
        <v>0</v>
      </c>
      <c r="I623" s="9">
        <f>IFERROR(VLOOKUP(B623,cubo!$A$6:$BE$37,18,0)-VLOOKUP(B623,#REF!,$I$2,0),0)</f>
        <v>0</v>
      </c>
      <c r="J623" s="9">
        <f>IFERROR(VLOOKUP(B623,cubo!$A$6:$BE$37,24,0)-VLOOKUP(B623,#REF!,$J$2,0),0)</f>
        <v>0</v>
      </c>
      <c r="K623" s="9">
        <f>IFERROR(VLOOKUP(B623,cubo!$A$6:$BE$37,34,0)-VLOOKUP(B623,#REF!,$K$2,0),0)</f>
        <v>0</v>
      </c>
      <c r="L623" s="8">
        <f>IFERROR(VLOOKUP(B623,cubo!$A$6:$BE$37,38,0)-VLOOKUP(B623,#REF!,$L$2,0),0)</f>
        <v>0</v>
      </c>
      <c r="M623" s="15">
        <f>IFERROR(VLOOKUP(B623,cubo!$A$6:$BE$37,57,0)-VLOOKUP(B623,#REF!,$M$2,0),0)</f>
        <v>0</v>
      </c>
      <c r="N623" s="9">
        <f>IFERROR(VLOOKUP(B623,cubo!$A$6:$BK$37,41,0)-VLOOKUP(conciliacao_custos!B623,#REF!,18,0),0)</f>
        <v>0</v>
      </c>
      <c r="O623" s="9">
        <f>IFERROR(VLOOKUP(B623,cubo!$A$6:$BK$37,44,0)-VLOOKUP(conciliacao_custos!B623,#REF!,13,0),0)</f>
        <v>0</v>
      </c>
      <c r="P623" s="9">
        <f>IFERROR(VLOOKUP(B623,cubo!$A$6:$BK$37,47,0)-VLOOKUP(conciliacao_custos!B623,#REF!,14,0),0)</f>
        <v>0</v>
      </c>
      <c r="Q623" s="9">
        <f>IFERROR(VLOOKUP(B623,cubo!$A$6:$BK$37,58,0)-VLOOKUP(conciliacao_custos!B623,#REF!,16,0),0)</f>
        <v>0</v>
      </c>
      <c r="R623" s="9">
        <f>IFERROR(VLOOKUP(B623,cubo!$A$6:$BK$37,64,0)-VLOOKUP(conciliacao_custos!B623,#REF!,17,0),0)</f>
        <v>0</v>
      </c>
      <c r="S623" s="9">
        <f>IFERROR(VLOOKUP(B623,cubo!$A$6:$BK$37,61,0)-VLOOKUP(conciliacao_custos!B623,#REF!,15,0),0)</f>
        <v>0</v>
      </c>
    </row>
    <row r="624" spans="2:19" x14ac:dyDescent="0.25">
      <c r="B624" s="7">
        <f>[1]salario!A623</f>
        <v>0</v>
      </c>
      <c r="C624" s="8">
        <f>[1]salario!C623</f>
        <v>0</v>
      </c>
      <c r="D624" s="10">
        <f>IFERROR(VLOOKUP(B624,cubo!$A$6:$BE$37,6,0)-VLOOKUP(B624,#REF!,$D$2,0),0)</f>
        <v>0</v>
      </c>
      <c r="E624" s="10">
        <f>IFERROR(VLOOKUP(B624,cubo!$A$6:$BE$37,9,0)-VLOOKUP(B624,#REF!,$E$2,0),0)</f>
        <v>0</v>
      </c>
      <c r="F624" s="9">
        <f>IFERROR(VLOOKUP(B624,cubo!$A$6:$BE$37,12,0)-VLOOKUP(B624,#REF!,$F$2,0),0)</f>
        <v>0</v>
      </c>
      <c r="G624" s="9">
        <f>IFERROR(VLOOKUP(B624,cubo!$A$6:$BE$37,54,0)-VLOOKUP(B624,#REF!,$G$2,0),0)</f>
        <v>0</v>
      </c>
      <c r="H624" s="10">
        <f>IFERROR(VLOOKUP(B624,cubo!$A$6:$BE$37,15,0)-VLOOKUP(B624,#REF!,$H$2,0),0)</f>
        <v>0</v>
      </c>
      <c r="I624" s="9">
        <f>IFERROR(VLOOKUP(B624,cubo!$A$6:$BE$37,18,0)-VLOOKUP(B624,#REF!,$I$2,0),0)</f>
        <v>0</v>
      </c>
      <c r="J624" s="9">
        <f>IFERROR(VLOOKUP(B624,cubo!$A$6:$BE$37,24,0)-VLOOKUP(B624,#REF!,$J$2,0),0)</f>
        <v>0</v>
      </c>
      <c r="K624" s="9">
        <f>IFERROR(VLOOKUP(B624,cubo!$A$6:$BE$37,34,0)-VLOOKUP(B624,#REF!,$K$2,0),0)</f>
        <v>0</v>
      </c>
      <c r="L624" s="8">
        <f>IFERROR(VLOOKUP(B624,cubo!$A$6:$BE$37,38,0)-VLOOKUP(B624,#REF!,$L$2,0),0)</f>
        <v>0</v>
      </c>
      <c r="M624" s="15">
        <f>IFERROR(VLOOKUP(B624,cubo!$A$6:$BE$37,57,0)-VLOOKUP(B624,#REF!,$M$2,0),0)</f>
        <v>0</v>
      </c>
      <c r="N624" s="9">
        <f>IFERROR(VLOOKUP(B624,cubo!$A$6:$BK$37,41,0)-VLOOKUP(conciliacao_custos!B624,#REF!,18,0),0)</f>
        <v>0</v>
      </c>
      <c r="O624" s="9">
        <f>IFERROR(VLOOKUP(B624,cubo!$A$6:$BK$37,44,0)-VLOOKUP(conciliacao_custos!B624,#REF!,13,0),0)</f>
        <v>0</v>
      </c>
      <c r="P624" s="9">
        <f>IFERROR(VLOOKUP(B624,cubo!$A$6:$BK$37,47,0)-VLOOKUP(conciliacao_custos!B624,#REF!,14,0),0)</f>
        <v>0</v>
      </c>
      <c r="Q624" s="9">
        <f>IFERROR(VLOOKUP(B624,cubo!$A$6:$BK$37,58,0)-VLOOKUP(conciliacao_custos!B624,#REF!,16,0),0)</f>
        <v>0</v>
      </c>
      <c r="R624" s="9">
        <f>IFERROR(VLOOKUP(B624,cubo!$A$6:$BK$37,64,0)-VLOOKUP(conciliacao_custos!B624,#REF!,17,0),0)</f>
        <v>0</v>
      </c>
      <c r="S624" s="9">
        <f>IFERROR(VLOOKUP(B624,cubo!$A$6:$BK$37,61,0)-VLOOKUP(conciliacao_custos!B624,#REF!,15,0),0)</f>
        <v>0</v>
      </c>
    </row>
    <row r="625" spans="2:19" x14ac:dyDescent="0.25">
      <c r="B625" s="7">
        <f>[1]salario!A624</f>
        <v>0</v>
      </c>
      <c r="C625" s="8">
        <f>[1]salario!C624</f>
        <v>0</v>
      </c>
      <c r="D625" s="10">
        <f>IFERROR(VLOOKUP(B625,cubo!$A$6:$BE$37,6,0)-VLOOKUP(B625,#REF!,$D$2,0),0)</f>
        <v>0</v>
      </c>
      <c r="E625" s="10">
        <f>IFERROR(VLOOKUP(B625,cubo!$A$6:$BE$37,9,0)-VLOOKUP(B625,#REF!,$E$2,0),0)</f>
        <v>0</v>
      </c>
      <c r="F625" s="9">
        <f>IFERROR(VLOOKUP(B625,cubo!$A$6:$BE$37,12,0)-VLOOKUP(B625,#REF!,$F$2,0),0)</f>
        <v>0</v>
      </c>
      <c r="G625" s="9">
        <f>IFERROR(VLOOKUP(B625,cubo!$A$6:$BE$37,54,0)-VLOOKUP(B625,#REF!,$G$2,0),0)</f>
        <v>0</v>
      </c>
      <c r="H625" s="10">
        <f>IFERROR(VLOOKUP(B625,cubo!$A$6:$BE$37,15,0)-VLOOKUP(B625,#REF!,$H$2,0),0)</f>
        <v>0</v>
      </c>
      <c r="I625" s="9">
        <f>IFERROR(VLOOKUP(B625,cubo!$A$6:$BE$37,18,0)-VLOOKUP(B625,#REF!,$I$2,0),0)</f>
        <v>0</v>
      </c>
      <c r="J625" s="9">
        <f>IFERROR(VLOOKUP(B625,cubo!$A$6:$BE$37,24,0)-VLOOKUP(B625,#REF!,$J$2,0),0)</f>
        <v>0</v>
      </c>
      <c r="K625" s="9">
        <f>IFERROR(VLOOKUP(B625,cubo!$A$6:$BE$37,34,0)-VLOOKUP(B625,#REF!,$K$2,0),0)</f>
        <v>0</v>
      </c>
      <c r="L625" s="8">
        <f>IFERROR(VLOOKUP(B625,cubo!$A$6:$BE$37,38,0)-VLOOKUP(B625,#REF!,$L$2,0),0)</f>
        <v>0</v>
      </c>
      <c r="M625" s="15">
        <f>IFERROR(VLOOKUP(B625,cubo!$A$6:$BE$37,57,0)-VLOOKUP(B625,#REF!,$M$2,0),0)</f>
        <v>0</v>
      </c>
      <c r="N625" s="9">
        <f>IFERROR(VLOOKUP(B625,cubo!$A$6:$BK$37,41,0)-VLOOKUP(conciliacao_custos!B625,#REF!,18,0),0)</f>
        <v>0</v>
      </c>
      <c r="O625" s="9">
        <f>IFERROR(VLOOKUP(B625,cubo!$A$6:$BK$37,44,0)-VLOOKUP(conciliacao_custos!B625,#REF!,13,0),0)</f>
        <v>0</v>
      </c>
      <c r="P625" s="9">
        <f>IFERROR(VLOOKUP(B625,cubo!$A$6:$BK$37,47,0)-VLOOKUP(conciliacao_custos!B625,#REF!,14,0),0)</f>
        <v>0</v>
      </c>
      <c r="Q625" s="9">
        <f>IFERROR(VLOOKUP(B625,cubo!$A$6:$BK$37,58,0)-VLOOKUP(conciliacao_custos!B625,#REF!,16,0),0)</f>
        <v>0</v>
      </c>
      <c r="R625" s="9">
        <f>IFERROR(VLOOKUP(B625,cubo!$A$6:$BK$37,64,0)-VLOOKUP(conciliacao_custos!B625,#REF!,17,0),0)</f>
        <v>0</v>
      </c>
      <c r="S625" s="9">
        <f>IFERROR(VLOOKUP(B625,cubo!$A$6:$BK$37,61,0)-VLOOKUP(conciliacao_custos!B625,#REF!,15,0),0)</f>
        <v>0</v>
      </c>
    </row>
    <row r="626" spans="2:19" x14ac:dyDescent="0.25">
      <c r="B626" s="7">
        <f>[1]salario!A625</f>
        <v>0</v>
      </c>
      <c r="C626" s="8">
        <f>[1]salario!C625</f>
        <v>0</v>
      </c>
      <c r="D626" s="10">
        <f>IFERROR(VLOOKUP(B626,cubo!$A$6:$BE$37,6,0)-VLOOKUP(B626,#REF!,$D$2,0),0)</f>
        <v>0</v>
      </c>
      <c r="E626" s="10">
        <f>IFERROR(VLOOKUP(B626,cubo!$A$6:$BE$37,9,0)-VLOOKUP(B626,#REF!,$E$2,0),0)</f>
        <v>0</v>
      </c>
      <c r="F626" s="9">
        <f>IFERROR(VLOOKUP(B626,cubo!$A$6:$BE$37,12,0)-VLOOKUP(B626,#REF!,$F$2,0),0)</f>
        <v>0</v>
      </c>
      <c r="G626" s="9">
        <f>IFERROR(VLOOKUP(B626,cubo!$A$6:$BE$37,54,0)-VLOOKUP(B626,#REF!,$G$2,0),0)</f>
        <v>0</v>
      </c>
      <c r="H626" s="10">
        <f>IFERROR(VLOOKUP(B626,cubo!$A$6:$BE$37,15,0)-VLOOKUP(B626,#REF!,$H$2,0),0)</f>
        <v>0</v>
      </c>
      <c r="I626" s="9">
        <f>IFERROR(VLOOKUP(B626,cubo!$A$6:$BE$37,18,0)-VLOOKUP(B626,#REF!,$I$2,0),0)</f>
        <v>0</v>
      </c>
      <c r="J626" s="9">
        <f>IFERROR(VLOOKUP(B626,cubo!$A$6:$BE$37,24,0)-VLOOKUP(B626,#REF!,$J$2,0),0)</f>
        <v>0</v>
      </c>
      <c r="K626" s="9">
        <f>IFERROR(VLOOKUP(B626,cubo!$A$6:$BE$37,34,0)-VLOOKUP(B626,#REF!,$K$2,0),0)</f>
        <v>0</v>
      </c>
      <c r="L626" s="8">
        <f>IFERROR(VLOOKUP(B626,cubo!$A$6:$BE$37,38,0)-VLOOKUP(B626,#REF!,$L$2,0),0)</f>
        <v>0</v>
      </c>
      <c r="M626" s="15">
        <f>IFERROR(VLOOKUP(B626,cubo!$A$6:$BE$37,57,0)-VLOOKUP(B626,#REF!,$M$2,0),0)</f>
        <v>0</v>
      </c>
      <c r="N626" s="9">
        <f>IFERROR(VLOOKUP(B626,cubo!$A$6:$BK$37,41,0)-VLOOKUP(conciliacao_custos!B626,#REF!,18,0),0)</f>
        <v>0</v>
      </c>
      <c r="O626" s="9">
        <f>IFERROR(VLOOKUP(B626,cubo!$A$6:$BK$37,44,0)-VLOOKUP(conciliacao_custos!B626,#REF!,13,0),0)</f>
        <v>0</v>
      </c>
      <c r="P626" s="9">
        <f>IFERROR(VLOOKUP(B626,cubo!$A$6:$BK$37,47,0)-VLOOKUP(conciliacao_custos!B626,#REF!,14,0),0)</f>
        <v>0</v>
      </c>
      <c r="Q626" s="9">
        <f>IFERROR(VLOOKUP(B626,cubo!$A$6:$BK$37,58,0)-VLOOKUP(conciliacao_custos!B626,#REF!,16,0),0)</f>
        <v>0</v>
      </c>
      <c r="R626" s="9">
        <f>IFERROR(VLOOKUP(B626,cubo!$A$6:$BK$37,64,0)-VLOOKUP(conciliacao_custos!B626,#REF!,17,0),0)</f>
        <v>0</v>
      </c>
      <c r="S626" s="9">
        <f>IFERROR(VLOOKUP(B626,cubo!$A$6:$BK$37,61,0)-VLOOKUP(conciliacao_custos!B626,#REF!,15,0),0)</f>
        <v>0</v>
      </c>
    </row>
    <row r="627" spans="2:19" x14ac:dyDescent="0.25">
      <c r="B627" s="7">
        <f>[1]salario!A626</f>
        <v>0</v>
      </c>
      <c r="C627" s="8">
        <f>[1]salario!C626</f>
        <v>0</v>
      </c>
      <c r="D627" s="10">
        <f>IFERROR(VLOOKUP(B627,cubo!$A$6:$BE$37,6,0)-VLOOKUP(B627,#REF!,$D$2,0),0)</f>
        <v>0</v>
      </c>
      <c r="E627" s="10">
        <f>IFERROR(VLOOKUP(B627,cubo!$A$6:$BE$37,9,0)-VLOOKUP(B627,#REF!,$E$2,0),0)</f>
        <v>0</v>
      </c>
      <c r="F627" s="9">
        <f>IFERROR(VLOOKUP(B627,cubo!$A$6:$BE$37,12,0)-VLOOKUP(B627,#REF!,$F$2,0),0)</f>
        <v>0</v>
      </c>
      <c r="G627" s="9">
        <f>IFERROR(VLOOKUP(B627,cubo!$A$6:$BE$37,54,0)-VLOOKUP(B627,#REF!,$G$2,0),0)</f>
        <v>0</v>
      </c>
      <c r="H627" s="10">
        <f>IFERROR(VLOOKUP(B627,cubo!$A$6:$BE$37,15,0)-VLOOKUP(B627,#REF!,$H$2,0),0)</f>
        <v>0</v>
      </c>
      <c r="I627" s="9">
        <f>IFERROR(VLOOKUP(B627,cubo!$A$6:$BE$37,18,0)-VLOOKUP(B627,#REF!,$I$2,0),0)</f>
        <v>0</v>
      </c>
      <c r="J627" s="9">
        <f>IFERROR(VLOOKUP(B627,cubo!$A$6:$BE$37,24,0)-VLOOKUP(B627,#REF!,$J$2,0),0)</f>
        <v>0</v>
      </c>
      <c r="K627" s="9">
        <f>IFERROR(VLOOKUP(B627,cubo!$A$6:$BE$37,34,0)-VLOOKUP(B627,#REF!,$K$2,0),0)</f>
        <v>0</v>
      </c>
      <c r="L627" s="8">
        <f>IFERROR(VLOOKUP(B627,cubo!$A$6:$BE$37,38,0)-VLOOKUP(B627,#REF!,$L$2,0),0)</f>
        <v>0</v>
      </c>
      <c r="M627" s="15">
        <f>IFERROR(VLOOKUP(B627,cubo!$A$6:$BE$37,57,0)-VLOOKUP(B627,#REF!,$M$2,0),0)</f>
        <v>0</v>
      </c>
      <c r="N627" s="9">
        <f>IFERROR(VLOOKUP(B627,cubo!$A$6:$BK$37,41,0)-VLOOKUP(conciliacao_custos!B627,#REF!,18,0),0)</f>
        <v>0</v>
      </c>
      <c r="O627" s="9">
        <f>IFERROR(VLOOKUP(B627,cubo!$A$6:$BK$37,44,0)-VLOOKUP(conciliacao_custos!B627,#REF!,13,0),0)</f>
        <v>0</v>
      </c>
      <c r="P627" s="9">
        <f>IFERROR(VLOOKUP(B627,cubo!$A$6:$BK$37,47,0)-VLOOKUP(conciliacao_custos!B627,#REF!,14,0),0)</f>
        <v>0</v>
      </c>
      <c r="Q627" s="9">
        <f>IFERROR(VLOOKUP(B627,cubo!$A$6:$BK$37,58,0)-VLOOKUP(conciliacao_custos!B627,#REF!,16,0),0)</f>
        <v>0</v>
      </c>
      <c r="R627" s="9">
        <f>IFERROR(VLOOKUP(B627,cubo!$A$6:$BK$37,64,0)-VLOOKUP(conciliacao_custos!B627,#REF!,17,0),0)</f>
        <v>0</v>
      </c>
      <c r="S627" s="9">
        <f>IFERROR(VLOOKUP(B627,cubo!$A$6:$BK$37,61,0)-VLOOKUP(conciliacao_custos!B627,#REF!,15,0),0)</f>
        <v>0</v>
      </c>
    </row>
    <row r="628" spans="2:19" x14ac:dyDescent="0.25">
      <c r="B628" s="7">
        <f>[1]salario!A627</f>
        <v>0</v>
      </c>
      <c r="C628" s="8">
        <f>[1]salario!C627</f>
        <v>0</v>
      </c>
      <c r="D628" s="10">
        <f>IFERROR(VLOOKUP(B628,cubo!$A$6:$BE$37,6,0)-VLOOKUP(B628,#REF!,$D$2,0),0)</f>
        <v>0</v>
      </c>
      <c r="E628" s="10">
        <f>IFERROR(VLOOKUP(B628,cubo!$A$6:$BE$37,9,0)-VLOOKUP(B628,#REF!,$E$2,0),0)</f>
        <v>0</v>
      </c>
      <c r="F628" s="9">
        <f>IFERROR(VLOOKUP(B628,cubo!$A$6:$BE$37,12,0)-VLOOKUP(B628,#REF!,$F$2,0),0)</f>
        <v>0</v>
      </c>
      <c r="G628" s="9">
        <f>IFERROR(VLOOKUP(B628,cubo!$A$6:$BE$37,54,0)-VLOOKUP(B628,#REF!,$G$2,0),0)</f>
        <v>0</v>
      </c>
      <c r="H628" s="10">
        <f>IFERROR(VLOOKUP(B628,cubo!$A$6:$BE$37,15,0)-VLOOKUP(B628,#REF!,$H$2,0),0)</f>
        <v>0</v>
      </c>
      <c r="I628" s="9">
        <f>IFERROR(VLOOKUP(B628,cubo!$A$6:$BE$37,18,0)-VLOOKUP(B628,#REF!,$I$2,0),0)</f>
        <v>0</v>
      </c>
      <c r="J628" s="9">
        <f>IFERROR(VLOOKUP(B628,cubo!$A$6:$BE$37,24,0)-VLOOKUP(B628,#REF!,$J$2,0),0)</f>
        <v>0</v>
      </c>
      <c r="K628" s="9">
        <f>IFERROR(VLOOKUP(B628,cubo!$A$6:$BE$37,34,0)-VLOOKUP(B628,#REF!,$K$2,0),0)</f>
        <v>0</v>
      </c>
      <c r="L628" s="8">
        <f>IFERROR(VLOOKUP(B628,cubo!$A$6:$BE$37,38,0)-VLOOKUP(B628,#REF!,$L$2,0),0)</f>
        <v>0</v>
      </c>
      <c r="M628" s="15">
        <f>IFERROR(VLOOKUP(B628,cubo!$A$6:$BE$37,57,0)-VLOOKUP(B628,#REF!,$M$2,0),0)</f>
        <v>0</v>
      </c>
      <c r="N628" s="9">
        <f>IFERROR(VLOOKUP(B628,cubo!$A$6:$BK$37,41,0)-VLOOKUP(conciliacao_custos!B628,#REF!,18,0),0)</f>
        <v>0</v>
      </c>
      <c r="O628" s="9">
        <f>IFERROR(VLOOKUP(B628,cubo!$A$6:$BK$37,44,0)-VLOOKUP(conciliacao_custos!B628,#REF!,13,0),0)</f>
        <v>0</v>
      </c>
      <c r="P628" s="9">
        <f>IFERROR(VLOOKUP(B628,cubo!$A$6:$BK$37,47,0)-VLOOKUP(conciliacao_custos!B628,#REF!,14,0),0)</f>
        <v>0</v>
      </c>
      <c r="Q628" s="9">
        <f>IFERROR(VLOOKUP(B628,cubo!$A$6:$BK$37,58,0)-VLOOKUP(conciliacao_custos!B628,#REF!,16,0),0)</f>
        <v>0</v>
      </c>
      <c r="R628" s="9">
        <f>IFERROR(VLOOKUP(B628,cubo!$A$6:$BK$37,64,0)-VLOOKUP(conciliacao_custos!B628,#REF!,17,0),0)</f>
        <v>0</v>
      </c>
      <c r="S628" s="9">
        <f>IFERROR(VLOOKUP(B628,cubo!$A$6:$BK$37,61,0)-VLOOKUP(conciliacao_custos!B628,#REF!,15,0),0)</f>
        <v>0</v>
      </c>
    </row>
    <row r="629" spans="2:19" x14ac:dyDescent="0.25">
      <c r="B629" s="7">
        <f>[1]salario!A628</f>
        <v>0</v>
      </c>
      <c r="C629" s="8">
        <f>[1]salario!C628</f>
        <v>0</v>
      </c>
      <c r="D629" s="10">
        <f>IFERROR(VLOOKUP(B629,cubo!$A$6:$BE$37,6,0)-VLOOKUP(B629,#REF!,$D$2,0),0)</f>
        <v>0</v>
      </c>
      <c r="E629" s="10">
        <f>IFERROR(VLOOKUP(B629,cubo!$A$6:$BE$37,9,0)-VLOOKUP(B629,#REF!,$E$2,0),0)</f>
        <v>0</v>
      </c>
      <c r="F629" s="9">
        <f>IFERROR(VLOOKUP(B629,cubo!$A$6:$BE$37,12,0)-VLOOKUP(B629,#REF!,$F$2,0),0)</f>
        <v>0</v>
      </c>
      <c r="G629" s="9">
        <f>IFERROR(VLOOKUP(B629,cubo!$A$6:$BE$37,54,0)-VLOOKUP(B629,#REF!,$G$2,0),0)</f>
        <v>0</v>
      </c>
      <c r="H629" s="10">
        <f>IFERROR(VLOOKUP(B629,cubo!$A$6:$BE$37,15,0)-VLOOKUP(B629,#REF!,$H$2,0),0)</f>
        <v>0</v>
      </c>
      <c r="I629" s="9">
        <f>IFERROR(VLOOKUP(B629,cubo!$A$6:$BE$37,18,0)-VLOOKUP(B629,#REF!,$I$2,0),0)</f>
        <v>0</v>
      </c>
      <c r="J629" s="9">
        <f>IFERROR(VLOOKUP(B629,cubo!$A$6:$BE$37,24,0)-VLOOKUP(B629,#REF!,$J$2,0),0)</f>
        <v>0</v>
      </c>
      <c r="K629" s="9">
        <f>IFERROR(VLOOKUP(B629,cubo!$A$6:$BE$37,34,0)-VLOOKUP(B629,#REF!,$K$2,0),0)</f>
        <v>0</v>
      </c>
      <c r="L629" s="8">
        <f>IFERROR(VLOOKUP(B629,cubo!$A$6:$BE$37,38,0)-VLOOKUP(B629,#REF!,$L$2,0),0)</f>
        <v>0</v>
      </c>
      <c r="M629" s="15">
        <f>IFERROR(VLOOKUP(B629,cubo!$A$6:$BE$37,57,0)-VLOOKUP(B629,#REF!,$M$2,0),0)</f>
        <v>0</v>
      </c>
      <c r="N629" s="9">
        <f>IFERROR(VLOOKUP(B629,cubo!$A$6:$BK$37,41,0)-VLOOKUP(conciliacao_custos!B629,#REF!,18,0),0)</f>
        <v>0</v>
      </c>
      <c r="O629" s="9">
        <f>IFERROR(VLOOKUP(B629,cubo!$A$6:$BK$37,44,0)-VLOOKUP(conciliacao_custos!B629,#REF!,13,0),0)</f>
        <v>0</v>
      </c>
      <c r="P629" s="9">
        <f>IFERROR(VLOOKUP(B629,cubo!$A$6:$BK$37,47,0)-VLOOKUP(conciliacao_custos!B629,#REF!,14,0),0)</f>
        <v>0</v>
      </c>
      <c r="Q629" s="9">
        <f>IFERROR(VLOOKUP(B629,cubo!$A$6:$BK$37,58,0)-VLOOKUP(conciliacao_custos!B629,#REF!,16,0),0)</f>
        <v>0</v>
      </c>
      <c r="R629" s="9">
        <f>IFERROR(VLOOKUP(B629,cubo!$A$6:$BK$37,64,0)-VLOOKUP(conciliacao_custos!B629,#REF!,17,0),0)</f>
        <v>0</v>
      </c>
      <c r="S629" s="9">
        <f>IFERROR(VLOOKUP(B629,cubo!$A$6:$BK$37,61,0)-VLOOKUP(conciliacao_custos!B629,#REF!,15,0),0)</f>
        <v>0</v>
      </c>
    </row>
    <row r="630" spans="2:19" x14ac:dyDescent="0.25">
      <c r="B630" s="7">
        <f>[1]salario!A629</f>
        <v>0</v>
      </c>
      <c r="C630" s="8">
        <f>[1]salario!C629</f>
        <v>0</v>
      </c>
      <c r="D630" s="10">
        <f>IFERROR(VLOOKUP(B630,cubo!$A$6:$BE$37,6,0)-VLOOKUP(B630,#REF!,$D$2,0),0)</f>
        <v>0</v>
      </c>
      <c r="E630" s="10">
        <f>IFERROR(VLOOKUP(B630,cubo!$A$6:$BE$37,9,0)-VLOOKUP(B630,#REF!,$E$2,0),0)</f>
        <v>0</v>
      </c>
      <c r="F630" s="9">
        <f>IFERROR(VLOOKUP(B630,cubo!$A$6:$BE$37,12,0)-VLOOKUP(B630,#REF!,$F$2,0),0)</f>
        <v>0</v>
      </c>
      <c r="G630" s="9">
        <f>IFERROR(VLOOKUP(B630,cubo!$A$6:$BE$37,54,0)-VLOOKUP(B630,#REF!,$G$2,0),0)</f>
        <v>0</v>
      </c>
      <c r="H630" s="10">
        <f>IFERROR(VLOOKUP(B630,cubo!$A$6:$BE$37,15,0)-VLOOKUP(B630,#REF!,$H$2,0),0)</f>
        <v>0</v>
      </c>
      <c r="I630" s="9">
        <f>IFERROR(VLOOKUP(B630,cubo!$A$6:$BE$37,18,0)-VLOOKUP(B630,#REF!,$I$2,0),0)</f>
        <v>0</v>
      </c>
      <c r="J630" s="9">
        <f>IFERROR(VLOOKUP(B630,cubo!$A$6:$BE$37,24,0)-VLOOKUP(B630,#REF!,$J$2,0),0)</f>
        <v>0</v>
      </c>
      <c r="K630" s="9">
        <f>IFERROR(VLOOKUP(B630,cubo!$A$6:$BE$37,34,0)-VLOOKUP(B630,#REF!,$K$2,0),0)</f>
        <v>0</v>
      </c>
      <c r="L630" s="8">
        <f>IFERROR(VLOOKUP(B630,cubo!$A$6:$BE$37,38,0)-VLOOKUP(B630,#REF!,$L$2,0),0)</f>
        <v>0</v>
      </c>
      <c r="M630" s="15">
        <f>IFERROR(VLOOKUP(B630,cubo!$A$6:$BE$37,57,0)-VLOOKUP(B630,#REF!,$M$2,0),0)</f>
        <v>0</v>
      </c>
      <c r="N630" s="9">
        <f>IFERROR(VLOOKUP(B630,cubo!$A$6:$BK$37,41,0)-VLOOKUP(conciliacao_custos!B630,#REF!,18,0),0)</f>
        <v>0</v>
      </c>
      <c r="O630" s="9">
        <f>IFERROR(VLOOKUP(B630,cubo!$A$6:$BK$37,44,0)-VLOOKUP(conciliacao_custos!B630,#REF!,13,0),0)</f>
        <v>0</v>
      </c>
      <c r="P630" s="9">
        <f>IFERROR(VLOOKUP(B630,cubo!$A$6:$BK$37,47,0)-VLOOKUP(conciliacao_custos!B630,#REF!,14,0),0)</f>
        <v>0</v>
      </c>
      <c r="Q630" s="9">
        <f>IFERROR(VLOOKUP(B630,cubo!$A$6:$BK$37,58,0)-VLOOKUP(conciliacao_custos!B630,#REF!,16,0),0)</f>
        <v>0</v>
      </c>
      <c r="R630" s="9">
        <f>IFERROR(VLOOKUP(B630,cubo!$A$6:$BK$37,64,0)-VLOOKUP(conciliacao_custos!B630,#REF!,17,0),0)</f>
        <v>0</v>
      </c>
      <c r="S630" s="9">
        <f>IFERROR(VLOOKUP(B630,cubo!$A$6:$BK$37,61,0)-VLOOKUP(conciliacao_custos!B630,#REF!,15,0),0)</f>
        <v>0</v>
      </c>
    </row>
    <row r="631" spans="2:19" x14ac:dyDescent="0.25">
      <c r="B631" s="7">
        <f>[1]salario!A630</f>
        <v>0</v>
      </c>
      <c r="C631" s="8">
        <f>[1]salario!C630</f>
        <v>0</v>
      </c>
      <c r="D631" s="10">
        <f>IFERROR(VLOOKUP(B631,cubo!$A$6:$BE$37,6,0)-VLOOKUP(B631,#REF!,$D$2,0),0)</f>
        <v>0</v>
      </c>
      <c r="E631" s="10">
        <f>IFERROR(VLOOKUP(B631,cubo!$A$6:$BE$37,9,0)-VLOOKUP(B631,#REF!,$E$2,0),0)</f>
        <v>0</v>
      </c>
      <c r="F631" s="9">
        <f>IFERROR(VLOOKUP(B631,cubo!$A$6:$BE$37,12,0)-VLOOKUP(B631,#REF!,$F$2,0),0)</f>
        <v>0</v>
      </c>
      <c r="G631" s="9">
        <f>IFERROR(VLOOKUP(B631,cubo!$A$6:$BE$37,54,0)-VLOOKUP(B631,#REF!,$G$2,0),0)</f>
        <v>0</v>
      </c>
      <c r="H631" s="10">
        <f>IFERROR(VLOOKUP(B631,cubo!$A$6:$BE$37,15,0)-VLOOKUP(B631,#REF!,$H$2,0),0)</f>
        <v>0</v>
      </c>
      <c r="I631" s="9">
        <f>IFERROR(VLOOKUP(B631,cubo!$A$6:$BE$37,18,0)-VLOOKUP(B631,#REF!,$I$2,0),0)</f>
        <v>0</v>
      </c>
      <c r="J631" s="9">
        <f>IFERROR(VLOOKUP(B631,cubo!$A$6:$BE$37,24,0)-VLOOKUP(B631,#REF!,$J$2,0),0)</f>
        <v>0</v>
      </c>
      <c r="K631" s="9">
        <f>IFERROR(VLOOKUP(B631,cubo!$A$6:$BE$37,34,0)-VLOOKUP(B631,#REF!,$K$2,0),0)</f>
        <v>0</v>
      </c>
      <c r="L631" s="8">
        <f>IFERROR(VLOOKUP(B631,cubo!$A$6:$BE$37,38,0)-VLOOKUP(B631,#REF!,$L$2,0),0)</f>
        <v>0</v>
      </c>
      <c r="M631" s="15">
        <f>IFERROR(VLOOKUP(B631,cubo!$A$6:$BE$37,57,0)-VLOOKUP(B631,#REF!,$M$2,0),0)</f>
        <v>0</v>
      </c>
      <c r="N631" s="9">
        <f>IFERROR(VLOOKUP(B631,cubo!$A$6:$BK$37,41,0)-VLOOKUP(conciliacao_custos!B631,#REF!,18,0),0)</f>
        <v>0</v>
      </c>
      <c r="O631" s="9">
        <f>IFERROR(VLOOKUP(B631,cubo!$A$6:$BK$37,44,0)-VLOOKUP(conciliacao_custos!B631,#REF!,13,0),0)</f>
        <v>0</v>
      </c>
      <c r="P631" s="9">
        <f>IFERROR(VLOOKUP(B631,cubo!$A$6:$BK$37,47,0)-VLOOKUP(conciliacao_custos!B631,#REF!,14,0),0)</f>
        <v>0</v>
      </c>
      <c r="Q631" s="9">
        <f>IFERROR(VLOOKUP(B631,cubo!$A$6:$BK$37,58,0)-VLOOKUP(conciliacao_custos!B631,#REF!,16,0),0)</f>
        <v>0</v>
      </c>
      <c r="R631" s="9">
        <f>IFERROR(VLOOKUP(B631,cubo!$A$6:$BK$37,64,0)-VLOOKUP(conciliacao_custos!B631,#REF!,17,0),0)</f>
        <v>0</v>
      </c>
      <c r="S631" s="9">
        <f>IFERROR(VLOOKUP(B631,cubo!$A$6:$BK$37,61,0)-VLOOKUP(conciliacao_custos!B631,#REF!,15,0),0)</f>
        <v>0</v>
      </c>
    </row>
    <row r="632" spans="2:19" x14ac:dyDescent="0.25">
      <c r="B632" s="7">
        <f>[1]salario!A631</f>
        <v>0</v>
      </c>
      <c r="C632" s="8">
        <f>[1]salario!C631</f>
        <v>0</v>
      </c>
      <c r="D632" s="10">
        <f>IFERROR(VLOOKUP(B632,cubo!$A$6:$BE$37,6,0)-VLOOKUP(B632,#REF!,$D$2,0),0)</f>
        <v>0</v>
      </c>
      <c r="E632" s="10">
        <f>IFERROR(VLOOKUP(B632,cubo!$A$6:$BE$37,9,0)-VLOOKUP(B632,#REF!,$E$2,0),0)</f>
        <v>0</v>
      </c>
      <c r="F632" s="9">
        <f>IFERROR(VLOOKUP(B632,cubo!$A$6:$BE$37,12,0)-VLOOKUP(B632,#REF!,$F$2,0),0)</f>
        <v>0</v>
      </c>
      <c r="G632" s="9">
        <f>IFERROR(VLOOKUP(B632,cubo!$A$6:$BE$37,54,0)-VLOOKUP(B632,#REF!,$G$2,0),0)</f>
        <v>0</v>
      </c>
      <c r="H632" s="10">
        <f>IFERROR(VLOOKUP(B632,cubo!$A$6:$BE$37,15,0)-VLOOKUP(B632,#REF!,$H$2,0),0)</f>
        <v>0</v>
      </c>
      <c r="I632" s="9">
        <f>IFERROR(VLOOKUP(B632,cubo!$A$6:$BE$37,18,0)-VLOOKUP(B632,#REF!,$I$2,0),0)</f>
        <v>0</v>
      </c>
      <c r="J632" s="9">
        <f>IFERROR(VLOOKUP(B632,cubo!$A$6:$BE$37,24,0)-VLOOKUP(B632,#REF!,$J$2,0),0)</f>
        <v>0</v>
      </c>
      <c r="K632" s="9">
        <f>IFERROR(VLOOKUP(B632,cubo!$A$6:$BE$37,34,0)-VLOOKUP(B632,#REF!,$K$2,0),0)</f>
        <v>0</v>
      </c>
      <c r="L632" s="8">
        <f>IFERROR(VLOOKUP(B632,cubo!$A$6:$BE$37,38,0)-VLOOKUP(B632,#REF!,$L$2,0),0)</f>
        <v>0</v>
      </c>
      <c r="M632" s="15">
        <f>IFERROR(VLOOKUP(B632,cubo!$A$6:$BE$37,57,0)-VLOOKUP(B632,#REF!,$M$2,0),0)</f>
        <v>0</v>
      </c>
      <c r="N632" s="9">
        <f>IFERROR(VLOOKUP(B632,cubo!$A$6:$BK$37,41,0)-VLOOKUP(conciliacao_custos!B632,#REF!,18,0),0)</f>
        <v>0</v>
      </c>
      <c r="O632" s="9">
        <f>IFERROR(VLOOKUP(B632,cubo!$A$6:$BK$37,44,0)-VLOOKUP(conciliacao_custos!B632,#REF!,13,0),0)</f>
        <v>0</v>
      </c>
      <c r="P632" s="9">
        <f>IFERROR(VLOOKUP(B632,cubo!$A$6:$BK$37,47,0)-VLOOKUP(conciliacao_custos!B632,#REF!,14,0),0)</f>
        <v>0</v>
      </c>
      <c r="Q632" s="9">
        <f>IFERROR(VLOOKUP(B632,cubo!$A$6:$BK$37,58,0)-VLOOKUP(conciliacao_custos!B632,#REF!,16,0),0)</f>
        <v>0</v>
      </c>
      <c r="R632" s="9">
        <f>IFERROR(VLOOKUP(B632,cubo!$A$6:$BK$37,64,0)-VLOOKUP(conciliacao_custos!B632,#REF!,17,0),0)</f>
        <v>0</v>
      </c>
      <c r="S632" s="9">
        <f>IFERROR(VLOOKUP(B632,cubo!$A$6:$BK$37,61,0)-VLOOKUP(conciliacao_custos!B632,#REF!,15,0),0)</f>
        <v>0</v>
      </c>
    </row>
    <row r="633" spans="2:19" x14ac:dyDescent="0.25">
      <c r="B633" s="7">
        <f>[1]salario!A632</f>
        <v>0</v>
      </c>
      <c r="C633" s="8">
        <f>[1]salario!C632</f>
        <v>0</v>
      </c>
      <c r="D633" s="10">
        <f>IFERROR(VLOOKUP(B633,cubo!$A$6:$BE$37,6,0)-VLOOKUP(B633,#REF!,$D$2,0),0)</f>
        <v>0</v>
      </c>
      <c r="E633" s="10">
        <f>IFERROR(VLOOKUP(B633,cubo!$A$6:$BE$37,9,0)-VLOOKUP(B633,#REF!,$E$2,0),0)</f>
        <v>0</v>
      </c>
      <c r="F633" s="9">
        <f>IFERROR(VLOOKUP(B633,cubo!$A$6:$BE$37,12,0)-VLOOKUP(B633,#REF!,$F$2,0),0)</f>
        <v>0</v>
      </c>
      <c r="G633" s="9">
        <f>IFERROR(VLOOKUP(B633,cubo!$A$6:$BE$37,54,0)-VLOOKUP(B633,#REF!,$G$2,0),0)</f>
        <v>0</v>
      </c>
      <c r="H633" s="10">
        <f>IFERROR(VLOOKUP(B633,cubo!$A$6:$BE$37,15,0)-VLOOKUP(B633,#REF!,$H$2,0),0)</f>
        <v>0</v>
      </c>
      <c r="I633" s="9">
        <f>IFERROR(VLOOKUP(B633,cubo!$A$6:$BE$37,18,0)-VLOOKUP(B633,#REF!,$I$2,0),0)</f>
        <v>0</v>
      </c>
      <c r="J633" s="9">
        <f>IFERROR(VLOOKUP(B633,cubo!$A$6:$BE$37,24,0)-VLOOKUP(B633,#REF!,$J$2,0),0)</f>
        <v>0</v>
      </c>
      <c r="K633" s="9">
        <f>IFERROR(VLOOKUP(B633,cubo!$A$6:$BE$37,34,0)-VLOOKUP(B633,#REF!,$K$2,0),0)</f>
        <v>0</v>
      </c>
      <c r="L633" s="8">
        <f>IFERROR(VLOOKUP(B633,cubo!$A$6:$BE$37,38,0)-VLOOKUP(B633,#REF!,$L$2,0),0)</f>
        <v>0</v>
      </c>
      <c r="M633" s="15">
        <f>IFERROR(VLOOKUP(B633,cubo!$A$6:$BE$37,57,0)-VLOOKUP(B633,#REF!,$M$2,0),0)</f>
        <v>0</v>
      </c>
      <c r="N633" s="9">
        <f>IFERROR(VLOOKUP(B633,cubo!$A$6:$BK$37,41,0)-VLOOKUP(conciliacao_custos!B633,#REF!,18,0),0)</f>
        <v>0</v>
      </c>
      <c r="O633" s="9">
        <f>IFERROR(VLOOKUP(B633,cubo!$A$6:$BK$37,44,0)-VLOOKUP(conciliacao_custos!B633,#REF!,13,0),0)</f>
        <v>0</v>
      </c>
      <c r="P633" s="9">
        <f>IFERROR(VLOOKUP(B633,cubo!$A$6:$BK$37,47,0)-VLOOKUP(conciliacao_custos!B633,#REF!,14,0),0)</f>
        <v>0</v>
      </c>
      <c r="Q633" s="9">
        <f>IFERROR(VLOOKUP(B633,cubo!$A$6:$BK$37,58,0)-VLOOKUP(conciliacao_custos!B633,#REF!,16,0),0)</f>
        <v>0</v>
      </c>
      <c r="R633" s="9">
        <f>IFERROR(VLOOKUP(B633,cubo!$A$6:$BK$37,64,0)-VLOOKUP(conciliacao_custos!B633,#REF!,17,0),0)</f>
        <v>0</v>
      </c>
      <c r="S633" s="9">
        <f>IFERROR(VLOOKUP(B633,cubo!$A$6:$BK$37,61,0)-VLOOKUP(conciliacao_custos!B633,#REF!,15,0),0)</f>
        <v>0</v>
      </c>
    </row>
    <row r="634" spans="2:19" x14ac:dyDescent="0.25">
      <c r="B634" s="7">
        <f>[1]salario!A633</f>
        <v>0</v>
      </c>
      <c r="C634" s="8">
        <f>[1]salario!C633</f>
        <v>0</v>
      </c>
      <c r="D634" s="10">
        <f>IFERROR(VLOOKUP(B634,cubo!$A$6:$BE$37,6,0)-VLOOKUP(B634,#REF!,$D$2,0),0)</f>
        <v>0</v>
      </c>
      <c r="E634" s="10">
        <f>IFERROR(VLOOKUP(B634,cubo!$A$6:$BE$37,9,0)-VLOOKUP(B634,#REF!,$E$2,0),0)</f>
        <v>0</v>
      </c>
      <c r="F634" s="9">
        <f>IFERROR(VLOOKUP(B634,cubo!$A$6:$BE$37,12,0)-VLOOKUP(B634,#REF!,$F$2,0),0)</f>
        <v>0</v>
      </c>
      <c r="G634" s="9">
        <f>IFERROR(VLOOKUP(B634,cubo!$A$6:$BE$37,54,0)-VLOOKUP(B634,#REF!,$G$2,0),0)</f>
        <v>0</v>
      </c>
      <c r="H634" s="10">
        <f>IFERROR(VLOOKUP(B634,cubo!$A$6:$BE$37,15,0)-VLOOKUP(B634,#REF!,$H$2,0),0)</f>
        <v>0</v>
      </c>
      <c r="I634" s="9">
        <f>IFERROR(VLOOKUP(B634,cubo!$A$6:$BE$37,18,0)-VLOOKUP(B634,#REF!,$I$2,0),0)</f>
        <v>0</v>
      </c>
      <c r="J634" s="9">
        <f>IFERROR(VLOOKUP(B634,cubo!$A$6:$BE$37,24,0)-VLOOKUP(B634,#REF!,$J$2,0),0)</f>
        <v>0</v>
      </c>
      <c r="K634" s="9">
        <f>IFERROR(VLOOKUP(B634,cubo!$A$6:$BE$37,34,0)-VLOOKUP(B634,#REF!,$K$2,0),0)</f>
        <v>0</v>
      </c>
      <c r="L634" s="8">
        <f>IFERROR(VLOOKUP(B634,cubo!$A$6:$BE$37,38,0)-VLOOKUP(B634,#REF!,$L$2,0),0)</f>
        <v>0</v>
      </c>
      <c r="M634" s="15">
        <f>IFERROR(VLOOKUP(B634,cubo!$A$6:$BE$37,57,0)-VLOOKUP(B634,#REF!,$M$2,0),0)</f>
        <v>0</v>
      </c>
      <c r="N634" s="9">
        <f>IFERROR(VLOOKUP(B634,cubo!$A$6:$BK$37,41,0)-VLOOKUP(conciliacao_custos!B634,#REF!,18,0),0)</f>
        <v>0</v>
      </c>
      <c r="O634" s="9">
        <f>IFERROR(VLOOKUP(B634,cubo!$A$6:$BK$37,44,0)-VLOOKUP(conciliacao_custos!B634,#REF!,13,0),0)</f>
        <v>0</v>
      </c>
      <c r="P634" s="9">
        <f>IFERROR(VLOOKUP(B634,cubo!$A$6:$BK$37,47,0)-VLOOKUP(conciliacao_custos!B634,#REF!,14,0),0)</f>
        <v>0</v>
      </c>
      <c r="Q634" s="9">
        <f>IFERROR(VLOOKUP(B634,cubo!$A$6:$BK$37,58,0)-VLOOKUP(conciliacao_custos!B634,#REF!,16,0),0)</f>
        <v>0</v>
      </c>
      <c r="R634" s="9">
        <f>IFERROR(VLOOKUP(B634,cubo!$A$6:$BK$37,64,0)-VLOOKUP(conciliacao_custos!B634,#REF!,17,0),0)</f>
        <v>0</v>
      </c>
      <c r="S634" s="9">
        <f>IFERROR(VLOOKUP(B634,cubo!$A$6:$BK$37,61,0)-VLOOKUP(conciliacao_custos!B634,#REF!,15,0),0)</f>
        <v>0</v>
      </c>
    </row>
    <row r="635" spans="2:19" x14ac:dyDescent="0.25">
      <c r="B635" s="7">
        <f>[1]salario!A634</f>
        <v>0</v>
      </c>
      <c r="C635" s="8">
        <f>[1]salario!C634</f>
        <v>0</v>
      </c>
      <c r="D635" s="10">
        <f>IFERROR(VLOOKUP(B635,cubo!$A$6:$BE$37,6,0)-VLOOKUP(B635,#REF!,$D$2,0),0)</f>
        <v>0</v>
      </c>
      <c r="E635" s="10">
        <f>IFERROR(VLOOKUP(B635,cubo!$A$6:$BE$37,9,0)-VLOOKUP(B635,#REF!,$E$2,0),0)</f>
        <v>0</v>
      </c>
      <c r="F635" s="9">
        <f>IFERROR(VLOOKUP(B635,cubo!$A$6:$BE$37,12,0)-VLOOKUP(B635,#REF!,$F$2,0),0)</f>
        <v>0</v>
      </c>
      <c r="G635" s="9">
        <f>IFERROR(VLOOKUP(B635,cubo!$A$6:$BE$37,54,0)-VLOOKUP(B635,#REF!,$G$2,0),0)</f>
        <v>0</v>
      </c>
      <c r="H635" s="10">
        <f>IFERROR(VLOOKUP(B635,cubo!$A$6:$BE$37,15,0)-VLOOKUP(B635,#REF!,$H$2,0),0)</f>
        <v>0</v>
      </c>
      <c r="I635" s="9">
        <f>IFERROR(VLOOKUP(B635,cubo!$A$6:$BE$37,18,0)-VLOOKUP(B635,#REF!,$I$2,0),0)</f>
        <v>0</v>
      </c>
      <c r="J635" s="9">
        <f>IFERROR(VLOOKUP(B635,cubo!$A$6:$BE$37,24,0)-VLOOKUP(B635,#REF!,$J$2,0),0)</f>
        <v>0</v>
      </c>
      <c r="K635" s="9">
        <f>IFERROR(VLOOKUP(B635,cubo!$A$6:$BE$37,34,0)-VLOOKUP(B635,#REF!,$K$2,0),0)</f>
        <v>0</v>
      </c>
      <c r="L635" s="8">
        <f>IFERROR(VLOOKUP(B635,cubo!$A$6:$BE$37,38,0)-VLOOKUP(B635,#REF!,$L$2,0),0)</f>
        <v>0</v>
      </c>
      <c r="M635" s="15">
        <f>IFERROR(VLOOKUP(B635,cubo!$A$6:$BE$37,57,0)-VLOOKUP(B635,#REF!,$M$2,0),0)</f>
        <v>0</v>
      </c>
      <c r="N635" s="9">
        <f>IFERROR(VLOOKUP(B635,cubo!$A$6:$BK$37,41,0)-VLOOKUP(conciliacao_custos!B635,#REF!,18,0),0)</f>
        <v>0</v>
      </c>
      <c r="O635" s="9">
        <f>IFERROR(VLOOKUP(B635,cubo!$A$6:$BK$37,44,0)-VLOOKUP(conciliacao_custos!B635,#REF!,13,0),0)</f>
        <v>0</v>
      </c>
      <c r="P635" s="9">
        <f>IFERROR(VLOOKUP(B635,cubo!$A$6:$BK$37,47,0)-VLOOKUP(conciliacao_custos!B635,#REF!,14,0),0)</f>
        <v>0</v>
      </c>
      <c r="Q635" s="9">
        <f>IFERROR(VLOOKUP(B635,cubo!$A$6:$BK$37,58,0)-VLOOKUP(conciliacao_custos!B635,#REF!,16,0),0)</f>
        <v>0</v>
      </c>
      <c r="R635" s="9">
        <f>IFERROR(VLOOKUP(B635,cubo!$A$6:$BK$37,64,0)-VLOOKUP(conciliacao_custos!B635,#REF!,17,0),0)</f>
        <v>0</v>
      </c>
      <c r="S635" s="9">
        <f>IFERROR(VLOOKUP(B635,cubo!$A$6:$BK$37,61,0)-VLOOKUP(conciliacao_custos!B635,#REF!,15,0),0)</f>
        <v>0</v>
      </c>
    </row>
    <row r="636" spans="2:19" x14ac:dyDescent="0.25">
      <c r="B636" s="7">
        <f>[1]salario!A635</f>
        <v>0</v>
      </c>
      <c r="C636" s="8">
        <f>[1]salario!C635</f>
        <v>0</v>
      </c>
      <c r="D636" s="10">
        <f>IFERROR(VLOOKUP(B636,cubo!$A$6:$BE$37,6,0)-VLOOKUP(B636,#REF!,$D$2,0),0)</f>
        <v>0</v>
      </c>
      <c r="E636" s="10">
        <f>IFERROR(VLOOKUP(B636,cubo!$A$6:$BE$37,9,0)-VLOOKUP(B636,#REF!,$E$2,0),0)</f>
        <v>0</v>
      </c>
      <c r="F636" s="9">
        <f>IFERROR(VLOOKUP(B636,cubo!$A$6:$BE$37,12,0)-VLOOKUP(B636,#REF!,$F$2,0),0)</f>
        <v>0</v>
      </c>
      <c r="G636" s="9">
        <f>IFERROR(VLOOKUP(B636,cubo!$A$6:$BE$37,54,0)-VLOOKUP(B636,#REF!,$G$2,0),0)</f>
        <v>0</v>
      </c>
      <c r="H636" s="10">
        <f>IFERROR(VLOOKUP(B636,cubo!$A$6:$BE$37,15,0)-VLOOKUP(B636,#REF!,$H$2,0),0)</f>
        <v>0</v>
      </c>
      <c r="I636" s="9">
        <f>IFERROR(VLOOKUP(B636,cubo!$A$6:$BE$37,18,0)-VLOOKUP(B636,#REF!,$I$2,0),0)</f>
        <v>0</v>
      </c>
      <c r="J636" s="9">
        <f>IFERROR(VLOOKUP(B636,cubo!$A$6:$BE$37,24,0)-VLOOKUP(B636,#REF!,$J$2,0),0)</f>
        <v>0</v>
      </c>
      <c r="K636" s="9">
        <f>IFERROR(VLOOKUP(B636,cubo!$A$6:$BE$37,34,0)-VLOOKUP(B636,#REF!,$K$2,0),0)</f>
        <v>0</v>
      </c>
      <c r="L636" s="8">
        <f>IFERROR(VLOOKUP(B636,cubo!$A$6:$BE$37,38,0)-VLOOKUP(B636,#REF!,$L$2,0),0)</f>
        <v>0</v>
      </c>
      <c r="M636" s="15">
        <f>IFERROR(VLOOKUP(B636,cubo!$A$6:$BE$37,57,0)-VLOOKUP(B636,#REF!,$M$2,0),0)</f>
        <v>0</v>
      </c>
      <c r="N636" s="9">
        <f>IFERROR(VLOOKUP(B636,cubo!$A$6:$BK$37,41,0)-VLOOKUP(conciliacao_custos!B636,#REF!,18,0),0)</f>
        <v>0</v>
      </c>
      <c r="O636" s="9">
        <f>IFERROR(VLOOKUP(B636,cubo!$A$6:$BK$37,44,0)-VLOOKUP(conciliacao_custos!B636,#REF!,13,0),0)</f>
        <v>0</v>
      </c>
      <c r="P636" s="9">
        <f>IFERROR(VLOOKUP(B636,cubo!$A$6:$BK$37,47,0)-VLOOKUP(conciliacao_custos!B636,#REF!,14,0),0)</f>
        <v>0</v>
      </c>
      <c r="Q636" s="9">
        <f>IFERROR(VLOOKUP(B636,cubo!$A$6:$BK$37,58,0)-VLOOKUP(conciliacao_custos!B636,#REF!,16,0),0)</f>
        <v>0</v>
      </c>
      <c r="R636" s="9">
        <f>IFERROR(VLOOKUP(B636,cubo!$A$6:$BK$37,64,0)-VLOOKUP(conciliacao_custos!B636,#REF!,17,0),0)</f>
        <v>0</v>
      </c>
      <c r="S636" s="9">
        <f>IFERROR(VLOOKUP(B636,cubo!$A$6:$BK$37,61,0)-VLOOKUP(conciliacao_custos!B636,#REF!,15,0),0)</f>
        <v>0</v>
      </c>
    </row>
    <row r="637" spans="2:19" x14ac:dyDescent="0.25">
      <c r="B637" s="7">
        <f>[1]salario!A636</f>
        <v>0</v>
      </c>
      <c r="C637" s="8">
        <f>[1]salario!C636</f>
        <v>0</v>
      </c>
      <c r="D637" s="10">
        <f>IFERROR(VLOOKUP(B637,cubo!$A$6:$BE$37,6,0)-VLOOKUP(B637,#REF!,$D$2,0),0)</f>
        <v>0</v>
      </c>
      <c r="E637" s="10">
        <f>IFERROR(VLOOKUP(B637,cubo!$A$6:$BE$37,9,0)-VLOOKUP(B637,#REF!,$E$2,0),0)</f>
        <v>0</v>
      </c>
      <c r="F637" s="9">
        <f>IFERROR(VLOOKUP(B637,cubo!$A$6:$BE$37,12,0)-VLOOKUP(B637,#REF!,$F$2,0),0)</f>
        <v>0</v>
      </c>
      <c r="G637" s="9">
        <f>IFERROR(VLOOKUP(B637,cubo!$A$6:$BE$37,54,0)-VLOOKUP(B637,#REF!,$G$2,0),0)</f>
        <v>0</v>
      </c>
      <c r="H637" s="10">
        <f>IFERROR(VLOOKUP(B637,cubo!$A$6:$BE$37,15,0)-VLOOKUP(B637,#REF!,$H$2,0),0)</f>
        <v>0</v>
      </c>
      <c r="I637" s="9">
        <f>IFERROR(VLOOKUP(B637,cubo!$A$6:$BE$37,18,0)-VLOOKUP(B637,#REF!,$I$2,0),0)</f>
        <v>0</v>
      </c>
      <c r="J637" s="9">
        <f>IFERROR(VLOOKUP(B637,cubo!$A$6:$BE$37,24,0)-VLOOKUP(B637,#REF!,$J$2,0),0)</f>
        <v>0</v>
      </c>
      <c r="K637" s="9">
        <f>IFERROR(VLOOKUP(B637,cubo!$A$6:$BE$37,34,0)-VLOOKUP(B637,#REF!,$K$2,0),0)</f>
        <v>0</v>
      </c>
      <c r="L637" s="8">
        <f>IFERROR(VLOOKUP(B637,cubo!$A$6:$BE$37,38,0)-VLOOKUP(B637,#REF!,$L$2,0),0)</f>
        <v>0</v>
      </c>
      <c r="M637" s="15">
        <f>IFERROR(VLOOKUP(B637,cubo!$A$6:$BE$37,57,0)-VLOOKUP(B637,#REF!,$M$2,0),0)</f>
        <v>0</v>
      </c>
      <c r="N637" s="9">
        <f>IFERROR(VLOOKUP(B637,cubo!$A$6:$BK$37,41,0)-VLOOKUP(conciliacao_custos!B637,#REF!,18,0),0)</f>
        <v>0</v>
      </c>
      <c r="O637" s="9">
        <f>IFERROR(VLOOKUP(B637,cubo!$A$6:$BK$37,44,0)-VLOOKUP(conciliacao_custos!B637,#REF!,13,0),0)</f>
        <v>0</v>
      </c>
      <c r="P637" s="9">
        <f>IFERROR(VLOOKUP(B637,cubo!$A$6:$BK$37,47,0)-VLOOKUP(conciliacao_custos!B637,#REF!,14,0),0)</f>
        <v>0</v>
      </c>
      <c r="Q637" s="9">
        <f>IFERROR(VLOOKUP(B637,cubo!$A$6:$BK$37,58,0)-VLOOKUP(conciliacao_custos!B637,#REF!,16,0),0)</f>
        <v>0</v>
      </c>
      <c r="R637" s="9">
        <f>IFERROR(VLOOKUP(B637,cubo!$A$6:$BK$37,64,0)-VLOOKUP(conciliacao_custos!B637,#REF!,17,0),0)</f>
        <v>0</v>
      </c>
      <c r="S637" s="9">
        <f>IFERROR(VLOOKUP(B637,cubo!$A$6:$BK$37,61,0)-VLOOKUP(conciliacao_custos!B637,#REF!,15,0),0)</f>
        <v>0</v>
      </c>
    </row>
    <row r="638" spans="2:19" x14ac:dyDescent="0.25">
      <c r="B638" s="7">
        <f>[1]salario!A637</f>
        <v>0</v>
      </c>
      <c r="C638" s="8">
        <f>[1]salario!C637</f>
        <v>0</v>
      </c>
      <c r="D638" s="10">
        <f>IFERROR(VLOOKUP(B638,cubo!$A$6:$BE$37,6,0)-VLOOKUP(B638,#REF!,$D$2,0),0)</f>
        <v>0</v>
      </c>
      <c r="E638" s="10">
        <f>IFERROR(VLOOKUP(B638,cubo!$A$6:$BE$37,9,0)-VLOOKUP(B638,#REF!,$E$2,0),0)</f>
        <v>0</v>
      </c>
      <c r="F638" s="9">
        <f>IFERROR(VLOOKUP(B638,cubo!$A$6:$BE$37,12,0)-VLOOKUP(B638,#REF!,$F$2,0),0)</f>
        <v>0</v>
      </c>
      <c r="G638" s="9">
        <f>IFERROR(VLOOKUP(B638,cubo!$A$6:$BE$37,54,0)-VLOOKUP(B638,#REF!,$G$2,0),0)</f>
        <v>0</v>
      </c>
      <c r="H638" s="10">
        <f>IFERROR(VLOOKUP(B638,cubo!$A$6:$BE$37,15,0)-VLOOKUP(B638,#REF!,$H$2,0),0)</f>
        <v>0</v>
      </c>
      <c r="I638" s="9">
        <f>IFERROR(VLOOKUP(B638,cubo!$A$6:$BE$37,18,0)-VLOOKUP(B638,#REF!,$I$2,0),0)</f>
        <v>0</v>
      </c>
      <c r="J638" s="9">
        <f>IFERROR(VLOOKUP(B638,cubo!$A$6:$BE$37,24,0)-VLOOKUP(B638,#REF!,$J$2,0),0)</f>
        <v>0</v>
      </c>
      <c r="K638" s="9">
        <f>IFERROR(VLOOKUP(B638,cubo!$A$6:$BE$37,34,0)-VLOOKUP(B638,#REF!,$K$2,0),0)</f>
        <v>0</v>
      </c>
      <c r="L638" s="8">
        <f>IFERROR(VLOOKUP(B638,cubo!$A$6:$BE$37,38,0)-VLOOKUP(B638,#REF!,$L$2,0),0)</f>
        <v>0</v>
      </c>
      <c r="M638" s="15">
        <f>IFERROR(VLOOKUP(B638,cubo!$A$6:$BE$37,57,0)-VLOOKUP(B638,#REF!,$M$2,0),0)</f>
        <v>0</v>
      </c>
      <c r="N638" s="9">
        <f>IFERROR(VLOOKUP(B638,cubo!$A$6:$BK$37,41,0)-VLOOKUP(conciliacao_custos!B638,#REF!,18,0),0)</f>
        <v>0</v>
      </c>
      <c r="O638" s="9">
        <f>IFERROR(VLOOKUP(B638,cubo!$A$6:$BK$37,44,0)-VLOOKUP(conciliacao_custos!B638,#REF!,13,0),0)</f>
        <v>0</v>
      </c>
      <c r="P638" s="9">
        <f>IFERROR(VLOOKUP(B638,cubo!$A$6:$BK$37,47,0)-VLOOKUP(conciliacao_custos!B638,#REF!,14,0),0)</f>
        <v>0</v>
      </c>
      <c r="Q638" s="9">
        <f>IFERROR(VLOOKUP(B638,cubo!$A$6:$BK$37,58,0)-VLOOKUP(conciliacao_custos!B638,#REF!,16,0),0)</f>
        <v>0</v>
      </c>
      <c r="R638" s="9">
        <f>IFERROR(VLOOKUP(B638,cubo!$A$6:$BK$37,64,0)-VLOOKUP(conciliacao_custos!B638,#REF!,17,0),0)</f>
        <v>0</v>
      </c>
      <c r="S638" s="9">
        <f>IFERROR(VLOOKUP(B638,cubo!$A$6:$BK$37,61,0)-VLOOKUP(conciliacao_custos!B638,#REF!,15,0),0)</f>
        <v>0</v>
      </c>
    </row>
    <row r="639" spans="2:19" x14ac:dyDescent="0.25">
      <c r="B639" s="7">
        <f>[1]salario!A638</f>
        <v>0</v>
      </c>
      <c r="C639" s="8">
        <f>[1]salario!C638</f>
        <v>0</v>
      </c>
      <c r="D639" s="10">
        <f>IFERROR(VLOOKUP(B639,cubo!$A$6:$BE$37,6,0)-VLOOKUP(B639,#REF!,$D$2,0),0)</f>
        <v>0</v>
      </c>
      <c r="E639" s="10">
        <f>IFERROR(VLOOKUP(B639,cubo!$A$6:$BE$37,9,0)-VLOOKUP(B639,#REF!,$E$2,0),0)</f>
        <v>0</v>
      </c>
      <c r="F639" s="9">
        <f>IFERROR(VLOOKUP(B639,cubo!$A$6:$BE$37,12,0)-VLOOKUP(B639,#REF!,$F$2,0),0)</f>
        <v>0</v>
      </c>
      <c r="G639" s="9">
        <f>IFERROR(VLOOKUP(B639,cubo!$A$6:$BE$37,54,0)-VLOOKUP(B639,#REF!,$G$2,0),0)</f>
        <v>0</v>
      </c>
      <c r="H639" s="10">
        <f>IFERROR(VLOOKUP(B639,cubo!$A$6:$BE$37,15,0)-VLOOKUP(B639,#REF!,$H$2,0),0)</f>
        <v>0</v>
      </c>
      <c r="I639" s="9">
        <f>IFERROR(VLOOKUP(B639,cubo!$A$6:$BE$37,18,0)-VLOOKUP(B639,#REF!,$I$2,0),0)</f>
        <v>0</v>
      </c>
      <c r="J639" s="9">
        <f>IFERROR(VLOOKUP(B639,cubo!$A$6:$BE$37,24,0)-VLOOKUP(B639,#REF!,$J$2,0),0)</f>
        <v>0</v>
      </c>
      <c r="K639" s="9">
        <f>IFERROR(VLOOKUP(B639,cubo!$A$6:$BE$37,34,0)-VLOOKUP(B639,#REF!,$K$2,0),0)</f>
        <v>0</v>
      </c>
      <c r="L639" s="8">
        <f>IFERROR(VLOOKUP(B639,cubo!$A$6:$BE$37,38,0)-VLOOKUP(B639,#REF!,$L$2,0),0)</f>
        <v>0</v>
      </c>
      <c r="M639" s="15">
        <f>IFERROR(VLOOKUP(B639,cubo!$A$6:$BE$37,57,0)-VLOOKUP(B639,#REF!,$M$2,0),0)</f>
        <v>0</v>
      </c>
      <c r="N639" s="9">
        <f>IFERROR(VLOOKUP(B639,cubo!$A$6:$BK$37,41,0)-VLOOKUP(conciliacao_custos!B639,#REF!,18,0),0)</f>
        <v>0</v>
      </c>
      <c r="O639" s="9">
        <f>IFERROR(VLOOKUP(B639,cubo!$A$6:$BK$37,44,0)-VLOOKUP(conciliacao_custos!B639,#REF!,13,0),0)</f>
        <v>0</v>
      </c>
      <c r="P639" s="9">
        <f>IFERROR(VLOOKUP(B639,cubo!$A$6:$BK$37,47,0)-VLOOKUP(conciliacao_custos!B639,#REF!,14,0),0)</f>
        <v>0</v>
      </c>
      <c r="Q639" s="9">
        <f>IFERROR(VLOOKUP(B639,cubo!$A$6:$BK$37,58,0)-VLOOKUP(conciliacao_custos!B639,#REF!,16,0),0)</f>
        <v>0</v>
      </c>
      <c r="R639" s="9">
        <f>IFERROR(VLOOKUP(B639,cubo!$A$6:$BK$37,64,0)-VLOOKUP(conciliacao_custos!B639,#REF!,17,0),0)</f>
        <v>0</v>
      </c>
      <c r="S639" s="9">
        <f>IFERROR(VLOOKUP(B639,cubo!$A$6:$BK$37,61,0)-VLOOKUP(conciliacao_custos!B639,#REF!,15,0),0)</f>
        <v>0</v>
      </c>
    </row>
    <row r="640" spans="2:19" x14ac:dyDescent="0.25">
      <c r="B640" s="7">
        <f>[1]salario!A639</f>
        <v>0</v>
      </c>
      <c r="C640" s="8">
        <f>[1]salario!C639</f>
        <v>0</v>
      </c>
      <c r="D640" s="10">
        <f>IFERROR(VLOOKUP(B640,cubo!$A$6:$BE$37,6,0)-VLOOKUP(B640,#REF!,$D$2,0),0)</f>
        <v>0</v>
      </c>
      <c r="E640" s="10">
        <f>IFERROR(VLOOKUP(B640,cubo!$A$6:$BE$37,9,0)-VLOOKUP(B640,#REF!,$E$2,0),0)</f>
        <v>0</v>
      </c>
      <c r="F640" s="9">
        <f>IFERROR(VLOOKUP(B640,cubo!$A$6:$BE$37,12,0)-VLOOKUP(B640,#REF!,$F$2,0),0)</f>
        <v>0</v>
      </c>
      <c r="G640" s="9">
        <f>IFERROR(VLOOKUP(B640,cubo!$A$6:$BE$37,54,0)-VLOOKUP(B640,#REF!,$G$2,0),0)</f>
        <v>0</v>
      </c>
      <c r="H640" s="10">
        <f>IFERROR(VLOOKUP(B640,cubo!$A$6:$BE$37,15,0)-VLOOKUP(B640,#REF!,$H$2,0),0)</f>
        <v>0</v>
      </c>
      <c r="I640" s="9">
        <f>IFERROR(VLOOKUP(B640,cubo!$A$6:$BE$37,18,0)-VLOOKUP(B640,#REF!,$I$2,0),0)</f>
        <v>0</v>
      </c>
      <c r="J640" s="9">
        <f>IFERROR(VLOOKUP(B640,cubo!$A$6:$BE$37,24,0)-VLOOKUP(B640,#REF!,$J$2,0),0)</f>
        <v>0</v>
      </c>
      <c r="K640" s="9">
        <f>IFERROR(VLOOKUP(B640,cubo!$A$6:$BE$37,34,0)-VLOOKUP(B640,#REF!,$K$2,0),0)</f>
        <v>0</v>
      </c>
      <c r="L640" s="8">
        <f>IFERROR(VLOOKUP(B640,cubo!$A$6:$BE$37,38,0)-VLOOKUP(B640,#REF!,$L$2,0),0)</f>
        <v>0</v>
      </c>
      <c r="M640" s="15">
        <f>IFERROR(VLOOKUP(B640,cubo!$A$6:$BE$37,57,0)-VLOOKUP(B640,#REF!,$M$2,0),0)</f>
        <v>0</v>
      </c>
      <c r="N640" s="9">
        <f>IFERROR(VLOOKUP(B640,cubo!$A$6:$BK$37,41,0)-VLOOKUP(conciliacao_custos!B640,#REF!,18,0),0)</f>
        <v>0</v>
      </c>
      <c r="O640" s="9">
        <f>IFERROR(VLOOKUP(B640,cubo!$A$6:$BK$37,44,0)-VLOOKUP(conciliacao_custos!B640,#REF!,13,0),0)</f>
        <v>0</v>
      </c>
      <c r="P640" s="9">
        <f>IFERROR(VLOOKUP(B640,cubo!$A$6:$BK$37,47,0)-VLOOKUP(conciliacao_custos!B640,#REF!,14,0),0)</f>
        <v>0</v>
      </c>
      <c r="Q640" s="9">
        <f>IFERROR(VLOOKUP(B640,cubo!$A$6:$BK$37,58,0)-VLOOKUP(conciliacao_custos!B640,#REF!,16,0),0)</f>
        <v>0</v>
      </c>
      <c r="R640" s="9">
        <f>IFERROR(VLOOKUP(B640,cubo!$A$6:$BK$37,64,0)-VLOOKUP(conciliacao_custos!B640,#REF!,17,0),0)</f>
        <v>0</v>
      </c>
      <c r="S640" s="9">
        <f>IFERROR(VLOOKUP(B640,cubo!$A$6:$BK$37,61,0)-VLOOKUP(conciliacao_custos!B640,#REF!,15,0),0)</f>
        <v>0</v>
      </c>
    </row>
    <row r="641" spans="2:19" x14ac:dyDescent="0.25">
      <c r="B641" s="7">
        <f>[1]salario!A640</f>
        <v>0</v>
      </c>
      <c r="C641" s="8">
        <f>[1]salario!C640</f>
        <v>0</v>
      </c>
      <c r="D641" s="10">
        <f>IFERROR(VLOOKUP(B641,cubo!$A$6:$BE$37,6,0)-VLOOKUP(B641,#REF!,$D$2,0),0)</f>
        <v>0</v>
      </c>
      <c r="E641" s="10">
        <f>IFERROR(VLOOKUP(B641,cubo!$A$6:$BE$37,9,0)-VLOOKUP(B641,#REF!,$E$2,0),0)</f>
        <v>0</v>
      </c>
      <c r="F641" s="9">
        <f>IFERROR(VLOOKUP(B641,cubo!$A$6:$BE$37,12,0)-VLOOKUP(B641,#REF!,$F$2,0),0)</f>
        <v>0</v>
      </c>
      <c r="G641" s="9">
        <f>IFERROR(VLOOKUP(B641,cubo!$A$6:$BE$37,54,0)-VLOOKUP(B641,#REF!,$G$2,0),0)</f>
        <v>0</v>
      </c>
      <c r="H641" s="10">
        <f>IFERROR(VLOOKUP(B641,cubo!$A$6:$BE$37,15,0)-VLOOKUP(B641,#REF!,$H$2,0),0)</f>
        <v>0</v>
      </c>
      <c r="I641" s="9">
        <f>IFERROR(VLOOKUP(B641,cubo!$A$6:$BE$37,18,0)-VLOOKUP(B641,#REF!,$I$2,0),0)</f>
        <v>0</v>
      </c>
      <c r="J641" s="9">
        <f>IFERROR(VLOOKUP(B641,cubo!$A$6:$BE$37,24,0)-VLOOKUP(B641,#REF!,$J$2,0),0)</f>
        <v>0</v>
      </c>
      <c r="K641" s="9">
        <f>IFERROR(VLOOKUP(B641,cubo!$A$6:$BE$37,34,0)-VLOOKUP(B641,#REF!,$K$2,0),0)</f>
        <v>0</v>
      </c>
      <c r="L641" s="8">
        <f>IFERROR(VLOOKUP(B641,cubo!$A$6:$BE$37,38,0)-VLOOKUP(B641,#REF!,$L$2,0),0)</f>
        <v>0</v>
      </c>
      <c r="M641" s="15">
        <f>IFERROR(VLOOKUP(B641,cubo!$A$6:$BE$37,57,0)-VLOOKUP(B641,#REF!,$M$2,0),0)</f>
        <v>0</v>
      </c>
      <c r="N641" s="9">
        <f>IFERROR(VLOOKUP(B641,cubo!$A$6:$BK$37,41,0)-VLOOKUP(conciliacao_custos!B641,#REF!,18,0),0)</f>
        <v>0</v>
      </c>
      <c r="O641" s="9">
        <f>IFERROR(VLOOKUP(B641,cubo!$A$6:$BK$37,44,0)-VLOOKUP(conciliacao_custos!B641,#REF!,13,0),0)</f>
        <v>0</v>
      </c>
      <c r="P641" s="9">
        <f>IFERROR(VLOOKUP(B641,cubo!$A$6:$BK$37,47,0)-VLOOKUP(conciliacao_custos!B641,#REF!,14,0),0)</f>
        <v>0</v>
      </c>
      <c r="Q641" s="9">
        <f>IFERROR(VLOOKUP(B641,cubo!$A$6:$BK$37,58,0)-VLOOKUP(conciliacao_custos!B641,#REF!,16,0),0)</f>
        <v>0</v>
      </c>
      <c r="R641" s="9">
        <f>IFERROR(VLOOKUP(B641,cubo!$A$6:$BK$37,64,0)-VLOOKUP(conciliacao_custos!B641,#REF!,17,0),0)</f>
        <v>0</v>
      </c>
      <c r="S641" s="9">
        <f>IFERROR(VLOOKUP(B641,cubo!$A$6:$BK$37,61,0)-VLOOKUP(conciliacao_custos!B641,#REF!,15,0),0)</f>
        <v>0</v>
      </c>
    </row>
    <row r="642" spans="2:19" x14ac:dyDescent="0.25">
      <c r="B642" s="7">
        <f>[1]salario!A641</f>
        <v>0</v>
      </c>
      <c r="C642" s="8">
        <f>[1]salario!C641</f>
        <v>0</v>
      </c>
      <c r="D642" s="10">
        <f>IFERROR(VLOOKUP(B642,cubo!$A$6:$BE$37,6,0)-VLOOKUP(B642,#REF!,$D$2,0),0)</f>
        <v>0</v>
      </c>
      <c r="E642" s="10">
        <f>IFERROR(VLOOKUP(B642,cubo!$A$6:$BE$37,9,0)-VLOOKUP(B642,#REF!,$E$2,0),0)</f>
        <v>0</v>
      </c>
      <c r="F642" s="9">
        <f>IFERROR(VLOOKUP(B642,cubo!$A$6:$BE$37,12,0)-VLOOKUP(B642,#REF!,$F$2,0),0)</f>
        <v>0</v>
      </c>
      <c r="G642" s="9">
        <f>IFERROR(VLOOKUP(B642,cubo!$A$6:$BE$37,54,0)-VLOOKUP(B642,#REF!,$G$2,0),0)</f>
        <v>0</v>
      </c>
      <c r="H642" s="10">
        <f>IFERROR(VLOOKUP(B642,cubo!$A$6:$BE$37,15,0)-VLOOKUP(B642,#REF!,$H$2,0),0)</f>
        <v>0</v>
      </c>
      <c r="I642" s="9">
        <f>IFERROR(VLOOKUP(B642,cubo!$A$6:$BE$37,18,0)-VLOOKUP(B642,#REF!,$I$2,0),0)</f>
        <v>0</v>
      </c>
      <c r="J642" s="9">
        <f>IFERROR(VLOOKUP(B642,cubo!$A$6:$BE$37,24,0)-VLOOKUP(B642,#REF!,$J$2,0),0)</f>
        <v>0</v>
      </c>
      <c r="K642" s="9">
        <f>IFERROR(VLOOKUP(B642,cubo!$A$6:$BE$37,34,0)-VLOOKUP(B642,#REF!,$K$2,0),0)</f>
        <v>0</v>
      </c>
      <c r="L642" s="8">
        <f>IFERROR(VLOOKUP(B642,cubo!$A$6:$BE$37,38,0)-VLOOKUP(B642,#REF!,$L$2,0),0)</f>
        <v>0</v>
      </c>
      <c r="M642" s="15">
        <f>IFERROR(VLOOKUP(B642,cubo!$A$6:$BE$37,57,0)-VLOOKUP(B642,#REF!,$M$2,0),0)</f>
        <v>0</v>
      </c>
      <c r="N642" s="9">
        <f>IFERROR(VLOOKUP(B642,cubo!$A$6:$BK$37,41,0)-VLOOKUP(conciliacao_custos!B642,#REF!,18,0),0)</f>
        <v>0</v>
      </c>
      <c r="O642" s="9">
        <f>IFERROR(VLOOKUP(B642,cubo!$A$6:$BK$37,44,0)-VLOOKUP(conciliacao_custos!B642,#REF!,13,0),0)</f>
        <v>0</v>
      </c>
      <c r="P642" s="9">
        <f>IFERROR(VLOOKUP(B642,cubo!$A$6:$BK$37,47,0)-VLOOKUP(conciliacao_custos!B642,#REF!,14,0),0)</f>
        <v>0</v>
      </c>
      <c r="Q642" s="9">
        <f>IFERROR(VLOOKUP(B642,cubo!$A$6:$BK$37,58,0)-VLOOKUP(conciliacao_custos!B642,#REF!,16,0),0)</f>
        <v>0</v>
      </c>
      <c r="R642" s="9">
        <f>IFERROR(VLOOKUP(B642,cubo!$A$6:$BK$37,64,0)-VLOOKUP(conciliacao_custos!B642,#REF!,17,0),0)</f>
        <v>0</v>
      </c>
      <c r="S642" s="9">
        <f>IFERROR(VLOOKUP(B642,cubo!$A$6:$BK$37,61,0)-VLOOKUP(conciliacao_custos!B642,#REF!,15,0),0)</f>
        <v>0</v>
      </c>
    </row>
    <row r="643" spans="2:19" x14ac:dyDescent="0.25">
      <c r="B643" s="7">
        <f>[1]salario!A642</f>
        <v>0</v>
      </c>
      <c r="C643" s="8">
        <f>[1]salario!C642</f>
        <v>0</v>
      </c>
      <c r="D643" s="10">
        <f>IFERROR(VLOOKUP(B643,cubo!$A$6:$BE$37,6,0)-VLOOKUP(B643,#REF!,$D$2,0),0)</f>
        <v>0</v>
      </c>
      <c r="E643" s="10">
        <f>IFERROR(VLOOKUP(B643,cubo!$A$6:$BE$37,9,0)-VLOOKUP(B643,#REF!,$E$2,0),0)</f>
        <v>0</v>
      </c>
      <c r="F643" s="9">
        <f>IFERROR(VLOOKUP(B643,cubo!$A$6:$BE$37,12,0)-VLOOKUP(B643,#REF!,$F$2,0),0)</f>
        <v>0</v>
      </c>
      <c r="G643" s="9">
        <f>IFERROR(VLOOKUP(B643,cubo!$A$6:$BE$37,54,0)-VLOOKUP(B643,#REF!,$G$2,0),0)</f>
        <v>0</v>
      </c>
      <c r="H643" s="10">
        <f>IFERROR(VLOOKUP(B643,cubo!$A$6:$BE$37,15,0)-VLOOKUP(B643,#REF!,$H$2,0),0)</f>
        <v>0</v>
      </c>
      <c r="I643" s="9">
        <f>IFERROR(VLOOKUP(B643,cubo!$A$6:$BE$37,18,0)-VLOOKUP(B643,#REF!,$I$2,0),0)</f>
        <v>0</v>
      </c>
      <c r="J643" s="9">
        <f>IFERROR(VLOOKUP(B643,cubo!$A$6:$BE$37,24,0)-VLOOKUP(B643,#REF!,$J$2,0),0)</f>
        <v>0</v>
      </c>
      <c r="K643" s="9">
        <f>IFERROR(VLOOKUP(B643,cubo!$A$6:$BE$37,34,0)-VLOOKUP(B643,#REF!,$K$2,0),0)</f>
        <v>0</v>
      </c>
      <c r="L643" s="8">
        <f>IFERROR(VLOOKUP(B643,cubo!$A$6:$BE$37,38,0)-VLOOKUP(B643,#REF!,$L$2,0),0)</f>
        <v>0</v>
      </c>
      <c r="M643" s="15">
        <f>IFERROR(VLOOKUP(B643,cubo!$A$6:$BE$37,57,0)-VLOOKUP(B643,#REF!,$M$2,0),0)</f>
        <v>0</v>
      </c>
      <c r="N643" s="9">
        <f>IFERROR(VLOOKUP(B643,cubo!$A$6:$BK$37,41,0)-VLOOKUP(conciliacao_custos!B643,#REF!,18,0),0)</f>
        <v>0</v>
      </c>
      <c r="O643" s="9">
        <f>IFERROR(VLOOKUP(B643,cubo!$A$6:$BK$37,44,0)-VLOOKUP(conciliacao_custos!B643,#REF!,13,0),0)</f>
        <v>0</v>
      </c>
      <c r="P643" s="9">
        <f>IFERROR(VLOOKUP(B643,cubo!$A$6:$BK$37,47,0)-VLOOKUP(conciliacao_custos!B643,#REF!,14,0),0)</f>
        <v>0</v>
      </c>
      <c r="Q643" s="9">
        <f>IFERROR(VLOOKUP(B643,cubo!$A$6:$BK$37,58,0)-VLOOKUP(conciliacao_custos!B643,#REF!,16,0),0)</f>
        <v>0</v>
      </c>
      <c r="R643" s="9">
        <f>IFERROR(VLOOKUP(B643,cubo!$A$6:$BK$37,64,0)-VLOOKUP(conciliacao_custos!B643,#REF!,17,0),0)</f>
        <v>0</v>
      </c>
      <c r="S643" s="9">
        <f>IFERROR(VLOOKUP(B643,cubo!$A$6:$BK$37,61,0)-VLOOKUP(conciliacao_custos!B643,#REF!,15,0),0)</f>
        <v>0</v>
      </c>
    </row>
    <row r="644" spans="2:19" x14ac:dyDescent="0.25">
      <c r="B644" s="7">
        <f>[1]salario!A643</f>
        <v>0</v>
      </c>
      <c r="C644" s="8">
        <f>[1]salario!C643</f>
        <v>0</v>
      </c>
      <c r="D644" s="10">
        <f>IFERROR(VLOOKUP(B644,cubo!$A$6:$BE$37,6,0)-VLOOKUP(B644,#REF!,$D$2,0),0)</f>
        <v>0</v>
      </c>
      <c r="E644" s="10">
        <f>IFERROR(VLOOKUP(B644,cubo!$A$6:$BE$37,9,0)-VLOOKUP(B644,#REF!,$E$2,0),0)</f>
        <v>0</v>
      </c>
      <c r="F644" s="9">
        <f>IFERROR(VLOOKUP(B644,cubo!$A$6:$BE$37,12,0)-VLOOKUP(B644,#REF!,$F$2,0),0)</f>
        <v>0</v>
      </c>
      <c r="G644" s="9">
        <f>IFERROR(VLOOKUP(B644,cubo!$A$6:$BE$37,54,0)-VLOOKUP(B644,#REF!,$G$2,0),0)</f>
        <v>0</v>
      </c>
      <c r="H644" s="10">
        <f>IFERROR(VLOOKUP(B644,cubo!$A$6:$BE$37,15,0)-VLOOKUP(B644,#REF!,$H$2,0),0)</f>
        <v>0</v>
      </c>
      <c r="I644" s="9">
        <f>IFERROR(VLOOKUP(B644,cubo!$A$6:$BE$37,18,0)-VLOOKUP(B644,#REF!,$I$2,0),0)</f>
        <v>0</v>
      </c>
      <c r="J644" s="9">
        <f>IFERROR(VLOOKUP(B644,cubo!$A$6:$BE$37,24,0)-VLOOKUP(B644,#REF!,$J$2,0),0)</f>
        <v>0</v>
      </c>
      <c r="K644" s="9">
        <f>IFERROR(VLOOKUP(B644,cubo!$A$6:$BE$37,34,0)-VLOOKUP(B644,#REF!,$K$2,0),0)</f>
        <v>0</v>
      </c>
      <c r="L644" s="8">
        <f>IFERROR(VLOOKUP(B644,cubo!$A$6:$BE$37,38,0)-VLOOKUP(B644,#REF!,$L$2,0),0)</f>
        <v>0</v>
      </c>
      <c r="M644" s="15">
        <f>IFERROR(VLOOKUP(B644,cubo!$A$6:$BE$37,57,0)-VLOOKUP(B644,#REF!,$M$2,0),0)</f>
        <v>0</v>
      </c>
      <c r="N644" s="9">
        <f>IFERROR(VLOOKUP(B644,cubo!$A$6:$BK$37,41,0)-VLOOKUP(conciliacao_custos!B644,#REF!,18,0),0)</f>
        <v>0</v>
      </c>
      <c r="O644" s="9">
        <f>IFERROR(VLOOKUP(B644,cubo!$A$6:$BK$37,44,0)-VLOOKUP(conciliacao_custos!B644,#REF!,13,0),0)</f>
        <v>0</v>
      </c>
      <c r="P644" s="9">
        <f>IFERROR(VLOOKUP(B644,cubo!$A$6:$BK$37,47,0)-VLOOKUP(conciliacao_custos!B644,#REF!,14,0),0)</f>
        <v>0</v>
      </c>
      <c r="Q644" s="9">
        <f>IFERROR(VLOOKUP(B644,cubo!$A$6:$BK$37,58,0)-VLOOKUP(conciliacao_custos!B644,#REF!,16,0),0)</f>
        <v>0</v>
      </c>
      <c r="R644" s="9">
        <f>IFERROR(VLOOKUP(B644,cubo!$A$6:$BK$37,64,0)-VLOOKUP(conciliacao_custos!B644,#REF!,17,0),0)</f>
        <v>0</v>
      </c>
      <c r="S644" s="9">
        <f>IFERROR(VLOOKUP(B644,cubo!$A$6:$BK$37,61,0)-VLOOKUP(conciliacao_custos!B644,#REF!,15,0),0)</f>
        <v>0</v>
      </c>
    </row>
    <row r="645" spans="2:19" x14ac:dyDescent="0.25">
      <c r="B645" s="7">
        <f>[1]salario!A644</f>
        <v>0</v>
      </c>
      <c r="C645" s="8">
        <f>[1]salario!C644</f>
        <v>0</v>
      </c>
      <c r="D645" s="10">
        <f>IFERROR(VLOOKUP(B645,cubo!$A$6:$BE$37,6,0)-VLOOKUP(B645,#REF!,$D$2,0),0)</f>
        <v>0</v>
      </c>
      <c r="E645" s="10">
        <f>IFERROR(VLOOKUP(B645,cubo!$A$6:$BE$37,9,0)-VLOOKUP(B645,#REF!,$E$2,0),0)</f>
        <v>0</v>
      </c>
      <c r="F645" s="9">
        <f>IFERROR(VLOOKUP(B645,cubo!$A$6:$BE$37,12,0)-VLOOKUP(B645,#REF!,$F$2,0),0)</f>
        <v>0</v>
      </c>
      <c r="G645" s="9">
        <f>IFERROR(VLOOKUP(B645,cubo!$A$6:$BE$37,54,0)-VLOOKUP(B645,#REF!,$G$2,0),0)</f>
        <v>0</v>
      </c>
      <c r="H645" s="10">
        <f>IFERROR(VLOOKUP(B645,cubo!$A$6:$BE$37,15,0)-VLOOKUP(B645,#REF!,$H$2,0),0)</f>
        <v>0</v>
      </c>
      <c r="I645" s="9">
        <f>IFERROR(VLOOKUP(B645,cubo!$A$6:$BE$37,18,0)-VLOOKUP(B645,#REF!,$I$2,0),0)</f>
        <v>0</v>
      </c>
      <c r="J645" s="9">
        <f>IFERROR(VLOOKUP(B645,cubo!$A$6:$BE$37,24,0)-VLOOKUP(B645,#REF!,$J$2,0),0)</f>
        <v>0</v>
      </c>
      <c r="K645" s="9">
        <f>IFERROR(VLOOKUP(B645,cubo!$A$6:$BE$37,34,0)-VLOOKUP(B645,#REF!,$K$2,0),0)</f>
        <v>0</v>
      </c>
      <c r="L645" s="8">
        <f>IFERROR(VLOOKUP(B645,cubo!$A$6:$BE$37,38,0)-VLOOKUP(B645,#REF!,$L$2,0),0)</f>
        <v>0</v>
      </c>
      <c r="M645" s="15">
        <f>IFERROR(VLOOKUP(B645,cubo!$A$6:$BE$37,57,0)-VLOOKUP(B645,#REF!,$M$2,0),0)</f>
        <v>0</v>
      </c>
      <c r="N645" s="9">
        <f>IFERROR(VLOOKUP(B645,cubo!$A$6:$BK$37,41,0)-VLOOKUP(conciliacao_custos!B645,#REF!,18,0),0)</f>
        <v>0</v>
      </c>
      <c r="O645" s="9">
        <f>IFERROR(VLOOKUP(B645,cubo!$A$6:$BK$37,44,0)-VLOOKUP(conciliacao_custos!B645,#REF!,13,0),0)</f>
        <v>0</v>
      </c>
      <c r="P645" s="9">
        <f>IFERROR(VLOOKUP(B645,cubo!$A$6:$BK$37,47,0)-VLOOKUP(conciliacao_custos!B645,#REF!,14,0),0)</f>
        <v>0</v>
      </c>
      <c r="Q645" s="9">
        <f>IFERROR(VLOOKUP(B645,cubo!$A$6:$BK$37,58,0)-VLOOKUP(conciliacao_custos!B645,#REF!,16,0),0)</f>
        <v>0</v>
      </c>
      <c r="R645" s="9">
        <f>IFERROR(VLOOKUP(B645,cubo!$A$6:$BK$37,64,0)-VLOOKUP(conciliacao_custos!B645,#REF!,17,0),0)</f>
        <v>0</v>
      </c>
      <c r="S645" s="9">
        <f>IFERROR(VLOOKUP(B645,cubo!$A$6:$BK$37,61,0)-VLOOKUP(conciliacao_custos!B645,#REF!,15,0),0)</f>
        <v>0</v>
      </c>
    </row>
    <row r="646" spans="2:19" x14ac:dyDescent="0.25">
      <c r="B646" s="7">
        <f>[1]salario!A645</f>
        <v>0</v>
      </c>
      <c r="C646" s="8">
        <f>[1]salario!C645</f>
        <v>0</v>
      </c>
      <c r="D646" s="10">
        <f>IFERROR(VLOOKUP(B646,cubo!$A$6:$BE$37,6,0)-VLOOKUP(B646,#REF!,$D$2,0),0)</f>
        <v>0</v>
      </c>
      <c r="E646" s="10">
        <f>IFERROR(VLOOKUP(B646,cubo!$A$6:$BE$37,9,0)-VLOOKUP(B646,#REF!,$E$2,0),0)</f>
        <v>0</v>
      </c>
      <c r="F646" s="9">
        <f>IFERROR(VLOOKUP(B646,cubo!$A$6:$BE$37,12,0)-VLOOKUP(B646,#REF!,$F$2,0),0)</f>
        <v>0</v>
      </c>
      <c r="G646" s="9">
        <f>IFERROR(VLOOKUP(B646,cubo!$A$6:$BE$37,54,0)-VLOOKUP(B646,#REF!,$G$2,0),0)</f>
        <v>0</v>
      </c>
      <c r="H646" s="10">
        <f>IFERROR(VLOOKUP(B646,cubo!$A$6:$BE$37,15,0)-VLOOKUP(B646,#REF!,$H$2,0),0)</f>
        <v>0</v>
      </c>
      <c r="I646" s="9">
        <f>IFERROR(VLOOKUP(B646,cubo!$A$6:$BE$37,18,0)-VLOOKUP(B646,#REF!,$I$2,0),0)</f>
        <v>0</v>
      </c>
      <c r="J646" s="9">
        <f>IFERROR(VLOOKUP(B646,cubo!$A$6:$BE$37,24,0)-VLOOKUP(B646,#REF!,$J$2,0),0)</f>
        <v>0</v>
      </c>
      <c r="K646" s="9">
        <f>IFERROR(VLOOKUP(B646,cubo!$A$6:$BE$37,34,0)-VLOOKUP(B646,#REF!,$K$2,0),0)</f>
        <v>0</v>
      </c>
      <c r="L646" s="8">
        <f>IFERROR(VLOOKUP(B646,cubo!$A$6:$BE$37,38,0)-VLOOKUP(B646,#REF!,$L$2,0),0)</f>
        <v>0</v>
      </c>
      <c r="M646" s="15">
        <f>IFERROR(VLOOKUP(B646,cubo!$A$6:$BE$37,57,0)-VLOOKUP(B646,#REF!,$M$2,0),0)</f>
        <v>0</v>
      </c>
      <c r="N646" s="9">
        <f>IFERROR(VLOOKUP(B646,cubo!$A$6:$BK$37,41,0)-VLOOKUP(conciliacao_custos!B646,#REF!,18,0),0)</f>
        <v>0</v>
      </c>
      <c r="O646" s="9">
        <f>IFERROR(VLOOKUP(B646,cubo!$A$6:$BK$37,44,0)-VLOOKUP(conciliacao_custos!B646,#REF!,13,0),0)</f>
        <v>0</v>
      </c>
      <c r="P646" s="9">
        <f>IFERROR(VLOOKUP(B646,cubo!$A$6:$BK$37,47,0)-VLOOKUP(conciliacao_custos!B646,#REF!,14,0),0)</f>
        <v>0</v>
      </c>
      <c r="Q646" s="9">
        <f>IFERROR(VLOOKUP(B646,cubo!$A$6:$BK$37,58,0)-VLOOKUP(conciliacao_custos!B646,#REF!,16,0),0)</f>
        <v>0</v>
      </c>
      <c r="R646" s="9">
        <f>IFERROR(VLOOKUP(B646,cubo!$A$6:$BK$37,64,0)-VLOOKUP(conciliacao_custos!B646,#REF!,17,0),0)</f>
        <v>0</v>
      </c>
      <c r="S646" s="9">
        <f>IFERROR(VLOOKUP(B646,cubo!$A$6:$BK$37,61,0)-VLOOKUP(conciliacao_custos!B646,#REF!,15,0),0)</f>
        <v>0</v>
      </c>
    </row>
    <row r="647" spans="2:19" x14ac:dyDescent="0.25">
      <c r="B647" s="7">
        <f>[1]salario!A646</f>
        <v>0</v>
      </c>
      <c r="C647" s="8">
        <f>[1]salario!C646</f>
        <v>0</v>
      </c>
      <c r="D647" s="10">
        <f>IFERROR(VLOOKUP(B647,cubo!$A$6:$BE$37,6,0)-VLOOKUP(B647,#REF!,$D$2,0),0)</f>
        <v>0</v>
      </c>
      <c r="E647" s="10">
        <f>IFERROR(VLOOKUP(B647,cubo!$A$6:$BE$37,9,0)-VLOOKUP(B647,#REF!,$E$2,0),0)</f>
        <v>0</v>
      </c>
      <c r="F647" s="9">
        <f>IFERROR(VLOOKUP(B647,cubo!$A$6:$BE$37,12,0)-VLOOKUP(B647,#REF!,$F$2,0),0)</f>
        <v>0</v>
      </c>
      <c r="G647" s="9">
        <f>IFERROR(VLOOKUP(B647,cubo!$A$6:$BE$37,54,0)-VLOOKUP(B647,#REF!,$G$2,0),0)</f>
        <v>0</v>
      </c>
      <c r="H647" s="10">
        <f>IFERROR(VLOOKUP(B647,cubo!$A$6:$BE$37,15,0)-VLOOKUP(B647,#REF!,$H$2,0),0)</f>
        <v>0</v>
      </c>
      <c r="I647" s="9">
        <f>IFERROR(VLOOKUP(B647,cubo!$A$6:$BE$37,18,0)-VLOOKUP(B647,#REF!,$I$2,0),0)</f>
        <v>0</v>
      </c>
      <c r="J647" s="9">
        <f>IFERROR(VLOOKUP(B647,cubo!$A$6:$BE$37,24,0)-VLOOKUP(B647,#REF!,$J$2,0),0)</f>
        <v>0</v>
      </c>
      <c r="K647" s="9">
        <f>IFERROR(VLOOKUP(B647,cubo!$A$6:$BE$37,34,0)-VLOOKUP(B647,#REF!,$K$2,0),0)</f>
        <v>0</v>
      </c>
      <c r="L647" s="8">
        <f>IFERROR(VLOOKUP(B647,cubo!$A$6:$BE$37,38,0)-VLOOKUP(B647,#REF!,$L$2,0),0)</f>
        <v>0</v>
      </c>
      <c r="M647" s="15">
        <f>IFERROR(VLOOKUP(B647,cubo!$A$6:$BE$37,57,0)-VLOOKUP(B647,#REF!,$M$2,0),0)</f>
        <v>0</v>
      </c>
      <c r="N647" s="9">
        <f>IFERROR(VLOOKUP(B647,cubo!$A$6:$BK$37,41,0)-VLOOKUP(conciliacao_custos!B647,#REF!,18,0),0)</f>
        <v>0</v>
      </c>
      <c r="O647" s="9">
        <f>IFERROR(VLOOKUP(B647,cubo!$A$6:$BK$37,44,0)-VLOOKUP(conciliacao_custos!B647,#REF!,13,0),0)</f>
        <v>0</v>
      </c>
      <c r="P647" s="9">
        <f>IFERROR(VLOOKUP(B647,cubo!$A$6:$BK$37,47,0)-VLOOKUP(conciliacao_custos!B647,#REF!,14,0),0)</f>
        <v>0</v>
      </c>
      <c r="Q647" s="9">
        <f>IFERROR(VLOOKUP(B647,cubo!$A$6:$BK$37,58,0)-VLOOKUP(conciliacao_custos!B647,#REF!,16,0),0)</f>
        <v>0</v>
      </c>
      <c r="R647" s="9">
        <f>IFERROR(VLOOKUP(B647,cubo!$A$6:$BK$37,64,0)-VLOOKUP(conciliacao_custos!B647,#REF!,17,0),0)</f>
        <v>0</v>
      </c>
      <c r="S647" s="9">
        <f>IFERROR(VLOOKUP(B647,cubo!$A$6:$BK$37,61,0)-VLOOKUP(conciliacao_custos!B647,#REF!,15,0),0)</f>
        <v>0</v>
      </c>
    </row>
    <row r="648" spans="2:19" x14ac:dyDescent="0.25">
      <c r="B648" s="7">
        <f>[1]salario!A647</f>
        <v>0</v>
      </c>
      <c r="C648" s="8">
        <f>[1]salario!C647</f>
        <v>0</v>
      </c>
      <c r="D648" s="10">
        <f>IFERROR(VLOOKUP(B648,cubo!$A$6:$BE$37,6,0)-VLOOKUP(B648,#REF!,$D$2,0),0)</f>
        <v>0</v>
      </c>
      <c r="E648" s="10">
        <f>IFERROR(VLOOKUP(B648,cubo!$A$6:$BE$37,9,0)-VLOOKUP(B648,#REF!,$E$2,0),0)</f>
        <v>0</v>
      </c>
      <c r="F648" s="9">
        <f>IFERROR(VLOOKUP(B648,cubo!$A$6:$BE$37,12,0)-VLOOKUP(B648,#REF!,$F$2,0),0)</f>
        <v>0</v>
      </c>
      <c r="G648" s="9">
        <f>IFERROR(VLOOKUP(B648,cubo!$A$6:$BE$37,54,0)-VLOOKUP(B648,#REF!,$G$2,0),0)</f>
        <v>0</v>
      </c>
      <c r="H648" s="10">
        <f>IFERROR(VLOOKUP(B648,cubo!$A$6:$BE$37,15,0)-VLOOKUP(B648,#REF!,$H$2,0),0)</f>
        <v>0</v>
      </c>
      <c r="I648" s="9">
        <f>IFERROR(VLOOKUP(B648,cubo!$A$6:$BE$37,18,0)-VLOOKUP(B648,#REF!,$I$2,0),0)</f>
        <v>0</v>
      </c>
      <c r="J648" s="9">
        <f>IFERROR(VLOOKUP(B648,cubo!$A$6:$BE$37,24,0)-VLOOKUP(B648,#REF!,$J$2,0),0)</f>
        <v>0</v>
      </c>
      <c r="K648" s="9">
        <f>IFERROR(VLOOKUP(B648,cubo!$A$6:$BE$37,34,0)-VLOOKUP(B648,#REF!,$K$2,0),0)</f>
        <v>0</v>
      </c>
      <c r="L648" s="8">
        <f>IFERROR(VLOOKUP(B648,cubo!$A$6:$BE$37,38,0)-VLOOKUP(B648,#REF!,$L$2,0),0)</f>
        <v>0</v>
      </c>
      <c r="M648" s="15">
        <f>IFERROR(VLOOKUP(B648,cubo!$A$6:$BE$37,57,0)-VLOOKUP(B648,#REF!,$M$2,0),0)</f>
        <v>0</v>
      </c>
      <c r="N648" s="9">
        <f>IFERROR(VLOOKUP(B648,cubo!$A$6:$BK$37,41,0)-VLOOKUP(conciliacao_custos!B648,#REF!,18,0),0)</f>
        <v>0</v>
      </c>
      <c r="O648" s="9">
        <f>IFERROR(VLOOKUP(B648,cubo!$A$6:$BK$37,44,0)-VLOOKUP(conciliacao_custos!B648,#REF!,13,0),0)</f>
        <v>0</v>
      </c>
      <c r="P648" s="9">
        <f>IFERROR(VLOOKUP(B648,cubo!$A$6:$BK$37,47,0)-VLOOKUP(conciliacao_custos!B648,#REF!,14,0),0)</f>
        <v>0</v>
      </c>
      <c r="Q648" s="9">
        <f>IFERROR(VLOOKUP(B648,cubo!$A$6:$BK$37,58,0)-VLOOKUP(conciliacao_custos!B648,#REF!,16,0),0)</f>
        <v>0</v>
      </c>
      <c r="R648" s="9">
        <f>IFERROR(VLOOKUP(B648,cubo!$A$6:$BK$37,64,0)-VLOOKUP(conciliacao_custos!B648,#REF!,17,0),0)</f>
        <v>0</v>
      </c>
      <c r="S648" s="9">
        <f>IFERROR(VLOOKUP(B648,cubo!$A$6:$BK$37,61,0)-VLOOKUP(conciliacao_custos!B648,#REF!,15,0),0)</f>
        <v>0</v>
      </c>
    </row>
    <row r="649" spans="2:19" x14ac:dyDescent="0.25">
      <c r="B649" s="7">
        <f>[1]salario!A648</f>
        <v>0</v>
      </c>
      <c r="C649" s="8">
        <f>[1]salario!C648</f>
        <v>0</v>
      </c>
      <c r="D649" s="10">
        <f>IFERROR(VLOOKUP(B649,cubo!$A$6:$BE$37,6,0)-VLOOKUP(B649,#REF!,$D$2,0),0)</f>
        <v>0</v>
      </c>
      <c r="E649" s="10">
        <f>IFERROR(VLOOKUP(B649,cubo!$A$6:$BE$37,9,0)-VLOOKUP(B649,#REF!,$E$2,0),0)</f>
        <v>0</v>
      </c>
      <c r="F649" s="9">
        <f>IFERROR(VLOOKUP(B649,cubo!$A$6:$BE$37,12,0)-VLOOKUP(B649,#REF!,$F$2,0),0)</f>
        <v>0</v>
      </c>
      <c r="G649" s="9">
        <f>IFERROR(VLOOKUP(B649,cubo!$A$6:$BE$37,54,0)-VLOOKUP(B649,#REF!,$G$2,0),0)</f>
        <v>0</v>
      </c>
      <c r="H649" s="10">
        <f>IFERROR(VLOOKUP(B649,cubo!$A$6:$BE$37,15,0)-VLOOKUP(B649,#REF!,$H$2,0),0)</f>
        <v>0</v>
      </c>
      <c r="I649" s="9">
        <f>IFERROR(VLOOKUP(B649,cubo!$A$6:$BE$37,18,0)-VLOOKUP(B649,#REF!,$I$2,0),0)</f>
        <v>0</v>
      </c>
      <c r="J649" s="9">
        <f>IFERROR(VLOOKUP(B649,cubo!$A$6:$BE$37,24,0)-VLOOKUP(B649,#REF!,$J$2,0),0)</f>
        <v>0</v>
      </c>
      <c r="K649" s="9">
        <f>IFERROR(VLOOKUP(B649,cubo!$A$6:$BE$37,34,0)-VLOOKUP(B649,#REF!,$K$2,0),0)</f>
        <v>0</v>
      </c>
      <c r="L649" s="8">
        <f>IFERROR(VLOOKUP(B649,cubo!$A$6:$BE$37,38,0)-VLOOKUP(B649,#REF!,$L$2,0),0)</f>
        <v>0</v>
      </c>
      <c r="M649" s="15">
        <f>IFERROR(VLOOKUP(B649,cubo!$A$6:$BE$37,57,0)-VLOOKUP(B649,#REF!,$M$2,0),0)</f>
        <v>0</v>
      </c>
      <c r="N649" s="9">
        <f>IFERROR(VLOOKUP(B649,cubo!$A$6:$BK$37,41,0)-VLOOKUP(conciliacao_custos!B649,#REF!,18,0),0)</f>
        <v>0</v>
      </c>
      <c r="O649" s="9">
        <f>IFERROR(VLOOKUP(B649,cubo!$A$6:$BK$37,44,0)-VLOOKUP(conciliacao_custos!B649,#REF!,13,0),0)</f>
        <v>0</v>
      </c>
      <c r="P649" s="9">
        <f>IFERROR(VLOOKUP(B649,cubo!$A$6:$BK$37,47,0)-VLOOKUP(conciliacao_custos!B649,#REF!,14,0),0)</f>
        <v>0</v>
      </c>
      <c r="Q649" s="9">
        <f>IFERROR(VLOOKUP(B649,cubo!$A$6:$BK$37,58,0)-VLOOKUP(conciliacao_custos!B649,#REF!,16,0),0)</f>
        <v>0</v>
      </c>
      <c r="R649" s="9">
        <f>IFERROR(VLOOKUP(B649,cubo!$A$6:$BK$37,64,0)-VLOOKUP(conciliacao_custos!B649,#REF!,17,0),0)</f>
        <v>0</v>
      </c>
      <c r="S649" s="9">
        <f>IFERROR(VLOOKUP(B649,cubo!$A$6:$BK$37,61,0)-VLOOKUP(conciliacao_custos!B649,#REF!,15,0),0)</f>
        <v>0</v>
      </c>
    </row>
    <row r="650" spans="2:19" x14ac:dyDescent="0.25">
      <c r="B650" s="7">
        <f>[1]salario!A649</f>
        <v>0</v>
      </c>
      <c r="C650" s="8">
        <f>[1]salario!C649</f>
        <v>0</v>
      </c>
      <c r="D650" s="10">
        <f>IFERROR(VLOOKUP(B650,cubo!$A$6:$BE$37,6,0)-VLOOKUP(B650,#REF!,$D$2,0),0)</f>
        <v>0</v>
      </c>
      <c r="E650" s="10">
        <f>IFERROR(VLOOKUP(B650,cubo!$A$6:$BE$37,9,0)-VLOOKUP(B650,#REF!,$E$2,0),0)</f>
        <v>0</v>
      </c>
      <c r="F650" s="9">
        <f>IFERROR(VLOOKUP(B650,cubo!$A$6:$BE$37,12,0)-VLOOKUP(B650,#REF!,$F$2,0),0)</f>
        <v>0</v>
      </c>
      <c r="G650" s="9">
        <f>IFERROR(VLOOKUP(B650,cubo!$A$6:$BE$37,54,0)-VLOOKUP(B650,#REF!,$G$2,0),0)</f>
        <v>0</v>
      </c>
      <c r="H650" s="10">
        <f>IFERROR(VLOOKUP(B650,cubo!$A$6:$BE$37,15,0)-VLOOKUP(B650,#REF!,$H$2,0),0)</f>
        <v>0</v>
      </c>
      <c r="I650" s="9">
        <f>IFERROR(VLOOKUP(B650,cubo!$A$6:$BE$37,18,0)-VLOOKUP(B650,#REF!,$I$2,0),0)</f>
        <v>0</v>
      </c>
      <c r="J650" s="9">
        <f>IFERROR(VLOOKUP(B650,cubo!$A$6:$BE$37,24,0)-VLOOKUP(B650,#REF!,$J$2,0),0)</f>
        <v>0</v>
      </c>
      <c r="K650" s="9">
        <f>IFERROR(VLOOKUP(B650,cubo!$A$6:$BE$37,34,0)-VLOOKUP(B650,#REF!,$K$2,0),0)</f>
        <v>0</v>
      </c>
      <c r="L650" s="8">
        <f>IFERROR(VLOOKUP(B650,cubo!$A$6:$BE$37,38,0)-VLOOKUP(B650,#REF!,$L$2,0),0)</f>
        <v>0</v>
      </c>
      <c r="M650" s="15">
        <f>IFERROR(VLOOKUP(B650,cubo!$A$6:$BE$37,57,0)-VLOOKUP(B650,#REF!,$M$2,0),0)</f>
        <v>0</v>
      </c>
      <c r="N650" s="9">
        <f>IFERROR(VLOOKUP(B650,cubo!$A$6:$BK$37,41,0)-VLOOKUP(conciliacao_custos!B650,#REF!,18,0),0)</f>
        <v>0</v>
      </c>
      <c r="O650" s="9">
        <f>IFERROR(VLOOKUP(B650,cubo!$A$6:$BK$37,44,0)-VLOOKUP(conciliacao_custos!B650,#REF!,13,0),0)</f>
        <v>0</v>
      </c>
      <c r="P650" s="9">
        <f>IFERROR(VLOOKUP(B650,cubo!$A$6:$BK$37,47,0)-VLOOKUP(conciliacao_custos!B650,#REF!,14,0),0)</f>
        <v>0</v>
      </c>
      <c r="Q650" s="9">
        <f>IFERROR(VLOOKUP(B650,cubo!$A$6:$BK$37,58,0)-VLOOKUP(conciliacao_custos!B650,#REF!,16,0),0)</f>
        <v>0</v>
      </c>
      <c r="R650" s="9">
        <f>IFERROR(VLOOKUP(B650,cubo!$A$6:$BK$37,64,0)-VLOOKUP(conciliacao_custos!B650,#REF!,17,0),0)</f>
        <v>0</v>
      </c>
      <c r="S650" s="9">
        <f>IFERROR(VLOOKUP(B650,cubo!$A$6:$BK$37,61,0)-VLOOKUP(conciliacao_custos!B650,#REF!,15,0),0)</f>
        <v>0</v>
      </c>
    </row>
    <row r="651" spans="2:19" x14ac:dyDescent="0.25">
      <c r="B651" s="7">
        <f>[1]salario!A650</f>
        <v>0</v>
      </c>
      <c r="C651" s="8">
        <f>[1]salario!C650</f>
        <v>0</v>
      </c>
      <c r="D651" s="10">
        <f>IFERROR(VLOOKUP(B651,cubo!$A$6:$BE$37,6,0)-VLOOKUP(B651,#REF!,$D$2,0),0)</f>
        <v>0</v>
      </c>
      <c r="E651" s="10">
        <f>IFERROR(VLOOKUP(B651,cubo!$A$6:$BE$37,9,0)-VLOOKUP(B651,#REF!,$E$2,0),0)</f>
        <v>0</v>
      </c>
      <c r="F651" s="9">
        <f>IFERROR(VLOOKUP(B651,cubo!$A$6:$BE$37,12,0)-VLOOKUP(B651,#REF!,$F$2,0),0)</f>
        <v>0</v>
      </c>
      <c r="G651" s="9">
        <f>IFERROR(VLOOKUP(B651,cubo!$A$6:$BE$37,54,0)-VLOOKUP(B651,#REF!,$G$2,0),0)</f>
        <v>0</v>
      </c>
      <c r="H651" s="10">
        <f>IFERROR(VLOOKUP(B651,cubo!$A$6:$BE$37,15,0)-VLOOKUP(B651,#REF!,$H$2,0),0)</f>
        <v>0</v>
      </c>
      <c r="I651" s="9">
        <f>IFERROR(VLOOKUP(B651,cubo!$A$6:$BE$37,18,0)-VLOOKUP(B651,#REF!,$I$2,0),0)</f>
        <v>0</v>
      </c>
      <c r="J651" s="9">
        <f>IFERROR(VLOOKUP(B651,cubo!$A$6:$BE$37,24,0)-VLOOKUP(B651,#REF!,$J$2,0),0)</f>
        <v>0</v>
      </c>
      <c r="K651" s="9">
        <f>IFERROR(VLOOKUP(B651,cubo!$A$6:$BE$37,34,0)-VLOOKUP(B651,#REF!,$K$2,0),0)</f>
        <v>0</v>
      </c>
      <c r="L651" s="8">
        <f>IFERROR(VLOOKUP(B651,cubo!$A$6:$BE$37,38,0)-VLOOKUP(B651,#REF!,$L$2,0),0)</f>
        <v>0</v>
      </c>
      <c r="M651" s="15">
        <f>IFERROR(VLOOKUP(B651,cubo!$A$6:$BE$37,57,0)-VLOOKUP(B651,#REF!,$M$2,0),0)</f>
        <v>0</v>
      </c>
      <c r="N651" s="9">
        <f>IFERROR(VLOOKUP(B651,cubo!$A$6:$BK$37,41,0)-VLOOKUP(conciliacao_custos!B651,#REF!,18,0),0)</f>
        <v>0</v>
      </c>
      <c r="O651" s="9">
        <f>IFERROR(VLOOKUP(B651,cubo!$A$6:$BK$37,44,0)-VLOOKUP(conciliacao_custos!B651,#REF!,13,0),0)</f>
        <v>0</v>
      </c>
      <c r="P651" s="9">
        <f>IFERROR(VLOOKUP(B651,cubo!$A$6:$BK$37,47,0)-VLOOKUP(conciliacao_custos!B651,#REF!,14,0),0)</f>
        <v>0</v>
      </c>
      <c r="Q651" s="9">
        <f>IFERROR(VLOOKUP(B651,cubo!$A$6:$BK$37,58,0)-VLOOKUP(conciliacao_custos!B651,#REF!,16,0),0)</f>
        <v>0</v>
      </c>
      <c r="R651" s="9">
        <f>IFERROR(VLOOKUP(B651,cubo!$A$6:$BK$37,64,0)-VLOOKUP(conciliacao_custos!B651,#REF!,17,0),0)</f>
        <v>0</v>
      </c>
      <c r="S651" s="9">
        <f>IFERROR(VLOOKUP(B651,cubo!$A$6:$BK$37,61,0)-VLOOKUP(conciliacao_custos!B651,#REF!,15,0),0)</f>
        <v>0</v>
      </c>
    </row>
    <row r="652" spans="2:19" x14ac:dyDescent="0.25">
      <c r="B652" s="7">
        <f>[1]salario!A651</f>
        <v>0</v>
      </c>
      <c r="C652" s="8">
        <f>[1]salario!C651</f>
        <v>0</v>
      </c>
      <c r="D652" s="10">
        <f>IFERROR(VLOOKUP(B652,cubo!$A$6:$BE$37,6,0)-VLOOKUP(B652,#REF!,$D$2,0),0)</f>
        <v>0</v>
      </c>
      <c r="E652" s="10">
        <f>IFERROR(VLOOKUP(B652,cubo!$A$6:$BE$37,9,0)-VLOOKUP(B652,#REF!,$E$2,0),0)</f>
        <v>0</v>
      </c>
      <c r="F652" s="9">
        <f>IFERROR(VLOOKUP(B652,cubo!$A$6:$BE$37,12,0)-VLOOKUP(B652,#REF!,$F$2,0),0)</f>
        <v>0</v>
      </c>
      <c r="G652" s="9">
        <f>IFERROR(VLOOKUP(B652,cubo!$A$6:$BE$37,54,0)-VLOOKUP(B652,#REF!,$G$2,0),0)</f>
        <v>0</v>
      </c>
      <c r="H652" s="10">
        <f>IFERROR(VLOOKUP(B652,cubo!$A$6:$BE$37,15,0)-VLOOKUP(B652,#REF!,$H$2,0),0)</f>
        <v>0</v>
      </c>
      <c r="I652" s="9">
        <f>IFERROR(VLOOKUP(B652,cubo!$A$6:$BE$37,18,0)-VLOOKUP(B652,#REF!,$I$2,0),0)</f>
        <v>0</v>
      </c>
      <c r="J652" s="9">
        <f>IFERROR(VLOOKUP(B652,cubo!$A$6:$BE$37,24,0)-VLOOKUP(B652,#REF!,$J$2,0),0)</f>
        <v>0</v>
      </c>
      <c r="K652" s="9">
        <f>IFERROR(VLOOKUP(B652,cubo!$A$6:$BE$37,34,0)-VLOOKUP(B652,#REF!,$K$2,0),0)</f>
        <v>0</v>
      </c>
      <c r="L652" s="8">
        <f>IFERROR(VLOOKUP(B652,cubo!$A$6:$BE$37,38,0)-VLOOKUP(B652,#REF!,$L$2,0),0)</f>
        <v>0</v>
      </c>
      <c r="M652" s="15">
        <f>IFERROR(VLOOKUP(B652,cubo!$A$6:$BE$37,57,0)-VLOOKUP(B652,#REF!,$M$2,0),0)</f>
        <v>0</v>
      </c>
      <c r="N652" s="9">
        <f>IFERROR(VLOOKUP(B652,cubo!$A$6:$BK$37,41,0)-VLOOKUP(conciliacao_custos!B652,#REF!,18,0),0)</f>
        <v>0</v>
      </c>
      <c r="O652" s="9">
        <f>IFERROR(VLOOKUP(B652,cubo!$A$6:$BK$37,44,0)-VLOOKUP(conciliacao_custos!B652,#REF!,13,0),0)</f>
        <v>0</v>
      </c>
      <c r="P652" s="9">
        <f>IFERROR(VLOOKUP(B652,cubo!$A$6:$BK$37,47,0)-VLOOKUP(conciliacao_custos!B652,#REF!,14,0),0)</f>
        <v>0</v>
      </c>
      <c r="Q652" s="9">
        <f>IFERROR(VLOOKUP(B652,cubo!$A$6:$BK$37,58,0)-VLOOKUP(conciliacao_custos!B652,#REF!,16,0),0)</f>
        <v>0</v>
      </c>
      <c r="R652" s="9">
        <f>IFERROR(VLOOKUP(B652,cubo!$A$6:$BK$37,64,0)-VLOOKUP(conciliacao_custos!B652,#REF!,17,0),0)</f>
        <v>0</v>
      </c>
      <c r="S652" s="9">
        <f>IFERROR(VLOOKUP(B652,cubo!$A$6:$BK$37,61,0)-VLOOKUP(conciliacao_custos!B652,#REF!,15,0),0)</f>
        <v>0</v>
      </c>
    </row>
    <row r="653" spans="2:19" x14ac:dyDescent="0.25">
      <c r="B653" s="7">
        <f>[1]salario!A652</f>
        <v>0</v>
      </c>
      <c r="C653" s="8">
        <f>[1]salario!C652</f>
        <v>0</v>
      </c>
      <c r="D653" s="10">
        <f>IFERROR(VLOOKUP(B653,cubo!$A$6:$BE$37,6,0)-VLOOKUP(B653,#REF!,$D$2,0),0)</f>
        <v>0</v>
      </c>
      <c r="E653" s="10">
        <f>IFERROR(VLOOKUP(B653,cubo!$A$6:$BE$37,9,0)-VLOOKUP(B653,#REF!,$E$2,0),0)</f>
        <v>0</v>
      </c>
      <c r="F653" s="9">
        <f>IFERROR(VLOOKUP(B653,cubo!$A$6:$BE$37,12,0)-VLOOKUP(B653,#REF!,$F$2,0),0)</f>
        <v>0</v>
      </c>
      <c r="G653" s="9">
        <f>IFERROR(VLOOKUP(B653,cubo!$A$6:$BE$37,54,0)-VLOOKUP(B653,#REF!,$G$2,0),0)</f>
        <v>0</v>
      </c>
      <c r="H653" s="10">
        <f>IFERROR(VLOOKUP(B653,cubo!$A$6:$BE$37,15,0)-VLOOKUP(B653,#REF!,$H$2,0),0)</f>
        <v>0</v>
      </c>
      <c r="I653" s="9">
        <f>IFERROR(VLOOKUP(B653,cubo!$A$6:$BE$37,18,0)-VLOOKUP(B653,#REF!,$I$2,0),0)</f>
        <v>0</v>
      </c>
      <c r="J653" s="9">
        <f>IFERROR(VLOOKUP(B653,cubo!$A$6:$BE$37,24,0)-VLOOKUP(B653,#REF!,$J$2,0),0)</f>
        <v>0</v>
      </c>
      <c r="K653" s="9">
        <f>IFERROR(VLOOKUP(B653,cubo!$A$6:$BE$37,34,0)-VLOOKUP(B653,#REF!,$K$2,0),0)</f>
        <v>0</v>
      </c>
      <c r="L653" s="8">
        <f>IFERROR(VLOOKUP(B653,cubo!$A$6:$BE$37,38,0)-VLOOKUP(B653,#REF!,$L$2,0),0)</f>
        <v>0</v>
      </c>
      <c r="M653" s="15">
        <f>IFERROR(VLOOKUP(B653,cubo!$A$6:$BE$37,57,0)-VLOOKUP(B653,#REF!,$M$2,0),0)</f>
        <v>0</v>
      </c>
      <c r="N653" s="9">
        <f>IFERROR(VLOOKUP(B653,cubo!$A$6:$BK$37,41,0)-VLOOKUP(conciliacao_custos!B653,#REF!,18,0),0)</f>
        <v>0</v>
      </c>
      <c r="O653" s="9">
        <f>IFERROR(VLOOKUP(B653,cubo!$A$6:$BK$37,44,0)-VLOOKUP(conciliacao_custos!B653,#REF!,13,0),0)</f>
        <v>0</v>
      </c>
      <c r="P653" s="9">
        <f>IFERROR(VLOOKUP(B653,cubo!$A$6:$BK$37,47,0)-VLOOKUP(conciliacao_custos!B653,#REF!,14,0),0)</f>
        <v>0</v>
      </c>
      <c r="Q653" s="9">
        <f>IFERROR(VLOOKUP(B653,cubo!$A$6:$BK$37,58,0)-VLOOKUP(conciliacao_custos!B653,#REF!,16,0),0)</f>
        <v>0</v>
      </c>
      <c r="R653" s="9">
        <f>IFERROR(VLOOKUP(B653,cubo!$A$6:$BK$37,64,0)-VLOOKUP(conciliacao_custos!B653,#REF!,17,0),0)</f>
        <v>0</v>
      </c>
      <c r="S653" s="9">
        <f>IFERROR(VLOOKUP(B653,cubo!$A$6:$BK$37,61,0)-VLOOKUP(conciliacao_custos!B653,#REF!,15,0),0)</f>
        <v>0</v>
      </c>
    </row>
    <row r="654" spans="2:19" x14ac:dyDescent="0.25">
      <c r="B654" s="7">
        <f>[1]salario!A653</f>
        <v>0</v>
      </c>
      <c r="C654" s="8">
        <f>[1]salario!C653</f>
        <v>0</v>
      </c>
      <c r="D654" s="10">
        <f>IFERROR(VLOOKUP(B654,cubo!$A$6:$BE$37,6,0)-VLOOKUP(B654,#REF!,$D$2,0),0)</f>
        <v>0</v>
      </c>
      <c r="E654" s="10">
        <f>IFERROR(VLOOKUP(B654,cubo!$A$6:$BE$37,9,0)-VLOOKUP(B654,#REF!,$E$2,0),0)</f>
        <v>0</v>
      </c>
      <c r="F654" s="9">
        <f>IFERROR(VLOOKUP(B654,cubo!$A$6:$BE$37,12,0)-VLOOKUP(B654,#REF!,$F$2,0),0)</f>
        <v>0</v>
      </c>
      <c r="G654" s="9">
        <f>IFERROR(VLOOKUP(B654,cubo!$A$6:$BE$37,54,0)-VLOOKUP(B654,#REF!,$G$2,0),0)</f>
        <v>0</v>
      </c>
      <c r="H654" s="10">
        <f>IFERROR(VLOOKUP(B654,cubo!$A$6:$BE$37,15,0)-VLOOKUP(B654,#REF!,$H$2,0),0)</f>
        <v>0</v>
      </c>
      <c r="I654" s="9">
        <f>IFERROR(VLOOKUP(B654,cubo!$A$6:$BE$37,18,0)-VLOOKUP(B654,#REF!,$I$2,0),0)</f>
        <v>0</v>
      </c>
      <c r="J654" s="9">
        <f>IFERROR(VLOOKUP(B654,cubo!$A$6:$BE$37,24,0)-VLOOKUP(B654,#REF!,$J$2,0),0)</f>
        <v>0</v>
      </c>
      <c r="K654" s="9">
        <f>IFERROR(VLOOKUP(B654,cubo!$A$6:$BE$37,34,0)-VLOOKUP(B654,#REF!,$K$2,0),0)</f>
        <v>0</v>
      </c>
      <c r="L654" s="8">
        <f>IFERROR(VLOOKUP(B654,cubo!$A$6:$BE$37,38,0)-VLOOKUP(B654,#REF!,$L$2,0),0)</f>
        <v>0</v>
      </c>
      <c r="M654" s="15">
        <f>IFERROR(VLOOKUP(B654,cubo!$A$6:$BE$37,57,0)-VLOOKUP(B654,#REF!,$M$2,0),0)</f>
        <v>0</v>
      </c>
      <c r="N654" s="9">
        <f>IFERROR(VLOOKUP(B654,cubo!$A$6:$BK$37,41,0)-VLOOKUP(conciliacao_custos!B654,#REF!,18,0),0)</f>
        <v>0</v>
      </c>
      <c r="O654" s="9">
        <f>IFERROR(VLOOKUP(B654,cubo!$A$6:$BK$37,44,0)-VLOOKUP(conciliacao_custos!B654,#REF!,13,0),0)</f>
        <v>0</v>
      </c>
      <c r="P654" s="9">
        <f>IFERROR(VLOOKUP(B654,cubo!$A$6:$BK$37,47,0)-VLOOKUP(conciliacao_custos!B654,#REF!,14,0),0)</f>
        <v>0</v>
      </c>
      <c r="Q654" s="9">
        <f>IFERROR(VLOOKUP(B654,cubo!$A$6:$BK$37,58,0)-VLOOKUP(conciliacao_custos!B654,#REF!,16,0),0)</f>
        <v>0</v>
      </c>
      <c r="R654" s="9">
        <f>IFERROR(VLOOKUP(B654,cubo!$A$6:$BK$37,64,0)-VLOOKUP(conciliacao_custos!B654,#REF!,17,0),0)</f>
        <v>0</v>
      </c>
      <c r="S654" s="9">
        <f>IFERROR(VLOOKUP(B654,cubo!$A$6:$BK$37,61,0)-VLOOKUP(conciliacao_custos!B654,#REF!,15,0),0)</f>
        <v>0</v>
      </c>
    </row>
    <row r="655" spans="2:19" x14ac:dyDescent="0.25">
      <c r="B655" s="7">
        <f>[1]salario!A654</f>
        <v>0</v>
      </c>
      <c r="C655" s="8">
        <f>[1]salario!C654</f>
        <v>0</v>
      </c>
      <c r="D655" s="10">
        <f>IFERROR(VLOOKUP(B655,cubo!$A$6:$BE$37,6,0)-VLOOKUP(B655,#REF!,$D$2,0),0)</f>
        <v>0</v>
      </c>
      <c r="E655" s="10">
        <f>IFERROR(VLOOKUP(B655,cubo!$A$6:$BE$37,9,0)-VLOOKUP(B655,#REF!,$E$2,0),0)</f>
        <v>0</v>
      </c>
      <c r="F655" s="9">
        <f>IFERROR(VLOOKUP(B655,cubo!$A$6:$BE$37,12,0)-VLOOKUP(B655,#REF!,$F$2,0),0)</f>
        <v>0</v>
      </c>
      <c r="G655" s="9">
        <f>IFERROR(VLOOKUP(B655,cubo!$A$6:$BE$37,54,0)-VLOOKUP(B655,#REF!,$G$2,0),0)</f>
        <v>0</v>
      </c>
      <c r="H655" s="10">
        <f>IFERROR(VLOOKUP(B655,cubo!$A$6:$BE$37,15,0)-VLOOKUP(B655,#REF!,$H$2,0),0)</f>
        <v>0</v>
      </c>
      <c r="I655" s="9">
        <f>IFERROR(VLOOKUP(B655,cubo!$A$6:$BE$37,18,0)-VLOOKUP(B655,#REF!,$I$2,0),0)</f>
        <v>0</v>
      </c>
      <c r="J655" s="9">
        <f>IFERROR(VLOOKUP(B655,cubo!$A$6:$BE$37,24,0)-VLOOKUP(B655,#REF!,$J$2,0),0)</f>
        <v>0</v>
      </c>
      <c r="K655" s="9">
        <f>IFERROR(VLOOKUP(B655,cubo!$A$6:$BE$37,34,0)-VLOOKUP(B655,#REF!,$K$2,0),0)</f>
        <v>0</v>
      </c>
      <c r="L655" s="8">
        <f>IFERROR(VLOOKUP(B655,cubo!$A$6:$BE$37,38,0)-VLOOKUP(B655,#REF!,$L$2,0),0)</f>
        <v>0</v>
      </c>
      <c r="M655" s="15">
        <f>IFERROR(VLOOKUP(B655,cubo!$A$6:$BE$37,57,0)-VLOOKUP(B655,#REF!,$M$2,0),0)</f>
        <v>0</v>
      </c>
      <c r="N655" s="9">
        <f>IFERROR(VLOOKUP(B655,cubo!$A$6:$BK$37,41,0)-VLOOKUP(conciliacao_custos!B655,#REF!,18,0),0)</f>
        <v>0</v>
      </c>
      <c r="O655" s="9">
        <f>IFERROR(VLOOKUP(B655,cubo!$A$6:$BK$37,44,0)-VLOOKUP(conciliacao_custos!B655,#REF!,13,0),0)</f>
        <v>0</v>
      </c>
      <c r="P655" s="9">
        <f>IFERROR(VLOOKUP(B655,cubo!$A$6:$BK$37,47,0)-VLOOKUP(conciliacao_custos!B655,#REF!,14,0),0)</f>
        <v>0</v>
      </c>
      <c r="Q655" s="9">
        <f>IFERROR(VLOOKUP(B655,cubo!$A$6:$BK$37,58,0)-VLOOKUP(conciliacao_custos!B655,#REF!,16,0),0)</f>
        <v>0</v>
      </c>
      <c r="R655" s="9">
        <f>IFERROR(VLOOKUP(B655,cubo!$A$6:$BK$37,64,0)-VLOOKUP(conciliacao_custos!B655,#REF!,17,0),0)</f>
        <v>0</v>
      </c>
      <c r="S655" s="9">
        <f>IFERROR(VLOOKUP(B655,cubo!$A$6:$BK$37,61,0)-VLOOKUP(conciliacao_custos!B655,#REF!,15,0),0)</f>
        <v>0</v>
      </c>
    </row>
    <row r="656" spans="2:19" x14ac:dyDescent="0.25">
      <c r="B656" s="7">
        <f>[1]salario!A655</f>
        <v>0</v>
      </c>
      <c r="C656" s="8">
        <f>[1]salario!C655</f>
        <v>0</v>
      </c>
      <c r="D656" s="10">
        <f>IFERROR(VLOOKUP(B656,cubo!$A$6:$BE$37,6,0)-VLOOKUP(B656,#REF!,$D$2,0),0)</f>
        <v>0</v>
      </c>
      <c r="E656" s="10">
        <f>IFERROR(VLOOKUP(B656,cubo!$A$6:$BE$37,9,0)-VLOOKUP(B656,#REF!,$E$2,0),0)</f>
        <v>0</v>
      </c>
      <c r="F656" s="9">
        <f>IFERROR(VLOOKUP(B656,cubo!$A$6:$BE$37,12,0)-VLOOKUP(B656,#REF!,$F$2,0),0)</f>
        <v>0</v>
      </c>
      <c r="G656" s="9">
        <f>IFERROR(VLOOKUP(B656,cubo!$A$6:$BE$37,54,0)-VLOOKUP(B656,#REF!,$G$2,0),0)</f>
        <v>0</v>
      </c>
      <c r="H656" s="10">
        <f>IFERROR(VLOOKUP(B656,cubo!$A$6:$BE$37,15,0)-VLOOKUP(B656,#REF!,$H$2,0),0)</f>
        <v>0</v>
      </c>
      <c r="I656" s="9">
        <f>IFERROR(VLOOKUP(B656,cubo!$A$6:$BE$37,18,0)-VLOOKUP(B656,#REF!,$I$2,0),0)</f>
        <v>0</v>
      </c>
      <c r="J656" s="9">
        <f>IFERROR(VLOOKUP(B656,cubo!$A$6:$BE$37,24,0)-VLOOKUP(B656,#REF!,$J$2,0),0)</f>
        <v>0</v>
      </c>
      <c r="K656" s="9">
        <f>IFERROR(VLOOKUP(B656,cubo!$A$6:$BE$37,34,0)-VLOOKUP(B656,#REF!,$K$2,0),0)</f>
        <v>0</v>
      </c>
      <c r="L656" s="8">
        <f>IFERROR(VLOOKUP(B656,cubo!$A$6:$BE$37,38,0)-VLOOKUP(B656,#REF!,$L$2,0),0)</f>
        <v>0</v>
      </c>
      <c r="M656" s="15">
        <f>IFERROR(VLOOKUP(B656,cubo!$A$6:$BE$37,57,0)-VLOOKUP(B656,#REF!,$M$2,0),0)</f>
        <v>0</v>
      </c>
      <c r="N656" s="9">
        <f>IFERROR(VLOOKUP(B656,cubo!$A$6:$BK$37,41,0)-VLOOKUP(conciliacao_custos!B656,#REF!,18,0),0)</f>
        <v>0</v>
      </c>
      <c r="O656" s="9">
        <f>IFERROR(VLOOKUP(B656,cubo!$A$6:$BK$37,44,0)-VLOOKUP(conciliacao_custos!B656,#REF!,13,0),0)</f>
        <v>0</v>
      </c>
      <c r="P656" s="9">
        <f>IFERROR(VLOOKUP(B656,cubo!$A$6:$BK$37,47,0)-VLOOKUP(conciliacao_custos!B656,#REF!,14,0),0)</f>
        <v>0</v>
      </c>
      <c r="Q656" s="9">
        <f>IFERROR(VLOOKUP(B656,cubo!$A$6:$BK$37,58,0)-VLOOKUP(conciliacao_custos!B656,#REF!,16,0),0)</f>
        <v>0</v>
      </c>
      <c r="R656" s="9">
        <f>IFERROR(VLOOKUP(B656,cubo!$A$6:$BK$37,64,0)-VLOOKUP(conciliacao_custos!B656,#REF!,17,0),0)</f>
        <v>0</v>
      </c>
      <c r="S656" s="9">
        <f>IFERROR(VLOOKUP(B656,cubo!$A$6:$BK$37,61,0)-VLOOKUP(conciliacao_custos!B656,#REF!,15,0),0)</f>
        <v>0</v>
      </c>
    </row>
    <row r="657" spans="2:19" x14ac:dyDescent="0.25">
      <c r="B657" s="7">
        <f>[1]salario!A656</f>
        <v>0</v>
      </c>
      <c r="C657" s="8">
        <f>[1]salario!C656</f>
        <v>0</v>
      </c>
      <c r="D657" s="10">
        <f>IFERROR(VLOOKUP(B657,cubo!$A$6:$BE$37,6,0)-VLOOKUP(B657,#REF!,$D$2,0),0)</f>
        <v>0</v>
      </c>
      <c r="E657" s="10">
        <f>IFERROR(VLOOKUP(B657,cubo!$A$6:$BE$37,9,0)-VLOOKUP(B657,#REF!,$E$2,0),0)</f>
        <v>0</v>
      </c>
      <c r="F657" s="9">
        <f>IFERROR(VLOOKUP(B657,cubo!$A$6:$BE$37,12,0)-VLOOKUP(B657,#REF!,$F$2,0),0)</f>
        <v>0</v>
      </c>
      <c r="G657" s="9">
        <f>IFERROR(VLOOKUP(B657,cubo!$A$6:$BE$37,54,0)-VLOOKUP(B657,#REF!,$G$2,0),0)</f>
        <v>0</v>
      </c>
      <c r="H657" s="10">
        <f>IFERROR(VLOOKUP(B657,cubo!$A$6:$BE$37,15,0)-VLOOKUP(B657,#REF!,$H$2,0),0)</f>
        <v>0</v>
      </c>
      <c r="I657" s="9">
        <f>IFERROR(VLOOKUP(B657,cubo!$A$6:$BE$37,18,0)-VLOOKUP(B657,#REF!,$I$2,0),0)</f>
        <v>0</v>
      </c>
      <c r="J657" s="9">
        <f>IFERROR(VLOOKUP(B657,cubo!$A$6:$BE$37,24,0)-VLOOKUP(B657,#REF!,$J$2,0),0)</f>
        <v>0</v>
      </c>
      <c r="K657" s="9">
        <f>IFERROR(VLOOKUP(B657,cubo!$A$6:$BE$37,34,0)-VLOOKUP(B657,#REF!,$K$2,0),0)</f>
        <v>0</v>
      </c>
      <c r="L657" s="8">
        <f>IFERROR(VLOOKUP(B657,cubo!$A$6:$BE$37,38,0)-VLOOKUP(B657,#REF!,$L$2,0),0)</f>
        <v>0</v>
      </c>
      <c r="M657" s="15">
        <f>IFERROR(VLOOKUP(B657,cubo!$A$6:$BE$37,57,0)-VLOOKUP(B657,#REF!,$M$2,0),0)</f>
        <v>0</v>
      </c>
      <c r="N657" s="9">
        <f>IFERROR(VLOOKUP(B657,cubo!$A$6:$BK$37,41,0)-VLOOKUP(conciliacao_custos!B657,#REF!,18,0),0)</f>
        <v>0</v>
      </c>
      <c r="O657" s="9">
        <f>IFERROR(VLOOKUP(B657,cubo!$A$6:$BK$37,44,0)-VLOOKUP(conciliacao_custos!B657,#REF!,13,0),0)</f>
        <v>0</v>
      </c>
      <c r="P657" s="9">
        <f>IFERROR(VLOOKUP(B657,cubo!$A$6:$BK$37,47,0)-VLOOKUP(conciliacao_custos!B657,#REF!,14,0),0)</f>
        <v>0</v>
      </c>
      <c r="Q657" s="9">
        <f>IFERROR(VLOOKUP(B657,cubo!$A$6:$BK$37,58,0)-VLOOKUP(conciliacao_custos!B657,#REF!,16,0),0)</f>
        <v>0</v>
      </c>
      <c r="R657" s="9">
        <f>IFERROR(VLOOKUP(B657,cubo!$A$6:$BK$37,64,0)-VLOOKUP(conciliacao_custos!B657,#REF!,17,0),0)</f>
        <v>0</v>
      </c>
      <c r="S657" s="9">
        <f>IFERROR(VLOOKUP(B657,cubo!$A$6:$BK$37,61,0)-VLOOKUP(conciliacao_custos!B657,#REF!,15,0),0)</f>
        <v>0</v>
      </c>
    </row>
    <row r="658" spans="2:19" x14ac:dyDescent="0.25">
      <c r="B658" s="7">
        <f>[1]salario!A657</f>
        <v>0</v>
      </c>
      <c r="C658" s="8">
        <f>[1]salario!C657</f>
        <v>0</v>
      </c>
      <c r="D658" s="10">
        <f>IFERROR(VLOOKUP(B658,cubo!$A$6:$BE$37,6,0)-VLOOKUP(B658,#REF!,$D$2,0),0)</f>
        <v>0</v>
      </c>
      <c r="E658" s="10">
        <f>IFERROR(VLOOKUP(B658,cubo!$A$6:$BE$37,9,0)-VLOOKUP(B658,#REF!,$E$2,0),0)</f>
        <v>0</v>
      </c>
      <c r="F658" s="9">
        <f>IFERROR(VLOOKUP(B658,cubo!$A$6:$BE$37,12,0)-VLOOKUP(B658,#REF!,$F$2,0),0)</f>
        <v>0</v>
      </c>
      <c r="G658" s="9">
        <f>IFERROR(VLOOKUP(B658,cubo!$A$6:$BE$37,54,0)-VLOOKUP(B658,#REF!,$G$2,0),0)</f>
        <v>0</v>
      </c>
      <c r="H658" s="10">
        <f>IFERROR(VLOOKUP(B658,cubo!$A$6:$BE$37,15,0)-VLOOKUP(B658,#REF!,$H$2,0),0)</f>
        <v>0</v>
      </c>
      <c r="I658" s="9">
        <f>IFERROR(VLOOKUP(B658,cubo!$A$6:$BE$37,18,0)-VLOOKUP(B658,#REF!,$I$2,0),0)</f>
        <v>0</v>
      </c>
      <c r="J658" s="9">
        <f>IFERROR(VLOOKUP(B658,cubo!$A$6:$BE$37,24,0)-VLOOKUP(B658,#REF!,$J$2,0),0)</f>
        <v>0</v>
      </c>
      <c r="K658" s="9">
        <f>IFERROR(VLOOKUP(B658,cubo!$A$6:$BE$37,34,0)-VLOOKUP(B658,#REF!,$K$2,0),0)</f>
        <v>0</v>
      </c>
      <c r="L658" s="8">
        <f>IFERROR(VLOOKUP(B658,cubo!$A$6:$BE$37,38,0)-VLOOKUP(B658,#REF!,$L$2,0),0)</f>
        <v>0</v>
      </c>
      <c r="M658" s="15">
        <f>IFERROR(VLOOKUP(B658,cubo!$A$6:$BE$37,57,0)-VLOOKUP(B658,#REF!,$M$2,0),0)</f>
        <v>0</v>
      </c>
      <c r="N658" s="9">
        <f>IFERROR(VLOOKUP(B658,cubo!$A$6:$BK$37,41,0)-VLOOKUP(conciliacao_custos!B658,#REF!,18,0),0)</f>
        <v>0</v>
      </c>
      <c r="O658" s="9">
        <f>IFERROR(VLOOKUP(B658,cubo!$A$6:$BK$37,44,0)-VLOOKUP(conciliacao_custos!B658,#REF!,13,0),0)</f>
        <v>0</v>
      </c>
      <c r="P658" s="9">
        <f>IFERROR(VLOOKUP(B658,cubo!$A$6:$BK$37,47,0)-VLOOKUP(conciliacao_custos!B658,#REF!,14,0),0)</f>
        <v>0</v>
      </c>
      <c r="Q658" s="9">
        <f>IFERROR(VLOOKUP(B658,cubo!$A$6:$BK$37,58,0)-VLOOKUP(conciliacao_custos!B658,#REF!,16,0),0)</f>
        <v>0</v>
      </c>
      <c r="R658" s="9">
        <f>IFERROR(VLOOKUP(B658,cubo!$A$6:$BK$37,64,0)-VLOOKUP(conciliacao_custos!B658,#REF!,17,0),0)</f>
        <v>0</v>
      </c>
      <c r="S658" s="9">
        <f>IFERROR(VLOOKUP(B658,cubo!$A$6:$BK$37,61,0)-VLOOKUP(conciliacao_custos!B658,#REF!,15,0),0)</f>
        <v>0</v>
      </c>
    </row>
    <row r="659" spans="2:19" x14ac:dyDescent="0.25">
      <c r="B659" s="7">
        <f>[1]salario!A658</f>
        <v>0</v>
      </c>
      <c r="C659" s="8">
        <f>[1]salario!C658</f>
        <v>0</v>
      </c>
      <c r="D659" s="10">
        <f>IFERROR(VLOOKUP(B659,cubo!$A$6:$BE$37,6,0)-VLOOKUP(B659,#REF!,$D$2,0),0)</f>
        <v>0</v>
      </c>
      <c r="E659" s="10">
        <f>IFERROR(VLOOKUP(B659,cubo!$A$6:$BE$37,9,0)-VLOOKUP(B659,#REF!,$E$2,0),0)</f>
        <v>0</v>
      </c>
      <c r="F659" s="9">
        <f>IFERROR(VLOOKUP(B659,cubo!$A$6:$BE$37,12,0)-VLOOKUP(B659,#REF!,$F$2,0),0)</f>
        <v>0</v>
      </c>
      <c r="G659" s="9">
        <f>IFERROR(VLOOKUP(B659,cubo!$A$6:$BE$37,54,0)-VLOOKUP(B659,#REF!,$G$2,0),0)</f>
        <v>0</v>
      </c>
      <c r="H659" s="10">
        <f>IFERROR(VLOOKUP(B659,cubo!$A$6:$BE$37,15,0)-VLOOKUP(B659,#REF!,$H$2,0),0)</f>
        <v>0</v>
      </c>
      <c r="I659" s="9">
        <f>IFERROR(VLOOKUP(B659,cubo!$A$6:$BE$37,18,0)-VLOOKUP(B659,#REF!,$I$2,0),0)</f>
        <v>0</v>
      </c>
      <c r="J659" s="9">
        <f>IFERROR(VLOOKUP(B659,cubo!$A$6:$BE$37,24,0)-VLOOKUP(B659,#REF!,$J$2,0),0)</f>
        <v>0</v>
      </c>
      <c r="K659" s="9">
        <f>IFERROR(VLOOKUP(B659,cubo!$A$6:$BE$37,34,0)-VLOOKUP(B659,#REF!,$K$2,0),0)</f>
        <v>0</v>
      </c>
      <c r="L659" s="8">
        <f>IFERROR(VLOOKUP(B659,cubo!$A$6:$BE$37,38,0)-VLOOKUP(B659,#REF!,$L$2,0),0)</f>
        <v>0</v>
      </c>
      <c r="M659" s="15">
        <f>IFERROR(VLOOKUP(B659,cubo!$A$6:$BE$37,57,0)-VLOOKUP(B659,#REF!,$M$2,0),0)</f>
        <v>0</v>
      </c>
      <c r="N659" s="9">
        <f>IFERROR(VLOOKUP(B659,cubo!$A$6:$BK$37,41,0)-VLOOKUP(conciliacao_custos!B659,#REF!,18,0),0)</f>
        <v>0</v>
      </c>
      <c r="O659" s="9">
        <f>IFERROR(VLOOKUP(B659,cubo!$A$6:$BK$37,44,0)-VLOOKUP(conciliacao_custos!B659,#REF!,13,0),0)</f>
        <v>0</v>
      </c>
      <c r="P659" s="9">
        <f>IFERROR(VLOOKUP(B659,cubo!$A$6:$BK$37,47,0)-VLOOKUP(conciliacao_custos!B659,#REF!,14,0),0)</f>
        <v>0</v>
      </c>
      <c r="Q659" s="9">
        <f>IFERROR(VLOOKUP(B659,cubo!$A$6:$BK$37,58,0)-VLOOKUP(conciliacao_custos!B659,#REF!,16,0),0)</f>
        <v>0</v>
      </c>
      <c r="R659" s="9">
        <f>IFERROR(VLOOKUP(B659,cubo!$A$6:$BK$37,64,0)-VLOOKUP(conciliacao_custos!B659,#REF!,17,0),0)</f>
        <v>0</v>
      </c>
      <c r="S659" s="9">
        <f>IFERROR(VLOOKUP(B659,cubo!$A$6:$BK$37,61,0)-VLOOKUP(conciliacao_custos!B659,#REF!,15,0),0)</f>
        <v>0</v>
      </c>
    </row>
    <row r="660" spans="2:19" x14ac:dyDescent="0.25">
      <c r="B660" s="7">
        <f>[1]salario!A659</f>
        <v>0</v>
      </c>
      <c r="C660" s="8">
        <f>[1]salario!C659</f>
        <v>0</v>
      </c>
      <c r="D660" s="10">
        <f>IFERROR(VLOOKUP(B660,cubo!$A$6:$BE$37,6,0)-VLOOKUP(B660,#REF!,$D$2,0),0)</f>
        <v>0</v>
      </c>
      <c r="E660" s="10">
        <f>IFERROR(VLOOKUP(B660,cubo!$A$6:$BE$37,9,0)-VLOOKUP(B660,#REF!,$E$2,0),0)</f>
        <v>0</v>
      </c>
      <c r="F660" s="9">
        <f>IFERROR(VLOOKUP(B660,cubo!$A$6:$BE$37,12,0)-VLOOKUP(B660,#REF!,$F$2,0),0)</f>
        <v>0</v>
      </c>
      <c r="G660" s="9">
        <f>IFERROR(VLOOKUP(B660,cubo!$A$6:$BE$37,54,0)-VLOOKUP(B660,#REF!,$G$2,0),0)</f>
        <v>0</v>
      </c>
      <c r="H660" s="10">
        <f>IFERROR(VLOOKUP(B660,cubo!$A$6:$BE$37,15,0)-VLOOKUP(B660,#REF!,$H$2,0),0)</f>
        <v>0</v>
      </c>
      <c r="I660" s="9">
        <f>IFERROR(VLOOKUP(B660,cubo!$A$6:$BE$37,18,0)-VLOOKUP(B660,#REF!,$I$2,0),0)</f>
        <v>0</v>
      </c>
      <c r="J660" s="9">
        <f>IFERROR(VLOOKUP(B660,cubo!$A$6:$BE$37,24,0)-VLOOKUP(B660,#REF!,$J$2,0),0)</f>
        <v>0</v>
      </c>
      <c r="K660" s="9">
        <f>IFERROR(VLOOKUP(B660,cubo!$A$6:$BE$37,34,0)-VLOOKUP(B660,#REF!,$K$2,0),0)</f>
        <v>0</v>
      </c>
      <c r="L660" s="8">
        <f>IFERROR(VLOOKUP(B660,cubo!$A$6:$BE$37,38,0)-VLOOKUP(B660,#REF!,$L$2,0),0)</f>
        <v>0</v>
      </c>
      <c r="M660" s="15">
        <f>IFERROR(VLOOKUP(B660,cubo!$A$6:$BE$37,57,0)-VLOOKUP(B660,#REF!,$M$2,0),0)</f>
        <v>0</v>
      </c>
      <c r="N660" s="9">
        <f>IFERROR(VLOOKUP(B660,cubo!$A$6:$BK$37,41,0)-VLOOKUP(conciliacao_custos!B660,#REF!,18,0),0)</f>
        <v>0</v>
      </c>
      <c r="O660" s="9">
        <f>IFERROR(VLOOKUP(B660,cubo!$A$6:$BK$37,44,0)-VLOOKUP(conciliacao_custos!B660,#REF!,13,0),0)</f>
        <v>0</v>
      </c>
      <c r="P660" s="9">
        <f>IFERROR(VLOOKUP(B660,cubo!$A$6:$BK$37,47,0)-VLOOKUP(conciliacao_custos!B660,#REF!,14,0),0)</f>
        <v>0</v>
      </c>
      <c r="Q660" s="9">
        <f>IFERROR(VLOOKUP(B660,cubo!$A$6:$BK$37,58,0)-VLOOKUP(conciliacao_custos!B660,#REF!,16,0),0)</f>
        <v>0</v>
      </c>
      <c r="R660" s="9">
        <f>IFERROR(VLOOKUP(B660,cubo!$A$6:$BK$37,64,0)-VLOOKUP(conciliacao_custos!B660,#REF!,17,0),0)</f>
        <v>0</v>
      </c>
      <c r="S660" s="9">
        <f>IFERROR(VLOOKUP(B660,cubo!$A$6:$BK$37,61,0)-VLOOKUP(conciliacao_custos!B660,#REF!,15,0),0)</f>
        <v>0</v>
      </c>
    </row>
    <row r="661" spans="2:19" x14ac:dyDescent="0.25">
      <c r="B661" s="7">
        <f>[1]salario!A660</f>
        <v>0</v>
      </c>
      <c r="C661" s="8">
        <f>[1]salario!C660</f>
        <v>0</v>
      </c>
      <c r="D661" s="10">
        <f>IFERROR(VLOOKUP(B661,cubo!$A$6:$BE$37,6,0)-VLOOKUP(B661,#REF!,$D$2,0),0)</f>
        <v>0</v>
      </c>
      <c r="E661" s="10">
        <f>IFERROR(VLOOKUP(B661,cubo!$A$6:$BE$37,9,0)-VLOOKUP(B661,#REF!,$E$2,0),0)</f>
        <v>0</v>
      </c>
      <c r="F661" s="9">
        <f>IFERROR(VLOOKUP(B661,cubo!$A$6:$BE$37,12,0)-VLOOKUP(B661,#REF!,$F$2,0),0)</f>
        <v>0</v>
      </c>
      <c r="G661" s="9">
        <f>IFERROR(VLOOKUP(B661,cubo!$A$6:$BE$37,54,0)-VLOOKUP(B661,#REF!,$G$2,0),0)</f>
        <v>0</v>
      </c>
      <c r="H661" s="10">
        <f>IFERROR(VLOOKUP(B661,cubo!$A$6:$BE$37,15,0)-VLOOKUP(B661,#REF!,$H$2,0),0)</f>
        <v>0</v>
      </c>
      <c r="I661" s="9">
        <f>IFERROR(VLOOKUP(B661,cubo!$A$6:$BE$37,18,0)-VLOOKUP(B661,#REF!,$I$2,0),0)</f>
        <v>0</v>
      </c>
      <c r="J661" s="9">
        <f>IFERROR(VLOOKUP(B661,cubo!$A$6:$BE$37,24,0)-VLOOKUP(B661,#REF!,$J$2,0),0)</f>
        <v>0</v>
      </c>
      <c r="K661" s="9">
        <f>IFERROR(VLOOKUP(B661,cubo!$A$6:$BE$37,34,0)-VLOOKUP(B661,#REF!,$K$2,0),0)</f>
        <v>0</v>
      </c>
      <c r="L661" s="8">
        <f>IFERROR(VLOOKUP(B661,cubo!$A$6:$BE$37,38,0)-VLOOKUP(B661,#REF!,$L$2,0),0)</f>
        <v>0</v>
      </c>
      <c r="M661" s="15">
        <f>IFERROR(VLOOKUP(B661,cubo!$A$6:$BE$37,57,0)-VLOOKUP(B661,#REF!,$M$2,0),0)</f>
        <v>0</v>
      </c>
      <c r="N661" s="9">
        <f>IFERROR(VLOOKUP(B661,cubo!$A$6:$BK$37,41,0)-VLOOKUP(conciliacao_custos!B661,#REF!,18,0),0)</f>
        <v>0</v>
      </c>
      <c r="O661" s="9">
        <f>IFERROR(VLOOKUP(B661,cubo!$A$6:$BK$37,44,0)-VLOOKUP(conciliacao_custos!B661,#REF!,13,0),0)</f>
        <v>0</v>
      </c>
      <c r="P661" s="9">
        <f>IFERROR(VLOOKUP(B661,cubo!$A$6:$BK$37,47,0)-VLOOKUP(conciliacao_custos!B661,#REF!,14,0),0)</f>
        <v>0</v>
      </c>
      <c r="Q661" s="9">
        <f>IFERROR(VLOOKUP(B661,cubo!$A$6:$BK$37,58,0)-VLOOKUP(conciliacao_custos!B661,#REF!,16,0),0)</f>
        <v>0</v>
      </c>
      <c r="R661" s="9">
        <f>IFERROR(VLOOKUP(B661,cubo!$A$6:$BK$37,64,0)-VLOOKUP(conciliacao_custos!B661,#REF!,17,0),0)</f>
        <v>0</v>
      </c>
      <c r="S661" s="9">
        <f>IFERROR(VLOOKUP(B661,cubo!$A$6:$BK$37,61,0)-VLOOKUP(conciliacao_custos!B661,#REF!,15,0),0)</f>
        <v>0</v>
      </c>
    </row>
    <row r="662" spans="2:19" x14ac:dyDescent="0.25">
      <c r="B662" s="7">
        <f>[1]salario!A661</f>
        <v>0</v>
      </c>
      <c r="C662" s="8">
        <f>[1]salario!C661</f>
        <v>0</v>
      </c>
      <c r="D662" s="10">
        <f>IFERROR(VLOOKUP(B662,cubo!$A$6:$BE$37,6,0)-VLOOKUP(B662,#REF!,$D$2,0),0)</f>
        <v>0</v>
      </c>
      <c r="E662" s="10">
        <f>IFERROR(VLOOKUP(B662,cubo!$A$6:$BE$37,9,0)-VLOOKUP(B662,#REF!,$E$2,0),0)</f>
        <v>0</v>
      </c>
      <c r="F662" s="9">
        <f>IFERROR(VLOOKUP(B662,cubo!$A$6:$BE$37,12,0)-VLOOKUP(B662,#REF!,$F$2,0),0)</f>
        <v>0</v>
      </c>
      <c r="G662" s="9">
        <f>IFERROR(VLOOKUP(B662,cubo!$A$6:$BE$37,54,0)-VLOOKUP(B662,#REF!,$G$2,0),0)</f>
        <v>0</v>
      </c>
      <c r="H662" s="10">
        <f>IFERROR(VLOOKUP(B662,cubo!$A$6:$BE$37,15,0)-VLOOKUP(B662,#REF!,$H$2,0),0)</f>
        <v>0</v>
      </c>
      <c r="I662" s="9">
        <f>IFERROR(VLOOKUP(B662,cubo!$A$6:$BE$37,18,0)-VLOOKUP(B662,#REF!,$I$2,0),0)</f>
        <v>0</v>
      </c>
      <c r="J662" s="9">
        <f>IFERROR(VLOOKUP(B662,cubo!$A$6:$BE$37,24,0)-VLOOKUP(B662,#REF!,$J$2,0),0)</f>
        <v>0</v>
      </c>
      <c r="K662" s="9">
        <f>IFERROR(VLOOKUP(B662,cubo!$A$6:$BE$37,34,0)-VLOOKUP(B662,#REF!,$K$2,0),0)</f>
        <v>0</v>
      </c>
      <c r="L662" s="8">
        <f>IFERROR(VLOOKUP(B662,cubo!$A$6:$BE$37,38,0)-VLOOKUP(B662,#REF!,$L$2,0),0)</f>
        <v>0</v>
      </c>
      <c r="M662" s="15">
        <f>IFERROR(VLOOKUP(B662,cubo!$A$6:$BE$37,57,0)-VLOOKUP(B662,#REF!,$M$2,0),0)</f>
        <v>0</v>
      </c>
      <c r="N662" s="9">
        <f>IFERROR(VLOOKUP(B662,cubo!$A$6:$BK$37,41,0)-VLOOKUP(conciliacao_custos!B662,#REF!,18,0),0)</f>
        <v>0</v>
      </c>
      <c r="O662" s="9">
        <f>IFERROR(VLOOKUP(B662,cubo!$A$6:$BK$37,44,0)-VLOOKUP(conciliacao_custos!B662,#REF!,13,0),0)</f>
        <v>0</v>
      </c>
      <c r="P662" s="9">
        <f>IFERROR(VLOOKUP(B662,cubo!$A$6:$BK$37,47,0)-VLOOKUP(conciliacao_custos!B662,#REF!,14,0),0)</f>
        <v>0</v>
      </c>
      <c r="Q662" s="9">
        <f>IFERROR(VLOOKUP(B662,cubo!$A$6:$BK$37,58,0)-VLOOKUP(conciliacao_custos!B662,#REF!,16,0),0)</f>
        <v>0</v>
      </c>
      <c r="R662" s="9">
        <f>IFERROR(VLOOKUP(B662,cubo!$A$6:$BK$37,64,0)-VLOOKUP(conciliacao_custos!B662,#REF!,17,0),0)</f>
        <v>0</v>
      </c>
      <c r="S662" s="9">
        <f>IFERROR(VLOOKUP(B662,cubo!$A$6:$BK$37,61,0)-VLOOKUP(conciliacao_custos!B662,#REF!,15,0),0)</f>
        <v>0</v>
      </c>
    </row>
    <row r="663" spans="2:19" x14ac:dyDescent="0.25">
      <c r="B663" s="7">
        <f>[1]salario!A662</f>
        <v>0</v>
      </c>
      <c r="C663" s="8">
        <f>[1]salario!C662</f>
        <v>0</v>
      </c>
      <c r="D663" s="10">
        <f>IFERROR(VLOOKUP(B663,cubo!$A$6:$BE$37,6,0)-VLOOKUP(B663,#REF!,$D$2,0),0)</f>
        <v>0</v>
      </c>
      <c r="E663" s="10">
        <f>IFERROR(VLOOKUP(B663,cubo!$A$6:$BE$37,9,0)-VLOOKUP(B663,#REF!,$E$2,0),0)</f>
        <v>0</v>
      </c>
      <c r="F663" s="9">
        <f>IFERROR(VLOOKUP(B663,cubo!$A$6:$BE$37,12,0)-VLOOKUP(B663,#REF!,$F$2,0),0)</f>
        <v>0</v>
      </c>
      <c r="G663" s="9">
        <f>IFERROR(VLOOKUP(B663,cubo!$A$6:$BE$37,54,0)-VLOOKUP(B663,#REF!,$G$2,0),0)</f>
        <v>0</v>
      </c>
      <c r="H663" s="10">
        <f>IFERROR(VLOOKUP(B663,cubo!$A$6:$BE$37,15,0)-VLOOKUP(B663,#REF!,$H$2,0),0)</f>
        <v>0</v>
      </c>
      <c r="I663" s="9">
        <f>IFERROR(VLOOKUP(B663,cubo!$A$6:$BE$37,18,0)-VLOOKUP(B663,#REF!,$I$2,0),0)</f>
        <v>0</v>
      </c>
      <c r="J663" s="9">
        <f>IFERROR(VLOOKUP(B663,cubo!$A$6:$BE$37,24,0)-VLOOKUP(B663,#REF!,$J$2,0),0)</f>
        <v>0</v>
      </c>
      <c r="K663" s="9">
        <f>IFERROR(VLOOKUP(B663,cubo!$A$6:$BE$37,34,0)-VLOOKUP(B663,#REF!,$K$2,0),0)</f>
        <v>0</v>
      </c>
      <c r="L663" s="8">
        <f>IFERROR(VLOOKUP(B663,cubo!$A$6:$BE$37,38,0)-VLOOKUP(B663,#REF!,$L$2,0),0)</f>
        <v>0</v>
      </c>
      <c r="M663" s="15">
        <f>IFERROR(VLOOKUP(B663,cubo!$A$6:$BE$37,57,0)-VLOOKUP(B663,#REF!,$M$2,0),0)</f>
        <v>0</v>
      </c>
      <c r="N663" s="9">
        <f>IFERROR(VLOOKUP(B663,cubo!$A$6:$BK$37,41,0)-VLOOKUP(conciliacao_custos!B663,#REF!,18,0),0)</f>
        <v>0</v>
      </c>
      <c r="O663" s="9">
        <f>IFERROR(VLOOKUP(B663,cubo!$A$6:$BK$37,44,0)-VLOOKUP(conciliacao_custos!B663,#REF!,13,0),0)</f>
        <v>0</v>
      </c>
      <c r="P663" s="9">
        <f>IFERROR(VLOOKUP(B663,cubo!$A$6:$BK$37,47,0)-VLOOKUP(conciliacao_custos!B663,#REF!,14,0),0)</f>
        <v>0</v>
      </c>
      <c r="Q663" s="9">
        <f>IFERROR(VLOOKUP(B663,cubo!$A$6:$BK$37,58,0)-VLOOKUP(conciliacao_custos!B663,#REF!,16,0),0)</f>
        <v>0</v>
      </c>
      <c r="R663" s="9">
        <f>IFERROR(VLOOKUP(B663,cubo!$A$6:$BK$37,64,0)-VLOOKUP(conciliacao_custos!B663,#REF!,17,0),0)</f>
        <v>0</v>
      </c>
      <c r="S663" s="9">
        <f>IFERROR(VLOOKUP(B663,cubo!$A$6:$BK$37,61,0)-VLOOKUP(conciliacao_custos!B663,#REF!,15,0),0)</f>
        <v>0</v>
      </c>
    </row>
    <row r="664" spans="2:19" x14ac:dyDescent="0.25">
      <c r="B664" s="7">
        <f>[1]salario!A663</f>
        <v>0</v>
      </c>
      <c r="C664" s="8">
        <f>[1]salario!C663</f>
        <v>0</v>
      </c>
      <c r="D664" s="10">
        <f>IFERROR(VLOOKUP(B664,cubo!$A$6:$BE$37,6,0)-VLOOKUP(B664,#REF!,$D$2,0),0)</f>
        <v>0</v>
      </c>
      <c r="E664" s="10">
        <f>IFERROR(VLOOKUP(B664,cubo!$A$6:$BE$37,9,0)-VLOOKUP(B664,#REF!,$E$2,0),0)</f>
        <v>0</v>
      </c>
      <c r="F664" s="9">
        <f>IFERROR(VLOOKUP(B664,cubo!$A$6:$BE$37,12,0)-VLOOKUP(B664,#REF!,$F$2,0),0)</f>
        <v>0</v>
      </c>
      <c r="G664" s="9">
        <f>IFERROR(VLOOKUP(B664,cubo!$A$6:$BE$37,54,0)-VLOOKUP(B664,#REF!,$G$2,0),0)</f>
        <v>0</v>
      </c>
      <c r="H664" s="10">
        <f>IFERROR(VLOOKUP(B664,cubo!$A$6:$BE$37,15,0)-VLOOKUP(B664,#REF!,$H$2,0),0)</f>
        <v>0</v>
      </c>
      <c r="I664" s="9">
        <f>IFERROR(VLOOKUP(B664,cubo!$A$6:$BE$37,18,0)-VLOOKUP(B664,#REF!,$I$2,0),0)</f>
        <v>0</v>
      </c>
      <c r="J664" s="9">
        <f>IFERROR(VLOOKUP(B664,cubo!$A$6:$BE$37,24,0)-VLOOKUP(B664,#REF!,$J$2,0),0)</f>
        <v>0</v>
      </c>
      <c r="K664" s="9">
        <f>IFERROR(VLOOKUP(B664,cubo!$A$6:$BE$37,34,0)-VLOOKUP(B664,#REF!,$K$2,0),0)</f>
        <v>0</v>
      </c>
      <c r="L664" s="8">
        <f>IFERROR(VLOOKUP(B664,cubo!$A$6:$BE$37,38,0)-VLOOKUP(B664,#REF!,$L$2,0),0)</f>
        <v>0</v>
      </c>
      <c r="M664" s="15">
        <f>IFERROR(VLOOKUP(B664,cubo!$A$6:$BE$37,57,0)-VLOOKUP(B664,#REF!,$M$2,0),0)</f>
        <v>0</v>
      </c>
      <c r="N664" s="9">
        <f>IFERROR(VLOOKUP(B664,cubo!$A$6:$BK$37,41,0)-VLOOKUP(conciliacao_custos!B664,#REF!,18,0),0)</f>
        <v>0</v>
      </c>
      <c r="O664" s="9">
        <f>IFERROR(VLOOKUP(B664,cubo!$A$6:$BK$37,44,0)-VLOOKUP(conciliacao_custos!B664,#REF!,13,0),0)</f>
        <v>0</v>
      </c>
      <c r="P664" s="9">
        <f>IFERROR(VLOOKUP(B664,cubo!$A$6:$BK$37,47,0)-VLOOKUP(conciliacao_custos!B664,#REF!,14,0),0)</f>
        <v>0</v>
      </c>
      <c r="Q664" s="9">
        <f>IFERROR(VLOOKUP(B664,cubo!$A$6:$BK$37,58,0)-VLOOKUP(conciliacao_custos!B664,#REF!,16,0),0)</f>
        <v>0</v>
      </c>
      <c r="R664" s="9">
        <f>IFERROR(VLOOKUP(B664,cubo!$A$6:$BK$37,64,0)-VLOOKUP(conciliacao_custos!B664,#REF!,17,0),0)</f>
        <v>0</v>
      </c>
      <c r="S664" s="9">
        <f>IFERROR(VLOOKUP(B664,cubo!$A$6:$BK$37,61,0)-VLOOKUP(conciliacao_custos!B664,#REF!,15,0),0)</f>
        <v>0</v>
      </c>
    </row>
    <row r="665" spans="2:19" x14ac:dyDescent="0.25">
      <c r="B665" s="7">
        <f>[1]salario!A664</f>
        <v>0</v>
      </c>
      <c r="C665" s="8">
        <f>[1]salario!C664</f>
        <v>0</v>
      </c>
      <c r="D665" s="10">
        <f>IFERROR(VLOOKUP(B665,cubo!$A$6:$BE$37,6,0)-VLOOKUP(B665,#REF!,$D$2,0),0)</f>
        <v>0</v>
      </c>
      <c r="E665" s="10">
        <f>IFERROR(VLOOKUP(B665,cubo!$A$6:$BE$37,9,0)-VLOOKUP(B665,#REF!,$E$2,0),0)</f>
        <v>0</v>
      </c>
      <c r="F665" s="9">
        <f>IFERROR(VLOOKUP(B665,cubo!$A$6:$BE$37,12,0)-VLOOKUP(B665,#REF!,$F$2,0),0)</f>
        <v>0</v>
      </c>
      <c r="G665" s="9">
        <f>IFERROR(VLOOKUP(B665,cubo!$A$6:$BE$37,54,0)-VLOOKUP(B665,#REF!,$G$2,0),0)</f>
        <v>0</v>
      </c>
      <c r="H665" s="10">
        <f>IFERROR(VLOOKUP(B665,cubo!$A$6:$BE$37,15,0)-VLOOKUP(B665,#REF!,$H$2,0),0)</f>
        <v>0</v>
      </c>
      <c r="I665" s="9">
        <f>IFERROR(VLOOKUP(B665,cubo!$A$6:$BE$37,18,0)-VLOOKUP(B665,#REF!,$I$2,0),0)</f>
        <v>0</v>
      </c>
      <c r="J665" s="9">
        <f>IFERROR(VLOOKUP(B665,cubo!$A$6:$BE$37,24,0)-VLOOKUP(B665,#REF!,$J$2,0),0)</f>
        <v>0</v>
      </c>
      <c r="K665" s="9">
        <f>IFERROR(VLOOKUP(B665,cubo!$A$6:$BE$37,34,0)-VLOOKUP(B665,#REF!,$K$2,0),0)</f>
        <v>0</v>
      </c>
      <c r="L665" s="8">
        <f>IFERROR(VLOOKUP(B665,cubo!$A$6:$BE$37,38,0)-VLOOKUP(B665,#REF!,$L$2,0),0)</f>
        <v>0</v>
      </c>
      <c r="M665" s="15">
        <f>IFERROR(VLOOKUP(B665,cubo!$A$6:$BE$37,57,0)-VLOOKUP(B665,#REF!,$M$2,0),0)</f>
        <v>0</v>
      </c>
      <c r="N665" s="9">
        <f>IFERROR(VLOOKUP(B665,cubo!$A$6:$BK$37,41,0)-VLOOKUP(conciliacao_custos!B665,#REF!,18,0),0)</f>
        <v>0</v>
      </c>
      <c r="O665" s="9">
        <f>IFERROR(VLOOKUP(B665,cubo!$A$6:$BK$37,44,0)-VLOOKUP(conciliacao_custos!B665,#REF!,13,0),0)</f>
        <v>0</v>
      </c>
      <c r="P665" s="9">
        <f>IFERROR(VLOOKUP(B665,cubo!$A$6:$BK$37,47,0)-VLOOKUP(conciliacao_custos!B665,#REF!,14,0),0)</f>
        <v>0</v>
      </c>
      <c r="Q665" s="9">
        <f>IFERROR(VLOOKUP(B665,cubo!$A$6:$BK$37,58,0)-VLOOKUP(conciliacao_custos!B665,#REF!,16,0),0)</f>
        <v>0</v>
      </c>
      <c r="R665" s="9">
        <f>IFERROR(VLOOKUP(B665,cubo!$A$6:$BK$37,64,0)-VLOOKUP(conciliacao_custos!B665,#REF!,17,0),0)</f>
        <v>0</v>
      </c>
      <c r="S665" s="9">
        <f>IFERROR(VLOOKUP(B665,cubo!$A$6:$BK$37,61,0)-VLOOKUP(conciliacao_custos!B665,#REF!,15,0),0)</f>
        <v>0</v>
      </c>
    </row>
    <row r="666" spans="2:19" x14ac:dyDescent="0.25">
      <c r="B666" s="7">
        <f>[1]salario!A665</f>
        <v>0</v>
      </c>
      <c r="C666" s="8">
        <f>[1]salario!C665</f>
        <v>0</v>
      </c>
      <c r="D666" s="10">
        <f>IFERROR(VLOOKUP(B666,cubo!$A$6:$BE$37,6,0)-VLOOKUP(B666,#REF!,$D$2,0),0)</f>
        <v>0</v>
      </c>
      <c r="E666" s="10">
        <f>IFERROR(VLOOKUP(B666,cubo!$A$6:$BE$37,9,0)-VLOOKUP(B666,#REF!,$E$2,0),0)</f>
        <v>0</v>
      </c>
      <c r="F666" s="9">
        <f>IFERROR(VLOOKUP(B666,cubo!$A$6:$BE$37,12,0)-VLOOKUP(B666,#REF!,$F$2,0),0)</f>
        <v>0</v>
      </c>
      <c r="G666" s="9">
        <f>IFERROR(VLOOKUP(B666,cubo!$A$6:$BE$37,54,0)-VLOOKUP(B666,#REF!,$G$2,0),0)</f>
        <v>0</v>
      </c>
      <c r="H666" s="10">
        <f>IFERROR(VLOOKUP(B666,cubo!$A$6:$BE$37,15,0)-VLOOKUP(B666,#REF!,$H$2,0),0)</f>
        <v>0</v>
      </c>
      <c r="I666" s="9">
        <f>IFERROR(VLOOKUP(B666,cubo!$A$6:$BE$37,18,0)-VLOOKUP(B666,#REF!,$I$2,0),0)</f>
        <v>0</v>
      </c>
      <c r="J666" s="9">
        <f>IFERROR(VLOOKUP(B666,cubo!$A$6:$BE$37,24,0)-VLOOKUP(B666,#REF!,$J$2,0),0)</f>
        <v>0</v>
      </c>
      <c r="K666" s="9">
        <f>IFERROR(VLOOKUP(B666,cubo!$A$6:$BE$37,34,0)-VLOOKUP(B666,#REF!,$K$2,0),0)</f>
        <v>0</v>
      </c>
      <c r="L666" s="8">
        <f>IFERROR(VLOOKUP(B666,cubo!$A$6:$BE$37,38,0)-VLOOKUP(B666,#REF!,$L$2,0),0)</f>
        <v>0</v>
      </c>
      <c r="M666" s="15">
        <f>IFERROR(VLOOKUP(B666,cubo!$A$6:$BE$37,57,0)-VLOOKUP(B666,#REF!,$M$2,0),0)</f>
        <v>0</v>
      </c>
      <c r="N666" s="9">
        <f>IFERROR(VLOOKUP(B666,cubo!$A$6:$BK$37,41,0)-VLOOKUP(conciliacao_custos!B666,#REF!,18,0),0)</f>
        <v>0</v>
      </c>
      <c r="O666" s="9">
        <f>IFERROR(VLOOKUP(B666,cubo!$A$6:$BK$37,44,0)-VLOOKUP(conciliacao_custos!B666,#REF!,13,0),0)</f>
        <v>0</v>
      </c>
      <c r="P666" s="9">
        <f>IFERROR(VLOOKUP(B666,cubo!$A$6:$BK$37,47,0)-VLOOKUP(conciliacao_custos!B666,#REF!,14,0),0)</f>
        <v>0</v>
      </c>
      <c r="Q666" s="9">
        <f>IFERROR(VLOOKUP(B666,cubo!$A$6:$BK$37,58,0)-VLOOKUP(conciliacao_custos!B666,#REF!,16,0),0)</f>
        <v>0</v>
      </c>
      <c r="R666" s="9">
        <f>IFERROR(VLOOKUP(B666,cubo!$A$6:$BK$37,64,0)-VLOOKUP(conciliacao_custos!B666,#REF!,17,0),0)</f>
        <v>0</v>
      </c>
      <c r="S666" s="9">
        <f>IFERROR(VLOOKUP(B666,cubo!$A$6:$BK$37,61,0)-VLOOKUP(conciliacao_custos!B666,#REF!,15,0),0)</f>
        <v>0</v>
      </c>
    </row>
  </sheetData>
  <autoFilter ref="B3:AN3" xr:uid="{303B4934-D8D1-4995-BE30-D7EBFD6EAE6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4A43-0EC3-410B-8309-00809A0E0F10}">
  <dimension ref="B1:AN666"/>
  <sheetViews>
    <sheetView workbookViewId="0">
      <selection activeCell="F4" sqref="F4"/>
    </sheetView>
  </sheetViews>
  <sheetFormatPr defaultRowHeight="15" x14ac:dyDescent="0.25"/>
  <cols>
    <col min="1" max="1" width="2.5703125" customWidth="1"/>
    <col min="2" max="2" width="9.5703125" bestFit="1" customWidth="1"/>
    <col min="3" max="3" width="51.140625" bestFit="1" customWidth="1"/>
    <col min="4" max="4" width="12.28515625" bestFit="1" customWidth="1"/>
    <col min="5" max="5" width="13.140625" bestFit="1" customWidth="1"/>
    <col min="6" max="6" width="16.140625" style="4" bestFit="1" customWidth="1"/>
    <col min="7" max="7" width="13.85546875" bestFit="1" customWidth="1"/>
    <col min="8" max="8" width="15.28515625" bestFit="1" customWidth="1"/>
    <col min="9" max="9" width="9.42578125" bestFit="1" customWidth="1"/>
    <col min="10" max="10" width="10.7109375" bestFit="1" customWidth="1"/>
    <col min="11" max="11" width="16.42578125" bestFit="1" customWidth="1"/>
    <col min="12" max="12" width="10.5703125" bestFit="1" customWidth="1"/>
    <col min="13" max="13" width="16.28515625" bestFit="1" customWidth="1"/>
    <col min="14" max="14" width="24.42578125" bestFit="1" customWidth="1"/>
    <col min="15" max="15" width="23" bestFit="1" customWidth="1"/>
    <col min="16" max="16" width="11.140625" bestFit="1" customWidth="1"/>
    <col min="17" max="17" width="18.42578125" bestFit="1" customWidth="1"/>
    <col min="18" max="18" width="13.42578125" bestFit="1" customWidth="1"/>
    <col min="19" max="19" width="21.140625" bestFit="1" customWidth="1"/>
    <col min="20" max="20" width="21.5703125" bestFit="1" customWidth="1"/>
    <col min="21" max="21" width="22.28515625" bestFit="1" customWidth="1"/>
    <col min="22" max="22" width="22.28515625" customWidth="1"/>
    <col min="23" max="23" width="17.28515625" bestFit="1" customWidth="1"/>
    <col min="24" max="24" width="19.5703125" bestFit="1" customWidth="1"/>
    <col min="25" max="25" width="21.28515625" bestFit="1" customWidth="1"/>
    <col min="26" max="26" width="20.28515625" bestFit="1" customWidth="1"/>
    <col min="27" max="27" width="15.85546875" bestFit="1" customWidth="1"/>
    <col min="28" max="28" width="9.7109375" bestFit="1" customWidth="1"/>
    <col min="29" max="29" width="20" bestFit="1" customWidth="1"/>
    <col min="30" max="30" width="25" bestFit="1" customWidth="1"/>
    <col min="31" max="31" width="23.85546875" bestFit="1" customWidth="1"/>
    <col min="32" max="32" width="11.28515625" bestFit="1" customWidth="1"/>
    <col min="33" max="34" width="14.5703125" bestFit="1" customWidth="1"/>
    <col min="35" max="35" width="22.28515625" bestFit="1" customWidth="1"/>
    <col min="36" max="36" width="14.140625" bestFit="1" customWidth="1"/>
    <col min="37" max="38" width="14.140625" customWidth="1"/>
    <col min="39" max="39" width="10" bestFit="1" customWidth="1"/>
    <col min="40" max="40" width="15.28515625" customWidth="1"/>
  </cols>
  <sheetData>
    <row r="1" spans="2:40" x14ac:dyDescent="0.25">
      <c r="D1" s="6">
        <f t="shared" ref="D1:AI1" si="0">SUBTOTAL(9,D4:D645)</f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ca="1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SUBTOTAL(9,AJ4:AJ645)</f>
        <v>0</v>
      </c>
      <c r="AK1" s="6">
        <f>SUBTOTAL(9,AK4:AK645)</f>
        <v>0</v>
      </c>
      <c r="AL1" s="6">
        <f>SUBTOTAL(9,AL4:AL645)</f>
        <v>0</v>
      </c>
      <c r="AM1" s="6">
        <f>SUBTOTAL(9,AM4:AM645)</f>
        <v>0</v>
      </c>
      <c r="AN1" s="6">
        <f>SUBTOTAL(9,AN4:AN645)</f>
        <v>0</v>
      </c>
    </row>
    <row r="2" spans="2:40" x14ac:dyDescent="0.25"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</row>
    <row r="3" spans="2:40" ht="47.25" x14ac:dyDescent="0.25">
      <c r="B3" s="2" t="s">
        <v>60</v>
      </c>
      <c r="C3" s="2" t="s">
        <v>58</v>
      </c>
      <c r="D3" s="2" t="s">
        <v>62</v>
      </c>
      <c r="E3" s="2" t="s">
        <v>63</v>
      </c>
      <c r="F3" s="2" t="s">
        <v>61</v>
      </c>
      <c r="G3" s="2" t="s">
        <v>64</v>
      </c>
      <c r="H3" s="2" t="s">
        <v>82</v>
      </c>
      <c r="I3" s="2" t="s">
        <v>65</v>
      </c>
      <c r="J3" s="2" t="s">
        <v>66</v>
      </c>
      <c r="K3" s="2" t="s">
        <v>67</v>
      </c>
      <c r="L3" s="2" t="s">
        <v>16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81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92</v>
      </c>
      <c r="W3" s="5" t="s">
        <v>23</v>
      </c>
      <c r="X3" s="5" t="s">
        <v>76</v>
      </c>
      <c r="Y3" s="5" t="s">
        <v>77</v>
      </c>
      <c r="Z3" s="5" t="s">
        <v>78</v>
      </c>
      <c r="AA3" s="5" t="s">
        <v>25</v>
      </c>
      <c r="AB3" s="5" t="s">
        <v>26</v>
      </c>
      <c r="AC3" s="5" t="s">
        <v>79</v>
      </c>
      <c r="AD3" s="5" t="s">
        <v>80</v>
      </c>
      <c r="AE3" s="5" t="s">
        <v>32</v>
      </c>
      <c r="AF3" s="5" t="s">
        <v>45</v>
      </c>
      <c r="AG3" s="5" t="s">
        <v>46</v>
      </c>
      <c r="AH3" s="5" t="s">
        <v>47</v>
      </c>
      <c r="AI3" s="5" t="s">
        <v>75</v>
      </c>
      <c r="AJ3" s="5" t="s">
        <v>91</v>
      </c>
      <c r="AK3" s="5" t="s">
        <v>88</v>
      </c>
      <c r="AL3" s="5" t="s">
        <v>55</v>
      </c>
      <c r="AM3" s="5" t="s">
        <v>90</v>
      </c>
      <c r="AN3" s="5" t="s">
        <v>72</v>
      </c>
    </row>
    <row r="4" spans="2:40" x14ac:dyDescent="0.25">
      <c r="B4" s="7">
        <f>[1]salario!A3</f>
        <v>1</v>
      </c>
      <c r="C4" s="8" t="str">
        <f>[1]salario!C3</f>
        <v>Colaborador 1</v>
      </c>
      <c r="D4" s="9">
        <f>IFERROR(VLOOKUP(B4,cubo!$A$6:$BE$37,3,0)-VLOOKUP(B4,#REF!,$D$2,0),0)</f>
        <v>0</v>
      </c>
      <c r="E4" s="10">
        <f>IFERROR(VLOOKUP(B4,cubo!$A$6:$BE$37,5,0)-VLOOKUP(B4,#REF!,$E$2,0),0)</f>
        <v>0</v>
      </c>
      <c r="F4" s="10">
        <f>IFERROR(VLOOKUP(B4,cubo!$A$6:$BE$37,8,0)-VLOOKUP(B4,#REF!,$F$2,0),0)</f>
        <v>0</v>
      </c>
      <c r="G4" s="9">
        <f>IFERROR(VLOOKUP(B4,cubo!$A$6:$BE$37,11,0)-VLOOKUP(B4,#REF!,$G$2,0),0)</f>
        <v>0</v>
      </c>
      <c r="H4" s="9">
        <f>IFERROR(VLOOKUP(B4,cubo!$A$6:$BE$37,53,0)-VLOOKUP(B4,#REF!,$H$2,0),0)</f>
        <v>0</v>
      </c>
      <c r="I4" s="10">
        <f>IFERROR(VLOOKUP(B4,cubo!$A$6:$BE$37,14,0)-VLOOKUP(B4,#REF!,$I$2,0),0)</f>
        <v>0</v>
      </c>
      <c r="J4" s="9">
        <f>IFERROR(VLOOKUP(B4,cubo!$A$6:$BE$37,16,0)-VLOOKUP(B4,#REF!,$J$2,0),0)</f>
        <v>0</v>
      </c>
      <c r="K4" s="9">
        <f>IFERROR(VLOOKUP(B4,cubo!$A$6:$BE$37,17,0)-VLOOKUP(B4,#REF!,$K$2,0),0)</f>
        <v>0</v>
      </c>
      <c r="L4" s="9">
        <f>IFERROR(VLOOKUP(B4,cubo!$A$6:$BE$37,19,0)-VLOOKUP(B4,#REF!,$L$2,0),0)</f>
        <v>0</v>
      </c>
      <c r="M4" s="9">
        <f>IFERROR(VLOOKUP(B4,cubo!$A$6:$BE$37,23,0)-VLOOKUP(B4,#REF!,$M$2,0),0)</f>
        <v>0</v>
      </c>
      <c r="N4" s="9">
        <f>IFERROR(VLOOKUP(B4,cubo!$A$6:$BE$37,25,0)-VLOOKUP(B4,#REF!,$N$2,0),0)</f>
        <v>0</v>
      </c>
      <c r="O4" s="9">
        <f>IFERROR(VLOOKUP(B4,cubo!$A$6:$BE$37,33,0)-VLOOKUP(B4,#REF!,$O$2,0),0)</f>
        <v>0</v>
      </c>
      <c r="P4" s="8">
        <f>IFERROR(VLOOKUP(B4,cubo!$A$6:$BE$37,37,0)-VLOOKUP(B4,#REF!,$P$2,0),0)</f>
        <v>0</v>
      </c>
      <c r="Q4" s="8">
        <f>IFERROR(VLOOKUP(B4,cubo!$A$6:$BE$37,56,0)-VLOOKUP(B4,#REF!,$Q$2,0),0)</f>
        <v>0</v>
      </c>
      <c r="R4" s="9">
        <f>IFERROR(VLOOKUP(B4,cubo!$A$6:$BE$37,40,0)-VLOOKUP(B4,#REF!,$R$2,0),0)</f>
        <v>0</v>
      </c>
      <c r="S4" s="9">
        <f>IFERROR(VLOOKUP(B4,cubo!$A$6:$BE$37,43,0)-VLOOKUP(B4,#REF!,$S$2,0),0)</f>
        <v>0</v>
      </c>
      <c r="T4" s="9">
        <f>IFERROR(VLOOKUP(B4,cubo!$A$6:$BE$37,46,0)-VLOOKUP(B4,#REF!,$T$2,0),0)</f>
        <v>0</v>
      </c>
      <c r="U4" s="9">
        <f>IFERROR(VLOOKUP(B4,cubo!$A$6:$BE$37,51,0)-VLOOKUP(B4,#REF!,$U$2,0),0)</f>
        <v>0</v>
      </c>
      <c r="V4" s="9">
        <f>IFERROR(VLOOKUP(B4,cubo!$A$6:$BJ$37,60,0)-VLOOKUP(B4,#REF!,$V$2,0),0)</f>
        <v>0</v>
      </c>
      <c r="W4" s="9">
        <f>IFERROR(VLOOKUP(B4,cubo!$A$6:$BE$37,26,0)-VLOOKUP(B4,#REF!,$W$2,0),0)</f>
        <v>0</v>
      </c>
      <c r="X4" s="9">
        <f>IFERROR(VLOOKUP(B4,cubo!$A$6:$BE$37,20,0)-VLOOKUP(B4,#REF!,$X$2,0),0)</f>
        <v>0</v>
      </c>
      <c r="Y4" s="9">
        <f>IFERROR(VLOOKUP(B4,cubo!$A$6:$BE$37,21,0)-VLOOKUP(B4,#REF!,$Y$2,0),0)</f>
        <v>0</v>
      </c>
      <c r="Z4" s="9">
        <f>IFERROR(VLOOKUP(B4,cubo!$A$6:$BE$37,27,0)-VLOOKUP(B4,#REF!,$Z$2,0),0)</f>
        <v>0</v>
      </c>
      <c r="AA4" s="9">
        <f>IFERROR(VLOOKUP(B4,cubo!$A$6:$BE$37,28,0)-VLOOKUP(B4,#REF!,$AA$2,0),0)</f>
        <v>0</v>
      </c>
      <c r="AB4" s="9">
        <f>IFERROR(VLOOKUP(B4,cubo!$A$6:$BE$37,29,0)-VLOOKUP(B4,#REF!,$AB$2,0),0)</f>
        <v>0</v>
      </c>
      <c r="AC4" s="9">
        <f>IFERROR(VLOOKUP(B4,cubo!$A$6:$BE$37,30,0)-VLOOKUP(B4,#REF!,$AC$2,0),0)</f>
        <v>0</v>
      </c>
      <c r="AD4" s="9">
        <f>IFERROR(VLOOKUP(B4,cubo!$A$6:$BE$37,31,0)-VLOOKUP(B4,#REF!,$AD$2,0),0)</f>
        <v>0</v>
      </c>
      <c r="AE4" s="9">
        <f>IFERROR(VLOOKUP(B4,cubo!$A$6:$BE$37,35,0)-VLOOKUP(B4,#REF!,$AE$2,0),0)</f>
        <v>0</v>
      </c>
      <c r="AF4" s="9" cm="1">
        <f t="array" aca="1" ref="AF4" ca="1">IFERROR(rrPROCV(B4,cubo!$A$6:$BE$37,48,0)-VLOOKUP(B4,#REF!,$AF$2,0),0)</f>
        <v>0</v>
      </c>
      <c r="AG4" s="9">
        <f>IFERROR(VLOOKUP(B4,cubo!$A$6:$BE$37,49,0)-VLOOKUP(B4,#REF!,$AG$2,0),0)</f>
        <v>0</v>
      </c>
      <c r="AH4" s="9">
        <f>IFERROR(VLOOKUP(B4,cubo!$A$6:$BE$37,50,0)-VLOOKUP(B4,#REF!,$AH$2,0),0)</f>
        <v>0</v>
      </c>
      <c r="AI4" s="9">
        <f>IFERROR(VLOOKUP(B4,cubo!$A$6:$BE$37,51,0)-VLOOKUP(B4,#REF!,$AI$2,0),0)</f>
        <v>0</v>
      </c>
      <c r="AJ4" s="9">
        <f>IFERROR(VLOOKUP(B4,cubo!$A$6:$BI$116,62,0)-VLOOKUP(B4,#REF!,$AJ$2,0),0)</f>
        <v>0</v>
      </c>
      <c r="AK4" s="9">
        <f>IFERROR(VLOOKUP(B4,cubo!$A$6:$BJ$37,63,0)-VLOOKUP(B4,#REF!,$AK$2,0),0)</f>
        <v>0</v>
      </c>
      <c r="AL4" s="9">
        <f>IFERROR(VLOOKUP(B4,cubo!$A$6:$BE$37,58,0)-VLOOKUP(B4,#REF!,$AL$2,0),0)</f>
        <v>0</v>
      </c>
      <c r="AM4" s="9">
        <f>IFERROR(VLOOKUP(B4,cubo!$A$6:$BK$37,64,0)-VLOOKUP(B4,#REF!,$AM$2,0),0)</f>
        <v>0</v>
      </c>
      <c r="AN4" s="9">
        <f>IFERROR(VLOOKUP(B4,cubo!$A$6:$AN$37,41,0)-VLOOKUP(B4,#REF!,$AN$2,0),0)</f>
        <v>0</v>
      </c>
    </row>
    <row r="5" spans="2:40" x14ac:dyDescent="0.25">
      <c r="B5" s="7">
        <f>[1]salario!A4</f>
        <v>2</v>
      </c>
      <c r="C5" s="8" t="str">
        <f>[1]salario!C4</f>
        <v>Colaborador 2</v>
      </c>
      <c r="D5" s="9">
        <f>IFERROR(VLOOKUP(B5,cubo!$A$6:$BE$37,3,0)-VLOOKUP(B5,#REF!,$D$2,0),0)</f>
        <v>0</v>
      </c>
      <c r="E5" s="10">
        <f>IFERROR(VLOOKUP(B5,cubo!$A$6:$BE$37,5,0)-VLOOKUP(B5,#REF!,$E$2,0),0)</f>
        <v>0</v>
      </c>
      <c r="F5" s="10">
        <f>IFERROR(VLOOKUP(B5,cubo!$A$6:$BE$37,8,0)-VLOOKUP(B5,#REF!,$F$2,0),0)</f>
        <v>0</v>
      </c>
      <c r="G5" s="9">
        <f>IFERROR(VLOOKUP(B5,cubo!$A$6:$BE$37,11,0)-VLOOKUP(B5,#REF!,$G$2,0),0)</f>
        <v>0</v>
      </c>
      <c r="H5" s="9">
        <f>IFERROR(VLOOKUP(B5,cubo!$A$6:$BE$37,53,0)-VLOOKUP(B5,#REF!,$H$2,0),0)</f>
        <v>0</v>
      </c>
      <c r="I5" s="10">
        <f>IFERROR(VLOOKUP(B5,cubo!$A$6:$BE$37,14,0)-VLOOKUP(B5,#REF!,$I$2,0),0)</f>
        <v>0</v>
      </c>
      <c r="J5" s="9">
        <f>IFERROR(VLOOKUP(B5,cubo!$A$6:$BE$37,16,0)-VLOOKUP(B5,#REF!,$J$2,0),0)</f>
        <v>0</v>
      </c>
      <c r="K5" s="9">
        <f>IFERROR(VLOOKUP(B5,cubo!$A$6:$BE$37,17,0)-VLOOKUP(B5,#REF!,$K$2,0),0)</f>
        <v>0</v>
      </c>
      <c r="L5" s="9">
        <f>IFERROR(VLOOKUP(B5,cubo!$A$6:$BE$37,19,0)-VLOOKUP(B5,#REF!,$L$2,0),0)</f>
        <v>0</v>
      </c>
      <c r="M5" s="9">
        <f>IFERROR(VLOOKUP(B5,cubo!$A$6:$BE$37,23,0)-VLOOKUP(B5,#REF!,$M$2,0),0)</f>
        <v>0</v>
      </c>
      <c r="N5" s="9">
        <f>IFERROR(VLOOKUP(B5,cubo!$A$6:$BE$37,25,0)-VLOOKUP(B5,#REF!,$N$2,0),0)</f>
        <v>0</v>
      </c>
      <c r="O5" s="9">
        <f>IFERROR(VLOOKUP(B5,cubo!$A$6:$BE$37,33,0)-VLOOKUP(B5,#REF!,$O$2,0),0)</f>
        <v>0</v>
      </c>
      <c r="P5" s="8">
        <f>IFERROR(VLOOKUP(B5,cubo!$A$6:$BE$37,37,0)-VLOOKUP(B5,#REF!,$P$2,0),0)</f>
        <v>0</v>
      </c>
      <c r="Q5" s="8">
        <f>IFERROR(VLOOKUP(B5,cubo!$A$6:$BE$37,56,0)-VLOOKUP(B5,#REF!,$Q$2,0),0)</f>
        <v>0</v>
      </c>
      <c r="R5" s="9">
        <f>IFERROR(VLOOKUP(B5,cubo!$A$6:$BE$37,40,0)-VLOOKUP(B5,#REF!,$R$2,0),0)</f>
        <v>0</v>
      </c>
      <c r="S5" s="9">
        <f>IFERROR(VLOOKUP(B5,cubo!$A$6:$BE$37,43,0)-VLOOKUP(B5,#REF!,$S$2,0),0)</f>
        <v>0</v>
      </c>
      <c r="T5" s="9">
        <f>IFERROR(VLOOKUP(B5,cubo!$A$6:$BE$37,46,0)-VLOOKUP(B5,#REF!,$T$2,0),0)</f>
        <v>0</v>
      </c>
      <c r="U5" s="9">
        <f>IFERROR(VLOOKUP(B5,cubo!$A$6:$BE$37,51,0)-VLOOKUP(B5,#REF!,$U$2,0),0)</f>
        <v>0</v>
      </c>
      <c r="V5" s="9">
        <f>IFERROR(VLOOKUP(B5,cubo!$A$6:$BJ$37,60,0)-VLOOKUP(B5,#REF!,$V$2,0),0)</f>
        <v>0</v>
      </c>
      <c r="W5" s="9">
        <f>IFERROR(VLOOKUP(B5,cubo!$A$6:$BE$37,26,0)-VLOOKUP(B5,#REF!,$W$2,0),0)</f>
        <v>0</v>
      </c>
      <c r="X5" s="9">
        <f>IFERROR(VLOOKUP(B5,cubo!$A$6:$BE$37,20,0)-VLOOKUP(B5,#REF!,$X$2,0),0)</f>
        <v>0</v>
      </c>
      <c r="Y5" s="9">
        <f>IFERROR(VLOOKUP(B5,cubo!$A$6:$BE$37,21,0)-VLOOKUP(B5,#REF!,$Y$2,0),0)</f>
        <v>0</v>
      </c>
      <c r="Z5" s="9">
        <f>IFERROR(VLOOKUP(B5,cubo!$A$6:$BE$37,27,0)-VLOOKUP(B5,#REF!,$Z$2,0),0)</f>
        <v>0</v>
      </c>
      <c r="AA5" s="9">
        <f>IFERROR(VLOOKUP(B5,cubo!$A$6:$BE$37,28,0)-VLOOKUP(B5,#REF!,$AA$2,0),0)</f>
        <v>0</v>
      </c>
      <c r="AB5" s="9">
        <f>IFERROR(VLOOKUP(B5,cubo!$A$6:$BE$37,29,0)-VLOOKUP(B5,#REF!,$AB$2,0),0)</f>
        <v>0</v>
      </c>
      <c r="AC5" s="9">
        <f>IFERROR(VLOOKUP(B5,cubo!$A$6:$BE$37,30,0)-VLOOKUP(B5,#REF!,$AC$2,0),0)</f>
        <v>0</v>
      </c>
      <c r="AD5" s="9">
        <f>IFERROR(VLOOKUP(B5,cubo!$A$6:$BE$37,31,0)-VLOOKUP(B5,#REF!,$AD$2,0),0)</f>
        <v>0</v>
      </c>
      <c r="AE5" s="9">
        <f>IFERROR(VLOOKUP(B5,cubo!$A$6:$BE$37,35,0)-VLOOKUP(B5,#REF!,$AE$2,0),0)</f>
        <v>0</v>
      </c>
      <c r="AF5" s="9" cm="1">
        <f t="array" aca="1" ref="AF5" ca="1">IFERROR(rrPROCV(B5,cubo!$A$6:$BE$37,48,0)-VLOOKUP(B5,#REF!,$AF$2,0),0)</f>
        <v>0</v>
      </c>
      <c r="AG5" s="9">
        <f>IFERROR(VLOOKUP(B5,cubo!$A$6:$BE$37,49,0)-VLOOKUP(B5,#REF!,$AG$2,0),0)</f>
        <v>0</v>
      </c>
      <c r="AH5" s="9">
        <f>IFERROR(VLOOKUP(B5,cubo!$A$6:$BE$37,50,0)-VLOOKUP(B5,#REF!,$AH$2,0),0)</f>
        <v>0</v>
      </c>
      <c r="AI5" s="9">
        <f>IFERROR(VLOOKUP(B5,cubo!$A$6:$BE$37,51,0)-VLOOKUP(B5,#REF!,$AI$2,0),0)</f>
        <v>0</v>
      </c>
      <c r="AJ5" s="9">
        <f>IFERROR(VLOOKUP(B5,cubo!$A$6:$BI$116,62,0)-VLOOKUP(B5,#REF!,$AJ$2,0),0)</f>
        <v>0</v>
      </c>
      <c r="AK5" s="9">
        <f>IFERROR(VLOOKUP(B5,cubo!$A$6:$BJ$37,63,0)-VLOOKUP(B5,#REF!,$AK$2,0),0)</f>
        <v>0</v>
      </c>
      <c r="AL5" s="9">
        <f>IFERROR(VLOOKUP(B5,cubo!$A$6:$BE$37,58,0)-VLOOKUP(B5,#REF!,$AL$2,0),0)</f>
        <v>0</v>
      </c>
      <c r="AM5" s="9">
        <f>IFERROR(VLOOKUP(B5,cubo!$A$6:$BK$37,64,0)-VLOOKUP(B5,#REF!,$AM$2,0),0)</f>
        <v>0</v>
      </c>
      <c r="AN5" s="9">
        <f>IFERROR(VLOOKUP(B5,cubo!$A$6:$AN$37,41,0)-VLOOKUP(B5,#REF!,$AN$2,0),0)</f>
        <v>0</v>
      </c>
    </row>
    <row r="6" spans="2:40" x14ac:dyDescent="0.25">
      <c r="B6" s="7">
        <f>[1]salario!A5</f>
        <v>3</v>
      </c>
      <c r="C6" s="8" t="str">
        <f>[1]salario!C5</f>
        <v>Colaborador 3</v>
      </c>
      <c r="D6" s="9">
        <f>IFERROR(VLOOKUP(B6,cubo!$A$6:$BE$37,3,0)-VLOOKUP(B6,#REF!,$D$2,0),0)</f>
        <v>0</v>
      </c>
      <c r="E6" s="10">
        <f>IFERROR(VLOOKUP(B6,cubo!$A$6:$BE$37,5,0)-VLOOKUP(B6,#REF!,$E$2,0),0)</f>
        <v>0</v>
      </c>
      <c r="F6" s="10">
        <f>IFERROR(VLOOKUP(B6,cubo!$A$6:$BE$37,8,0)-VLOOKUP(B6,#REF!,$F$2,0),0)</f>
        <v>0</v>
      </c>
      <c r="G6" s="9">
        <f>IFERROR(VLOOKUP(B6,cubo!$A$6:$BE$37,11,0)-VLOOKUP(B6,#REF!,$G$2,0),0)</f>
        <v>0</v>
      </c>
      <c r="H6" s="9">
        <f>IFERROR(VLOOKUP(B6,cubo!$A$6:$BE$37,53,0)-VLOOKUP(B6,#REF!,$H$2,0),0)</f>
        <v>0</v>
      </c>
      <c r="I6" s="10">
        <f>IFERROR(VLOOKUP(B6,cubo!$A$6:$BE$37,14,0)-VLOOKUP(B6,#REF!,$I$2,0),0)</f>
        <v>0</v>
      </c>
      <c r="J6" s="9">
        <f>IFERROR(VLOOKUP(B6,cubo!$A$6:$BE$37,16,0)-VLOOKUP(B6,#REF!,$J$2,0),0)</f>
        <v>0</v>
      </c>
      <c r="K6" s="9">
        <f>IFERROR(VLOOKUP(B6,cubo!$A$6:$BE$37,17,0)-VLOOKUP(B6,#REF!,$K$2,0),0)</f>
        <v>0</v>
      </c>
      <c r="L6" s="9">
        <f>IFERROR(VLOOKUP(B6,cubo!$A$6:$BE$37,19,0)-VLOOKUP(B6,#REF!,$L$2,0),0)</f>
        <v>0</v>
      </c>
      <c r="M6" s="9">
        <f>IFERROR(VLOOKUP(B6,cubo!$A$6:$BE$37,23,0)-VLOOKUP(B6,#REF!,$M$2,0),0)</f>
        <v>0</v>
      </c>
      <c r="N6" s="9">
        <f>IFERROR(VLOOKUP(B6,cubo!$A$6:$BE$37,25,0)-VLOOKUP(B6,#REF!,$N$2,0),0)</f>
        <v>0</v>
      </c>
      <c r="O6" s="9">
        <f>IFERROR(VLOOKUP(B6,cubo!$A$6:$BE$37,33,0)-VLOOKUP(B6,#REF!,$O$2,0),0)</f>
        <v>0</v>
      </c>
      <c r="P6" s="8">
        <f>IFERROR(VLOOKUP(B6,cubo!$A$6:$BE$37,37,0)-VLOOKUP(B6,#REF!,$P$2,0),0)</f>
        <v>0</v>
      </c>
      <c r="Q6" s="8">
        <f>IFERROR(VLOOKUP(B6,cubo!$A$6:$BE$37,56,0)-VLOOKUP(B6,#REF!,$Q$2,0),0)</f>
        <v>0</v>
      </c>
      <c r="R6" s="9">
        <f>IFERROR(VLOOKUP(B6,cubo!$A$6:$BE$37,40,0)-VLOOKUP(B6,#REF!,$R$2,0),0)</f>
        <v>0</v>
      </c>
      <c r="S6" s="9">
        <f>IFERROR(VLOOKUP(B6,cubo!$A$6:$BE$37,43,0)-VLOOKUP(B6,#REF!,$S$2,0),0)</f>
        <v>0</v>
      </c>
      <c r="T6" s="9">
        <f>IFERROR(VLOOKUP(B6,cubo!$A$6:$BE$37,46,0)-VLOOKUP(B6,#REF!,$T$2,0),0)</f>
        <v>0</v>
      </c>
      <c r="U6" s="9">
        <f>IFERROR(VLOOKUP(B6,cubo!$A$6:$BE$37,51,0)-VLOOKUP(B6,#REF!,$U$2,0),0)</f>
        <v>0</v>
      </c>
      <c r="V6" s="9">
        <f>IFERROR(VLOOKUP(B6,cubo!$A$6:$BJ$37,60,0)-VLOOKUP(B6,#REF!,$V$2,0),0)</f>
        <v>0</v>
      </c>
      <c r="W6" s="9">
        <f>IFERROR(VLOOKUP(B6,cubo!$A$6:$BE$37,26,0)-VLOOKUP(B6,#REF!,$W$2,0),0)</f>
        <v>0</v>
      </c>
      <c r="X6" s="9">
        <f>IFERROR(VLOOKUP(B6,cubo!$A$6:$BE$37,20,0)-VLOOKUP(B6,#REF!,$X$2,0),0)</f>
        <v>0</v>
      </c>
      <c r="Y6" s="9">
        <f>IFERROR(VLOOKUP(B6,cubo!$A$6:$BE$37,21,0)-VLOOKUP(B6,#REF!,$Y$2,0),0)</f>
        <v>0</v>
      </c>
      <c r="Z6" s="9">
        <f>IFERROR(VLOOKUP(B6,cubo!$A$6:$BE$37,27,0)-VLOOKUP(B6,#REF!,$Z$2,0),0)</f>
        <v>0</v>
      </c>
      <c r="AA6" s="9">
        <f>IFERROR(VLOOKUP(B6,cubo!$A$6:$BE$37,28,0)-VLOOKUP(B6,#REF!,$AA$2,0),0)</f>
        <v>0</v>
      </c>
      <c r="AB6" s="9">
        <f>IFERROR(VLOOKUP(B6,cubo!$A$6:$BE$37,29,0)-VLOOKUP(B6,#REF!,$AB$2,0),0)</f>
        <v>0</v>
      </c>
      <c r="AC6" s="9">
        <f>IFERROR(VLOOKUP(B6,cubo!$A$6:$BE$37,30,0)-VLOOKUP(B6,#REF!,$AC$2,0),0)</f>
        <v>0</v>
      </c>
      <c r="AD6" s="9">
        <f>IFERROR(VLOOKUP(B6,cubo!$A$6:$BE$37,31,0)-VLOOKUP(B6,#REF!,$AD$2,0),0)</f>
        <v>0</v>
      </c>
      <c r="AE6" s="9">
        <f>IFERROR(VLOOKUP(B6,cubo!$A$6:$BE$37,35,0)-VLOOKUP(B6,#REF!,$AE$2,0),0)</f>
        <v>0</v>
      </c>
      <c r="AF6" s="9" cm="1">
        <f t="array" aca="1" ref="AF6" ca="1">IFERROR(rrPROCV(B6,cubo!$A$6:$BE$37,48,0)-VLOOKUP(B6,#REF!,$AF$2,0),0)</f>
        <v>0</v>
      </c>
      <c r="AG6" s="9">
        <f>IFERROR(VLOOKUP(B6,cubo!$A$6:$BE$37,49,0)-VLOOKUP(B6,#REF!,$AG$2,0),0)</f>
        <v>0</v>
      </c>
      <c r="AH6" s="9">
        <f>IFERROR(VLOOKUP(B6,cubo!$A$6:$BE$37,50,0)-VLOOKUP(B6,#REF!,$AH$2,0),0)</f>
        <v>0</v>
      </c>
      <c r="AI6" s="9">
        <f>IFERROR(VLOOKUP(B6,cubo!$A$6:$BE$37,51,0)-VLOOKUP(B6,#REF!,$AI$2,0),0)</f>
        <v>0</v>
      </c>
      <c r="AJ6" s="9">
        <f>IFERROR(VLOOKUP(B6,cubo!$A$6:$BI$116,62,0)-VLOOKUP(B6,#REF!,$AJ$2,0),0)</f>
        <v>0</v>
      </c>
      <c r="AK6" s="9">
        <f>IFERROR(VLOOKUP(B6,cubo!$A$6:$BJ$37,63,0)-VLOOKUP(B6,#REF!,$AK$2,0),0)</f>
        <v>0</v>
      </c>
      <c r="AL6" s="9">
        <f>IFERROR(VLOOKUP(B6,cubo!$A$6:$BE$37,58,0)-VLOOKUP(B6,#REF!,$AL$2,0),0)</f>
        <v>0</v>
      </c>
      <c r="AM6" s="9">
        <f>IFERROR(VLOOKUP(B6,cubo!$A$6:$BK$37,64,0)-VLOOKUP(B6,#REF!,$AM$2,0),0)</f>
        <v>0</v>
      </c>
      <c r="AN6" s="9">
        <f>IFERROR(VLOOKUP(B6,cubo!$A$6:$AN$37,41,0)-VLOOKUP(B6,#REF!,$AN$2,0),0)</f>
        <v>0</v>
      </c>
    </row>
    <row r="7" spans="2:40" x14ac:dyDescent="0.25">
      <c r="B7" s="7">
        <f>[1]salario!A6</f>
        <v>4</v>
      </c>
      <c r="C7" s="8" t="str">
        <f>[1]salario!C6</f>
        <v>Colaborador 4</v>
      </c>
      <c r="D7" s="9">
        <f>IFERROR(VLOOKUP(B7,cubo!$A$6:$BE$37,3,0)-VLOOKUP(B7,#REF!,$D$2,0),0)</f>
        <v>0</v>
      </c>
      <c r="E7" s="10">
        <f>IFERROR(VLOOKUP(B7,cubo!$A$6:$BE$37,5,0)-VLOOKUP(B7,#REF!,$E$2,0),0)</f>
        <v>0</v>
      </c>
      <c r="F7" s="10">
        <f>IFERROR(VLOOKUP(B7,cubo!$A$6:$BE$37,8,0)-VLOOKUP(B7,#REF!,$F$2,0),0)</f>
        <v>0</v>
      </c>
      <c r="G7" s="9">
        <f>IFERROR(VLOOKUP(B7,cubo!$A$6:$BE$37,11,0)-VLOOKUP(B7,#REF!,$G$2,0),0)</f>
        <v>0</v>
      </c>
      <c r="H7" s="9">
        <f>IFERROR(VLOOKUP(B7,cubo!$A$6:$BE$37,53,0)-VLOOKUP(B7,#REF!,$H$2,0),0)</f>
        <v>0</v>
      </c>
      <c r="I7" s="10">
        <f>IFERROR(VLOOKUP(B7,cubo!$A$6:$BE$37,14,0)-VLOOKUP(B7,#REF!,$I$2,0),0)</f>
        <v>0</v>
      </c>
      <c r="J7" s="9">
        <f>IFERROR(VLOOKUP(B7,cubo!$A$6:$BE$37,16,0)-VLOOKUP(B7,#REF!,$J$2,0),0)</f>
        <v>0</v>
      </c>
      <c r="K7" s="9">
        <f>IFERROR(VLOOKUP(B7,cubo!$A$6:$BE$37,17,0)-VLOOKUP(B7,#REF!,$K$2,0),0)</f>
        <v>0</v>
      </c>
      <c r="L7" s="9">
        <f>IFERROR(VLOOKUP(B7,cubo!$A$6:$BE$37,19,0)-VLOOKUP(B7,#REF!,$L$2,0),0)</f>
        <v>0</v>
      </c>
      <c r="M7" s="9">
        <f>IFERROR(VLOOKUP(B7,cubo!$A$6:$BE$37,23,0)-VLOOKUP(B7,#REF!,$M$2,0),0)</f>
        <v>0</v>
      </c>
      <c r="N7" s="9">
        <f>IFERROR(VLOOKUP(B7,cubo!$A$6:$BE$37,25,0)-VLOOKUP(B7,#REF!,$N$2,0),0)</f>
        <v>0</v>
      </c>
      <c r="O7" s="9">
        <f>IFERROR(VLOOKUP(B7,cubo!$A$6:$BE$37,33,0)-VLOOKUP(B7,#REF!,$O$2,0),0)</f>
        <v>0</v>
      </c>
      <c r="P7" s="8">
        <f>IFERROR(VLOOKUP(B7,cubo!$A$6:$BE$37,37,0)-VLOOKUP(B7,#REF!,$P$2,0),0)</f>
        <v>0</v>
      </c>
      <c r="Q7" s="8">
        <f>IFERROR(VLOOKUP(B7,cubo!$A$6:$BE$37,56,0)-VLOOKUP(B7,#REF!,$Q$2,0),0)</f>
        <v>0</v>
      </c>
      <c r="R7" s="9">
        <f>IFERROR(VLOOKUP(B7,cubo!$A$6:$BE$37,40,0)-VLOOKUP(B7,#REF!,$R$2,0),0)</f>
        <v>0</v>
      </c>
      <c r="S7" s="9">
        <f>IFERROR(VLOOKUP(B7,cubo!$A$6:$BE$37,43,0)-VLOOKUP(B7,#REF!,$S$2,0),0)</f>
        <v>0</v>
      </c>
      <c r="T7" s="9">
        <f>IFERROR(VLOOKUP(B7,cubo!$A$6:$BE$37,46,0)-VLOOKUP(B7,#REF!,$T$2,0),0)</f>
        <v>0</v>
      </c>
      <c r="U7" s="9">
        <f>IFERROR(VLOOKUP(B7,cubo!$A$6:$BE$37,51,0)-VLOOKUP(B7,#REF!,$U$2,0),0)</f>
        <v>0</v>
      </c>
      <c r="V7" s="9">
        <f>IFERROR(VLOOKUP(B7,cubo!$A$6:$BJ$37,60,0)-VLOOKUP(B7,#REF!,$V$2,0),0)</f>
        <v>0</v>
      </c>
      <c r="W7" s="9">
        <f>IFERROR(VLOOKUP(B7,cubo!$A$6:$BE$37,26,0)-VLOOKUP(B7,#REF!,$W$2,0),0)</f>
        <v>0</v>
      </c>
      <c r="X7" s="9">
        <f>IFERROR(VLOOKUP(B7,cubo!$A$6:$BE$37,20,0)-VLOOKUP(B7,#REF!,$X$2,0),0)</f>
        <v>0</v>
      </c>
      <c r="Y7" s="9">
        <f>IFERROR(VLOOKUP(B7,cubo!$A$6:$BE$37,21,0)-VLOOKUP(B7,#REF!,$Y$2,0),0)</f>
        <v>0</v>
      </c>
      <c r="Z7" s="9">
        <f>IFERROR(VLOOKUP(B7,cubo!$A$6:$BE$37,27,0)-VLOOKUP(B7,#REF!,$Z$2,0),0)</f>
        <v>0</v>
      </c>
      <c r="AA7" s="9">
        <f>IFERROR(VLOOKUP(B7,cubo!$A$6:$BE$37,28,0)-VLOOKUP(B7,#REF!,$AA$2,0),0)</f>
        <v>0</v>
      </c>
      <c r="AB7" s="9">
        <f>IFERROR(VLOOKUP(B7,cubo!$A$6:$BE$37,29,0)-VLOOKUP(B7,#REF!,$AB$2,0),0)</f>
        <v>0</v>
      </c>
      <c r="AC7" s="9">
        <f>IFERROR(VLOOKUP(B7,cubo!$A$6:$BE$37,30,0)-VLOOKUP(B7,#REF!,$AC$2,0),0)</f>
        <v>0</v>
      </c>
      <c r="AD7" s="9">
        <f>IFERROR(VLOOKUP(B7,cubo!$A$6:$BE$37,31,0)-VLOOKUP(B7,#REF!,$AD$2,0),0)</f>
        <v>0</v>
      </c>
      <c r="AE7" s="9">
        <f>IFERROR(VLOOKUP(B7,cubo!$A$6:$BE$37,35,0)-VLOOKUP(B7,#REF!,$AE$2,0),0)</f>
        <v>0</v>
      </c>
      <c r="AF7" s="9" cm="1">
        <f t="array" aca="1" ref="AF7" ca="1">IFERROR(rrPROCV(B7,cubo!$A$6:$BE$37,48,0)-VLOOKUP(B7,#REF!,$AF$2,0),0)</f>
        <v>0</v>
      </c>
      <c r="AG7" s="9">
        <f>IFERROR(VLOOKUP(B7,cubo!$A$6:$BE$37,49,0)-VLOOKUP(B7,#REF!,$AG$2,0),0)</f>
        <v>0</v>
      </c>
      <c r="AH7" s="9">
        <f>IFERROR(VLOOKUP(B7,cubo!$A$6:$BE$37,50,0)-VLOOKUP(B7,#REF!,$AH$2,0),0)</f>
        <v>0</v>
      </c>
      <c r="AI7" s="9">
        <f>IFERROR(VLOOKUP(B7,cubo!$A$6:$BE$37,51,0)-VLOOKUP(B7,#REF!,$AI$2,0),0)</f>
        <v>0</v>
      </c>
      <c r="AJ7" s="9">
        <f>IFERROR(VLOOKUP(B7,cubo!$A$6:$BI$116,62,0)-VLOOKUP(B7,#REF!,$AJ$2,0),0)</f>
        <v>0</v>
      </c>
      <c r="AK7" s="9">
        <f>IFERROR(VLOOKUP(B7,cubo!$A$6:$BJ$37,63,0)-VLOOKUP(B7,#REF!,$AK$2,0),0)</f>
        <v>0</v>
      </c>
      <c r="AL7" s="9">
        <f>IFERROR(VLOOKUP(B7,cubo!$A$6:$BE$37,58,0)-VLOOKUP(B7,#REF!,$AL$2,0),0)</f>
        <v>0</v>
      </c>
      <c r="AM7" s="9">
        <f>IFERROR(VLOOKUP(B7,cubo!$A$6:$BK$37,64,0)-VLOOKUP(B7,#REF!,$AM$2,0),0)</f>
        <v>0</v>
      </c>
      <c r="AN7" s="9">
        <f>IFERROR(VLOOKUP(B7,cubo!$A$6:$AN$37,41,0)-VLOOKUP(B7,#REF!,$AN$2,0),0)</f>
        <v>0</v>
      </c>
    </row>
    <row r="8" spans="2:40" x14ac:dyDescent="0.25">
      <c r="B8" s="7">
        <f>[1]salario!A7</f>
        <v>5</v>
      </c>
      <c r="C8" s="8" t="str">
        <f>[1]salario!C7</f>
        <v>Colaborador 5</v>
      </c>
      <c r="D8" s="9">
        <f>IFERROR(VLOOKUP(B8,cubo!$A$6:$BE$37,3,0)-VLOOKUP(B8,#REF!,$D$2,0),0)</f>
        <v>0</v>
      </c>
      <c r="E8" s="10">
        <f>IFERROR(VLOOKUP(B8,cubo!$A$6:$BE$37,5,0)-VLOOKUP(B8,#REF!,$E$2,0),0)</f>
        <v>0</v>
      </c>
      <c r="F8" s="10">
        <f>IFERROR(VLOOKUP(B8,cubo!$A$6:$BE$37,8,0)-VLOOKUP(B8,#REF!,$F$2,0),0)</f>
        <v>0</v>
      </c>
      <c r="G8" s="9">
        <f>IFERROR(VLOOKUP(B8,cubo!$A$6:$BE$37,11,0)-VLOOKUP(B8,#REF!,$G$2,0),0)</f>
        <v>0</v>
      </c>
      <c r="H8" s="9">
        <f>IFERROR(VLOOKUP(B8,cubo!$A$6:$BE$37,53,0)-VLOOKUP(B8,#REF!,$H$2,0),0)</f>
        <v>0</v>
      </c>
      <c r="I8" s="10">
        <f>IFERROR(VLOOKUP(B8,cubo!$A$6:$BE$37,14,0)-VLOOKUP(B8,#REF!,$I$2,0),0)</f>
        <v>0</v>
      </c>
      <c r="J8" s="9">
        <f>IFERROR(VLOOKUP(B8,cubo!$A$6:$BE$37,16,0)-VLOOKUP(B8,#REF!,$J$2,0),0)</f>
        <v>0</v>
      </c>
      <c r="K8" s="9">
        <f>IFERROR(VLOOKUP(B8,cubo!$A$6:$BE$37,17,0)-VLOOKUP(B8,#REF!,$K$2,0),0)</f>
        <v>0</v>
      </c>
      <c r="L8" s="9">
        <f>IFERROR(VLOOKUP(B8,cubo!$A$6:$BE$37,19,0)-VLOOKUP(B8,#REF!,$L$2,0),0)</f>
        <v>0</v>
      </c>
      <c r="M8" s="9">
        <f>IFERROR(VLOOKUP(B8,cubo!$A$6:$BE$37,23,0)-VLOOKUP(B8,#REF!,$M$2,0),0)</f>
        <v>0</v>
      </c>
      <c r="N8" s="9">
        <f>IFERROR(VLOOKUP(B8,cubo!$A$6:$BE$37,25,0)-VLOOKUP(B8,#REF!,$N$2,0),0)</f>
        <v>0</v>
      </c>
      <c r="O8" s="9">
        <f>IFERROR(VLOOKUP(B8,cubo!$A$6:$BE$37,33,0)-VLOOKUP(B8,#REF!,$O$2,0),0)</f>
        <v>0</v>
      </c>
      <c r="P8" s="8">
        <f>IFERROR(VLOOKUP(B8,cubo!$A$6:$BE$37,37,0)-VLOOKUP(B8,#REF!,$P$2,0),0)</f>
        <v>0</v>
      </c>
      <c r="Q8" s="8">
        <f>IFERROR(VLOOKUP(B8,cubo!$A$6:$BE$37,56,0)-VLOOKUP(B8,#REF!,$Q$2,0),0)</f>
        <v>0</v>
      </c>
      <c r="R8" s="9">
        <f>IFERROR(VLOOKUP(B8,cubo!$A$6:$BE$37,40,0)-VLOOKUP(B8,#REF!,$R$2,0),0)</f>
        <v>0</v>
      </c>
      <c r="S8" s="9">
        <f>IFERROR(VLOOKUP(B8,cubo!$A$6:$BE$37,43,0)-VLOOKUP(B8,#REF!,$S$2,0),0)</f>
        <v>0</v>
      </c>
      <c r="T8" s="9">
        <f>IFERROR(VLOOKUP(B8,cubo!$A$6:$BE$37,46,0)-VLOOKUP(B8,#REF!,$T$2,0),0)</f>
        <v>0</v>
      </c>
      <c r="U8" s="9">
        <f>IFERROR(VLOOKUP(B8,cubo!$A$6:$BE$37,51,0)-VLOOKUP(B8,#REF!,$U$2,0),0)</f>
        <v>0</v>
      </c>
      <c r="V8" s="9">
        <f>IFERROR(VLOOKUP(B8,cubo!$A$6:$BJ$37,60,0)-VLOOKUP(B8,#REF!,$V$2,0),0)</f>
        <v>0</v>
      </c>
      <c r="W8" s="9">
        <f>IFERROR(VLOOKUP(B8,cubo!$A$6:$BE$37,26,0)-VLOOKUP(B8,#REF!,$W$2,0),0)</f>
        <v>0</v>
      </c>
      <c r="X8" s="9">
        <f>IFERROR(VLOOKUP(B8,cubo!$A$6:$BE$37,20,0)-VLOOKUP(B8,#REF!,$X$2,0),0)</f>
        <v>0</v>
      </c>
      <c r="Y8" s="9">
        <f>IFERROR(VLOOKUP(B8,cubo!$A$6:$BE$37,21,0)-VLOOKUP(B8,#REF!,$Y$2,0),0)</f>
        <v>0</v>
      </c>
      <c r="Z8" s="9">
        <f>IFERROR(VLOOKUP(B8,cubo!$A$6:$BE$37,27,0)-VLOOKUP(B8,#REF!,$Z$2,0),0)</f>
        <v>0</v>
      </c>
      <c r="AA8" s="9">
        <f>IFERROR(VLOOKUP(B8,cubo!$A$6:$BE$37,28,0)-VLOOKUP(B8,#REF!,$AA$2,0),0)</f>
        <v>0</v>
      </c>
      <c r="AB8" s="9">
        <f>IFERROR(VLOOKUP(B8,cubo!$A$6:$BE$37,29,0)-VLOOKUP(B8,#REF!,$AB$2,0),0)</f>
        <v>0</v>
      </c>
      <c r="AC8" s="9">
        <f>IFERROR(VLOOKUP(B8,cubo!$A$6:$BE$37,30,0)-VLOOKUP(B8,#REF!,$AC$2,0),0)</f>
        <v>0</v>
      </c>
      <c r="AD8" s="9">
        <f>IFERROR(VLOOKUP(B8,cubo!$A$6:$BE$37,31,0)-VLOOKUP(B8,#REF!,$AD$2,0),0)</f>
        <v>0</v>
      </c>
      <c r="AE8" s="9">
        <f>IFERROR(VLOOKUP(B8,cubo!$A$6:$BE$37,35,0)-VLOOKUP(B8,#REF!,$AE$2,0),0)</f>
        <v>0</v>
      </c>
      <c r="AF8" s="9" cm="1">
        <f t="array" aca="1" ref="AF8" ca="1">IFERROR(rrPROCV(B8,cubo!$A$6:$BE$37,48,0)-VLOOKUP(B8,#REF!,$AF$2,0),0)</f>
        <v>0</v>
      </c>
      <c r="AG8" s="9">
        <f>IFERROR(VLOOKUP(B8,cubo!$A$6:$BE$37,49,0)-VLOOKUP(B8,#REF!,$AG$2,0),0)</f>
        <v>0</v>
      </c>
      <c r="AH8" s="9">
        <f>IFERROR(VLOOKUP(B8,cubo!$A$6:$BE$37,50,0)-VLOOKUP(B8,#REF!,$AH$2,0),0)</f>
        <v>0</v>
      </c>
      <c r="AI8" s="9">
        <f>IFERROR(VLOOKUP(B8,cubo!$A$6:$BE$37,51,0)-VLOOKUP(B8,#REF!,$AI$2,0),0)</f>
        <v>0</v>
      </c>
      <c r="AJ8" s="9">
        <f>IFERROR(VLOOKUP(B8,cubo!$A$6:$BI$116,62,0)-VLOOKUP(B8,#REF!,$AJ$2,0),0)</f>
        <v>0</v>
      </c>
      <c r="AK8" s="9">
        <f>IFERROR(VLOOKUP(B8,cubo!$A$6:$BJ$37,63,0)-VLOOKUP(B8,#REF!,$AK$2,0),0)</f>
        <v>0</v>
      </c>
      <c r="AL8" s="9">
        <f>IFERROR(VLOOKUP(B8,cubo!$A$6:$BE$37,58,0)-VLOOKUP(B8,#REF!,$AL$2,0),0)</f>
        <v>0</v>
      </c>
      <c r="AM8" s="9">
        <f>IFERROR(VLOOKUP(B8,cubo!$A$6:$BK$37,64,0)-VLOOKUP(B8,#REF!,$AM$2,0),0)</f>
        <v>0</v>
      </c>
      <c r="AN8" s="9">
        <f>IFERROR(VLOOKUP(B8,cubo!$A$6:$AN$37,41,0)-VLOOKUP(B8,#REF!,$AN$2,0),0)</f>
        <v>0</v>
      </c>
    </row>
    <row r="9" spans="2:40" x14ac:dyDescent="0.25">
      <c r="B9" s="7">
        <f>[1]salario!A8</f>
        <v>6</v>
      </c>
      <c r="C9" s="8" t="str">
        <f>[1]salario!C8</f>
        <v>Colaborador 6</v>
      </c>
      <c r="D9" s="9">
        <f>IFERROR(VLOOKUP(B9,cubo!$A$6:$BE$37,3,0)-VLOOKUP(B9,#REF!,$D$2,0),0)</f>
        <v>0</v>
      </c>
      <c r="E9" s="10">
        <f>IFERROR(VLOOKUP(B9,cubo!$A$6:$BE$37,5,0)-VLOOKUP(B9,#REF!,$E$2,0),0)</f>
        <v>0</v>
      </c>
      <c r="F9" s="10">
        <f>IFERROR(VLOOKUP(B9,cubo!$A$6:$BE$37,8,0)-VLOOKUP(B9,#REF!,$F$2,0),0)</f>
        <v>0</v>
      </c>
      <c r="G9" s="9">
        <f>IFERROR(VLOOKUP(B9,cubo!$A$6:$BE$37,11,0)-VLOOKUP(B9,#REF!,$G$2,0),0)</f>
        <v>0</v>
      </c>
      <c r="H9" s="9">
        <f>IFERROR(VLOOKUP(B9,cubo!$A$6:$BE$37,53,0)-VLOOKUP(B9,#REF!,$H$2,0),0)</f>
        <v>0</v>
      </c>
      <c r="I9" s="10">
        <f>IFERROR(VLOOKUP(B9,cubo!$A$6:$BE$37,14,0)-VLOOKUP(B9,#REF!,$I$2,0),0)</f>
        <v>0</v>
      </c>
      <c r="J9" s="9">
        <f>IFERROR(VLOOKUP(B9,cubo!$A$6:$BE$37,16,0)-VLOOKUP(B9,#REF!,$J$2,0),0)</f>
        <v>0</v>
      </c>
      <c r="K9" s="9">
        <f>IFERROR(VLOOKUP(B9,cubo!$A$6:$BE$37,17,0)-VLOOKUP(B9,#REF!,$K$2,0),0)</f>
        <v>0</v>
      </c>
      <c r="L9" s="9">
        <f>IFERROR(VLOOKUP(B9,cubo!$A$6:$BE$37,19,0)-VLOOKUP(B9,#REF!,$L$2,0),0)</f>
        <v>0</v>
      </c>
      <c r="M9" s="9">
        <f>IFERROR(VLOOKUP(B9,cubo!$A$6:$BE$37,23,0)-VLOOKUP(B9,#REF!,$M$2,0),0)</f>
        <v>0</v>
      </c>
      <c r="N9" s="9">
        <f>IFERROR(VLOOKUP(B9,cubo!$A$6:$BE$37,25,0)-VLOOKUP(B9,#REF!,$N$2,0),0)</f>
        <v>0</v>
      </c>
      <c r="O9" s="9">
        <f>IFERROR(VLOOKUP(B9,cubo!$A$6:$BE$37,33,0)-VLOOKUP(B9,#REF!,$O$2,0),0)</f>
        <v>0</v>
      </c>
      <c r="P9" s="8">
        <f>IFERROR(VLOOKUP(B9,cubo!$A$6:$BE$37,37,0)-VLOOKUP(B9,#REF!,$P$2,0),0)</f>
        <v>0</v>
      </c>
      <c r="Q9" s="8">
        <f>IFERROR(VLOOKUP(B9,cubo!$A$6:$BE$37,56,0)-VLOOKUP(B9,#REF!,$Q$2,0),0)</f>
        <v>0</v>
      </c>
      <c r="R9" s="9">
        <f>IFERROR(VLOOKUP(B9,cubo!$A$6:$BE$37,40,0)-VLOOKUP(B9,#REF!,$R$2,0),0)</f>
        <v>0</v>
      </c>
      <c r="S9" s="9">
        <f>IFERROR(VLOOKUP(B9,cubo!$A$6:$BE$37,43,0)-VLOOKUP(B9,#REF!,$S$2,0),0)</f>
        <v>0</v>
      </c>
      <c r="T9" s="9">
        <f>IFERROR(VLOOKUP(B9,cubo!$A$6:$BE$37,46,0)-VLOOKUP(B9,#REF!,$T$2,0),0)</f>
        <v>0</v>
      </c>
      <c r="U9" s="9">
        <f>IFERROR(VLOOKUP(B9,cubo!$A$6:$BE$37,51,0)-VLOOKUP(B9,#REF!,$U$2,0),0)</f>
        <v>0</v>
      </c>
      <c r="V9" s="9">
        <f>IFERROR(VLOOKUP(B9,cubo!$A$6:$BJ$37,60,0)-VLOOKUP(B9,#REF!,$V$2,0),0)</f>
        <v>0</v>
      </c>
      <c r="W9" s="9">
        <f>IFERROR(VLOOKUP(B9,cubo!$A$6:$BE$37,26,0)-VLOOKUP(B9,#REF!,$W$2,0),0)</f>
        <v>0</v>
      </c>
      <c r="X9" s="9">
        <f>IFERROR(VLOOKUP(B9,cubo!$A$6:$BE$37,20,0)-VLOOKUP(B9,#REF!,$X$2,0),0)</f>
        <v>0</v>
      </c>
      <c r="Y9" s="9">
        <f>IFERROR(VLOOKUP(B9,cubo!$A$6:$BE$37,21,0)-VLOOKUP(B9,#REF!,$Y$2,0),0)</f>
        <v>0</v>
      </c>
      <c r="Z9" s="9">
        <f>IFERROR(VLOOKUP(B9,cubo!$A$6:$BE$37,27,0)-VLOOKUP(B9,#REF!,$Z$2,0),0)</f>
        <v>0</v>
      </c>
      <c r="AA9" s="9">
        <f>IFERROR(VLOOKUP(B9,cubo!$A$6:$BE$37,28,0)-VLOOKUP(B9,#REF!,$AA$2,0),0)</f>
        <v>0</v>
      </c>
      <c r="AB9" s="9">
        <f>IFERROR(VLOOKUP(B9,cubo!$A$6:$BE$37,29,0)-VLOOKUP(B9,#REF!,$AB$2,0),0)</f>
        <v>0</v>
      </c>
      <c r="AC9" s="9">
        <f>IFERROR(VLOOKUP(B9,cubo!$A$6:$BE$37,30,0)-VLOOKUP(B9,#REF!,$AC$2,0),0)</f>
        <v>0</v>
      </c>
      <c r="AD9" s="9">
        <f>IFERROR(VLOOKUP(B9,cubo!$A$6:$BE$37,31,0)-VLOOKUP(B9,#REF!,$AD$2,0),0)</f>
        <v>0</v>
      </c>
      <c r="AE9" s="9">
        <f>IFERROR(VLOOKUP(B9,cubo!$A$6:$BE$37,35,0)-VLOOKUP(B9,#REF!,$AE$2,0),0)</f>
        <v>0</v>
      </c>
      <c r="AF9" s="9" cm="1">
        <f t="array" aca="1" ref="AF9" ca="1">IFERROR(rrPROCV(B9,cubo!$A$6:$BE$37,48,0)-VLOOKUP(B9,#REF!,$AF$2,0),0)</f>
        <v>0</v>
      </c>
      <c r="AG9" s="9">
        <f>IFERROR(VLOOKUP(B9,cubo!$A$6:$BE$37,49,0)-VLOOKUP(B9,#REF!,$AG$2,0),0)</f>
        <v>0</v>
      </c>
      <c r="AH9" s="9">
        <f>IFERROR(VLOOKUP(B9,cubo!$A$6:$BE$37,50,0)-VLOOKUP(B9,#REF!,$AH$2,0),0)</f>
        <v>0</v>
      </c>
      <c r="AI9" s="9">
        <f>IFERROR(VLOOKUP(B9,cubo!$A$6:$BE$37,51,0)-VLOOKUP(B9,#REF!,$AI$2,0),0)</f>
        <v>0</v>
      </c>
      <c r="AJ9" s="9">
        <f>IFERROR(VLOOKUP(B9,cubo!$A$6:$BI$116,62,0)-VLOOKUP(B9,#REF!,$AJ$2,0),0)</f>
        <v>0</v>
      </c>
      <c r="AK9" s="9">
        <f>IFERROR(VLOOKUP(B9,cubo!$A$6:$BJ$37,63,0)-VLOOKUP(B9,#REF!,$AK$2,0),0)</f>
        <v>0</v>
      </c>
      <c r="AL9" s="9">
        <f>IFERROR(VLOOKUP(B9,cubo!$A$6:$BE$37,58,0)-VLOOKUP(B9,#REF!,$AL$2,0),0)</f>
        <v>0</v>
      </c>
      <c r="AM9" s="9">
        <f>IFERROR(VLOOKUP(B9,cubo!$A$6:$BK$37,64,0)-VLOOKUP(B9,#REF!,$AM$2,0),0)</f>
        <v>0</v>
      </c>
      <c r="AN9" s="9">
        <f>IFERROR(VLOOKUP(B9,cubo!$A$6:$AN$37,41,0)-VLOOKUP(B9,#REF!,$AN$2,0),0)</f>
        <v>0</v>
      </c>
    </row>
    <row r="10" spans="2:40" x14ac:dyDescent="0.25">
      <c r="B10" s="7">
        <f>[1]salario!A9</f>
        <v>7</v>
      </c>
      <c r="C10" s="8" t="str">
        <f>[1]salario!C9</f>
        <v>Colaborador 7</v>
      </c>
      <c r="D10" s="9">
        <f>IFERROR(VLOOKUP(B10,cubo!$A$6:$BE$37,3,0)-VLOOKUP(B10,#REF!,$D$2,0),0)</f>
        <v>0</v>
      </c>
      <c r="E10" s="10">
        <f>IFERROR(VLOOKUP(B10,cubo!$A$6:$BE$37,5,0)-VLOOKUP(B10,#REF!,$E$2,0),0)</f>
        <v>0</v>
      </c>
      <c r="F10" s="10">
        <f>IFERROR(VLOOKUP(B10,cubo!$A$6:$BE$37,8,0)-VLOOKUP(B10,#REF!,$F$2,0),0)</f>
        <v>0</v>
      </c>
      <c r="G10" s="9">
        <f>IFERROR(VLOOKUP(B10,cubo!$A$6:$BE$37,11,0)-VLOOKUP(B10,#REF!,$G$2,0),0)</f>
        <v>0</v>
      </c>
      <c r="H10" s="9">
        <f>IFERROR(VLOOKUP(B10,cubo!$A$6:$BE$37,53,0)-VLOOKUP(B10,#REF!,$H$2,0),0)</f>
        <v>0</v>
      </c>
      <c r="I10" s="10">
        <f>IFERROR(VLOOKUP(B10,cubo!$A$6:$BE$37,14,0)-VLOOKUP(B10,#REF!,$I$2,0),0)</f>
        <v>0</v>
      </c>
      <c r="J10" s="9">
        <f>IFERROR(VLOOKUP(B10,cubo!$A$6:$BE$37,16,0)-VLOOKUP(B10,#REF!,$J$2,0),0)</f>
        <v>0</v>
      </c>
      <c r="K10" s="9">
        <f>IFERROR(VLOOKUP(B10,cubo!$A$6:$BE$37,17,0)-VLOOKUP(B10,#REF!,$K$2,0),0)</f>
        <v>0</v>
      </c>
      <c r="L10" s="9">
        <f>IFERROR(VLOOKUP(B10,cubo!$A$6:$BE$37,19,0)-VLOOKUP(B10,#REF!,$L$2,0),0)</f>
        <v>0</v>
      </c>
      <c r="M10" s="9">
        <f>IFERROR(VLOOKUP(B10,cubo!$A$6:$BE$37,23,0)-VLOOKUP(B10,#REF!,$M$2,0),0)</f>
        <v>0</v>
      </c>
      <c r="N10" s="9">
        <f>IFERROR(VLOOKUP(B10,cubo!$A$6:$BE$37,25,0)-VLOOKUP(B10,#REF!,$N$2,0),0)</f>
        <v>0</v>
      </c>
      <c r="O10" s="9">
        <f>IFERROR(VLOOKUP(B10,cubo!$A$6:$BE$37,33,0)-VLOOKUP(B10,#REF!,$O$2,0),0)</f>
        <v>0</v>
      </c>
      <c r="P10" s="8">
        <f>IFERROR(VLOOKUP(B10,cubo!$A$6:$BE$37,37,0)-VLOOKUP(B10,#REF!,$P$2,0),0)</f>
        <v>0</v>
      </c>
      <c r="Q10" s="8">
        <f>IFERROR(VLOOKUP(B10,cubo!$A$6:$BE$37,56,0)-VLOOKUP(B10,#REF!,$Q$2,0),0)</f>
        <v>0</v>
      </c>
      <c r="R10" s="9">
        <f>IFERROR(VLOOKUP(B10,cubo!$A$6:$BE$37,40,0)-VLOOKUP(B10,#REF!,$R$2,0),0)</f>
        <v>0</v>
      </c>
      <c r="S10" s="9">
        <f>IFERROR(VLOOKUP(B10,cubo!$A$6:$BE$37,43,0)-VLOOKUP(B10,#REF!,$S$2,0),0)</f>
        <v>0</v>
      </c>
      <c r="T10" s="9">
        <f>IFERROR(VLOOKUP(B10,cubo!$A$6:$BE$37,46,0)-VLOOKUP(B10,#REF!,$T$2,0),0)</f>
        <v>0</v>
      </c>
      <c r="U10" s="9">
        <f>IFERROR(VLOOKUP(B10,cubo!$A$6:$BE$37,51,0)-VLOOKUP(B10,#REF!,$U$2,0),0)</f>
        <v>0</v>
      </c>
      <c r="V10" s="9">
        <f>IFERROR(VLOOKUP(B10,cubo!$A$6:$BJ$37,60,0)-VLOOKUP(B10,#REF!,$V$2,0),0)</f>
        <v>0</v>
      </c>
      <c r="W10" s="9">
        <f>IFERROR(VLOOKUP(B10,cubo!$A$6:$BE$37,26,0)-VLOOKUP(B10,#REF!,$W$2,0),0)</f>
        <v>0</v>
      </c>
      <c r="X10" s="9">
        <f>IFERROR(VLOOKUP(B10,cubo!$A$6:$BE$37,20,0)-VLOOKUP(B10,#REF!,$X$2,0),0)</f>
        <v>0</v>
      </c>
      <c r="Y10" s="9">
        <f>IFERROR(VLOOKUP(B10,cubo!$A$6:$BE$37,21,0)-VLOOKUP(B10,#REF!,$Y$2,0),0)</f>
        <v>0</v>
      </c>
      <c r="Z10" s="9">
        <f>IFERROR(VLOOKUP(B10,cubo!$A$6:$BE$37,27,0)-VLOOKUP(B10,#REF!,$Z$2,0),0)</f>
        <v>0</v>
      </c>
      <c r="AA10" s="9">
        <f>IFERROR(VLOOKUP(B10,cubo!$A$6:$BE$37,28,0)-VLOOKUP(B10,#REF!,$AA$2,0),0)</f>
        <v>0</v>
      </c>
      <c r="AB10" s="9">
        <f>IFERROR(VLOOKUP(B10,cubo!$A$6:$BE$37,29,0)-VLOOKUP(B10,#REF!,$AB$2,0),0)</f>
        <v>0</v>
      </c>
      <c r="AC10" s="9">
        <f>IFERROR(VLOOKUP(B10,cubo!$A$6:$BE$37,30,0)-VLOOKUP(B10,#REF!,$AC$2,0),0)</f>
        <v>0</v>
      </c>
      <c r="AD10" s="9">
        <f>IFERROR(VLOOKUP(B10,cubo!$A$6:$BE$37,31,0)-VLOOKUP(B10,#REF!,$AD$2,0),0)</f>
        <v>0</v>
      </c>
      <c r="AE10" s="9">
        <f>IFERROR(VLOOKUP(B10,cubo!$A$6:$BE$37,35,0)-VLOOKUP(B10,#REF!,$AE$2,0),0)</f>
        <v>0</v>
      </c>
      <c r="AF10" s="9" cm="1">
        <f t="array" aca="1" ref="AF10" ca="1">IFERROR(rrPROCV(B10,cubo!$A$6:$BE$37,48,0)-VLOOKUP(B10,#REF!,$AF$2,0),0)</f>
        <v>0</v>
      </c>
      <c r="AG10" s="9">
        <f>IFERROR(VLOOKUP(B10,cubo!$A$6:$BE$37,49,0)-VLOOKUP(B10,#REF!,$AG$2,0),0)</f>
        <v>0</v>
      </c>
      <c r="AH10" s="9">
        <f>IFERROR(VLOOKUP(B10,cubo!$A$6:$BE$37,50,0)-VLOOKUP(B10,#REF!,$AH$2,0),0)</f>
        <v>0</v>
      </c>
      <c r="AI10" s="9">
        <f>IFERROR(VLOOKUP(B10,cubo!$A$6:$BE$37,51,0)-VLOOKUP(B10,#REF!,$AI$2,0),0)</f>
        <v>0</v>
      </c>
      <c r="AJ10" s="9">
        <f>IFERROR(VLOOKUP(B10,cubo!$A$6:$BI$116,62,0)-VLOOKUP(B10,#REF!,$AJ$2,0),0)</f>
        <v>0</v>
      </c>
      <c r="AK10" s="9">
        <f>IFERROR(VLOOKUP(B10,cubo!$A$6:$BJ$37,63,0)-VLOOKUP(B10,#REF!,$AK$2,0),0)</f>
        <v>0</v>
      </c>
      <c r="AL10" s="9">
        <f>IFERROR(VLOOKUP(B10,cubo!$A$6:$BE$37,58,0)-VLOOKUP(B10,#REF!,$AL$2,0),0)</f>
        <v>0</v>
      </c>
      <c r="AM10" s="9">
        <f>IFERROR(VLOOKUP(B10,cubo!$A$6:$BK$37,64,0)-VLOOKUP(B10,#REF!,$AM$2,0),0)</f>
        <v>0</v>
      </c>
      <c r="AN10" s="9">
        <f>IFERROR(VLOOKUP(B10,cubo!$A$6:$AN$37,41,0)-VLOOKUP(B10,#REF!,$AN$2,0),0)</f>
        <v>0</v>
      </c>
    </row>
    <row r="11" spans="2:40" x14ac:dyDescent="0.25">
      <c r="B11" s="7">
        <f>[1]salario!A10</f>
        <v>8</v>
      </c>
      <c r="C11" s="8" t="str">
        <f>[1]salario!C10</f>
        <v>Colaborador 8</v>
      </c>
      <c r="D11" s="9">
        <f>IFERROR(VLOOKUP(B11,cubo!$A$6:$BE$37,3,0)-VLOOKUP(B11,#REF!,$D$2,0),0)</f>
        <v>0</v>
      </c>
      <c r="E11" s="10">
        <f>IFERROR(VLOOKUP(B11,cubo!$A$6:$BE$37,5,0)-VLOOKUP(B11,#REF!,$E$2,0),0)</f>
        <v>0</v>
      </c>
      <c r="F11" s="10">
        <f>IFERROR(VLOOKUP(B11,cubo!$A$6:$BE$37,8,0)-VLOOKUP(B11,#REF!,$F$2,0),0)</f>
        <v>0</v>
      </c>
      <c r="G11" s="9">
        <f>IFERROR(VLOOKUP(B11,cubo!$A$6:$BE$37,11,0)-VLOOKUP(B11,#REF!,$G$2,0),0)</f>
        <v>0</v>
      </c>
      <c r="H11" s="9">
        <f>IFERROR(VLOOKUP(B11,cubo!$A$6:$BE$37,53,0)-VLOOKUP(B11,#REF!,$H$2,0),0)</f>
        <v>0</v>
      </c>
      <c r="I11" s="10">
        <f>IFERROR(VLOOKUP(B11,cubo!$A$6:$BE$37,14,0)-VLOOKUP(B11,#REF!,$I$2,0),0)</f>
        <v>0</v>
      </c>
      <c r="J11" s="9">
        <f>IFERROR(VLOOKUP(B11,cubo!$A$6:$BE$37,16,0)-VLOOKUP(B11,#REF!,$J$2,0),0)</f>
        <v>0</v>
      </c>
      <c r="K11" s="9">
        <f>IFERROR(VLOOKUP(B11,cubo!$A$6:$BE$37,17,0)-VLOOKUP(B11,#REF!,$K$2,0),0)</f>
        <v>0</v>
      </c>
      <c r="L11" s="9">
        <f>IFERROR(VLOOKUP(B11,cubo!$A$6:$BE$37,19,0)-VLOOKUP(B11,#REF!,$L$2,0),0)</f>
        <v>0</v>
      </c>
      <c r="M11" s="9">
        <f>IFERROR(VLOOKUP(B11,cubo!$A$6:$BE$37,23,0)-VLOOKUP(B11,#REF!,$M$2,0),0)</f>
        <v>0</v>
      </c>
      <c r="N11" s="9">
        <f>IFERROR(VLOOKUP(B11,cubo!$A$6:$BE$37,25,0)-VLOOKUP(B11,#REF!,$N$2,0),0)</f>
        <v>0</v>
      </c>
      <c r="O11" s="9">
        <f>IFERROR(VLOOKUP(B11,cubo!$A$6:$BE$37,33,0)-VLOOKUP(B11,#REF!,$O$2,0),0)</f>
        <v>0</v>
      </c>
      <c r="P11" s="8">
        <f>IFERROR(VLOOKUP(B11,cubo!$A$6:$BE$37,37,0)-VLOOKUP(B11,#REF!,$P$2,0),0)</f>
        <v>0</v>
      </c>
      <c r="Q11" s="8">
        <f>IFERROR(VLOOKUP(B11,cubo!$A$6:$BE$37,56,0)-VLOOKUP(B11,#REF!,$Q$2,0),0)</f>
        <v>0</v>
      </c>
      <c r="R11" s="9">
        <f>IFERROR(VLOOKUP(B11,cubo!$A$6:$BE$37,40,0)-VLOOKUP(B11,#REF!,$R$2,0),0)</f>
        <v>0</v>
      </c>
      <c r="S11" s="9">
        <f>IFERROR(VLOOKUP(B11,cubo!$A$6:$BE$37,43,0)-VLOOKUP(B11,#REF!,$S$2,0),0)</f>
        <v>0</v>
      </c>
      <c r="T11" s="9">
        <f>IFERROR(VLOOKUP(B11,cubo!$A$6:$BE$37,46,0)-VLOOKUP(B11,#REF!,$T$2,0),0)</f>
        <v>0</v>
      </c>
      <c r="U11" s="9">
        <f>IFERROR(VLOOKUP(B11,cubo!$A$6:$BE$37,51,0)-VLOOKUP(B11,#REF!,$U$2,0),0)</f>
        <v>0</v>
      </c>
      <c r="V11" s="9">
        <f>IFERROR(VLOOKUP(B11,cubo!$A$6:$BJ$37,60,0)-VLOOKUP(B11,#REF!,$V$2,0),0)</f>
        <v>0</v>
      </c>
      <c r="W11" s="9">
        <f>IFERROR(VLOOKUP(B11,cubo!$A$6:$BE$37,26,0)-VLOOKUP(B11,#REF!,$W$2,0),0)</f>
        <v>0</v>
      </c>
      <c r="X11" s="9">
        <f>IFERROR(VLOOKUP(B11,cubo!$A$6:$BE$37,20,0)-VLOOKUP(B11,#REF!,$X$2,0),0)</f>
        <v>0</v>
      </c>
      <c r="Y11" s="9">
        <f>IFERROR(VLOOKUP(B11,cubo!$A$6:$BE$37,21,0)-VLOOKUP(B11,#REF!,$Y$2,0),0)</f>
        <v>0</v>
      </c>
      <c r="Z11" s="9">
        <f>IFERROR(VLOOKUP(B11,cubo!$A$6:$BE$37,27,0)-VLOOKUP(B11,#REF!,$Z$2,0),0)</f>
        <v>0</v>
      </c>
      <c r="AA11" s="9">
        <f>IFERROR(VLOOKUP(B11,cubo!$A$6:$BE$37,28,0)-VLOOKUP(B11,#REF!,$AA$2,0),0)</f>
        <v>0</v>
      </c>
      <c r="AB11" s="9">
        <f>IFERROR(VLOOKUP(B11,cubo!$A$6:$BE$37,29,0)-VLOOKUP(B11,#REF!,$AB$2,0),0)</f>
        <v>0</v>
      </c>
      <c r="AC11" s="9">
        <f>IFERROR(VLOOKUP(B11,cubo!$A$6:$BE$37,30,0)-VLOOKUP(B11,#REF!,$AC$2,0),0)</f>
        <v>0</v>
      </c>
      <c r="AD11" s="9">
        <f>IFERROR(VLOOKUP(B11,cubo!$A$6:$BE$37,31,0)-VLOOKUP(B11,#REF!,$AD$2,0),0)</f>
        <v>0</v>
      </c>
      <c r="AE11" s="9">
        <f>IFERROR(VLOOKUP(B11,cubo!$A$6:$BE$37,35,0)-VLOOKUP(B11,#REF!,$AE$2,0),0)</f>
        <v>0</v>
      </c>
      <c r="AF11" s="9" cm="1">
        <f t="array" aca="1" ref="AF11" ca="1">IFERROR(rrPROCV(B11,cubo!$A$6:$BE$37,48,0)-VLOOKUP(B11,#REF!,$AF$2,0),0)</f>
        <v>0</v>
      </c>
      <c r="AG11" s="9">
        <f>IFERROR(VLOOKUP(B11,cubo!$A$6:$BE$37,49,0)-VLOOKUP(B11,#REF!,$AG$2,0),0)</f>
        <v>0</v>
      </c>
      <c r="AH11" s="9">
        <f>IFERROR(VLOOKUP(B11,cubo!$A$6:$BE$37,50,0)-VLOOKUP(B11,#REF!,$AH$2,0),0)</f>
        <v>0</v>
      </c>
      <c r="AI11" s="9">
        <f>IFERROR(VLOOKUP(B11,cubo!$A$6:$BE$37,51,0)-VLOOKUP(B11,#REF!,$AI$2,0),0)</f>
        <v>0</v>
      </c>
      <c r="AJ11" s="9">
        <f>IFERROR(VLOOKUP(B11,cubo!$A$6:$BI$116,62,0)-VLOOKUP(B11,#REF!,$AJ$2,0),0)</f>
        <v>0</v>
      </c>
      <c r="AK11" s="9">
        <f>IFERROR(VLOOKUP(B11,cubo!$A$6:$BJ$37,63,0)-VLOOKUP(B11,#REF!,$AK$2,0),0)</f>
        <v>0</v>
      </c>
      <c r="AL11" s="9">
        <f>IFERROR(VLOOKUP(B11,cubo!$A$6:$BE$37,58,0)-VLOOKUP(B11,#REF!,$AL$2,0),0)</f>
        <v>0</v>
      </c>
      <c r="AM11" s="9">
        <f>IFERROR(VLOOKUP(B11,cubo!$A$6:$BK$37,64,0)-VLOOKUP(B11,#REF!,$AM$2,0),0)</f>
        <v>0</v>
      </c>
      <c r="AN11" s="9">
        <f>IFERROR(VLOOKUP(B11,cubo!$A$6:$AN$37,41,0)-VLOOKUP(B11,#REF!,$AN$2,0),0)</f>
        <v>0</v>
      </c>
    </row>
    <row r="12" spans="2:40" x14ac:dyDescent="0.25">
      <c r="B12" s="7">
        <f>[1]salario!A11</f>
        <v>9</v>
      </c>
      <c r="C12" s="8" t="str">
        <f>[1]salario!C11</f>
        <v>Colaborador 9</v>
      </c>
      <c r="D12" s="9">
        <f>IFERROR(VLOOKUP(B12,cubo!$A$6:$BE$37,3,0)-VLOOKUP(B12,#REF!,$D$2,0),0)</f>
        <v>0</v>
      </c>
      <c r="E12" s="10">
        <f>IFERROR(VLOOKUP(B12,cubo!$A$6:$BE$37,5,0)-VLOOKUP(B12,#REF!,$E$2,0),0)</f>
        <v>0</v>
      </c>
      <c r="F12" s="10">
        <f>IFERROR(VLOOKUP(B12,cubo!$A$6:$BE$37,8,0)-VLOOKUP(B12,#REF!,$F$2,0),0)</f>
        <v>0</v>
      </c>
      <c r="G12" s="9">
        <f>IFERROR(VLOOKUP(B12,cubo!$A$6:$BE$37,11,0)-VLOOKUP(B12,#REF!,$G$2,0),0)</f>
        <v>0</v>
      </c>
      <c r="H12" s="9">
        <f>IFERROR(VLOOKUP(B12,cubo!$A$6:$BE$37,53,0)-VLOOKUP(B12,#REF!,$H$2,0),0)</f>
        <v>0</v>
      </c>
      <c r="I12" s="10">
        <f>IFERROR(VLOOKUP(B12,cubo!$A$6:$BE$37,14,0)-VLOOKUP(B12,#REF!,$I$2,0),0)</f>
        <v>0</v>
      </c>
      <c r="J12" s="9">
        <f>IFERROR(VLOOKUP(B12,cubo!$A$6:$BE$37,16,0)-VLOOKUP(B12,#REF!,$J$2,0),0)</f>
        <v>0</v>
      </c>
      <c r="K12" s="9">
        <f>IFERROR(VLOOKUP(B12,cubo!$A$6:$BE$37,17,0)-VLOOKUP(B12,#REF!,$K$2,0),0)</f>
        <v>0</v>
      </c>
      <c r="L12" s="9">
        <f>IFERROR(VLOOKUP(B12,cubo!$A$6:$BE$37,19,0)-VLOOKUP(B12,#REF!,$L$2,0),0)</f>
        <v>0</v>
      </c>
      <c r="M12" s="9">
        <f>IFERROR(VLOOKUP(B12,cubo!$A$6:$BE$37,23,0)-VLOOKUP(B12,#REF!,$M$2,0),0)</f>
        <v>0</v>
      </c>
      <c r="N12" s="9">
        <f>IFERROR(VLOOKUP(B12,cubo!$A$6:$BE$37,25,0)-VLOOKUP(B12,#REF!,$N$2,0),0)</f>
        <v>0</v>
      </c>
      <c r="O12" s="9">
        <f>IFERROR(VLOOKUP(B12,cubo!$A$6:$BE$37,33,0)-VLOOKUP(B12,#REF!,$O$2,0),0)</f>
        <v>0</v>
      </c>
      <c r="P12" s="8">
        <f>IFERROR(VLOOKUP(B12,cubo!$A$6:$BE$37,37,0)-VLOOKUP(B12,#REF!,$P$2,0),0)</f>
        <v>0</v>
      </c>
      <c r="Q12" s="8">
        <f>IFERROR(VLOOKUP(B12,cubo!$A$6:$BE$37,56,0)-VLOOKUP(B12,#REF!,$Q$2,0),0)</f>
        <v>0</v>
      </c>
      <c r="R12" s="9">
        <f>IFERROR(VLOOKUP(B12,cubo!$A$6:$BE$37,40,0)-VLOOKUP(B12,#REF!,$R$2,0),0)</f>
        <v>0</v>
      </c>
      <c r="S12" s="9">
        <f>IFERROR(VLOOKUP(B12,cubo!$A$6:$BE$37,43,0)-VLOOKUP(B12,#REF!,$S$2,0),0)</f>
        <v>0</v>
      </c>
      <c r="T12" s="9">
        <f>IFERROR(VLOOKUP(B12,cubo!$A$6:$BE$37,46,0)-VLOOKUP(B12,#REF!,$T$2,0),0)</f>
        <v>0</v>
      </c>
      <c r="U12" s="9">
        <f>IFERROR(VLOOKUP(B12,cubo!$A$6:$BE$37,51,0)-VLOOKUP(B12,#REF!,$U$2,0),0)</f>
        <v>0</v>
      </c>
      <c r="V12" s="9">
        <f>IFERROR(VLOOKUP(B12,cubo!$A$6:$BJ$37,60,0)-VLOOKUP(B12,#REF!,$V$2,0),0)</f>
        <v>0</v>
      </c>
      <c r="W12" s="9">
        <f>IFERROR(VLOOKUP(B12,cubo!$A$6:$BE$37,26,0)-VLOOKUP(B12,#REF!,$W$2,0),0)</f>
        <v>0</v>
      </c>
      <c r="X12" s="9">
        <f>IFERROR(VLOOKUP(B12,cubo!$A$6:$BE$37,20,0)-VLOOKUP(B12,#REF!,$X$2,0),0)</f>
        <v>0</v>
      </c>
      <c r="Y12" s="9">
        <f>IFERROR(VLOOKUP(B12,cubo!$A$6:$BE$37,21,0)-VLOOKUP(B12,#REF!,$Y$2,0),0)</f>
        <v>0</v>
      </c>
      <c r="Z12" s="9">
        <f>IFERROR(VLOOKUP(B12,cubo!$A$6:$BE$37,27,0)-VLOOKUP(B12,#REF!,$Z$2,0),0)</f>
        <v>0</v>
      </c>
      <c r="AA12" s="9">
        <f>IFERROR(VLOOKUP(B12,cubo!$A$6:$BE$37,28,0)-VLOOKUP(B12,#REF!,$AA$2,0),0)</f>
        <v>0</v>
      </c>
      <c r="AB12" s="9">
        <f>IFERROR(VLOOKUP(B12,cubo!$A$6:$BE$37,29,0)-VLOOKUP(B12,#REF!,$AB$2,0),0)</f>
        <v>0</v>
      </c>
      <c r="AC12" s="9">
        <f>IFERROR(VLOOKUP(B12,cubo!$A$6:$BE$37,30,0)-VLOOKUP(B12,#REF!,$AC$2,0),0)</f>
        <v>0</v>
      </c>
      <c r="AD12" s="9">
        <f>IFERROR(VLOOKUP(B12,cubo!$A$6:$BE$37,31,0)-VLOOKUP(B12,#REF!,$AD$2,0),0)</f>
        <v>0</v>
      </c>
      <c r="AE12" s="9">
        <f>IFERROR(VLOOKUP(B12,cubo!$A$6:$BE$37,35,0)-VLOOKUP(B12,#REF!,$AE$2,0),0)</f>
        <v>0</v>
      </c>
      <c r="AF12" s="9" cm="1">
        <f t="array" aca="1" ref="AF12" ca="1">IFERROR(rrPROCV(B12,cubo!$A$6:$BE$37,48,0)-VLOOKUP(B12,#REF!,$AF$2,0),0)</f>
        <v>0</v>
      </c>
      <c r="AG12" s="9">
        <f>IFERROR(VLOOKUP(B12,cubo!$A$6:$BE$37,49,0)-VLOOKUP(B12,#REF!,$AG$2,0),0)</f>
        <v>0</v>
      </c>
      <c r="AH12" s="9">
        <f>IFERROR(VLOOKUP(B12,cubo!$A$6:$BE$37,50,0)-VLOOKUP(B12,#REF!,$AH$2,0),0)</f>
        <v>0</v>
      </c>
      <c r="AI12" s="9">
        <f>IFERROR(VLOOKUP(B12,cubo!$A$6:$BE$37,51,0)-VLOOKUP(B12,#REF!,$AI$2,0),0)</f>
        <v>0</v>
      </c>
      <c r="AJ12" s="9">
        <f>IFERROR(VLOOKUP(B12,cubo!$A$6:$BI$116,62,0)-VLOOKUP(B12,#REF!,$AJ$2,0),0)</f>
        <v>0</v>
      </c>
      <c r="AK12" s="9">
        <f>IFERROR(VLOOKUP(B12,cubo!$A$6:$BJ$37,63,0)-VLOOKUP(B12,#REF!,$AK$2,0),0)</f>
        <v>0</v>
      </c>
      <c r="AL12" s="9">
        <f>IFERROR(VLOOKUP(B12,cubo!$A$6:$BE$37,58,0)-VLOOKUP(B12,#REF!,$AL$2,0),0)</f>
        <v>0</v>
      </c>
      <c r="AM12" s="9">
        <f>IFERROR(VLOOKUP(B12,cubo!$A$6:$BK$37,64,0)-VLOOKUP(B12,#REF!,$AM$2,0),0)</f>
        <v>0</v>
      </c>
      <c r="AN12" s="9">
        <f>IFERROR(VLOOKUP(B12,cubo!$A$6:$AN$37,41,0)-VLOOKUP(B12,#REF!,$AN$2,0),0)</f>
        <v>0</v>
      </c>
    </row>
    <row r="13" spans="2:40" x14ac:dyDescent="0.25">
      <c r="B13" s="7">
        <f>[1]salario!A12</f>
        <v>10</v>
      </c>
      <c r="C13" s="8" t="str">
        <f>[1]salario!C12</f>
        <v>Colaborador 10</v>
      </c>
      <c r="D13" s="9">
        <f>IFERROR(VLOOKUP(B13,cubo!$A$6:$BE$37,3,0)-VLOOKUP(B13,#REF!,$D$2,0),0)</f>
        <v>0</v>
      </c>
      <c r="E13" s="10">
        <f>IFERROR(VLOOKUP(B13,cubo!$A$6:$BE$37,5,0)-VLOOKUP(B13,#REF!,$E$2,0),0)</f>
        <v>0</v>
      </c>
      <c r="F13" s="10">
        <f>IFERROR(VLOOKUP(B13,cubo!$A$6:$BE$37,8,0)-VLOOKUP(B13,#REF!,$F$2,0),0)</f>
        <v>0</v>
      </c>
      <c r="G13" s="9">
        <f>IFERROR(VLOOKUP(B13,cubo!$A$6:$BE$37,11,0)-VLOOKUP(B13,#REF!,$G$2,0),0)</f>
        <v>0</v>
      </c>
      <c r="H13" s="9">
        <f>IFERROR(VLOOKUP(B13,cubo!$A$6:$BE$37,53,0)-VLOOKUP(B13,#REF!,$H$2,0),0)</f>
        <v>0</v>
      </c>
      <c r="I13" s="10">
        <f>IFERROR(VLOOKUP(B13,cubo!$A$6:$BE$37,14,0)-VLOOKUP(B13,#REF!,$I$2,0),0)</f>
        <v>0</v>
      </c>
      <c r="J13" s="9">
        <f>IFERROR(VLOOKUP(B13,cubo!$A$6:$BE$37,16,0)-VLOOKUP(B13,#REF!,$J$2,0),0)</f>
        <v>0</v>
      </c>
      <c r="K13" s="9">
        <f>IFERROR(VLOOKUP(B13,cubo!$A$6:$BE$37,17,0)-VLOOKUP(B13,#REF!,$K$2,0),0)</f>
        <v>0</v>
      </c>
      <c r="L13" s="9">
        <f>IFERROR(VLOOKUP(B13,cubo!$A$6:$BE$37,19,0)-VLOOKUP(B13,#REF!,$L$2,0),0)</f>
        <v>0</v>
      </c>
      <c r="M13" s="9">
        <f>IFERROR(VLOOKUP(B13,cubo!$A$6:$BE$37,23,0)-VLOOKUP(B13,#REF!,$M$2,0),0)</f>
        <v>0</v>
      </c>
      <c r="N13" s="9">
        <f>IFERROR(VLOOKUP(B13,cubo!$A$6:$BE$37,25,0)-VLOOKUP(B13,#REF!,$N$2,0),0)</f>
        <v>0</v>
      </c>
      <c r="O13" s="9">
        <f>IFERROR(VLOOKUP(B13,cubo!$A$6:$BE$37,33,0)-VLOOKUP(B13,#REF!,$O$2,0),0)</f>
        <v>0</v>
      </c>
      <c r="P13" s="8">
        <f>IFERROR(VLOOKUP(B13,cubo!$A$6:$BE$37,37,0)-VLOOKUP(B13,#REF!,$P$2,0),0)</f>
        <v>0</v>
      </c>
      <c r="Q13" s="8">
        <f>IFERROR(VLOOKUP(B13,cubo!$A$6:$BE$37,56,0)-VLOOKUP(B13,#REF!,$Q$2,0),0)</f>
        <v>0</v>
      </c>
      <c r="R13" s="9">
        <f>IFERROR(VLOOKUP(B13,cubo!$A$6:$BE$37,40,0)-VLOOKUP(B13,#REF!,$R$2,0),0)</f>
        <v>0</v>
      </c>
      <c r="S13" s="9">
        <f>IFERROR(VLOOKUP(B13,cubo!$A$6:$BE$37,43,0)-VLOOKUP(B13,#REF!,$S$2,0),0)</f>
        <v>0</v>
      </c>
      <c r="T13" s="9">
        <f>IFERROR(VLOOKUP(B13,cubo!$A$6:$BE$37,46,0)-VLOOKUP(B13,#REF!,$T$2,0),0)</f>
        <v>0</v>
      </c>
      <c r="U13" s="9">
        <f>IFERROR(VLOOKUP(B13,cubo!$A$6:$BE$37,51,0)-VLOOKUP(B13,#REF!,$U$2,0),0)</f>
        <v>0</v>
      </c>
      <c r="V13" s="9">
        <f>IFERROR(VLOOKUP(B13,cubo!$A$6:$BJ$37,60,0)-VLOOKUP(B13,#REF!,$V$2,0),0)</f>
        <v>0</v>
      </c>
      <c r="W13" s="9">
        <f>IFERROR(VLOOKUP(B13,cubo!$A$6:$BE$37,26,0)-VLOOKUP(B13,#REF!,$W$2,0),0)</f>
        <v>0</v>
      </c>
      <c r="X13" s="9">
        <f>IFERROR(VLOOKUP(B13,cubo!$A$6:$BE$37,20,0)-VLOOKUP(B13,#REF!,$X$2,0),0)</f>
        <v>0</v>
      </c>
      <c r="Y13" s="9">
        <f>IFERROR(VLOOKUP(B13,cubo!$A$6:$BE$37,21,0)-VLOOKUP(B13,#REF!,$Y$2,0),0)</f>
        <v>0</v>
      </c>
      <c r="Z13" s="9">
        <f>IFERROR(VLOOKUP(B13,cubo!$A$6:$BE$37,27,0)-VLOOKUP(B13,#REF!,$Z$2,0),0)</f>
        <v>0</v>
      </c>
      <c r="AA13" s="9">
        <f>IFERROR(VLOOKUP(B13,cubo!$A$6:$BE$37,28,0)-VLOOKUP(B13,#REF!,$AA$2,0),0)</f>
        <v>0</v>
      </c>
      <c r="AB13" s="9">
        <f>IFERROR(VLOOKUP(B13,cubo!$A$6:$BE$37,29,0)-VLOOKUP(B13,#REF!,$AB$2,0),0)</f>
        <v>0</v>
      </c>
      <c r="AC13" s="9">
        <f>IFERROR(VLOOKUP(B13,cubo!$A$6:$BE$37,30,0)-VLOOKUP(B13,#REF!,$AC$2,0),0)</f>
        <v>0</v>
      </c>
      <c r="AD13" s="9">
        <f>IFERROR(VLOOKUP(B13,cubo!$A$6:$BE$37,31,0)-VLOOKUP(B13,#REF!,$AD$2,0),0)</f>
        <v>0</v>
      </c>
      <c r="AE13" s="9">
        <f>IFERROR(VLOOKUP(B13,cubo!$A$6:$BE$37,35,0)-VLOOKUP(B13,#REF!,$AE$2,0),0)</f>
        <v>0</v>
      </c>
      <c r="AF13" s="9" cm="1">
        <f t="array" aca="1" ref="AF13" ca="1">IFERROR(rrPROCV(B13,cubo!$A$6:$BE$37,48,0)-VLOOKUP(B13,#REF!,$AF$2,0),0)</f>
        <v>0</v>
      </c>
      <c r="AG13" s="9">
        <f>IFERROR(VLOOKUP(B13,cubo!$A$6:$BE$37,49,0)-VLOOKUP(B13,#REF!,$AG$2,0),0)</f>
        <v>0</v>
      </c>
      <c r="AH13" s="9">
        <f>IFERROR(VLOOKUP(B13,cubo!$A$6:$BE$37,50,0)-VLOOKUP(B13,#REF!,$AH$2,0),0)</f>
        <v>0</v>
      </c>
      <c r="AI13" s="9">
        <f>IFERROR(VLOOKUP(B13,cubo!$A$6:$BE$37,51,0)-VLOOKUP(B13,#REF!,$AI$2,0),0)</f>
        <v>0</v>
      </c>
      <c r="AJ13" s="9">
        <f>IFERROR(VLOOKUP(B13,cubo!$A$6:$BI$116,62,0)-VLOOKUP(B13,#REF!,$AJ$2,0),0)</f>
        <v>0</v>
      </c>
      <c r="AK13" s="9">
        <f>IFERROR(VLOOKUP(B13,cubo!$A$6:$BJ$37,63,0)-VLOOKUP(B13,#REF!,$AK$2,0),0)</f>
        <v>0</v>
      </c>
      <c r="AL13" s="9">
        <f>IFERROR(VLOOKUP(B13,cubo!$A$6:$BE$37,58,0)-VLOOKUP(B13,#REF!,$AL$2,0),0)</f>
        <v>0</v>
      </c>
      <c r="AM13" s="9">
        <f>IFERROR(VLOOKUP(B13,cubo!$A$6:$BK$37,64,0)-VLOOKUP(B13,#REF!,$AM$2,0),0)</f>
        <v>0</v>
      </c>
      <c r="AN13" s="9">
        <f>IFERROR(VLOOKUP(B13,cubo!$A$6:$AN$37,41,0)-VLOOKUP(B13,#REF!,$AN$2,0),0)</f>
        <v>0</v>
      </c>
    </row>
    <row r="14" spans="2:40" x14ac:dyDescent="0.25">
      <c r="B14" s="7">
        <f>[1]salario!A13</f>
        <v>11</v>
      </c>
      <c r="C14" s="8" t="str">
        <f>[1]salario!C13</f>
        <v>Colaborador 11</v>
      </c>
      <c r="D14" s="9">
        <f>IFERROR(VLOOKUP(B14,cubo!$A$6:$BE$37,3,0)-VLOOKUP(B14,#REF!,$D$2,0),0)</f>
        <v>0</v>
      </c>
      <c r="E14" s="10">
        <f>IFERROR(VLOOKUP(B14,cubo!$A$6:$BE$37,5,0)-VLOOKUP(B14,#REF!,$E$2,0),0)</f>
        <v>0</v>
      </c>
      <c r="F14" s="10">
        <f>IFERROR(VLOOKUP(B14,cubo!$A$6:$BE$37,8,0)-VLOOKUP(B14,#REF!,$F$2,0),0)</f>
        <v>0</v>
      </c>
      <c r="G14" s="9">
        <f>IFERROR(VLOOKUP(B14,cubo!$A$6:$BE$37,11,0)-VLOOKUP(B14,#REF!,$G$2,0),0)</f>
        <v>0</v>
      </c>
      <c r="H14" s="9">
        <f>IFERROR(VLOOKUP(B14,cubo!$A$6:$BE$37,53,0)-VLOOKUP(B14,#REF!,$H$2,0),0)</f>
        <v>0</v>
      </c>
      <c r="I14" s="10">
        <f>IFERROR(VLOOKUP(B14,cubo!$A$6:$BE$37,14,0)-VLOOKUP(B14,#REF!,$I$2,0),0)</f>
        <v>0</v>
      </c>
      <c r="J14" s="9">
        <f>IFERROR(VLOOKUP(B14,cubo!$A$6:$BE$37,16,0)-VLOOKUP(B14,#REF!,$J$2,0),0)</f>
        <v>0</v>
      </c>
      <c r="K14" s="9">
        <f>IFERROR(VLOOKUP(B14,cubo!$A$6:$BE$37,17,0)-VLOOKUP(B14,#REF!,$K$2,0),0)</f>
        <v>0</v>
      </c>
      <c r="L14" s="9">
        <f>IFERROR(VLOOKUP(B14,cubo!$A$6:$BE$37,19,0)-VLOOKUP(B14,#REF!,$L$2,0),0)</f>
        <v>0</v>
      </c>
      <c r="M14" s="9">
        <f>IFERROR(VLOOKUP(B14,cubo!$A$6:$BE$37,23,0)-VLOOKUP(B14,#REF!,$M$2,0),0)</f>
        <v>0</v>
      </c>
      <c r="N14" s="9">
        <f>IFERROR(VLOOKUP(B14,cubo!$A$6:$BE$37,25,0)-VLOOKUP(B14,#REF!,$N$2,0),0)</f>
        <v>0</v>
      </c>
      <c r="O14" s="9">
        <f>IFERROR(VLOOKUP(B14,cubo!$A$6:$BE$37,33,0)-VLOOKUP(B14,#REF!,$O$2,0),0)</f>
        <v>0</v>
      </c>
      <c r="P14" s="8">
        <f>IFERROR(VLOOKUP(B14,cubo!$A$6:$BE$37,37,0)-VLOOKUP(B14,#REF!,$P$2,0),0)</f>
        <v>0</v>
      </c>
      <c r="Q14" s="8">
        <f>IFERROR(VLOOKUP(B14,cubo!$A$6:$BE$37,56,0)-VLOOKUP(B14,#REF!,$Q$2,0),0)</f>
        <v>0</v>
      </c>
      <c r="R14" s="9">
        <f>IFERROR(VLOOKUP(B14,cubo!$A$6:$BE$37,40,0)-VLOOKUP(B14,#REF!,$R$2,0),0)</f>
        <v>0</v>
      </c>
      <c r="S14" s="9">
        <f>IFERROR(VLOOKUP(B14,cubo!$A$6:$BE$37,43,0)-VLOOKUP(B14,#REF!,$S$2,0),0)</f>
        <v>0</v>
      </c>
      <c r="T14" s="9">
        <f>IFERROR(VLOOKUP(B14,cubo!$A$6:$BE$37,46,0)-VLOOKUP(B14,#REF!,$T$2,0),0)</f>
        <v>0</v>
      </c>
      <c r="U14" s="9">
        <f>IFERROR(VLOOKUP(B14,cubo!$A$6:$BE$37,51,0)-VLOOKUP(B14,#REF!,$U$2,0),0)</f>
        <v>0</v>
      </c>
      <c r="V14" s="9">
        <f>IFERROR(VLOOKUP(B14,cubo!$A$6:$BJ$37,60,0)-VLOOKUP(B14,#REF!,$V$2,0),0)</f>
        <v>0</v>
      </c>
      <c r="W14" s="9">
        <f>IFERROR(VLOOKUP(B14,cubo!$A$6:$BE$37,26,0)-VLOOKUP(B14,#REF!,$W$2,0),0)</f>
        <v>0</v>
      </c>
      <c r="X14" s="9">
        <f>IFERROR(VLOOKUP(B14,cubo!$A$6:$BE$37,20,0)-VLOOKUP(B14,#REF!,$X$2,0),0)</f>
        <v>0</v>
      </c>
      <c r="Y14" s="9">
        <f>IFERROR(VLOOKUP(B14,cubo!$A$6:$BE$37,21,0)-VLOOKUP(B14,#REF!,$Y$2,0),0)</f>
        <v>0</v>
      </c>
      <c r="Z14" s="9">
        <f>IFERROR(VLOOKUP(B14,cubo!$A$6:$BE$37,27,0)-VLOOKUP(B14,#REF!,$Z$2,0),0)</f>
        <v>0</v>
      </c>
      <c r="AA14" s="9">
        <f>IFERROR(VLOOKUP(B14,cubo!$A$6:$BE$37,28,0)-VLOOKUP(B14,#REF!,$AA$2,0),0)</f>
        <v>0</v>
      </c>
      <c r="AB14" s="9">
        <f>IFERROR(VLOOKUP(B14,cubo!$A$6:$BE$37,29,0)-VLOOKUP(B14,#REF!,$AB$2,0),0)</f>
        <v>0</v>
      </c>
      <c r="AC14" s="9">
        <f>IFERROR(VLOOKUP(B14,cubo!$A$6:$BE$37,30,0)-VLOOKUP(B14,#REF!,$AC$2,0),0)</f>
        <v>0</v>
      </c>
      <c r="AD14" s="9">
        <f>IFERROR(VLOOKUP(B14,cubo!$A$6:$BE$37,31,0)-VLOOKUP(B14,#REF!,$AD$2,0),0)</f>
        <v>0</v>
      </c>
      <c r="AE14" s="9">
        <f>IFERROR(VLOOKUP(B14,cubo!$A$6:$BE$37,35,0)-VLOOKUP(B14,#REF!,$AE$2,0),0)</f>
        <v>0</v>
      </c>
      <c r="AF14" s="9" cm="1">
        <f t="array" aca="1" ref="AF14" ca="1">IFERROR(rrPROCV(B14,cubo!$A$6:$BE$37,48,0)-VLOOKUP(B14,#REF!,$AF$2,0),0)</f>
        <v>0</v>
      </c>
      <c r="AG14" s="9">
        <f>IFERROR(VLOOKUP(B14,cubo!$A$6:$BE$37,49,0)-VLOOKUP(B14,#REF!,$AG$2,0),0)</f>
        <v>0</v>
      </c>
      <c r="AH14" s="9">
        <f>IFERROR(VLOOKUP(B14,cubo!$A$6:$BE$37,50,0)-VLOOKUP(B14,#REF!,$AH$2,0),0)</f>
        <v>0</v>
      </c>
      <c r="AI14" s="9">
        <f>IFERROR(VLOOKUP(B14,cubo!$A$6:$BE$37,51,0)-VLOOKUP(B14,#REF!,$AI$2,0),0)</f>
        <v>0</v>
      </c>
      <c r="AJ14" s="9">
        <f>IFERROR(VLOOKUP(B14,cubo!$A$6:$BI$116,62,0)-VLOOKUP(B14,#REF!,$AJ$2,0),0)</f>
        <v>0</v>
      </c>
      <c r="AK14" s="9">
        <f>IFERROR(VLOOKUP(B14,cubo!$A$6:$BJ$37,63,0)-VLOOKUP(B14,#REF!,$AK$2,0),0)</f>
        <v>0</v>
      </c>
      <c r="AL14" s="9">
        <f>IFERROR(VLOOKUP(B14,cubo!$A$6:$BE$37,58,0)-VLOOKUP(B14,#REF!,$AL$2,0),0)</f>
        <v>0</v>
      </c>
      <c r="AM14" s="9">
        <f>IFERROR(VLOOKUP(B14,cubo!$A$6:$BK$37,64,0)-VLOOKUP(B14,#REF!,$AM$2,0),0)</f>
        <v>0</v>
      </c>
      <c r="AN14" s="9">
        <f>IFERROR(VLOOKUP(B14,cubo!$A$6:$AN$37,41,0)-VLOOKUP(B14,#REF!,$AN$2,0),0)</f>
        <v>0</v>
      </c>
    </row>
    <row r="15" spans="2:40" x14ac:dyDescent="0.25">
      <c r="B15" s="7">
        <f>[1]salario!A14</f>
        <v>12</v>
      </c>
      <c r="C15" s="8" t="str">
        <f>[1]salario!C14</f>
        <v>Colaborador 12</v>
      </c>
      <c r="D15" s="9">
        <f>IFERROR(VLOOKUP(B15,cubo!$A$6:$BE$37,3,0)-VLOOKUP(B15,#REF!,$D$2,0),0)</f>
        <v>0</v>
      </c>
      <c r="E15" s="10">
        <f>IFERROR(VLOOKUP(B15,cubo!$A$6:$BE$37,5,0)-VLOOKUP(B15,#REF!,$E$2,0),0)</f>
        <v>0</v>
      </c>
      <c r="F15" s="10">
        <f>IFERROR(VLOOKUP(B15,cubo!$A$6:$BE$37,8,0)-VLOOKUP(B15,#REF!,$F$2,0),0)</f>
        <v>0</v>
      </c>
      <c r="G15" s="9">
        <f>IFERROR(VLOOKUP(B15,cubo!$A$6:$BE$37,11,0)-VLOOKUP(B15,#REF!,$G$2,0),0)</f>
        <v>0</v>
      </c>
      <c r="H15" s="9">
        <f>IFERROR(VLOOKUP(B15,cubo!$A$6:$BE$37,53,0)-VLOOKUP(B15,#REF!,$H$2,0),0)</f>
        <v>0</v>
      </c>
      <c r="I15" s="10">
        <f>IFERROR(VLOOKUP(B15,cubo!$A$6:$BE$37,14,0)-VLOOKUP(B15,#REF!,$I$2,0),0)</f>
        <v>0</v>
      </c>
      <c r="J15" s="9">
        <f>IFERROR(VLOOKUP(B15,cubo!$A$6:$BE$37,16,0)-VLOOKUP(B15,#REF!,$J$2,0),0)</f>
        <v>0</v>
      </c>
      <c r="K15" s="9">
        <f>IFERROR(VLOOKUP(B15,cubo!$A$6:$BE$37,17,0)-VLOOKUP(B15,#REF!,$K$2,0),0)</f>
        <v>0</v>
      </c>
      <c r="L15" s="9">
        <f>IFERROR(VLOOKUP(B15,cubo!$A$6:$BE$37,19,0)-VLOOKUP(B15,#REF!,$L$2,0),0)</f>
        <v>0</v>
      </c>
      <c r="M15" s="9">
        <f>IFERROR(VLOOKUP(B15,cubo!$A$6:$BE$37,23,0)-VLOOKUP(B15,#REF!,$M$2,0),0)</f>
        <v>0</v>
      </c>
      <c r="N15" s="9">
        <f>IFERROR(VLOOKUP(B15,cubo!$A$6:$BE$37,25,0)-VLOOKUP(B15,#REF!,$N$2,0),0)</f>
        <v>0</v>
      </c>
      <c r="O15" s="9">
        <f>IFERROR(VLOOKUP(B15,cubo!$A$6:$BE$37,33,0)-VLOOKUP(B15,#REF!,$O$2,0),0)</f>
        <v>0</v>
      </c>
      <c r="P15" s="8">
        <f>IFERROR(VLOOKUP(B15,cubo!$A$6:$BE$37,37,0)-VLOOKUP(B15,#REF!,$P$2,0),0)</f>
        <v>0</v>
      </c>
      <c r="Q15" s="8">
        <f>IFERROR(VLOOKUP(B15,cubo!$A$6:$BE$37,56,0)-VLOOKUP(B15,#REF!,$Q$2,0),0)</f>
        <v>0</v>
      </c>
      <c r="R15" s="9">
        <f>IFERROR(VLOOKUP(B15,cubo!$A$6:$BE$37,40,0)-VLOOKUP(B15,#REF!,$R$2,0),0)</f>
        <v>0</v>
      </c>
      <c r="S15" s="9">
        <f>IFERROR(VLOOKUP(B15,cubo!$A$6:$BE$37,43,0)-VLOOKUP(B15,#REF!,$S$2,0),0)</f>
        <v>0</v>
      </c>
      <c r="T15" s="9">
        <f>IFERROR(VLOOKUP(B15,cubo!$A$6:$BE$37,46,0)-VLOOKUP(B15,#REF!,$T$2,0),0)</f>
        <v>0</v>
      </c>
      <c r="U15" s="9">
        <f>IFERROR(VLOOKUP(B15,cubo!$A$6:$BE$37,51,0)-VLOOKUP(B15,#REF!,$U$2,0),0)</f>
        <v>0</v>
      </c>
      <c r="V15" s="9">
        <f>IFERROR(VLOOKUP(B15,cubo!$A$6:$BJ$37,60,0)-VLOOKUP(B15,#REF!,$V$2,0),0)</f>
        <v>0</v>
      </c>
      <c r="W15" s="9">
        <f>IFERROR(VLOOKUP(B15,cubo!$A$6:$BE$37,26,0)-VLOOKUP(B15,#REF!,$W$2,0),0)</f>
        <v>0</v>
      </c>
      <c r="X15" s="9">
        <f>IFERROR(VLOOKUP(B15,cubo!$A$6:$BE$37,20,0)-VLOOKUP(B15,#REF!,$X$2,0),0)</f>
        <v>0</v>
      </c>
      <c r="Y15" s="9">
        <f>IFERROR(VLOOKUP(B15,cubo!$A$6:$BE$37,21,0)-VLOOKUP(B15,#REF!,$Y$2,0),0)</f>
        <v>0</v>
      </c>
      <c r="Z15" s="9">
        <f>IFERROR(VLOOKUP(B15,cubo!$A$6:$BE$37,27,0)-VLOOKUP(B15,#REF!,$Z$2,0),0)</f>
        <v>0</v>
      </c>
      <c r="AA15" s="9">
        <f>IFERROR(VLOOKUP(B15,cubo!$A$6:$BE$37,28,0)-VLOOKUP(B15,#REF!,$AA$2,0),0)</f>
        <v>0</v>
      </c>
      <c r="AB15" s="9">
        <f>IFERROR(VLOOKUP(B15,cubo!$A$6:$BE$37,29,0)-VLOOKUP(B15,#REF!,$AB$2,0),0)</f>
        <v>0</v>
      </c>
      <c r="AC15" s="9">
        <f>IFERROR(VLOOKUP(B15,cubo!$A$6:$BE$37,30,0)-VLOOKUP(B15,#REF!,$AC$2,0),0)</f>
        <v>0</v>
      </c>
      <c r="AD15" s="9">
        <f>IFERROR(VLOOKUP(B15,cubo!$A$6:$BE$37,31,0)-VLOOKUP(B15,#REF!,$AD$2,0),0)</f>
        <v>0</v>
      </c>
      <c r="AE15" s="9">
        <f>IFERROR(VLOOKUP(B15,cubo!$A$6:$BE$37,35,0)-VLOOKUP(B15,#REF!,$AE$2,0),0)</f>
        <v>0</v>
      </c>
      <c r="AF15" s="9" cm="1">
        <f t="array" aca="1" ref="AF15" ca="1">IFERROR(rrPROCV(B15,cubo!$A$6:$BE$37,48,0)-VLOOKUP(B15,#REF!,$AF$2,0),0)</f>
        <v>0</v>
      </c>
      <c r="AG15" s="9">
        <f>IFERROR(VLOOKUP(B15,cubo!$A$6:$BE$37,49,0)-VLOOKUP(B15,#REF!,$AG$2,0),0)</f>
        <v>0</v>
      </c>
      <c r="AH15" s="9">
        <f>IFERROR(VLOOKUP(B15,cubo!$A$6:$BE$37,50,0)-VLOOKUP(B15,#REF!,$AH$2,0),0)</f>
        <v>0</v>
      </c>
      <c r="AI15" s="9">
        <f>IFERROR(VLOOKUP(B15,cubo!$A$6:$BE$37,51,0)-VLOOKUP(B15,#REF!,$AI$2,0),0)</f>
        <v>0</v>
      </c>
      <c r="AJ15" s="9">
        <f>IFERROR(VLOOKUP(B15,cubo!$A$6:$BI$116,62,0)-VLOOKUP(B15,#REF!,$AJ$2,0),0)</f>
        <v>0</v>
      </c>
      <c r="AK15" s="9">
        <f>IFERROR(VLOOKUP(B15,cubo!$A$6:$BJ$37,63,0)-VLOOKUP(B15,#REF!,$AK$2,0),0)</f>
        <v>0</v>
      </c>
      <c r="AL15" s="9">
        <f>IFERROR(VLOOKUP(B15,cubo!$A$6:$BE$37,58,0)-VLOOKUP(B15,#REF!,$AL$2,0),0)</f>
        <v>0</v>
      </c>
      <c r="AM15" s="9">
        <f>IFERROR(VLOOKUP(B15,cubo!$A$6:$BK$37,64,0)-VLOOKUP(B15,#REF!,$AM$2,0),0)</f>
        <v>0</v>
      </c>
      <c r="AN15" s="9">
        <f>IFERROR(VLOOKUP(B15,cubo!$A$6:$AN$37,41,0)-VLOOKUP(B15,#REF!,$AN$2,0),0)</f>
        <v>0</v>
      </c>
    </row>
    <row r="16" spans="2:40" x14ac:dyDescent="0.25">
      <c r="B16" s="7">
        <f>[1]salario!A15</f>
        <v>13</v>
      </c>
      <c r="C16" s="8" t="str">
        <f>[1]salario!C15</f>
        <v>Colaborador 13</v>
      </c>
      <c r="D16" s="9">
        <f>IFERROR(VLOOKUP(B16,cubo!$A$6:$BE$37,3,0)-VLOOKUP(B16,#REF!,$D$2,0),0)</f>
        <v>0</v>
      </c>
      <c r="E16" s="10">
        <f>IFERROR(VLOOKUP(B16,cubo!$A$6:$BE$37,5,0)-VLOOKUP(B16,#REF!,$E$2,0),0)</f>
        <v>0</v>
      </c>
      <c r="F16" s="10">
        <f>IFERROR(VLOOKUP(B16,cubo!$A$6:$BE$37,8,0)-VLOOKUP(B16,#REF!,$F$2,0),0)</f>
        <v>0</v>
      </c>
      <c r="G16" s="9">
        <f>IFERROR(VLOOKUP(B16,cubo!$A$6:$BE$37,11,0)-VLOOKUP(B16,#REF!,$G$2,0),0)</f>
        <v>0</v>
      </c>
      <c r="H16" s="9">
        <f>IFERROR(VLOOKUP(B16,cubo!$A$6:$BE$37,53,0)-VLOOKUP(B16,#REF!,$H$2,0),0)</f>
        <v>0</v>
      </c>
      <c r="I16" s="10">
        <f>IFERROR(VLOOKUP(B16,cubo!$A$6:$BE$37,14,0)-VLOOKUP(B16,#REF!,$I$2,0),0)</f>
        <v>0</v>
      </c>
      <c r="J16" s="9">
        <f>IFERROR(VLOOKUP(B16,cubo!$A$6:$BE$37,16,0)-VLOOKUP(B16,#REF!,$J$2,0),0)</f>
        <v>0</v>
      </c>
      <c r="K16" s="9">
        <f>IFERROR(VLOOKUP(B16,cubo!$A$6:$BE$37,17,0)-VLOOKUP(B16,#REF!,$K$2,0),0)</f>
        <v>0</v>
      </c>
      <c r="L16" s="9">
        <f>IFERROR(VLOOKUP(B16,cubo!$A$6:$BE$37,19,0)-VLOOKUP(B16,#REF!,$L$2,0),0)</f>
        <v>0</v>
      </c>
      <c r="M16" s="9">
        <f>IFERROR(VLOOKUP(B16,cubo!$A$6:$BE$37,23,0)-VLOOKUP(B16,#REF!,$M$2,0),0)</f>
        <v>0</v>
      </c>
      <c r="N16" s="9">
        <f>IFERROR(VLOOKUP(B16,cubo!$A$6:$BE$37,25,0)-VLOOKUP(B16,#REF!,$N$2,0),0)</f>
        <v>0</v>
      </c>
      <c r="O16" s="9">
        <f>IFERROR(VLOOKUP(B16,cubo!$A$6:$BE$37,33,0)-VLOOKUP(B16,#REF!,$O$2,0),0)</f>
        <v>0</v>
      </c>
      <c r="P16" s="8">
        <f>IFERROR(VLOOKUP(B16,cubo!$A$6:$BE$37,37,0)-VLOOKUP(B16,#REF!,$P$2,0),0)</f>
        <v>0</v>
      </c>
      <c r="Q16" s="8">
        <f>IFERROR(VLOOKUP(B16,cubo!$A$6:$BE$37,56,0)-VLOOKUP(B16,#REF!,$Q$2,0),0)</f>
        <v>0</v>
      </c>
      <c r="R16" s="9">
        <f>IFERROR(VLOOKUP(B16,cubo!$A$6:$BE$37,40,0)-VLOOKUP(B16,#REF!,$R$2,0),0)</f>
        <v>0</v>
      </c>
      <c r="S16" s="9">
        <f>IFERROR(VLOOKUP(B16,cubo!$A$6:$BE$37,43,0)-VLOOKUP(B16,#REF!,$S$2,0),0)</f>
        <v>0</v>
      </c>
      <c r="T16" s="9">
        <f>IFERROR(VLOOKUP(B16,cubo!$A$6:$BE$37,46,0)-VLOOKUP(B16,#REF!,$T$2,0),0)</f>
        <v>0</v>
      </c>
      <c r="U16" s="9">
        <f>IFERROR(VLOOKUP(B16,cubo!$A$6:$BE$37,51,0)-VLOOKUP(B16,#REF!,$U$2,0),0)</f>
        <v>0</v>
      </c>
      <c r="V16" s="9">
        <f>IFERROR(VLOOKUP(B16,cubo!$A$6:$BJ$37,60,0)-VLOOKUP(B16,#REF!,$V$2,0),0)</f>
        <v>0</v>
      </c>
      <c r="W16" s="9">
        <f>IFERROR(VLOOKUP(B16,cubo!$A$6:$BE$37,26,0)-VLOOKUP(B16,#REF!,$W$2,0),0)</f>
        <v>0</v>
      </c>
      <c r="X16" s="9">
        <f>IFERROR(VLOOKUP(B16,cubo!$A$6:$BE$37,20,0)-VLOOKUP(B16,#REF!,$X$2,0),0)</f>
        <v>0</v>
      </c>
      <c r="Y16" s="9">
        <f>IFERROR(VLOOKUP(B16,cubo!$A$6:$BE$37,21,0)-VLOOKUP(B16,#REF!,$Y$2,0),0)</f>
        <v>0</v>
      </c>
      <c r="Z16" s="9">
        <f>IFERROR(VLOOKUP(B16,cubo!$A$6:$BE$37,27,0)-VLOOKUP(B16,#REF!,$Z$2,0),0)</f>
        <v>0</v>
      </c>
      <c r="AA16" s="9">
        <f>IFERROR(VLOOKUP(B16,cubo!$A$6:$BE$37,28,0)-VLOOKUP(B16,#REF!,$AA$2,0),0)</f>
        <v>0</v>
      </c>
      <c r="AB16" s="9">
        <f>IFERROR(VLOOKUP(B16,cubo!$A$6:$BE$37,29,0)-VLOOKUP(B16,#REF!,$AB$2,0),0)</f>
        <v>0</v>
      </c>
      <c r="AC16" s="9">
        <f>IFERROR(VLOOKUP(B16,cubo!$A$6:$BE$37,30,0)-VLOOKUP(B16,#REF!,$AC$2,0),0)</f>
        <v>0</v>
      </c>
      <c r="AD16" s="9">
        <f>IFERROR(VLOOKUP(B16,cubo!$A$6:$BE$37,31,0)-VLOOKUP(B16,#REF!,$AD$2,0),0)</f>
        <v>0</v>
      </c>
      <c r="AE16" s="9">
        <f>IFERROR(VLOOKUP(B16,cubo!$A$6:$BE$37,35,0)-VLOOKUP(B16,#REF!,$AE$2,0),0)</f>
        <v>0</v>
      </c>
      <c r="AF16" s="9" cm="1">
        <f t="array" aca="1" ref="AF16" ca="1">IFERROR(rrPROCV(B16,cubo!$A$6:$BE$37,48,0)-VLOOKUP(B16,#REF!,$AF$2,0),0)</f>
        <v>0</v>
      </c>
      <c r="AG16" s="9">
        <f>IFERROR(VLOOKUP(B16,cubo!$A$6:$BE$37,49,0)-VLOOKUP(B16,#REF!,$AG$2,0),0)</f>
        <v>0</v>
      </c>
      <c r="AH16" s="9">
        <f>IFERROR(VLOOKUP(B16,cubo!$A$6:$BE$37,50,0)-VLOOKUP(B16,#REF!,$AH$2,0),0)</f>
        <v>0</v>
      </c>
      <c r="AI16" s="9">
        <f>IFERROR(VLOOKUP(B16,cubo!$A$6:$BE$37,51,0)-VLOOKUP(B16,#REF!,$AI$2,0),0)</f>
        <v>0</v>
      </c>
      <c r="AJ16" s="9">
        <f>IFERROR(VLOOKUP(B16,cubo!$A$6:$BI$116,62,0)-VLOOKUP(B16,#REF!,$AJ$2,0),0)</f>
        <v>0</v>
      </c>
      <c r="AK16" s="9">
        <f>IFERROR(VLOOKUP(B16,cubo!$A$6:$BJ$37,63,0)-VLOOKUP(B16,#REF!,$AK$2,0),0)</f>
        <v>0</v>
      </c>
      <c r="AL16" s="9">
        <f>IFERROR(VLOOKUP(B16,cubo!$A$6:$BE$37,58,0)-VLOOKUP(B16,#REF!,$AL$2,0),0)</f>
        <v>0</v>
      </c>
      <c r="AM16" s="9">
        <f>IFERROR(VLOOKUP(B16,cubo!$A$6:$BK$37,64,0)-VLOOKUP(B16,#REF!,$AM$2,0),0)</f>
        <v>0</v>
      </c>
      <c r="AN16" s="9">
        <f>IFERROR(VLOOKUP(B16,cubo!$A$6:$AN$37,41,0)-VLOOKUP(B16,#REF!,$AN$2,0),0)</f>
        <v>0</v>
      </c>
    </row>
    <row r="17" spans="2:40" x14ac:dyDescent="0.25">
      <c r="B17" s="7">
        <f>[1]salario!A16</f>
        <v>14</v>
      </c>
      <c r="C17" s="8" t="str">
        <f>[1]salario!C16</f>
        <v>Colaborador 14</v>
      </c>
      <c r="D17" s="9">
        <f>IFERROR(VLOOKUP(B17,cubo!$A$6:$BE$37,3,0)-VLOOKUP(B17,#REF!,$D$2,0),0)</f>
        <v>0</v>
      </c>
      <c r="E17" s="10">
        <f>IFERROR(VLOOKUP(B17,cubo!$A$6:$BE$37,5,0)-VLOOKUP(B17,#REF!,$E$2,0),0)</f>
        <v>0</v>
      </c>
      <c r="F17" s="10">
        <f>IFERROR(VLOOKUP(B17,cubo!$A$6:$BE$37,8,0)-VLOOKUP(B17,#REF!,$F$2,0),0)</f>
        <v>0</v>
      </c>
      <c r="G17" s="9">
        <f>IFERROR(VLOOKUP(B17,cubo!$A$6:$BE$37,11,0)-VLOOKUP(B17,#REF!,$G$2,0),0)</f>
        <v>0</v>
      </c>
      <c r="H17" s="9">
        <f>IFERROR(VLOOKUP(B17,cubo!$A$6:$BE$37,53,0)-VLOOKUP(B17,#REF!,$H$2,0),0)</f>
        <v>0</v>
      </c>
      <c r="I17" s="10">
        <f>IFERROR(VLOOKUP(B17,cubo!$A$6:$BE$37,14,0)-VLOOKUP(B17,#REF!,$I$2,0),0)</f>
        <v>0</v>
      </c>
      <c r="J17" s="9">
        <f>IFERROR(VLOOKUP(B17,cubo!$A$6:$BE$37,16,0)-VLOOKUP(B17,#REF!,$J$2,0),0)</f>
        <v>0</v>
      </c>
      <c r="K17" s="9">
        <f>IFERROR(VLOOKUP(B17,cubo!$A$6:$BE$37,17,0)-VLOOKUP(B17,#REF!,$K$2,0),0)</f>
        <v>0</v>
      </c>
      <c r="L17" s="9">
        <f>IFERROR(VLOOKUP(B17,cubo!$A$6:$BE$37,19,0)-VLOOKUP(B17,#REF!,$L$2,0),0)</f>
        <v>0</v>
      </c>
      <c r="M17" s="9">
        <f>IFERROR(VLOOKUP(B17,cubo!$A$6:$BE$37,23,0)-VLOOKUP(B17,#REF!,$M$2,0),0)</f>
        <v>0</v>
      </c>
      <c r="N17" s="9">
        <f>IFERROR(VLOOKUP(B17,cubo!$A$6:$BE$37,25,0)-VLOOKUP(B17,#REF!,$N$2,0),0)</f>
        <v>0</v>
      </c>
      <c r="O17" s="9">
        <f>IFERROR(VLOOKUP(B17,cubo!$A$6:$BE$37,33,0)-VLOOKUP(B17,#REF!,$O$2,0),0)</f>
        <v>0</v>
      </c>
      <c r="P17" s="8">
        <f>IFERROR(VLOOKUP(B17,cubo!$A$6:$BE$37,37,0)-VLOOKUP(B17,#REF!,$P$2,0),0)</f>
        <v>0</v>
      </c>
      <c r="Q17" s="8">
        <f>IFERROR(VLOOKUP(B17,cubo!$A$6:$BE$37,56,0)-VLOOKUP(B17,#REF!,$Q$2,0),0)</f>
        <v>0</v>
      </c>
      <c r="R17" s="9">
        <f>IFERROR(VLOOKUP(B17,cubo!$A$6:$BE$37,40,0)-VLOOKUP(B17,#REF!,$R$2,0),0)</f>
        <v>0</v>
      </c>
      <c r="S17" s="9">
        <f>IFERROR(VLOOKUP(B17,cubo!$A$6:$BE$37,43,0)-VLOOKUP(B17,#REF!,$S$2,0),0)</f>
        <v>0</v>
      </c>
      <c r="T17" s="9">
        <f>IFERROR(VLOOKUP(B17,cubo!$A$6:$BE$37,46,0)-VLOOKUP(B17,#REF!,$T$2,0),0)</f>
        <v>0</v>
      </c>
      <c r="U17" s="9">
        <f>IFERROR(VLOOKUP(B17,cubo!$A$6:$BE$37,51,0)-VLOOKUP(B17,#REF!,$U$2,0),0)</f>
        <v>0</v>
      </c>
      <c r="V17" s="9">
        <f>IFERROR(VLOOKUP(B17,cubo!$A$6:$BJ$37,60,0)-VLOOKUP(B17,#REF!,$V$2,0),0)</f>
        <v>0</v>
      </c>
      <c r="W17" s="9">
        <f>IFERROR(VLOOKUP(B17,cubo!$A$6:$BE$37,26,0)-VLOOKUP(B17,#REF!,$W$2,0),0)</f>
        <v>0</v>
      </c>
      <c r="X17" s="9">
        <f>IFERROR(VLOOKUP(B17,cubo!$A$6:$BE$37,20,0)-VLOOKUP(B17,#REF!,$X$2,0),0)</f>
        <v>0</v>
      </c>
      <c r="Y17" s="9">
        <f>IFERROR(VLOOKUP(B17,cubo!$A$6:$BE$37,21,0)-VLOOKUP(B17,#REF!,$Y$2,0),0)</f>
        <v>0</v>
      </c>
      <c r="Z17" s="9">
        <f>IFERROR(VLOOKUP(B17,cubo!$A$6:$BE$37,27,0)-VLOOKUP(B17,#REF!,$Z$2,0),0)</f>
        <v>0</v>
      </c>
      <c r="AA17" s="9">
        <f>IFERROR(VLOOKUP(B17,cubo!$A$6:$BE$37,28,0)-VLOOKUP(B17,#REF!,$AA$2,0),0)</f>
        <v>0</v>
      </c>
      <c r="AB17" s="9">
        <f>IFERROR(VLOOKUP(B17,cubo!$A$6:$BE$37,29,0)-VLOOKUP(B17,#REF!,$AB$2,0),0)</f>
        <v>0</v>
      </c>
      <c r="AC17" s="9">
        <f>IFERROR(VLOOKUP(B17,cubo!$A$6:$BE$37,30,0)-VLOOKUP(B17,#REF!,$AC$2,0),0)</f>
        <v>0</v>
      </c>
      <c r="AD17" s="9">
        <f>IFERROR(VLOOKUP(B17,cubo!$A$6:$BE$37,31,0)-VLOOKUP(B17,#REF!,$AD$2,0),0)</f>
        <v>0</v>
      </c>
      <c r="AE17" s="9">
        <f>IFERROR(VLOOKUP(B17,cubo!$A$6:$BE$37,35,0)-VLOOKUP(B17,#REF!,$AE$2,0),0)</f>
        <v>0</v>
      </c>
      <c r="AF17" s="9" cm="1">
        <f t="array" aca="1" ref="AF17" ca="1">IFERROR(rrPROCV(B17,cubo!$A$6:$BE$37,48,0)-VLOOKUP(B17,#REF!,$AF$2,0),0)</f>
        <v>0</v>
      </c>
      <c r="AG17" s="9">
        <f>IFERROR(VLOOKUP(B17,cubo!$A$6:$BE$37,49,0)-VLOOKUP(B17,#REF!,$AG$2,0),0)</f>
        <v>0</v>
      </c>
      <c r="AH17" s="9">
        <f>IFERROR(VLOOKUP(B17,cubo!$A$6:$BE$37,50,0)-VLOOKUP(B17,#REF!,$AH$2,0),0)</f>
        <v>0</v>
      </c>
      <c r="AI17" s="9">
        <f>IFERROR(VLOOKUP(B17,cubo!$A$6:$BE$37,51,0)-VLOOKUP(B17,#REF!,$AI$2,0),0)</f>
        <v>0</v>
      </c>
      <c r="AJ17" s="9">
        <f>IFERROR(VLOOKUP(B17,cubo!$A$6:$BI$116,62,0)-VLOOKUP(B17,#REF!,$AJ$2,0),0)</f>
        <v>0</v>
      </c>
      <c r="AK17" s="9">
        <f>IFERROR(VLOOKUP(B17,cubo!$A$6:$BJ$37,63,0)-VLOOKUP(B17,#REF!,$AK$2,0),0)</f>
        <v>0</v>
      </c>
      <c r="AL17" s="9">
        <f>IFERROR(VLOOKUP(B17,cubo!$A$6:$BE$37,58,0)-VLOOKUP(B17,#REF!,$AL$2,0),0)</f>
        <v>0</v>
      </c>
      <c r="AM17" s="9">
        <f>IFERROR(VLOOKUP(B17,cubo!$A$6:$BK$37,64,0)-VLOOKUP(B17,#REF!,$AM$2,0),0)</f>
        <v>0</v>
      </c>
      <c r="AN17" s="9">
        <f>IFERROR(VLOOKUP(B17,cubo!$A$6:$AN$37,41,0)-VLOOKUP(B17,#REF!,$AN$2,0),0)</f>
        <v>0</v>
      </c>
    </row>
    <row r="18" spans="2:40" x14ac:dyDescent="0.25">
      <c r="B18" s="7">
        <f>[1]salario!A17</f>
        <v>15</v>
      </c>
      <c r="C18" s="8" t="str">
        <f>[1]salario!C17</f>
        <v>Colaborador 15</v>
      </c>
      <c r="D18" s="9">
        <f>IFERROR(VLOOKUP(B18,cubo!$A$6:$BE$37,3,0)-VLOOKUP(B18,#REF!,$D$2,0),0)</f>
        <v>0</v>
      </c>
      <c r="E18" s="10">
        <f>IFERROR(VLOOKUP(B18,cubo!$A$6:$BE$37,5,0)-VLOOKUP(B18,#REF!,$E$2,0),0)</f>
        <v>0</v>
      </c>
      <c r="F18" s="10">
        <f>IFERROR(VLOOKUP(B18,cubo!$A$6:$BE$37,8,0)-VLOOKUP(B18,#REF!,$F$2,0),0)</f>
        <v>0</v>
      </c>
      <c r="G18" s="9">
        <f>IFERROR(VLOOKUP(B18,cubo!$A$6:$BE$37,11,0)-VLOOKUP(B18,#REF!,$G$2,0),0)</f>
        <v>0</v>
      </c>
      <c r="H18" s="9">
        <f>IFERROR(VLOOKUP(B18,cubo!$A$6:$BE$37,53,0)-VLOOKUP(B18,#REF!,$H$2,0),0)</f>
        <v>0</v>
      </c>
      <c r="I18" s="10">
        <f>IFERROR(VLOOKUP(B18,cubo!$A$6:$BE$37,14,0)-VLOOKUP(B18,#REF!,$I$2,0),0)</f>
        <v>0</v>
      </c>
      <c r="J18" s="9">
        <f>IFERROR(VLOOKUP(B18,cubo!$A$6:$BE$37,16,0)-VLOOKUP(B18,#REF!,$J$2,0),0)</f>
        <v>0</v>
      </c>
      <c r="K18" s="9">
        <f>IFERROR(VLOOKUP(B18,cubo!$A$6:$BE$37,17,0)-VLOOKUP(B18,#REF!,$K$2,0),0)</f>
        <v>0</v>
      </c>
      <c r="L18" s="9">
        <f>IFERROR(VLOOKUP(B18,cubo!$A$6:$BE$37,19,0)-VLOOKUP(B18,#REF!,$L$2,0),0)</f>
        <v>0</v>
      </c>
      <c r="M18" s="9">
        <f>IFERROR(VLOOKUP(B18,cubo!$A$6:$BE$37,23,0)-VLOOKUP(B18,#REF!,$M$2,0),0)</f>
        <v>0</v>
      </c>
      <c r="N18" s="9">
        <f>IFERROR(VLOOKUP(B18,cubo!$A$6:$BE$37,25,0)-VLOOKUP(B18,#REF!,$N$2,0),0)</f>
        <v>0</v>
      </c>
      <c r="O18" s="9">
        <f>IFERROR(VLOOKUP(B18,cubo!$A$6:$BE$37,33,0)-VLOOKUP(B18,#REF!,$O$2,0),0)</f>
        <v>0</v>
      </c>
      <c r="P18" s="8">
        <f>IFERROR(VLOOKUP(B18,cubo!$A$6:$BE$37,37,0)-VLOOKUP(B18,#REF!,$P$2,0),0)</f>
        <v>0</v>
      </c>
      <c r="Q18" s="8">
        <f>IFERROR(VLOOKUP(B18,cubo!$A$6:$BE$37,56,0)-VLOOKUP(B18,#REF!,$Q$2,0),0)</f>
        <v>0</v>
      </c>
      <c r="R18" s="9">
        <f>IFERROR(VLOOKUP(B18,cubo!$A$6:$BE$37,40,0)-VLOOKUP(B18,#REF!,$R$2,0),0)</f>
        <v>0</v>
      </c>
      <c r="S18" s="9">
        <f>IFERROR(VLOOKUP(B18,cubo!$A$6:$BE$37,43,0)-VLOOKUP(B18,#REF!,$S$2,0),0)</f>
        <v>0</v>
      </c>
      <c r="T18" s="9">
        <f>IFERROR(VLOOKUP(B18,cubo!$A$6:$BE$37,46,0)-VLOOKUP(B18,#REF!,$T$2,0),0)</f>
        <v>0</v>
      </c>
      <c r="U18" s="9">
        <f>IFERROR(VLOOKUP(B18,cubo!$A$6:$BE$37,51,0)-VLOOKUP(B18,#REF!,$U$2,0),0)</f>
        <v>0</v>
      </c>
      <c r="V18" s="9">
        <f>IFERROR(VLOOKUP(B18,cubo!$A$6:$BJ$37,60,0)-VLOOKUP(B18,#REF!,$V$2,0),0)</f>
        <v>0</v>
      </c>
      <c r="W18" s="9">
        <f>IFERROR(VLOOKUP(B18,cubo!$A$6:$BE$37,26,0)-VLOOKUP(B18,#REF!,$W$2,0),0)</f>
        <v>0</v>
      </c>
      <c r="X18" s="9">
        <f>IFERROR(VLOOKUP(B18,cubo!$A$6:$BE$37,20,0)-VLOOKUP(B18,#REF!,$X$2,0),0)</f>
        <v>0</v>
      </c>
      <c r="Y18" s="9">
        <f>IFERROR(VLOOKUP(B18,cubo!$A$6:$BE$37,21,0)-VLOOKUP(B18,#REF!,$Y$2,0),0)</f>
        <v>0</v>
      </c>
      <c r="Z18" s="9">
        <f>IFERROR(VLOOKUP(B18,cubo!$A$6:$BE$37,27,0)-VLOOKUP(B18,#REF!,$Z$2,0),0)</f>
        <v>0</v>
      </c>
      <c r="AA18" s="9">
        <f>IFERROR(VLOOKUP(B18,cubo!$A$6:$BE$37,28,0)-VLOOKUP(B18,#REF!,$AA$2,0),0)</f>
        <v>0</v>
      </c>
      <c r="AB18" s="9">
        <f>IFERROR(VLOOKUP(B18,cubo!$A$6:$BE$37,29,0)-VLOOKUP(B18,#REF!,$AB$2,0),0)</f>
        <v>0</v>
      </c>
      <c r="AC18" s="9">
        <f>IFERROR(VLOOKUP(B18,cubo!$A$6:$BE$37,30,0)-VLOOKUP(B18,#REF!,$AC$2,0),0)</f>
        <v>0</v>
      </c>
      <c r="AD18" s="9">
        <f>IFERROR(VLOOKUP(B18,cubo!$A$6:$BE$37,31,0)-VLOOKUP(B18,#REF!,$AD$2,0),0)</f>
        <v>0</v>
      </c>
      <c r="AE18" s="9">
        <f>IFERROR(VLOOKUP(B18,cubo!$A$6:$BE$37,35,0)-VLOOKUP(B18,#REF!,$AE$2,0),0)</f>
        <v>0</v>
      </c>
      <c r="AF18" s="9" cm="1">
        <f t="array" aca="1" ref="AF18" ca="1">IFERROR(rrPROCV(B18,cubo!$A$6:$BE$37,48,0)-VLOOKUP(B18,#REF!,$AF$2,0),0)</f>
        <v>0</v>
      </c>
      <c r="AG18" s="9">
        <f>IFERROR(VLOOKUP(B18,cubo!$A$6:$BE$37,49,0)-VLOOKUP(B18,#REF!,$AG$2,0),0)</f>
        <v>0</v>
      </c>
      <c r="AH18" s="9">
        <f>IFERROR(VLOOKUP(B18,cubo!$A$6:$BE$37,50,0)-VLOOKUP(B18,#REF!,$AH$2,0),0)</f>
        <v>0</v>
      </c>
      <c r="AI18" s="9">
        <f>IFERROR(VLOOKUP(B18,cubo!$A$6:$BE$37,51,0)-VLOOKUP(B18,#REF!,$AI$2,0),0)</f>
        <v>0</v>
      </c>
      <c r="AJ18" s="9">
        <f>IFERROR(VLOOKUP(B18,cubo!$A$6:$BI$116,62,0)-VLOOKUP(B18,#REF!,$AJ$2,0),0)</f>
        <v>0</v>
      </c>
      <c r="AK18" s="9">
        <f>IFERROR(VLOOKUP(B18,cubo!$A$6:$BJ$37,63,0)-VLOOKUP(B18,#REF!,$AK$2,0),0)</f>
        <v>0</v>
      </c>
      <c r="AL18" s="9">
        <f>IFERROR(VLOOKUP(B18,cubo!$A$6:$BE$37,58,0)-VLOOKUP(B18,#REF!,$AL$2,0),0)</f>
        <v>0</v>
      </c>
      <c r="AM18" s="9">
        <f>IFERROR(VLOOKUP(B18,cubo!$A$6:$BK$37,64,0)-VLOOKUP(B18,#REF!,$AM$2,0),0)</f>
        <v>0</v>
      </c>
      <c r="AN18" s="9">
        <f>IFERROR(VLOOKUP(B18,cubo!$A$6:$AN$37,41,0)-VLOOKUP(B18,#REF!,$AN$2,0),0)</f>
        <v>0</v>
      </c>
    </row>
    <row r="19" spans="2:40" x14ac:dyDescent="0.25">
      <c r="B19" s="7">
        <f>[1]salario!A18</f>
        <v>16</v>
      </c>
      <c r="C19" s="8" t="str">
        <f>[1]salario!C18</f>
        <v>Colaborador 16</v>
      </c>
      <c r="D19" s="9">
        <f>IFERROR(VLOOKUP(B19,cubo!$A$6:$BE$37,3,0)-VLOOKUP(B19,#REF!,$D$2,0),0)</f>
        <v>0</v>
      </c>
      <c r="E19" s="10">
        <f>IFERROR(VLOOKUP(B19,cubo!$A$6:$BE$37,5,0)-VLOOKUP(B19,#REF!,$E$2,0),0)</f>
        <v>0</v>
      </c>
      <c r="F19" s="10">
        <f>IFERROR(VLOOKUP(B19,cubo!$A$6:$BE$37,8,0)-VLOOKUP(B19,#REF!,$F$2,0),0)</f>
        <v>0</v>
      </c>
      <c r="G19" s="9">
        <f>IFERROR(VLOOKUP(B19,cubo!$A$6:$BE$37,11,0)-VLOOKUP(B19,#REF!,$G$2,0),0)</f>
        <v>0</v>
      </c>
      <c r="H19" s="9">
        <f>IFERROR(VLOOKUP(B19,cubo!$A$6:$BE$37,53,0)-VLOOKUP(B19,#REF!,$H$2,0),0)</f>
        <v>0</v>
      </c>
      <c r="I19" s="10">
        <f>IFERROR(VLOOKUP(B19,cubo!$A$6:$BE$37,14,0)-VLOOKUP(B19,#REF!,$I$2,0),0)</f>
        <v>0</v>
      </c>
      <c r="J19" s="9">
        <f>IFERROR(VLOOKUP(B19,cubo!$A$6:$BE$37,16,0)-VLOOKUP(B19,#REF!,$J$2,0),0)</f>
        <v>0</v>
      </c>
      <c r="K19" s="9">
        <f>IFERROR(VLOOKUP(B19,cubo!$A$6:$BE$37,17,0)-VLOOKUP(B19,#REF!,$K$2,0),0)</f>
        <v>0</v>
      </c>
      <c r="L19" s="9">
        <f>IFERROR(VLOOKUP(B19,cubo!$A$6:$BE$37,19,0)-VLOOKUP(B19,#REF!,$L$2,0),0)</f>
        <v>0</v>
      </c>
      <c r="M19" s="9">
        <f>IFERROR(VLOOKUP(B19,cubo!$A$6:$BE$37,23,0)-VLOOKUP(B19,#REF!,$M$2,0),0)</f>
        <v>0</v>
      </c>
      <c r="N19" s="9">
        <f>IFERROR(VLOOKUP(B19,cubo!$A$6:$BE$37,25,0)-VLOOKUP(B19,#REF!,$N$2,0),0)</f>
        <v>0</v>
      </c>
      <c r="O19" s="9">
        <f>IFERROR(VLOOKUP(B19,cubo!$A$6:$BE$37,33,0)-VLOOKUP(B19,#REF!,$O$2,0),0)</f>
        <v>0</v>
      </c>
      <c r="P19" s="8">
        <f>IFERROR(VLOOKUP(B19,cubo!$A$6:$BE$37,37,0)-VLOOKUP(B19,#REF!,$P$2,0),0)</f>
        <v>0</v>
      </c>
      <c r="Q19" s="8">
        <f>IFERROR(VLOOKUP(B19,cubo!$A$6:$BE$37,56,0)-VLOOKUP(B19,#REF!,$Q$2,0),0)</f>
        <v>0</v>
      </c>
      <c r="R19" s="9">
        <f>IFERROR(VLOOKUP(B19,cubo!$A$6:$BE$37,40,0)-VLOOKUP(B19,#REF!,$R$2,0),0)</f>
        <v>0</v>
      </c>
      <c r="S19" s="9">
        <f>IFERROR(VLOOKUP(B19,cubo!$A$6:$BE$37,43,0)-VLOOKUP(B19,#REF!,$S$2,0),0)</f>
        <v>0</v>
      </c>
      <c r="T19" s="9">
        <f>IFERROR(VLOOKUP(B19,cubo!$A$6:$BE$37,46,0)-VLOOKUP(B19,#REF!,$T$2,0),0)</f>
        <v>0</v>
      </c>
      <c r="U19" s="9">
        <f>IFERROR(VLOOKUP(B19,cubo!$A$6:$BE$37,51,0)-VLOOKUP(B19,#REF!,$U$2,0),0)</f>
        <v>0</v>
      </c>
      <c r="V19" s="9">
        <f>IFERROR(VLOOKUP(B19,cubo!$A$6:$BJ$37,60,0)-VLOOKUP(B19,#REF!,$V$2,0),0)</f>
        <v>0</v>
      </c>
      <c r="W19" s="9">
        <f>IFERROR(VLOOKUP(B19,cubo!$A$6:$BE$37,26,0)-VLOOKUP(B19,#REF!,$W$2,0),0)</f>
        <v>0</v>
      </c>
      <c r="X19" s="9">
        <f>IFERROR(VLOOKUP(B19,cubo!$A$6:$BE$37,20,0)-VLOOKUP(B19,#REF!,$X$2,0),0)</f>
        <v>0</v>
      </c>
      <c r="Y19" s="9">
        <f>IFERROR(VLOOKUP(B19,cubo!$A$6:$BE$37,21,0)-VLOOKUP(B19,#REF!,$Y$2,0),0)</f>
        <v>0</v>
      </c>
      <c r="Z19" s="9">
        <f>IFERROR(VLOOKUP(B19,cubo!$A$6:$BE$37,27,0)-VLOOKUP(B19,#REF!,$Z$2,0),0)</f>
        <v>0</v>
      </c>
      <c r="AA19" s="9">
        <f>IFERROR(VLOOKUP(B19,cubo!$A$6:$BE$37,28,0)-VLOOKUP(B19,#REF!,$AA$2,0),0)</f>
        <v>0</v>
      </c>
      <c r="AB19" s="9">
        <f>IFERROR(VLOOKUP(B19,cubo!$A$6:$BE$37,29,0)-VLOOKUP(B19,#REF!,$AB$2,0),0)</f>
        <v>0</v>
      </c>
      <c r="AC19" s="9">
        <f>IFERROR(VLOOKUP(B19,cubo!$A$6:$BE$37,30,0)-VLOOKUP(B19,#REF!,$AC$2,0),0)</f>
        <v>0</v>
      </c>
      <c r="AD19" s="9">
        <f>IFERROR(VLOOKUP(B19,cubo!$A$6:$BE$37,31,0)-VLOOKUP(B19,#REF!,$AD$2,0),0)</f>
        <v>0</v>
      </c>
      <c r="AE19" s="9">
        <f>IFERROR(VLOOKUP(B19,cubo!$A$6:$BE$37,35,0)-VLOOKUP(B19,#REF!,$AE$2,0),0)</f>
        <v>0</v>
      </c>
      <c r="AF19" s="9" cm="1">
        <f t="array" aca="1" ref="AF19" ca="1">IFERROR(rrPROCV(B19,cubo!$A$6:$BE$37,48,0)-VLOOKUP(B19,#REF!,$AF$2,0),0)</f>
        <v>0</v>
      </c>
      <c r="AG19" s="9">
        <f>IFERROR(VLOOKUP(B19,cubo!$A$6:$BE$37,49,0)-VLOOKUP(B19,#REF!,$AG$2,0),0)</f>
        <v>0</v>
      </c>
      <c r="AH19" s="9">
        <f>IFERROR(VLOOKUP(B19,cubo!$A$6:$BE$37,50,0)-VLOOKUP(B19,#REF!,$AH$2,0),0)</f>
        <v>0</v>
      </c>
      <c r="AI19" s="9">
        <f>IFERROR(VLOOKUP(B19,cubo!$A$6:$BE$37,51,0)-VLOOKUP(B19,#REF!,$AI$2,0),0)</f>
        <v>0</v>
      </c>
      <c r="AJ19" s="9">
        <f>IFERROR(VLOOKUP(B19,cubo!$A$6:$BI$116,62,0)-VLOOKUP(B19,#REF!,$AJ$2,0),0)</f>
        <v>0</v>
      </c>
      <c r="AK19" s="9">
        <f>IFERROR(VLOOKUP(B19,cubo!$A$6:$BJ$37,63,0)-VLOOKUP(B19,#REF!,$AK$2,0),0)</f>
        <v>0</v>
      </c>
      <c r="AL19" s="9">
        <f>IFERROR(VLOOKUP(B19,cubo!$A$6:$BE$37,58,0)-VLOOKUP(B19,#REF!,$AL$2,0),0)</f>
        <v>0</v>
      </c>
      <c r="AM19" s="9">
        <f>IFERROR(VLOOKUP(B19,cubo!$A$6:$BK$37,64,0)-VLOOKUP(B19,#REF!,$AM$2,0),0)</f>
        <v>0</v>
      </c>
      <c r="AN19" s="9">
        <f>IFERROR(VLOOKUP(B19,cubo!$A$6:$AN$37,41,0)-VLOOKUP(B19,#REF!,$AN$2,0),0)</f>
        <v>0</v>
      </c>
    </row>
    <row r="20" spans="2:40" x14ac:dyDescent="0.25">
      <c r="B20" s="7">
        <f>[1]salario!A19</f>
        <v>17</v>
      </c>
      <c r="C20" s="8" t="str">
        <f>[1]salario!C19</f>
        <v>Colaborador 17</v>
      </c>
      <c r="D20" s="9">
        <f>IFERROR(VLOOKUP(B20,cubo!$A$6:$BE$37,3,0)-VLOOKUP(B20,#REF!,$D$2,0),0)</f>
        <v>0</v>
      </c>
      <c r="E20" s="10">
        <f>IFERROR(VLOOKUP(B20,cubo!$A$6:$BE$37,5,0)-VLOOKUP(B20,#REF!,$E$2,0),0)</f>
        <v>0</v>
      </c>
      <c r="F20" s="10">
        <f>IFERROR(VLOOKUP(B20,cubo!$A$6:$BE$37,8,0)-VLOOKUP(B20,#REF!,$F$2,0),0)</f>
        <v>0</v>
      </c>
      <c r="G20" s="9">
        <f>IFERROR(VLOOKUP(B20,cubo!$A$6:$BE$37,11,0)-VLOOKUP(B20,#REF!,$G$2,0),0)</f>
        <v>0</v>
      </c>
      <c r="H20" s="9">
        <f>IFERROR(VLOOKUP(B20,cubo!$A$6:$BE$37,53,0)-VLOOKUP(B20,#REF!,$H$2,0),0)</f>
        <v>0</v>
      </c>
      <c r="I20" s="10">
        <f>IFERROR(VLOOKUP(B20,cubo!$A$6:$BE$37,14,0)-VLOOKUP(B20,#REF!,$I$2,0),0)</f>
        <v>0</v>
      </c>
      <c r="J20" s="9">
        <f>IFERROR(VLOOKUP(B20,cubo!$A$6:$BE$37,16,0)-VLOOKUP(B20,#REF!,$J$2,0),0)</f>
        <v>0</v>
      </c>
      <c r="K20" s="9">
        <f>IFERROR(VLOOKUP(B20,cubo!$A$6:$BE$37,17,0)-VLOOKUP(B20,#REF!,$K$2,0),0)</f>
        <v>0</v>
      </c>
      <c r="L20" s="9">
        <f>IFERROR(VLOOKUP(B20,cubo!$A$6:$BE$37,19,0)-VLOOKUP(B20,#REF!,$L$2,0),0)</f>
        <v>0</v>
      </c>
      <c r="M20" s="9">
        <f>IFERROR(VLOOKUP(B20,cubo!$A$6:$BE$37,23,0)-VLOOKUP(B20,#REF!,$M$2,0),0)</f>
        <v>0</v>
      </c>
      <c r="N20" s="9">
        <f>IFERROR(VLOOKUP(B20,cubo!$A$6:$BE$37,25,0)-VLOOKUP(B20,#REF!,$N$2,0),0)</f>
        <v>0</v>
      </c>
      <c r="O20" s="9">
        <f>IFERROR(VLOOKUP(B20,cubo!$A$6:$BE$37,33,0)-VLOOKUP(B20,#REF!,$O$2,0),0)</f>
        <v>0</v>
      </c>
      <c r="P20" s="8">
        <f>IFERROR(VLOOKUP(B20,cubo!$A$6:$BE$37,37,0)-VLOOKUP(B20,#REF!,$P$2,0),0)</f>
        <v>0</v>
      </c>
      <c r="Q20" s="8">
        <f>IFERROR(VLOOKUP(B20,cubo!$A$6:$BE$37,56,0)-VLOOKUP(B20,#REF!,$Q$2,0),0)</f>
        <v>0</v>
      </c>
      <c r="R20" s="9">
        <f>IFERROR(VLOOKUP(B20,cubo!$A$6:$BE$37,40,0)-VLOOKUP(B20,#REF!,$R$2,0),0)</f>
        <v>0</v>
      </c>
      <c r="S20" s="9">
        <f>IFERROR(VLOOKUP(B20,cubo!$A$6:$BE$37,43,0)-VLOOKUP(B20,#REF!,$S$2,0),0)</f>
        <v>0</v>
      </c>
      <c r="T20" s="9">
        <f>IFERROR(VLOOKUP(B20,cubo!$A$6:$BE$37,46,0)-VLOOKUP(B20,#REF!,$T$2,0),0)</f>
        <v>0</v>
      </c>
      <c r="U20" s="9">
        <f>IFERROR(VLOOKUP(B20,cubo!$A$6:$BE$37,51,0)-VLOOKUP(B20,#REF!,$U$2,0),0)</f>
        <v>0</v>
      </c>
      <c r="V20" s="9">
        <f>IFERROR(VLOOKUP(B20,cubo!$A$6:$BJ$37,60,0)-VLOOKUP(B20,#REF!,$V$2,0),0)</f>
        <v>0</v>
      </c>
      <c r="W20" s="9">
        <f>IFERROR(VLOOKUP(B20,cubo!$A$6:$BE$37,26,0)-VLOOKUP(B20,#REF!,$W$2,0),0)</f>
        <v>0</v>
      </c>
      <c r="X20" s="9">
        <f>IFERROR(VLOOKUP(B20,cubo!$A$6:$BE$37,20,0)-VLOOKUP(B20,#REF!,$X$2,0),0)</f>
        <v>0</v>
      </c>
      <c r="Y20" s="9">
        <f>IFERROR(VLOOKUP(B20,cubo!$A$6:$BE$37,21,0)-VLOOKUP(B20,#REF!,$Y$2,0),0)</f>
        <v>0</v>
      </c>
      <c r="Z20" s="9">
        <f>IFERROR(VLOOKUP(B20,cubo!$A$6:$BE$37,27,0)-VLOOKUP(B20,#REF!,$Z$2,0),0)</f>
        <v>0</v>
      </c>
      <c r="AA20" s="9">
        <f>IFERROR(VLOOKUP(B20,cubo!$A$6:$BE$37,28,0)-VLOOKUP(B20,#REF!,$AA$2,0),0)</f>
        <v>0</v>
      </c>
      <c r="AB20" s="9">
        <f>IFERROR(VLOOKUP(B20,cubo!$A$6:$BE$37,29,0)-VLOOKUP(B20,#REF!,$AB$2,0),0)</f>
        <v>0</v>
      </c>
      <c r="AC20" s="9">
        <f>IFERROR(VLOOKUP(B20,cubo!$A$6:$BE$37,30,0)-VLOOKUP(B20,#REF!,$AC$2,0),0)</f>
        <v>0</v>
      </c>
      <c r="AD20" s="9">
        <f>IFERROR(VLOOKUP(B20,cubo!$A$6:$BE$37,31,0)-VLOOKUP(B20,#REF!,$AD$2,0),0)</f>
        <v>0</v>
      </c>
      <c r="AE20" s="9">
        <f>IFERROR(VLOOKUP(B20,cubo!$A$6:$BE$37,35,0)-VLOOKUP(B20,#REF!,$AE$2,0),0)</f>
        <v>0</v>
      </c>
      <c r="AF20" s="9" cm="1">
        <f t="array" aca="1" ref="AF20" ca="1">IFERROR(rrPROCV(B20,cubo!$A$6:$BE$37,48,0)-VLOOKUP(B20,#REF!,$AF$2,0),0)</f>
        <v>0</v>
      </c>
      <c r="AG20" s="9">
        <f>IFERROR(VLOOKUP(B20,cubo!$A$6:$BE$37,49,0)-VLOOKUP(B20,#REF!,$AG$2,0),0)</f>
        <v>0</v>
      </c>
      <c r="AH20" s="9">
        <f>IFERROR(VLOOKUP(B20,cubo!$A$6:$BE$37,50,0)-VLOOKUP(B20,#REF!,$AH$2,0),0)</f>
        <v>0</v>
      </c>
      <c r="AI20" s="9">
        <f>IFERROR(VLOOKUP(B20,cubo!$A$6:$BE$37,51,0)-VLOOKUP(B20,#REF!,$AI$2,0),0)</f>
        <v>0</v>
      </c>
      <c r="AJ20" s="9">
        <f>IFERROR(VLOOKUP(B20,cubo!$A$6:$BI$116,62,0)-VLOOKUP(B20,#REF!,$AJ$2,0),0)</f>
        <v>0</v>
      </c>
      <c r="AK20" s="9">
        <f>IFERROR(VLOOKUP(B20,cubo!$A$6:$BJ$37,63,0)-VLOOKUP(B20,#REF!,$AK$2,0),0)</f>
        <v>0</v>
      </c>
      <c r="AL20" s="9">
        <f>IFERROR(VLOOKUP(B20,cubo!$A$6:$BE$37,58,0)-VLOOKUP(B20,#REF!,$AL$2,0),0)</f>
        <v>0</v>
      </c>
      <c r="AM20" s="9">
        <f>IFERROR(VLOOKUP(B20,cubo!$A$6:$BK$37,64,0)-VLOOKUP(B20,#REF!,$AM$2,0),0)</f>
        <v>0</v>
      </c>
      <c r="AN20" s="9">
        <f>IFERROR(VLOOKUP(B20,cubo!$A$6:$AN$37,41,0)-VLOOKUP(B20,#REF!,$AN$2,0),0)</f>
        <v>0</v>
      </c>
    </row>
    <row r="21" spans="2:40" x14ac:dyDescent="0.25">
      <c r="B21" s="7">
        <f>[1]salario!A20</f>
        <v>18</v>
      </c>
      <c r="C21" s="8" t="str">
        <f>[1]salario!C20</f>
        <v>Colaborador 18</v>
      </c>
      <c r="D21" s="9">
        <f>IFERROR(VLOOKUP(B21,cubo!$A$6:$BE$37,3,0)-VLOOKUP(B21,#REF!,$D$2,0),0)</f>
        <v>0</v>
      </c>
      <c r="E21" s="10">
        <f>IFERROR(VLOOKUP(B21,cubo!$A$6:$BE$37,5,0)-VLOOKUP(B21,#REF!,$E$2,0),0)</f>
        <v>0</v>
      </c>
      <c r="F21" s="10">
        <f>IFERROR(VLOOKUP(B21,cubo!$A$6:$BE$37,8,0)-VLOOKUP(B21,#REF!,$F$2,0),0)</f>
        <v>0</v>
      </c>
      <c r="G21" s="9">
        <f>IFERROR(VLOOKUP(B21,cubo!$A$6:$BE$37,11,0)-VLOOKUP(B21,#REF!,$G$2,0),0)</f>
        <v>0</v>
      </c>
      <c r="H21" s="9">
        <f>IFERROR(VLOOKUP(B21,cubo!$A$6:$BE$37,53,0)-VLOOKUP(B21,#REF!,$H$2,0),0)</f>
        <v>0</v>
      </c>
      <c r="I21" s="10">
        <f>IFERROR(VLOOKUP(B21,cubo!$A$6:$BE$37,14,0)-VLOOKUP(B21,#REF!,$I$2,0),0)</f>
        <v>0</v>
      </c>
      <c r="J21" s="9">
        <f>IFERROR(VLOOKUP(B21,cubo!$A$6:$BE$37,16,0)-VLOOKUP(B21,#REF!,$J$2,0),0)</f>
        <v>0</v>
      </c>
      <c r="K21" s="9">
        <f>IFERROR(VLOOKUP(B21,cubo!$A$6:$BE$37,17,0)-VLOOKUP(B21,#REF!,$K$2,0),0)</f>
        <v>0</v>
      </c>
      <c r="L21" s="9">
        <f>IFERROR(VLOOKUP(B21,cubo!$A$6:$BE$37,19,0)-VLOOKUP(B21,#REF!,$L$2,0),0)</f>
        <v>0</v>
      </c>
      <c r="M21" s="9">
        <f>IFERROR(VLOOKUP(B21,cubo!$A$6:$BE$37,23,0)-VLOOKUP(B21,#REF!,$M$2,0),0)</f>
        <v>0</v>
      </c>
      <c r="N21" s="9">
        <f>IFERROR(VLOOKUP(B21,cubo!$A$6:$BE$37,25,0)-VLOOKUP(B21,#REF!,$N$2,0),0)</f>
        <v>0</v>
      </c>
      <c r="O21" s="9">
        <f>IFERROR(VLOOKUP(B21,cubo!$A$6:$BE$37,33,0)-VLOOKUP(B21,#REF!,$O$2,0),0)</f>
        <v>0</v>
      </c>
      <c r="P21" s="8">
        <f>IFERROR(VLOOKUP(B21,cubo!$A$6:$BE$37,37,0)-VLOOKUP(B21,#REF!,$P$2,0),0)</f>
        <v>0</v>
      </c>
      <c r="Q21" s="8">
        <f>IFERROR(VLOOKUP(B21,cubo!$A$6:$BE$37,56,0)-VLOOKUP(B21,#REF!,$Q$2,0),0)</f>
        <v>0</v>
      </c>
      <c r="R21" s="9">
        <f>IFERROR(VLOOKUP(B21,cubo!$A$6:$BE$37,40,0)-VLOOKUP(B21,#REF!,$R$2,0),0)</f>
        <v>0</v>
      </c>
      <c r="S21" s="9">
        <f>IFERROR(VLOOKUP(B21,cubo!$A$6:$BE$37,43,0)-VLOOKUP(B21,#REF!,$S$2,0),0)</f>
        <v>0</v>
      </c>
      <c r="T21" s="9">
        <f>IFERROR(VLOOKUP(B21,cubo!$A$6:$BE$37,46,0)-VLOOKUP(B21,#REF!,$T$2,0),0)</f>
        <v>0</v>
      </c>
      <c r="U21" s="9">
        <f>IFERROR(VLOOKUP(B21,cubo!$A$6:$BE$37,51,0)-VLOOKUP(B21,#REF!,$U$2,0),0)</f>
        <v>0</v>
      </c>
      <c r="V21" s="9">
        <f>IFERROR(VLOOKUP(B21,cubo!$A$6:$BJ$37,60,0)-VLOOKUP(B21,#REF!,$V$2,0),0)</f>
        <v>0</v>
      </c>
      <c r="W21" s="9">
        <f>IFERROR(VLOOKUP(B21,cubo!$A$6:$BE$37,26,0)-VLOOKUP(B21,#REF!,$W$2,0),0)</f>
        <v>0</v>
      </c>
      <c r="X21" s="9">
        <f>IFERROR(VLOOKUP(B21,cubo!$A$6:$BE$37,20,0)-VLOOKUP(B21,#REF!,$X$2,0),0)</f>
        <v>0</v>
      </c>
      <c r="Y21" s="9">
        <f>IFERROR(VLOOKUP(B21,cubo!$A$6:$BE$37,21,0)-VLOOKUP(B21,#REF!,$Y$2,0),0)</f>
        <v>0</v>
      </c>
      <c r="Z21" s="9">
        <f>IFERROR(VLOOKUP(B21,cubo!$A$6:$BE$37,27,0)-VLOOKUP(B21,#REF!,$Z$2,0),0)</f>
        <v>0</v>
      </c>
      <c r="AA21" s="9">
        <f>IFERROR(VLOOKUP(B21,cubo!$A$6:$BE$37,28,0)-VLOOKUP(B21,#REF!,$AA$2,0),0)</f>
        <v>0</v>
      </c>
      <c r="AB21" s="9">
        <f>IFERROR(VLOOKUP(B21,cubo!$A$6:$BE$37,29,0)-VLOOKUP(B21,#REF!,$AB$2,0),0)</f>
        <v>0</v>
      </c>
      <c r="AC21" s="9">
        <f>IFERROR(VLOOKUP(B21,cubo!$A$6:$BE$37,30,0)-VLOOKUP(B21,#REF!,$AC$2,0),0)</f>
        <v>0</v>
      </c>
      <c r="AD21" s="9">
        <f>IFERROR(VLOOKUP(B21,cubo!$A$6:$BE$37,31,0)-VLOOKUP(B21,#REF!,$AD$2,0),0)</f>
        <v>0</v>
      </c>
      <c r="AE21" s="9">
        <f>IFERROR(VLOOKUP(B21,cubo!$A$6:$BE$37,35,0)-VLOOKUP(B21,#REF!,$AE$2,0),0)</f>
        <v>0</v>
      </c>
      <c r="AF21" s="9" cm="1">
        <f t="array" aca="1" ref="AF21" ca="1">IFERROR(rrPROCV(B21,cubo!$A$6:$BE$37,48,0)-VLOOKUP(B21,#REF!,$AF$2,0),0)</f>
        <v>0</v>
      </c>
      <c r="AG21" s="9">
        <f>IFERROR(VLOOKUP(B21,cubo!$A$6:$BE$37,49,0)-VLOOKUP(B21,#REF!,$AG$2,0),0)</f>
        <v>0</v>
      </c>
      <c r="AH21" s="9">
        <f>IFERROR(VLOOKUP(B21,cubo!$A$6:$BE$37,50,0)-VLOOKUP(B21,#REF!,$AH$2,0),0)</f>
        <v>0</v>
      </c>
      <c r="AI21" s="9">
        <f>IFERROR(VLOOKUP(B21,cubo!$A$6:$BE$37,51,0)-VLOOKUP(B21,#REF!,$AI$2,0),0)</f>
        <v>0</v>
      </c>
      <c r="AJ21" s="9">
        <f>IFERROR(VLOOKUP(B21,cubo!$A$6:$BI$116,62,0)-VLOOKUP(B21,#REF!,$AJ$2,0),0)</f>
        <v>0</v>
      </c>
      <c r="AK21" s="9">
        <f>IFERROR(VLOOKUP(B21,cubo!$A$6:$BJ$37,63,0)-VLOOKUP(B21,#REF!,$AK$2,0),0)</f>
        <v>0</v>
      </c>
      <c r="AL21" s="9">
        <f>IFERROR(VLOOKUP(B21,cubo!$A$6:$BE$37,58,0)-VLOOKUP(B21,#REF!,$AL$2,0),0)</f>
        <v>0</v>
      </c>
      <c r="AM21" s="9">
        <f>IFERROR(VLOOKUP(B21,cubo!$A$6:$BK$37,64,0)-VLOOKUP(B21,#REF!,$AM$2,0),0)</f>
        <v>0</v>
      </c>
      <c r="AN21" s="9">
        <f>IFERROR(VLOOKUP(B21,cubo!$A$6:$AN$37,41,0)-VLOOKUP(B21,#REF!,$AN$2,0),0)</f>
        <v>0</v>
      </c>
    </row>
    <row r="22" spans="2:40" x14ac:dyDescent="0.25">
      <c r="B22" s="7">
        <f>[1]salario!A21</f>
        <v>19</v>
      </c>
      <c r="C22" s="8" t="str">
        <f>[1]salario!C21</f>
        <v>Colaborador 19</v>
      </c>
      <c r="D22" s="9">
        <f>IFERROR(VLOOKUP(B22,cubo!$A$6:$BE$37,3,0)-VLOOKUP(B22,#REF!,$D$2,0),0)</f>
        <v>0</v>
      </c>
      <c r="E22" s="10">
        <f>IFERROR(VLOOKUP(B22,cubo!$A$6:$BE$37,5,0)-VLOOKUP(B22,#REF!,$E$2,0),0)</f>
        <v>0</v>
      </c>
      <c r="F22" s="10">
        <f>IFERROR(VLOOKUP(B22,cubo!$A$6:$BE$37,8,0)-VLOOKUP(B22,#REF!,$F$2,0),0)</f>
        <v>0</v>
      </c>
      <c r="G22" s="9">
        <f>IFERROR(VLOOKUP(B22,cubo!$A$6:$BE$37,11,0)-VLOOKUP(B22,#REF!,$G$2,0),0)</f>
        <v>0</v>
      </c>
      <c r="H22" s="9">
        <f>IFERROR(VLOOKUP(B22,cubo!$A$6:$BE$37,53,0)-VLOOKUP(B22,#REF!,$H$2,0),0)</f>
        <v>0</v>
      </c>
      <c r="I22" s="10">
        <f>IFERROR(VLOOKUP(B22,cubo!$A$6:$BE$37,14,0)-VLOOKUP(B22,#REF!,$I$2,0),0)</f>
        <v>0</v>
      </c>
      <c r="J22" s="9">
        <f>IFERROR(VLOOKUP(B22,cubo!$A$6:$BE$37,16,0)-VLOOKUP(B22,#REF!,$J$2,0),0)</f>
        <v>0</v>
      </c>
      <c r="K22" s="9">
        <f>IFERROR(VLOOKUP(B22,cubo!$A$6:$BE$37,17,0)-VLOOKUP(B22,#REF!,$K$2,0),0)</f>
        <v>0</v>
      </c>
      <c r="L22" s="9">
        <f>IFERROR(VLOOKUP(B22,cubo!$A$6:$BE$37,19,0)-VLOOKUP(B22,#REF!,$L$2,0),0)</f>
        <v>0</v>
      </c>
      <c r="M22" s="9">
        <f>IFERROR(VLOOKUP(B22,cubo!$A$6:$BE$37,23,0)-VLOOKUP(B22,#REF!,$M$2,0),0)</f>
        <v>0</v>
      </c>
      <c r="N22" s="9">
        <f>IFERROR(VLOOKUP(B22,cubo!$A$6:$BE$37,25,0)-VLOOKUP(B22,#REF!,$N$2,0),0)</f>
        <v>0</v>
      </c>
      <c r="O22" s="9">
        <f>IFERROR(VLOOKUP(B22,cubo!$A$6:$BE$37,33,0)-VLOOKUP(B22,#REF!,$O$2,0),0)</f>
        <v>0</v>
      </c>
      <c r="P22" s="8">
        <f>IFERROR(VLOOKUP(B22,cubo!$A$6:$BE$37,37,0)-VLOOKUP(B22,#REF!,$P$2,0),0)</f>
        <v>0</v>
      </c>
      <c r="Q22" s="8">
        <f>IFERROR(VLOOKUP(B22,cubo!$A$6:$BE$37,56,0)-VLOOKUP(B22,#REF!,$Q$2,0),0)</f>
        <v>0</v>
      </c>
      <c r="R22" s="9">
        <f>IFERROR(VLOOKUP(B22,cubo!$A$6:$BE$37,40,0)-VLOOKUP(B22,#REF!,$R$2,0),0)</f>
        <v>0</v>
      </c>
      <c r="S22" s="9">
        <f>IFERROR(VLOOKUP(B22,cubo!$A$6:$BE$37,43,0)-VLOOKUP(B22,#REF!,$S$2,0),0)</f>
        <v>0</v>
      </c>
      <c r="T22" s="9">
        <f>IFERROR(VLOOKUP(B22,cubo!$A$6:$BE$37,46,0)-VLOOKUP(B22,#REF!,$T$2,0),0)</f>
        <v>0</v>
      </c>
      <c r="U22" s="9">
        <f>IFERROR(VLOOKUP(B22,cubo!$A$6:$BE$37,51,0)-VLOOKUP(B22,#REF!,$U$2,0),0)</f>
        <v>0</v>
      </c>
      <c r="V22" s="9">
        <f>IFERROR(VLOOKUP(B22,cubo!$A$6:$BJ$37,60,0)-VLOOKUP(B22,#REF!,$V$2,0),0)</f>
        <v>0</v>
      </c>
      <c r="W22" s="9">
        <f>IFERROR(VLOOKUP(B22,cubo!$A$6:$BE$37,26,0)-VLOOKUP(B22,#REF!,$W$2,0),0)</f>
        <v>0</v>
      </c>
      <c r="X22" s="9">
        <f>IFERROR(VLOOKUP(B22,cubo!$A$6:$BE$37,20,0)-VLOOKUP(B22,#REF!,$X$2,0),0)</f>
        <v>0</v>
      </c>
      <c r="Y22" s="9">
        <f>IFERROR(VLOOKUP(B22,cubo!$A$6:$BE$37,21,0)-VLOOKUP(B22,#REF!,$Y$2,0),0)</f>
        <v>0</v>
      </c>
      <c r="Z22" s="9">
        <f>IFERROR(VLOOKUP(B22,cubo!$A$6:$BE$37,27,0)-VLOOKUP(B22,#REF!,$Z$2,0),0)</f>
        <v>0</v>
      </c>
      <c r="AA22" s="9">
        <f>IFERROR(VLOOKUP(B22,cubo!$A$6:$BE$37,28,0)-VLOOKUP(B22,#REF!,$AA$2,0),0)</f>
        <v>0</v>
      </c>
      <c r="AB22" s="9">
        <f>IFERROR(VLOOKUP(B22,cubo!$A$6:$BE$37,29,0)-VLOOKUP(B22,#REF!,$AB$2,0),0)</f>
        <v>0</v>
      </c>
      <c r="AC22" s="9">
        <f>IFERROR(VLOOKUP(B22,cubo!$A$6:$BE$37,30,0)-VLOOKUP(B22,#REF!,$AC$2,0),0)</f>
        <v>0</v>
      </c>
      <c r="AD22" s="9">
        <f>IFERROR(VLOOKUP(B22,cubo!$A$6:$BE$37,31,0)-VLOOKUP(B22,#REF!,$AD$2,0),0)</f>
        <v>0</v>
      </c>
      <c r="AE22" s="9">
        <f>IFERROR(VLOOKUP(B22,cubo!$A$6:$BE$37,35,0)-VLOOKUP(B22,#REF!,$AE$2,0),0)</f>
        <v>0</v>
      </c>
      <c r="AF22" s="9" cm="1">
        <f t="array" aca="1" ref="AF22" ca="1">IFERROR(rrPROCV(B22,cubo!$A$6:$BE$37,48,0)-VLOOKUP(B22,#REF!,$AF$2,0),0)</f>
        <v>0</v>
      </c>
      <c r="AG22" s="9">
        <f>IFERROR(VLOOKUP(B22,cubo!$A$6:$BE$37,49,0)-VLOOKUP(B22,#REF!,$AG$2,0),0)</f>
        <v>0</v>
      </c>
      <c r="AH22" s="9">
        <f>IFERROR(VLOOKUP(B22,cubo!$A$6:$BE$37,50,0)-VLOOKUP(B22,#REF!,$AH$2,0),0)</f>
        <v>0</v>
      </c>
      <c r="AI22" s="9">
        <f>IFERROR(VLOOKUP(B22,cubo!$A$6:$BE$37,51,0)-VLOOKUP(B22,#REF!,$AI$2,0),0)</f>
        <v>0</v>
      </c>
      <c r="AJ22" s="9">
        <f>IFERROR(VLOOKUP(B22,cubo!$A$6:$BI$116,62,0)-VLOOKUP(B22,#REF!,$AJ$2,0),0)</f>
        <v>0</v>
      </c>
      <c r="AK22" s="9">
        <f>IFERROR(VLOOKUP(B22,cubo!$A$6:$BJ$37,63,0)-VLOOKUP(B22,#REF!,$AK$2,0),0)</f>
        <v>0</v>
      </c>
      <c r="AL22" s="9">
        <f>IFERROR(VLOOKUP(B22,cubo!$A$6:$BE$37,58,0)-VLOOKUP(B22,#REF!,$AL$2,0),0)</f>
        <v>0</v>
      </c>
      <c r="AM22" s="9">
        <f>IFERROR(VLOOKUP(B22,cubo!$A$6:$BK$37,64,0)-VLOOKUP(B22,#REF!,$AM$2,0),0)</f>
        <v>0</v>
      </c>
      <c r="AN22" s="9">
        <f>IFERROR(VLOOKUP(B22,cubo!$A$6:$AN$37,41,0)-VLOOKUP(B22,#REF!,$AN$2,0),0)</f>
        <v>0</v>
      </c>
    </row>
    <row r="23" spans="2:40" x14ac:dyDescent="0.25">
      <c r="B23" s="7">
        <f>[1]salario!A22</f>
        <v>20</v>
      </c>
      <c r="C23" s="8" t="str">
        <f>[1]salario!C22</f>
        <v>Colaborador 20</v>
      </c>
      <c r="D23" s="9">
        <f>IFERROR(VLOOKUP(B23,cubo!$A$6:$BE$37,3,0)-VLOOKUP(B23,#REF!,$D$2,0),0)</f>
        <v>0</v>
      </c>
      <c r="E23" s="10">
        <f>IFERROR(VLOOKUP(B23,cubo!$A$6:$BE$37,5,0)-VLOOKUP(B23,#REF!,$E$2,0),0)</f>
        <v>0</v>
      </c>
      <c r="F23" s="10">
        <f>IFERROR(VLOOKUP(B23,cubo!$A$6:$BE$37,8,0)-VLOOKUP(B23,#REF!,$F$2,0),0)</f>
        <v>0</v>
      </c>
      <c r="G23" s="9">
        <f>IFERROR(VLOOKUP(B23,cubo!$A$6:$BE$37,11,0)-VLOOKUP(B23,#REF!,$G$2,0),0)</f>
        <v>0</v>
      </c>
      <c r="H23" s="9">
        <f>IFERROR(VLOOKUP(B23,cubo!$A$6:$BE$37,53,0)-VLOOKUP(B23,#REF!,$H$2,0),0)</f>
        <v>0</v>
      </c>
      <c r="I23" s="10">
        <f>IFERROR(VLOOKUP(B23,cubo!$A$6:$BE$37,14,0)-VLOOKUP(B23,#REF!,$I$2,0),0)</f>
        <v>0</v>
      </c>
      <c r="J23" s="9">
        <f>IFERROR(VLOOKUP(B23,cubo!$A$6:$BE$37,16,0)-VLOOKUP(B23,#REF!,$J$2,0),0)</f>
        <v>0</v>
      </c>
      <c r="K23" s="9">
        <f>IFERROR(VLOOKUP(B23,cubo!$A$6:$BE$37,17,0)-VLOOKUP(B23,#REF!,$K$2,0),0)</f>
        <v>0</v>
      </c>
      <c r="L23" s="9">
        <f>IFERROR(VLOOKUP(B23,cubo!$A$6:$BE$37,19,0)-VLOOKUP(B23,#REF!,$L$2,0),0)</f>
        <v>0</v>
      </c>
      <c r="M23" s="9">
        <f>IFERROR(VLOOKUP(B23,cubo!$A$6:$BE$37,23,0)-VLOOKUP(B23,#REF!,$M$2,0),0)</f>
        <v>0</v>
      </c>
      <c r="N23" s="9">
        <f>IFERROR(VLOOKUP(B23,cubo!$A$6:$BE$37,25,0)-VLOOKUP(B23,#REF!,$N$2,0),0)</f>
        <v>0</v>
      </c>
      <c r="O23" s="9">
        <f>IFERROR(VLOOKUP(B23,cubo!$A$6:$BE$37,33,0)-VLOOKUP(B23,#REF!,$O$2,0),0)</f>
        <v>0</v>
      </c>
      <c r="P23" s="8">
        <f>IFERROR(VLOOKUP(B23,cubo!$A$6:$BE$37,37,0)-VLOOKUP(B23,#REF!,$P$2,0),0)</f>
        <v>0</v>
      </c>
      <c r="Q23" s="8">
        <f>IFERROR(VLOOKUP(B23,cubo!$A$6:$BE$37,56,0)-VLOOKUP(B23,#REF!,$Q$2,0),0)</f>
        <v>0</v>
      </c>
      <c r="R23" s="9">
        <f>IFERROR(VLOOKUP(B23,cubo!$A$6:$BE$37,40,0)-VLOOKUP(B23,#REF!,$R$2,0),0)</f>
        <v>0</v>
      </c>
      <c r="S23" s="9">
        <f>IFERROR(VLOOKUP(B23,cubo!$A$6:$BE$37,43,0)-VLOOKUP(B23,#REF!,$S$2,0),0)</f>
        <v>0</v>
      </c>
      <c r="T23" s="9">
        <f>IFERROR(VLOOKUP(B23,cubo!$A$6:$BE$37,46,0)-VLOOKUP(B23,#REF!,$T$2,0),0)</f>
        <v>0</v>
      </c>
      <c r="U23" s="9">
        <f>IFERROR(VLOOKUP(B23,cubo!$A$6:$BE$37,51,0)-VLOOKUP(B23,#REF!,$U$2,0),0)</f>
        <v>0</v>
      </c>
      <c r="V23" s="9">
        <f>IFERROR(VLOOKUP(B23,cubo!$A$6:$BJ$37,60,0)-VLOOKUP(B23,#REF!,$V$2,0),0)</f>
        <v>0</v>
      </c>
      <c r="W23" s="9">
        <f>IFERROR(VLOOKUP(B23,cubo!$A$6:$BE$37,26,0)-VLOOKUP(B23,#REF!,$W$2,0),0)</f>
        <v>0</v>
      </c>
      <c r="X23" s="9">
        <f>IFERROR(VLOOKUP(B23,cubo!$A$6:$BE$37,20,0)-VLOOKUP(B23,#REF!,$X$2,0),0)</f>
        <v>0</v>
      </c>
      <c r="Y23" s="9">
        <f>IFERROR(VLOOKUP(B23,cubo!$A$6:$BE$37,21,0)-VLOOKUP(B23,#REF!,$Y$2,0),0)</f>
        <v>0</v>
      </c>
      <c r="Z23" s="9">
        <f>IFERROR(VLOOKUP(B23,cubo!$A$6:$BE$37,27,0)-VLOOKUP(B23,#REF!,$Z$2,0),0)</f>
        <v>0</v>
      </c>
      <c r="AA23" s="9">
        <f>IFERROR(VLOOKUP(B23,cubo!$A$6:$BE$37,28,0)-VLOOKUP(B23,#REF!,$AA$2,0),0)</f>
        <v>0</v>
      </c>
      <c r="AB23" s="9">
        <f>IFERROR(VLOOKUP(B23,cubo!$A$6:$BE$37,29,0)-VLOOKUP(B23,#REF!,$AB$2,0),0)</f>
        <v>0</v>
      </c>
      <c r="AC23" s="9">
        <f>IFERROR(VLOOKUP(B23,cubo!$A$6:$BE$37,30,0)-VLOOKUP(B23,#REF!,$AC$2,0),0)</f>
        <v>0</v>
      </c>
      <c r="AD23" s="9">
        <f>IFERROR(VLOOKUP(B23,cubo!$A$6:$BE$37,31,0)-VLOOKUP(B23,#REF!,$AD$2,0),0)</f>
        <v>0</v>
      </c>
      <c r="AE23" s="9">
        <f>IFERROR(VLOOKUP(B23,cubo!$A$6:$BE$37,35,0)-VLOOKUP(B23,#REF!,$AE$2,0),0)</f>
        <v>0</v>
      </c>
      <c r="AF23" s="9" cm="1">
        <f t="array" aca="1" ref="AF23" ca="1">IFERROR(rrPROCV(B23,cubo!$A$6:$BE$37,48,0)-VLOOKUP(B23,#REF!,$AF$2,0),0)</f>
        <v>0</v>
      </c>
      <c r="AG23" s="9">
        <f>IFERROR(VLOOKUP(B23,cubo!$A$6:$BE$37,49,0)-VLOOKUP(B23,#REF!,$AG$2,0),0)</f>
        <v>0</v>
      </c>
      <c r="AH23" s="9">
        <f>IFERROR(VLOOKUP(B23,cubo!$A$6:$BE$37,50,0)-VLOOKUP(B23,#REF!,$AH$2,0),0)</f>
        <v>0</v>
      </c>
      <c r="AI23" s="9">
        <f>IFERROR(VLOOKUP(B23,cubo!$A$6:$BE$37,51,0)-VLOOKUP(B23,#REF!,$AI$2,0),0)</f>
        <v>0</v>
      </c>
      <c r="AJ23" s="9">
        <f>IFERROR(VLOOKUP(B23,cubo!$A$6:$BI$116,62,0)-VLOOKUP(B23,#REF!,$AJ$2,0),0)</f>
        <v>0</v>
      </c>
      <c r="AK23" s="9">
        <f>IFERROR(VLOOKUP(B23,cubo!$A$6:$BJ$37,63,0)-VLOOKUP(B23,#REF!,$AK$2,0),0)</f>
        <v>0</v>
      </c>
      <c r="AL23" s="9">
        <f>IFERROR(VLOOKUP(B23,cubo!$A$6:$BE$37,58,0)-VLOOKUP(B23,#REF!,$AL$2,0),0)</f>
        <v>0</v>
      </c>
      <c r="AM23" s="9">
        <f>IFERROR(VLOOKUP(B23,cubo!$A$6:$BK$37,64,0)-VLOOKUP(B23,#REF!,$AM$2,0),0)</f>
        <v>0</v>
      </c>
      <c r="AN23" s="9">
        <f>IFERROR(VLOOKUP(B23,cubo!$A$6:$AN$37,41,0)-VLOOKUP(B23,#REF!,$AN$2,0),0)</f>
        <v>0</v>
      </c>
    </row>
    <row r="24" spans="2:40" x14ac:dyDescent="0.25">
      <c r="B24" s="7">
        <f>[1]salario!A23</f>
        <v>21</v>
      </c>
      <c r="C24" s="8" t="str">
        <f>[1]salario!C23</f>
        <v>Colaborador 21</v>
      </c>
      <c r="D24" s="9">
        <f>IFERROR(VLOOKUP(B24,cubo!$A$6:$BE$37,3,0)-VLOOKUP(B24,#REF!,$D$2,0),0)</f>
        <v>0</v>
      </c>
      <c r="E24" s="10">
        <f>IFERROR(VLOOKUP(B24,cubo!$A$6:$BE$37,5,0)-VLOOKUP(B24,#REF!,$E$2,0),0)</f>
        <v>0</v>
      </c>
      <c r="F24" s="10">
        <f>IFERROR(VLOOKUP(B24,cubo!$A$6:$BE$37,8,0)-VLOOKUP(B24,#REF!,$F$2,0),0)</f>
        <v>0</v>
      </c>
      <c r="G24" s="9">
        <f>IFERROR(VLOOKUP(B24,cubo!$A$6:$BE$37,11,0)-VLOOKUP(B24,#REF!,$G$2,0),0)</f>
        <v>0</v>
      </c>
      <c r="H24" s="9">
        <f>IFERROR(VLOOKUP(B24,cubo!$A$6:$BE$37,53,0)-VLOOKUP(B24,#REF!,$H$2,0),0)</f>
        <v>0</v>
      </c>
      <c r="I24" s="10">
        <f>IFERROR(VLOOKUP(B24,cubo!$A$6:$BE$37,14,0)-VLOOKUP(B24,#REF!,$I$2,0),0)</f>
        <v>0</v>
      </c>
      <c r="J24" s="9">
        <f>IFERROR(VLOOKUP(B24,cubo!$A$6:$BE$37,16,0)-VLOOKUP(B24,#REF!,$J$2,0),0)</f>
        <v>0</v>
      </c>
      <c r="K24" s="9">
        <f>IFERROR(VLOOKUP(B24,cubo!$A$6:$BE$37,17,0)-VLOOKUP(B24,#REF!,$K$2,0),0)</f>
        <v>0</v>
      </c>
      <c r="L24" s="9">
        <f>IFERROR(VLOOKUP(B24,cubo!$A$6:$BE$37,19,0)-VLOOKUP(B24,#REF!,$L$2,0),0)</f>
        <v>0</v>
      </c>
      <c r="M24" s="9">
        <f>IFERROR(VLOOKUP(B24,cubo!$A$6:$BE$37,23,0)-VLOOKUP(B24,#REF!,$M$2,0),0)</f>
        <v>0</v>
      </c>
      <c r="N24" s="9">
        <f>IFERROR(VLOOKUP(B24,cubo!$A$6:$BE$37,25,0)-VLOOKUP(B24,#REF!,$N$2,0),0)</f>
        <v>0</v>
      </c>
      <c r="O24" s="9">
        <f>IFERROR(VLOOKUP(B24,cubo!$A$6:$BE$37,33,0)-VLOOKUP(B24,#REF!,$O$2,0),0)</f>
        <v>0</v>
      </c>
      <c r="P24" s="8">
        <f>IFERROR(VLOOKUP(B24,cubo!$A$6:$BE$37,37,0)-VLOOKUP(B24,#REF!,$P$2,0),0)</f>
        <v>0</v>
      </c>
      <c r="Q24" s="8">
        <f>IFERROR(VLOOKUP(B24,cubo!$A$6:$BE$37,56,0)-VLOOKUP(B24,#REF!,$Q$2,0),0)</f>
        <v>0</v>
      </c>
      <c r="R24" s="9">
        <f>IFERROR(VLOOKUP(B24,cubo!$A$6:$BE$37,40,0)-VLOOKUP(B24,#REF!,$R$2,0),0)</f>
        <v>0</v>
      </c>
      <c r="S24" s="9">
        <f>IFERROR(VLOOKUP(B24,cubo!$A$6:$BE$37,43,0)-VLOOKUP(B24,#REF!,$S$2,0),0)</f>
        <v>0</v>
      </c>
      <c r="T24" s="9">
        <f>IFERROR(VLOOKUP(B24,cubo!$A$6:$BE$37,46,0)-VLOOKUP(B24,#REF!,$T$2,0),0)</f>
        <v>0</v>
      </c>
      <c r="U24" s="9">
        <f>IFERROR(VLOOKUP(B24,cubo!$A$6:$BE$37,51,0)-VLOOKUP(B24,#REF!,$U$2,0),0)</f>
        <v>0</v>
      </c>
      <c r="V24" s="9">
        <f>IFERROR(VLOOKUP(B24,cubo!$A$6:$BJ$37,60,0)-VLOOKUP(B24,#REF!,$V$2,0),0)</f>
        <v>0</v>
      </c>
      <c r="W24" s="9">
        <f>IFERROR(VLOOKUP(B24,cubo!$A$6:$BE$37,26,0)-VLOOKUP(B24,#REF!,$W$2,0),0)</f>
        <v>0</v>
      </c>
      <c r="X24" s="9">
        <f>IFERROR(VLOOKUP(B24,cubo!$A$6:$BE$37,20,0)-VLOOKUP(B24,#REF!,$X$2,0),0)</f>
        <v>0</v>
      </c>
      <c r="Y24" s="9">
        <f>IFERROR(VLOOKUP(B24,cubo!$A$6:$BE$37,21,0)-VLOOKUP(B24,#REF!,$Y$2,0),0)</f>
        <v>0</v>
      </c>
      <c r="Z24" s="9">
        <f>IFERROR(VLOOKUP(B24,cubo!$A$6:$BE$37,27,0)-VLOOKUP(B24,#REF!,$Z$2,0),0)</f>
        <v>0</v>
      </c>
      <c r="AA24" s="9">
        <f>IFERROR(VLOOKUP(B24,cubo!$A$6:$BE$37,28,0)-VLOOKUP(B24,#REF!,$AA$2,0),0)</f>
        <v>0</v>
      </c>
      <c r="AB24" s="9">
        <f>IFERROR(VLOOKUP(B24,cubo!$A$6:$BE$37,29,0)-VLOOKUP(B24,#REF!,$AB$2,0),0)</f>
        <v>0</v>
      </c>
      <c r="AC24" s="9">
        <f>IFERROR(VLOOKUP(B24,cubo!$A$6:$BE$37,30,0)-VLOOKUP(B24,#REF!,$AC$2,0),0)</f>
        <v>0</v>
      </c>
      <c r="AD24" s="9">
        <f>IFERROR(VLOOKUP(B24,cubo!$A$6:$BE$37,31,0)-VLOOKUP(B24,#REF!,$AD$2,0),0)</f>
        <v>0</v>
      </c>
      <c r="AE24" s="9">
        <f>IFERROR(VLOOKUP(B24,cubo!$A$6:$BE$37,35,0)-VLOOKUP(B24,#REF!,$AE$2,0),0)</f>
        <v>0</v>
      </c>
      <c r="AF24" s="9" cm="1">
        <f t="array" aca="1" ref="AF24" ca="1">IFERROR(rrPROCV(B24,cubo!$A$6:$BE$37,48,0)-VLOOKUP(B24,#REF!,$AF$2,0),0)</f>
        <v>0</v>
      </c>
      <c r="AG24" s="9">
        <f>IFERROR(VLOOKUP(B24,cubo!$A$6:$BE$37,49,0)-VLOOKUP(B24,#REF!,$AG$2,0),0)</f>
        <v>0</v>
      </c>
      <c r="AH24" s="9">
        <f>IFERROR(VLOOKUP(B24,cubo!$A$6:$BE$37,50,0)-VLOOKUP(B24,#REF!,$AH$2,0),0)</f>
        <v>0</v>
      </c>
      <c r="AI24" s="9">
        <f>IFERROR(VLOOKUP(B24,cubo!$A$6:$BE$37,51,0)-VLOOKUP(B24,#REF!,$AI$2,0),0)</f>
        <v>0</v>
      </c>
      <c r="AJ24" s="9">
        <f>IFERROR(VLOOKUP(B24,cubo!$A$6:$BI$116,62,0)-VLOOKUP(B24,#REF!,$AJ$2,0),0)</f>
        <v>0</v>
      </c>
      <c r="AK24" s="9">
        <f>IFERROR(VLOOKUP(B24,cubo!$A$6:$BJ$37,63,0)-VLOOKUP(B24,#REF!,$AK$2,0),0)</f>
        <v>0</v>
      </c>
      <c r="AL24" s="9">
        <f>IFERROR(VLOOKUP(B24,cubo!$A$6:$BE$37,58,0)-VLOOKUP(B24,#REF!,$AL$2,0),0)</f>
        <v>0</v>
      </c>
      <c r="AM24" s="9">
        <f>IFERROR(VLOOKUP(B24,cubo!$A$6:$BK$37,64,0)-VLOOKUP(B24,#REF!,$AM$2,0),0)</f>
        <v>0</v>
      </c>
      <c r="AN24" s="9">
        <f>IFERROR(VLOOKUP(B24,cubo!$A$6:$AN$37,41,0)-VLOOKUP(B24,#REF!,$AN$2,0),0)</f>
        <v>0</v>
      </c>
    </row>
    <row r="25" spans="2:40" x14ac:dyDescent="0.25">
      <c r="B25" s="7">
        <f>[1]salario!A24</f>
        <v>22</v>
      </c>
      <c r="C25" s="8" t="str">
        <f>[1]salario!C24</f>
        <v>Colaborador 22</v>
      </c>
      <c r="D25" s="9">
        <f>IFERROR(VLOOKUP(B25,cubo!$A$6:$BE$37,3,0)-VLOOKUP(B25,#REF!,$D$2,0),0)</f>
        <v>0</v>
      </c>
      <c r="E25" s="10">
        <f>IFERROR(VLOOKUP(B25,cubo!$A$6:$BE$37,5,0)-VLOOKUP(B25,#REF!,$E$2,0),0)</f>
        <v>0</v>
      </c>
      <c r="F25" s="10">
        <f>IFERROR(VLOOKUP(B25,cubo!$A$6:$BE$37,8,0)-VLOOKUP(B25,#REF!,$F$2,0),0)</f>
        <v>0</v>
      </c>
      <c r="G25" s="9">
        <f>IFERROR(VLOOKUP(B25,cubo!$A$6:$BE$37,11,0)-VLOOKUP(B25,#REF!,$G$2,0),0)</f>
        <v>0</v>
      </c>
      <c r="H25" s="9">
        <f>IFERROR(VLOOKUP(B25,cubo!$A$6:$BE$37,53,0)-VLOOKUP(B25,#REF!,$H$2,0),0)</f>
        <v>0</v>
      </c>
      <c r="I25" s="10">
        <f>IFERROR(VLOOKUP(B25,cubo!$A$6:$BE$37,14,0)-VLOOKUP(B25,#REF!,$I$2,0),0)</f>
        <v>0</v>
      </c>
      <c r="J25" s="9">
        <f>IFERROR(VLOOKUP(B25,cubo!$A$6:$BE$37,16,0)-VLOOKUP(B25,#REF!,$J$2,0),0)</f>
        <v>0</v>
      </c>
      <c r="K25" s="9">
        <f>IFERROR(VLOOKUP(B25,cubo!$A$6:$BE$37,17,0)-VLOOKUP(B25,#REF!,$K$2,0),0)</f>
        <v>0</v>
      </c>
      <c r="L25" s="9">
        <f>IFERROR(VLOOKUP(B25,cubo!$A$6:$BE$37,19,0)-VLOOKUP(B25,#REF!,$L$2,0),0)</f>
        <v>0</v>
      </c>
      <c r="M25" s="9">
        <f>IFERROR(VLOOKUP(B25,cubo!$A$6:$BE$37,23,0)-VLOOKUP(B25,#REF!,$M$2,0),0)</f>
        <v>0</v>
      </c>
      <c r="N25" s="9">
        <f>IFERROR(VLOOKUP(B25,cubo!$A$6:$BE$37,25,0)-VLOOKUP(B25,#REF!,$N$2,0),0)</f>
        <v>0</v>
      </c>
      <c r="O25" s="9">
        <f>IFERROR(VLOOKUP(B25,cubo!$A$6:$BE$37,33,0)-VLOOKUP(B25,#REF!,$O$2,0),0)</f>
        <v>0</v>
      </c>
      <c r="P25" s="8">
        <f>IFERROR(VLOOKUP(B25,cubo!$A$6:$BE$37,37,0)-VLOOKUP(B25,#REF!,$P$2,0),0)</f>
        <v>0</v>
      </c>
      <c r="Q25" s="8">
        <f>IFERROR(VLOOKUP(B25,cubo!$A$6:$BE$37,56,0)-VLOOKUP(B25,#REF!,$Q$2,0),0)</f>
        <v>0</v>
      </c>
      <c r="R25" s="9">
        <f>IFERROR(VLOOKUP(B25,cubo!$A$6:$BE$37,40,0)-VLOOKUP(B25,#REF!,$R$2,0),0)</f>
        <v>0</v>
      </c>
      <c r="S25" s="9">
        <f>IFERROR(VLOOKUP(B25,cubo!$A$6:$BE$37,43,0)-VLOOKUP(B25,#REF!,$S$2,0),0)</f>
        <v>0</v>
      </c>
      <c r="T25" s="9">
        <f>IFERROR(VLOOKUP(B25,cubo!$A$6:$BE$37,46,0)-VLOOKUP(B25,#REF!,$T$2,0),0)</f>
        <v>0</v>
      </c>
      <c r="U25" s="9">
        <f>IFERROR(VLOOKUP(B25,cubo!$A$6:$BE$37,51,0)-VLOOKUP(B25,#REF!,$U$2,0),0)</f>
        <v>0</v>
      </c>
      <c r="V25" s="9">
        <f>IFERROR(VLOOKUP(B25,cubo!$A$6:$BJ$37,60,0)-VLOOKUP(B25,#REF!,$V$2,0),0)</f>
        <v>0</v>
      </c>
      <c r="W25" s="9">
        <f>IFERROR(VLOOKUP(B25,cubo!$A$6:$BE$37,26,0)-VLOOKUP(B25,#REF!,$W$2,0),0)</f>
        <v>0</v>
      </c>
      <c r="X25" s="9">
        <f>IFERROR(VLOOKUP(B25,cubo!$A$6:$BE$37,20,0)-VLOOKUP(B25,#REF!,$X$2,0),0)</f>
        <v>0</v>
      </c>
      <c r="Y25" s="9">
        <f>IFERROR(VLOOKUP(B25,cubo!$A$6:$BE$37,21,0)-VLOOKUP(B25,#REF!,$Y$2,0),0)</f>
        <v>0</v>
      </c>
      <c r="Z25" s="9">
        <f>IFERROR(VLOOKUP(B25,cubo!$A$6:$BE$37,27,0)-VLOOKUP(B25,#REF!,$Z$2,0),0)</f>
        <v>0</v>
      </c>
      <c r="AA25" s="9">
        <f>IFERROR(VLOOKUP(B25,cubo!$A$6:$BE$37,28,0)-VLOOKUP(B25,#REF!,$AA$2,0),0)</f>
        <v>0</v>
      </c>
      <c r="AB25" s="9">
        <f>IFERROR(VLOOKUP(B25,cubo!$A$6:$BE$37,29,0)-VLOOKUP(B25,#REF!,$AB$2,0),0)</f>
        <v>0</v>
      </c>
      <c r="AC25" s="9">
        <f>IFERROR(VLOOKUP(B25,cubo!$A$6:$BE$37,30,0)-VLOOKUP(B25,#REF!,$AC$2,0),0)</f>
        <v>0</v>
      </c>
      <c r="AD25" s="9">
        <f>IFERROR(VLOOKUP(B25,cubo!$A$6:$BE$37,31,0)-VLOOKUP(B25,#REF!,$AD$2,0),0)</f>
        <v>0</v>
      </c>
      <c r="AE25" s="9">
        <f>IFERROR(VLOOKUP(B25,cubo!$A$6:$BE$37,35,0)-VLOOKUP(B25,#REF!,$AE$2,0),0)</f>
        <v>0</v>
      </c>
      <c r="AF25" s="9" cm="1">
        <f t="array" aca="1" ref="AF25" ca="1">IFERROR(rrPROCV(B25,cubo!$A$6:$BE$37,48,0)-VLOOKUP(B25,#REF!,$AF$2,0),0)</f>
        <v>0</v>
      </c>
      <c r="AG25" s="9">
        <f>IFERROR(VLOOKUP(B25,cubo!$A$6:$BE$37,49,0)-VLOOKUP(B25,#REF!,$AG$2,0),0)</f>
        <v>0</v>
      </c>
      <c r="AH25" s="9">
        <f>IFERROR(VLOOKUP(B25,cubo!$A$6:$BE$37,50,0)-VLOOKUP(B25,#REF!,$AH$2,0),0)</f>
        <v>0</v>
      </c>
      <c r="AI25" s="9">
        <f>IFERROR(VLOOKUP(B25,cubo!$A$6:$BE$37,51,0)-VLOOKUP(B25,#REF!,$AI$2,0),0)</f>
        <v>0</v>
      </c>
      <c r="AJ25" s="9">
        <f>IFERROR(VLOOKUP(B25,cubo!$A$6:$BI$116,62,0)-VLOOKUP(B25,#REF!,$AJ$2,0),0)</f>
        <v>0</v>
      </c>
      <c r="AK25" s="9">
        <f>IFERROR(VLOOKUP(B25,cubo!$A$6:$BJ$37,63,0)-VLOOKUP(B25,#REF!,$AK$2,0),0)</f>
        <v>0</v>
      </c>
      <c r="AL25" s="9">
        <f>IFERROR(VLOOKUP(B25,cubo!$A$6:$BE$37,58,0)-VLOOKUP(B25,#REF!,$AL$2,0),0)</f>
        <v>0</v>
      </c>
      <c r="AM25" s="9">
        <f>IFERROR(VLOOKUP(B25,cubo!$A$6:$BK$37,64,0)-VLOOKUP(B25,#REF!,$AM$2,0),0)</f>
        <v>0</v>
      </c>
      <c r="AN25" s="9">
        <f>IFERROR(VLOOKUP(B25,cubo!$A$6:$AN$37,41,0)-VLOOKUP(B25,#REF!,$AN$2,0),0)</f>
        <v>0</v>
      </c>
    </row>
    <row r="26" spans="2:40" x14ac:dyDescent="0.25">
      <c r="B26" s="7">
        <f>[1]salario!A25</f>
        <v>23</v>
      </c>
      <c r="C26" s="8" t="str">
        <f>[1]salario!C25</f>
        <v>Colaborador 23</v>
      </c>
      <c r="D26" s="9">
        <f>IFERROR(VLOOKUP(B26,cubo!$A$6:$BE$37,3,0)-VLOOKUP(B26,#REF!,$D$2,0),0)</f>
        <v>0</v>
      </c>
      <c r="E26" s="10">
        <f>IFERROR(VLOOKUP(B26,cubo!$A$6:$BE$37,5,0)-VLOOKUP(B26,#REF!,$E$2,0),0)</f>
        <v>0</v>
      </c>
      <c r="F26" s="10">
        <f>IFERROR(VLOOKUP(B26,cubo!$A$6:$BE$37,8,0)-VLOOKUP(B26,#REF!,$F$2,0),0)</f>
        <v>0</v>
      </c>
      <c r="G26" s="9">
        <f>IFERROR(VLOOKUP(B26,cubo!$A$6:$BE$37,11,0)-VLOOKUP(B26,#REF!,$G$2,0),0)</f>
        <v>0</v>
      </c>
      <c r="H26" s="9">
        <f>IFERROR(VLOOKUP(B26,cubo!$A$6:$BE$37,53,0)-VLOOKUP(B26,#REF!,$H$2,0),0)</f>
        <v>0</v>
      </c>
      <c r="I26" s="10">
        <f>IFERROR(VLOOKUP(B26,cubo!$A$6:$BE$37,14,0)-VLOOKUP(B26,#REF!,$I$2,0),0)</f>
        <v>0</v>
      </c>
      <c r="J26" s="9">
        <f>IFERROR(VLOOKUP(B26,cubo!$A$6:$BE$37,16,0)-VLOOKUP(B26,#REF!,$J$2,0),0)</f>
        <v>0</v>
      </c>
      <c r="K26" s="9">
        <f>IFERROR(VLOOKUP(B26,cubo!$A$6:$BE$37,17,0)-VLOOKUP(B26,#REF!,$K$2,0),0)</f>
        <v>0</v>
      </c>
      <c r="L26" s="9">
        <f>IFERROR(VLOOKUP(B26,cubo!$A$6:$BE$37,19,0)-VLOOKUP(B26,#REF!,$L$2,0),0)</f>
        <v>0</v>
      </c>
      <c r="M26" s="9">
        <f>IFERROR(VLOOKUP(B26,cubo!$A$6:$BE$37,23,0)-VLOOKUP(B26,#REF!,$M$2,0),0)</f>
        <v>0</v>
      </c>
      <c r="N26" s="9">
        <f>IFERROR(VLOOKUP(B26,cubo!$A$6:$BE$37,25,0)-VLOOKUP(B26,#REF!,$N$2,0),0)</f>
        <v>0</v>
      </c>
      <c r="O26" s="9">
        <f>IFERROR(VLOOKUP(B26,cubo!$A$6:$BE$37,33,0)-VLOOKUP(B26,#REF!,$O$2,0),0)</f>
        <v>0</v>
      </c>
      <c r="P26" s="8">
        <f>IFERROR(VLOOKUP(B26,cubo!$A$6:$BE$37,37,0)-VLOOKUP(B26,#REF!,$P$2,0),0)</f>
        <v>0</v>
      </c>
      <c r="Q26" s="8">
        <f>IFERROR(VLOOKUP(B26,cubo!$A$6:$BE$37,56,0)-VLOOKUP(B26,#REF!,$Q$2,0),0)</f>
        <v>0</v>
      </c>
      <c r="R26" s="9">
        <f>IFERROR(VLOOKUP(B26,cubo!$A$6:$BE$37,40,0)-VLOOKUP(B26,#REF!,$R$2,0),0)</f>
        <v>0</v>
      </c>
      <c r="S26" s="9">
        <f>IFERROR(VLOOKUP(B26,cubo!$A$6:$BE$37,43,0)-VLOOKUP(B26,#REF!,$S$2,0),0)</f>
        <v>0</v>
      </c>
      <c r="T26" s="9">
        <f>IFERROR(VLOOKUP(B26,cubo!$A$6:$BE$37,46,0)-VLOOKUP(B26,#REF!,$T$2,0),0)</f>
        <v>0</v>
      </c>
      <c r="U26" s="9">
        <f>IFERROR(VLOOKUP(B26,cubo!$A$6:$BE$37,51,0)-VLOOKUP(B26,#REF!,$U$2,0),0)</f>
        <v>0</v>
      </c>
      <c r="V26" s="9">
        <f>IFERROR(VLOOKUP(B26,cubo!$A$6:$BJ$37,60,0)-VLOOKUP(B26,#REF!,$V$2,0),0)</f>
        <v>0</v>
      </c>
      <c r="W26" s="9">
        <f>IFERROR(VLOOKUP(B26,cubo!$A$6:$BE$37,26,0)-VLOOKUP(B26,#REF!,$W$2,0),0)</f>
        <v>0</v>
      </c>
      <c r="X26" s="9">
        <f>IFERROR(VLOOKUP(B26,cubo!$A$6:$BE$37,20,0)-VLOOKUP(B26,#REF!,$X$2,0),0)</f>
        <v>0</v>
      </c>
      <c r="Y26" s="9">
        <f>IFERROR(VLOOKUP(B26,cubo!$A$6:$BE$37,21,0)-VLOOKUP(B26,#REF!,$Y$2,0),0)</f>
        <v>0</v>
      </c>
      <c r="Z26" s="9">
        <f>IFERROR(VLOOKUP(B26,cubo!$A$6:$BE$37,27,0)-VLOOKUP(B26,#REF!,$Z$2,0),0)</f>
        <v>0</v>
      </c>
      <c r="AA26" s="9">
        <f>IFERROR(VLOOKUP(B26,cubo!$A$6:$BE$37,28,0)-VLOOKUP(B26,#REF!,$AA$2,0),0)</f>
        <v>0</v>
      </c>
      <c r="AB26" s="9">
        <f>IFERROR(VLOOKUP(B26,cubo!$A$6:$BE$37,29,0)-VLOOKUP(B26,#REF!,$AB$2,0),0)</f>
        <v>0</v>
      </c>
      <c r="AC26" s="9">
        <f>IFERROR(VLOOKUP(B26,cubo!$A$6:$BE$37,30,0)-VLOOKUP(B26,#REF!,$AC$2,0),0)</f>
        <v>0</v>
      </c>
      <c r="AD26" s="9">
        <f>IFERROR(VLOOKUP(B26,cubo!$A$6:$BE$37,31,0)-VLOOKUP(B26,#REF!,$AD$2,0),0)</f>
        <v>0</v>
      </c>
      <c r="AE26" s="9">
        <f>IFERROR(VLOOKUP(B26,cubo!$A$6:$BE$37,35,0)-VLOOKUP(B26,#REF!,$AE$2,0),0)</f>
        <v>0</v>
      </c>
      <c r="AF26" s="9" cm="1">
        <f t="array" aca="1" ref="AF26" ca="1">IFERROR(rrPROCV(B26,cubo!$A$6:$BE$37,48,0)-VLOOKUP(B26,#REF!,$AF$2,0),0)</f>
        <v>0</v>
      </c>
      <c r="AG26" s="9">
        <f>IFERROR(VLOOKUP(B26,cubo!$A$6:$BE$37,49,0)-VLOOKUP(B26,#REF!,$AG$2,0),0)</f>
        <v>0</v>
      </c>
      <c r="AH26" s="9">
        <f>IFERROR(VLOOKUP(B26,cubo!$A$6:$BE$37,50,0)-VLOOKUP(B26,#REF!,$AH$2,0),0)</f>
        <v>0</v>
      </c>
      <c r="AI26" s="9">
        <f>IFERROR(VLOOKUP(B26,cubo!$A$6:$BE$37,51,0)-VLOOKUP(B26,#REF!,$AI$2,0),0)</f>
        <v>0</v>
      </c>
      <c r="AJ26" s="9">
        <f>IFERROR(VLOOKUP(B26,cubo!$A$6:$BI$116,62,0)-VLOOKUP(B26,#REF!,$AJ$2,0),0)</f>
        <v>0</v>
      </c>
      <c r="AK26" s="9">
        <f>IFERROR(VLOOKUP(B26,cubo!$A$6:$BJ$37,63,0)-VLOOKUP(B26,#REF!,$AK$2,0),0)</f>
        <v>0</v>
      </c>
      <c r="AL26" s="9">
        <f>IFERROR(VLOOKUP(B26,cubo!$A$6:$BE$37,58,0)-VLOOKUP(B26,#REF!,$AL$2,0),0)</f>
        <v>0</v>
      </c>
      <c r="AM26" s="9">
        <f>IFERROR(VLOOKUP(B26,cubo!$A$6:$BK$37,64,0)-VLOOKUP(B26,#REF!,$AM$2,0),0)</f>
        <v>0</v>
      </c>
      <c r="AN26" s="9">
        <f>IFERROR(VLOOKUP(B26,cubo!$A$6:$AN$37,41,0)-VLOOKUP(B26,#REF!,$AN$2,0),0)</f>
        <v>0</v>
      </c>
    </row>
    <row r="27" spans="2:40" x14ac:dyDescent="0.25">
      <c r="B27" s="7">
        <f>[1]salario!A26</f>
        <v>24</v>
      </c>
      <c r="C27" s="8" t="str">
        <f>[1]salario!C26</f>
        <v>Colaborador 24</v>
      </c>
      <c r="D27" s="9">
        <f>IFERROR(VLOOKUP(B27,cubo!$A$6:$BE$37,3,0)-VLOOKUP(B27,#REF!,$D$2,0),0)</f>
        <v>0</v>
      </c>
      <c r="E27" s="10">
        <f>IFERROR(VLOOKUP(B27,cubo!$A$6:$BE$37,5,0)-VLOOKUP(B27,#REF!,$E$2,0),0)</f>
        <v>0</v>
      </c>
      <c r="F27" s="10">
        <f>IFERROR(VLOOKUP(B27,cubo!$A$6:$BE$37,8,0)-VLOOKUP(B27,#REF!,$F$2,0),0)</f>
        <v>0</v>
      </c>
      <c r="G27" s="9">
        <f>IFERROR(VLOOKUP(B27,cubo!$A$6:$BE$37,11,0)-VLOOKUP(B27,#REF!,$G$2,0),0)</f>
        <v>0</v>
      </c>
      <c r="H27" s="9">
        <f>IFERROR(VLOOKUP(B27,cubo!$A$6:$BE$37,53,0)-VLOOKUP(B27,#REF!,$H$2,0),0)</f>
        <v>0</v>
      </c>
      <c r="I27" s="10">
        <f>IFERROR(VLOOKUP(B27,cubo!$A$6:$BE$37,14,0)-VLOOKUP(B27,#REF!,$I$2,0),0)</f>
        <v>0</v>
      </c>
      <c r="J27" s="9">
        <f>IFERROR(VLOOKUP(B27,cubo!$A$6:$BE$37,16,0)-VLOOKUP(B27,#REF!,$J$2,0),0)</f>
        <v>0</v>
      </c>
      <c r="K27" s="9">
        <f>IFERROR(VLOOKUP(B27,cubo!$A$6:$BE$37,17,0)-VLOOKUP(B27,#REF!,$K$2,0),0)</f>
        <v>0</v>
      </c>
      <c r="L27" s="9">
        <f>IFERROR(VLOOKUP(B27,cubo!$A$6:$BE$37,19,0)-VLOOKUP(B27,#REF!,$L$2,0),0)</f>
        <v>0</v>
      </c>
      <c r="M27" s="9">
        <f>IFERROR(VLOOKUP(B27,cubo!$A$6:$BE$37,23,0)-VLOOKUP(B27,#REF!,$M$2,0),0)</f>
        <v>0</v>
      </c>
      <c r="N27" s="9">
        <f>IFERROR(VLOOKUP(B27,cubo!$A$6:$BE$37,25,0)-VLOOKUP(B27,#REF!,$N$2,0),0)</f>
        <v>0</v>
      </c>
      <c r="O27" s="9">
        <f>IFERROR(VLOOKUP(B27,cubo!$A$6:$BE$37,33,0)-VLOOKUP(B27,#REF!,$O$2,0),0)</f>
        <v>0</v>
      </c>
      <c r="P27" s="8">
        <f>IFERROR(VLOOKUP(B27,cubo!$A$6:$BE$37,37,0)-VLOOKUP(B27,#REF!,$P$2,0),0)</f>
        <v>0</v>
      </c>
      <c r="Q27" s="8">
        <f>IFERROR(VLOOKUP(B27,cubo!$A$6:$BE$37,56,0)-VLOOKUP(B27,#REF!,$Q$2,0),0)</f>
        <v>0</v>
      </c>
      <c r="R27" s="9">
        <f>IFERROR(VLOOKUP(B27,cubo!$A$6:$BE$37,40,0)-VLOOKUP(B27,#REF!,$R$2,0),0)</f>
        <v>0</v>
      </c>
      <c r="S27" s="9">
        <f>IFERROR(VLOOKUP(B27,cubo!$A$6:$BE$37,43,0)-VLOOKUP(B27,#REF!,$S$2,0),0)</f>
        <v>0</v>
      </c>
      <c r="T27" s="9">
        <f>IFERROR(VLOOKUP(B27,cubo!$A$6:$BE$37,46,0)-VLOOKUP(B27,#REF!,$T$2,0),0)</f>
        <v>0</v>
      </c>
      <c r="U27" s="9">
        <f>IFERROR(VLOOKUP(B27,cubo!$A$6:$BE$37,51,0)-VLOOKUP(B27,#REF!,$U$2,0),0)</f>
        <v>0</v>
      </c>
      <c r="V27" s="9">
        <f>IFERROR(VLOOKUP(B27,cubo!$A$6:$BJ$37,60,0)-VLOOKUP(B27,#REF!,$V$2,0),0)</f>
        <v>0</v>
      </c>
      <c r="W27" s="9">
        <f>IFERROR(VLOOKUP(B27,cubo!$A$6:$BE$37,26,0)-VLOOKUP(B27,#REF!,$W$2,0),0)</f>
        <v>0</v>
      </c>
      <c r="X27" s="9">
        <f>IFERROR(VLOOKUP(B27,cubo!$A$6:$BE$37,20,0)-VLOOKUP(B27,#REF!,$X$2,0),0)</f>
        <v>0</v>
      </c>
      <c r="Y27" s="9">
        <f>IFERROR(VLOOKUP(B27,cubo!$A$6:$BE$37,21,0)-VLOOKUP(B27,#REF!,$Y$2,0),0)</f>
        <v>0</v>
      </c>
      <c r="Z27" s="9">
        <f>IFERROR(VLOOKUP(B27,cubo!$A$6:$BE$37,27,0)-VLOOKUP(B27,#REF!,$Z$2,0),0)</f>
        <v>0</v>
      </c>
      <c r="AA27" s="9">
        <f>IFERROR(VLOOKUP(B27,cubo!$A$6:$BE$37,28,0)-VLOOKUP(B27,#REF!,$AA$2,0),0)</f>
        <v>0</v>
      </c>
      <c r="AB27" s="9">
        <f>IFERROR(VLOOKUP(B27,cubo!$A$6:$BE$37,29,0)-VLOOKUP(B27,#REF!,$AB$2,0),0)</f>
        <v>0</v>
      </c>
      <c r="AC27" s="9">
        <f>IFERROR(VLOOKUP(B27,cubo!$A$6:$BE$37,30,0)-VLOOKUP(B27,#REF!,$AC$2,0),0)</f>
        <v>0</v>
      </c>
      <c r="AD27" s="9">
        <f>IFERROR(VLOOKUP(B27,cubo!$A$6:$BE$37,31,0)-VLOOKUP(B27,#REF!,$AD$2,0),0)</f>
        <v>0</v>
      </c>
      <c r="AE27" s="9">
        <f>IFERROR(VLOOKUP(B27,cubo!$A$6:$BE$37,35,0)-VLOOKUP(B27,#REF!,$AE$2,0),0)</f>
        <v>0</v>
      </c>
      <c r="AF27" s="9" cm="1">
        <f t="array" aca="1" ref="AF27" ca="1">IFERROR(rrPROCV(B27,cubo!$A$6:$BE$37,48,0)-VLOOKUP(B27,#REF!,$AF$2,0),0)</f>
        <v>0</v>
      </c>
      <c r="AG27" s="9">
        <f>IFERROR(VLOOKUP(B27,cubo!$A$6:$BE$37,49,0)-VLOOKUP(B27,#REF!,$AG$2,0),0)</f>
        <v>0</v>
      </c>
      <c r="AH27" s="9">
        <f>IFERROR(VLOOKUP(B27,cubo!$A$6:$BE$37,50,0)-VLOOKUP(B27,#REF!,$AH$2,0),0)</f>
        <v>0</v>
      </c>
      <c r="AI27" s="9">
        <f>IFERROR(VLOOKUP(B27,cubo!$A$6:$BE$37,51,0)-VLOOKUP(B27,#REF!,$AI$2,0),0)</f>
        <v>0</v>
      </c>
      <c r="AJ27" s="9">
        <f>IFERROR(VLOOKUP(B27,cubo!$A$6:$BI$116,62,0)-VLOOKUP(B27,#REF!,$AJ$2,0),0)</f>
        <v>0</v>
      </c>
      <c r="AK27" s="9">
        <f>IFERROR(VLOOKUP(B27,cubo!$A$6:$BJ$37,63,0)-VLOOKUP(B27,#REF!,$AK$2,0),0)</f>
        <v>0</v>
      </c>
      <c r="AL27" s="9">
        <f>IFERROR(VLOOKUP(B27,cubo!$A$6:$BE$37,58,0)-VLOOKUP(B27,#REF!,$AL$2,0),0)</f>
        <v>0</v>
      </c>
      <c r="AM27" s="9">
        <f>IFERROR(VLOOKUP(B27,cubo!$A$6:$BK$37,64,0)-VLOOKUP(B27,#REF!,$AM$2,0),0)</f>
        <v>0</v>
      </c>
      <c r="AN27" s="9">
        <f>IFERROR(VLOOKUP(B27,cubo!$A$6:$AN$37,41,0)-VLOOKUP(B27,#REF!,$AN$2,0),0)</f>
        <v>0</v>
      </c>
    </row>
    <row r="28" spans="2:40" x14ac:dyDescent="0.25">
      <c r="B28" s="7">
        <f>[1]salario!A27</f>
        <v>25</v>
      </c>
      <c r="C28" s="8" t="str">
        <f>[1]salario!C27</f>
        <v>Colaborador 25</v>
      </c>
      <c r="D28" s="9">
        <f>IFERROR(VLOOKUP(B28,cubo!$A$6:$BE$37,3,0)-VLOOKUP(B28,#REF!,$D$2,0),0)</f>
        <v>0</v>
      </c>
      <c r="E28" s="10">
        <f>IFERROR(VLOOKUP(B28,cubo!$A$6:$BE$37,5,0)-VLOOKUP(B28,#REF!,$E$2,0),0)</f>
        <v>0</v>
      </c>
      <c r="F28" s="10">
        <f>IFERROR(VLOOKUP(B28,cubo!$A$6:$BE$37,8,0)-VLOOKUP(B28,#REF!,$F$2,0),0)</f>
        <v>0</v>
      </c>
      <c r="G28" s="9">
        <f>IFERROR(VLOOKUP(B28,cubo!$A$6:$BE$37,11,0)-VLOOKUP(B28,#REF!,$G$2,0),0)</f>
        <v>0</v>
      </c>
      <c r="H28" s="9">
        <f>IFERROR(VLOOKUP(B28,cubo!$A$6:$BE$37,53,0)-VLOOKUP(B28,#REF!,$H$2,0),0)</f>
        <v>0</v>
      </c>
      <c r="I28" s="10">
        <f>IFERROR(VLOOKUP(B28,cubo!$A$6:$BE$37,14,0)-VLOOKUP(B28,#REF!,$I$2,0),0)</f>
        <v>0</v>
      </c>
      <c r="J28" s="9">
        <f>IFERROR(VLOOKUP(B28,cubo!$A$6:$BE$37,16,0)-VLOOKUP(B28,#REF!,$J$2,0),0)</f>
        <v>0</v>
      </c>
      <c r="K28" s="9">
        <f>IFERROR(VLOOKUP(B28,cubo!$A$6:$BE$37,17,0)-VLOOKUP(B28,#REF!,$K$2,0),0)</f>
        <v>0</v>
      </c>
      <c r="L28" s="9">
        <f>IFERROR(VLOOKUP(B28,cubo!$A$6:$BE$37,19,0)-VLOOKUP(B28,#REF!,$L$2,0),0)</f>
        <v>0</v>
      </c>
      <c r="M28" s="9">
        <f>IFERROR(VLOOKUP(B28,cubo!$A$6:$BE$37,23,0)-VLOOKUP(B28,#REF!,$M$2,0),0)</f>
        <v>0</v>
      </c>
      <c r="N28" s="9">
        <f>IFERROR(VLOOKUP(B28,cubo!$A$6:$BE$37,25,0)-VLOOKUP(B28,#REF!,$N$2,0),0)</f>
        <v>0</v>
      </c>
      <c r="O28" s="9">
        <f>IFERROR(VLOOKUP(B28,cubo!$A$6:$BE$37,33,0)-VLOOKUP(B28,#REF!,$O$2,0),0)</f>
        <v>0</v>
      </c>
      <c r="P28" s="8">
        <f>IFERROR(VLOOKUP(B28,cubo!$A$6:$BE$37,37,0)-VLOOKUP(B28,#REF!,$P$2,0),0)</f>
        <v>0</v>
      </c>
      <c r="Q28" s="8">
        <f>IFERROR(VLOOKUP(B28,cubo!$A$6:$BE$37,56,0)-VLOOKUP(B28,#REF!,$Q$2,0),0)</f>
        <v>0</v>
      </c>
      <c r="R28" s="9">
        <f>IFERROR(VLOOKUP(B28,cubo!$A$6:$BE$37,40,0)-VLOOKUP(B28,#REF!,$R$2,0),0)</f>
        <v>0</v>
      </c>
      <c r="S28" s="9">
        <f>IFERROR(VLOOKUP(B28,cubo!$A$6:$BE$37,43,0)-VLOOKUP(B28,#REF!,$S$2,0),0)</f>
        <v>0</v>
      </c>
      <c r="T28" s="9">
        <f>IFERROR(VLOOKUP(B28,cubo!$A$6:$BE$37,46,0)-VLOOKUP(B28,#REF!,$T$2,0),0)</f>
        <v>0</v>
      </c>
      <c r="U28" s="9">
        <f>IFERROR(VLOOKUP(B28,cubo!$A$6:$BE$37,51,0)-VLOOKUP(B28,#REF!,$U$2,0),0)</f>
        <v>0</v>
      </c>
      <c r="V28" s="9">
        <f>IFERROR(VLOOKUP(B28,cubo!$A$6:$BJ$37,60,0)-VLOOKUP(B28,#REF!,$V$2,0),0)</f>
        <v>0</v>
      </c>
      <c r="W28" s="9">
        <f>IFERROR(VLOOKUP(B28,cubo!$A$6:$BE$37,26,0)-VLOOKUP(B28,#REF!,$W$2,0),0)</f>
        <v>0</v>
      </c>
      <c r="X28" s="9">
        <f>IFERROR(VLOOKUP(B28,cubo!$A$6:$BE$37,20,0)-VLOOKUP(B28,#REF!,$X$2,0),0)</f>
        <v>0</v>
      </c>
      <c r="Y28" s="9">
        <f>IFERROR(VLOOKUP(B28,cubo!$A$6:$BE$37,21,0)-VLOOKUP(B28,#REF!,$Y$2,0),0)</f>
        <v>0</v>
      </c>
      <c r="Z28" s="9">
        <f>IFERROR(VLOOKUP(B28,cubo!$A$6:$BE$37,27,0)-VLOOKUP(B28,#REF!,$Z$2,0),0)</f>
        <v>0</v>
      </c>
      <c r="AA28" s="9">
        <f>IFERROR(VLOOKUP(B28,cubo!$A$6:$BE$37,28,0)-VLOOKUP(B28,#REF!,$AA$2,0),0)</f>
        <v>0</v>
      </c>
      <c r="AB28" s="9">
        <f>IFERROR(VLOOKUP(B28,cubo!$A$6:$BE$37,29,0)-VLOOKUP(B28,#REF!,$AB$2,0),0)</f>
        <v>0</v>
      </c>
      <c r="AC28" s="9">
        <f>IFERROR(VLOOKUP(B28,cubo!$A$6:$BE$37,30,0)-VLOOKUP(B28,#REF!,$AC$2,0),0)</f>
        <v>0</v>
      </c>
      <c r="AD28" s="9">
        <f>IFERROR(VLOOKUP(B28,cubo!$A$6:$BE$37,31,0)-VLOOKUP(B28,#REF!,$AD$2,0),0)</f>
        <v>0</v>
      </c>
      <c r="AE28" s="9">
        <f>IFERROR(VLOOKUP(B28,cubo!$A$6:$BE$37,35,0)-VLOOKUP(B28,#REF!,$AE$2,0),0)</f>
        <v>0</v>
      </c>
      <c r="AF28" s="9" cm="1">
        <f t="array" aca="1" ref="AF28" ca="1">IFERROR(rrPROCV(B28,cubo!$A$6:$BE$37,48,0)-VLOOKUP(B28,#REF!,$AF$2,0),0)</f>
        <v>0</v>
      </c>
      <c r="AG28" s="9">
        <f>IFERROR(VLOOKUP(B28,cubo!$A$6:$BE$37,49,0)-VLOOKUP(B28,#REF!,$AG$2,0),0)</f>
        <v>0</v>
      </c>
      <c r="AH28" s="9">
        <f>IFERROR(VLOOKUP(B28,cubo!$A$6:$BE$37,50,0)-VLOOKUP(B28,#REF!,$AH$2,0),0)</f>
        <v>0</v>
      </c>
      <c r="AI28" s="9">
        <f>IFERROR(VLOOKUP(B28,cubo!$A$6:$BE$37,51,0)-VLOOKUP(B28,#REF!,$AI$2,0),0)</f>
        <v>0</v>
      </c>
      <c r="AJ28" s="9">
        <f>IFERROR(VLOOKUP(B28,cubo!$A$6:$BI$116,62,0)-VLOOKUP(B28,#REF!,$AJ$2,0),0)</f>
        <v>0</v>
      </c>
      <c r="AK28" s="9">
        <f>IFERROR(VLOOKUP(B28,cubo!$A$6:$BJ$37,63,0)-VLOOKUP(B28,#REF!,$AK$2,0),0)</f>
        <v>0</v>
      </c>
      <c r="AL28" s="9">
        <f>IFERROR(VLOOKUP(B28,cubo!$A$6:$BE$37,58,0)-VLOOKUP(B28,#REF!,$AL$2,0),0)</f>
        <v>0</v>
      </c>
      <c r="AM28" s="9">
        <f>IFERROR(VLOOKUP(B28,cubo!$A$6:$BK$37,64,0)-VLOOKUP(B28,#REF!,$AM$2,0),0)</f>
        <v>0</v>
      </c>
      <c r="AN28" s="9">
        <f>IFERROR(VLOOKUP(B28,cubo!$A$6:$AN$37,41,0)-VLOOKUP(B28,#REF!,$AN$2,0),0)</f>
        <v>0</v>
      </c>
    </row>
    <row r="29" spans="2:40" x14ac:dyDescent="0.25">
      <c r="B29" s="7">
        <f>[1]salario!A28</f>
        <v>26</v>
      </c>
      <c r="C29" s="8" t="str">
        <f>[1]salario!C28</f>
        <v>Colaborador 26</v>
      </c>
      <c r="D29" s="9">
        <f>IFERROR(VLOOKUP(B29,cubo!$A$6:$BE$37,3,0)-VLOOKUP(B29,#REF!,$D$2,0),0)</f>
        <v>0</v>
      </c>
      <c r="E29" s="10">
        <f>IFERROR(VLOOKUP(B29,cubo!$A$6:$BE$37,5,0)-VLOOKUP(B29,#REF!,$E$2,0),0)</f>
        <v>0</v>
      </c>
      <c r="F29" s="10">
        <f>IFERROR(VLOOKUP(B29,cubo!$A$6:$BE$37,8,0)-VLOOKUP(B29,#REF!,$F$2,0),0)</f>
        <v>0</v>
      </c>
      <c r="G29" s="9">
        <f>IFERROR(VLOOKUP(B29,cubo!$A$6:$BE$37,11,0)-VLOOKUP(B29,#REF!,$G$2,0),0)</f>
        <v>0</v>
      </c>
      <c r="H29" s="9">
        <f>IFERROR(VLOOKUP(B29,cubo!$A$6:$BE$37,53,0)-VLOOKUP(B29,#REF!,$H$2,0),0)</f>
        <v>0</v>
      </c>
      <c r="I29" s="10">
        <f>IFERROR(VLOOKUP(B29,cubo!$A$6:$BE$37,14,0)-VLOOKUP(B29,#REF!,$I$2,0),0)</f>
        <v>0</v>
      </c>
      <c r="J29" s="9">
        <f>IFERROR(VLOOKUP(B29,cubo!$A$6:$BE$37,16,0)-VLOOKUP(B29,#REF!,$J$2,0),0)</f>
        <v>0</v>
      </c>
      <c r="K29" s="9">
        <f>IFERROR(VLOOKUP(B29,cubo!$A$6:$BE$37,17,0)-VLOOKUP(B29,#REF!,$K$2,0),0)</f>
        <v>0</v>
      </c>
      <c r="L29" s="9">
        <f>IFERROR(VLOOKUP(B29,cubo!$A$6:$BE$37,19,0)-VLOOKUP(B29,#REF!,$L$2,0),0)</f>
        <v>0</v>
      </c>
      <c r="M29" s="9">
        <f>IFERROR(VLOOKUP(B29,cubo!$A$6:$BE$37,23,0)-VLOOKUP(B29,#REF!,$M$2,0),0)</f>
        <v>0</v>
      </c>
      <c r="N29" s="9">
        <f>IFERROR(VLOOKUP(B29,cubo!$A$6:$BE$37,25,0)-VLOOKUP(B29,#REF!,$N$2,0),0)</f>
        <v>0</v>
      </c>
      <c r="O29" s="9">
        <f>IFERROR(VLOOKUP(B29,cubo!$A$6:$BE$37,33,0)-VLOOKUP(B29,#REF!,$O$2,0),0)</f>
        <v>0</v>
      </c>
      <c r="P29" s="8">
        <f>IFERROR(VLOOKUP(B29,cubo!$A$6:$BE$37,37,0)-VLOOKUP(B29,#REF!,$P$2,0),0)</f>
        <v>0</v>
      </c>
      <c r="Q29" s="8">
        <f>IFERROR(VLOOKUP(B29,cubo!$A$6:$BE$37,56,0)-VLOOKUP(B29,#REF!,$Q$2,0),0)</f>
        <v>0</v>
      </c>
      <c r="R29" s="9">
        <f>IFERROR(VLOOKUP(B29,cubo!$A$6:$BE$37,40,0)-VLOOKUP(B29,#REF!,$R$2,0),0)</f>
        <v>0</v>
      </c>
      <c r="S29" s="9">
        <f>IFERROR(VLOOKUP(B29,cubo!$A$6:$BE$37,43,0)-VLOOKUP(B29,#REF!,$S$2,0),0)</f>
        <v>0</v>
      </c>
      <c r="T29" s="9">
        <f>IFERROR(VLOOKUP(B29,cubo!$A$6:$BE$37,46,0)-VLOOKUP(B29,#REF!,$T$2,0),0)</f>
        <v>0</v>
      </c>
      <c r="U29" s="9">
        <f>IFERROR(VLOOKUP(B29,cubo!$A$6:$BE$37,51,0)-VLOOKUP(B29,#REF!,$U$2,0),0)</f>
        <v>0</v>
      </c>
      <c r="V29" s="9">
        <f>IFERROR(VLOOKUP(B29,cubo!$A$6:$BJ$37,60,0)-VLOOKUP(B29,#REF!,$V$2,0),0)</f>
        <v>0</v>
      </c>
      <c r="W29" s="9">
        <f>IFERROR(VLOOKUP(B29,cubo!$A$6:$BE$37,26,0)-VLOOKUP(B29,#REF!,$W$2,0),0)</f>
        <v>0</v>
      </c>
      <c r="X29" s="9">
        <f>IFERROR(VLOOKUP(B29,cubo!$A$6:$BE$37,20,0)-VLOOKUP(B29,#REF!,$X$2,0),0)</f>
        <v>0</v>
      </c>
      <c r="Y29" s="9">
        <f>IFERROR(VLOOKUP(B29,cubo!$A$6:$BE$37,21,0)-VLOOKUP(B29,#REF!,$Y$2,0),0)</f>
        <v>0</v>
      </c>
      <c r="Z29" s="9">
        <f>IFERROR(VLOOKUP(B29,cubo!$A$6:$BE$37,27,0)-VLOOKUP(B29,#REF!,$Z$2,0),0)</f>
        <v>0</v>
      </c>
      <c r="AA29" s="9">
        <f>IFERROR(VLOOKUP(B29,cubo!$A$6:$BE$37,28,0)-VLOOKUP(B29,#REF!,$AA$2,0),0)</f>
        <v>0</v>
      </c>
      <c r="AB29" s="9">
        <f>IFERROR(VLOOKUP(B29,cubo!$A$6:$BE$37,29,0)-VLOOKUP(B29,#REF!,$AB$2,0),0)</f>
        <v>0</v>
      </c>
      <c r="AC29" s="9">
        <f>IFERROR(VLOOKUP(B29,cubo!$A$6:$BE$37,30,0)-VLOOKUP(B29,#REF!,$AC$2,0),0)</f>
        <v>0</v>
      </c>
      <c r="AD29" s="9">
        <f>IFERROR(VLOOKUP(B29,cubo!$A$6:$BE$37,31,0)-VLOOKUP(B29,#REF!,$AD$2,0),0)</f>
        <v>0</v>
      </c>
      <c r="AE29" s="9">
        <f>IFERROR(VLOOKUP(B29,cubo!$A$6:$BE$37,35,0)-VLOOKUP(B29,#REF!,$AE$2,0),0)</f>
        <v>0</v>
      </c>
      <c r="AF29" s="9" cm="1">
        <f t="array" aca="1" ref="AF29" ca="1">IFERROR(rrPROCV(B29,cubo!$A$6:$BE$37,48,0)-VLOOKUP(B29,#REF!,$AF$2,0),0)</f>
        <v>0</v>
      </c>
      <c r="AG29" s="9">
        <f>IFERROR(VLOOKUP(B29,cubo!$A$6:$BE$37,49,0)-VLOOKUP(B29,#REF!,$AG$2,0),0)</f>
        <v>0</v>
      </c>
      <c r="AH29" s="9">
        <f>IFERROR(VLOOKUP(B29,cubo!$A$6:$BE$37,50,0)-VLOOKUP(B29,#REF!,$AH$2,0),0)</f>
        <v>0</v>
      </c>
      <c r="AI29" s="9">
        <f>IFERROR(VLOOKUP(B29,cubo!$A$6:$BE$37,51,0)-VLOOKUP(B29,#REF!,$AI$2,0),0)</f>
        <v>0</v>
      </c>
      <c r="AJ29" s="9">
        <f>IFERROR(VLOOKUP(B29,cubo!$A$6:$BI$116,62,0)-VLOOKUP(B29,#REF!,$AJ$2,0),0)</f>
        <v>0</v>
      </c>
      <c r="AK29" s="9">
        <f>IFERROR(VLOOKUP(B29,cubo!$A$6:$BJ$37,63,0)-VLOOKUP(B29,#REF!,$AK$2,0),0)</f>
        <v>0</v>
      </c>
      <c r="AL29" s="9">
        <f>IFERROR(VLOOKUP(B29,cubo!$A$6:$BE$37,58,0)-VLOOKUP(B29,#REF!,$AL$2,0),0)</f>
        <v>0</v>
      </c>
      <c r="AM29" s="9">
        <f>IFERROR(VLOOKUP(B29,cubo!$A$6:$BK$37,64,0)-VLOOKUP(B29,#REF!,$AM$2,0),0)</f>
        <v>0</v>
      </c>
      <c r="AN29" s="9">
        <f>IFERROR(VLOOKUP(B29,cubo!$A$6:$AN$37,41,0)-VLOOKUP(B29,#REF!,$AN$2,0),0)</f>
        <v>0</v>
      </c>
    </row>
    <row r="30" spans="2:40" x14ac:dyDescent="0.25">
      <c r="B30" s="7">
        <f>[1]salario!A29</f>
        <v>27</v>
      </c>
      <c r="C30" s="8" t="str">
        <f>[1]salario!C29</f>
        <v>Colaborador 27</v>
      </c>
      <c r="D30" s="9">
        <f>IFERROR(VLOOKUP(B30,cubo!$A$6:$BE$37,3,0)-VLOOKUP(B30,#REF!,$D$2,0),0)</f>
        <v>0</v>
      </c>
      <c r="E30" s="10">
        <f>IFERROR(VLOOKUP(B30,cubo!$A$6:$BE$37,5,0)-VLOOKUP(B30,#REF!,$E$2,0),0)</f>
        <v>0</v>
      </c>
      <c r="F30" s="10">
        <f>IFERROR(VLOOKUP(B30,cubo!$A$6:$BE$37,8,0)-VLOOKUP(B30,#REF!,$F$2,0),0)</f>
        <v>0</v>
      </c>
      <c r="G30" s="9">
        <f>IFERROR(VLOOKUP(B30,cubo!$A$6:$BE$37,11,0)-VLOOKUP(B30,#REF!,$G$2,0),0)</f>
        <v>0</v>
      </c>
      <c r="H30" s="9">
        <f>IFERROR(VLOOKUP(B30,cubo!$A$6:$BE$37,53,0)-VLOOKUP(B30,#REF!,$H$2,0),0)</f>
        <v>0</v>
      </c>
      <c r="I30" s="10">
        <f>IFERROR(VLOOKUP(B30,cubo!$A$6:$BE$37,14,0)-VLOOKUP(B30,#REF!,$I$2,0),0)</f>
        <v>0</v>
      </c>
      <c r="J30" s="9">
        <f>IFERROR(VLOOKUP(B30,cubo!$A$6:$BE$37,16,0)-VLOOKUP(B30,#REF!,$J$2,0),0)</f>
        <v>0</v>
      </c>
      <c r="K30" s="9">
        <f>IFERROR(VLOOKUP(B30,cubo!$A$6:$BE$37,17,0)-VLOOKUP(B30,#REF!,$K$2,0),0)</f>
        <v>0</v>
      </c>
      <c r="L30" s="9">
        <f>IFERROR(VLOOKUP(B30,cubo!$A$6:$BE$37,19,0)-VLOOKUP(B30,#REF!,$L$2,0),0)</f>
        <v>0</v>
      </c>
      <c r="M30" s="9">
        <f>IFERROR(VLOOKUP(B30,cubo!$A$6:$BE$37,23,0)-VLOOKUP(B30,#REF!,$M$2,0),0)</f>
        <v>0</v>
      </c>
      <c r="N30" s="9">
        <f>IFERROR(VLOOKUP(B30,cubo!$A$6:$BE$37,25,0)-VLOOKUP(B30,#REF!,$N$2,0),0)</f>
        <v>0</v>
      </c>
      <c r="O30" s="9">
        <f>IFERROR(VLOOKUP(B30,cubo!$A$6:$BE$37,33,0)-VLOOKUP(B30,#REF!,$O$2,0),0)</f>
        <v>0</v>
      </c>
      <c r="P30" s="8">
        <f>IFERROR(VLOOKUP(B30,cubo!$A$6:$BE$37,37,0)-VLOOKUP(B30,#REF!,$P$2,0),0)</f>
        <v>0</v>
      </c>
      <c r="Q30" s="8">
        <f>IFERROR(VLOOKUP(B30,cubo!$A$6:$BE$37,56,0)-VLOOKUP(B30,#REF!,$Q$2,0),0)</f>
        <v>0</v>
      </c>
      <c r="R30" s="9">
        <f>IFERROR(VLOOKUP(B30,cubo!$A$6:$BE$37,40,0)-VLOOKUP(B30,#REF!,$R$2,0),0)</f>
        <v>0</v>
      </c>
      <c r="S30" s="9">
        <f>IFERROR(VLOOKUP(B30,cubo!$A$6:$BE$37,43,0)-VLOOKUP(B30,#REF!,$S$2,0),0)</f>
        <v>0</v>
      </c>
      <c r="T30" s="9">
        <f>IFERROR(VLOOKUP(B30,cubo!$A$6:$BE$37,46,0)-VLOOKUP(B30,#REF!,$T$2,0),0)</f>
        <v>0</v>
      </c>
      <c r="U30" s="9">
        <f>IFERROR(VLOOKUP(B30,cubo!$A$6:$BE$37,51,0)-VLOOKUP(B30,#REF!,$U$2,0),0)</f>
        <v>0</v>
      </c>
      <c r="V30" s="9">
        <f>IFERROR(VLOOKUP(B30,cubo!$A$6:$BJ$37,60,0)-VLOOKUP(B30,#REF!,$V$2,0),0)</f>
        <v>0</v>
      </c>
      <c r="W30" s="9">
        <f>IFERROR(VLOOKUP(B30,cubo!$A$6:$BE$37,26,0)-VLOOKUP(B30,#REF!,$W$2,0),0)</f>
        <v>0</v>
      </c>
      <c r="X30" s="9">
        <f>IFERROR(VLOOKUP(B30,cubo!$A$6:$BE$37,20,0)-VLOOKUP(B30,#REF!,$X$2,0),0)</f>
        <v>0</v>
      </c>
      <c r="Y30" s="9">
        <f>IFERROR(VLOOKUP(B30,cubo!$A$6:$BE$37,21,0)-VLOOKUP(B30,#REF!,$Y$2,0),0)</f>
        <v>0</v>
      </c>
      <c r="Z30" s="9">
        <f>IFERROR(VLOOKUP(B30,cubo!$A$6:$BE$37,27,0)-VLOOKUP(B30,#REF!,$Z$2,0),0)</f>
        <v>0</v>
      </c>
      <c r="AA30" s="9">
        <f>IFERROR(VLOOKUP(B30,cubo!$A$6:$BE$37,28,0)-VLOOKUP(B30,#REF!,$AA$2,0),0)</f>
        <v>0</v>
      </c>
      <c r="AB30" s="9">
        <f>IFERROR(VLOOKUP(B30,cubo!$A$6:$BE$37,29,0)-VLOOKUP(B30,#REF!,$AB$2,0),0)</f>
        <v>0</v>
      </c>
      <c r="AC30" s="9">
        <f>IFERROR(VLOOKUP(B30,cubo!$A$6:$BE$37,30,0)-VLOOKUP(B30,#REF!,$AC$2,0),0)</f>
        <v>0</v>
      </c>
      <c r="AD30" s="9">
        <f>IFERROR(VLOOKUP(B30,cubo!$A$6:$BE$37,31,0)-VLOOKUP(B30,#REF!,$AD$2,0),0)</f>
        <v>0</v>
      </c>
      <c r="AE30" s="9">
        <f>IFERROR(VLOOKUP(B30,cubo!$A$6:$BE$37,35,0)-VLOOKUP(B30,#REF!,$AE$2,0),0)</f>
        <v>0</v>
      </c>
      <c r="AF30" s="9" cm="1">
        <f t="array" aca="1" ref="AF30" ca="1">IFERROR(rrPROCV(B30,cubo!$A$6:$BE$37,48,0)-VLOOKUP(B30,#REF!,$AF$2,0),0)</f>
        <v>0</v>
      </c>
      <c r="AG30" s="9">
        <f>IFERROR(VLOOKUP(B30,cubo!$A$6:$BE$37,49,0)-VLOOKUP(B30,#REF!,$AG$2,0),0)</f>
        <v>0</v>
      </c>
      <c r="AH30" s="9">
        <f>IFERROR(VLOOKUP(B30,cubo!$A$6:$BE$37,50,0)-VLOOKUP(B30,#REF!,$AH$2,0),0)</f>
        <v>0</v>
      </c>
      <c r="AI30" s="9">
        <f>IFERROR(VLOOKUP(B30,cubo!$A$6:$BE$37,51,0)-VLOOKUP(B30,#REF!,$AI$2,0),0)</f>
        <v>0</v>
      </c>
      <c r="AJ30" s="9">
        <f>IFERROR(VLOOKUP(B30,cubo!$A$6:$BI$116,62,0)-VLOOKUP(B30,#REF!,$AJ$2,0),0)</f>
        <v>0</v>
      </c>
      <c r="AK30" s="9">
        <f>IFERROR(VLOOKUP(B30,cubo!$A$6:$BJ$37,63,0)-VLOOKUP(B30,#REF!,$AK$2,0),0)</f>
        <v>0</v>
      </c>
      <c r="AL30" s="9">
        <f>IFERROR(VLOOKUP(B30,cubo!$A$6:$BE$37,58,0)-VLOOKUP(B30,#REF!,$AL$2,0),0)</f>
        <v>0</v>
      </c>
      <c r="AM30" s="9">
        <f>IFERROR(VLOOKUP(B30,cubo!$A$6:$BK$37,64,0)-VLOOKUP(B30,#REF!,$AM$2,0),0)</f>
        <v>0</v>
      </c>
      <c r="AN30" s="9">
        <f>IFERROR(VLOOKUP(B30,cubo!$A$6:$AN$37,41,0)-VLOOKUP(B30,#REF!,$AN$2,0),0)</f>
        <v>0</v>
      </c>
    </row>
    <row r="31" spans="2:40" x14ac:dyDescent="0.25">
      <c r="B31" s="7">
        <f>[1]salario!A30</f>
        <v>28</v>
      </c>
      <c r="C31" s="8" t="str">
        <f>[1]salario!C30</f>
        <v>Colaborador 28</v>
      </c>
      <c r="D31" s="9">
        <f>IFERROR(VLOOKUP(B31,cubo!$A$6:$BE$37,3,0)-VLOOKUP(B31,#REF!,$D$2,0),0)</f>
        <v>0</v>
      </c>
      <c r="E31" s="10">
        <f>IFERROR(VLOOKUP(B31,cubo!$A$6:$BE$37,5,0)-VLOOKUP(B31,#REF!,$E$2,0),0)</f>
        <v>0</v>
      </c>
      <c r="F31" s="10">
        <f>IFERROR(VLOOKUP(B31,cubo!$A$6:$BE$37,8,0)-VLOOKUP(B31,#REF!,$F$2,0),0)</f>
        <v>0</v>
      </c>
      <c r="G31" s="9">
        <f>IFERROR(VLOOKUP(B31,cubo!$A$6:$BE$37,11,0)-VLOOKUP(B31,#REF!,$G$2,0),0)</f>
        <v>0</v>
      </c>
      <c r="H31" s="9">
        <f>IFERROR(VLOOKUP(B31,cubo!$A$6:$BE$37,53,0)-VLOOKUP(B31,#REF!,$H$2,0),0)</f>
        <v>0</v>
      </c>
      <c r="I31" s="10">
        <f>IFERROR(VLOOKUP(B31,cubo!$A$6:$BE$37,14,0)-VLOOKUP(B31,#REF!,$I$2,0),0)</f>
        <v>0</v>
      </c>
      <c r="J31" s="9">
        <f>IFERROR(VLOOKUP(B31,cubo!$A$6:$BE$37,16,0)-VLOOKUP(B31,#REF!,$J$2,0),0)</f>
        <v>0</v>
      </c>
      <c r="K31" s="9">
        <f>IFERROR(VLOOKUP(B31,cubo!$A$6:$BE$37,17,0)-VLOOKUP(B31,#REF!,$K$2,0),0)</f>
        <v>0</v>
      </c>
      <c r="L31" s="9">
        <f>IFERROR(VLOOKUP(B31,cubo!$A$6:$BE$37,19,0)-VLOOKUP(B31,#REF!,$L$2,0),0)</f>
        <v>0</v>
      </c>
      <c r="M31" s="9">
        <f>IFERROR(VLOOKUP(B31,cubo!$A$6:$BE$37,23,0)-VLOOKUP(B31,#REF!,$M$2,0),0)</f>
        <v>0</v>
      </c>
      <c r="N31" s="9">
        <f>IFERROR(VLOOKUP(B31,cubo!$A$6:$BE$37,25,0)-VLOOKUP(B31,#REF!,$N$2,0),0)</f>
        <v>0</v>
      </c>
      <c r="O31" s="9">
        <f>IFERROR(VLOOKUP(B31,cubo!$A$6:$BE$37,33,0)-VLOOKUP(B31,#REF!,$O$2,0),0)</f>
        <v>0</v>
      </c>
      <c r="P31" s="8">
        <f>IFERROR(VLOOKUP(B31,cubo!$A$6:$BE$37,37,0)-VLOOKUP(B31,#REF!,$P$2,0),0)</f>
        <v>0</v>
      </c>
      <c r="Q31" s="8">
        <f>IFERROR(VLOOKUP(B31,cubo!$A$6:$BE$37,56,0)-VLOOKUP(B31,#REF!,$Q$2,0),0)</f>
        <v>0</v>
      </c>
      <c r="R31" s="9">
        <f>IFERROR(VLOOKUP(B31,cubo!$A$6:$BE$37,40,0)-VLOOKUP(B31,#REF!,$R$2,0),0)</f>
        <v>0</v>
      </c>
      <c r="S31" s="9">
        <f>IFERROR(VLOOKUP(B31,cubo!$A$6:$BE$37,43,0)-VLOOKUP(B31,#REF!,$S$2,0),0)</f>
        <v>0</v>
      </c>
      <c r="T31" s="9">
        <f>IFERROR(VLOOKUP(B31,cubo!$A$6:$BE$37,46,0)-VLOOKUP(B31,#REF!,$T$2,0),0)</f>
        <v>0</v>
      </c>
      <c r="U31" s="9">
        <f>IFERROR(VLOOKUP(B31,cubo!$A$6:$BE$37,51,0)-VLOOKUP(B31,#REF!,$U$2,0),0)</f>
        <v>0</v>
      </c>
      <c r="V31" s="9">
        <f>IFERROR(VLOOKUP(B31,cubo!$A$6:$BJ$37,60,0)-VLOOKUP(B31,#REF!,$V$2,0),0)</f>
        <v>0</v>
      </c>
      <c r="W31" s="9">
        <f>IFERROR(VLOOKUP(B31,cubo!$A$6:$BE$37,26,0)-VLOOKUP(B31,#REF!,$W$2,0),0)</f>
        <v>0</v>
      </c>
      <c r="X31" s="9">
        <f>IFERROR(VLOOKUP(B31,cubo!$A$6:$BE$37,20,0)-VLOOKUP(B31,#REF!,$X$2,0),0)</f>
        <v>0</v>
      </c>
      <c r="Y31" s="9">
        <f>IFERROR(VLOOKUP(B31,cubo!$A$6:$BE$37,21,0)-VLOOKUP(B31,#REF!,$Y$2,0),0)</f>
        <v>0</v>
      </c>
      <c r="Z31" s="9">
        <f>IFERROR(VLOOKUP(B31,cubo!$A$6:$BE$37,27,0)-VLOOKUP(B31,#REF!,$Z$2,0),0)</f>
        <v>0</v>
      </c>
      <c r="AA31" s="9">
        <f>IFERROR(VLOOKUP(B31,cubo!$A$6:$BE$37,28,0)-VLOOKUP(B31,#REF!,$AA$2,0),0)</f>
        <v>0</v>
      </c>
      <c r="AB31" s="9">
        <f>IFERROR(VLOOKUP(B31,cubo!$A$6:$BE$37,29,0)-VLOOKUP(B31,#REF!,$AB$2,0),0)</f>
        <v>0</v>
      </c>
      <c r="AC31" s="9">
        <f>IFERROR(VLOOKUP(B31,cubo!$A$6:$BE$37,30,0)-VLOOKUP(B31,#REF!,$AC$2,0),0)</f>
        <v>0</v>
      </c>
      <c r="AD31" s="9">
        <f>IFERROR(VLOOKUP(B31,cubo!$A$6:$BE$37,31,0)-VLOOKUP(B31,#REF!,$AD$2,0),0)</f>
        <v>0</v>
      </c>
      <c r="AE31" s="9">
        <f>IFERROR(VLOOKUP(B31,cubo!$A$6:$BE$37,35,0)-VLOOKUP(B31,#REF!,$AE$2,0),0)</f>
        <v>0</v>
      </c>
      <c r="AF31" s="9" cm="1">
        <f t="array" aca="1" ref="AF31" ca="1">IFERROR(rrPROCV(B31,cubo!$A$6:$BE$37,48,0)-VLOOKUP(B31,#REF!,$AF$2,0),0)</f>
        <v>0</v>
      </c>
      <c r="AG31" s="9">
        <f>IFERROR(VLOOKUP(B31,cubo!$A$6:$BE$37,49,0)-VLOOKUP(B31,#REF!,$AG$2,0),0)</f>
        <v>0</v>
      </c>
      <c r="AH31" s="9">
        <f>IFERROR(VLOOKUP(B31,cubo!$A$6:$BE$37,50,0)-VLOOKUP(B31,#REF!,$AH$2,0),0)</f>
        <v>0</v>
      </c>
      <c r="AI31" s="9">
        <f>IFERROR(VLOOKUP(B31,cubo!$A$6:$BE$37,51,0)-VLOOKUP(B31,#REF!,$AI$2,0),0)</f>
        <v>0</v>
      </c>
      <c r="AJ31" s="9">
        <f>IFERROR(VLOOKUP(B31,cubo!$A$6:$BI$116,62,0)-VLOOKUP(B31,#REF!,$AJ$2,0),0)</f>
        <v>0</v>
      </c>
      <c r="AK31" s="9">
        <f>IFERROR(VLOOKUP(B31,cubo!$A$6:$BJ$37,63,0)-VLOOKUP(B31,#REF!,$AK$2,0),0)</f>
        <v>0</v>
      </c>
      <c r="AL31" s="9">
        <f>IFERROR(VLOOKUP(B31,cubo!$A$6:$BE$37,58,0)-VLOOKUP(B31,#REF!,$AL$2,0),0)</f>
        <v>0</v>
      </c>
      <c r="AM31" s="9">
        <f>IFERROR(VLOOKUP(B31,cubo!$A$6:$BK$37,64,0)-VLOOKUP(B31,#REF!,$AM$2,0),0)</f>
        <v>0</v>
      </c>
      <c r="AN31" s="9">
        <f>IFERROR(VLOOKUP(B31,cubo!$A$6:$AN$37,41,0)-VLOOKUP(B31,#REF!,$AN$2,0),0)</f>
        <v>0</v>
      </c>
    </row>
    <row r="32" spans="2:40" x14ac:dyDescent="0.25">
      <c r="B32" s="7">
        <f>[1]salario!A31</f>
        <v>29</v>
      </c>
      <c r="C32" s="8" t="str">
        <f>[1]salario!C31</f>
        <v>Colaborador 29</v>
      </c>
      <c r="D32" s="9">
        <f>IFERROR(VLOOKUP(B32,cubo!$A$6:$BE$37,3,0)-VLOOKUP(B32,#REF!,$D$2,0),0)</f>
        <v>0</v>
      </c>
      <c r="E32" s="10">
        <f>IFERROR(VLOOKUP(B32,cubo!$A$6:$BE$37,5,0)-VLOOKUP(B32,#REF!,$E$2,0),0)</f>
        <v>0</v>
      </c>
      <c r="F32" s="10">
        <f>IFERROR(VLOOKUP(B32,cubo!$A$6:$BE$37,8,0)-VLOOKUP(B32,#REF!,$F$2,0),0)</f>
        <v>0</v>
      </c>
      <c r="G32" s="9">
        <f>IFERROR(VLOOKUP(B32,cubo!$A$6:$BE$37,11,0)-VLOOKUP(B32,#REF!,$G$2,0),0)</f>
        <v>0</v>
      </c>
      <c r="H32" s="9">
        <f>IFERROR(VLOOKUP(B32,cubo!$A$6:$BE$37,53,0)-VLOOKUP(B32,#REF!,$H$2,0),0)</f>
        <v>0</v>
      </c>
      <c r="I32" s="10">
        <f>IFERROR(VLOOKUP(B32,cubo!$A$6:$BE$37,14,0)-VLOOKUP(B32,#REF!,$I$2,0),0)</f>
        <v>0</v>
      </c>
      <c r="J32" s="9">
        <f>IFERROR(VLOOKUP(B32,cubo!$A$6:$BE$37,16,0)-VLOOKUP(B32,#REF!,$J$2,0),0)</f>
        <v>0</v>
      </c>
      <c r="K32" s="9">
        <f>IFERROR(VLOOKUP(B32,cubo!$A$6:$BE$37,17,0)-VLOOKUP(B32,#REF!,$K$2,0),0)</f>
        <v>0</v>
      </c>
      <c r="L32" s="9">
        <f>IFERROR(VLOOKUP(B32,cubo!$A$6:$BE$37,19,0)-VLOOKUP(B32,#REF!,$L$2,0),0)</f>
        <v>0</v>
      </c>
      <c r="M32" s="9">
        <f>IFERROR(VLOOKUP(B32,cubo!$A$6:$BE$37,23,0)-VLOOKUP(B32,#REF!,$M$2,0),0)</f>
        <v>0</v>
      </c>
      <c r="N32" s="9">
        <f>IFERROR(VLOOKUP(B32,cubo!$A$6:$BE$37,25,0)-VLOOKUP(B32,#REF!,$N$2,0),0)</f>
        <v>0</v>
      </c>
      <c r="O32" s="9">
        <f>IFERROR(VLOOKUP(B32,cubo!$A$6:$BE$37,33,0)-VLOOKUP(B32,#REF!,$O$2,0),0)</f>
        <v>0</v>
      </c>
      <c r="P32" s="8">
        <f>IFERROR(VLOOKUP(B32,cubo!$A$6:$BE$37,37,0)-VLOOKUP(B32,#REF!,$P$2,0),0)</f>
        <v>0</v>
      </c>
      <c r="Q32" s="8">
        <f>IFERROR(VLOOKUP(B32,cubo!$A$6:$BE$37,56,0)-VLOOKUP(B32,#REF!,$Q$2,0),0)</f>
        <v>0</v>
      </c>
      <c r="R32" s="9">
        <f>IFERROR(VLOOKUP(B32,cubo!$A$6:$BE$37,40,0)-VLOOKUP(B32,#REF!,$R$2,0),0)</f>
        <v>0</v>
      </c>
      <c r="S32" s="9">
        <f>IFERROR(VLOOKUP(B32,cubo!$A$6:$BE$37,43,0)-VLOOKUP(B32,#REF!,$S$2,0),0)</f>
        <v>0</v>
      </c>
      <c r="T32" s="9">
        <f>IFERROR(VLOOKUP(B32,cubo!$A$6:$BE$37,46,0)-VLOOKUP(B32,#REF!,$T$2,0),0)</f>
        <v>0</v>
      </c>
      <c r="U32" s="9">
        <f>IFERROR(VLOOKUP(B32,cubo!$A$6:$BE$37,51,0)-VLOOKUP(B32,#REF!,$U$2,0),0)</f>
        <v>0</v>
      </c>
      <c r="V32" s="9">
        <f>IFERROR(VLOOKUP(B32,cubo!$A$6:$BJ$37,60,0)-VLOOKUP(B32,#REF!,$V$2,0),0)</f>
        <v>0</v>
      </c>
      <c r="W32" s="9">
        <f>IFERROR(VLOOKUP(B32,cubo!$A$6:$BE$37,26,0)-VLOOKUP(B32,#REF!,$W$2,0),0)</f>
        <v>0</v>
      </c>
      <c r="X32" s="9">
        <f>IFERROR(VLOOKUP(B32,cubo!$A$6:$BE$37,20,0)-VLOOKUP(B32,#REF!,$X$2,0),0)</f>
        <v>0</v>
      </c>
      <c r="Y32" s="9">
        <f>IFERROR(VLOOKUP(B32,cubo!$A$6:$BE$37,21,0)-VLOOKUP(B32,#REF!,$Y$2,0),0)</f>
        <v>0</v>
      </c>
      <c r="Z32" s="9">
        <f>IFERROR(VLOOKUP(B32,cubo!$A$6:$BE$37,27,0)-VLOOKUP(B32,#REF!,$Z$2,0),0)</f>
        <v>0</v>
      </c>
      <c r="AA32" s="9">
        <f>IFERROR(VLOOKUP(B32,cubo!$A$6:$BE$37,28,0)-VLOOKUP(B32,#REF!,$AA$2,0),0)</f>
        <v>0</v>
      </c>
      <c r="AB32" s="9">
        <f>IFERROR(VLOOKUP(B32,cubo!$A$6:$BE$37,29,0)-VLOOKUP(B32,#REF!,$AB$2,0),0)</f>
        <v>0</v>
      </c>
      <c r="AC32" s="9">
        <f>IFERROR(VLOOKUP(B32,cubo!$A$6:$BE$37,30,0)-VLOOKUP(B32,#REF!,$AC$2,0),0)</f>
        <v>0</v>
      </c>
      <c r="AD32" s="9">
        <f>IFERROR(VLOOKUP(B32,cubo!$A$6:$BE$37,31,0)-VLOOKUP(B32,#REF!,$AD$2,0),0)</f>
        <v>0</v>
      </c>
      <c r="AE32" s="9">
        <f>IFERROR(VLOOKUP(B32,cubo!$A$6:$BE$37,35,0)-VLOOKUP(B32,#REF!,$AE$2,0),0)</f>
        <v>0</v>
      </c>
      <c r="AF32" s="9" cm="1">
        <f t="array" aca="1" ref="AF32" ca="1">IFERROR(rrPROCV(B32,cubo!$A$6:$BE$37,48,0)-VLOOKUP(B32,#REF!,$AF$2,0),0)</f>
        <v>0</v>
      </c>
      <c r="AG32" s="9">
        <f>IFERROR(VLOOKUP(B32,cubo!$A$6:$BE$37,49,0)-VLOOKUP(B32,#REF!,$AG$2,0),0)</f>
        <v>0</v>
      </c>
      <c r="AH32" s="9">
        <f>IFERROR(VLOOKUP(B32,cubo!$A$6:$BE$37,50,0)-VLOOKUP(B32,#REF!,$AH$2,0),0)</f>
        <v>0</v>
      </c>
      <c r="AI32" s="9">
        <f>IFERROR(VLOOKUP(B32,cubo!$A$6:$BE$37,51,0)-VLOOKUP(B32,#REF!,$AI$2,0),0)</f>
        <v>0</v>
      </c>
      <c r="AJ32" s="9">
        <f>IFERROR(VLOOKUP(B32,cubo!$A$6:$BI$116,62,0)-VLOOKUP(B32,#REF!,$AJ$2,0),0)</f>
        <v>0</v>
      </c>
      <c r="AK32" s="9">
        <f>IFERROR(VLOOKUP(B32,cubo!$A$6:$BJ$37,63,0)-VLOOKUP(B32,#REF!,$AK$2,0),0)</f>
        <v>0</v>
      </c>
      <c r="AL32" s="9">
        <f>IFERROR(VLOOKUP(B32,cubo!$A$6:$BE$37,58,0)-VLOOKUP(B32,#REF!,$AL$2,0),0)</f>
        <v>0</v>
      </c>
      <c r="AM32" s="9">
        <f>IFERROR(VLOOKUP(B32,cubo!$A$6:$BK$37,64,0)-VLOOKUP(B32,#REF!,$AM$2,0),0)</f>
        <v>0</v>
      </c>
      <c r="AN32" s="9">
        <f>IFERROR(VLOOKUP(B32,cubo!$A$6:$AN$37,41,0)-VLOOKUP(B32,#REF!,$AN$2,0),0)</f>
        <v>0</v>
      </c>
    </row>
    <row r="33" spans="2:40" x14ac:dyDescent="0.25">
      <c r="B33" s="7">
        <f>[1]salario!A32</f>
        <v>30</v>
      </c>
      <c r="C33" s="8" t="str">
        <f>[1]salario!C32</f>
        <v>Colaborador 30</v>
      </c>
      <c r="D33" s="9">
        <f>IFERROR(VLOOKUP(B33,cubo!$A$6:$BE$37,3,0)-VLOOKUP(B33,#REF!,$D$2,0),0)</f>
        <v>0</v>
      </c>
      <c r="E33" s="10">
        <f>IFERROR(VLOOKUP(B33,cubo!$A$6:$BE$37,5,0)-VLOOKUP(B33,#REF!,$E$2,0),0)</f>
        <v>0</v>
      </c>
      <c r="F33" s="10">
        <f>IFERROR(VLOOKUP(B33,cubo!$A$6:$BE$37,8,0)-VLOOKUP(B33,#REF!,$F$2,0),0)</f>
        <v>0</v>
      </c>
      <c r="G33" s="9">
        <f>IFERROR(VLOOKUP(B33,cubo!$A$6:$BE$37,11,0)-VLOOKUP(B33,#REF!,$G$2,0),0)</f>
        <v>0</v>
      </c>
      <c r="H33" s="9">
        <f>IFERROR(VLOOKUP(B33,cubo!$A$6:$BE$37,53,0)-VLOOKUP(B33,#REF!,$H$2,0),0)</f>
        <v>0</v>
      </c>
      <c r="I33" s="10">
        <f>IFERROR(VLOOKUP(B33,cubo!$A$6:$BE$37,14,0)-VLOOKUP(B33,#REF!,$I$2,0),0)</f>
        <v>0</v>
      </c>
      <c r="J33" s="9">
        <f>IFERROR(VLOOKUP(B33,cubo!$A$6:$BE$37,16,0)-VLOOKUP(B33,#REF!,$J$2,0),0)</f>
        <v>0</v>
      </c>
      <c r="K33" s="9">
        <f>IFERROR(VLOOKUP(B33,cubo!$A$6:$BE$37,17,0)-VLOOKUP(B33,#REF!,$K$2,0),0)</f>
        <v>0</v>
      </c>
      <c r="L33" s="9">
        <f>IFERROR(VLOOKUP(B33,cubo!$A$6:$BE$37,19,0)-VLOOKUP(B33,#REF!,$L$2,0),0)</f>
        <v>0</v>
      </c>
      <c r="M33" s="9">
        <f>IFERROR(VLOOKUP(B33,cubo!$A$6:$BE$37,23,0)-VLOOKUP(B33,#REF!,$M$2,0),0)</f>
        <v>0</v>
      </c>
      <c r="N33" s="9">
        <f>IFERROR(VLOOKUP(B33,cubo!$A$6:$BE$37,25,0)-VLOOKUP(B33,#REF!,$N$2,0),0)</f>
        <v>0</v>
      </c>
      <c r="O33" s="9">
        <f>IFERROR(VLOOKUP(B33,cubo!$A$6:$BE$37,33,0)-VLOOKUP(B33,#REF!,$O$2,0),0)</f>
        <v>0</v>
      </c>
      <c r="P33" s="8">
        <f>IFERROR(VLOOKUP(B33,cubo!$A$6:$BE$37,37,0)-VLOOKUP(B33,#REF!,$P$2,0),0)</f>
        <v>0</v>
      </c>
      <c r="Q33" s="8">
        <f>IFERROR(VLOOKUP(B33,cubo!$A$6:$BE$37,56,0)-VLOOKUP(B33,#REF!,$Q$2,0),0)</f>
        <v>0</v>
      </c>
      <c r="R33" s="9">
        <f>IFERROR(VLOOKUP(B33,cubo!$A$6:$BE$37,40,0)-VLOOKUP(B33,#REF!,$R$2,0),0)</f>
        <v>0</v>
      </c>
      <c r="S33" s="9">
        <f>IFERROR(VLOOKUP(B33,cubo!$A$6:$BE$37,43,0)-VLOOKUP(B33,#REF!,$S$2,0),0)</f>
        <v>0</v>
      </c>
      <c r="T33" s="9">
        <f>IFERROR(VLOOKUP(B33,cubo!$A$6:$BE$37,46,0)-VLOOKUP(B33,#REF!,$T$2,0),0)</f>
        <v>0</v>
      </c>
      <c r="U33" s="9">
        <f>IFERROR(VLOOKUP(B33,cubo!$A$6:$BE$37,51,0)-VLOOKUP(B33,#REF!,$U$2,0),0)</f>
        <v>0</v>
      </c>
      <c r="V33" s="9">
        <f>IFERROR(VLOOKUP(B33,cubo!$A$6:$BJ$37,60,0)-VLOOKUP(B33,#REF!,$V$2,0),0)</f>
        <v>0</v>
      </c>
      <c r="W33" s="9">
        <f>IFERROR(VLOOKUP(B33,cubo!$A$6:$BE$37,26,0)-VLOOKUP(B33,#REF!,$W$2,0),0)</f>
        <v>0</v>
      </c>
      <c r="X33" s="9">
        <f>IFERROR(VLOOKUP(B33,cubo!$A$6:$BE$37,20,0)-VLOOKUP(B33,#REF!,$X$2,0),0)</f>
        <v>0</v>
      </c>
      <c r="Y33" s="9">
        <f>IFERROR(VLOOKUP(B33,cubo!$A$6:$BE$37,21,0)-VLOOKUP(B33,#REF!,$Y$2,0),0)</f>
        <v>0</v>
      </c>
      <c r="Z33" s="9">
        <f>IFERROR(VLOOKUP(B33,cubo!$A$6:$BE$37,27,0)-VLOOKUP(B33,#REF!,$Z$2,0),0)</f>
        <v>0</v>
      </c>
      <c r="AA33" s="9">
        <f>IFERROR(VLOOKUP(B33,cubo!$A$6:$BE$37,28,0)-VLOOKUP(B33,#REF!,$AA$2,0),0)</f>
        <v>0</v>
      </c>
      <c r="AB33" s="9">
        <f>IFERROR(VLOOKUP(B33,cubo!$A$6:$BE$37,29,0)-VLOOKUP(B33,#REF!,$AB$2,0),0)</f>
        <v>0</v>
      </c>
      <c r="AC33" s="9">
        <f>IFERROR(VLOOKUP(B33,cubo!$A$6:$BE$37,30,0)-VLOOKUP(B33,#REF!,$AC$2,0),0)</f>
        <v>0</v>
      </c>
      <c r="AD33" s="9">
        <f>IFERROR(VLOOKUP(B33,cubo!$A$6:$BE$37,31,0)-VLOOKUP(B33,#REF!,$AD$2,0),0)</f>
        <v>0</v>
      </c>
      <c r="AE33" s="9">
        <f>IFERROR(VLOOKUP(B33,cubo!$A$6:$BE$37,35,0)-VLOOKUP(B33,#REF!,$AE$2,0),0)</f>
        <v>0</v>
      </c>
      <c r="AF33" s="9" cm="1">
        <f t="array" aca="1" ref="AF33" ca="1">IFERROR(rrPROCV(B33,cubo!$A$6:$BE$37,48,0)-VLOOKUP(B33,#REF!,$AF$2,0),0)</f>
        <v>0</v>
      </c>
      <c r="AG33" s="9">
        <f>IFERROR(VLOOKUP(B33,cubo!$A$6:$BE$37,49,0)-VLOOKUP(B33,#REF!,$AG$2,0),0)</f>
        <v>0</v>
      </c>
      <c r="AH33" s="9">
        <f>IFERROR(VLOOKUP(B33,cubo!$A$6:$BE$37,50,0)-VLOOKUP(B33,#REF!,$AH$2,0),0)</f>
        <v>0</v>
      </c>
      <c r="AI33" s="9">
        <f>IFERROR(VLOOKUP(B33,cubo!$A$6:$BE$37,51,0)-VLOOKUP(B33,#REF!,$AI$2,0),0)</f>
        <v>0</v>
      </c>
      <c r="AJ33" s="9">
        <f>IFERROR(VLOOKUP(B33,cubo!$A$6:$BI$116,62,0)-VLOOKUP(B33,#REF!,$AJ$2,0),0)</f>
        <v>0</v>
      </c>
      <c r="AK33" s="9">
        <f>IFERROR(VLOOKUP(B33,cubo!$A$6:$BJ$37,63,0)-VLOOKUP(B33,#REF!,$AK$2,0),0)</f>
        <v>0</v>
      </c>
      <c r="AL33" s="9">
        <f>IFERROR(VLOOKUP(B33,cubo!$A$6:$BE$37,58,0)-VLOOKUP(B33,#REF!,$AL$2,0),0)</f>
        <v>0</v>
      </c>
      <c r="AM33" s="9">
        <f>IFERROR(VLOOKUP(B33,cubo!$A$6:$BK$37,64,0)-VLOOKUP(B33,#REF!,$AM$2,0),0)</f>
        <v>0</v>
      </c>
      <c r="AN33" s="9">
        <f>IFERROR(VLOOKUP(B33,cubo!$A$6:$AN$37,41,0)-VLOOKUP(B33,#REF!,$AN$2,0),0)</f>
        <v>0</v>
      </c>
    </row>
    <row r="34" spans="2:40" x14ac:dyDescent="0.25">
      <c r="B34" s="7">
        <f>[1]salario!A33</f>
        <v>0</v>
      </c>
      <c r="C34" s="8">
        <f>[1]salario!C33</f>
        <v>0</v>
      </c>
      <c r="D34" s="9">
        <f>IFERROR(VLOOKUP(B34,cubo!$A$6:$BE$37,3,0)-VLOOKUP(B34,#REF!,$D$2,0),0)</f>
        <v>0</v>
      </c>
      <c r="E34" s="10">
        <f>IFERROR(VLOOKUP(B34,cubo!$A$6:$BE$37,5,0)-VLOOKUP(B34,#REF!,$E$2,0),0)</f>
        <v>0</v>
      </c>
      <c r="F34" s="10">
        <f>IFERROR(VLOOKUP(B34,cubo!$A$6:$BE$37,8,0)-VLOOKUP(B34,#REF!,$F$2,0),0)</f>
        <v>0</v>
      </c>
      <c r="G34" s="9">
        <f>IFERROR(VLOOKUP(B34,cubo!$A$6:$BE$37,11,0)-VLOOKUP(B34,#REF!,$G$2,0),0)</f>
        <v>0</v>
      </c>
      <c r="H34" s="9">
        <f>IFERROR(VLOOKUP(B34,cubo!$A$6:$BE$37,53,0)-VLOOKUP(B34,#REF!,$H$2,0),0)</f>
        <v>0</v>
      </c>
      <c r="I34" s="10">
        <f>IFERROR(VLOOKUP(B34,cubo!$A$6:$BE$37,14,0)-VLOOKUP(B34,#REF!,$I$2,0),0)</f>
        <v>0</v>
      </c>
      <c r="J34" s="9">
        <f>IFERROR(VLOOKUP(B34,cubo!$A$6:$BE$37,16,0)-VLOOKUP(B34,#REF!,$J$2,0),0)</f>
        <v>0</v>
      </c>
      <c r="K34" s="9">
        <f>IFERROR(VLOOKUP(B34,cubo!$A$6:$BE$37,17,0)-VLOOKUP(B34,#REF!,$K$2,0),0)</f>
        <v>0</v>
      </c>
      <c r="L34" s="9">
        <f>IFERROR(VLOOKUP(B34,cubo!$A$6:$BE$37,19,0)-VLOOKUP(B34,#REF!,$L$2,0),0)</f>
        <v>0</v>
      </c>
      <c r="M34" s="9">
        <f>IFERROR(VLOOKUP(B34,cubo!$A$6:$BE$37,23,0)-VLOOKUP(B34,#REF!,$M$2,0),0)</f>
        <v>0</v>
      </c>
      <c r="N34" s="9">
        <f>IFERROR(VLOOKUP(B34,cubo!$A$6:$BE$37,25,0)-VLOOKUP(B34,#REF!,$N$2,0),0)</f>
        <v>0</v>
      </c>
      <c r="O34" s="9">
        <f>IFERROR(VLOOKUP(B34,cubo!$A$6:$BE$37,33,0)-VLOOKUP(B34,#REF!,$O$2,0),0)</f>
        <v>0</v>
      </c>
      <c r="P34" s="8">
        <f>IFERROR(VLOOKUP(B34,cubo!$A$6:$BE$37,37,0)-VLOOKUP(B34,#REF!,$P$2,0),0)</f>
        <v>0</v>
      </c>
      <c r="Q34" s="8">
        <f>IFERROR(VLOOKUP(B34,cubo!$A$6:$BE$37,56,0)-VLOOKUP(B34,#REF!,$Q$2,0),0)</f>
        <v>0</v>
      </c>
      <c r="R34" s="9">
        <f>IFERROR(VLOOKUP(B34,cubo!$A$6:$BE$37,40,0)-VLOOKUP(B34,#REF!,$R$2,0),0)</f>
        <v>0</v>
      </c>
      <c r="S34" s="9">
        <f>IFERROR(VLOOKUP(B34,cubo!$A$6:$BE$37,43,0)-VLOOKUP(B34,#REF!,$S$2,0),0)</f>
        <v>0</v>
      </c>
      <c r="T34" s="9">
        <f>IFERROR(VLOOKUP(B34,cubo!$A$6:$BE$37,46,0)-VLOOKUP(B34,#REF!,$T$2,0),0)</f>
        <v>0</v>
      </c>
      <c r="U34" s="9">
        <f>IFERROR(VLOOKUP(B34,cubo!$A$6:$BE$37,51,0)-VLOOKUP(B34,#REF!,$U$2,0),0)</f>
        <v>0</v>
      </c>
      <c r="V34" s="9">
        <f>IFERROR(VLOOKUP(B34,cubo!$A$6:$BJ$37,60,0)-VLOOKUP(B34,#REF!,$V$2,0),0)</f>
        <v>0</v>
      </c>
      <c r="W34" s="9">
        <f>IFERROR(VLOOKUP(B34,cubo!$A$6:$BE$37,26,0)-VLOOKUP(B34,#REF!,$W$2,0),0)</f>
        <v>0</v>
      </c>
      <c r="X34" s="9">
        <f>IFERROR(VLOOKUP(B34,cubo!$A$6:$BE$37,20,0)-VLOOKUP(B34,#REF!,$X$2,0),0)</f>
        <v>0</v>
      </c>
      <c r="Y34" s="9">
        <f>IFERROR(VLOOKUP(B34,cubo!$A$6:$BE$37,21,0)-VLOOKUP(B34,#REF!,$Y$2,0),0)</f>
        <v>0</v>
      </c>
      <c r="Z34" s="9">
        <f>IFERROR(VLOOKUP(B34,cubo!$A$6:$BE$37,27,0)-VLOOKUP(B34,#REF!,$Z$2,0),0)</f>
        <v>0</v>
      </c>
      <c r="AA34" s="9">
        <f>IFERROR(VLOOKUP(B34,cubo!$A$6:$BE$37,28,0)-VLOOKUP(B34,#REF!,$AA$2,0),0)</f>
        <v>0</v>
      </c>
      <c r="AB34" s="9">
        <f>IFERROR(VLOOKUP(B34,cubo!$A$6:$BE$37,29,0)-VLOOKUP(B34,#REF!,$AB$2,0),0)</f>
        <v>0</v>
      </c>
      <c r="AC34" s="9">
        <f>IFERROR(VLOOKUP(B34,cubo!$A$6:$BE$37,30,0)-VLOOKUP(B34,#REF!,$AC$2,0),0)</f>
        <v>0</v>
      </c>
      <c r="AD34" s="9">
        <f>IFERROR(VLOOKUP(B34,cubo!$A$6:$BE$37,31,0)-VLOOKUP(B34,#REF!,$AD$2,0),0)</f>
        <v>0</v>
      </c>
      <c r="AE34" s="9">
        <f>IFERROR(VLOOKUP(B34,cubo!$A$6:$BE$37,35,0)-VLOOKUP(B34,#REF!,$AE$2,0),0)</f>
        <v>0</v>
      </c>
      <c r="AF34" s="9" cm="1">
        <f t="array" aca="1" ref="AF34" ca="1">IFERROR(rrPROCV(B34,cubo!$A$6:$BE$37,48,0)-VLOOKUP(B34,#REF!,$AF$2,0),0)</f>
        <v>0</v>
      </c>
      <c r="AG34" s="9">
        <f>IFERROR(VLOOKUP(B34,cubo!$A$6:$BE$37,49,0)-VLOOKUP(B34,#REF!,$AG$2,0),0)</f>
        <v>0</v>
      </c>
      <c r="AH34" s="9">
        <f>IFERROR(VLOOKUP(B34,cubo!$A$6:$BE$37,50,0)-VLOOKUP(B34,#REF!,$AH$2,0),0)</f>
        <v>0</v>
      </c>
      <c r="AI34" s="9">
        <f>IFERROR(VLOOKUP(B34,cubo!$A$6:$BE$37,51,0)-VLOOKUP(B34,#REF!,$AI$2,0),0)</f>
        <v>0</v>
      </c>
      <c r="AJ34" s="9">
        <f>IFERROR(VLOOKUP(B34,cubo!$A$6:$BI$116,62,0)-VLOOKUP(B34,#REF!,$AJ$2,0),0)</f>
        <v>0</v>
      </c>
      <c r="AK34" s="9">
        <f>IFERROR(VLOOKUP(B34,cubo!$A$6:$BJ$37,63,0)-VLOOKUP(B34,#REF!,$AK$2,0),0)</f>
        <v>0</v>
      </c>
      <c r="AL34" s="9">
        <f>IFERROR(VLOOKUP(B34,cubo!$A$6:$BE$37,58,0)-VLOOKUP(B34,#REF!,$AL$2,0),0)</f>
        <v>0</v>
      </c>
      <c r="AM34" s="9">
        <f>IFERROR(VLOOKUP(B34,cubo!$A$6:$BK$37,64,0)-VLOOKUP(B34,#REF!,$AM$2,0),0)</f>
        <v>0</v>
      </c>
      <c r="AN34" s="9">
        <f>IFERROR(VLOOKUP(B34,cubo!$A$6:$AN$37,41,0)-VLOOKUP(B34,#REF!,$AN$2,0),0)</f>
        <v>0</v>
      </c>
    </row>
    <row r="35" spans="2:40" x14ac:dyDescent="0.25">
      <c r="B35" s="7">
        <f>[1]salario!A34</f>
        <v>0</v>
      </c>
      <c r="C35" s="8">
        <f>[1]salario!C34</f>
        <v>0</v>
      </c>
      <c r="D35" s="9">
        <f>IFERROR(VLOOKUP(B35,cubo!$A$6:$BE$37,3,0)-VLOOKUP(B35,#REF!,$D$2,0),0)</f>
        <v>0</v>
      </c>
      <c r="E35" s="10">
        <f>IFERROR(VLOOKUP(B35,cubo!$A$6:$BE$37,5,0)-VLOOKUP(B35,#REF!,$E$2,0),0)</f>
        <v>0</v>
      </c>
      <c r="F35" s="10">
        <f>IFERROR(VLOOKUP(B35,cubo!$A$6:$BE$37,8,0)-VLOOKUP(B35,#REF!,$F$2,0),0)</f>
        <v>0</v>
      </c>
      <c r="G35" s="9">
        <f>IFERROR(VLOOKUP(B35,cubo!$A$6:$BE$37,11,0)-VLOOKUP(B35,#REF!,$G$2,0),0)</f>
        <v>0</v>
      </c>
      <c r="H35" s="9">
        <f>IFERROR(VLOOKUP(B35,cubo!$A$6:$BE$37,53,0)-VLOOKUP(B35,#REF!,$H$2,0),0)</f>
        <v>0</v>
      </c>
      <c r="I35" s="10">
        <f>IFERROR(VLOOKUP(B35,cubo!$A$6:$BE$37,14,0)-VLOOKUP(B35,#REF!,$I$2,0),0)</f>
        <v>0</v>
      </c>
      <c r="J35" s="9">
        <f>IFERROR(VLOOKUP(B35,cubo!$A$6:$BE$37,16,0)-VLOOKUP(B35,#REF!,$J$2,0),0)</f>
        <v>0</v>
      </c>
      <c r="K35" s="9">
        <f>IFERROR(VLOOKUP(B35,cubo!$A$6:$BE$37,17,0)-VLOOKUP(B35,#REF!,$K$2,0),0)</f>
        <v>0</v>
      </c>
      <c r="L35" s="9">
        <f>IFERROR(VLOOKUP(B35,cubo!$A$6:$BE$37,19,0)-VLOOKUP(B35,#REF!,$L$2,0),0)</f>
        <v>0</v>
      </c>
      <c r="M35" s="9">
        <f>IFERROR(VLOOKUP(B35,cubo!$A$6:$BE$37,23,0)-VLOOKUP(B35,#REF!,$M$2,0),0)</f>
        <v>0</v>
      </c>
      <c r="N35" s="9">
        <f>IFERROR(VLOOKUP(B35,cubo!$A$6:$BE$37,25,0)-VLOOKUP(B35,#REF!,$N$2,0),0)</f>
        <v>0</v>
      </c>
      <c r="O35" s="9">
        <f>IFERROR(VLOOKUP(B35,cubo!$A$6:$BE$37,33,0)-VLOOKUP(B35,#REF!,$O$2,0),0)</f>
        <v>0</v>
      </c>
      <c r="P35" s="8">
        <f>IFERROR(VLOOKUP(B35,cubo!$A$6:$BE$37,37,0)-VLOOKUP(B35,#REF!,$P$2,0),0)</f>
        <v>0</v>
      </c>
      <c r="Q35" s="8">
        <f>IFERROR(VLOOKUP(B35,cubo!$A$6:$BE$37,56,0)-VLOOKUP(B35,#REF!,$Q$2,0),0)</f>
        <v>0</v>
      </c>
      <c r="R35" s="9">
        <f>IFERROR(VLOOKUP(B35,cubo!$A$6:$BE$37,40,0)-VLOOKUP(B35,#REF!,$R$2,0),0)</f>
        <v>0</v>
      </c>
      <c r="S35" s="9">
        <f>IFERROR(VLOOKUP(B35,cubo!$A$6:$BE$37,43,0)-VLOOKUP(B35,#REF!,$S$2,0),0)</f>
        <v>0</v>
      </c>
      <c r="T35" s="9">
        <f>IFERROR(VLOOKUP(B35,cubo!$A$6:$BE$37,46,0)-VLOOKUP(B35,#REF!,$T$2,0),0)</f>
        <v>0</v>
      </c>
      <c r="U35" s="9">
        <f>IFERROR(VLOOKUP(B35,cubo!$A$6:$BE$37,51,0)-VLOOKUP(B35,#REF!,$U$2,0),0)</f>
        <v>0</v>
      </c>
      <c r="V35" s="9">
        <f>IFERROR(VLOOKUP(B35,cubo!$A$6:$BJ$37,60,0)-VLOOKUP(B35,#REF!,$V$2,0),0)</f>
        <v>0</v>
      </c>
      <c r="W35" s="9">
        <f>IFERROR(VLOOKUP(B35,cubo!$A$6:$BE$37,26,0)-VLOOKUP(B35,#REF!,$W$2,0),0)</f>
        <v>0</v>
      </c>
      <c r="X35" s="9">
        <f>IFERROR(VLOOKUP(B35,cubo!$A$6:$BE$37,20,0)-VLOOKUP(B35,#REF!,$X$2,0),0)</f>
        <v>0</v>
      </c>
      <c r="Y35" s="9">
        <f>IFERROR(VLOOKUP(B35,cubo!$A$6:$BE$37,21,0)-VLOOKUP(B35,#REF!,$Y$2,0),0)</f>
        <v>0</v>
      </c>
      <c r="Z35" s="9">
        <f>IFERROR(VLOOKUP(B35,cubo!$A$6:$BE$37,27,0)-VLOOKUP(B35,#REF!,$Z$2,0),0)</f>
        <v>0</v>
      </c>
      <c r="AA35" s="9">
        <f>IFERROR(VLOOKUP(B35,cubo!$A$6:$BE$37,28,0)-VLOOKUP(B35,#REF!,$AA$2,0),0)</f>
        <v>0</v>
      </c>
      <c r="AB35" s="9">
        <f>IFERROR(VLOOKUP(B35,cubo!$A$6:$BE$37,29,0)-VLOOKUP(B35,#REF!,$AB$2,0),0)</f>
        <v>0</v>
      </c>
      <c r="AC35" s="9">
        <f>IFERROR(VLOOKUP(B35,cubo!$A$6:$BE$37,30,0)-VLOOKUP(B35,#REF!,$AC$2,0),0)</f>
        <v>0</v>
      </c>
      <c r="AD35" s="9">
        <f>IFERROR(VLOOKUP(B35,cubo!$A$6:$BE$37,31,0)-VLOOKUP(B35,#REF!,$AD$2,0),0)</f>
        <v>0</v>
      </c>
      <c r="AE35" s="9">
        <f>IFERROR(VLOOKUP(B35,cubo!$A$6:$BE$37,35,0)-VLOOKUP(B35,#REF!,$AE$2,0),0)</f>
        <v>0</v>
      </c>
      <c r="AF35" s="9" cm="1">
        <f t="array" aca="1" ref="AF35" ca="1">IFERROR(rrPROCV(B35,cubo!$A$6:$BE$37,48,0)-VLOOKUP(B35,#REF!,$AF$2,0),0)</f>
        <v>0</v>
      </c>
      <c r="AG35" s="9">
        <f>IFERROR(VLOOKUP(B35,cubo!$A$6:$BE$37,49,0)-VLOOKUP(B35,#REF!,$AG$2,0),0)</f>
        <v>0</v>
      </c>
      <c r="AH35" s="9">
        <f>IFERROR(VLOOKUP(B35,cubo!$A$6:$BE$37,50,0)-VLOOKUP(B35,#REF!,$AH$2,0),0)</f>
        <v>0</v>
      </c>
      <c r="AI35" s="9">
        <f>IFERROR(VLOOKUP(B35,cubo!$A$6:$BE$37,51,0)-VLOOKUP(B35,#REF!,$AI$2,0),0)</f>
        <v>0</v>
      </c>
      <c r="AJ35" s="9">
        <f>IFERROR(VLOOKUP(B35,cubo!$A$6:$BI$116,62,0)-VLOOKUP(B35,#REF!,$AJ$2,0),0)</f>
        <v>0</v>
      </c>
      <c r="AK35" s="9">
        <f>IFERROR(VLOOKUP(B35,cubo!$A$6:$BJ$37,63,0)-VLOOKUP(B35,#REF!,$AK$2,0),0)</f>
        <v>0</v>
      </c>
      <c r="AL35" s="9">
        <f>IFERROR(VLOOKUP(B35,cubo!$A$6:$BE$37,58,0)-VLOOKUP(B35,#REF!,$AL$2,0),0)</f>
        <v>0</v>
      </c>
      <c r="AM35" s="9">
        <f>IFERROR(VLOOKUP(B35,cubo!$A$6:$BK$37,64,0)-VLOOKUP(B35,#REF!,$AM$2,0),0)</f>
        <v>0</v>
      </c>
      <c r="AN35" s="9">
        <f>IFERROR(VLOOKUP(B35,cubo!$A$6:$AN$37,41,0)-VLOOKUP(B35,#REF!,$AN$2,0),0)</f>
        <v>0</v>
      </c>
    </row>
    <row r="36" spans="2:40" x14ac:dyDescent="0.25">
      <c r="B36" s="7">
        <f>[1]salario!A35</f>
        <v>0</v>
      </c>
      <c r="C36" s="8">
        <f>[1]salario!C35</f>
        <v>0</v>
      </c>
      <c r="D36" s="9">
        <f>IFERROR(VLOOKUP(B36,cubo!$A$6:$BE$37,3,0)-VLOOKUP(B36,#REF!,$D$2,0),0)</f>
        <v>0</v>
      </c>
      <c r="E36" s="10">
        <f>IFERROR(VLOOKUP(B36,cubo!$A$6:$BE$37,5,0)-VLOOKUP(B36,#REF!,$E$2,0),0)</f>
        <v>0</v>
      </c>
      <c r="F36" s="10">
        <f>IFERROR(VLOOKUP(B36,cubo!$A$6:$BE$37,8,0)-VLOOKUP(B36,#REF!,$F$2,0),0)</f>
        <v>0</v>
      </c>
      <c r="G36" s="9">
        <f>IFERROR(VLOOKUP(B36,cubo!$A$6:$BE$37,11,0)-VLOOKUP(B36,#REF!,$G$2,0),0)</f>
        <v>0</v>
      </c>
      <c r="H36" s="9">
        <f>IFERROR(VLOOKUP(B36,cubo!$A$6:$BE$37,53,0)-VLOOKUP(B36,#REF!,$H$2,0),0)</f>
        <v>0</v>
      </c>
      <c r="I36" s="10">
        <f>IFERROR(VLOOKUP(B36,cubo!$A$6:$BE$37,14,0)-VLOOKUP(B36,#REF!,$I$2,0),0)</f>
        <v>0</v>
      </c>
      <c r="J36" s="9">
        <f>IFERROR(VLOOKUP(B36,cubo!$A$6:$BE$37,16,0)-VLOOKUP(B36,#REF!,$J$2,0),0)</f>
        <v>0</v>
      </c>
      <c r="K36" s="9">
        <f>IFERROR(VLOOKUP(B36,cubo!$A$6:$BE$37,17,0)-VLOOKUP(B36,#REF!,$K$2,0),0)</f>
        <v>0</v>
      </c>
      <c r="L36" s="9">
        <f>IFERROR(VLOOKUP(B36,cubo!$A$6:$BE$37,19,0)-VLOOKUP(B36,#REF!,$L$2,0),0)</f>
        <v>0</v>
      </c>
      <c r="M36" s="9">
        <f>IFERROR(VLOOKUP(B36,cubo!$A$6:$BE$37,23,0)-VLOOKUP(B36,#REF!,$M$2,0),0)</f>
        <v>0</v>
      </c>
      <c r="N36" s="9">
        <f>IFERROR(VLOOKUP(B36,cubo!$A$6:$BE$37,25,0)-VLOOKUP(B36,#REF!,$N$2,0),0)</f>
        <v>0</v>
      </c>
      <c r="O36" s="9">
        <f>IFERROR(VLOOKUP(B36,cubo!$A$6:$BE$37,33,0)-VLOOKUP(B36,#REF!,$O$2,0),0)</f>
        <v>0</v>
      </c>
      <c r="P36" s="8">
        <f>IFERROR(VLOOKUP(B36,cubo!$A$6:$BE$37,37,0)-VLOOKUP(B36,#REF!,$P$2,0),0)</f>
        <v>0</v>
      </c>
      <c r="Q36" s="8">
        <f>IFERROR(VLOOKUP(B36,cubo!$A$6:$BE$37,56,0)-VLOOKUP(B36,#REF!,$Q$2,0),0)</f>
        <v>0</v>
      </c>
      <c r="R36" s="9">
        <f>IFERROR(VLOOKUP(B36,cubo!$A$6:$BE$37,40,0)-VLOOKUP(B36,#REF!,$R$2,0),0)</f>
        <v>0</v>
      </c>
      <c r="S36" s="9">
        <f>IFERROR(VLOOKUP(B36,cubo!$A$6:$BE$37,43,0)-VLOOKUP(B36,#REF!,$S$2,0),0)</f>
        <v>0</v>
      </c>
      <c r="T36" s="9">
        <f>IFERROR(VLOOKUP(B36,cubo!$A$6:$BE$37,46,0)-VLOOKUP(B36,#REF!,$T$2,0),0)</f>
        <v>0</v>
      </c>
      <c r="U36" s="9">
        <f>IFERROR(VLOOKUP(B36,cubo!$A$6:$BE$37,51,0)-VLOOKUP(B36,#REF!,$U$2,0),0)</f>
        <v>0</v>
      </c>
      <c r="V36" s="9">
        <f>IFERROR(VLOOKUP(B36,cubo!$A$6:$BJ$37,60,0)-VLOOKUP(B36,#REF!,$V$2,0),0)</f>
        <v>0</v>
      </c>
      <c r="W36" s="9">
        <f>IFERROR(VLOOKUP(B36,cubo!$A$6:$BE$37,26,0)-VLOOKUP(B36,#REF!,$W$2,0),0)</f>
        <v>0</v>
      </c>
      <c r="X36" s="9">
        <f>IFERROR(VLOOKUP(B36,cubo!$A$6:$BE$37,20,0)-VLOOKUP(B36,#REF!,$X$2,0),0)</f>
        <v>0</v>
      </c>
      <c r="Y36" s="9">
        <f>IFERROR(VLOOKUP(B36,cubo!$A$6:$BE$37,21,0)-VLOOKUP(B36,#REF!,$Y$2,0),0)</f>
        <v>0</v>
      </c>
      <c r="Z36" s="9">
        <f>IFERROR(VLOOKUP(B36,cubo!$A$6:$BE$37,27,0)-VLOOKUP(B36,#REF!,$Z$2,0),0)</f>
        <v>0</v>
      </c>
      <c r="AA36" s="9">
        <f>IFERROR(VLOOKUP(B36,cubo!$A$6:$BE$37,28,0)-VLOOKUP(B36,#REF!,$AA$2,0),0)</f>
        <v>0</v>
      </c>
      <c r="AB36" s="9">
        <f>IFERROR(VLOOKUP(B36,cubo!$A$6:$BE$37,29,0)-VLOOKUP(B36,#REF!,$AB$2,0),0)</f>
        <v>0</v>
      </c>
      <c r="AC36" s="9">
        <f>IFERROR(VLOOKUP(B36,cubo!$A$6:$BE$37,30,0)-VLOOKUP(B36,#REF!,$AC$2,0),0)</f>
        <v>0</v>
      </c>
      <c r="AD36" s="9">
        <f>IFERROR(VLOOKUP(B36,cubo!$A$6:$BE$37,31,0)-VLOOKUP(B36,#REF!,$AD$2,0),0)</f>
        <v>0</v>
      </c>
      <c r="AE36" s="9">
        <f>IFERROR(VLOOKUP(B36,cubo!$A$6:$BE$37,35,0)-VLOOKUP(B36,#REF!,$AE$2,0),0)</f>
        <v>0</v>
      </c>
      <c r="AF36" s="9" cm="1">
        <f t="array" aca="1" ref="AF36" ca="1">IFERROR(rrPROCV(B36,cubo!$A$6:$BE$37,48,0)-VLOOKUP(B36,#REF!,$AF$2,0),0)</f>
        <v>0</v>
      </c>
      <c r="AG36" s="9">
        <f>IFERROR(VLOOKUP(B36,cubo!$A$6:$BE$37,49,0)-VLOOKUP(B36,#REF!,$AG$2,0),0)</f>
        <v>0</v>
      </c>
      <c r="AH36" s="9">
        <f>IFERROR(VLOOKUP(B36,cubo!$A$6:$BE$37,50,0)-VLOOKUP(B36,#REF!,$AH$2,0),0)</f>
        <v>0</v>
      </c>
      <c r="AI36" s="9">
        <f>IFERROR(VLOOKUP(B36,cubo!$A$6:$BE$37,51,0)-VLOOKUP(B36,#REF!,$AI$2,0),0)</f>
        <v>0</v>
      </c>
      <c r="AJ36" s="9">
        <f>IFERROR(VLOOKUP(B36,cubo!$A$6:$BI$116,62,0)-VLOOKUP(B36,#REF!,$AJ$2,0),0)</f>
        <v>0</v>
      </c>
      <c r="AK36" s="9">
        <f>IFERROR(VLOOKUP(B36,cubo!$A$6:$BJ$37,63,0)-VLOOKUP(B36,#REF!,$AK$2,0),0)</f>
        <v>0</v>
      </c>
      <c r="AL36" s="9">
        <f>IFERROR(VLOOKUP(B36,cubo!$A$6:$BE$37,58,0)-VLOOKUP(B36,#REF!,$AL$2,0),0)</f>
        <v>0</v>
      </c>
      <c r="AM36" s="9">
        <f>IFERROR(VLOOKUP(B36,cubo!$A$6:$BK$37,64,0)-VLOOKUP(B36,#REF!,$AM$2,0),0)</f>
        <v>0</v>
      </c>
      <c r="AN36" s="9">
        <f>IFERROR(VLOOKUP(B36,cubo!$A$6:$AN$37,41,0)-VLOOKUP(B36,#REF!,$AN$2,0),0)</f>
        <v>0</v>
      </c>
    </row>
    <row r="37" spans="2:40" x14ac:dyDescent="0.25">
      <c r="B37" s="7">
        <f>[1]salario!A36</f>
        <v>0</v>
      </c>
      <c r="C37" s="8">
        <f>[1]salario!C36</f>
        <v>0</v>
      </c>
      <c r="D37" s="9">
        <f>IFERROR(VLOOKUP(B37,cubo!$A$6:$BE$37,3,0)-VLOOKUP(B37,#REF!,$D$2,0),0)</f>
        <v>0</v>
      </c>
      <c r="E37" s="10">
        <f>IFERROR(VLOOKUP(B37,cubo!$A$6:$BE$37,5,0)-VLOOKUP(B37,#REF!,$E$2,0),0)</f>
        <v>0</v>
      </c>
      <c r="F37" s="10">
        <f>IFERROR(VLOOKUP(B37,cubo!$A$6:$BE$37,8,0)-VLOOKUP(B37,#REF!,$F$2,0),0)</f>
        <v>0</v>
      </c>
      <c r="G37" s="9">
        <f>IFERROR(VLOOKUP(B37,cubo!$A$6:$BE$37,11,0)-VLOOKUP(B37,#REF!,$G$2,0),0)</f>
        <v>0</v>
      </c>
      <c r="H37" s="9">
        <f>IFERROR(VLOOKUP(B37,cubo!$A$6:$BE$37,53,0)-VLOOKUP(B37,#REF!,$H$2,0),0)</f>
        <v>0</v>
      </c>
      <c r="I37" s="10">
        <f>IFERROR(VLOOKUP(B37,cubo!$A$6:$BE$37,14,0)-VLOOKUP(B37,#REF!,$I$2,0),0)</f>
        <v>0</v>
      </c>
      <c r="J37" s="9">
        <f>IFERROR(VLOOKUP(B37,cubo!$A$6:$BE$37,16,0)-VLOOKUP(B37,#REF!,$J$2,0),0)</f>
        <v>0</v>
      </c>
      <c r="K37" s="9">
        <f>IFERROR(VLOOKUP(B37,cubo!$A$6:$BE$37,17,0)-VLOOKUP(B37,#REF!,$K$2,0),0)</f>
        <v>0</v>
      </c>
      <c r="L37" s="9">
        <f>IFERROR(VLOOKUP(B37,cubo!$A$6:$BE$37,19,0)-VLOOKUP(B37,#REF!,$L$2,0),0)</f>
        <v>0</v>
      </c>
      <c r="M37" s="9">
        <f>IFERROR(VLOOKUP(B37,cubo!$A$6:$BE$37,23,0)-VLOOKUP(B37,#REF!,$M$2,0),0)</f>
        <v>0</v>
      </c>
      <c r="N37" s="9">
        <f>IFERROR(VLOOKUP(B37,cubo!$A$6:$BE$37,25,0)-VLOOKUP(B37,#REF!,$N$2,0),0)</f>
        <v>0</v>
      </c>
      <c r="O37" s="9">
        <f>IFERROR(VLOOKUP(B37,cubo!$A$6:$BE$37,33,0)-VLOOKUP(B37,#REF!,$O$2,0),0)</f>
        <v>0</v>
      </c>
      <c r="P37" s="8">
        <f>IFERROR(VLOOKUP(B37,cubo!$A$6:$BE$37,37,0)-VLOOKUP(B37,#REF!,$P$2,0),0)</f>
        <v>0</v>
      </c>
      <c r="Q37" s="8">
        <f>IFERROR(VLOOKUP(B37,cubo!$A$6:$BE$37,56,0)-VLOOKUP(B37,#REF!,$Q$2,0),0)</f>
        <v>0</v>
      </c>
      <c r="R37" s="9">
        <f>IFERROR(VLOOKUP(B37,cubo!$A$6:$BE$37,40,0)-VLOOKUP(B37,#REF!,$R$2,0),0)</f>
        <v>0</v>
      </c>
      <c r="S37" s="9">
        <f>IFERROR(VLOOKUP(B37,cubo!$A$6:$BE$37,43,0)-VLOOKUP(B37,#REF!,$S$2,0),0)</f>
        <v>0</v>
      </c>
      <c r="T37" s="9">
        <f>IFERROR(VLOOKUP(B37,cubo!$A$6:$BE$37,46,0)-VLOOKUP(B37,#REF!,$T$2,0),0)</f>
        <v>0</v>
      </c>
      <c r="U37" s="9">
        <f>IFERROR(VLOOKUP(B37,cubo!$A$6:$BE$37,51,0)-VLOOKUP(B37,#REF!,$U$2,0),0)</f>
        <v>0</v>
      </c>
      <c r="V37" s="9">
        <f>IFERROR(VLOOKUP(B37,cubo!$A$6:$BJ$37,60,0)-VLOOKUP(B37,#REF!,$V$2,0),0)</f>
        <v>0</v>
      </c>
      <c r="W37" s="9">
        <f>IFERROR(VLOOKUP(B37,cubo!$A$6:$BE$37,26,0)-VLOOKUP(B37,#REF!,$W$2,0),0)</f>
        <v>0</v>
      </c>
      <c r="X37" s="9">
        <f>IFERROR(VLOOKUP(B37,cubo!$A$6:$BE$37,20,0)-VLOOKUP(B37,#REF!,$X$2,0),0)</f>
        <v>0</v>
      </c>
      <c r="Y37" s="9">
        <f>IFERROR(VLOOKUP(B37,cubo!$A$6:$BE$37,21,0)-VLOOKUP(B37,#REF!,$Y$2,0),0)</f>
        <v>0</v>
      </c>
      <c r="Z37" s="9">
        <f>IFERROR(VLOOKUP(B37,cubo!$A$6:$BE$37,27,0)-VLOOKUP(B37,#REF!,$Z$2,0),0)</f>
        <v>0</v>
      </c>
      <c r="AA37" s="9">
        <f>IFERROR(VLOOKUP(B37,cubo!$A$6:$BE$37,28,0)-VLOOKUP(B37,#REF!,$AA$2,0),0)</f>
        <v>0</v>
      </c>
      <c r="AB37" s="9">
        <f>IFERROR(VLOOKUP(B37,cubo!$A$6:$BE$37,29,0)-VLOOKUP(B37,#REF!,$AB$2,0),0)</f>
        <v>0</v>
      </c>
      <c r="AC37" s="9">
        <f>IFERROR(VLOOKUP(B37,cubo!$A$6:$BE$37,30,0)-VLOOKUP(B37,#REF!,$AC$2,0),0)</f>
        <v>0</v>
      </c>
      <c r="AD37" s="9">
        <f>IFERROR(VLOOKUP(B37,cubo!$A$6:$BE$37,31,0)-VLOOKUP(B37,#REF!,$AD$2,0),0)</f>
        <v>0</v>
      </c>
      <c r="AE37" s="9">
        <f>IFERROR(VLOOKUP(B37,cubo!$A$6:$BE$37,35,0)-VLOOKUP(B37,#REF!,$AE$2,0),0)</f>
        <v>0</v>
      </c>
      <c r="AF37" s="9" cm="1">
        <f t="array" aca="1" ref="AF37" ca="1">IFERROR(rrPROCV(B37,cubo!$A$6:$BE$37,48,0)-VLOOKUP(B37,#REF!,$AF$2,0),0)</f>
        <v>0</v>
      </c>
      <c r="AG37" s="9">
        <f>IFERROR(VLOOKUP(B37,cubo!$A$6:$BE$37,49,0)-VLOOKUP(B37,#REF!,$AG$2,0),0)</f>
        <v>0</v>
      </c>
      <c r="AH37" s="9">
        <f>IFERROR(VLOOKUP(B37,cubo!$A$6:$BE$37,50,0)-VLOOKUP(B37,#REF!,$AH$2,0),0)</f>
        <v>0</v>
      </c>
      <c r="AI37" s="9">
        <f>IFERROR(VLOOKUP(B37,cubo!$A$6:$BE$37,51,0)-VLOOKUP(B37,#REF!,$AI$2,0),0)</f>
        <v>0</v>
      </c>
      <c r="AJ37" s="9">
        <f>IFERROR(VLOOKUP(B37,cubo!$A$6:$BI$116,62,0)-VLOOKUP(B37,#REF!,$AJ$2,0),0)</f>
        <v>0</v>
      </c>
      <c r="AK37" s="9">
        <f>IFERROR(VLOOKUP(B37,cubo!$A$6:$BJ$37,63,0)-VLOOKUP(B37,#REF!,$AK$2,0),0)</f>
        <v>0</v>
      </c>
      <c r="AL37" s="9">
        <f>IFERROR(VLOOKUP(B37,cubo!$A$6:$BE$37,58,0)-VLOOKUP(B37,#REF!,$AL$2,0),0)</f>
        <v>0</v>
      </c>
      <c r="AM37" s="9">
        <f>IFERROR(VLOOKUP(B37,cubo!$A$6:$BK$37,64,0)-VLOOKUP(B37,#REF!,$AM$2,0),0)</f>
        <v>0</v>
      </c>
      <c r="AN37" s="9">
        <f>IFERROR(VLOOKUP(B37,cubo!$A$6:$AN$37,41,0)-VLOOKUP(B37,#REF!,$AN$2,0),0)</f>
        <v>0</v>
      </c>
    </row>
    <row r="38" spans="2:40" x14ac:dyDescent="0.25">
      <c r="B38" s="7">
        <f>[1]salario!A37</f>
        <v>0</v>
      </c>
      <c r="C38" s="8">
        <f>[1]salario!C37</f>
        <v>0</v>
      </c>
      <c r="D38" s="9">
        <f>IFERROR(VLOOKUP(B38,cubo!$A$6:$BE$37,3,0)-VLOOKUP(B38,#REF!,$D$2,0),0)</f>
        <v>0</v>
      </c>
      <c r="E38" s="10">
        <f>IFERROR(VLOOKUP(B38,cubo!$A$6:$BE$37,5,0)-VLOOKUP(B38,#REF!,$E$2,0),0)</f>
        <v>0</v>
      </c>
      <c r="F38" s="10">
        <f>IFERROR(VLOOKUP(B38,cubo!$A$6:$BE$37,8,0)-VLOOKUP(B38,#REF!,$F$2,0),0)</f>
        <v>0</v>
      </c>
      <c r="G38" s="9">
        <f>IFERROR(VLOOKUP(B38,cubo!$A$6:$BE$37,11,0)-VLOOKUP(B38,#REF!,$G$2,0),0)</f>
        <v>0</v>
      </c>
      <c r="H38" s="9">
        <f>IFERROR(VLOOKUP(B38,cubo!$A$6:$BE$37,53,0)-VLOOKUP(B38,#REF!,$H$2,0),0)</f>
        <v>0</v>
      </c>
      <c r="I38" s="10">
        <f>IFERROR(VLOOKUP(B38,cubo!$A$6:$BE$37,14,0)-VLOOKUP(B38,#REF!,$I$2,0),0)</f>
        <v>0</v>
      </c>
      <c r="J38" s="9">
        <f>IFERROR(VLOOKUP(B38,cubo!$A$6:$BE$37,16,0)-VLOOKUP(B38,#REF!,$J$2,0),0)</f>
        <v>0</v>
      </c>
      <c r="K38" s="9">
        <f>IFERROR(VLOOKUP(B38,cubo!$A$6:$BE$37,17,0)-VLOOKUP(B38,#REF!,$K$2,0),0)</f>
        <v>0</v>
      </c>
      <c r="L38" s="9">
        <f>IFERROR(VLOOKUP(B38,cubo!$A$6:$BE$37,19,0)-VLOOKUP(B38,#REF!,$L$2,0),0)</f>
        <v>0</v>
      </c>
      <c r="M38" s="9">
        <f>IFERROR(VLOOKUP(B38,cubo!$A$6:$BE$37,23,0)-VLOOKUP(B38,#REF!,$M$2,0),0)</f>
        <v>0</v>
      </c>
      <c r="N38" s="9">
        <f>IFERROR(VLOOKUP(B38,cubo!$A$6:$BE$37,25,0)-VLOOKUP(B38,#REF!,$N$2,0),0)</f>
        <v>0</v>
      </c>
      <c r="O38" s="9">
        <f>IFERROR(VLOOKUP(B38,cubo!$A$6:$BE$37,33,0)-VLOOKUP(B38,#REF!,$O$2,0),0)</f>
        <v>0</v>
      </c>
      <c r="P38" s="8">
        <f>IFERROR(VLOOKUP(B38,cubo!$A$6:$BE$37,37,0)-VLOOKUP(B38,#REF!,$P$2,0),0)</f>
        <v>0</v>
      </c>
      <c r="Q38" s="8">
        <f>IFERROR(VLOOKUP(B38,cubo!$A$6:$BE$37,56,0)-VLOOKUP(B38,#REF!,$Q$2,0),0)</f>
        <v>0</v>
      </c>
      <c r="R38" s="9">
        <f>IFERROR(VLOOKUP(B38,cubo!$A$6:$BE$37,40,0)-VLOOKUP(B38,#REF!,$R$2,0),0)</f>
        <v>0</v>
      </c>
      <c r="S38" s="9">
        <f>IFERROR(VLOOKUP(B38,cubo!$A$6:$BE$37,43,0)-VLOOKUP(B38,#REF!,$S$2,0),0)</f>
        <v>0</v>
      </c>
      <c r="T38" s="9">
        <f>IFERROR(VLOOKUP(B38,cubo!$A$6:$BE$37,46,0)-VLOOKUP(B38,#REF!,$T$2,0),0)</f>
        <v>0</v>
      </c>
      <c r="U38" s="9">
        <f>IFERROR(VLOOKUP(B38,cubo!$A$6:$BE$37,51,0)-VLOOKUP(B38,#REF!,$U$2,0),0)</f>
        <v>0</v>
      </c>
      <c r="V38" s="9">
        <f>IFERROR(VLOOKUP(B38,cubo!$A$6:$BJ$37,60,0)-VLOOKUP(B38,#REF!,$V$2,0),0)</f>
        <v>0</v>
      </c>
      <c r="W38" s="9">
        <f>IFERROR(VLOOKUP(B38,cubo!$A$6:$BE$37,26,0)-VLOOKUP(B38,#REF!,$W$2,0),0)</f>
        <v>0</v>
      </c>
      <c r="X38" s="9">
        <f>IFERROR(VLOOKUP(B38,cubo!$A$6:$BE$37,20,0)-VLOOKUP(B38,#REF!,$X$2,0),0)</f>
        <v>0</v>
      </c>
      <c r="Y38" s="9">
        <f>IFERROR(VLOOKUP(B38,cubo!$A$6:$BE$37,21,0)-VLOOKUP(B38,#REF!,$Y$2,0),0)</f>
        <v>0</v>
      </c>
      <c r="Z38" s="9">
        <f>IFERROR(VLOOKUP(B38,cubo!$A$6:$BE$37,27,0)-VLOOKUP(B38,#REF!,$Z$2,0),0)</f>
        <v>0</v>
      </c>
      <c r="AA38" s="9">
        <f>IFERROR(VLOOKUP(B38,cubo!$A$6:$BE$37,28,0)-VLOOKUP(B38,#REF!,$AA$2,0),0)</f>
        <v>0</v>
      </c>
      <c r="AB38" s="9">
        <f>IFERROR(VLOOKUP(B38,cubo!$A$6:$BE$37,29,0)-VLOOKUP(B38,#REF!,$AB$2,0),0)</f>
        <v>0</v>
      </c>
      <c r="AC38" s="9">
        <f>IFERROR(VLOOKUP(B38,cubo!$A$6:$BE$37,30,0)-VLOOKUP(B38,#REF!,$AC$2,0),0)</f>
        <v>0</v>
      </c>
      <c r="AD38" s="9">
        <f>IFERROR(VLOOKUP(B38,cubo!$A$6:$BE$37,31,0)-VLOOKUP(B38,#REF!,$AD$2,0),0)</f>
        <v>0</v>
      </c>
      <c r="AE38" s="9">
        <f>IFERROR(VLOOKUP(B38,cubo!$A$6:$BE$37,35,0)-VLOOKUP(B38,#REF!,$AE$2,0),0)</f>
        <v>0</v>
      </c>
      <c r="AF38" s="9" cm="1">
        <f t="array" aca="1" ref="AF38" ca="1">IFERROR(rrPROCV(B38,cubo!$A$6:$BE$37,48,0)-VLOOKUP(B38,#REF!,$AF$2,0),0)</f>
        <v>0</v>
      </c>
      <c r="AG38" s="9">
        <f>IFERROR(VLOOKUP(B38,cubo!$A$6:$BE$37,49,0)-VLOOKUP(B38,#REF!,$AG$2,0),0)</f>
        <v>0</v>
      </c>
      <c r="AH38" s="9">
        <f>IFERROR(VLOOKUP(B38,cubo!$A$6:$BE$37,50,0)-VLOOKUP(B38,#REF!,$AH$2,0),0)</f>
        <v>0</v>
      </c>
      <c r="AI38" s="9">
        <f>IFERROR(VLOOKUP(B38,cubo!$A$6:$BE$37,51,0)-VLOOKUP(B38,#REF!,$AI$2,0),0)</f>
        <v>0</v>
      </c>
      <c r="AJ38" s="9">
        <f>IFERROR(VLOOKUP(B38,cubo!$A$6:$BI$116,62,0)-VLOOKUP(B38,#REF!,$AJ$2,0),0)</f>
        <v>0</v>
      </c>
      <c r="AK38" s="9">
        <f>IFERROR(VLOOKUP(B38,cubo!$A$6:$BJ$37,63,0)-VLOOKUP(B38,#REF!,$AK$2,0),0)</f>
        <v>0</v>
      </c>
      <c r="AL38" s="9">
        <f>IFERROR(VLOOKUP(B38,cubo!$A$6:$BE$37,58,0)-VLOOKUP(B38,#REF!,$AL$2,0),0)</f>
        <v>0</v>
      </c>
      <c r="AM38" s="9">
        <f>IFERROR(VLOOKUP(B38,cubo!$A$6:$BK$37,64,0)-VLOOKUP(B38,#REF!,$AM$2,0),0)</f>
        <v>0</v>
      </c>
      <c r="AN38" s="9">
        <f>IFERROR(VLOOKUP(B38,cubo!$A$6:$AN$37,41,0)-VLOOKUP(B38,#REF!,$AN$2,0),0)</f>
        <v>0</v>
      </c>
    </row>
    <row r="39" spans="2:40" x14ac:dyDescent="0.25">
      <c r="B39" s="7">
        <f>[1]salario!A38</f>
        <v>0</v>
      </c>
      <c r="C39" s="8">
        <f>[1]salario!C38</f>
        <v>0</v>
      </c>
      <c r="D39" s="9">
        <f>IFERROR(VLOOKUP(B39,cubo!$A$6:$BE$37,3,0)-VLOOKUP(B39,#REF!,$D$2,0),0)</f>
        <v>0</v>
      </c>
      <c r="E39" s="10">
        <f>IFERROR(VLOOKUP(B39,cubo!$A$6:$BE$37,5,0)-VLOOKUP(B39,#REF!,$E$2,0),0)</f>
        <v>0</v>
      </c>
      <c r="F39" s="10">
        <f>IFERROR(VLOOKUP(B39,cubo!$A$6:$BE$37,8,0)-VLOOKUP(B39,#REF!,$F$2,0),0)</f>
        <v>0</v>
      </c>
      <c r="G39" s="9">
        <f>IFERROR(VLOOKUP(B39,cubo!$A$6:$BE$37,11,0)-VLOOKUP(B39,#REF!,$G$2,0),0)</f>
        <v>0</v>
      </c>
      <c r="H39" s="9">
        <f>IFERROR(VLOOKUP(B39,cubo!$A$6:$BE$37,53,0)-VLOOKUP(B39,#REF!,$H$2,0),0)</f>
        <v>0</v>
      </c>
      <c r="I39" s="10">
        <f>IFERROR(VLOOKUP(B39,cubo!$A$6:$BE$37,14,0)-VLOOKUP(B39,#REF!,$I$2,0),0)</f>
        <v>0</v>
      </c>
      <c r="J39" s="9">
        <f>IFERROR(VLOOKUP(B39,cubo!$A$6:$BE$37,16,0)-VLOOKUP(B39,#REF!,$J$2,0),0)</f>
        <v>0</v>
      </c>
      <c r="K39" s="9">
        <f>IFERROR(VLOOKUP(B39,cubo!$A$6:$BE$37,17,0)-VLOOKUP(B39,#REF!,$K$2,0),0)</f>
        <v>0</v>
      </c>
      <c r="L39" s="9">
        <f>IFERROR(VLOOKUP(B39,cubo!$A$6:$BE$37,19,0)-VLOOKUP(B39,#REF!,$L$2,0),0)</f>
        <v>0</v>
      </c>
      <c r="M39" s="9">
        <f>IFERROR(VLOOKUP(B39,cubo!$A$6:$BE$37,23,0)-VLOOKUP(B39,#REF!,$M$2,0),0)</f>
        <v>0</v>
      </c>
      <c r="N39" s="9">
        <f>IFERROR(VLOOKUP(B39,cubo!$A$6:$BE$37,25,0)-VLOOKUP(B39,#REF!,$N$2,0),0)</f>
        <v>0</v>
      </c>
      <c r="O39" s="9">
        <f>IFERROR(VLOOKUP(B39,cubo!$A$6:$BE$37,33,0)-VLOOKUP(B39,#REF!,$O$2,0),0)</f>
        <v>0</v>
      </c>
      <c r="P39" s="8">
        <f>IFERROR(VLOOKUP(B39,cubo!$A$6:$BE$37,37,0)-VLOOKUP(B39,#REF!,$P$2,0),0)</f>
        <v>0</v>
      </c>
      <c r="Q39" s="8">
        <f>IFERROR(VLOOKUP(B39,cubo!$A$6:$BE$37,56,0)-VLOOKUP(B39,#REF!,$Q$2,0),0)</f>
        <v>0</v>
      </c>
      <c r="R39" s="9">
        <f>IFERROR(VLOOKUP(B39,cubo!$A$6:$BE$37,40,0)-VLOOKUP(B39,#REF!,$R$2,0),0)</f>
        <v>0</v>
      </c>
      <c r="S39" s="9">
        <f>IFERROR(VLOOKUP(B39,cubo!$A$6:$BE$37,43,0)-VLOOKUP(B39,#REF!,$S$2,0),0)</f>
        <v>0</v>
      </c>
      <c r="T39" s="9">
        <f>IFERROR(VLOOKUP(B39,cubo!$A$6:$BE$37,46,0)-VLOOKUP(B39,#REF!,$T$2,0),0)</f>
        <v>0</v>
      </c>
      <c r="U39" s="9">
        <f>IFERROR(VLOOKUP(B39,cubo!$A$6:$BE$37,51,0)-VLOOKUP(B39,#REF!,$U$2,0),0)</f>
        <v>0</v>
      </c>
      <c r="V39" s="9">
        <f>IFERROR(VLOOKUP(B39,cubo!$A$6:$BJ$37,60,0)-VLOOKUP(B39,#REF!,$V$2,0),0)</f>
        <v>0</v>
      </c>
      <c r="W39" s="9">
        <f>IFERROR(VLOOKUP(B39,cubo!$A$6:$BE$37,26,0)-VLOOKUP(B39,#REF!,$W$2,0),0)</f>
        <v>0</v>
      </c>
      <c r="X39" s="9">
        <f>IFERROR(VLOOKUP(B39,cubo!$A$6:$BE$37,20,0)-VLOOKUP(B39,#REF!,$X$2,0),0)</f>
        <v>0</v>
      </c>
      <c r="Y39" s="9">
        <f>IFERROR(VLOOKUP(B39,cubo!$A$6:$BE$37,21,0)-VLOOKUP(B39,#REF!,$Y$2,0),0)</f>
        <v>0</v>
      </c>
      <c r="Z39" s="9">
        <f>IFERROR(VLOOKUP(B39,cubo!$A$6:$BE$37,27,0)-VLOOKUP(B39,#REF!,$Z$2,0),0)</f>
        <v>0</v>
      </c>
      <c r="AA39" s="9">
        <f>IFERROR(VLOOKUP(B39,cubo!$A$6:$BE$37,28,0)-VLOOKUP(B39,#REF!,$AA$2,0),0)</f>
        <v>0</v>
      </c>
      <c r="AB39" s="9">
        <f>IFERROR(VLOOKUP(B39,cubo!$A$6:$BE$37,29,0)-VLOOKUP(B39,#REF!,$AB$2,0),0)</f>
        <v>0</v>
      </c>
      <c r="AC39" s="9">
        <f>IFERROR(VLOOKUP(B39,cubo!$A$6:$BE$37,30,0)-VLOOKUP(B39,#REF!,$AC$2,0),0)</f>
        <v>0</v>
      </c>
      <c r="AD39" s="9">
        <f>IFERROR(VLOOKUP(B39,cubo!$A$6:$BE$37,31,0)-VLOOKUP(B39,#REF!,$AD$2,0),0)</f>
        <v>0</v>
      </c>
      <c r="AE39" s="9">
        <f>IFERROR(VLOOKUP(B39,cubo!$A$6:$BE$37,35,0)-VLOOKUP(B39,#REF!,$AE$2,0),0)</f>
        <v>0</v>
      </c>
      <c r="AF39" s="9" cm="1">
        <f t="array" aca="1" ref="AF39" ca="1">IFERROR(rrPROCV(B39,cubo!$A$6:$BE$37,48,0)-VLOOKUP(B39,#REF!,$AF$2,0),0)</f>
        <v>0</v>
      </c>
      <c r="AG39" s="9">
        <f>IFERROR(VLOOKUP(B39,cubo!$A$6:$BE$37,49,0)-VLOOKUP(B39,#REF!,$AG$2,0),0)</f>
        <v>0</v>
      </c>
      <c r="AH39" s="9">
        <f>IFERROR(VLOOKUP(B39,cubo!$A$6:$BE$37,50,0)-VLOOKUP(B39,#REF!,$AH$2,0),0)</f>
        <v>0</v>
      </c>
      <c r="AI39" s="9">
        <f>IFERROR(VLOOKUP(B39,cubo!$A$6:$BE$37,51,0)-VLOOKUP(B39,#REF!,$AI$2,0),0)</f>
        <v>0</v>
      </c>
      <c r="AJ39" s="9">
        <f>IFERROR(VLOOKUP(B39,cubo!$A$6:$BI$116,62,0)-VLOOKUP(B39,#REF!,$AJ$2,0),0)</f>
        <v>0</v>
      </c>
      <c r="AK39" s="9">
        <f>IFERROR(VLOOKUP(B39,cubo!$A$6:$BJ$37,63,0)-VLOOKUP(B39,#REF!,$AK$2,0),0)</f>
        <v>0</v>
      </c>
      <c r="AL39" s="9">
        <f>IFERROR(VLOOKUP(B39,cubo!$A$6:$BE$37,58,0)-VLOOKUP(B39,#REF!,$AL$2,0),0)</f>
        <v>0</v>
      </c>
      <c r="AM39" s="9">
        <f>IFERROR(VLOOKUP(B39,cubo!$A$6:$BK$37,64,0)-VLOOKUP(B39,#REF!,$AM$2,0),0)</f>
        <v>0</v>
      </c>
      <c r="AN39" s="9">
        <f>IFERROR(VLOOKUP(B39,cubo!$A$6:$AN$37,41,0)-VLOOKUP(B39,#REF!,$AN$2,0),0)</f>
        <v>0</v>
      </c>
    </row>
    <row r="40" spans="2:40" x14ac:dyDescent="0.25">
      <c r="B40" s="7">
        <f>[1]salario!A39</f>
        <v>0</v>
      </c>
      <c r="C40" s="8">
        <f>[1]salario!C39</f>
        <v>0</v>
      </c>
      <c r="D40" s="9">
        <f>IFERROR(VLOOKUP(B40,cubo!$A$6:$BE$37,3,0)-VLOOKUP(B40,#REF!,$D$2,0),0)</f>
        <v>0</v>
      </c>
      <c r="E40" s="10">
        <f>IFERROR(VLOOKUP(B40,cubo!$A$6:$BE$37,5,0)-VLOOKUP(B40,#REF!,$E$2,0),0)</f>
        <v>0</v>
      </c>
      <c r="F40" s="10">
        <f>IFERROR(VLOOKUP(B40,cubo!$A$6:$BE$37,8,0)-VLOOKUP(B40,#REF!,$F$2,0),0)</f>
        <v>0</v>
      </c>
      <c r="G40" s="9">
        <f>IFERROR(VLOOKUP(B40,cubo!$A$6:$BE$37,11,0)-VLOOKUP(B40,#REF!,$G$2,0),0)</f>
        <v>0</v>
      </c>
      <c r="H40" s="9">
        <f>IFERROR(VLOOKUP(B40,cubo!$A$6:$BE$37,53,0)-VLOOKUP(B40,#REF!,$H$2,0),0)</f>
        <v>0</v>
      </c>
      <c r="I40" s="10">
        <f>IFERROR(VLOOKUP(B40,cubo!$A$6:$BE$37,14,0)-VLOOKUP(B40,#REF!,$I$2,0),0)</f>
        <v>0</v>
      </c>
      <c r="J40" s="9">
        <f>IFERROR(VLOOKUP(B40,cubo!$A$6:$BE$37,16,0)-VLOOKUP(B40,#REF!,$J$2,0),0)</f>
        <v>0</v>
      </c>
      <c r="K40" s="9">
        <f>IFERROR(VLOOKUP(B40,cubo!$A$6:$BE$37,17,0)-VLOOKUP(B40,#REF!,$K$2,0),0)</f>
        <v>0</v>
      </c>
      <c r="L40" s="9">
        <f>IFERROR(VLOOKUP(B40,cubo!$A$6:$BE$37,19,0)-VLOOKUP(B40,#REF!,$L$2,0),0)</f>
        <v>0</v>
      </c>
      <c r="M40" s="9">
        <f>IFERROR(VLOOKUP(B40,cubo!$A$6:$BE$37,23,0)-VLOOKUP(B40,#REF!,$M$2,0),0)</f>
        <v>0</v>
      </c>
      <c r="N40" s="9">
        <f>IFERROR(VLOOKUP(B40,cubo!$A$6:$BE$37,25,0)-VLOOKUP(B40,#REF!,$N$2,0),0)</f>
        <v>0</v>
      </c>
      <c r="O40" s="9">
        <f>IFERROR(VLOOKUP(B40,cubo!$A$6:$BE$37,33,0)-VLOOKUP(B40,#REF!,$O$2,0),0)</f>
        <v>0</v>
      </c>
      <c r="P40" s="8">
        <f>IFERROR(VLOOKUP(B40,cubo!$A$6:$BE$37,37,0)-VLOOKUP(B40,#REF!,$P$2,0),0)</f>
        <v>0</v>
      </c>
      <c r="Q40" s="8">
        <f>IFERROR(VLOOKUP(B40,cubo!$A$6:$BE$37,56,0)-VLOOKUP(B40,#REF!,$Q$2,0),0)</f>
        <v>0</v>
      </c>
      <c r="R40" s="9">
        <f>IFERROR(VLOOKUP(B40,cubo!$A$6:$BE$37,40,0)-VLOOKUP(B40,#REF!,$R$2,0),0)</f>
        <v>0</v>
      </c>
      <c r="S40" s="9">
        <f>IFERROR(VLOOKUP(B40,cubo!$A$6:$BE$37,43,0)-VLOOKUP(B40,#REF!,$S$2,0),0)</f>
        <v>0</v>
      </c>
      <c r="T40" s="9">
        <f>IFERROR(VLOOKUP(B40,cubo!$A$6:$BE$37,46,0)-VLOOKUP(B40,#REF!,$T$2,0),0)</f>
        <v>0</v>
      </c>
      <c r="U40" s="9">
        <f>IFERROR(VLOOKUP(B40,cubo!$A$6:$BE$37,51,0)-VLOOKUP(B40,#REF!,$U$2,0),0)</f>
        <v>0</v>
      </c>
      <c r="V40" s="9">
        <f>IFERROR(VLOOKUP(B40,cubo!$A$6:$BJ$37,60,0)-VLOOKUP(B40,#REF!,$V$2,0),0)</f>
        <v>0</v>
      </c>
      <c r="W40" s="9">
        <f>IFERROR(VLOOKUP(B40,cubo!$A$6:$BE$37,26,0)-VLOOKUP(B40,#REF!,$W$2,0),0)</f>
        <v>0</v>
      </c>
      <c r="X40" s="9">
        <f>IFERROR(VLOOKUP(B40,cubo!$A$6:$BE$37,20,0)-VLOOKUP(B40,#REF!,$X$2,0),0)</f>
        <v>0</v>
      </c>
      <c r="Y40" s="9">
        <f>IFERROR(VLOOKUP(B40,cubo!$A$6:$BE$37,21,0)-VLOOKUP(B40,#REF!,$Y$2,0),0)</f>
        <v>0</v>
      </c>
      <c r="Z40" s="9">
        <f>IFERROR(VLOOKUP(B40,cubo!$A$6:$BE$37,27,0)-VLOOKUP(B40,#REF!,$Z$2,0),0)</f>
        <v>0</v>
      </c>
      <c r="AA40" s="9">
        <f>IFERROR(VLOOKUP(B40,cubo!$A$6:$BE$37,28,0)-VLOOKUP(B40,#REF!,$AA$2,0),0)</f>
        <v>0</v>
      </c>
      <c r="AB40" s="9">
        <f>IFERROR(VLOOKUP(B40,cubo!$A$6:$BE$37,29,0)-VLOOKUP(B40,#REF!,$AB$2,0),0)</f>
        <v>0</v>
      </c>
      <c r="AC40" s="9">
        <f>IFERROR(VLOOKUP(B40,cubo!$A$6:$BE$37,30,0)-VLOOKUP(B40,#REF!,$AC$2,0),0)</f>
        <v>0</v>
      </c>
      <c r="AD40" s="9">
        <f>IFERROR(VLOOKUP(B40,cubo!$A$6:$BE$37,31,0)-VLOOKUP(B40,#REF!,$AD$2,0),0)</f>
        <v>0</v>
      </c>
      <c r="AE40" s="9">
        <f>IFERROR(VLOOKUP(B40,cubo!$A$6:$BE$37,35,0)-VLOOKUP(B40,#REF!,$AE$2,0),0)</f>
        <v>0</v>
      </c>
      <c r="AF40" s="9" cm="1">
        <f t="array" aca="1" ref="AF40" ca="1">IFERROR(rrPROCV(B40,cubo!$A$6:$BE$37,48,0)-VLOOKUP(B40,#REF!,$AF$2,0),0)</f>
        <v>0</v>
      </c>
      <c r="AG40" s="9">
        <f>IFERROR(VLOOKUP(B40,cubo!$A$6:$BE$37,49,0)-VLOOKUP(B40,#REF!,$AG$2,0),0)</f>
        <v>0</v>
      </c>
      <c r="AH40" s="9">
        <f>IFERROR(VLOOKUP(B40,cubo!$A$6:$BE$37,50,0)-VLOOKUP(B40,#REF!,$AH$2,0),0)</f>
        <v>0</v>
      </c>
      <c r="AI40" s="9">
        <f>IFERROR(VLOOKUP(B40,cubo!$A$6:$BE$37,51,0)-VLOOKUP(B40,#REF!,$AI$2,0),0)</f>
        <v>0</v>
      </c>
      <c r="AJ40" s="9">
        <f>IFERROR(VLOOKUP(B40,cubo!$A$6:$BI$116,62,0)-VLOOKUP(B40,#REF!,$AJ$2,0),0)</f>
        <v>0</v>
      </c>
      <c r="AK40" s="9">
        <f>IFERROR(VLOOKUP(B40,cubo!$A$6:$BJ$37,63,0)-VLOOKUP(B40,#REF!,$AK$2,0),0)</f>
        <v>0</v>
      </c>
      <c r="AL40" s="9">
        <f>IFERROR(VLOOKUP(B40,cubo!$A$6:$BE$37,58,0)-VLOOKUP(B40,#REF!,$AL$2,0),0)</f>
        <v>0</v>
      </c>
      <c r="AM40" s="9">
        <f>IFERROR(VLOOKUP(B40,cubo!$A$6:$BK$37,64,0)-VLOOKUP(B40,#REF!,$AM$2,0),0)</f>
        <v>0</v>
      </c>
      <c r="AN40" s="9">
        <f>IFERROR(VLOOKUP(B40,cubo!$A$6:$AN$37,41,0)-VLOOKUP(B40,#REF!,$AN$2,0),0)</f>
        <v>0</v>
      </c>
    </row>
    <row r="41" spans="2:40" x14ac:dyDescent="0.25">
      <c r="B41" s="7">
        <f>[1]salario!A40</f>
        <v>0</v>
      </c>
      <c r="C41" s="8">
        <f>[1]salario!C40</f>
        <v>0</v>
      </c>
      <c r="D41" s="9">
        <f>IFERROR(VLOOKUP(B41,cubo!$A$6:$BE$37,3,0)-VLOOKUP(B41,#REF!,$D$2,0),0)</f>
        <v>0</v>
      </c>
      <c r="E41" s="10">
        <f>IFERROR(VLOOKUP(B41,cubo!$A$6:$BE$37,5,0)-VLOOKUP(B41,#REF!,$E$2,0),0)</f>
        <v>0</v>
      </c>
      <c r="F41" s="10">
        <f>IFERROR(VLOOKUP(B41,cubo!$A$6:$BE$37,8,0)-VLOOKUP(B41,#REF!,$F$2,0),0)</f>
        <v>0</v>
      </c>
      <c r="G41" s="9">
        <f>IFERROR(VLOOKUP(B41,cubo!$A$6:$BE$37,11,0)-VLOOKUP(B41,#REF!,$G$2,0),0)</f>
        <v>0</v>
      </c>
      <c r="H41" s="9">
        <f>IFERROR(VLOOKUP(B41,cubo!$A$6:$BE$37,53,0)-VLOOKUP(B41,#REF!,$H$2,0),0)</f>
        <v>0</v>
      </c>
      <c r="I41" s="10">
        <f>IFERROR(VLOOKUP(B41,cubo!$A$6:$BE$37,14,0)-VLOOKUP(B41,#REF!,$I$2,0),0)</f>
        <v>0</v>
      </c>
      <c r="J41" s="9">
        <f>IFERROR(VLOOKUP(B41,cubo!$A$6:$BE$37,16,0)-VLOOKUP(B41,#REF!,$J$2,0),0)</f>
        <v>0</v>
      </c>
      <c r="K41" s="9">
        <f>IFERROR(VLOOKUP(B41,cubo!$A$6:$BE$37,17,0)-VLOOKUP(B41,#REF!,$K$2,0),0)</f>
        <v>0</v>
      </c>
      <c r="L41" s="9">
        <f>IFERROR(VLOOKUP(B41,cubo!$A$6:$BE$37,19,0)-VLOOKUP(B41,#REF!,$L$2,0),0)</f>
        <v>0</v>
      </c>
      <c r="M41" s="9">
        <f>IFERROR(VLOOKUP(B41,cubo!$A$6:$BE$37,23,0)-VLOOKUP(B41,#REF!,$M$2,0),0)</f>
        <v>0</v>
      </c>
      <c r="N41" s="9">
        <f>IFERROR(VLOOKUP(B41,cubo!$A$6:$BE$37,25,0)-VLOOKUP(B41,#REF!,$N$2,0),0)</f>
        <v>0</v>
      </c>
      <c r="O41" s="9">
        <f>IFERROR(VLOOKUP(B41,cubo!$A$6:$BE$37,33,0)-VLOOKUP(B41,#REF!,$O$2,0),0)</f>
        <v>0</v>
      </c>
      <c r="P41" s="8">
        <f>IFERROR(VLOOKUP(B41,cubo!$A$6:$BE$37,37,0)-VLOOKUP(B41,#REF!,$P$2,0),0)</f>
        <v>0</v>
      </c>
      <c r="Q41" s="8">
        <f>IFERROR(VLOOKUP(B41,cubo!$A$6:$BE$37,56,0)-VLOOKUP(B41,#REF!,$Q$2,0),0)</f>
        <v>0</v>
      </c>
      <c r="R41" s="9">
        <f>IFERROR(VLOOKUP(B41,cubo!$A$6:$BE$37,40,0)-VLOOKUP(B41,#REF!,$R$2,0),0)</f>
        <v>0</v>
      </c>
      <c r="S41" s="9">
        <f>IFERROR(VLOOKUP(B41,cubo!$A$6:$BE$37,43,0)-VLOOKUP(B41,#REF!,$S$2,0),0)</f>
        <v>0</v>
      </c>
      <c r="T41" s="9">
        <f>IFERROR(VLOOKUP(B41,cubo!$A$6:$BE$37,46,0)-VLOOKUP(B41,#REF!,$T$2,0),0)</f>
        <v>0</v>
      </c>
      <c r="U41" s="9">
        <f>IFERROR(VLOOKUP(B41,cubo!$A$6:$BE$37,51,0)-VLOOKUP(B41,#REF!,$U$2,0),0)</f>
        <v>0</v>
      </c>
      <c r="V41" s="9">
        <f>IFERROR(VLOOKUP(B41,cubo!$A$6:$BJ$37,60,0)-VLOOKUP(B41,#REF!,$V$2,0),0)</f>
        <v>0</v>
      </c>
      <c r="W41" s="9">
        <f>IFERROR(VLOOKUP(B41,cubo!$A$6:$BE$37,26,0)-VLOOKUP(B41,#REF!,$W$2,0),0)</f>
        <v>0</v>
      </c>
      <c r="X41" s="9">
        <f>IFERROR(VLOOKUP(B41,cubo!$A$6:$BE$37,20,0)-VLOOKUP(B41,#REF!,$X$2,0),0)</f>
        <v>0</v>
      </c>
      <c r="Y41" s="9">
        <f>IFERROR(VLOOKUP(B41,cubo!$A$6:$BE$37,21,0)-VLOOKUP(B41,#REF!,$Y$2,0),0)</f>
        <v>0</v>
      </c>
      <c r="Z41" s="9">
        <f>IFERROR(VLOOKUP(B41,cubo!$A$6:$BE$37,27,0)-VLOOKUP(B41,#REF!,$Z$2,0),0)</f>
        <v>0</v>
      </c>
      <c r="AA41" s="9">
        <f>IFERROR(VLOOKUP(B41,cubo!$A$6:$BE$37,28,0)-VLOOKUP(B41,#REF!,$AA$2,0),0)</f>
        <v>0</v>
      </c>
      <c r="AB41" s="9">
        <f>IFERROR(VLOOKUP(B41,cubo!$A$6:$BE$37,29,0)-VLOOKUP(B41,#REF!,$AB$2,0),0)</f>
        <v>0</v>
      </c>
      <c r="AC41" s="9">
        <f>IFERROR(VLOOKUP(B41,cubo!$A$6:$BE$37,30,0)-VLOOKUP(B41,#REF!,$AC$2,0),0)</f>
        <v>0</v>
      </c>
      <c r="AD41" s="9">
        <f>IFERROR(VLOOKUP(B41,cubo!$A$6:$BE$37,31,0)-VLOOKUP(B41,#REF!,$AD$2,0),0)</f>
        <v>0</v>
      </c>
      <c r="AE41" s="9">
        <f>IFERROR(VLOOKUP(B41,cubo!$A$6:$BE$37,35,0)-VLOOKUP(B41,#REF!,$AE$2,0),0)</f>
        <v>0</v>
      </c>
      <c r="AF41" s="9" cm="1">
        <f t="array" aca="1" ref="AF41" ca="1">IFERROR(rrPROCV(B41,cubo!$A$6:$BE$37,48,0)-VLOOKUP(B41,#REF!,$AF$2,0),0)</f>
        <v>0</v>
      </c>
      <c r="AG41" s="9">
        <f>IFERROR(VLOOKUP(B41,cubo!$A$6:$BE$37,49,0)-VLOOKUP(B41,#REF!,$AG$2,0),0)</f>
        <v>0</v>
      </c>
      <c r="AH41" s="9">
        <f>IFERROR(VLOOKUP(B41,cubo!$A$6:$BE$37,50,0)-VLOOKUP(B41,#REF!,$AH$2,0),0)</f>
        <v>0</v>
      </c>
      <c r="AI41" s="9">
        <f>IFERROR(VLOOKUP(B41,cubo!$A$6:$BE$37,51,0)-VLOOKUP(B41,#REF!,$AI$2,0),0)</f>
        <v>0</v>
      </c>
      <c r="AJ41" s="9">
        <f>IFERROR(VLOOKUP(B41,cubo!$A$6:$BI$116,62,0)-VLOOKUP(B41,#REF!,$AJ$2,0),0)</f>
        <v>0</v>
      </c>
      <c r="AK41" s="9">
        <f>IFERROR(VLOOKUP(B41,cubo!$A$6:$BJ$37,63,0)-VLOOKUP(B41,#REF!,$AK$2,0),0)</f>
        <v>0</v>
      </c>
      <c r="AL41" s="9">
        <f>IFERROR(VLOOKUP(B41,cubo!$A$6:$BE$37,58,0)-VLOOKUP(B41,#REF!,$AL$2,0),0)</f>
        <v>0</v>
      </c>
      <c r="AM41" s="9">
        <f>IFERROR(VLOOKUP(B41,cubo!$A$6:$BK$37,64,0)-VLOOKUP(B41,#REF!,$AM$2,0),0)</f>
        <v>0</v>
      </c>
      <c r="AN41" s="9">
        <f>IFERROR(VLOOKUP(B41,cubo!$A$6:$AN$37,41,0)-VLOOKUP(B41,#REF!,$AN$2,0),0)</f>
        <v>0</v>
      </c>
    </row>
    <row r="42" spans="2:40" x14ac:dyDescent="0.25">
      <c r="B42" s="7">
        <f>[1]salario!A41</f>
        <v>0</v>
      </c>
      <c r="C42" s="8">
        <f>[1]salario!C41</f>
        <v>0</v>
      </c>
      <c r="D42" s="9">
        <f>IFERROR(VLOOKUP(B42,cubo!$A$6:$BE$37,3,0)-VLOOKUP(B42,#REF!,$D$2,0),0)</f>
        <v>0</v>
      </c>
      <c r="E42" s="10">
        <f>IFERROR(VLOOKUP(B42,cubo!$A$6:$BE$37,5,0)-VLOOKUP(B42,#REF!,$E$2,0),0)</f>
        <v>0</v>
      </c>
      <c r="F42" s="10">
        <f>IFERROR(VLOOKUP(B42,cubo!$A$6:$BE$37,8,0)-VLOOKUP(B42,#REF!,$F$2,0),0)</f>
        <v>0</v>
      </c>
      <c r="G42" s="9">
        <f>IFERROR(VLOOKUP(B42,cubo!$A$6:$BE$37,11,0)-VLOOKUP(B42,#REF!,$G$2,0),0)</f>
        <v>0</v>
      </c>
      <c r="H42" s="9">
        <f>IFERROR(VLOOKUP(B42,cubo!$A$6:$BE$37,53,0)-VLOOKUP(B42,#REF!,$H$2,0),0)</f>
        <v>0</v>
      </c>
      <c r="I42" s="10">
        <f>IFERROR(VLOOKUP(B42,cubo!$A$6:$BE$37,14,0)-VLOOKUP(B42,#REF!,$I$2,0),0)</f>
        <v>0</v>
      </c>
      <c r="J42" s="9">
        <f>IFERROR(VLOOKUP(B42,cubo!$A$6:$BE$37,16,0)-VLOOKUP(B42,#REF!,$J$2,0),0)</f>
        <v>0</v>
      </c>
      <c r="K42" s="9">
        <f>IFERROR(VLOOKUP(B42,cubo!$A$6:$BE$37,17,0)-VLOOKUP(B42,#REF!,$K$2,0),0)</f>
        <v>0</v>
      </c>
      <c r="L42" s="9">
        <f>IFERROR(VLOOKUP(B42,cubo!$A$6:$BE$37,19,0)-VLOOKUP(B42,#REF!,$L$2,0),0)</f>
        <v>0</v>
      </c>
      <c r="M42" s="9">
        <f>IFERROR(VLOOKUP(B42,cubo!$A$6:$BE$37,23,0)-VLOOKUP(B42,#REF!,$M$2,0),0)</f>
        <v>0</v>
      </c>
      <c r="N42" s="9">
        <f>IFERROR(VLOOKUP(B42,cubo!$A$6:$BE$37,25,0)-VLOOKUP(B42,#REF!,$N$2,0),0)</f>
        <v>0</v>
      </c>
      <c r="O42" s="9">
        <f>IFERROR(VLOOKUP(B42,cubo!$A$6:$BE$37,33,0)-VLOOKUP(B42,#REF!,$O$2,0),0)</f>
        <v>0</v>
      </c>
      <c r="P42" s="8">
        <f>IFERROR(VLOOKUP(B42,cubo!$A$6:$BE$37,37,0)-VLOOKUP(B42,#REF!,$P$2,0),0)</f>
        <v>0</v>
      </c>
      <c r="Q42" s="8">
        <f>IFERROR(VLOOKUP(B42,cubo!$A$6:$BE$37,56,0)-VLOOKUP(B42,#REF!,$Q$2,0),0)</f>
        <v>0</v>
      </c>
      <c r="R42" s="9">
        <f>IFERROR(VLOOKUP(B42,cubo!$A$6:$BE$37,40,0)-VLOOKUP(B42,#REF!,$R$2,0),0)</f>
        <v>0</v>
      </c>
      <c r="S42" s="9">
        <f>IFERROR(VLOOKUP(B42,cubo!$A$6:$BE$37,43,0)-VLOOKUP(B42,#REF!,$S$2,0),0)</f>
        <v>0</v>
      </c>
      <c r="T42" s="9">
        <f>IFERROR(VLOOKUP(B42,cubo!$A$6:$BE$37,46,0)-VLOOKUP(B42,#REF!,$T$2,0),0)</f>
        <v>0</v>
      </c>
      <c r="U42" s="9">
        <f>IFERROR(VLOOKUP(B42,cubo!$A$6:$BE$37,51,0)-VLOOKUP(B42,#REF!,$U$2,0),0)</f>
        <v>0</v>
      </c>
      <c r="V42" s="9">
        <f>IFERROR(VLOOKUP(B42,cubo!$A$6:$BJ$37,60,0)-VLOOKUP(B42,#REF!,$V$2,0),0)</f>
        <v>0</v>
      </c>
      <c r="W42" s="9">
        <f>IFERROR(VLOOKUP(B42,cubo!$A$6:$BE$37,26,0)-VLOOKUP(B42,#REF!,$W$2,0),0)</f>
        <v>0</v>
      </c>
      <c r="X42" s="9">
        <f>IFERROR(VLOOKUP(B42,cubo!$A$6:$BE$37,20,0)-VLOOKUP(B42,#REF!,$X$2,0),0)</f>
        <v>0</v>
      </c>
      <c r="Y42" s="9">
        <f>IFERROR(VLOOKUP(B42,cubo!$A$6:$BE$37,21,0)-VLOOKUP(B42,#REF!,$Y$2,0),0)</f>
        <v>0</v>
      </c>
      <c r="Z42" s="9">
        <f>IFERROR(VLOOKUP(B42,cubo!$A$6:$BE$37,27,0)-VLOOKUP(B42,#REF!,$Z$2,0),0)</f>
        <v>0</v>
      </c>
      <c r="AA42" s="9">
        <f>IFERROR(VLOOKUP(B42,cubo!$A$6:$BE$37,28,0)-VLOOKUP(B42,#REF!,$AA$2,0),0)</f>
        <v>0</v>
      </c>
      <c r="AB42" s="9">
        <f>IFERROR(VLOOKUP(B42,cubo!$A$6:$BE$37,29,0)-VLOOKUP(B42,#REF!,$AB$2,0),0)</f>
        <v>0</v>
      </c>
      <c r="AC42" s="9">
        <f>IFERROR(VLOOKUP(B42,cubo!$A$6:$BE$37,30,0)-VLOOKUP(B42,#REF!,$AC$2,0),0)</f>
        <v>0</v>
      </c>
      <c r="AD42" s="9">
        <f>IFERROR(VLOOKUP(B42,cubo!$A$6:$BE$37,31,0)-VLOOKUP(B42,#REF!,$AD$2,0),0)</f>
        <v>0</v>
      </c>
      <c r="AE42" s="9">
        <f>IFERROR(VLOOKUP(B42,cubo!$A$6:$BE$37,35,0)-VLOOKUP(B42,#REF!,$AE$2,0),0)</f>
        <v>0</v>
      </c>
      <c r="AF42" s="9" cm="1">
        <f t="array" aca="1" ref="AF42" ca="1">IFERROR(rrPROCV(B42,cubo!$A$6:$BE$37,48,0)-VLOOKUP(B42,#REF!,$AF$2,0),0)</f>
        <v>0</v>
      </c>
      <c r="AG42" s="9">
        <f>IFERROR(VLOOKUP(B42,cubo!$A$6:$BE$37,49,0)-VLOOKUP(B42,#REF!,$AG$2,0),0)</f>
        <v>0</v>
      </c>
      <c r="AH42" s="9">
        <f>IFERROR(VLOOKUP(B42,cubo!$A$6:$BE$37,50,0)-VLOOKUP(B42,#REF!,$AH$2,0),0)</f>
        <v>0</v>
      </c>
      <c r="AI42" s="9">
        <f>IFERROR(VLOOKUP(B42,cubo!$A$6:$BE$37,51,0)-VLOOKUP(B42,#REF!,$AI$2,0),0)</f>
        <v>0</v>
      </c>
      <c r="AJ42" s="9">
        <f>IFERROR(VLOOKUP(B42,cubo!$A$6:$BI$116,62,0)-VLOOKUP(B42,#REF!,$AJ$2,0),0)</f>
        <v>0</v>
      </c>
      <c r="AK42" s="9">
        <f>IFERROR(VLOOKUP(B42,cubo!$A$6:$BJ$37,63,0)-VLOOKUP(B42,#REF!,$AK$2,0),0)</f>
        <v>0</v>
      </c>
      <c r="AL42" s="9">
        <f>IFERROR(VLOOKUP(B42,cubo!$A$6:$BE$37,58,0)-VLOOKUP(B42,#REF!,$AL$2,0),0)</f>
        <v>0</v>
      </c>
      <c r="AM42" s="9">
        <f>IFERROR(VLOOKUP(B42,cubo!$A$6:$BK$37,64,0)-VLOOKUP(B42,#REF!,$AM$2,0),0)</f>
        <v>0</v>
      </c>
      <c r="AN42" s="9">
        <f>IFERROR(VLOOKUP(B42,cubo!$A$6:$AN$37,41,0)-VLOOKUP(B42,#REF!,$AN$2,0),0)</f>
        <v>0</v>
      </c>
    </row>
    <row r="43" spans="2:40" x14ac:dyDescent="0.25">
      <c r="B43" s="7">
        <f>[1]salario!A42</f>
        <v>0</v>
      </c>
      <c r="C43" s="8">
        <f>[1]salario!C42</f>
        <v>0</v>
      </c>
      <c r="D43" s="9">
        <f>IFERROR(VLOOKUP(B43,cubo!$A$6:$BE$37,3,0)-VLOOKUP(B43,#REF!,$D$2,0),0)</f>
        <v>0</v>
      </c>
      <c r="E43" s="10">
        <f>IFERROR(VLOOKUP(B43,cubo!$A$6:$BE$37,5,0)-VLOOKUP(B43,#REF!,$E$2,0),0)</f>
        <v>0</v>
      </c>
      <c r="F43" s="10">
        <f>IFERROR(VLOOKUP(B43,cubo!$A$6:$BE$37,8,0)-VLOOKUP(B43,#REF!,$F$2,0),0)</f>
        <v>0</v>
      </c>
      <c r="G43" s="9">
        <f>IFERROR(VLOOKUP(B43,cubo!$A$6:$BE$37,11,0)-VLOOKUP(B43,#REF!,$G$2,0),0)</f>
        <v>0</v>
      </c>
      <c r="H43" s="9">
        <f>IFERROR(VLOOKUP(B43,cubo!$A$6:$BE$37,53,0)-VLOOKUP(B43,#REF!,$H$2,0),0)</f>
        <v>0</v>
      </c>
      <c r="I43" s="10">
        <f>IFERROR(VLOOKUP(B43,cubo!$A$6:$BE$37,14,0)-VLOOKUP(B43,#REF!,$I$2,0),0)</f>
        <v>0</v>
      </c>
      <c r="J43" s="9">
        <f>IFERROR(VLOOKUP(B43,cubo!$A$6:$BE$37,16,0)-VLOOKUP(B43,#REF!,$J$2,0),0)</f>
        <v>0</v>
      </c>
      <c r="K43" s="9">
        <f>IFERROR(VLOOKUP(B43,cubo!$A$6:$BE$37,17,0)-VLOOKUP(B43,#REF!,$K$2,0),0)</f>
        <v>0</v>
      </c>
      <c r="L43" s="9">
        <f>IFERROR(VLOOKUP(B43,cubo!$A$6:$BE$37,19,0)-VLOOKUP(B43,#REF!,$L$2,0),0)</f>
        <v>0</v>
      </c>
      <c r="M43" s="9">
        <f>IFERROR(VLOOKUP(B43,cubo!$A$6:$BE$37,23,0)-VLOOKUP(B43,#REF!,$M$2,0),0)</f>
        <v>0</v>
      </c>
      <c r="N43" s="9">
        <f>IFERROR(VLOOKUP(B43,cubo!$A$6:$BE$37,25,0)-VLOOKUP(B43,#REF!,$N$2,0),0)</f>
        <v>0</v>
      </c>
      <c r="O43" s="9">
        <f>IFERROR(VLOOKUP(B43,cubo!$A$6:$BE$37,33,0)-VLOOKUP(B43,#REF!,$O$2,0),0)</f>
        <v>0</v>
      </c>
      <c r="P43" s="8">
        <f>IFERROR(VLOOKUP(B43,cubo!$A$6:$BE$37,37,0)-VLOOKUP(B43,#REF!,$P$2,0),0)</f>
        <v>0</v>
      </c>
      <c r="Q43" s="8">
        <f>IFERROR(VLOOKUP(B43,cubo!$A$6:$BE$37,56,0)-VLOOKUP(B43,#REF!,$Q$2,0),0)</f>
        <v>0</v>
      </c>
      <c r="R43" s="9">
        <f>IFERROR(VLOOKUP(B43,cubo!$A$6:$BE$37,40,0)-VLOOKUP(B43,#REF!,$R$2,0),0)</f>
        <v>0</v>
      </c>
      <c r="S43" s="9">
        <f>IFERROR(VLOOKUP(B43,cubo!$A$6:$BE$37,43,0)-VLOOKUP(B43,#REF!,$S$2,0),0)</f>
        <v>0</v>
      </c>
      <c r="T43" s="9">
        <f>IFERROR(VLOOKUP(B43,cubo!$A$6:$BE$37,46,0)-VLOOKUP(B43,#REF!,$T$2,0),0)</f>
        <v>0</v>
      </c>
      <c r="U43" s="9">
        <f>IFERROR(VLOOKUP(B43,cubo!$A$6:$BE$37,51,0)-VLOOKUP(B43,#REF!,$U$2,0),0)</f>
        <v>0</v>
      </c>
      <c r="V43" s="9">
        <f>IFERROR(VLOOKUP(B43,cubo!$A$6:$BJ$37,60,0)-VLOOKUP(B43,#REF!,$V$2,0),0)</f>
        <v>0</v>
      </c>
      <c r="W43" s="9">
        <f>IFERROR(VLOOKUP(B43,cubo!$A$6:$BE$37,26,0)-VLOOKUP(B43,#REF!,$W$2,0),0)</f>
        <v>0</v>
      </c>
      <c r="X43" s="9">
        <f>IFERROR(VLOOKUP(B43,cubo!$A$6:$BE$37,20,0)-VLOOKUP(B43,#REF!,$X$2,0),0)</f>
        <v>0</v>
      </c>
      <c r="Y43" s="9">
        <f>IFERROR(VLOOKUP(B43,cubo!$A$6:$BE$37,21,0)-VLOOKUP(B43,#REF!,$Y$2,0),0)</f>
        <v>0</v>
      </c>
      <c r="Z43" s="9">
        <f>IFERROR(VLOOKUP(B43,cubo!$A$6:$BE$37,27,0)-VLOOKUP(B43,#REF!,$Z$2,0),0)</f>
        <v>0</v>
      </c>
      <c r="AA43" s="9">
        <f>IFERROR(VLOOKUP(B43,cubo!$A$6:$BE$37,28,0)-VLOOKUP(B43,#REF!,$AA$2,0),0)</f>
        <v>0</v>
      </c>
      <c r="AB43" s="9">
        <f>IFERROR(VLOOKUP(B43,cubo!$A$6:$BE$37,29,0)-VLOOKUP(B43,#REF!,$AB$2,0),0)</f>
        <v>0</v>
      </c>
      <c r="AC43" s="9">
        <f>IFERROR(VLOOKUP(B43,cubo!$A$6:$BE$37,30,0)-VLOOKUP(B43,#REF!,$AC$2,0),0)</f>
        <v>0</v>
      </c>
      <c r="AD43" s="9">
        <f>IFERROR(VLOOKUP(B43,cubo!$A$6:$BE$37,31,0)-VLOOKUP(B43,#REF!,$AD$2,0),0)</f>
        <v>0</v>
      </c>
      <c r="AE43" s="9">
        <f>IFERROR(VLOOKUP(B43,cubo!$A$6:$BE$37,35,0)-VLOOKUP(B43,#REF!,$AE$2,0),0)</f>
        <v>0</v>
      </c>
      <c r="AF43" s="9" cm="1">
        <f t="array" aca="1" ref="AF43" ca="1">IFERROR(rrPROCV(B43,cubo!$A$6:$BE$37,48,0)-VLOOKUP(B43,#REF!,$AF$2,0),0)</f>
        <v>0</v>
      </c>
      <c r="AG43" s="9">
        <f>IFERROR(VLOOKUP(B43,cubo!$A$6:$BE$37,49,0)-VLOOKUP(B43,#REF!,$AG$2,0),0)</f>
        <v>0</v>
      </c>
      <c r="AH43" s="9">
        <f>IFERROR(VLOOKUP(B43,cubo!$A$6:$BE$37,50,0)-VLOOKUP(B43,#REF!,$AH$2,0),0)</f>
        <v>0</v>
      </c>
      <c r="AI43" s="9">
        <f>IFERROR(VLOOKUP(B43,cubo!$A$6:$BE$37,51,0)-VLOOKUP(B43,#REF!,$AI$2,0),0)</f>
        <v>0</v>
      </c>
      <c r="AJ43" s="9">
        <f>IFERROR(VLOOKUP(B43,cubo!$A$6:$BI$116,62,0)-VLOOKUP(B43,#REF!,$AJ$2,0),0)</f>
        <v>0</v>
      </c>
      <c r="AK43" s="9">
        <f>IFERROR(VLOOKUP(B43,cubo!$A$6:$BJ$37,63,0)-VLOOKUP(B43,#REF!,$AK$2,0),0)</f>
        <v>0</v>
      </c>
      <c r="AL43" s="9">
        <f>IFERROR(VLOOKUP(B43,cubo!$A$6:$BE$37,58,0)-VLOOKUP(B43,#REF!,$AL$2,0),0)</f>
        <v>0</v>
      </c>
      <c r="AM43" s="9">
        <f>IFERROR(VLOOKUP(B43,cubo!$A$6:$BK$37,64,0)-VLOOKUP(B43,#REF!,$AM$2,0),0)</f>
        <v>0</v>
      </c>
      <c r="AN43" s="9">
        <f>IFERROR(VLOOKUP(B43,cubo!$A$6:$AN$37,41,0)-VLOOKUP(B43,#REF!,$AN$2,0),0)</f>
        <v>0</v>
      </c>
    </row>
    <row r="44" spans="2:40" x14ac:dyDescent="0.25">
      <c r="B44" s="7">
        <f>[1]salario!A43</f>
        <v>0</v>
      </c>
      <c r="C44" s="8">
        <f>[1]salario!C43</f>
        <v>0</v>
      </c>
      <c r="D44" s="9">
        <f>IFERROR(VLOOKUP(B44,cubo!$A$6:$BE$37,3,0)-VLOOKUP(B44,#REF!,$D$2,0),0)</f>
        <v>0</v>
      </c>
      <c r="E44" s="10">
        <f>IFERROR(VLOOKUP(B44,cubo!$A$6:$BE$37,5,0)-VLOOKUP(B44,#REF!,$E$2,0),0)</f>
        <v>0</v>
      </c>
      <c r="F44" s="10">
        <f>IFERROR(VLOOKUP(B44,cubo!$A$6:$BE$37,8,0)-VLOOKUP(B44,#REF!,$F$2,0),0)</f>
        <v>0</v>
      </c>
      <c r="G44" s="9">
        <f>IFERROR(VLOOKUP(B44,cubo!$A$6:$BE$37,11,0)-VLOOKUP(B44,#REF!,$G$2,0),0)</f>
        <v>0</v>
      </c>
      <c r="H44" s="9">
        <f>IFERROR(VLOOKUP(B44,cubo!$A$6:$BE$37,53,0)-VLOOKUP(B44,#REF!,$H$2,0),0)</f>
        <v>0</v>
      </c>
      <c r="I44" s="10">
        <f>IFERROR(VLOOKUP(B44,cubo!$A$6:$BE$37,14,0)-VLOOKUP(B44,#REF!,$I$2,0),0)</f>
        <v>0</v>
      </c>
      <c r="J44" s="9">
        <f>IFERROR(VLOOKUP(B44,cubo!$A$6:$BE$37,16,0)-VLOOKUP(B44,#REF!,$J$2,0),0)</f>
        <v>0</v>
      </c>
      <c r="K44" s="9">
        <f>IFERROR(VLOOKUP(B44,cubo!$A$6:$BE$37,17,0)-VLOOKUP(B44,#REF!,$K$2,0),0)</f>
        <v>0</v>
      </c>
      <c r="L44" s="9">
        <f>IFERROR(VLOOKUP(B44,cubo!$A$6:$BE$37,19,0)-VLOOKUP(B44,#REF!,$L$2,0),0)</f>
        <v>0</v>
      </c>
      <c r="M44" s="9">
        <f>IFERROR(VLOOKUP(B44,cubo!$A$6:$BE$37,23,0)-VLOOKUP(B44,#REF!,$M$2,0),0)</f>
        <v>0</v>
      </c>
      <c r="N44" s="9">
        <f>IFERROR(VLOOKUP(B44,cubo!$A$6:$BE$37,25,0)-VLOOKUP(B44,#REF!,$N$2,0),0)</f>
        <v>0</v>
      </c>
      <c r="O44" s="9">
        <f>IFERROR(VLOOKUP(B44,cubo!$A$6:$BE$37,33,0)-VLOOKUP(B44,#REF!,$O$2,0),0)</f>
        <v>0</v>
      </c>
      <c r="P44" s="8">
        <f>IFERROR(VLOOKUP(B44,cubo!$A$6:$BE$37,37,0)-VLOOKUP(B44,#REF!,$P$2,0),0)</f>
        <v>0</v>
      </c>
      <c r="Q44" s="8">
        <f>IFERROR(VLOOKUP(B44,cubo!$A$6:$BE$37,56,0)-VLOOKUP(B44,#REF!,$Q$2,0),0)</f>
        <v>0</v>
      </c>
      <c r="R44" s="9">
        <f>IFERROR(VLOOKUP(B44,cubo!$A$6:$BE$37,40,0)-VLOOKUP(B44,#REF!,$R$2,0),0)</f>
        <v>0</v>
      </c>
      <c r="S44" s="9">
        <f>IFERROR(VLOOKUP(B44,cubo!$A$6:$BE$37,43,0)-VLOOKUP(B44,#REF!,$S$2,0),0)</f>
        <v>0</v>
      </c>
      <c r="T44" s="9">
        <f>IFERROR(VLOOKUP(B44,cubo!$A$6:$BE$37,46,0)-VLOOKUP(B44,#REF!,$T$2,0),0)</f>
        <v>0</v>
      </c>
      <c r="U44" s="9">
        <f>IFERROR(VLOOKUP(B44,cubo!$A$6:$BE$37,51,0)-VLOOKUP(B44,#REF!,$U$2,0),0)</f>
        <v>0</v>
      </c>
      <c r="V44" s="9">
        <f>IFERROR(VLOOKUP(B44,cubo!$A$6:$BJ$37,60,0)-VLOOKUP(B44,#REF!,$V$2,0),0)</f>
        <v>0</v>
      </c>
      <c r="W44" s="9">
        <f>IFERROR(VLOOKUP(B44,cubo!$A$6:$BE$37,26,0)-VLOOKUP(B44,#REF!,$W$2,0),0)</f>
        <v>0</v>
      </c>
      <c r="X44" s="9">
        <f>IFERROR(VLOOKUP(B44,cubo!$A$6:$BE$37,20,0)-VLOOKUP(B44,#REF!,$X$2,0),0)</f>
        <v>0</v>
      </c>
      <c r="Y44" s="9">
        <f>IFERROR(VLOOKUP(B44,cubo!$A$6:$BE$37,21,0)-VLOOKUP(B44,#REF!,$Y$2,0),0)</f>
        <v>0</v>
      </c>
      <c r="Z44" s="9">
        <f>IFERROR(VLOOKUP(B44,cubo!$A$6:$BE$37,27,0)-VLOOKUP(B44,#REF!,$Z$2,0),0)</f>
        <v>0</v>
      </c>
      <c r="AA44" s="9">
        <f>IFERROR(VLOOKUP(B44,cubo!$A$6:$BE$37,28,0)-VLOOKUP(B44,#REF!,$AA$2,0),0)</f>
        <v>0</v>
      </c>
      <c r="AB44" s="9">
        <f>IFERROR(VLOOKUP(B44,cubo!$A$6:$BE$37,29,0)-VLOOKUP(B44,#REF!,$AB$2,0),0)</f>
        <v>0</v>
      </c>
      <c r="AC44" s="9">
        <f>IFERROR(VLOOKUP(B44,cubo!$A$6:$BE$37,30,0)-VLOOKUP(B44,#REF!,$AC$2,0),0)</f>
        <v>0</v>
      </c>
      <c r="AD44" s="9">
        <f>IFERROR(VLOOKUP(B44,cubo!$A$6:$BE$37,31,0)-VLOOKUP(B44,#REF!,$AD$2,0),0)</f>
        <v>0</v>
      </c>
      <c r="AE44" s="9">
        <f>IFERROR(VLOOKUP(B44,cubo!$A$6:$BE$37,35,0)-VLOOKUP(B44,#REF!,$AE$2,0),0)</f>
        <v>0</v>
      </c>
      <c r="AF44" s="9" cm="1">
        <f t="array" aca="1" ref="AF44" ca="1">IFERROR(rrPROCV(B44,cubo!$A$6:$BE$37,48,0)-VLOOKUP(B44,#REF!,$AF$2,0),0)</f>
        <v>0</v>
      </c>
      <c r="AG44" s="9">
        <f>IFERROR(VLOOKUP(B44,cubo!$A$6:$BE$37,49,0)-VLOOKUP(B44,#REF!,$AG$2,0),0)</f>
        <v>0</v>
      </c>
      <c r="AH44" s="9">
        <f>IFERROR(VLOOKUP(B44,cubo!$A$6:$BE$37,50,0)-VLOOKUP(B44,#REF!,$AH$2,0),0)</f>
        <v>0</v>
      </c>
      <c r="AI44" s="9">
        <f>IFERROR(VLOOKUP(B44,cubo!$A$6:$BE$37,51,0)-VLOOKUP(B44,#REF!,$AI$2,0),0)</f>
        <v>0</v>
      </c>
      <c r="AJ44" s="9">
        <f>IFERROR(VLOOKUP(B44,cubo!$A$6:$BI$116,62,0)-VLOOKUP(B44,#REF!,$AJ$2,0),0)</f>
        <v>0</v>
      </c>
      <c r="AK44" s="9">
        <f>IFERROR(VLOOKUP(B44,cubo!$A$6:$BJ$37,63,0)-VLOOKUP(B44,#REF!,$AK$2,0),0)</f>
        <v>0</v>
      </c>
      <c r="AL44" s="9">
        <f>IFERROR(VLOOKUP(B44,cubo!$A$6:$BE$37,58,0)-VLOOKUP(B44,#REF!,$AL$2,0),0)</f>
        <v>0</v>
      </c>
      <c r="AM44" s="9">
        <f>IFERROR(VLOOKUP(B44,cubo!$A$6:$BK$37,64,0)-VLOOKUP(B44,#REF!,$AM$2,0),0)</f>
        <v>0</v>
      </c>
      <c r="AN44" s="9">
        <f>IFERROR(VLOOKUP(B44,cubo!$A$6:$AN$37,41,0)-VLOOKUP(B44,#REF!,$AN$2,0),0)</f>
        <v>0</v>
      </c>
    </row>
    <row r="45" spans="2:40" x14ac:dyDescent="0.25">
      <c r="B45" s="7">
        <f>[1]salario!A44</f>
        <v>0</v>
      </c>
      <c r="C45" s="8">
        <f>[1]salario!C44</f>
        <v>0</v>
      </c>
      <c r="D45" s="9">
        <f>IFERROR(VLOOKUP(B45,cubo!$A$6:$BE$37,3,0)-VLOOKUP(B45,#REF!,$D$2,0),0)</f>
        <v>0</v>
      </c>
      <c r="E45" s="10">
        <f>IFERROR(VLOOKUP(B45,cubo!$A$6:$BE$37,5,0)-VLOOKUP(B45,#REF!,$E$2,0),0)</f>
        <v>0</v>
      </c>
      <c r="F45" s="10">
        <f>IFERROR(VLOOKUP(B45,cubo!$A$6:$BE$37,8,0)-VLOOKUP(B45,#REF!,$F$2,0),0)</f>
        <v>0</v>
      </c>
      <c r="G45" s="9">
        <f>IFERROR(VLOOKUP(B45,cubo!$A$6:$BE$37,11,0)-VLOOKUP(B45,#REF!,$G$2,0),0)</f>
        <v>0</v>
      </c>
      <c r="H45" s="9">
        <f>IFERROR(VLOOKUP(B45,cubo!$A$6:$BE$37,53,0)-VLOOKUP(B45,#REF!,$H$2,0),0)</f>
        <v>0</v>
      </c>
      <c r="I45" s="10">
        <f>IFERROR(VLOOKUP(B45,cubo!$A$6:$BE$37,14,0)-VLOOKUP(B45,#REF!,$I$2,0),0)</f>
        <v>0</v>
      </c>
      <c r="J45" s="9">
        <f>IFERROR(VLOOKUP(B45,cubo!$A$6:$BE$37,16,0)-VLOOKUP(B45,#REF!,$J$2,0),0)</f>
        <v>0</v>
      </c>
      <c r="K45" s="9">
        <f>IFERROR(VLOOKUP(B45,cubo!$A$6:$BE$37,17,0)-VLOOKUP(B45,#REF!,$K$2,0),0)</f>
        <v>0</v>
      </c>
      <c r="L45" s="9">
        <f>IFERROR(VLOOKUP(B45,cubo!$A$6:$BE$37,19,0)-VLOOKUP(B45,#REF!,$L$2,0),0)</f>
        <v>0</v>
      </c>
      <c r="M45" s="9">
        <f>IFERROR(VLOOKUP(B45,cubo!$A$6:$BE$37,23,0)-VLOOKUP(B45,#REF!,$M$2,0),0)</f>
        <v>0</v>
      </c>
      <c r="N45" s="9">
        <f>IFERROR(VLOOKUP(B45,cubo!$A$6:$BE$37,25,0)-VLOOKUP(B45,#REF!,$N$2,0),0)</f>
        <v>0</v>
      </c>
      <c r="O45" s="9">
        <f>IFERROR(VLOOKUP(B45,cubo!$A$6:$BE$37,33,0)-VLOOKUP(B45,#REF!,$O$2,0),0)</f>
        <v>0</v>
      </c>
      <c r="P45" s="8">
        <f>IFERROR(VLOOKUP(B45,cubo!$A$6:$BE$37,37,0)-VLOOKUP(B45,#REF!,$P$2,0),0)</f>
        <v>0</v>
      </c>
      <c r="Q45" s="8">
        <f>IFERROR(VLOOKUP(B45,cubo!$A$6:$BE$37,56,0)-VLOOKUP(B45,#REF!,$Q$2,0),0)</f>
        <v>0</v>
      </c>
      <c r="R45" s="9">
        <f>IFERROR(VLOOKUP(B45,cubo!$A$6:$BE$37,40,0)-VLOOKUP(B45,#REF!,$R$2,0),0)</f>
        <v>0</v>
      </c>
      <c r="S45" s="9">
        <f>IFERROR(VLOOKUP(B45,cubo!$A$6:$BE$37,43,0)-VLOOKUP(B45,#REF!,$S$2,0),0)</f>
        <v>0</v>
      </c>
      <c r="T45" s="9">
        <f>IFERROR(VLOOKUP(B45,cubo!$A$6:$BE$37,46,0)-VLOOKUP(B45,#REF!,$T$2,0),0)</f>
        <v>0</v>
      </c>
      <c r="U45" s="9">
        <f>IFERROR(VLOOKUP(B45,cubo!$A$6:$BE$37,51,0)-VLOOKUP(B45,#REF!,$U$2,0),0)</f>
        <v>0</v>
      </c>
      <c r="V45" s="9">
        <f>IFERROR(VLOOKUP(B45,cubo!$A$6:$BJ$37,60,0)-VLOOKUP(B45,#REF!,$V$2,0),0)</f>
        <v>0</v>
      </c>
      <c r="W45" s="9">
        <f>IFERROR(VLOOKUP(B45,cubo!$A$6:$BE$37,26,0)-VLOOKUP(B45,#REF!,$W$2,0),0)</f>
        <v>0</v>
      </c>
      <c r="X45" s="9">
        <f>IFERROR(VLOOKUP(B45,cubo!$A$6:$BE$37,20,0)-VLOOKUP(B45,#REF!,$X$2,0),0)</f>
        <v>0</v>
      </c>
      <c r="Y45" s="9">
        <f>IFERROR(VLOOKUP(B45,cubo!$A$6:$BE$37,21,0)-VLOOKUP(B45,#REF!,$Y$2,0),0)</f>
        <v>0</v>
      </c>
      <c r="Z45" s="9">
        <f>IFERROR(VLOOKUP(B45,cubo!$A$6:$BE$37,27,0)-VLOOKUP(B45,#REF!,$Z$2,0),0)</f>
        <v>0</v>
      </c>
      <c r="AA45" s="9">
        <f>IFERROR(VLOOKUP(B45,cubo!$A$6:$BE$37,28,0)-VLOOKUP(B45,#REF!,$AA$2,0),0)</f>
        <v>0</v>
      </c>
      <c r="AB45" s="9">
        <f>IFERROR(VLOOKUP(B45,cubo!$A$6:$BE$37,29,0)-VLOOKUP(B45,#REF!,$AB$2,0),0)</f>
        <v>0</v>
      </c>
      <c r="AC45" s="9">
        <f>IFERROR(VLOOKUP(B45,cubo!$A$6:$BE$37,30,0)-VLOOKUP(B45,#REF!,$AC$2,0),0)</f>
        <v>0</v>
      </c>
      <c r="AD45" s="9">
        <f>IFERROR(VLOOKUP(B45,cubo!$A$6:$BE$37,31,0)-VLOOKUP(B45,#REF!,$AD$2,0),0)</f>
        <v>0</v>
      </c>
      <c r="AE45" s="9">
        <f>IFERROR(VLOOKUP(B45,cubo!$A$6:$BE$37,35,0)-VLOOKUP(B45,#REF!,$AE$2,0),0)</f>
        <v>0</v>
      </c>
      <c r="AF45" s="9" cm="1">
        <f t="array" aca="1" ref="AF45" ca="1">IFERROR(rrPROCV(B45,cubo!$A$6:$BE$37,48,0)-VLOOKUP(B45,#REF!,$AF$2,0),0)</f>
        <v>0</v>
      </c>
      <c r="AG45" s="9">
        <f>IFERROR(VLOOKUP(B45,cubo!$A$6:$BE$37,49,0)-VLOOKUP(B45,#REF!,$AG$2,0),0)</f>
        <v>0</v>
      </c>
      <c r="AH45" s="9">
        <f>IFERROR(VLOOKUP(B45,cubo!$A$6:$BE$37,50,0)-VLOOKUP(B45,#REF!,$AH$2,0),0)</f>
        <v>0</v>
      </c>
      <c r="AI45" s="9">
        <f>IFERROR(VLOOKUP(B45,cubo!$A$6:$BE$37,51,0)-VLOOKUP(B45,#REF!,$AI$2,0),0)</f>
        <v>0</v>
      </c>
      <c r="AJ45" s="9">
        <f>IFERROR(VLOOKUP(B45,cubo!$A$6:$BI$116,62,0)-VLOOKUP(B45,#REF!,$AJ$2,0),0)</f>
        <v>0</v>
      </c>
      <c r="AK45" s="9">
        <f>IFERROR(VLOOKUP(B45,cubo!$A$6:$BJ$37,63,0)-VLOOKUP(B45,#REF!,$AK$2,0),0)</f>
        <v>0</v>
      </c>
      <c r="AL45" s="9">
        <f>IFERROR(VLOOKUP(B45,cubo!$A$6:$BE$37,58,0)-VLOOKUP(B45,#REF!,$AL$2,0),0)</f>
        <v>0</v>
      </c>
      <c r="AM45" s="9">
        <f>IFERROR(VLOOKUP(B45,cubo!$A$6:$BK$37,64,0)-VLOOKUP(B45,#REF!,$AM$2,0),0)</f>
        <v>0</v>
      </c>
      <c r="AN45" s="9">
        <f>IFERROR(VLOOKUP(B45,cubo!$A$6:$AN$37,41,0)-VLOOKUP(B45,#REF!,$AN$2,0),0)</f>
        <v>0</v>
      </c>
    </row>
    <row r="46" spans="2:40" x14ac:dyDescent="0.25">
      <c r="B46" s="7">
        <f>[1]salario!A45</f>
        <v>0</v>
      </c>
      <c r="C46" s="8">
        <f>[1]salario!C45</f>
        <v>0</v>
      </c>
      <c r="D46" s="9">
        <f>IFERROR(VLOOKUP(B46,cubo!$A$6:$BE$37,3,0)-VLOOKUP(B46,#REF!,$D$2,0),0)</f>
        <v>0</v>
      </c>
      <c r="E46" s="10">
        <f>IFERROR(VLOOKUP(B46,cubo!$A$6:$BE$37,5,0)-VLOOKUP(B46,#REF!,$E$2,0),0)</f>
        <v>0</v>
      </c>
      <c r="F46" s="10">
        <f>IFERROR(VLOOKUP(B46,cubo!$A$6:$BE$37,8,0)-VLOOKUP(B46,#REF!,$F$2,0),0)</f>
        <v>0</v>
      </c>
      <c r="G46" s="9">
        <f>IFERROR(VLOOKUP(B46,cubo!$A$6:$BE$37,11,0)-VLOOKUP(B46,#REF!,$G$2,0),0)</f>
        <v>0</v>
      </c>
      <c r="H46" s="9">
        <f>IFERROR(VLOOKUP(B46,cubo!$A$6:$BE$37,53,0)-VLOOKUP(B46,#REF!,$H$2,0),0)</f>
        <v>0</v>
      </c>
      <c r="I46" s="10">
        <f>IFERROR(VLOOKUP(B46,cubo!$A$6:$BE$37,14,0)-VLOOKUP(B46,#REF!,$I$2,0),0)</f>
        <v>0</v>
      </c>
      <c r="J46" s="9">
        <f>IFERROR(VLOOKUP(B46,cubo!$A$6:$BE$37,16,0)-VLOOKUP(B46,#REF!,$J$2,0),0)</f>
        <v>0</v>
      </c>
      <c r="K46" s="9">
        <f>IFERROR(VLOOKUP(B46,cubo!$A$6:$BE$37,17,0)-VLOOKUP(B46,#REF!,$K$2,0),0)</f>
        <v>0</v>
      </c>
      <c r="L46" s="9">
        <f>IFERROR(VLOOKUP(B46,cubo!$A$6:$BE$37,19,0)-VLOOKUP(B46,#REF!,$L$2,0),0)</f>
        <v>0</v>
      </c>
      <c r="M46" s="9">
        <f>IFERROR(VLOOKUP(B46,cubo!$A$6:$BE$37,23,0)-VLOOKUP(B46,#REF!,$M$2,0),0)</f>
        <v>0</v>
      </c>
      <c r="N46" s="9">
        <f>IFERROR(VLOOKUP(B46,cubo!$A$6:$BE$37,25,0)-VLOOKUP(B46,#REF!,$N$2,0),0)</f>
        <v>0</v>
      </c>
      <c r="O46" s="9">
        <f>IFERROR(VLOOKUP(B46,cubo!$A$6:$BE$37,33,0)-VLOOKUP(B46,#REF!,$O$2,0),0)</f>
        <v>0</v>
      </c>
      <c r="P46" s="8">
        <f>IFERROR(VLOOKUP(B46,cubo!$A$6:$BE$37,37,0)-VLOOKUP(B46,#REF!,$P$2,0),0)</f>
        <v>0</v>
      </c>
      <c r="Q46" s="8">
        <f>IFERROR(VLOOKUP(B46,cubo!$A$6:$BE$37,56,0)-VLOOKUP(B46,#REF!,$Q$2,0),0)</f>
        <v>0</v>
      </c>
      <c r="R46" s="9">
        <f>IFERROR(VLOOKUP(B46,cubo!$A$6:$BE$37,40,0)-VLOOKUP(B46,#REF!,$R$2,0),0)</f>
        <v>0</v>
      </c>
      <c r="S46" s="9">
        <f>IFERROR(VLOOKUP(B46,cubo!$A$6:$BE$37,43,0)-VLOOKUP(B46,#REF!,$S$2,0),0)</f>
        <v>0</v>
      </c>
      <c r="T46" s="9">
        <f>IFERROR(VLOOKUP(B46,cubo!$A$6:$BE$37,46,0)-VLOOKUP(B46,#REF!,$T$2,0),0)</f>
        <v>0</v>
      </c>
      <c r="U46" s="9">
        <f>IFERROR(VLOOKUP(B46,cubo!$A$6:$BE$37,51,0)-VLOOKUP(B46,#REF!,$U$2,0),0)</f>
        <v>0</v>
      </c>
      <c r="V46" s="9">
        <f>IFERROR(VLOOKUP(B46,cubo!$A$6:$BJ$37,60,0)-VLOOKUP(B46,#REF!,$V$2,0),0)</f>
        <v>0</v>
      </c>
      <c r="W46" s="9">
        <f>IFERROR(VLOOKUP(B46,cubo!$A$6:$BE$37,26,0)-VLOOKUP(B46,#REF!,$W$2,0),0)</f>
        <v>0</v>
      </c>
      <c r="X46" s="9">
        <f>IFERROR(VLOOKUP(B46,cubo!$A$6:$BE$37,20,0)-VLOOKUP(B46,#REF!,$X$2,0),0)</f>
        <v>0</v>
      </c>
      <c r="Y46" s="9">
        <f>IFERROR(VLOOKUP(B46,cubo!$A$6:$BE$37,21,0)-VLOOKUP(B46,#REF!,$Y$2,0),0)</f>
        <v>0</v>
      </c>
      <c r="Z46" s="9">
        <f>IFERROR(VLOOKUP(B46,cubo!$A$6:$BE$37,27,0)-VLOOKUP(B46,#REF!,$Z$2,0),0)</f>
        <v>0</v>
      </c>
      <c r="AA46" s="9">
        <f>IFERROR(VLOOKUP(B46,cubo!$A$6:$BE$37,28,0)-VLOOKUP(B46,#REF!,$AA$2,0),0)</f>
        <v>0</v>
      </c>
      <c r="AB46" s="9">
        <f>IFERROR(VLOOKUP(B46,cubo!$A$6:$BE$37,29,0)-VLOOKUP(B46,#REF!,$AB$2,0),0)</f>
        <v>0</v>
      </c>
      <c r="AC46" s="9">
        <f>IFERROR(VLOOKUP(B46,cubo!$A$6:$BE$37,30,0)-VLOOKUP(B46,#REF!,$AC$2,0),0)</f>
        <v>0</v>
      </c>
      <c r="AD46" s="9">
        <f>IFERROR(VLOOKUP(B46,cubo!$A$6:$BE$37,31,0)-VLOOKUP(B46,#REF!,$AD$2,0),0)</f>
        <v>0</v>
      </c>
      <c r="AE46" s="9">
        <f>IFERROR(VLOOKUP(B46,cubo!$A$6:$BE$37,35,0)-VLOOKUP(B46,#REF!,$AE$2,0),0)</f>
        <v>0</v>
      </c>
      <c r="AF46" s="9" cm="1">
        <f t="array" aca="1" ref="AF46" ca="1">IFERROR(rrPROCV(B46,cubo!$A$6:$BE$37,48,0)-VLOOKUP(B46,#REF!,$AF$2,0),0)</f>
        <v>0</v>
      </c>
      <c r="AG46" s="9">
        <f>IFERROR(VLOOKUP(B46,cubo!$A$6:$BE$37,49,0)-VLOOKUP(B46,#REF!,$AG$2,0),0)</f>
        <v>0</v>
      </c>
      <c r="AH46" s="9">
        <f>IFERROR(VLOOKUP(B46,cubo!$A$6:$BE$37,50,0)-VLOOKUP(B46,#REF!,$AH$2,0),0)</f>
        <v>0</v>
      </c>
      <c r="AI46" s="9">
        <f>IFERROR(VLOOKUP(B46,cubo!$A$6:$BE$37,51,0)-VLOOKUP(B46,#REF!,$AI$2,0),0)</f>
        <v>0</v>
      </c>
      <c r="AJ46" s="9">
        <f>IFERROR(VLOOKUP(B46,cubo!$A$6:$BI$116,62,0)-VLOOKUP(B46,#REF!,$AJ$2,0),0)</f>
        <v>0</v>
      </c>
      <c r="AK46" s="9">
        <f>IFERROR(VLOOKUP(B46,cubo!$A$6:$BJ$37,63,0)-VLOOKUP(B46,#REF!,$AK$2,0),0)</f>
        <v>0</v>
      </c>
      <c r="AL46" s="9">
        <f>IFERROR(VLOOKUP(B46,cubo!$A$6:$BE$37,58,0)-VLOOKUP(B46,#REF!,$AL$2,0),0)</f>
        <v>0</v>
      </c>
      <c r="AM46" s="9">
        <f>IFERROR(VLOOKUP(B46,cubo!$A$6:$BK$37,64,0)-VLOOKUP(B46,#REF!,$AM$2,0),0)</f>
        <v>0</v>
      </c>
      <c r="AN46" s="9">
        <f>IFERROR(VLOOKUP(B46,cubo!$A$6:$AN$37,41,0)-VLOOKUP(B46,#REF!,$AN$2,0),0)</f>
        <v>0</v>
      </c>
    </row>
    <row r="47" spans="2:40" x14ac:dyDescent="0.25">
      <c r="B47" s="7">
        <f>[1]salario!A46</f>
        <v>0</v>
      </c>
      <c r="C47" s="8">
        <f>[1]salario!C46</f>
        <v>0</v>
      </c>
      <c r="D47" s="9">
        <f>IFERROR(VLOOKUP(B47,cubo!$A$6:$BE$37,3,0)-VLOOKUP(B47,#REF!,$D$2,0),0)</f>
        <v>0</v>
      </c>
      <c r="E47" s="10">
        <f>IFERROR(VLOOKUP(B47,cubo!$A$6:$BE$37,5,0)-VLOOKUP(B47,#REF!,$E$2,0),0)</f>
        <v>0</v>
      </c>
      <c r="F47" s="10">
        <f>IFERROR(VLOOKUP(B47,cubo!$A$6:$BE$37,8,0)-VLOOKUP(B47,#REF!,$F$2,0),0)</f>
        <v>0</v>
      </c>
      <c r="G47" s="9">
        <f>IFERROR(VLOOKUP(B47,cubo!$A$6:$BE$37,11,0)-VLOOKUP(B47,#REF!,$G$2,0),0)</f>
        <v>0</v>
      </c>
      <c r="H47" s="9">
        <f>IFERROR(VLOOKUP(B47,cubo!$A$6:$BE$37,53,0)-VLOOKUP(B47,#REF!,$H$2,0),0)</f>
        <v>0</v>
      </c>
      <c r="I47" s="10">
        <f>IFERROR(VLOOKUP(B47,cubo!$A$6:$BE$37,14,0)-VLOOKUP(B47,#REF!,$I$2,0),0)</f>
        <v>0</v>
      </c>
      <c r="J47" s="9">
        <f>IFERROR(VLOOKUP(B47,cubo!$A$6:$BE$37,16,0)-VLOOKUP(B47,#REF!,$J$2,0),0)</f>
        <v>0</v>
      </c>
      <c r="K47" s="9">
        <f>IFERROR(VLOOKUP(B47,cubo!$A$6:$BE$37,17,0)-VLOOKUP(B47,#REF!,$K$2,0),0)</f>
        <v>0</v>
      </c>
      <c r="L47" s="9">
        <f>IFERROR(VLOOKUP(B47,cubo!$A$6:$BE$37,19,0)-VLOOKUP(B47,#REF!,$L$2,0),0)</f>
        <v>0</v>
      </c>
      <c r="M47" s="9">
        <f>IFERROR(VLOOKUP(B47,cubo!$A$6:$BE$37,23,0)-VLOOKUP(B47,#REF!,$M$2,0),0)</f>
        <v>0</v>
      </c>
      <c r="N47" s="9">
        <f>IFERROR(VLOOKUP(B47,cubo!$A$6:$BE$37,25,0)-VLOOKUP(B47,#REF!,$N$2,0),0)</f>
        <v>0</v>
      </c>
      <c r="O47" s="9">
        <f>IFERROR(VLOOKUP(B47,cubo!$A$6:$BE$37,33,0)-VLOOKUP(B47,#REF!,$O$2,0),0)</f>
        <v>0</v>
      </c>
      <c r="P47" s="8">
        <f>IFERROR(VLOOKUP(B47,cubo!$A$6:$BE$37,37,0)-VLOOKUP(B47,#REF!,$P$2,0),0)</f>
        <v>0</v>
      </c>
      <c r="Q47" s="8">
        <f>IFERROR(VLOOKUP(B47,cubo!$A$6:$BE$37,56,0)-VLOOKUP(B47,#REF!,$Q$2,0),0)</f>
        <v>0</v>
      </c>
      <c r="R47" s="9">
        <f>IFERROR(VLOOKUP(B47,cubo!$A$6:$BE$37,40,0)-VLOOKUP(B47,#REF!,$R$2,0),0)</f>
        <v>0</v>
      </c>
      <c r="S47" s="9">
        <f>IFERROR(VLOOKUP(B47,cubo!$A$6:$BE$37,43,0)-VLOOKUP(B47,#REF!,$S$2,0),0)</f>
        <v>0</v>
      </c>
      <c r="T47" s="9">
        <f>IFERROR(VLOOKUP(B47,cubo!$A$6:$BE$37,46,0)-VLOOKUP(B47,#REF!,$T$2,0),0)</f>
        <v>0</v>
      </c>
      <c r="U47" s="9">
        <f>IFERROR(VLOOKUP(B47,cubo!$A$6:$BE$37,51,0)-VLOOKUP(B47,#REF!,$U$2,0),0)</f>
        <v>0</v>
      </c>
      <c r="V47" s="9">
        <f>IFERROR(VLOOKUP(B47,cubo!$A$6:$BJ$37,60,0)-VLOOKUP(B47,#REF!,$V$2,0),0)</f>
        <v>0</v>
      </c>
      <c r="W47" s="9">
        <f>IFERROR(VLOOKUP(B47,cubo!$A$6:$BE$37,26,0)-VLOOKUP(B47,#REF!,$W$2,0),0)</f>
        <v>0</v>
      </c>
      <c r="X47" s="9">
        <f>IFERROR(VLOOKUP(B47,cubo!$A$6:$BE$37,20,0)-VLOOKUP(B47,#REF!,$X$2,0),0)</f>
        <v>0</v>
      </c>
      <c r="Y47" s="9">
        <f>IFERROR(VLOOKUP(B47,cubo!$A$6:$BE$37,21,0)-VLOOKUP(B47,#REF!,$Y$2,0),0)</f>
        <v>0</v>
      </c>
      <c r="Z47" s="9">
        <f>IFERROR(VLOOKUP(B47,cubo!$A$6:$BE$37,27,0)-VLOOKUP(B47,#REF!,$Z$2,0),0)</f>
        <v>0</v>
      </c>
      <c r="AA47" s="9">
        <f>IFERROR(VLOOKUP(B47,cubo!$A$6:$BE$37,28,0)-VLOOKUP(B47,#REF!,$AA$2,0),0)</f>
        <v>0</v>
      </c>
      <c r="AB47" s="9">
        <f>IFERROR(VLOOKUP(B47,cubo!$A$6:$BE$37,29,0)-VLOOKUP(B47,#REF!,$AB$2,0),0)</f>
        <v>0</v>
      </c>
      <c r="AC47" s="9">
        <f>IFERROR(VLOOKUP(B47,cubo!$A$6:$BE$37,30,0)-VLOOKUP(B47,#REF!,$AC$2,0),0)</f>
        <v>0</v>
      </c>
      <c r="AD47" s="9">
        <f>IFERROR(VLOOKUP(B47,cubo!$A$6:$BE$37,31,0)-VLOOKUP(B47,#REF!,$AD$2,0),0)</f>
        <v>0</v>
      </c>
      <c r="AE47" s="9">
        <f>IFERROR(VLOOKUP(B47,cubo!$A$6:$BE$37,35,0)-VLOOKUP(B47,#REF!,$AE$2,0),0)</f>
        <v>0</v>
      </c>
      <c r="AF47" s="9" cm="1">
        <f t="array" aca="1" ref="AF47" ca="1">IFERROR(rrPROCV(B47,cubo!$A$6:$BE$37,48,0)-VLOOKUP(B47,#REF!,$AF$2,0),0)</f>
        <v>0</v>
      </c>
      <c r="AG47" s="9">
        <f>IFERROR(VLOOKUP(B47,cubo!$A$6:$BE$37,49,0)-VLOOKUP(B47,#REF!,$AG$2,0),0)</f>
        <v>0</v>
      </c>
      <c r="AH47" s="9">
        <f>IFERROR(VLOOKUP(B47,cubo!$A$6:$BE$37,50,0)-VLOOKUP(B47,#REF!,$AH$2,0),0)</f>
        <v>0</v>
      </c>
      <c r="AI47" s="9">
        <f>IFERROR(VLOOKUP(B47,cubo!$A$6:$BE$37,51,0)-VLOOKUP(B47,#REF!,$AI$2,0),0)</f>
        <v>0</v>
      </c>
      <c r="AJ47" s="9">
        <f>IFERROR(VLOOKUP(B47,cubo!$A$6:$BI$116,62,0)-VLOOKUP(B47,#REF!,$AJ$2,0),0)</f>
        <v>0</v>
      </c>
      <c r="AK47" s="9">
        <f>IFERROR(VLOOKUP(B47,cubo!$A$6:$BJ$37,63,0)-VLOOKUP(B47,#REF!,$AK$2,0),0)</f>
        <v>0</v>
      </c>
      <c r="AL47" s="9">
        <f>IFERROR(VLOOKUP(B47,cubo!$A$6:$BE$37,58,0)-VLOOKUP(B47,#REF!,$AL$2,0),0)</f>
        <v>0</v>
      </c>
      <c r="AM47" s="9">
        <f>IFERROR(VLOOKUP(B47,cubo!$A$6:$BK$37,64,0)-VLOOKUP(B47,#REF!,$AM$2,0),0)</f>
        <v>0</v>
      </c>
      <c r="AN47" s="9">
        <f>IFERROR(VLOOKUP(B47,cubo!$A$6:$AN$37,41,0)-VLOOKUP(B47,#REF!,$AN$2,0),0)</f>
        <v>0</v>
      </c>
    </row>
    <row r="48" spans="2:40" x14ac:dyDescent="0.25">
      <c r="B48" s="7">
        <f>[1]salario!A47</f>
        <v>0</v>
      </c>
      <c r="C48" s="8">
        <f>[1]salario!C47</f>
        <v>0</v>
      </c>
      <c r="D48" s="9">
        <f>IFERROR(VLOOKUP(B48,cubo!$A$6:$BE$37,3,0)-VLOOKUP(B48,#REF!,$D$2,0),0)</f>
        <v>0</v>
      </c>
      <c r="E48" s="10">
        <f>IFERROR(VLOOKUP(B48,cubo!$A$6:$BE$37,5,0)-VLOOKUP(B48,#REF!,$E$2,0),0)</f>
        <v>0</v>
      </c>
      <c r="F48" s="10">
        <f>IFERROR(VLOOKUP(B48,cubo!$A$6:$BE$37,8,0)-VLOOKUP(B48,#REF!,$F$2,0),0)</f>
        <v>0</v>
      </c>
      <c r="G48" s="9">
        <f>IFERROR(VLOOKUP(B48,cubo!$A$6:$BE$37,11,0)-VLOOKUP(B48,#REF!,$G$2,0),0)</f>
        <v>0</v>
      </c>
      <c r="H48" s="9">
        <f>IFERROR(VLOOKUP(B48,cubo!$A$6:$BE$37,53,0)-VLOOKUP(B48,#REF!,$H$2,0),0)</f>
        <v>0</v>
      </c>
      <c r="I48" s="10">
        <f>IFERROR(VLOOKUP(B48,cubo!$A$6:$BE$37,14,0)-VLOOKUP(B48,#REF!,$I$2,0),0)</f>
        <v>0</v>
      </c>
      <c r="J48" s="9">
        <f>IFERROR(VLOOKUP(B48,cubo!$A$6:$BE$37,16,0)-VLOOKUP(B48,#REF!,$J$2,0),0)</f>
        <v>0</v>
      </c>
      <c r="K48" s="9">
        <f>IFERROR(VLOOKUP(B48,cubo!$A$6:$BE$37,17,0)-VLOOKUP(B48,#REF!,$K$2,0),0)</f>
        <v>0</v>
      </c>
      <c r="L48" s="9">
        <f>IFERROR(VLOOKUP(B48,cubo!$A$6:$BE$37,19,0)-VLOOKUP(B48,#REF!,$L$2,0),0)</f>
        <v>0</v>
      </c>
      <c r="M48" s="9">
        <f>IFERROR(VLOOKUP(B48,cubo!$A$6:$BE$37,23,0)-VLOOKUP(B48,#REF!,$M$2,0),0)</f>
        <v>0</v>
      </c>
      <c r="N48" s="9">
        <f>IFERROR(VLOOKUP(B48,cubo!$A$6:$BE$37,25,0)-VLOOKUP(B48,#REF!,$N$2,0),0)</f>
        <v>0</v>
      </c>
      <c r="O48" s="9">
        <f>IFERROR(VLOOKUP(B48,cubo!$A$6:$BE$37,33,0)-VLOOKUP(B48,#REF!,$O$2,0),0)</f>
        <v>0</v>
      </c>
      <c r="P48" s="8">
        <f>IFERROR(VLOOKUP(B48,cubo!$A$6:$BE$37,37,0)-VLOOKUP(B48,#REF!,$P$2,0),0)</f>
        <v>0</v>
      </c>
      <c r="Q48" s="8">
        <f>IFERROR(VLOOKUP(B48,cubo!$A$6:$BE$37,56,0)-VLOOKUP(B48,#REF!,$Q$2,0),0)</f>
        <v>0</v>
      </c>
      <c r="R48" s="9">
        <f>IFERROR(VLOOKUP(B48,cubo!$A$6:$BE$37,40,0)-VLOOKUP(B48,#REF!,$R$2,0),0)</f>
        <v>0</v>
      </c>
      <c r="S48" s="9">
        <f>IFERROR(VLOOKUP(B48,cubo!$A$6:$BE$37,43,0)-VLOOKUP(B48,#REF!,$S$2,0),0)</f>
        <v>0</v>
      </c>
      <c r="T48" s="9">
        <f>IFERROR(VLOOKUP(B48,cubo!$A$6:$BE$37,46,0)-VLOOKUP(B48,#REF!,$T$2,0),0)</f>
        <v>0</v>
      </c>
      <c r="U48" s="9">
        <f>IFERROR(VLOOKUP(B48,cubo!$A$6:$BE$37,51,0)-VLOOKUP(B48,#REF!,$U$2,0),0)</f>
        <v>0</v>
      </c>
      <c r="V48" s="9">
        <f>IFERROR(VLOOKUP(B48,cubo!$A$6:$BJ$37,60,0)-VLOOKUP(B48,#REF!,$V$2,0),0)</f>
        <v>0</v>
      </c>
      <c r="W48" s="9">
        <f>IFERROR(VLOOKUP(B48,cubo!$A$6:$BE$37,26,0)-VLOOKUP(B48,#REF!,$W$2,0),0)</f>
        <v>0</v>
      </c>
      <c r="X48" s="9">
        <f>IFERROR(VLOOKUP(B48,cubo!$A$6:$BE$37,20,0)-VLOOKUP(B48,#REF!,$X$2,0),0)</f>
        <v>0</v>
      </c>
      <c r="Y48" s="9">
        <f>IFERROR(VLOOKUP(B48,cubo!$A$6:$BE$37,21,0)-VLOOKUP(B48,#REF!,$Y$2,0),0)</f>
        <v>0</v>
      </c>
      <c r="Z48" s="9">
        <f>IFERROR(VLOOKUP(B48,cubo!$A$6:$BE$37,27,0)-VLOOKUP(B48,#REF!,$Z$2,0),0)</f>
        <v>0</v>
      </c>
      <c r="AA48" s="9">
        <f>IFERROR(VLOOKUP(B48,cubo!$A$6:$BE$37,28,0)-VLOOKUP(B48,#REF!,$AA$2,0),0)</f>
        <v>0</v>
      </c>
      <c r="AB48" s="9">
        <f>IFERROR(VLOOKUP(B48,cubo!$A$6:$BE$37,29,0)-VLOOKUP(B48,#REF!,$AB$2,0),0)</f>
        <v>0</v>
      </c>
      <c r="AC48" s="9">
        <f>IFERROR(VLOOKUP(B48,cubo!$A$6:$BE$37,30,0)-VLOOKUP(B48,#REF!,$AC$2,0),0)</f>
        <v>0</v>
      </c>
      <c r="AD48" s="9">
        <f>IFERROR(VLOOKUP(B48,cubo!$A$6:$BE$37,31,0)-VLOOKUP(B48,#REF!,$AD$2,0),0)</f>
        <v>0</v>
      </c>
      <c r="AE48" s="9">
        <f>IFERROR(VLOOKUP(B48,cubo!$A$6:$BE$37,35,0)-VLOOKUP(B48,#REF!,$AE$2,0),0)</f>
        <v>0</v>
      </c>
      <c r="AF48" s="9" cm="1">
        <f t="array" aca="1" ref="AF48" ca="1">IFERROR(rrPROCV(B48,cubo!$A$6:$BE$37,48,0)-VLOOKUP(B48,#REF!,$AF$2,0),0)</f>
        <v>0</v>
      </c>
      <c r="AG48" s="9">
        <f>IFERROR(VLOOKUP(B48,cubo!$A$6:$BE$37,49,0)-VLOOKUP(B48,#REF!,$AG$2,0),0)</f>
        <v>0</v>
      </c>
      <c r="AH48" s="9">
        <f>IFERROR(VLOOKUP(B48,cubo!$A$6:$BE$37,50,0)-VLOOKUP(B48,#REF!,$AH$2,0),0)</f>
        <v>0</v>
      </c>
      <c r="AI48" s="9">
        <f>IFERROR(VLOOKUP(B48,cubo!$A$6:$BE$37,51,0)-VLOOKUP(B48,#REF!,$AI$2,0),0)</f>
        <v>0</v>
      </c>
      <c r="AJ48" s="9">
        <f>IFERROR(VLOOKUP(B48,cubo!$A$6:$BI$116,62,0)-VLOOKUP(B48,#REF!,$AJ$2,0),0)</f>
        <v>0</v>
      </c>
      <c r="AK48" s="9">
        <f>IFERROR(VLOOKUP(B48,cubo!$A$6:$BJ$37,63,0)-VLOOKUP(B48,#REF!,$AK$2,0),0)</f>
        <v>0</v>
      </c>
      <c r="AL48" s="9">
        <f>IFERROR(VLOOKUP(B48,cubo!$A$6:$BE$37,58,0)-VLOOKUP(B48,#REF!,$AL$2,0),0)</f>
        <v>0</v>
      </c>
      <c r="AM48" s="9">
        <f>IFERROR(VLOOKUP(B48,cubo!$A$6:$BK$37,64,0)-VLOOKUP(B48,#REF!,$AM$2,0),0)</f>
        <v>0</v>
      </c>
      <c r="AN48" s="9">
        <f>IFERROR(VLOOKUP(B48,cubo!$A$6:$AN$37,41,0)-VLOOKUP(B48,#REF!,$AN$2,0),0)</f>
        <v>0</v>
      </c>
    </row>
    <row r="49" spans="2:40" x14ac:dyDescent="0.25">
      <c r="B49" s="7">
        <f>[1]salario!A48</f>
        <v>0</v>
      </c>
      <c r="C49" s="8">
        <f>[1]salario!C48</f>
        <v>0</v>
      </c>
      <c r="D49" s="9">
        <f>IFERROR(VLOOKUP(B49,cubo!$A$6:$BE$37,3,0)-VLOOKUP(B49,#REF!,$D$2,0),0)</f>
        <v>0</v>
      </c>
      <c r="E49" s="10">
        <f>IFERROR(VLOOKUP(B49,cubo!$A$6:$BE$37,5,0)-VLOOKUP(B49,#REF!,$E$2,0),0)</f>
        <v>0</v>
      </c>
      <c r="F49" s="10">
        <f>IFERROR(VLOOKUP(B49,cubo!$A$6:$BE$37,8,0)-VLOOKUP(B49,#REF!,$F$2,0),0)</f>
        <v>0</v>
      </c>
      <c r="G49" s="9">
        <f>IFERROR(VLOOKUP(B49,cubo!$A$6:$BE$37,11,0)-VLOOKUP(B49,#REF!,$G$2,0),0)</f>
        <v>0</v>
      </c>
      <c r="H49" s="9">
        <f>IFERROR(VLOOKUP(B49,cubo!$A$6:$BE$37,53,0)-VLOOKUP(B49,#REF!,$H$2,0),0)</f>
        <v>0</v>
      </c>
      <c r="I49" s="10">
        <f>IFERROR(VLOOKUP(B49,cubo!$A$6:$BE$37,14,0)-VLOOKUP(B49,#REF!,$I$2,0),0)</f>
        <v>0</v>
      </c>
      <c r="J49" s="9">
        <f>IFERROR(VLOOKUP(B49,cubo!$A$6:$BE$37,16,0)-VLOOKUP(B49,#REF!,$J$2,0),0)</f>
        <v>0</v>
      </c>
      <c r="K49" s="9">
        <f>IFERROR(VLOOKUP(B49,cubo!$A$6:$BE$37,17,0)-VLOOKUP(B49,#REF!,$K$2,0),0)</f>
        <v>0</v>
      </c>
      <c r="L49" s="9">
        <f>IFERROR(VLOOKUP(B49,cubo!$A$6:$BE$37,19,0)-VLOOKUP(B49,#REF!,$L$2,0),0)</f>
        <v>0</v>
      </c>
      <c r="M49" s="9">
        <f>IFERROR(VLOOKUP(B49,cubo!$A$6:$BE$37,23,0)-VLOOKUP(B49,#REF!,$M$2,0),0)</f>
        <v>0</v>
      </c>
      <c r="N49" s="9">
        <f>IFERROR(VLOOKUP(B49,cubo!$A$6:$BE$37,25,0)-VLOOKUP(B49,#REF!,$N$2,0),0)</f>
        <v>0</v>
      </c>
      <c r="O49" s="9">
        <f>IFERROR(VLOOKUP(B49,cubo!$A$6:$BE$37,33,0)-VLOOKUP(B49,#REF!,$O$2,0),0)</f>
        <v>0</v>
      </c>
      <c r="P49" s="8">
        <f>IFERROR(VLOOKUP(B49,cubo!$A$6:$BE$37,37,0)-VLOOKUP(B49,#REF!,$P$2,0),0)</f>
        <v>0</v>
      </c>
      <c r="Q49" s="8">
        <f>IFERROR(VLOOKUP(B49,cubo!$A$6:$BE$37,56,0)-VLOOKUP(B49,#REF!,$Q$2,0),0)</f>
        <v>0</v>
      </c>
      <c r="R49" s="9">
        <f>IFERROR(VLOOKUP(B49,cubo!$A$6:$BE$37,40,0)-VLOOKUP(B49,#REF!,$R$2,0),0)</f>
        <v>0</v>
      </c>
      <c r="S49" s="9">
        <f>IFERROR(VLOOKUP(B49,cubo!$A$6:$BE$37,43,0)-VLOOKUP(B49,#REF!,$S$2,0),0)</f>
        <v>0</v>
      </c>
      <c r="T49" s="9">
        <f>IFERROR(VLOOKUP(B49,cubo!$A$6:$BE$37,46,0)-VLOOKUP(B49,#REF!,$T$2,0),0)</f>
        <v>0</v>
      </c>
      <c r="U49" s="9">
        <f>IFERROR(VLOOKUP(B49,cubo!$A$6:$BE$37,51,0)-VLOOKUP(B49,#REF!,$U$2,0),0)</f>
        <v>0</v>
      </c>
      <c r="V49" s="9">
        <f>IFERROR(VLOOKUP(B49,cubo!$A$6:$BJ$37,60,0)-VLOOKUP(B49,#REF!,$V$2,0),0)</f>
        <v>0</v>
      </c>
      <c r="W49" s="9">
        <f>IFERROR(VLOOKUP(B49,cubo!$A$6:$BE$37,26,0)-VLOOKUP(B49,#REF!,$W$2,0),0)</f>
        <v>0</v>
      </c>
      <c r="X49" s="9">
        <f>IFERROR(VLOOKUP(B49,cubo!$A$6:$BE$37,20,0)-VLOOKUP(B49,#REF!,$X$2,0),0)</f>
        <v>0</v>
      </c>
      <c r="Y49" s="9">
        <f>IFERROR(VLOOKUP(B49,cubo!$A$6:$BE$37,21,0)-VLOOKUP(B49,#REF!,$Y$2,0),0)</f>
        <v>0</v>
      </c>
      <c r="Z49" s="9">
        <f>IFERROR(VLOOKUP(B49,cubo!$A$6:$BE$37,27,0)-VLOOKUP(B49,#REF!,$Z$2,0),0)</f>
        <v>0</v>
      </c>
      <c r="AA49" s="9">
        <f>IFERROR(VLOOKUP(B49,cubo!$A$6:$BE$37,28,0)-VLOOKUP(B49,#REF!,$AA$2,0),0)</f>
        <v>0</v>
      </c>
      <c r="AB49" s="9">
        <f>IFERROR(VLOOKUP(B49,cubo!$A$6:$BE$37,29,0)-VLOOKUP(B49,#REF!,$AB$2,0),0)</f>
        <v>0</v>
      </c>
      <c r="AC49" s="9">
        <f>IFERROR(VLOOKUP(B49,cubo!$A$6:$BE$37,30,0)-VLOOKUP(B49,#REF!,$AC$2,0),0)</f>
        <v>0</v>
      </c>
      <c r="AD49" s="9">
        <f>IFERROR(VLOOKUP(B49,cubo!$A$6:$BE$37,31,0)-VLOOKUP(B49,#REF!,$AD$2,0),0)</f>
        <v>0</v>
      </c>
      <c r="AE49" s="9">
        <f>IFERROR(VLOOKUP(B49,cubo!$A$6:$BE$37,35,0)-VLOOKUP(B49,#REF!,$AE$2,0),0)</f>
        <v>0</v>
      </c>
      <c r="AF49" s="9" cm="1">
        <f t="array" aca="1" ref="AF49" ca="1">IFERROR(rrPROCV(B49,cubo!$A$6:$BE$37,48,0)-VLOOKUP(B49,#REF!,$AF$2,0),0)</f>
        <v>0</v>
      </c>
      <c r="AG49" s="9">
        <f>IFERROR(VLOOKUP(B49,cubo!$A$6:$BE$37,49,0)-VLOOKUP(B49,#REF!,$AG$2,0),0)</f>
        <v>0</v>
      </c>
      <c r="AH49" s="9">
        <f>IFERROR(VLOOKUP(B49,cubo!$A$6:$BE$37,50,0)-VLOOKUP(B49,#REF!,$AH$2,0),0)</f>
        <v>0</v>
      </c>
      <c r="AI49" s="9">
        <f>IFERROR(VLOOKUP(B49,cubo!$A$6:$BE$37,51,0)-VLOOKUP(B49,#REF!,$AI$2,0),0)</f>
        <v>0</v>
      </c>
      <c r="AJ49" s="9">
        <f>IFERROR(VLOOKUP(B49,cubo!$A$6:$BI$116,62,0)-VLOOKUP(B49,#REF!,$AJ$2,0),0)</f>
        <v>0</v>
      </c>
      <c r="AK49" s="9">
        <f>IFERROR(VLOOKUP(B49,cubo!$A$6:$BJ$37,63,0)-VLOOKUP(B49,#REF!,$AK$2,0),0)</f>
        <v>0</v>
      </c>
      <c r="AL49" s="9">
        <f>IFERROR(VLOOKUP(B49,cubo!$A$6:$BE$37,58,0)-VLOOKUP(B49,#REF!,$AL$2,0),0)</f>
        <v>0</v>
      </c>
      <c r="AM49" s="9">
        <f>IFERROR(VLOOKUP(B49,cubo!$A$6:$BK$37,64,0)-VLOOKUP(B49,#REF!,$AM$2,0),0)</f>
        <v>0</v>
      </c>
      <c r="AN49" s="9">
        <f>IFERROR(VLOOKUP(B49,cubo!$A$6:$AN$37,41,0)-VLOOKUP(B49,#REF!,$AN$2,0),0)</f>
        <v>0</v>
      </c>
    </row>
    <row r="50" spans="2:40" x14ac:dyDescent="0.25">
      <c r="B50" s="7">
        <f>[1]salario!A49</f>
        <v>0</v>
      </c>
      <c r="C50" s="8">
        <f>[1]salario!C49</f>
        <v>0</v>
      </c>
      <c r="D50" s="9">
        <f>IFERROR(VLOOKUP(B50,cubo!$A$6:$BE$37,3,0)-VLOOKUP(B50,#REF!,$D$2,0),0)</f>
        <v>0</v>
      </c>
      <c r="E50" s="10">
        <f>IFERROR(VLOOKUP(B50,cubo!$A$6:$BE$37,5,0)-VLOOKUP(B50,#REF!,$E$2,0),0)</f>
        <v>0</v>
      </c>
      <c r="F50" s="10">
        <f>IFERROR(VLOOKUP(B50,cubo!$A$6:$BE$37,8,0)-VLOOKUP(B50,#REF!,$F$2,0),0)</f>
        <v>0</v>
      </c>
      <c r="G50" s="9">
        <f>IFERROR(VLOOKUP(B50,cubo!$A$6:$BE$37,11,0)-VLOOKUP(B50,#REF!,$G$2,0),0)</f>
        <v>0</v>
      </c>
      <c r="H50" s="9">
        <f>IFERROR(VLOOKUP(B50,cubo!$A$6:$BE$37,53,0)-VLOOKUP(B50,#REF!,$H$2,0),0)</f>
        <v>0</v>
      </c>
      <c r="I50" s="10">
        <f>IFERROR(VLOOKUP(B50,cubo!$A$6:$BE$37,14,0)-VLOOKUP(B50,#REF!,$I$2,0),0)</f>
        <v>0</v>
      </c>
      <c r="J50" s="9">
        <f>IFERROR(VLOOKUP(B50,cubo!$A$6:$BE$37,16,0)-VLOOKUP(B50,#REF!,$J$2,0),0)</f>
        <v>0</v>
      </c>
      <c r="K50" s="9">
        <f>IFERROR(VLOOKUP(B50,cubo!$A$6:$BE$37,17,0)-VLOOKUP(B50,#REF!,$K$2,0),0)</f>
        <v>0</v>
      </c>
      <c r="L50" s="9">
        <f>IFERROR(VLOOKUP(B50,cubo!$A$6:$BE$37,19,0)-VLOOKUP(B50,#REF!,$L$2,0),0)</f>
        <v>0</v>
      </c>
      <c r="M50" s="9">
        <f>IFERROR(VLOOKUP(B50,cubo!$A$6:$BE$37,23,0)-VLOOKUP(B50,#REF!,$M$2,0),0)</f>
        <v>0</v>
      </c>
      <c r="N50" s="9">
        <f>IFERROR(VLOOKUP(B50,cubo!$A$6:$BE$37,25,0)-VLOOKUP(B50,#REF!,$N$2,0),0)</f>
        <v>0</v>
      </c>
      <c r="O50" s="9">
        <f>IFERROR(VLOOKUP(B50,cubo!$A$6:$BE$37,33,0)-VLOOKUP(B50,#REF!,$O$2,0),0)</f>
        <v>0</v>
      </c>
      <c r="P50" s="8">
        <f>IFERROR(VLOOKUP(B50,cubo!$A$6:$BE$37,37,0)-VLOOKUP(B50,#REF!,$P$2,0),0)</f>
        <v>0</v>
      </c>
      <c r="Q50" s="8">
        <f>IFERROR(VLOOKUP(B50,cubo!$A$6:$BE$37,56,0)-VLOOKUP(B50,#REF!,$Q$2,0),0)</f>
        <v>0</v>
      </c>
      <c r="R50" s="9">
        <f>IFERROR(VLOOKUP(B50,cubo!$A$6:$BE$37,40,0)-VLOOKUP(B50,#REF!,$R$2,0),0)</f>
        <v>0</v>
      </c>
      <c r="S50" s="9">
        <f>IFERROR(VLOOKUP(B50,cubo!$A$6:$BE$37,43,0)-VLOOKUP(B50,#REF!,$S$2,0),0)</f>
        <v>0</v>
      </c>
      <c r="T50" s="9">
        <f>IFERROR(VLOOKUP(B50,cubo!$A$6:$BE$37,46,0)-VLOOKUP(B50,#REF!,$T$2,0),0)</f>
        <v>0</v>
      </c>
      <c r="U50" s="9">
        <f>IFERROR(VLOOKUP(B50,cubo!$A$6:$BE$37,51,0)-VLOOKUP(B50,#REF!,$U$2,0),0)</f>
        <v>0</v>
      </c>
      <c r="V50" s="9">
        <f>IFERROR(VLOOKUP(B50,cubo!$A$6:$BJ$37,60,0)-VLOOKUP(B50,#REF!,$V$2,0),0)</f>
        <v>0</v>
      </c>
      <c r="W50" s="9">
        <f>IFERROR(VLOOKUP(B50,cubo!$A$6:$BE$37,26,0)-VLOOKUP(B50,#REF!,$W$2,0),0)</f>
        <v>0</v>
      </c>
      <c r="X50" s="9">
        <f>IFERROR(VLOOKUP(B50,cubo!$A$6:$BE$37,20,0)-VLOOKUP(B50,#REF!,$X$2,0),0)</f>
        <v>0</v>
      </c>
      <c r="Y50" s="9">
        <f>IFERROR(VLOOKUP(B50,cubo!$A$6:$BE$37,21,0)-VLOOKUP(B50,#REF!,$Y$2,0),0)</f>
        <v>0</v>
      </c>
      <c r="Z50" s="9">
        <f>IFERROR(VLOOKUP(B50,cubo!$A$6:$BE$37,27,0)-VLOOKUP(B50,#REF!,$Z$2,0),0)</f>
        <v>0</v>
      </c>
      <c r="AA50" s="9">
        <f>IFERROR(VLOOKUP(B50,cubo!$A$6:$BE$37,28,0)-VLOOKUP(B50,#REF!,$AA$2,0),0)</f>
        <v>0</v>
      </c>
      <c r="AB50" s="9">
        <f>IFERROR(VLOOKUP(B50,cubo!$A$6:$BE$37,29,0)-VLOOKUP(B50,#REF!,$AB$2,0),0)</f>
        <v>0</v>
      </c>
      <c r="AC50" s="9">
        <f>IFERROR(VLOOKUP(B50,cubo!$A$6:$BE$37,30,0)-VLOOKUP(B50,#REF!,$AC$2,0),0)</f>
        <v>0</v>
      </c>
      <c r="AD50" s="9">
        <f>IFERROR(VLOOKUP(B50,cubo!$A$6:$BE$37,31,0)-VLOOKUP(B50,#REF!,$AD$2,0),0)</f>
        <v>0</v>
      </c>
      <c r="AE50" s="9">
        <f>IFERROR(VLOOKUP(B50,cubo!$A$6:$BE$37,35,0)-VLOOKUP(B50,#REF!,$AE$2,0),0)</f>
        <v>0</v>
      </c>
      <c r="AF50" s="9" cm="1">
        <f t="array" aca="1" ref="AF50" ca="1">IFERROR(rrPROCV(B50,cubo!$A$6:$BE$37,48,0)-VLOOKUP(B50,#REF!,$AF$2,0),0)</f>
        <v>0</v>
      </c>
      <c r="AG50" s="9">
        <f>IFERROR(VLOOKUP(B50,cubo!$A$6:$BE$37,49,0)-VLOOKUP(B50,#REF!,$AG$2,0),0)</f>
        <v>0</v>
      </c>
      <c r="AH50" s="9">
        <f>IFERROR(VLOOKUP(B50,cubo!$A$6:$BE$37,50,0)-VLOOKUP(B50,#REF!,$AH$2,0),0)</f>
        <v>0</v>
      </c>
      <c r="AI50" s="9">
        <f>IFERROR(VLOOKUP(B50,cubo!$A$6:$BE$37,51,0)-VLOOKUP(B50,#REF!,$AI$2,0),0)</f>
        <v>0</v>
      </c>
      <c r="AJ50" s="9">
        <f>IFERROR(VLOOKUP(B50,cubo!$A$6:$BI$116,62,0)-VLOOKUP(B50,#REF!,$AJ$2,0),0)</f>
        <v>0</v>
      </c>
      <c r="AK50" s="9">
        <f>IFERROR(VLOOKUP(B50,cubo!$A$6:$BJ$37,63,0)-VLOOKUP(B50,#REF!,$AK$2,0),0)</f>
        <v>0</v>
      </c>
      <c r="AL50" s="9">
        <f>IFERROR(VLOOKUP(B50,cubo!$A$6:$BE$37,58,0)-VLOOKUP(B50,#REF!,$AL$2,0),0)</f>
        <v>0</v>
      </c>
      <c r="AM50" s="9">
        <f>IFERROR(VLOOKUP(B50,cubo!$A$6:$BK$37,64,0)-VLOOKUP(B50,#REF!,$AM$2,0),0)</f>
        <v>0</v>
      </c>
      <c r="AN50" s="9">
        <f>IFERROR(VLOOKUP(B50,cubo!$A$6:$AN$37,41,0)-VLOOKUP(B50,#REF!,$AN$2,0),0)</f>
        <v>0</v>
      </c>
    </row>
    <row r="51" spans="2:40" x14ac:dyDescent="0.25">
      <c r="B51" s="7">
        <f>[1]salario!A50</f>
        <v>0</v>
      </c>
      <c r="C51" s="8">
        <f>[1]salario!C50</f>
        <v>0</v>
      </c>
      <c r="D51" s="9">
        <f>IFERROR(VLOOKUP(B51,cubo!$A$6:$BE$37,3,0)-VLOOKUP(B51,#REF!,$D$2,0),0)</f>
        <v>0</v>
      </c>
      <c r="E51" s="10">
        <f>IFERROR(VLOOKUP(B51,cubo!$A$6:$BE$37,5,0)-VLOOKUP(B51,#REF!,$E$2,0),0)</f>
        <v>0</v>
      </c>
      <c r="F51" s="10">
        <f>IFERROR(VLOOKUP(B51,cubo!$A$6:$BE$37,8,0)-VLOOKUP(B51,#REF!,$F$2,0),0)</f>
        <v>0</v>
      </c>
      <c r="G51" s="9">
        <f>IFERROR(VLOOKUP(B51,cubo!$A$6:$BE$37,11,0)-VLOOKUP(B51,#REF!,$G$2,0),0)</f>
        <v>0</v>
      </c>
      <c r="H51" s="9">
        <f>IFERROR(VLOOKUP(B51,cubo!$A$6:$BE$37,53,0)-VLOOKUP(B51,#REF!,$H$2,0),0)</f>
        <v>0</v>
      </c>
      <c r="I51" s="10">
        <f>IFERROR(VLOOKUP(B51,cubo!$A$6:$BE$37,14,0)-VLOOKUP(B51,#REF!,$I$2,0),0)</f>
        <v>0</v>
      </c>
      <c r="J51" s="9">
        <f>IFERROR(VLOOKUP(B51,cubo!$A$6:$BE$37,16,0)-VLOOKUP(B51,#REF!,$J$2,0),0)</f>
        <v>0</v>
      </c>
      <c r="K51" s="9">
        <f>IFERROR(VLOOKUP(B51,cubo!$A$6:$BE$37,17,0)-VLOOKUP(B51,#REF!,$K$2,0),0)</f>
        <v>0</v>
      </c>
      <c r="L51" s="9">
        <f>IFERROR(VLOOKUP(B51,cubo!$A$6:$BE$37,19,0)-VLOOKUP(B51,#REF!,$L$2,0),0)</f>
        <v>0</v>
      </c>
      <c r="M51" s="9">
        <f>IFERROR(VLOOKUP(B51,cubo!$A$6:$BE$37,23,0)-VLOOKUP(B51,#REF!,$M$2,0),0)</f>
        <v>0</v>
      </c>
      <c r="N51" s="9">
        <f>IFERROR(VLOOKUP(B51,cubo!$A$6:$BE$37,25,0)-VLOOKUP(B51,#REF!,$N$2,0),0)</f>
        <v>0</v>
      </c>
      <c r="O51" s="9">
        <f>IFERROR(VLOOKUP(B51,cubo!$A$6:$BE$37,33,0)-VLOOKUP(B51,#REF!,$O$2,0),0)</f>
        <v>0</v>
      </c>
      <c r="P51" s="8">
        <f>IFERROR(VLOOKUP(B51,cubo!$A$6:$BE$37,37,0)-VLOOKUP(B51,#REF!,$P$2,0),0)</f>
        <v>0</v>
      </c>
      <c r="Q51" s="8">
        <f>IFERROR(VLOOKUP(B51,cubo!$A$6:$BE$37,56,0)-VLOOKUP(B51,#REF!,$Q$2,0),0)</f>
        <v>0</v>
      </c>
      <c r="R51" s="9">
        <f>IFERROR(VLOOKUP(B51,cubo!$A$6:$BE$37,40,0)-VLOOKUP(B51,#REF!,$R$2,0),0)</f>
        <v>0</v>
      </c>
      <c r="S51" s="9">
        <f>IFERROR(VLOOKUP(B51,cubo!$A$6:$BE$37,43,0)-VLOOKUP(B51,#REF!,$S$2,0),0)</f>
        <v>0</v>
      </c>
      <c r="T51" s="9">
        <f>IFERROR(VLOOKUP(B51,cubo!$A$6:$BE$37,46,0)-VLOOKUP(B51,#REF!,$T$2,0),0)</f>
        <v>0</v>
      </c>
      <c r="U51" s="9">
        <f>IFERROR(VLOOKUP(B51,cubo!$A$6:$BE$37,51,0)-VLOOKUP(B51,#REF!,$U$2,0),0)</f>
        <v>0</v>
      </c>
      <c r="V51" s="9">
        <f>IFERROR(VLOOKUP(B51,cubo!$A$6:$BJ$37,60,0)-VLOOKUP(B51,#REF!,$V$2,0),0)</f>
        <v>0</v>
      </c>
      <c r="W51" s="9">
        <f>IFERROR(VLOOKUP(B51,cubo!$A$6:$BE$37,26,0)-VLOOKUP(B51,#REF!,$W$2,0),0)</f>
        <v>0</v>
      </c>
      <c r="X51" s="9">
        <f>IFERROR(VLOOKUP(B51,cubo!$A$6:$BE$37,20,0)-VLOOKUP(B51,#REF!,$X$2,0),0)</f>
        <v>0</v>
      </c>
      <c r="Y51" s="9">
        <f>IFERROR(VLOOKUP(B51,cubo!$A$6:$BE$37,21,0)-VLOOKUP(B51,#REF!,$Y$2,0),0)</f>
        <v>0</v>
      </c>
      <c r="Z51" s="9">
        <f>IFERROR(VLOOKUP(B51,cubo!$A$6:$BE$37,27,0)-VLOOKUP(B51,#REF!,$Z$2,0),0)</f>
        <v>0</v>
      </c>
      <c r="AA51" s="9">
        <f>IFERROR(VLOOKUP(B51,cubo!$A$6:$BE$37,28,0)-VLOOKUP(B51,#REF!,$AA$2,0),0)</f>
        <v>0</v>
      </c>
      <c r="AB51" s="9">
        <f>IFERROR(VLOOKUP(B51,cubo!$A$6:$BE$37,29,0)-VLOOKUP(B51,#REF!,$AB$2,0),0)</f>
        <v>0</v>
      </c>
      <c r="AC51" s="9">
        <f>IFERROR(VLOOKUP(B51,cubo!$A$6:$BE$37,30,0)-VLOOKUP(B51,#REF!,$AC$2,0),0)</f>
        <v>0</v>
      </c>
      <c r="AD51" s="9">
        <f>IFERROR(VLOOKUP(B51,cubo!$A$6:$BE$37,31,0)-VLOOKUP(B51,#REF!,$AD$2,0),0)</f>
        <v>0</v>
      </c>
      <c r="AE51" s="9">
        <f>IFERROR(VLOOKUP(B51,cubo!$A$6:$BE$37,35,0)-VLOOKUP(B51,#REF!,$AE$2,0),0)</f>
        <v>0</v>
      </c>
      <c r="AF51" s="9" cm="1">
        <f t="array" aca="1" ref="AF51" ca="1">IFERROR(rrPROCV(B51,cubo!$A$6:$BE$37,48,0)-VLOOKUP(B51,#REF!,$AF$2,0),0)</f>
        <v>0</v>
      </c>
      <c r="AG51" s="9">
        <f>IFERROR(VLOOKUP(B51,cubo!$A$6:$BE$37,49,0)-VLOOKUP(B51,#REF!,$AG$2,0),0)</f>
        <v>0</v>
      </c>
      <c r="AH51" s="9">
        <f>IFERROR(VLOOKUP(B51,cubo!$A$6:$BE$37,50,0)-VLOOKUP(B51,#REF!,$AH$2,0),0)</f>
        <v>0</v>
      </c>
      <c r="AI51" s="9">
        <f>IFERROR(VLOOKUP(B51,cubo!$A$6:$BE$37,51,0)-VLOOKUP(B51,#REF!,$AI$2,0),0)</f>
        <v>0</v>
      </c>
      <c r="AJ51" s="9">
        <f>IFERROR(VLOOKUP(B51,cubo!$A$6:$BI$116,62,0)-VLOOKUP(B51,#REF!,$AJ$2,0),0)</f>
        <v>0</v>
      </c>
      <c r="AK51" s="9">
        <f>IFERROR(VLOOKUP(B51,cubo!$A$6:$BJ$37,63,0)-VLOOKUP(B51,#REF!,$AK$2,0),0)</f>
        <v>0</v>
      </c>
      <c r="AL51" s="9">
        <f>IFERROR(VLOOKUP(B51,cubo!$A$6:$BE$37,58,0)-VLOOKUP(B51,#REF!,$AL$2,0),0)</f>
        <v>0</v>
      </c>
      <c r="AM51" s="9">
        <f>IFERROR(VLOOKUP(B51,cubo!$A$6:$BK$37,64,0)-VLOOKUP(B51,#REF!,$AM$2,0),0)</f>
        <v>0</v>
      </c>
      <c r="AN51" s="9">
        <f>IFERROR(VLOOKUP(B51,cubo!$A$6:$AN$37,41,0)-VLOOKUP(B51,#REF!,$AN$2,0),0)</f>
        <v>0</v>
      </c>
    </row>
    <row r="52" spans="2:40" x14ac:dyDescent="0.25">
      <c r="B52" s="7">
        <f>[1]salario!A51</f>
        <v>0</v>
      </c>
      <c r="C52" s="8">
        <f>[1]salario!C51</f>
        <v>0</v>
      </c>
      <c r="D52" s="9">
        <f>IFERROR(VLOOKUP(B52,cubo!$A$6:$BE$37,3,0)-VLOOKUP(B52,#REF!,$D$2,0),0)</f>
        <v>0</v>
      </c>
      <c r="E52" s="10">
        <f>IFERROR(VLOOKUP(B52,cubo!$A$6:$BE$37,5,0)-VLOOKUP(B52,#REF!,$E$2,0),0)</f>
        <v>0</v>
      </c>
      <c r="F52" s="10">
        <f>IFERROR(VLOOKUP(B52,cubo!$A$6:$BE$37,8,0)-VLOOKUP(B52,#REF!,$F$2,0),0)</f>
        <v>0</v>
      </c>
      <c r="G52" s="9">
        <f>IFERROR(VLOOKUP(B52,cubo!$A$6:$BE$37,11,0)-VLOOKUP(B52,#REF!,$G$2,0),0)</f>
        <v>0</v>
      </c>
      <c r="H52" s="9">
        <f>IFERROR(VLOOKUP(B52,cubo!$A$6:$BE$37,53,0)-VLOOKUP(B52,#REF!,$H$2,0),0)</f>
        <v>0</v>
      </c>
      <c r="I52" s="10">
        <f>IFERROR(VLOOKUP(B52,cubo!$A$6:$BE$37,14,0)-VLOOKUP(B52,#REF!,$I$2,0),0)</f>
        <v>0</v>
      </c>
      <c r="J52" s="9">
        <f>IFERROR(VLOOKUP(B52,cubo!$A$6:$BE$37,16,0)-VLOOKUP(B52,#REF!,$J$2,0),0)</f>
        <v>0</v>
      </c>
      <c r="K52" s="9">
        <f>IFERROR(VLOOKUP(B52,cubo!$A$6:$BE$37,17,0)-VLOOKUP(B52,#REF!,$K$2,0),0)</f>
        <v>0</v>
      </c>
      <c r="L52" s="9">
        <f>IFERROR(VLOOKUP(B52,cubo!$A$6:$BE$37,19,0)-VLOOKUP(B52,#REF!,$L$2,0),0)</f>
        <v>0</v>
      </c>
      <c r="M52" s="9">
        <f>IFERROR(VLOOKUP(B52,cubo!$A$6:$BE$37,23,0)-VLOOKUP(B52,#REF!,$M$2,0),0)</f>
        <v>0</v>
      </c>
      <c r="N52" s="9">
        <f>IFERROR(VLOOKUP(B52,cubo!$A$6:$BE$37,25,0)-VLOOKUP(B52,#REF!,$N$2,0),0)</f>
        <v>0</v>
      </c>
      <c r="O52" s="9">
        <f>IFERROR(VLOOKUP(B52,cubo!$A$6:$BE$37,33,0)-VLOOKUP(B52,#REF!,$O$2,0),0)</f>
        <v>0</v>
      </c>
      <c r="P52" s="8">
        <f>IFERROR(VLOOKUP(B52,cubo!$A$6:$BE$37,37,0)-VLOOKUP(B52,#REF!,$P$2,0),0)</f>
        <v>0</v>
      </c>
      <c r="Q52" s="8">
        <f>IFERROR(VLOOKUP(B52,cubo!$A$6:$BE$37,56,0)-VLOOKUP(B52,#REF!,$Q$2,0),0)</f>
        <v>0</v>
      </c>
      <c r="R52" s="9">
        <f>IFERROR(VLOOKUP(B52,cubo!$A$6:$BE$37,40,0)-VLOOKUP(B52,#REF!,$R$2,0),0)</f>
        <v>0</v>
      </c>
      <c r="S52" s="9">
        <f>IFERROR(VLOOKUP(B52,cubo!$A$6:$BE$37,43,0)-VLOOKUP(B52,#REF!,$S$2,0),0)</f>
        <v>0</v>
      </c>
      <c r="T52" s="9">
        <f>IFERROR(VLOOKUP(B52,cubo!$A$6:$BE$37,46,0)-VLOOKUP(B52,#REF!,$T$2,0),0)</f>
        <v>0</v>
      </c>
      <c r="U52" s="9">
        <f>IFERROR(VLOOKUP(B52,cubo!$A$6:$BE$37,51,0)-VLOOKUP(B52,#REF!,$U$2,0),0)</f>
        <v>0</v>
      </c>
      <c r="V52" s="9">
        <f>IFERROR(VLOOKUP(B52,cubo!$A$6:$BJ$37,60,0)-VLOOKUP(B52,#REF!,$V$2,0),0)</f>
        <v>0</v>
      </c>
      <c r="W52" s="9">
        <f>IFERROR(VLOOKUP(B52,cubo!$A$6:$BE$37,26,0)-VLOOKUP(B52,#REF!,$W$2,0),0)</f>
        <v>0</v>
      </c>
      <c r="X52" s="9">
        <f>IFERROR(VLOOKUP(B52,cubo!$A$6:$BE$37,20,0)-VLOOKUP(B52,#REF!,$X$2,0),0)</f>
        <v>0</v>
      </c>
      <c r="Y52" s="9">
        <f>IFERROR(VLOOKUP(B52,cubo!$A$6:$BE$37,21,0)-VLOOKUP(B52,#REF!,$Y$2,0),0)</f>
        <v>0</v>
      </c>
      <c r="Z52" s="9">
        <f>IFERROR(VLOOKUP(B52,cubo!$A$6:$BE$37,27,0)-VLOOKUP(B52,#REF!,$Z$2,0),0)</f>
        <v>0</v>
      </c>
      <c r="AA52" s="9">
        <f>IFERROR(VLOOKUP(B52,cubo!$A$6:$BE$37,28,0)-VLOOKUP(B52,#REF!,$AA$2,0),0)</f>
        <v>0</v>
      </c>
      <c r="AB52" s="9">
        <f>IFERROR(VLOOKUP(B52,cubo!$A$6:$BE$37,29,0)-VLOOKUP(B52,#REF!,$AB$2,0),0)</f>
        <v>0</v>
      </c>
      <c r="AC52" s="9">
        <f>IFERROR(VLOOKUP(B52,cubo!$A$6:$BE$37,30,0)-VLOOKUP(B52,#REF!,$AC$2,0),0)</f>
        <v>0</v>
      </c>
      <c r="AD52" s="9">
        <f>IFERROR(VLOOKUP(B52,cubo!$A$6:$BE$37,31,0)-VLOOKUP(B52,#REF!,$AD$2,0),0)</f>
        <v>0</v>
      </c>
      <c r="AE52" s="9">
        <f>IFERROR(VLOOKUP(B52,cubo!$A$6:$BE$37,35,0)-VLOOKUP(B52,#REF!,$AE$2,0),0)</f>
        <v>0</v>
      </c>
      <c r="AF52" s="9" cm="1">
        <f t="array" aca="1" ref="AF52" ca="1">IFERROR(rrPROCV(B52,cubo!$A$6:$BE$37,48,0)-VLOOKUP(B52,#REF!,$AF$2,0),0)</f>
        <v>0</v>
      </c>
      <c r="AG52" s="9">
        <f>IFERROR(VLOOKUP(B52,cubo!$A$6:$BE$37,49,0)-VLOOKUP(B52,#REF!,$AG$2,0),0)</f>
        <v>0</v>
      </c>
      <c r="AH52" s="9">
        <f>IFERROR(VLOOKUP(B52,cubo!$A$6:$BE$37,50,0)-VLOOKUP(B52,#REF!,$AH$2,0),0)</f>
        <v>0</v>
      </c>
      <c r="AI52" s="9">
        <f>IFERROR(VLOOKUP(B52,cubo!$A$6:$BE$37,51,0)-VLOOKUP(B52,#REF!,$AI$2,0),0)</f>
        <v>0</v>
      </c>
      <c r="AJ52" s="9">
        <f>IFERROR(VLOOKUP(B52,cubo!$A$6:$BI$116,62,0)-VLOOKUP(B52,#REF!,$AJ$2,0),0)</f>
        <v>0</v>
      </c>
      <c r="AK52" s="9">
        <f>IFERROR(VLOOKUP(B52,cubo!$A$6:$BJ$37,63,0)-VLOOKUP(B52,#REF!,$AK$2,0),0)</f>
        <v>0</v>
      </c>
      <c r="AL52" s="9">
        <f>IFERROR(VLOOKUP(B52,cubo!$A$6:$BE$37,58,0)-VLOOKUP(B52,#REF!,$AL$2,0),0)</f>
        <v>0</v>
      </c>
      <c r="AM52" s="9">
        <f>IFERROR(VLOOKUP(B52,cubo!$A$6:$BK$37,64,0)-VLOOKUP(B52,#REF!,$AM$2,0),0)</f>
        <v>0</v>
      </c>
      <c r="AN52" s="9">
        <f>IFERROR(VLOOKUP(B52,cubo!$A$6:$AN$37,41,0)-VLOOKUP(B52,#REF!,$AN$2,0),0)</f>
        <v>0</v>
      </c>
    </row>
    <row r="53" spans="2:40" x14ac:dyDescent="0.25">
      <c r="B53" s="7">
        <f>[1]salario!A52</f>
        <v>0</v>
      </c>
      <c r="C53" s="8">
        <f>[1]salario!C52</f>
        <v>0</v>
      </c>
      <c r="D53" s="9">
        <f>IFERROR(VLOOKUP(B53,cubo!$A$6:$BE$37,3,0)-VLOOKUP(B53,#REF!,$D$2,0),0)</f>
        <v>0</v>
      </c>
      <c r="E53" s="10">
        <f>IFERROR(VLOOKUP(B53,cubo!$A$6:$BE$37,5,0)-VLOOKUP(B53,#REF!,$E$2,0),0)</f>
        <v>0</v>
      </c>
      <c r="F53" s="10">
        <f>IFERROR(VLOOKUP(B53,cubo!$A$6:$BE$37,8,0)-VLOOKUP(B53,#REF!,$F$2,0),0)</f>
        <v>0</v>
      </c>
      <c r="G53" s="9">
        <f>IFERROR(VLOOKUP(B53,cubo!$A$6:$BE$37,11,0)-VLOOKUP(B53,#REF!,$G$2,0),0)</f>
        <v>0</v>
      </c>
      <c r="H53" s="9">
        <f>IFERROR(VLOOKUP(B53,cubo!$A$6:$BE$37,53,0)-VLOOKUP(B53,#REF!,$H$2,0),0)</f>
        <v>0</v>
      </c>
      <c r="I53" s="10">
        <f>IFERROR(VLOOKUP(B53,cubo!$A$6:$BE$37,14,0)-VLOOKUP(B53,#REF!,$I$2,0),0)</f>
        <v>0</v>
      </c>
      <c r="J53" s="9">
        <f>IFERROR(VLOOKUP(B53,cubo!$A$6:$BE$37,16,0)-VLOOKUP(B53,#REF!,$J$2,0),0)</f>
        <v>0</v>
      </c>
      <c r="K53" s="9">
        <f>IFERROR(VLOOKUP(B53,cubo!$A$6:$BE$37,17,0)-VLOOKUP(B53,#REF!,$K$2,0),0)</f>
        <v>0</v>
      </c>
      <c r="L53" s="9">
        <f>IFERROR(VLOOKUP(B53,cubo!$A$6:$BE$37,19,0)-VLOOKUP(B53,#REF!,$L$2,0),0)</f>
        <v>0</v>
      </c>
      <c r="M53" s="9">
        <f>IFERROR(VLOOKUP(B53,cubo!$A$6:$BE$37,23,0)-VLOOKUP(B53,#REF!,$M$2,0),0)</f>
        <v>0</v>
      </c>
      <c r="N53" s="9">
        <f>IFERROR(VLOOKUP(B53,cubo!$A$6:$BE$37,25,0)-VLOOKUP(B53,#REF!,$N$2,0),0)</f>
        <v>0</v>
      </c>
      <c r="O53" s="9">
        <f>IFERROR(VLOOKUP(B53,cubo!$A$6:$BE$37,33,0)-VLOOKUP(B53,#REF!,$O$2,0),0)</f>
        <v>0</v>
      </c>
      <c r="P53" s="8">
        <f>IFERROR(VLOOKUP(B53,cubo!$A$6:$BE$37,37,0)-VLOOKUP(B53,#REF!,$P$2,0),0)</f>
        <v>0</v>
      </c>
      <c r="Q53" s="8">
        <f>IFERROR(VLOOKUP(B53,cubo!$A$6:$BE$37,56,0)-VLOOKUP(B53,#REF!,$Q$2,0),0)</f>
        <v>0</v>
      </c>
      <c r="R53" s="9">
        <f>IFERROR(VLOOKUP(B53,cubo!$A$6:$BE$37,40,0)-VLOOKUP(B53,#REF!,$R$2,0),0)</f>
        <v>0</v>
      </c>
      <c r="S53" s="9">
        <f>IFERROR(VLOOKUP(B53,cubo!$A$6:$BE$37,43,0)-VLOOKUP(B53,#REF!,$S$2,0),0)</f>
        <v>0</v>
      </c>
      <c r="T53" s="9">
        <f>IFERROR(VLOOKUP(B53,cubo!$A$6:$BE$37,46,0)-VLOOKUP(B53,#REF!,$T$2,0),0)</f>
        <v>0</v>
      </c>
      <c r="U53" s="9">
        <f>IFERROR(VLOOKUP(B53,cubo!$A$6:$BE$37,51,0)-VLOOKUP(B53,#REF!,$U$2,0),0)</f>
        <v>0</v>
      </c>
      <c r="V53" s="9">
        <f>IFERROR(VLOOKUP(B53,cubo!$A$6:$BJ$37,60,0)-VLOOKUP(B53,#REF!,$V$2,0),0)</f>
        <v>0</v>
      </c>
      <c r="W53" s="9">
        <f>IFERROR(VLOOKUP(B53,cubo!$A$6:$BE$37,26,0)-VLOOKUP(B53,#REF!,$W$2,0),0)</f>
        <v>0</v>
      </c>
      <c r="X53" s="9">
        <f>IFERROR(VLOOKUP(B53,cubo!$A$6:$BE$37,20,0)-VLOOKUP(B53,#REF!,$X$2,0),0)</f>
        <v>0</v>
      </c>
      <c r="Y53" s="9">
        <f>IFERROR(VLOOKUP(B53,cubo!$A$6:$BE$37,21,0)-VLOOKUP(B53,#REF!,$Y$2,0),0)</f>
        <v>0</v>
      </c>
      <c r="Z53" s="9">
        <f>IFERROR(VLOOKUP(B53,cubo!$A$6:$BE$37,27,0)-VLOOKUP(B53,#REF!,$Z$2,0),0)</f>
        <v>0</v>
      </c>
      <c r="AA53" s="9">
        <f>IFERROR(VLOOKUP(B53,cubo!$A$6:$BE$37,28,0)-VLOOKUP(B53,#REF!,$AA$2,0),0)</f>
        <v>0</v>
      </c>
      <c r="AB53" s="9">
        <f>IFERROR(VLOOKUP(B53,cubo!$A$6:$BE$37,29,0)-VLOOKUP(B53,#REF!,$AB$2,0),0)</f>
        <v>0</v>
      </c>
      <c r="AC53" s="9">
        <f>IFERROR(VLOOKUP(B53,cubo!$A$6:$BE$37,30,0)-VLOOKUP(B53,#REF!,$AC$2,0),0)</f>
        <v>0</v>
      </c>
      <c r="AD53" s="9">
        <f>IFERROR(VLOOKUP(B53,cubo!$A$6:$BE$37,31,0)-VLOOKUP(B53,#REF!,$AD$2,0),0)</f>
        <v>0</v>
      </c>
      <c r="AE53" s="9">
        <f>IFERROR(VLOOKUP(B53,cubo!$A$6:$BE$37,35,0)-VLOOKUP(B53,#REF!,$AE$2,0),0)</f>
        <v>0</v>
      </c>
      <c r="AF53" s="9" cm="1">
        <f t="array" aca="1" ref="AF53" ca="1">IFERROR(rrPROCV(B53,cubo!$A$6:$BE$37,48,0)-VLOOKUP(B53,#REF!,$AF$2,0),0)</f>
        <v>0</v>
      </c>
      <c r="AG53" s="9">
        <f>IFERROR(VLOOKUP(B53,cubo!$A$6:$BE$37,49,0)-VLOOKUP(B53,#REF!,$AG$2,0),0)</f>
        <v>0</v>
      </c>
      <c r="AH53" s="9">
        <f>IFERROR(VLOOKUP(B53,cubo!$A$6:$BE$37,50,0)-VLOOKUP(B53,#REF!,$AH$2,0),0)</f>
        <v>0</v>
      </c>
      <c r="AI53" s="9">
        <f>IFERROR(VLOOKUP(B53,cubo!$A$6:$BE$37,51,0)-VLOOKUP(B53,#REF!,$AI$2,0),0)</f>
        <v>0</v>
      </c>
      <c r="AJ53" s="9">
        <f>IFERROR(VLOOKUP(B53,cubo!$A$6:$BI$116,62,0)-VLOOKUP(B53,#REF!,$AJ$2,0),0)</f>
        <v>0</v>
      </c>
      <c r="AK53" s="9">
        <f>IFERROR(VLOOKUP(B53,cubo!$A$6:$BJ$37,63,0)-VLOOKUP(B53,#REF!,$AK$2,0),0)</f>
        <v>0</v>
      </c>
      <c r="AL53" s="9">
        <f>IFERROR(VLOOKUP(B53,cubo!$A$6:$BE$37,58,0)-VLOOKUP(B53,#REF!,$AL$2,0),0)</f>
        <v>0</v>
      </c>
      <c r="AM53" s="9">
        <f>IFERROR(VLOOKUP(B53,cubo!$A$6:$BK$37,64,0)-VLOOKUP(B53,#REF!,$AM$2,0),0)</f>
        <v>0</v>
      </c>
      <c r="AN53" s="9">
        <f>IFERROR(VLOOKUP(B53,cubo!$A$6:$AN$37,41,0)-VLOOKUP(B53,#REF!,$AN$2,0),0)</f>
        <v>0</v>
      </c>
    </row>
    <row r="54" spans="2:40" x14ac:dyDescent="0.25">
      <c r="B54" s="7">
        <f>[1]salario!A53</f>
        <v>0</v>
      </c>
      <c r="C54" s="8">
        <f>[1]salario!C53</f>
        <v>0</v>
      </c>
      <c r="D54" s="9">
        <f>IFERROR(VLOOKUP(B54,cubo!$A$6:$BE$37,3,0)-VLOOKUP(B54,#REF!,$D$2,0),0)</f>
        <v>0</v>
      </c>
      <c r="E54" s="10">
        <f>IFERROR(VLOOKUP(B54,cubo!$A$6:$BE$37,5,0)-VLOOKUP(B54,#REF!,$E$2,0),0)</f>
        <v>0</v>
      </c>
      <c r="F54" s="10">
        <f>IFERROR(VLOOKUP(B54,cubo!$A$6:$BE$37,8,0)-VLOOKUP(B54,#REF!,$F$2,0),0)</f>
        <v>0</v>
      </c>
      <c r="G54" s="9">
        <f>IFERROR(VLOOKUP(B54,cubo!$A$6:$BE$37,11,0)-VLOOKUP(B54,#REF!,$G$2,0),0)</f>
        <v>0</v>
      </c>
      <c r="H54" s="9">
        <f>IFERROR(VLOOKUP(B54,cubo!$A$6:$BE$37,53,0)-VLOOKUP(B54,#REF!,$H$2,0),0)</f>
        <v>0</v>
      </c>
      <c r="I54" s="10">
        <f>IFERROR(VLOOKUP(B54,cubo!$A$6:$BE$37,14,0)-VLOOKUP(B54,#REF!,$I$2,0),0)</f>
        <v>0</v>
      </c>
      <c r="J54" s="9">
        <f>IFERROR(VLOOKUP(B54,cubo!$A$6:$BE$37,16,0)-VLOOKUP(B54,#REF!,$J$2,0),0)</f>
        <v>0</v>
      </c>
      <c r="K54" s="9">
        <f>IFERROR(VLOOKUP(B54,cubo!$A$6:$BE$37,17,0)-VLOOKUP(B54,#REF!,$K$2,0),0)</f>
        <v>0</v>
      </c>
      <c r="L54" s="9">
        <f>IFERROR(VLOOKUP(B54,cubo!$A$6:$BE$37,19,0)-VLOOKUP(B54,#REF!,$L$2,0),0)</f>
        <v>0</v>
      </c>
      <c r="M54" s="9">
        <f>IFERROR(VLOOKUP(B54,cubo!$A$6:$BE$37,23,0)-VLOOKUP(B54,#REF!,$M$2,0),0)</f>
        <v>0</v>
      </c>
      <c r="N54" s="9">
        <f>IFERROR(VLOOKUP(B54,cubo!$A$6:$BE$37,25,0)-VLOOKUP(B54,#REF!,$N$2,0),0)</f>
        <v>0</v>
      </c>
      <c r="O54" s="9">
        <f>IFERROR(VLOOKUP(B54,cubo!$A$6:$BE$37,33,0)-VLOOKUP(B54,#REF!,$O$2,0),0)</f>
        <v>0</v>
      </c>
      <c r="P54" s="8">
        <f>IFERROR(VLOOKUP(B54,cubo!$A$6:$BE$37,37,0)-VLOOKUP(B54,#REF!,$P$2,0),0)</f>
        <v>0</v>
      </c>
      <c r="Q54" s="8">
        <f>IFERROR(VLOOKUP(B54,cubo!$A$6:$BE$37,56,0)-VLOOKUP(B54,#REF!,$Q$2,0),0)</f>
        <v>0</v>
      </c>
      <c r="R54" s="9">
        <f>IFERROR(VLOOKUP(B54,cubo!$A$6:$BE$37,40,0)-VLOOKUP(B54,#REF!,$R$2,0),0)</f>
        <v>0</v>
      </c>
      <c r="S54" s="9">
        <f>IFERROR(VLOOKUP(B54,cubo!$A$6:$BE$37,43,0)-VLOOKUP(B54,#REF!,$S$2,0),0)</f>
        <v>0</v>
      </c>
      <c r="T54" s="9">
        <f>IFERROR(VLOOKUP(B54,cubo!$A$6:$BE$37,46,0)-VLOOKUP(B54,#REF!,$T$2,0),0)</f>
        <v>0</v>
      </c>
      <c r="U54" s="9">
        <f>IFERROR(VLOOKUP(B54,cubo!$A$6:$BE$37,51,0)-VLOOKUP(B54,#REF!,$U$2,0),0)</f>
        <v>0</v>
      </c>
      <c r="V54" s="9">
        <f>IFERROR(VLOOKUP(B54,cubo!$A$6:$BJ$37,60,0)-VLOOKUP(B54,#REF!,$V$2,0),0)</f>
        <v>0</v>
      </c>
      <c r="W54" s="9">
        <f>IFERROR(VLOOKUP(B54,cubo!$A$6:$BE$37,26,0)-VLOOKUP(B54,#REF!,$W$2,0),0)</f>
        <v>0</v>
      </c>
      <c r="X54" s="9">
        <f>IFERROR(VLOOKUP(B54,cubo!$A$6:$BE$37,20,0)-VLOOKUP(B54,#REF!,$X$2,0),0)</f>
        <v>0</v>
      </c>
      <c r="Y54" s="9">
        <f>IFERROR(VLOOKUP(B54,cubo!$A$6:$BE$37,21,0)-VLOOKUP(B54,#REF!,$Y$2,0),0)</f>
        <v>0</v>
      </c>
      <c r="Z54" s="9">
        <f>IFERROR(VLOOKUP(B54,cubo!$A$6:$BE$37,27,0)-VLOOKUP(B54,#REF!,$Z$2,0),0)</f>
        <v>0</v>
      </c>
      <c r="AA54" s="9">
        <f>IFERROR(VLOOKUP(B54,cubo!$A$6:$BE$37,28,0)-VLOOKUP(B54,#REF!,$AA$2,0),0)</f>
        <v>0</v>
      </c>
      <c r="AB54" s="9">
        <f>IFERROR(VLOOKUP(B54,cubo!$A$6:$BE$37,29,0)-VLOOKUP(B54,#REF!,$AB$2,0),0)</f>
        <v>0</v>
      </c>
      <c r="AC54" s="9">
        <f>IFERROR(VLOOKUP(B54,cubo!$A$6:$BE$37,30,0)-VLOOKUP(B54,#REF!,$AC$2,0),0)</f>
        <v>0</v>
      </c>
      <c r="AD54" s="9">
        <f>IFERROR(VLOOKUP(B54,cubo!$A$6:$BE$37,31,0)-VLOOKUP(B54,#REF!,$AD$2,0),0)</f>
        <v>0</v>
      </c>
      <c r="AE54" s="9">
        <f>IFERROR(VLOOKUP(B54,cubo!$A$6:$BE$37,35,0)-VLOOKUP(B54,#REF!,$AE$2,0),0)</f>
        <v>0</v>
      </c>
      <c r="AF54" s="9" cm="1">
        <f t="array" aca="1" ref="AF54" ca="1">IFERROR(rrPROCV(B54,cubo!$A$6:$BE$37,48,0)-VLOOKUP(B54,#REF!,$AF$2,0),0)</f>
        <v>0</v>
      </c>
      <c r="AG54" s="9">
        <f>IFERROR(VLOOKUP(B54,cubo!$A$6:$BE$37,49,0)-VLOOKUP(B54,#REF!,$AG$2,0),0)</f>
        <v>0</v>
      </c>
      <c r="AH54" s="9">
        <f>IFERROR(VLOOKUP(B54,cubo!$A$6:$BE$37,50,0)-VLOOKUP(B54,#REF!,$AH$2,0),0)</f>
        <v>0</v>
      </c>
      <c r="AI54" s="9">
        <f>IFERROR(VLOOKUP(B54,cubo!$A$6:$BE$37,51,0)-VLOOKUP(B54,#REF!,$AI$2,0),0)</f>
        <v>0</v>
      </c>
      <c r="AJ54" s="9">
        <f>IFERROR(VLOOKUP(B54,cubo!$A$6:$BI$116,62,0)-VLOOKUP(B54,#REF!,$AJ$2,0),0)</f>
        <v>0</v>
      </c>
      <c r="AK54" s="9">
        <f>IFERROR(VLOOKUP(B54,cubo!$A$6:$BJ$37,63,0)-VLOOKUP(B54,#REF!,$AK$2,0),0)</f>
        <v>0</v>
      </c>
      <c r="AL54" s="9">
        <f>IFERROR(VLOOKUP(B54,cubo!$A$6:$BE$37,58,0)-VLOOKUP(B54,#REF!,$AL$2,0),0)</f>
        <v>0</v>
      </c>
      <c r="AM54" s="9">
        <f>IFERROR(VLOOKUP(B54,cubo!$A$6:$BK$37,64,0)-VLOOKUP(B54,#REF!,$AM$2,0),0)</f>
        <v>0</v>
      </c>
      <c r="AN54" s="9">
        <f>IFERROR(VLOOKUP(B54,cubo!$A$6:$AN$37,41,0)-VLOOKUP(B54,#REF!,$AN$2,0),0)</f>
        <v>0</v>
      </c>
    </row>
    <row r="55" spans="2:40" x14ac:dyDescent="0.25">
      <c r="B55" s="7">
        <f>[1]salario!A54</f>
        <v>0</v>
      </c>
      <c r="C55" s="8">
        <f>[1]salario!C54</f>
        <v>0</v>
      </c>
      <c r="D55" s="9">
        <f>IFERROR(VLOOKUP(B55,cubo!$A$6:$BE$37,3,0)-VLOOKUP(B55,#REF!,$D$2,0),0)</f>
        <v>0</v>
      </c>
      <c r="E55" s="10">
        <f>IFERROR(VLOOKUP(B55,cubo!$A$6:$BE$37,5,0)-VLOOKUP(B55,#REF!,$E$2,0),0)</f>
        <v>0</v>
      </c>
      <c r="F55" s="10">
        <f>IFERROR(VLOOKUP(B55,cubo!$A$6:$BE$37,8,0)-VLOOKUP(B55,#REF!,$F$2,0),0)</f>
        <v>0</v>
      </c>
      <c r="G55" s="9">
        <f>IFERROR(VLOOKUP(B55,cubo!$A$6:$BE$37,11,0)-VLOOKUP(B55,#REF!,$G$2,0),0)</f>
        <v>0</v>
      </c>
      <c r="H55" s="9">
        <f>IFERROR(VLOOKUP(B55,cubo!$A$6:$BE$37,53,0)-VLOOKUP(B55,#REF!,$H$2,0),0)</f>
        <v>0</v>
      </c>
      <c r="I55" s="10">
        <f>IFERROR(VLOOKUP(B55,cubo!$A$6:$BE$37,14,0)-VLOOKUP(B55,#REF!,$I$2,0),0)</f>
        <v>0</v>
      </c>
      <c r="J55" s="9">
        <f>IFERROR(VLOOKUP(B55,cubo!$A$6:$BE$37,16,0)-VLOOKUP(B55,#REF!,$J$2,0),0)</f>
        <v>0</v>
      </c>
      <c r="K55" s="9">
        <f>IFERROR(VLOOKUP(B55,cubo!$A$6:$BE$37,17,0)-VLOOKUP(B55,#REF!,$K$2,0),0)</f>
        <v>0</v>
      </c>
      <c r="L55" s="9">
        <f>IFERROR(VLOOKUP(B55,cubo!$A$6:$BE$37,19,0)-VLOOKUP(B55,#REF!,$L$2,0),0)</f>
        <v>0</v>
      </c>
      <c r="M55" s="9">
        <f>IFERROR(VLOOKUP(B55,cubo!$A$6:$BE$37,23,0)-VLOOKUP(B55,#REF!,$M$2,0),0)</f>
        <v>0</v>
      </c>
      <c r="N55" s="9">
        <f>IFERROR(VLOOKUP(B55,cubo!$A$6:$BE$37,25,0)-VLOOKUP(B55,#REF!,$N$2,0),0)</f>
        <v>0</v>
      </c>
      <c r="O55" s="9">
        <f>IFERROR(VLOOKUP(B55,cubo!$A$6:$BE$37,33,0)-VLOOKUP(B55,#REF!,$O$2,0),0)</f>
        <v>0</v>
      </c>
      <c r="P55" s="8">
        <f>IFERROR(VLOOKUP(B55,cubo!$A$6:$BE$37,37,0)-VLOOKUP(B55,#REF!,$P$2,0),0)</f>
        <v>0</v>
      </c>
      <c r="Q55" s="8">
        <f>IFERROR(VLOOKUP(B55,cubo!$A$6:$BE$37,56,0)-VLOOKUP(B55,#REF!,$Q$2,0),0)</f>
        <v>0</v>
      </c>
      <c r="R55" s="9">
        <f>IFERROR(VLOOKUP(B55,cubo!$A$6:$BE$37,40,0)-VLOOKUP(B55,#REF!,$R$2,0),0)</f>
        <v>0</v>
      </c>
      <c r="S55" s="9">
        <f>IFERROR(VLOOKUP(B55,cubo!$A$6:$BE$37,43,0)-VLOOKUP(B55,#REF!,$S$2,0),0)</f>
        <v>0</v>
      </c>
      <c r="T55" s="9">
        <f>IFERROR(VLOOKUP(B55,cubo!$A$6:$BE$37,46,0)-VLOOKUP(B55,#REF!,$T$2,0),0)</f>
        <v>0</v>
      </c>
      <c r="U55" s="9">
        <f>IFERROR(VLOOKUP(B55,cubo!$A$6:$BE$37,51,0)-VLOOKUP(B55,#REF!,$U$2,0),0)</f>
        <v>0</v>
      </c>
      <c r="V55" s="9">
        <f>IFERROR(VLOOKUP(B55,cubo!$A$6:$BJ$37,60,0)-VLOOKUP(B55,#REF!,$V$2,0),0)</f>
        <v>0</v>
      </c>
      <c r="W55" s="9">
        <f>IFERROR(VLOOKUP(B55,cubo!$A$6:$BE$37,26,0)-VLOOKUP(B55,#REF!,$W$2,0),0)</f>
        <v>0</v>
      </c>
      <c r="X55" s="9">
        <f>IFERROR(VLOOKUP(B55,cubo!$A$6:$BE$37,20,0)-VLOOKUP(B55,#REF!,$X$2,0),0)</f>
        <v>0</v>
      </c>
      <c r="Y55" s="9">
        <f>IFERROR(VLOOKUP(B55,cubo!$A$6:$BE$37,21,0)-VLOOKUP(B55,#REF!,$Y$2,0),0)</f>
        <v>0</v>
      </c>
      <c r="Z55" s="9">
        <f>IFERROR(VLOOKUP(B55,cubo!$A$6:$BE$37,27,0)-VLOOKUP(B55,#REF!,$Z$2,0),0)</f>
        <v>0</v>
      </c>
      <c r="AA55" s="9">
        <f>IFERROR(VLOOKUP(B55,cubo!$A$6:$BE$37,28,0)-VLOOKUP(B55,#REF!,$AA$2,0),0)</f>
        <v>0</v>
      </c>
      <c r="AB55" s="9">
        <f>IFERROR(VLOOKUP(B55,cubo!$A$6:$BE$37,29,0)-VLOOKUP(B55,#REF!,$AB$2,0),0)</f>
        <v>0</v>
      </c>
      <c r="AC55" s="9">
        <f>IFERROR(VLOOKUP(B55,cubo!$A$6:$BE$37,30,0)-VLOOKUP(B55,#REF!,$AC$2,0),0)</f>
        <v>0</v>
      </c>
      <c r="AD55" s="9">
        <f>IFERROR(VLOOKUP(B55,cubo!$A$6:$BE$37,31,0)-VLOOKUP(B55,#REF!,$AD$2,0),0)</f>
        <v>0</v>
      </c>
      <c r="AE55" s="9">
        <f>IFERROR(VLOOKUP(B55,cubo!$A$6:$BE$37,35,0)-VLOOKUP(B55,#REF!,$AE$2,0),0)</f>
        <v>0</v>
      </c>
      <c r="AF55" s="9" cm="1">
        <f t="array" aca="1" ref="AF55" ca="1">IFERROR(rrPROCV(B55,cubo!$A$6:$BE$37,48,0)-VLOOKUP(B55,#REF!,$AF$2,0),0)</f>
        <v>0</v>
      </c>
      <c r="AG55" s="9">
        <f>IFERROR(VLOOKUP(B55,cubo!$A$6:$BE$37,49,0)-VLOOKUP(B55,#REF!,$AG$2,0),0)</f>
        <v>0</v>
      </c>
      <c r="AH55" s="9">
        <f>IFERROR(VLOOKUP(B55,cubo!$A$6:$BE$37,50,0)-VLOOKUP(B55,#REF!,$AH$2,0),0)</f>
        <v>0</v>
      </c>
      <c r="AI55" s="9">
        <f>IFERROR(VLOOKUP(B55,cubo!$A$6:$BE$37,51,0)-VLOOKUP(B55,#REF!,$AI$2,0),0)</f>
        <v>0</v>
      </c>
      <c r="AJ55" s="9">
        <f>IFERROR(VLOOKUP(B55,cubo!$A$6:$BI$116,62,0)-VLOOKUP(B55,#REF!,$AJ$2,0),0)</f>
        <v>0</v>
      </c>
      <c r="AK55" s="9">
        <f>IFERROR(VLOOKUP(B55,cubo!$A$6:$BJ$37,63,0)-VLOOKUP(B55,#REF!,$AK$2,0),0)</f>
        <v>0</v>
      </c>
      <c r="AL55" s="9">
        <f>IFERROR(VLOOKUP(B55,cubo!$A$6:$BE$37,58,0)-VLOOKUP(B55,#REF!,$AL$2,0),0)</f>
        <v>0</v>
      </c>
      <c r="AM55" s="9">
        <f>IFERROR(VLOOKUP(B55,cubo!$A$6:$BK$37,64,0)-VLOOKUP(B55,#REF!,$AM$2,0),0)</f>
        <v>0</v>
      </c>
      <c r="AN55" s="9">
        <f>IFERROR(VLOOKUP(B55,cubo!$A$6:$AN$37,41,0)-VLOOKUP(B55,#REF!,$AN$2,0),0)</f>
        <v>0</v>
      </c>
    </row>
    <row r="56" spans="2:40" x14ac:dyDescent="0.25">
      <c r="B56" s="7">
        <f>[1]salario!A55</f>
        <v>0</v>
      </c>
      <c r="C56" s="8">
        <f>[1]salario!C55</f>
        <v>0</v>
      </c>
      <c r="D56" s="9">
        <f>IFERROR(VLOOKUP(B56,cubo!$A$6:$BE$37,3,0)-VLOOKUP(B56,#REF!,$D$2,0),0)</f>
        <v>0</v>
      </c>
      <c r="E56" s="10">
        <f>IFERROR(VLOOKUP(B56,cubo!$A$6:$BE$37,5,0)-VLOOKUP(B56,#REF!,$E$2,0),0)</f>
        <v>0</v>
      </c>
      <c r="F56" s="10">
        <f>IFERROR(VLOOKUP(B56,cubo!$A$6:$BE$37,8,0)-VLOOKUP(B56,#REF!,$F$2,0),0)</f>
        <v>0</v>
      </c>
      <c r="G56" s="9">
        <f>IFERROR(VLOOKUP(B56,cubo!$A$6:$BE$37,11,0)-VLOOKUP(B56,#REF!,$G$2,0),0)</f>
        <v>0</v>
      </c>
      <c r="H56" s="9">
        <f>IFERROR(VLOOKUP(B56,cubo!$A$6:$BE$37,53,0)-VLOOKUP(B56,#REF!,$H$2,0),0)</f>
        <v>0</v>
      </c>
      <c r="I56" s="10">
        <f>IFERROR(VLOOKUP(B56,cubo!$A$6:$BE$37,14,0)-VLOOKUP(B56,#REF!,$I$2,0),0)</f>
        <v>0</v>
      </c>
      <c r="J56" s="9">
        <f>IFERROR(VLOOKUP(B56,cubo!$A$6:$BE$37,16,0)-VLOOKUP(B56,#REF!,$J$2,0),0)</f>
        <v>0</v>
      </c>
      <c r="K56" s="9">
        <f>IFERROR(VLOOKUP(B56,cubo!$A$6:$BE$37,17,0)-VLOOKUP(B56,#REF!,$K$2,0),0)</f>
        <v>0</v>
      </c>
      <c r="L56" s="9">
        <f>IFERROR(VLOOKUP(B56,cubo!$A$6:$BE$37,19,0)-VLOOKUP(B56,#REF!,$L$2,0),0)</f>
        <v>0</v>
      </c>
      <c r="M56" s="9">
        <f>IFERROR(VLOOKUP(B56,cubo!$A$6:$BE$37,23,0)-VLOOKUP(B56,#REF!,$M$2,0),0)</f>
        <v>0</v>
      </c>
      <c r="N56" s="9">
        <f>IFERROR(VLOOKUP(B56,cubo!$A$6:$BE$37,25,0)-VLOOKUP(B56,#REF!,$N$2,0),0)</f>
        <v>0</v>
      </c>
      <c r="O56" s="9">
        <f>IFERROR(VLOOKUP(B56,cubo!$A$6:$BE$37,33,0)-VLOOKUP(B56,#REF!,$O$2,0),0)</f>
        <v>0</v>
      </c>
      <c r="P56" s="8">
        <f>IFERROR(VLOOKUP(B56,cubo!$A$6:$BE$37,37,0)-VLOOKUP(B56,#REF!,$P$2,0),0)</f>
        <v>0</v>
      </c>
      <c r="Q56" s="8">
        <f>IFERROR(VLOOKUP(B56,cubo!$A$6:$BE$37,56,0)-VLOOKUP(B56,#REF!,$Q$2,0),0)</f>
        <v>0</v>
      </c>
      <c r="R56" s="9">
        <f>IFERROR(VLOOKUP(B56,cubo!$A$6:$BE$37,40,0)-VLOOKUP(B56,#REF!,$R$2,0),0)</f>
        <v>0</v>
      </c>
      <c r="S56" s="9">
        <f>IFERROR(VLOOKUP(B56,cubo!$A$6:$BE$37,43,0)-VLOOKUP(B56,#REF!,$S$2,0),0)</f>
        <v>0</v>
      </c>
      <c r="T56" s="9">
        <f>IFERROR(VLOOKUP(B56,cubo!$A$6:$BE$37,46,0)-VLOOKUP(B56,#REF!,$T$2,0),0)</f>
        <v>0</v>
      </c>
      <c r="U56" s="9">
        <f>IFERROR(VLOOKUP(B56,cubo!$A$6:$BE$37,51,0)-VLOOKUP(B56,#REF!,$U$2,0),0)</f>
        <v>0</v>
      </c>
      <c r="V56" s="9">
        <f>IFERROR(VLOOKUP(B56,cubo!$A$6:$BJ$37,60,0)-VLOOKUP(B56,#REF!,$V$2,0),0)</f>
        <v>0</v>
      </c>
      <c r="W56" s="9">
        <f>IFERROR(VLOOKUP(B56,cubo!$A$6:$BE$37,26,0)-VLOOKUP(B56,#REF!,$W$2,0),0)</f>
        <v>0</v>
      </c>
      <c r="X56" s="9">
        <f>IFERROR(VLOOKUP(B56,cubo!$A$6:$BE$37,20,0)-VLOOKUP(B56,#REF!,$X$2,0),0)</f>
        <v>0</v>
      </c>
      <c r="Y56" s="9">
        <f>IFERROR(VLOOKUP(B56,cubo!$A$6:$BE$37,21,0)-VLOOKUP(B56,#REF!,$Y$2,0),0)</f>
        <v>0</v>
      </c>
      <c r="Z56" s="9">
        <f>IFERROR(VLOOKUP(B56,cubo!$A$6:$BE$37,27,0)-VLOOKUP(B56,#REF!,$Z$2,0),0)</f>
        <v>0</v>
      </c>
      <c r="AA56" s="9">
        <f>IFERROR(VLOOKUP(B56,cubo!$A$6:$BE$37,28,0)-VLOOKUP(B56,#REF!,$AA$2,0),0)</f>
        <v>0</v>
      </c>
      <c r="AB56" s="9">
        <f>IFERROR(VLOOKUP(B56,cubo!$A$6:$BE$37,29,0)-VLOOKUP(B56,#REF!,$AB$2,0),0)</f>
        <v>0</v>
      </c>
      <c r="AC56" s="9">
        <f>IFERROR(VLOOKUP(B56,cubo!$A$6:$BE$37,30,0)-VLOOKUP(B56,#REF!,$AC$2,0),0)</f>
        <v>0</v>
      </c>
      <c r="AD56" s="9">
        <f>IFERROR(VLOOKUP(B56,cubo!$A$6:$BE$37,31,0)-VLOOKUP(B56,#REF!,$AD$2,0),0)</f>
        <v>0</v>
      </c>
      <c r="AE56" s="9">
        <f>IFERROR(VLOOKUP(B56,cubo!$A$6:$BE$37,35,0)-VLOOKUP(B56,#REF!,$AE$2,0),0)</f>
        <v>0</v>
      </c>
      <c r="AF56" s="9" cm="1">
        <f t="array" aca="1" ref="AF56" ca="1">IFERROR(rrPROCV(B56,cubo!$A$6:$BE$37,48,0)-VLOOKUP(B56,#REF!,$AF$2,0),0)</f>
        <v>0</v>
      </c>
      <c r="AG56" s="9">
        <f>IFERROR(VLOOKUP(B56,cubo!$A$6:$BE$37,49,0)-VLOOKUP(B56,#REF!,$AG$2,0),0)</f>
        <v>0</v>
      </c>
      <c r="AH56" s="9">
        <f>IFERROR(VLOOKUP(B56,cubo!$A$6:$BE$37,50,0)-VLOOKUP(B56,#REF!,$AH$2,0),0)</f>
        <v>0</v>
      </c>
      <c r="AI56" s="9">
        <f>IFERROR(VLOOKUP(B56,cubo!$A$6:$BE$37,51,0)-VLOOKUP(B56,#REF!,$AI$2,0),0)</f>
        <v>0</v>
      </c>
      <c r="AJ56" s="9">
        <f>IFERROR(VLOOKUP(B56,cubo!$A$6:$BI$116,62,0)-VLOOKUP(B56,#REF!,$AJ$2,0),0)</f>
        <v>0</v>
      </c>
      <c r="AK56" s="9">
        <f>IFERROR(VLOOKUP(B56,cubo!$A$6:$BJ$37,63,0)-VLOOKUP(B56,#REF!,$AK$2,0),0)</f>
        <v>0</v>
      </c>
      <c r="AL56" s="9">
        <f>IFERROR(VLOOKUP(B56,cubo!$A$6:$BE$37,58,0)-VLOOKUP(B56,#REF!,$AL$2,0),0)</f>
        <v>0</v>
      </c>
      <c r="AM56" s="9">
        <f>IFERROR(VLOOKUP(B56,cubo!$A$6:$BK$37,64,0)-VLOOKUP(B56,#REF!,$AM$2,0),0)</f>
        <v>0</v>
      </c>
      <c r="AN56" s="9">
        <f>IFERROR(VLOOKUP(B56,cubo!$A$6:$AN$37,41,0)-VLOOKUP(B56,#REF!,$AN$2,0),0)</f>
        <v>0</v>
      </c>
    </row>
    <row r="57" spans="2:40" x14ac:dyDescent="0.25">
      <c r="B57" s="7">
        <f>[1]salario!A56</f>
        <v>0</v>
      </c>
      <c r="C57" s="8">
        <f>[1]salario!C56</f>
        <v>0</v>
      </c>
      <c r="D57" s="9">
        <f>IFERROR(VLOOKUP(B57,cubo!$A$6:$BE$37,3,0)-VLOOKUP(B57,#REF!,$D$2,0),0)</f>
        <v>0</v>
      </c>
      <c r="E57" s="10">
        <f>IFERROR(VLOOKUP(B57,cubo!$A$6:$BE$37,5,0)-VLOOKUP(B57,#REF!,$E$2,0),0)</f>
        <v>0</v>
      </c>
      <c r="F57" s="10">
        <f>IFERROR(VLOOKUP(B57,cubo!$A$6:$BE$37,8,0)-VLOOKUP(B57,#REF!,$F$2,0),0)</f>
        <v>0</v>
      </c>
      <c r="G57" s="9">
        <f>IFERROR(VLOOKUP(B57,cubo!$A$6:$BE$37,11,0)-VLOOKUP(B57,#REF!,$G$2,0),0)</f>
        <v>0</v>
      </c>
      <c r="H57" s="9">
        <f>IFERROR(VLOOKUP(B57,cubo!$A$6:$BE$37,53,0)-VLOOKUP(B57,#REF!,$H$2,0),0)</f>
        <v>0</v>
      </c>
      <c r="I57" s="10">
        <f>IFERROR(VLOOKUP(B57,cubo!$A$6:$BE$37,14,0)-VLOOKUP(B57,#REF!,$I$2,0),0)</f>
        <v>0</v>
      </c>
      <c r="J57" s="9">
        <f>IFERROR(VLOOKUP(B57,cubo!$A$6:$BE$37,16,0)-VLOOKUP(B57,#REF!,$J$2,0),0)</f>
        <v>0</v>
      </c>
      <c r="K57" s="9">
        <f>IFERROR(VLOOKUP(B57,cubo!$A$6:$BE$37,17,0)-VLOOKUP(B57,#REF!,$K$2,0),0)</f>
        <v>0</v>
      </c>
      <c r="L57" s="9">
        <f>IFERROR(VLOOKUP(B57,cubo!$A$6:$BE$37,19,0)-VLOOKUP(B57,#REF!,$L$2,0),0)</f>
        <v>0</v>
      </c>
      <c r="M57" s="9">
        <f>IFERROR(VLOOKUP(B57,cubo!$A$6:$BE$37,23,0)-VLOOKUP(B57,#REF!,$M$2,0),0)</f>
        <v>0</v>
      </c>
      <c r="N57" s="9">
        <f>IFERROR(VLOOKUP(B57,cubo!$A$6:$BE$37,25,0)-VLOOKUP(B57,#REF!,$N$2,0),0)</f>
        <v>0</v>
      </c>
      <c r="O57" s="9">
        <f>IFERROR(VLOOKUP(B57,cubo!$A$6:$BE$37,33,0)-VLOOKUP(B57,#REF!,$O$2,0),0)</f>
        <v>0</v>
      </c>
      <c r="P57" s="8">
        <f>IFERROR(VLOOKUP(B57,cubo!$A$6:$BE$37,37,0)-VLOOKUP(B57,#REF!,$P$2,0),0)</f>
        <v>0</v>
      </c>
      <c r="Q57" s="8">
        <f>IFERROR(VLOOKUP(B57,cubo!$A$6:$BE$37,56,0)-VLOOKUP(B57,#REF!,$Q$2,0),0)</f>
        <v>0</v>
      </c>
      <c r="R57" s="9">
        <f>IFERROR(VLOOKUP(B57,cubo!$A$6:$BE$37,40,0)-VLOOKUP(B57,#REF!,$R$2,0),0)</f>
        <v>0</v>
      </c>
      <c r="S57" s="9">
        <f>IFERROR(VLOOKUP(B57,cubo!$A$6:$BE$37,43,0)-VLOOKUP(B57,#REF!,$S$2,0),0)</f>
        <v>0</v>
      </c>
      <c r="T57" s="9">
        <f>IFERROR(VLOOKUP(B57,cubo!$A$6:$BE$37,46,0)-VLOOKUP(B57,#REF!,$T$2,0),0)</f>
        <v>0</v>
      </c>
      <c r="U57" s="9">
        <f>IFERROR(VLOOKUP(B57,cubo!$A$6:$BE$37,51,0)-VLOOKUP(B57,#REF!,$U$2,0),0)</f>
        <v>0</v>
      </c>
      <c r="V57" s="9">
        <f>IFERROR(VLOOKUP(B57,cubo!$A$6:$BJ$37,60,0)-VLOOKUP(B57,#REF!,$V$2,0),0)</f>
        <v>0</v>
      </c>
      <c r="W57" s="9">
        <f>IFERROR(VLOOKUP(B57,cubo!$A$6:$BE$37,26,0)-VLOOKUP(B57,#REF!,$W$2,0),0)</f>
        <v>0</v>
      </c>
      <c r="X57" s="9">
        <f>IFERROR(VLOOKUP(B57,cubo!$A$6:$BE$37,20,0)-VLOOKUP(B57,#REF!,$X$2,0),0)</f>
        <v>0</v>
      </c>
      <c r="Y57" s="9">
        <f>IFERROR(VLOOKUP(B57,cubo!$A$6:$BE$37,21,0)-VLOOKUP(B57,#REF!,$Y$2,0),0)</f>
        <v>0</v>
      </c>
      <c r="Z57" s="9">
        <f>IFERROR(VLOOKUP(B57,cubo!$A$6:$BE$37,27,0)-VLOOKUP(B57,#REF!,$Z$2,0),0)</f>
        <v>0</v>
      </c>
      <c r="AA57" s="9">
        <f>IFERROR(VLOOKUP(B57,cubo!$A$6:$BE$37,28,0)-VLOOKUP(B57,#REF!,$AA$2,0),0)</f>
        <v>0</v>
      </c>
      <c r="AB57" s="9">
        <f>IFERROR(VLOOKUP(B57,cubo!$A$6:$BE$37,29,0)-VLOOKUP(B57,#REF!,$AB$2,0),0)</f>
        <v>0</v>
      </c>
      <c r="AC57" s="9">
        <f>IFERROR(VLOOKUP(B57,cubo!$A$6:$BE$37,30,0)-VLOOKUP(B57,#REF!,$AC$2,0),0)</f>
        <v>0</v>
      </c>
      <c r="AD57" s="9">
        <f>IFERROR(VLOOKUP(B57,cubo!$A$6:$BE$37,31,0)-VLOOKUP(B57,#REF!,$AD$2,0),0)</f>
        <v>0</v>
      </c>
      <c r="AE57" s="9">
        <f>IFERROR(VLOOKUP(B57,cubo!$A$6:$BE$37,35,0)-VLOOKUP(B57,#REF!,$AE$2,0),0)</f>
        <v>0</v>
      </c>
      <c r="AF57" s="9" cm="1">
        <f t="array" aca="1" ref="AF57" ca="1">IFERROR(rrPROCV(B57,cubo!$A$6:$BE$37,48,0)-VLOOKUP(B57,#REF!,$AF$2,0),0)</f>
        <v>0</v>
      </c>
      <c r="AG57" s="9">
        <f>IFERROR(VLOOKUP(B57,cubo!$A$6:$BE$37,49,0)-VLOOKUP(B57,#REF!,$AG$2,0),0)</f>
        <v>0</v>
      </c>
      <c r="AH57" s="9">
        <f>IFERROR(VLOOKUP(B57,cubo!$A$6:$BE$37,50,0)-VLOOKUP(B57,#REF!,$AH$2,0),0)</f>
        <v>0</v>
      </c>
      <c r="AI57" s="9">
        <f>IFERROR(VLOOKUP(B57,cubo!$A$6:$BE$37,51,0)-VLOOKUP(B57,#REF!,$AI$2,0),0)</f>
        <v>0</v>
      </c>
      <c r="AJ57" s="9">
        <f>IFERROR(VLOOKUP(B57,cubo!$A$6:$BI$116,62,0)-VLOOKUP(B57,#REF!,$AJ$2,0),0)</f>
        <v>0</v>
      </c>
      <c r="AK57" s="9">
        <f>IFERROR(VLOOKUP(B57,cubo!$A$6:$BJ$37,63,0)-VLOOKUP(B57,#REF!,$AK$2,0),0)</f>
        <v>0</v>
      </c>
      <c r="AL57" s="9">
        <f>IFERROR(VLOOKUP(B57,cubo!$A$6:$BE$37,58,0)-VLOOKUP(B57,#REF!,$AL$2,0),0)</f>
        <v>0</v>
      </c>
      <c r="AM57" s="9">
        <f>IFERROR(VLOOKUP(B57,cubo!$A$6:$BK$37,64,0)-VLOOKUP(B57,#REF!,$AM$2,0),0)</f>
        <v>0</v>
      </c>
      <c r="AN57" s="9">
        <f>IFERROR(VLOOKUP(B57,cubo!$A$6:$AN$37,41,0)-VLOOKUP(B57,#REF!,$AN$2,0),0)</f>
        <v>0</v>
      </c>
    </row>
    <row r="58" spans="2:40" x14ac:dyDescent="0.25">
      <c r="B58" s="7">
        <f>[1]salario!A57</f>
        <v>0</v>
      </c>
      <c r="C58" s="8">
        <f>[1]salario!C57</f>
        <v>0</v>
      </c>
      <c r="D58" s="9">
        <f>IFERROR(VLOOKUP(B58,cubo!$A$6:$BE$37,3,0)-VLOOKUP(B58,#REF!,$D$2,0),0)</f>
        <v>0</v>
      </c>
      <c r="E58" s="10">
        <f>IFERROR(VLOOKUP(B58,cubo!$A$6:$BE$37,5,0)-VLOOKUP(B58,#REF!,$E$2,0),0)</f>
        <v>0</v>
      </c>
      <c r="F58" s="10">
        <f>IFERROR(VLOOKUP(B58,cubo!$A$6:$BE$37,8,0)-VLOOKUP(B58,#REF!,$F$2,0),0)</f>
        <v>0</v>
      </c>
      <c r="G58" s="9">
        <f>IFERROR(VLOOKUP(B58,cubo!$A$6:$BE$37,11,0)-VLOOKUP(B58,#REF!,$G$2,0),0)</f>
        <v>0</v>
      </c>
      <c r="H58" s="9">
        <f>IFERROR(VLOOKUP(B58,cubo!$A$6:$BE$37,53,0)-VLOOKUP(B58,#REF!,$H$2,0),0)</f>
        <v>0</v>
      </c>
      <c r="I58" s="10">
        <f>IFERROR(VLOOKUP(B58,cubo!$A$6:$BE$37,14,0)-VLOOKUP(B58,#REF!,$I$2,0),0)</f>
        <v>0</v>
      </c>
      <c r="J58" s="9">
        <f>IFERROR(VLOOKUP(B58,cubo!$A$6:$BE$37,16,0)-VLOOKUP(B58,#REF!,$J$2,0),0)</f>
        <v>0</v>
      </c>
      <c r="K58" s="9">
        <f>IFERROR(VLOOKUP(B58,cubo!$A$6:$BE$37,17,0)-VLOOKUP(B58,#REF!,$K$2,0),0)</f>
        <v>0</v>
      </c>
      <c r="L58" s="9">
        <f>IFERROR(VLOOKUP(B58,cubo!$A$6:$BE$37,19,0)-VLOOKUP(B58,#REF!,$L$2,0),0)</f>
        <v>0</v>
      </c>
      <c r="M58" s="9">
        <f>IFERROR(VLOOKUP(B58,cubo!$A$6:$BE$37,23,0)-VLOOKUP(B58,#REF!,$M$2,0),0)</f>
        <v>0</v>
      </c>
      <c r="N58" s="9">
        <f>IFERROR(VLOOKUP(B58,cubo!$A$6:$BE$37,25,0)-VLOOKUP(B58,#REF!,$N$2,0),0)</f>
        <v>0</v>
      </c>
      <c r="O58" s="9">
        <f>IFERROR(VLOOKUP(B58,cubo!$A$6:$BE$37,33,0)-VLOOKUP(B58,#REF!,$O$2,0),0)</f>
        <v>0</v>
      </c>
      <c r="P58" s="8">
        <f>IFERROR(VLOOKUP(B58,cubo!$A$6:$BE$37,37,0)-VLOOKUP(B58,#REF!,$P$2,0),0)</f>
        <v>0</v>
      </c>
      <c r="Q58" s="8">
        <f>IFERROR(VLOOKUP(B58,cubo!$A$6:$BE$37,56,0)-VLOOKUP(B58,#REF!,$Q$2,0),0)</f>
        <v>0</v>
      </c>
      <c r="R58" s="9">
        <f>IFERROR(VLOOKUP(B58,cubo!$A$6:$BE$37,40,0)-VLOOKUP(B58,#REF!,$R$2,0),0)</f>
        <v>0</v>
      </c>
      <c r="S58" s="9">
        <f>IFERROR(VLOOKUP(B58,cubo!$A$6:$BE$37,43,0)-VLOOKUP(B58,#REF!,$S$2,0),0)</f>
        <v>0</v>
      </c>
      <c r="T58" s="9">
        <f>IFERROR(VLOOKUP(B58,cubo!$A$6:$BE$37,46,0)-VLOOKUP(B58,#REF!,$T$2,0),0)</f>
        <v>0</v>
      </c>
      <c r="U58" s="9">
        <f>IFERROR(VLOOKUP(B58,cubo!$A$6:$BE$37,51,0)-VLOOKUP(B58,#REF!,$U$2,0),0)</f>
        <v>0</v>
      </c>
      <c r="V58" s="9">
        <f>IFERROR(VLOOKUP(B58,cubo!$A$6:$BJ$37,60,0)-VLOOKUP(B58,#REF!,$V$2,0),0)</f>
        <v>0</v>
      </c>
      <c r="W58" s="9">
        <f>IFERROR(VLOOKUP(B58,cubo!$A$6:$BE$37,26,0)-VLOOKUP(B58,#REF!,$W$2,0),0)</f>
        <v>0</v>
      </c>
      <c r="X58" s="9">
        <f>IFERROR(VLOOKUP(B58,cubo!$A$6:$BE$37,20,0)-VLOOKUP(B58,#REF!,$X$2,0),0)</f>
        <v>0</v>
      </c>
      <c r="Y58" s="9">
        <f>IFERROR(VLOOKUP(B58,cubo!$A$6:$BE$37,21,0)-VLOOKUP(B58,#REF!,$Y$2,0),0)</f>
        <v>0</v>
      </c>
      <c r="Z58" s="9">
        <f>IFERROR(VLOOKUP(B58,cubo!$A$6:$BE$37,27,0)-VLOOKUP(B58,#REF!,$Z$2,0),0)</f>
        <v>0</v>
      </c>
      <c r="AA58" s="9">
        <f>IFERROR(VLOOKUP(B58,cubo!$A$6:$BE$37,28,0)-VLOOKUP(B58,#REF!,$AA$2,0),0)</f>
        <v>0</v>
      </c>
      <c r="AB58" s="9">
        <f>IFERROR(VLOOKUP(B58,cubo!$A$6:$BE$37,29,0)-VLOOKUP(B58,#REF!,$AB$2,0),0)</f>
        <v>0</v>
      </c>
      <c r="AC58" s="9">
        <f>IFERROR(VLOOKUP(B58,cubo!$A$6:$BE$37,30,0)-VLOOKUP(B58,#REF!,$AC$2,0),0)</f>
        <v>0</v>
      </c>
      <c r="AD58" s="9">
        <f>IFERROR(VLOOKUP(B58,cubo!$A$6:$BE$37,31,0)-VLOOKUP(B58,#REF!,$AD$2,0),0)</f>
        <v>0</v>
      </c>
      <c r="AE58" s="9">
        <f>IFERROR(VLOOKUP(B58,cubo!$A$6:$BE$37,35,0)-VLOOKUP(B58,#REF!,$AE$2,0),0)</f>
        <v>0</v>
      </c>
      <c r="AF58" s="9" cm="1">
        <f t="array" aca="1" ref="AF58" ca="1">IFERROR(rrPROCV(B58,cubo!$A$6:$BE$37,48,0)-VLOOKUP(B58,#REF!,$AF$2,0),0)</f>
        <v>0</v>
      </c>
      <c r="AG58" s="9">
        <f>IFERROR(VLOOKUP(B58,cubo!$A$6:$BE$37,49,0)-VLOOKUP(B58,#REF!,$AG$2,0),0)</f>
        <v>0</v>
      </c>
      <c r="AH58" s="9">
        <f>IFERROR(VLOOKUP(B58,cubo!$A$6:$BE$37,50,0)-VLOOKUP(B58,#REF!,$AH$2,0),0)</f>
        <v>0</v>
      </c>
      <c r="AI58" s="9">
        <f>IFERROR(VLOOKUP(B58,cubo!$A$6:$BE$37,51,0)-VLOOKUP(B58,#REF!,$AI$2,0),0)</f>
        <v>0</v>
      </c>
      <c r="AJ58" s="9">
        <f>IFERROR(VLOOKUP(B58,cubo!$A$6:$BI$116,62,0)-VLOOKUP(B58,#REF!,$AJ$2,0),0)</f>
        <v>0</v>
      </c>
      <c r="AK58" s="9">
        <f>IFERROR(VLOOKUP(B58,cubo!$A$6:$BJ$37,63,0)-VLOOKUP(B58,#REF!,$AK$2,0),0)</f>
        <v>0</v>
      </c>
      <c r="AL58" s="9">
        <f>IFERROR(VLOOKUP(B58,cubo!$A$6:$BE$37,58,0)-VLOOKUP(B58,#REF!,$AL$2,0),0)</f>
        <v>0</v>
      </c>
      <c r="AM58" s="9">
        <f>IFERROR(VLOOKUP(B58,cubo!$A$6:$BK$37,64,0)-VLOOKUP(B58,#REF!,$AM$2,0),0)</f>
        <v>0</v>
      </c>
      <c r="AN58" s="9">
        <f>IFERROR(VLOOKUP(B58,cubo!$A$6:$AN$37,41,0)-VLOOKUP(B58,#REF!,$AN$2,0),0)</f>
        <v>0</v>
      </c>
    </row>
    <row r="59" spans="2:40" x14ac:dyDescent="0.25">
      <c r="B59" s="7">
        <f>[1]salario!A58</f>
        <v>0</v>
      </c>
      <c r="C59" s="8">
        <f>[1]salario!C58</f>
        <v>0</v>
      </c>
      <c r="D59" s="9">
        <f>IFERROR(VLOOKUP(B59,cubo!$A$6:$BE$37,3,0)-VLOOKUP(B59,#REF!,$D$2,0),0)</f>
        <v>0</v>
      </c>
      <c r="E59" s="10">
        <f>IFERROR(VLOOKUP(B59,cubo!$A$6:$BE$37,5,0)-VLOOKUP(B59,#REF!,$E$2,0),0)</f>
        <v>0</v>
      </c>
      <c r="F59" s="10">
        <f>IFERROR(VLOOKUP(B59,cubo!$A$6:$BE$37,8,0)-VLOOKUP(B59,#REF!,$F$2,0),0)</f>
        <v>0</v>
      </c>
      <c r="G59" s="9">
        <f>IFERROR(VLOOKUP(B59,cubo!$A$6:$BE$37,11,0)-VLOOKUP(B59,#REF!,$G$2,0),0)</f>
        <v>0</v>
      </c>
      <c r="H59" s="9">
        <f>IFERROR(VLOOKUP(B59,cubo!$A$6:$BE$37,53,0)-VLOOKUP(B59,#REF!,$H$2,0),0)</f>
        <v>0</v>
      </c>
      <c r="I59" s="10">
        <f>IFERROR(VLOOKUP(B59,cubo!$A$6:$BE$37,14,0)-VLOOKUP(B59,#REF!,$I$2,0),0)</f>
        <v>0</v>
      </c>
      <c r="J59" s="9">
        <f>IFERROR(VLOOKUP(B59,cubo!$A$6:$BE$37,16,0)-VLOOKUP(B59,#REF!,$J$2,0),0)</f>
        <v>0</v>
      </c>
      <c r="K59" s="9">
        <f>IFERROR(VLOOKUP(B59,cubo!$A$6:$BE$37,17,0)-VLOOKUP(B59,#REF!,$K$2,0),0)</f>
        <v>0</v>
      </c>
      <c r="L59" s="9">
        <f>IFERROR(VLOOKUP(B59,cubo!$A$6:$BE$37,19,0)-VLOOKUP(B59,#REF!,$L$2,0),0)</f>
        <v>0</v>
      </c>
      <c r="M59" s="9">
        <f>IFERROR(VLOOKUP(B59,cubo!$A$6:$BE$37,23,0)-VLOOKUP(B59,#REF!,$M$2,0),0)</f>
        <v>0</v>
      </c>
      <c r="N59" s="9">
        <f>IFERROR(VLOOKUP(B59,cubo!$A$6:$BE$37,25,0)-VLOOKUP(B59,#REF!,$N$2,0),0)</f>
        <v>0</v>
      </c>
      <c r="O59" s="9">
        <f>IFERROR(VLOOKUP(B59,cubo!$A$6:$BE$37,33,0)-VLOOKUP(B59,#REF!,$O$2,0),0)</f>
        <v>0</v>
      </c>
      <c r="P59" s="8">
        <f>IFERROR(VLOOKUP(B59,cubo!$A$6:$BE$37,37,0)-VLOOKUP(B59,#REF!,$P$2,0),0)</f>
        <v>0</v>
      </c>
      <c r="Q59" s="8">
        <f>IFERROR(VLOOKUP(B59,cubo!$A$6:$BE$37,56,0)-VLOOKUP(B59,#REF!,$Q$2,0),0)</f>
        <v>0</v>
      </c>
      <c r="R59" s="9">
        <f>IFERROR(VLOOKUP(B59,cubo!$A$6:$BE$37,40,0)-VLOOKUP(B59,#REF!,$R$2,0),0)</f>
        <v>0</v>
      </c>
      <c r="S59" s="9">
        <f>IFERROR(VLOOKUP(B59,cubo!$A$6:$BE$37,43,0)-VLOOKUP(B59,#REF!,$S$2,0),0)</f>
        <v>0</v>
      </c>
      <c r="T59" s="9">
        <f>IFERROR(VLOOKUP(B59,cubo!$A$6:$BE$37,46,0)-VLOOKUP(B59,#REF!,$T$2,0),0)</f>
        <v>0</v>
      </c>
      <c r="U59" s="9">
        <f>IFERROR(VLOOKUP(B59,cubo!$A$6:$BE$37,51,0)-VLOOKUP(B59,#REF!,$U$2,0),0)</f>
        <v>0</v>
      </c>
      <c r="V59" s="9">
        <f>IFERROR(VLOOKUP(B59,cubo!$A$6:$BJ$37,60,0)-VLOOKUP(B59,#REF!,$V$2,0),0)</f>
        <v>0</v>
      </c>
      <c r="W59" s="9">
        <f>IFERROR(VLOOKUP(B59,cubo!$A$6:$BE$37,26,0)-VLOOKUP(B59,#REF!,$W$2,0),0)</f>
        <v>0</v>
      </c>
      <c r="X59" s="9">
        <f>IFERROR(VLOOKUP(B59,cubo!$A$6:$BE$37,20,0)-VLOOKUP(B59,#REF!,$X$2,0),0)</f>
        <v>0</v>
      </c>
      <c r="Y59" s="9">
        <f>IFERROR(VLOOKUP(B59,cubo!$A$6:$BE$37,21,0)-VLOOKUP(B59,#REF!,$Y$2,0),0)</f>
        <v>0</v>
      </c>
      <c r="Z59" s="9">
        <f>IFERROR(VLOOKUP(B59,cubo!$A$6:$BE$37,27,0)-VLOOKUP(B59,#REF!,$Z$2,0),0)</f>
        <v>0</v>
      </c>
      <c r="AA59" s="9">
        <f>IFERROR(VLOOKUP(B59,cubo!$A$6:$BE$37,28,0)-VLOOKUP(B59,#REF!,$AA$2,0),0)</f>
        <v>0</v>
      </c>
      <c r="AB59" s="9">
        <f>IFERROR(VLOOKUP(B59,cubo!$A$6:$BE$37,29,0)-VLOOKUP(B59,#REF!,$AB$2,0),0)</f>
        <v>0</v>
      </c>
      <c r="AC59" s="9">
        <f>IFERROR(VLOOKUP(B59,cubo!$A$6:$BE$37,30,0)-VLOOKUP(B59,#REF!,$AC$2,0),0)</f>
        <v>0</v>
      </c>
      <c r="AD59" s="9">
        <f>IFERROR(VLOOKUP(B59,cubo!$A$6:$BE$37,31,0)-VLOOKUP(B59,#REF!,$AD$2,0),0)</f>
        <v>0</v>
      </c>
      <c r="AE59" s="9">
        <f>IFERROR(VLOOKUP(B59,cubo!$A$6:$BE$37,35,0)-VLOOKUP(B59,#REF!,$AE$2,0),0)</f>
        <v>0</v>
      </c>
      <c r="AF59" s="9" cm="1">
        <f t="array" aca="1" ref="AF59" ca="1">IFERROR(rrPROCV(B59,cubo!$A$6:$BE$37,48,0)-VLOOKUP(B59,#REF!,$AF$2,0),0)</f>
        <v>0</v>
      </c>
      <c r="AG59" s="9">
        <f>IFERROR(VLOOKUP(B59,cubo!$A$6:$BE$37,49,0)-VLOOKUP(B59,#REF!,$AG$2,0),0)</f>
        <v>0</v>
      </c>
      <c r="AH59" s="9">
        <f>IFERROR(VLOOKUP(B59,cubo!$A$6:$BE$37,50,0)-VLOOKUP(B59,#REF!,$AH$2,0),0)</f>
        <v>0</v>
      </c>
      <c r="AI59" s="9">
        <f>IFERROR(VLOOKUP(B59,cubo!$A$6:$BE$37,51,0)-VLOOKUP(B59,#REF!,$AI$2,0),0)</f>
        <v>0</v>
      </c>
      <c r="AJ59" s="9">
        <f>IFERROR(VLOOKUP(B59,cubo!$A$6:$BI$116,62,0)-VLOOKUP(B59,#REF!,$AJ$2,0),0)</f>
        <v>0</v>
      </c>
      <c r="AK59" s="9">
        <f>IFERROR(VLOOKUP(B59,cubo!$A$6:$BJ$37,63,0)-VLOOKUP(B59,#REF!,$AK$2,0),0)</f>
        <v>0</v>
      </c>
      <c r="AL59" s="9">
        <f>IFERROR(VLOOKUP(B59,cubo!$A$6:$BE$37,58,0)-VLOOKUP(B59,#REF!,$AL$2,0),0)</f>
        <v>0</v>
      </c>
      <c r="AM59" s="9">
        <f>IFERROR(VLOOKUP(B59,cubo!$A$6:$BK$37,64,0)-VLOOKUP(B59,#REF!,$AM$2,0),0)</f>
        <v>0</v>
      </c>
      <c r="AN59" s="9">
        <f>IFERROR(VLOOKUP(B59,cubo!$A$6:$AN$37,41,0)-VLOOKUP(B59,#REF!,$AN$2,0),0)</f>
        <v>0</v>
      </c>
    </row>
    <row r="60" spans="2:40" x14ac:dyDescent="0.25">
      <c r="B60" s="7">
        <f>[1]salario!A59</f>
        <v>0</v>
      </c>
      <c r="C60" s="8">
        <f>[1]salario!C59</f>
        <v>0</v>
      </c>
      <c r="D60" s="9">
        <f>IFERROR(VLOOKUP(B60,cubo!$A$6:$BE$37,3,0)-VLOOKUP(B60,#REF!,$D$2,0),0)</f>
        <v>0</v>
      </c>
      <c r="E60" s="10">
        <f>IFERROR(VLOOKUP(B60,cubo!$A$6:$BE$37,5,0)-VLOOKUP(B60,#REF!,$E$2,0),0)</f>
        <v>0</v>
      </c>
      <c r="F60" s="10">
        <f>IFERROR(VLOOKUP(B60,cubo!$A$6:$BE$37,8,0)-VLOOKUP(B60,#REF!,$F$2,0),0)</f>
        <v>0</v>
      </c>
      <c r="G60" s="9">
        <f>IFERROR(VLOOKUP(B60,cubo!$A$6:$BE$37,11,0)-VLOOKUP(B60,#REF!,$G$2,0),0)</f>
        <v>0</v>
      </c>
      <c r="H60" s="9">
        <f>IFERROR(VLOOKUP(B60,cubo!$A$6:$BE$37,53,0)-VLOOKUP(B60,#REF!,$H$2,0),0)</f>
        <v>0</v>
      </c>
      <c r="I60" s="10">
        <f>IFERROR(VLOOKUP(B60,cubo!$A$6:$BE$37,14,0)-VLOOKUP(B60,#REF!,$I$2,0),0)</f>
        <v>0</v>
      </c>
      <c r="J60" s="9">
        <f>IFERROR(VLOOKUP(B60,cubo!$A$6:$BE$37,16,0)-VLOOKUP(B60,#REF!,$J$2,0),0)</f>
        <v>0</v>
      </c>
      <c r="K60" s="9">
        <f>IFERROR(VLOOKUP(B60,cubo!$A$6:$BE$37,17,0)-VLOOKUP(B60,#REF!,$K$2,0),0)</f>
        <v>0</v>
      </c>
      <c r="L60" s="9">
        <f>IFERROR(VLOOKUP(B60,cubo!$A$6:$BE$37,19,0)-VLOOKUP(B60,#REF!,$L$2,0),0)</f>
        <v>0</v>
      </c>
      <c r="M60" s="9">
        <f>IFERROR(VLOOKUP(B60,cubo!$A$6:$BE$37,23,0)-VLOOKUP(B60,#REF!,$M$2,0),0)</f>
        <v>0</v>
      </c>
      <c r="N60" s="9">
        <f>IFERROR(VLOOKUP(B60,cubo!$A$6:$BE$37,25,0)-VLOOKUP(B60,#REF!,$N$2,0),0)</f>
        <v>0</v>
      </c>
      <c r="O60" s="9">
        <f>IFERROR(VLOOKUP(B60,cubo!$A$6:$BE$37,33,0)-VLOOKUP(B60,#REF!,$O$2,0),0)</f>
        <v>0</v>
      </c>
      <c r="P60" s="8">
        <f>IFERROR(VLOOKUP(B60,cubo!$A$6:$BE$37,37,0)-VLOOKUP(B60,#REF!,$P$2,0),0)</f>
        <v>0</v>
      </c>
      <c r="Q60" s="8">
        <f>IFERROR(VLOOKUP(B60,cubo!$A$6:$BE$37,56,0)-VLOOKUP(B60,#REF!,$Q$2,0),0)</f>
        <v>0</v>
      </c>
      <c r="R60" s="9">
        <f>IFERROR(VLOOKUP(B60,cubo!$A$6:$BE$37,40,0)-VLOOKUP(B60,#REF!,$R$2,0),0)</f>
        <v>0</v>
      </c>
      <c r="S60" s="9">
        <f>IFERROR(VLOOKUP(B60,cubo!$A$6:$BE$37,43,0)-VLOOKUP(B60,#REF!,$S$2,0),0)</f>
        <v>0</v>
      </c>
      <c r="T60" s="9">
        <f>IFERROR(VLOOKUP(B60,cubo!$A$6:$BE$37,46,0)-VLOOKUP(B60,#REF!,$T$2,0),0)</f>
        <v>0</v>
      </c>
      <c r="U60" s="9">
        <f>IFERROR(VLOOKUP(B60,cubo!$A$6:$BE$37,51,0)-VLOOKUP(B60,#REF!,$U$2,0),0)</f>
        <v>0</v>
      </c>
      <c r="V60" s="9">
        <f>IFERROR(VLOOKUP(B60,cubo!$A$6:$BJ$37,60,0)-VLOOKUP(B60,#REF!,$V$2,0),0)</f>
        <v>0</v>
      </c>
      <c r="W60" s="9">
        <f>IFERROR(VLOOKUP(B60,cubo!$A$6:$BE$37,26,0)-VLOOKUP(B60,#REF!,$W$2,0),0)</f>
        <v>0</v>
      </c>
      <c r="X60" s="9">
        <f>IFERROR(VLOOKUP(B60,cubo!$A$6:$BE$37,20,0)-VLOOKUP(B60,#REF!,$X$2,0),0)</f>
        <v>0</v>
      </c>
      <c r="Y60" s="9">
        <f>IFERROR(VLOOKUP(B60,cubo!$A$6:$BE$37,21,0)-VLOOKUP(B60,#REF!,$Y$2,0),0)</f>
        <v>0</v>
      </c>
      <c r="Z60" s="9">
        <f>IFERROR(VLOOKUP(B60,cubo!$A$6:$BE$37,27,0)-VLOOKUP(B60,#REF!,$Z$2,0),0)</f>
        <v>0</v>
      </c>
      <c r="AA60" s="9">
        <f>IFERROR(VLOOKUP(B60,cubo!$A$6:$BE$37,28,0)-VLOOKUP(B60,#REF!,$AA$2,0),0)</f>
        <v>0</v>
      </c>
      <c r="AB60" s="9">
        <f>IFERROR(VLOOKUP(B60,cubo!$A$6:$BE$37,29,0)-VLOOKUP(B60,#REF!,$AB$2,0),0)</f>
        <v>0</v>
      </c>
      <c r="AC60" s="9">
        <f>IFERROR(VLOOKUP(B60,cubo!$A$6:$BE$37,30,0)-VLOOKUP(B60,#REF!,$AC$2,0),0)</f>
        <v>0</v>
      </c>
      <c r="AD60" s="9">
        <f>IFERROR(VLOOKUP(B60,cubo!$A$6:$BE$37,31,0)-VLOOKUP(B60,#REF!,$AD$2,0),0)</f>
        <v>0</v>
      </c>
      <c r="AE60" s="9">
        <f>IFERROR(VLOOKUP(B60,cubo!$A$6:$BE$37,35,0)-VLOOKUP(B60,#REF!,$AE$2,0),0)</f>
        <v>0</v>
      </c>
      <c r="AF60" s="9" cm="1">
        <f t="array" aca="1" ref="AF60" ca="1">IFERROR(rrPROCV(B60,cubo!$A$6:$BE$37,48,0)-VLOOKUP(B60,#REF!,$AF$2,0),0)</f>
        <v>0</v>
      </c>
      <c r="AG60" s="9">
        <f>IFERROR(VLOOKUP(B60,cubo!$A$6:$BE$37,49,0)-VLOOKUP(B60,#REF!,$AG$2,0),0)</f>
        <v>0</v>
      </c>
      <c r="AH60" s="9">
        <f>IFERROR(VLOOKUP(B60,cubo!$A$6:$BE$37,50,0)-VLOOKUP(B60,#REF!,$AH$2,0),0)</f>
        <v>0</v>
      </c>
      <c r="AI60" s="9">
        <f>IFERROR(VLOOKUP(B60,cubo!$A$6:$BE$37,51,0)-VLOOKUP(B60,#REF!,$AI$2,0),0)</f>
        <v>0</v>
      </c>
      <c r="AJ60" s="9">
        <f>IFERROR(VLOOKUP(B60,cubo!$A$6:$BI$116,62,0)-VLOOKUP(B60,#REF!,$AJ$2,0),0)</f>
        <v>0</v>
      </c>
      <c r="AK60" s="9">
        <f>IFERROR(VLOOKUP(B60,cubo!$A$6:$BJ$37,63,0)-VLOOKUP(B60,#REF!,$AK$2,0),0)</f>
        <v>0</v>
      </c>
      <c r="AL60" s="9">
        <f>IFERROR(VLOOKUP(B60,cubo!$A$6:$BE$37,58,0)-VLOOKUP(B60,#REF!,$AL$2,0),0)</f>
        <v>0</v>
      </c>
      <c r="AM60" s="9">
        <f>IFERROR(VLOOKUP(B60,cubo!$A$6:$BK$37,64,0)-VLOOKUP(B60,#REF!,$AM$2,0),0)</f>
        <v>0</v>
      </c>
      <c r="AN60" s="9">
        <f>IFERROR(VLOOKUP(B60,cubo!$A$6:$AN$37,41,0)-VLOOKUP(B60,#REF!,$AN$2,0),0)</f>
        <v>0</v>
      </c>
    </row>
    <row r="61" spans="2:40" x14ac:dyDescent="0.25">
      <c r="B61" s="7">
        <f>[1]salario!A60</f>
        <v>0</v>
      </c>
      <c r="C61" s="8">
        <f>[1]salario!C60</f>
        <v>0</v>
      </c>
      <c r="D61" s="9">
        <f>IFERROR(VLOOKUP(B61,cubo!$A$6:$BE$37,3,0)-VLOOKUP(B61,#REF!,$D$2,0),0)</f>
        <v>0</v>
      </c>
      <c r="E61" s="10">
        <f>IFERROR(VLOOKUP(B61,cubo!$A$6:$BE$37,5,0)-VLOOKUP(B61,#REF!,$E$2,0),0)</f>
        <v>0</v>
      </c>
      <c r="F61" s="10">
        <f>IFERROR(VLOOKUP(B61,cubo!$A$6:$BE$37,8,0)-VLOOKUP(B61,#REF!,$F$2,0),0)</f>
        <v>0</v>
      </c>
      <c r="G61" s="9">
        <f>IFERROR(VLOOKUP(B61,cubo!$A$6:$BE$37,11,0)-VLOOKUP(B61,#REF!,$G$2,0),0)</f>
        <v>0</v>
      </c>
      <c r="H61" s="9">
        <f>IFERROR(VLOOKUP(B61,cubo!$A$6:$BE$37,53,0)-VLOOKUP(B61,#REF!,$H$2,0),0)</f>
        <v>0</v>
      </c>
      <c r="I61" s="10">
        <f>IFERROR(VLOOKUP(B61,cubo!$A$6:$BE$37,14,0)-VLOOKUP(B61,#REF!,$I$2,0),0)</f>
        <v>0</v>
      </c>
      <c r="J61" s="9">
        <f>IFERROR(VLOOKUP(B61,cubo!$A$6:$BE$37,16,0)-VLOOKUP(B61,#REF!,$J$2,0),0)</f>
        <v>0</v>
      </c>
      <c r="K61" s="9">
        <f>IFERROR(VLOOKUP(B61,cubo!$A$6:$BE$37,17,0)-VLOOKUP(B61,#REF!,$K$2,0),0)</f>
        <v>0</v>
      </c>
      <c r="L61" s="9">
        <f>IFERROR(VLOOKUP(B61,cubo!$A$6:$BE$37,19,0)-VLOOKUP(B61,#REF!,$L$2,0),0)</f>
        <v>0</v>
      </c>
      <c r="M61" s="9">
        <f>IFERROR(VLOOKUP(B61,cubo!$A$6:$BE$37,23,0)-VLOOKUP(B61,#REF!,$M$2,0),0)</f>
        <v>0</v>
      </c>
      <c r="N61" s="9">
        <f>IFERROR(VLOOKUP(B61,cubo!$A$6:$BE$37,25,0)-VLOOKUP(B61,#REF!,$N$2,0),0)</f>
        <v>0</v>
      </c>
      <c r="O61" s="9">
        <f>IFERROR(VLOOKUP(B61,cubo!$A$6:$BE$37,33,0)-VLOOKUP(B61,#REF!,$O$2,0),0)</f>
        <v>0</v>
      </c>
      <c r="P61" s="8">
        <f>IFERROR(VLOOKUP(B61,cubo!$A$6:$BE$37,37,0)-VLOOKUP(B61,#REF!,$P$2,0),0)</f>
        <v>0</v>
      </c>
      <c r="Q61" s="8">
        <f>IFERROR(VLOOKUP(B61,cubo!$A$6:$BE$37,56,0)-VLOOKUP(B61,#REF!,$Q$2,0),0)</f>
        <v>0</v>
      </c>
      <c r="R61" s="9">
        <f>IFERROR(VLOOKUP(B61,cubo!$A$6:$BE$37,40,0)-VLOOKUP(B61,#REF!,$R$2,0),0)</f>
        <v>0</v>
      </c>
      <c r="S61" s="9">
        <f>IFERROR(VLOOKUP(B61,cubo!$A$6:$BE$37,43,0)-VLOOKUP(B61,#REF!,$S$2,0),0)</f>
        <v>0</v>
      </c>
      <c r="T61" s="9">
        <f>IFERROR(VLOOKUP(B61,cubo!$A$6:$BE$37,46,0)-VLOOKUP(B61,#REF!,$T$2,0),0)</f>
        <v>0</v>
      </c>
      <c r="U61" s="9">
        <f>IFERROR(VLOOKUP(B61,cubo!$A$6:$BE$37,51,0)-VLOOKUP(B61,#REF!,$U$2,0),0)</f>
        <v>0</v>
      </c>
      <c r="V61" s="9">
        <f>IFERROR(VLOOKUP(B61,cubo!$A$6:$BJ$37,60,0)-VLOOKUP(B61,#REF!,$V$2,0),0)</f>
        <v>0</v>
      </c>
      <c r="W61" s="9">
        <f>IFERROR(VLOOKUP(B61,cubo!$A$6:$BE$37,26,0)-VLOOKUP(B61,#REF!,$W$2,0),0)</f>
        <v>0</v>
      </c>
      <c r="X61" s="9">
        <f>IFERROR(VLOOKUP(B61,cubo!$A$6:$BE$37,20,0)-VLOOKUP(B61,#REF!,$X$2,0),0)</f>
        <v>0</v>
      </c>
      <c r="Y61" s="9">
        <f>IFERROR(VLOOKUP(B61,cubo!$A$6:$BE$37,21,0)-VLOOKUP(B61,#REF!,$Y$2,0),0)</f>
        <v>0</v>
      </c>
      <c r="Z61" s="9">
        <f>IFERROR(VLOOKUP(B61,cubo!$A$6:$BE$37,27,0)-VLOOKUP(B61,#REF!,$Z$2,0),0)</f>
        <v>0</v>
      </c>
      <c r="AA61" s="9">
        <f>IFERROR(VLOOKUP(B61,cubo!$A$6:$BE$37,28,0)-VLOOKUP(B61,#REF!,$AA$2,0),0)</f>
        <v>0</v>
      </c>
      <c r="AB61" s="9">
        <f>IFERROR(VLOOKUP(B61,cubo!$A$6:$BE$37,29,0)-VLOOKUP(B61,#REF!,$AB$2,0),0)</f>
        <v>0</v>
      </c>
      <c r="AC61" s="9">
        <f>IFERROR(VLOOKUP(B61,cubo!$A$6:$BE$37,30,0)-VLOOKUP(B61,#REF!,$AC$2,0),0)</f>
        <v>0</v>
      </c>
      <c r="AD61" s="9">
        <f>IFERROR(VLOOKUP(B61,cubo!$A$6:$BE$37,31,0)-VLOOKUP(B61,#REF!,$AD$2,0),0)</f>
        <v>0</v>
      </c>
      <c r="AE61" s="9">
        <f>IFERROR(VLOOKUP(B61,cubo!$A$6:$BE$37,35,0)-VLOOKUP(B61,#REF!,$AE$2,0),0)</f>
        <v>0</v>
      </c>
      <c r="AF61" s="9" cm="1">
        <f t="array" aca="1" ref="AF61" ca="1">IFERROR(rrPROCV(B61,cubo!$A$6:$BE$37,48,0)-VLOOKUP(B61,#REF!,$AF$2,0),0)</f>
        <v>0</v>
      </c>
      <c r="AG61" s="9">
        <f>IFERROR(VLOOKUP(B61,cubo!$A$6:$BE$37,49,0)-VLOOKUP(B61,#REF!,$AG$2,0),0)</f>
        <v>0</v>
      </c>
      <c r="AH61" s="9">
        <f>IFERROR(VLOOKUP(B61,cubo!$A$6:$BE$37,50,0)-VLOOKUP(B61,#REF!,$AH$2,0),0)</f>
        <v>0</v>
      </c>
      <c r="AI61" s="9">
        <f>IFERROR(VLOOKUP(B61,cubo!$A$6:$BE$37,51,0)-VLOOKUP(B61,#REF!,$AI$2,0),0)</f>
        <v>0</v>
      </c>
      <c r="AJ61" s="9">
        <f>IFERROR(VLOOKUP(B61,cubo!$A$6:$BI$116,62,0)-VLOOKUP(B61,#REF!,$AJ$2,0),0)</f>
        <v>0</v>
      </c>
      <c r="AK61" s="9">
        <f>IFERROR(VLOOKUP(B61,cubo!$A$6:$BJ$37,63,0)-VLOOKUP(B61,#REF!,$AK$2,0),0)</f>
        <v>0</v>
      </c>
      <c r="AL61" s="9">
        <f>IFERROR(VLOOKUP(B61,cubo!$A$6:$BE$37,58,0)-VLOOKUP(B61,#REF!,$AL$2,0),0)</f>
        <v>0</v>
      </c>
      <c r="AM61" s="9">
        <f>IFERROR(VLOOKUP(B61,cubo!$A$6:$BK$37,64,0)-VLOOKUP(B61,#REF!,$AM$2,0),0)</f>
        <v>0</v>
      </c>
      <c r="AN61" s="9">
        <f>IFERROR(VLOOKUP(B61,cubo!$A$6:$AN$37,41,0)-VLOOKUP(B61,#REF!,$AN$2,0),0)</f>
        <v>0</v>
      </c>
    </row>
    <row r="62" spans="2:40" x14ac:dyDescent="0.25">
      <c r="B62" s="7">
        <f>[1]salario!A61</f>
        <v>0</v>
      </c>
      <c r="C62" s="8">
        <f>[1]salario!C61</f>
        <v>0</v>
      </c>
      <c r="D62" s="9">
        <f>IFERROR(VLOOKUP(B62,cubo!$A$6:$BE$37,3,0)-VLOOKUP(B62,#REF!,$D$2,0),0)</f>
        <v>0</v>
      </c>
      <c r="E62" s="10">
        <f>IFERROR(VLOOKUP(B62,cubo!$A$6:$BE$37,5,0)-VLOOKUP(B62,#REF!,$E$2,0),0)</f>
        <v>0</v>
      </c>
      <c r="F62" s="10">
        <f>IFERROR(VLOOKUP(B62,cubo!$A$6:$BE$37,8,0)-VLOOKUP(B62,#REF!,$F$2,0),0)</f>
        <v>0</v>
      </c>
      <c r="G62" s="9">
        <f>IFERROR(VLOOKUP(B62,cubo!$A$6:$BE$37,11,0)-VLOOKUP(B62,#REF!,$G$2,0),0)</f>
        <v>0</v>
      </c>
      <c r="H62" s="9">
        <f>IFERROR(VLOOKUP(B62,cubo!$A$6:$BE$37,53,0)-VLOOKUP(B62,#REF!,$H$2,0),0)</f>
        <v>0</v>
      </c>
      <c r="I62" s="10">
        <f>IFERROR(VLOOKUP(B62,cubo!$A$6:$BE$37,14,0)-VLOOKUP(B62,#REF!,$I$2,0),0)</f>
        <v>0</v>
      </c>
      <c r="J62" s="9">
        <f>IFERROR(VLOOKUP(B62,cubo!$A$6:$BE$37,16,0)-VLOOKUP(B62,#REF!,$J$2,0),0)</f>
        <v>0</v>
      </c>
      <c r="K62" s="9">
        <f>IFERROR(VLOOKUP(B62,cubo!$A$6:$BE$37,17,0)-VLOOKUP(B62,#REF!,$K$2,0),0)</f>
        <v>0</v>
      </c>
      <c r="L62" s="9">
        <f>IFERROR(VLOOKUP(B62,cubo!$A$6:$BE$37,19,0)-VLOOKUP(B62,#REF!,$L$2,0),0)</f>
        <v>0</v>
      </c>
      <c r="M62" s="9">
        <f>IFERROR(VLOOKUP(B62,cubo!$A$6:$BE$37,23,0)-VLOOKUP(B62,#REF!,$M$2,0),0)</f>
        <v>0</v>
      </c>
      <c r="N62" s="9">
        <f>IFERROR(VLOOKUP(B62,cubo!$A$6:$BE$37,25,0)-VLOOKUP(B62,#REF!,$N$2,0),0)</f>
        <v>0</v>
      </c>
      <c r="O62" s="9">
        <f>IFERROR(VLOOKUP(B62,cubo!$A$6:$BE$37,33,0)-VLOOKUP(B62,#REF!,$O$2,0),0)</f>
        <v>0</v>
      </c>
      <c r="P62" s="8">
        <f>IFERROR(VLOOKUP(B62,cubo!$A$6:$BE$37,37,0)-VLOOKUP(B62,#REF!,$P$2,0),0)</f>
        <v>0</v>
      </c>
      <c r="Q62" s="8">
        <f>IFERROR(VLOOKUP(B62,cubo!$A$6:$BE$37,56,0)-VLOOKUP(B62,#REF!,$Q$2,0),0)</f>
        <v>0</v>
      </c>
      <c r="R62" s="9">
        <f>IFERROR(VLOOKUP(B62,cubo!$A$6:$BE$37,40,0)-VLOOKUP(B62,#REF!,$R$2,0),0)</f>
        <v>0</v>
      </c>
      <c r="S62" s="9">
        <f>IFERROR(VLOOKUP(B62,cubo!$A$6:$BE$37,43,0)-VLOOKUP(B62,#REF!,$S$2,0),0)</f>
        <v>0</v>
      </c>
      <c r="T62" s="9">
        <f>IFERROR(VLOOKUP(B62,cubo!$A$6:$BE$37,46,0)-VLOOKUP(B62,#REF!,$T$2,0),0)</f>
        <v>0</v>
      </c>
      <c r="U62" s="9">
        <f>IFERROR(VLOOKUP(B62,cubo!$A$6:$BE$37,51,0)-VLOOKUP(B62,#REF!,$U$2,0),0)</f>
        <v>0</v>
      </c>
      <c r="V62" s="9">
        <f>IFERROR(VLOOKUP(B62,cubo!$A$6:$BJ$37,60,0)-VLOOKUP(B62,#REF!,$V$2,0),0)</f>
        <v>0</v>
      </c>
      <c r="W62" s="9">
        <f>IFERROR(VLOOKUP(B62,cubo!$A$6:$BE$37,26,0)-VLOOKUP(B62,#REF!,$W$2,0),0)</f>
        <v>0</v>
      </c>
      <c r="X62" s="9">
        <f>IFERROR(VLOOKUP(B62,cubo!$A$6:$BE$37,20,0)-VLOOKUP(B62,#REF!,$X$2,0),0)</f>
        <v>0</v>
      </c>
      <c r="Y62" s="9">
        <f>IFERROR(VLOOKUP(B62,cubo!$A$6:$BE$37,21,0)-VLOOKUP(B62,#REF!,$Y$2,0),0)</f>
        <v>0</v>
      </c>
      <c r="Z62" s="9">
        <f>IFERROR(VLOOKUP(B62,cubo!$A$6:$BE$37,27,0)-VLOOKUP(B62,#REF!,$Z$2,0),0)</f>
        <v>0</v>
      </c>
      <c r="AA62" s="9">
        <f>IFERROR(VLOOKUP(B62,cubo!$A$6:$BE$37,28,0)-VLOOKUP(B62,#REF!,$AA$2,0),0)</f>
        <v>0</v>
      </c>
      <c r="AB62" s="9">
        <f>IFERROR(VLOOKUP(B62,cubo!$A$6:$BE$37,29,0)-VLOOKUP(B62,#REF!,$AB$2,0),0)</f>
        <v>0</v>
      </c>
      <c r="AC62" s="9">
        <f>IFERROR(VLOOKUP(B62,cubo!$A$6:$BE$37,30,0)-VLOOKUP(B62,#REF!,$AC$2,0),0)</f>
        <v>0</v>
      </c>
      <c r="AD62" s="9">
        <f>IFERROR(VLOOKUP(B62,cubo!$A$6:$BE$37,31,0)-VLOOKUP(B62,#REF!,$AD$2,0),0)</f>
        <v>0</v>
      </c>
      <c r="AE62" s="9">
        <f>IFERROR(VLOOKUP(B62,cubo!$A$6:$BE$37,35,0)-VLOOKUP(B62,#REF!,$AE$2,0),0)</f>
        <v>0</v>
      </c>
      <c r="AF62" s="9" cm="1">
        <f t="array" aca="1" ref="AF62" ca="1">IFERROR(rrPROCV(B62,cubo!$A$6:$BE$37,48,0)-VLOOKUP(B62,#REF!,$AF$2,0),0)</f>
        <v>0</v>
      </c>
      <c r="AG62" s="9">
        <f>IFERROR(VLOOKUP(B62,cubo!$A$6:$BE$37,49,0)-VLOOKUP(B62,#REF!,$AG$2,0),0)</f>
        <v>0</v>
      </c>
      <c r="AH62" s="9">
        <f>IFERROR(VLOOKUP(B62,cubo!$A$6:$BE$37,50,0)-VLOOKUP(B62,#REF!,$AH$2,0),0)</f>
        <v>0</v>
      </c>
      <c r="AI62" s="9">
        <f>IFERROR(VLOOKUP(B62,cubo!$A$6:$BE$37,51,0)-VLOOKUP(B62,#REF!,$AI$2,0),0)</f>
        <v>0</v>
      </c>
      <c r="AJ62" s="9">
        <f>IFERROR(VLOOKUP(B62,cubo!$A$6:$BI$116,62,0)-VLOOKUP(B62,#REF!,$AJ$2,0),0)</f>
        <v>0</v>
      </c>
      <c r="AK62" s="9">
        <f>IFERROR(VLOOKUP(B62,cubo!$A$6:$BJ$37,63,0)-VLOOKUP(B62,#REF!,$AK$2,0),0)</f>
        <v>0</v>
      </c>
      <c r="AL62" s="9">
        <f>IFERROR(VLOOKUP(B62,cubo!$A$6:$BE$37,58,0)-VLOOKUP(B62,#REF!,$AL$2,0),0)</f>
        <v>0</v>
      </c>
      <c r="AM62" s="9">
        <f>IFERROR(VLOOKUP(B62,cubo!$A$6:$BK$37,64,0)-VLOOKUP(B62,#REF!,$AM$2,0),0)</f>
        <v>0</v>
      </c>
      <c r="AN62" s="9">
        <f>IFERROR(VLOOKUP(B62,cubo!$A$6:$AN$37,41,0)-VLOOKUP(B62,#REF!,$AN$2,0),0)</f>
        <v>0</v>
      </c>
    </row>
    <row r="63" spans="2:40" x14ac:dyDescent="0.25">
      <c r="B63" s="7">
        <f>[1]salario!A62</f>
        <v>0</v>
      </c>
      <c r="C63" s="8">
        <f>[1]salario!C62</f>
        <v>0</v>
      </c>
      <c r="D63" s="9">
        <f>IFERROR(VLOOKUP(B63,cubo!$A$6:$BE$37,3,0)-VLOOKUP(B63,#REF!,$D$2,0),0)</f>
        <v>0</v>
      </c>
      <c r="E63" s="10">
        <f>IFERROR(VLOOKUP(B63,cubo!$A$6:$BE$37,5,0)-VLOOKUP(B63,#REF!,$E$2,0),0)</f>
        <v>0</v>
      </c>
      <c r="F63" s="10">
        <f>IFERROR(VLOOKUP(B63,cubo!$A$6:$BE$37,8,0)-VLOOKUP(B63,#REF!,$F$2,0),0)</f>
        <v>0</v>
      </c>
      <c r="G63" s="9">
        <f>IFERROR(VLOOKUP(B63,cubo!$A$6:$BE$37,11,0)-VLOOKUP(B63,#REF!,$G$2,0),0)</f>
        <v>0</v>
      </c>
      <c r="H63" s="9">
        <f>IFERROR(VLOOKUP(B63,cubo!$A$6:$BE$37,53,0)-VLOOKUP(B63,#REF!,$H$2,0),0)</f>
        <v>0</v>
      </c>
      <c r="I63" s="10">
        <f>IFERROR(VLOOKUP(B63,cubo!$A$6:$BE$37,14,0)-VLOOKUP(B63,#REF!,$I$2,0),0)</f>
        <v>0</v>
      </c>
      <c r="J63" s="9">
        <f>IFERROR(VLOOKUP(B63,cubo!$A$6:$BE$37,16,0)-VLOOKUP(B63,#REF!,$J$2,0),0)</f>
        <v>0</v>
      </c>
      <c r="K63" s="9">
        <f>IFERROR(VLOOKUP(B63,cubo!$A$6:$BE$37,17,0)-VLOOKUP(B63,#REF!,$K$2,0),0)</f>
        <v>0</v>
      </c>
      <c r="L63" s="9">
        <f>IFERROR(VLOOKUP(B63,cubo!$A$6:$BE$37,19,0)-VLOOKUP(B63,#REF!,$L$2,0),0)</f>
        <v>0</v>
      </c>
      <c r="M63" s="9">
        <f>IFERROR(VLOOKUP(B63,cubo!$A$6:$BE$37,23,0)-VLOOKUP(B63,#REF!,$M$2,0),0)</f>
        <v>0</v>
      </c>
      <c r="N63" s="9">
        <f>IFERROR(VLOOKUP(B63,cubo!$A$6:$BE$37,25,0)-VLOOKUP(B63,#REF!,$N$2,0),0)</f>
        <v>0</v>
      </c>
      <c r="O63" s="9">
        <f>IFERROR(VLOOKUP(B63,cubo!$A$6:$BE$37,33,0)-VLOOKUP(B63,#REF!,$O$2,0),0)</f>
        <v>0</v>
      </c>
      <c r="P63" s="8">
        <f>IFERROR(VLOOKUP(B63,cubo!$A$6:$BE$37,37,0)-VLOOKUP(B63,#REF!,$P$2,0),0)</f>
        <v>0</v>
      </c>
      <c r="Q63" s="8">
        <f>IFERROR(VLOOKUP(B63,cubo!$A$6:$BE$37,56,0)-VLOOKUP(B63,#REF!,$Q$2,0),0)</f>
        <v>0</v>
      </c>
      <c r="R63" s="9">
        <f>IFERROR(VLOOKUP(B63,cubo!$A$6:$BE$37,40,0)-VLOOKUP(B63,#REF!,$R$2,0),0)</f>
        <v>0</v>
      </c>
      <c r="S63" s="9">
        <f>IFERROR(VLOOKUP(B63,cubo!$A$6:$BE$37,43,0)-VLOOKUP(B63,#REF!,$S$2,0),0)</f>
        <v>0</v>
      </c>
      <c r="T63" s="9">
        <f>IFERROR(VLOOKUP(B63,cubo!$A$6:$BE$37,46,0)-VLOOKUP(B63,#REF!,$T$2,0),0)</f>
        <v>0</v>
      </c>
      <c r="U63" s="9">
        <f>IFERROR(VLOOKUP(B63,cubo!$A$6:$BE$37,51,0)-VLOOKUP(B63,#REF!,$U$2,0),0)</f>
        <v>0</v>
      </c>
      <c r="V63" s="9">
        <f>IFERROR(VLOOKUP(B63,cubo!$A$6:$BJ$37,60,0)-VLOOKUP(B63,#REF!,$V$2,0),0)</f>
        <v>0</v>
      </c>
      <c r="W63" s="9">
        <f>IFERROR(VLOOKUP(B63,cubo!$A$6:$BE$37,26,0)-VLOOKUP(B63,#REF!,$W$2,0),0)</f>
        <v>0</v>
      </c>
      <c r="X63" s="9">
        <f>IFERROR(VLOOKUP(B63,cubo!$A$6:$BE$37,20,0)-VLOOKUP(B63,#REF!,$X$2,0),0)</f>
        <v>0</v>
      </c>
      <c r="Y63" s="9">
        <f>IFERROR(VLOOKUP(B63,cubo!$A$6:$BE$37,21,0)-VLOOKUP(B63,#REF!,$Y$2,0),0)</f>
        <v>0</v>
      </c>
      <c r="Z63" s="9">
        <f>IFERROR(VLOOKUP(B63,cubo!$A$6:$BE$37,27,0)-VLOOKUP(B63,#REF!,$Z$2,0),0)</f>
        <v>0</v>
      </c>
      <c r="AA63" s="9">
        <f>IFERROR(VLOOKUP(B63,cubo!$A$6:$BE$37,28,0)-VLOOKUP(B63,#REF!,$AA$2,0),0)</f>
        <v>0</v>
      </c>
      <c r="AB63" s="9">
        <f>IFERROR(VLOOKUP(B63,cubo!$A$6:$BE$37,29,0)-VLOOKUP(B63,#REF!,$AB$2,0),0)</f>
        <v>0</v>
      </c>
      <c r="AC63" s="9">
        <f>IFERROR(VLOOKUP(B63,cubo!$A$6:$BE$37,30,0)-VLOOKUP(B63,#REF!,$AC$2,0),0)</f>
        <v>0</v>
      </c>
      <c r="AD63" s="9">
        <f>IFERROR(VLOOKUP(B63,cubo!$A$6:$BE$37,31,0)-VLOOKUP(B63,#REF!,$AD$2,0),0)</f>
        <v>0</v>
      </c>
      <c r="AE63" s="9">
        <f>IFERROR(VLOOKUP(B63,cubo!$A$6:$BE$37,35,0)-VLOOKUP(B63,#REF!,$AE$2,0),0)</f>
        <v>0</v>
      </c>
      <c r="AF63" s="9" cm="1">
        <f t="array" aca="1" ref="AF63" ca="1">IFERROR(rrPROCV(B63,cubo!$A$6:$BE$37,48,0)-VLOOKUP(B63,#REF!,$AF$2,0),0)</f>
        <v>0</v>
      </c>
      <c r="AG63" s="9">
        <f>IFERROR(VLOOKUP(B63,cubo!$A$6:$BE$37,49,0)-VLOOKUP(B63,#REF!,$AG$2,0),0)</f>
        <v>0</v>
      </c>
      <c r="AH63" s="9">
        <f>IFERROR(VLOOKUP(B63,cubo!$A$6:$BE$37,50,0)-VLOOKUP(B63,#REF!,$AH$2,0),0)</f>
        <v>0</v>
      </c>
      <c r="AI63" s="9">
        <f>IFERROR(VLOOKUP(B63,cubo!$A$6:$BE$37,51,0)-VLOOKUP(B63,#REF!,$AI$2,0),0)</f>
        <v>0</v>
      </c>
      <c r="AJ63" s="9">
        <f>IFERROR(VLOOKUP(B63,cubo!$A$6:$BI$116,62,0)-VLOOKUP(B63,#REF!,$AJ$2,0),0)</f>
        <v>0</v>
      </c>
      <c r="AK63" s="9">
        <f>IFERROR(VLOOKUP(B63,cubo!$A$6:$BJ$37,63,0)-VLOOKUP(B63,#REF!,$AK$2,0),0)</f>
        <v>0</v>
      </c>
      <c r="AL63" s="9">
        <f>IFERROR(VLOOKUP(B63,cubo!$A$6:$BE$37,58,0)-VLOOKUP(B63,#REF!,$AL$2,0),0)</f>
        <v>0</v>
      </c>
      <c r="AM63" s="9">
        <f>IFERROR(VLOOKUP(B63,cubo!$A$6:$BK$37,64,0)-VLOOKUP(B63,#REF!,$AM$2,0),0)</f>
        <v>0</v>
      </c>
      <c r="AN63" s="9">
        <f>IFERROR(VLOOKUP(B63,cubo!$A$6:$AN$37,41,0)-VLOOKUP(B63,#REF!,$AN$2,0),0)</f>
        <v>0</v>
      </c>
    </row>
    <row r="64" spans="2:40" x14ac:dyDescent="0.25">
      <c r="B64" s="7">
        <f>[1]salario!A63</f>
        <v>0</v>
      </c>
      <c r="C64" s="8">
        <f>[1]salario!C63</f>
        <v>0</v>
      </c>
      <c r="D64" s="9">
        <f>IFERROR(VLOOKUP(B64,cubo!$A$6:$BE$37,3,0)-VLOOKUP(B64,#REF!,$D$2,0),0)</f>
        <v>0</v>
      </c>
      <c r="E64" s="10">
        <f>IFERROR(VLOOKUP(B64,cubo!$A$6:$BE$37,5,0)-VLOOKUP(B64,#REF!,$E$2,0),0)</f>
        <v>0</v>
      </c>
      <c r="F64" s="10">
        <f>IFERROR(VLOOKUP(B64,cubo!$A$6:$BE$37,8,0)-VLOOKUP(B64,#REF!,$F$2,0),0)</f>
        <v>0</v>
      </c>
      <c r="G64" s="9">
        <f>IFERROR(VLOOKUP(B64,cubo!$A$6:$BE$37,11,0)-VLOOKUP(B64,#REF!,$G$2,0),0)</f>
        <v>0</v>
      </c>
      <c r="H64" s="9">
        <f>IFERROR(VLOOKUP(B64,cubo!$A$6:$BE$37,53,0)-VLOOKUP(B64,#REF!,$H$2,0),0)</f>
        <v>0</v>
      </c>
      <c r="I64" s="10">
        <f>IFERROR(VLOOKUP(B64,cubo!$A$6:$BE$37,14,0)-VLOOKUP(B64,#REF!,$I$2,0),0)</f>
        <v>0</v>
      </c>
      <c r="J64" s="9">
        <f>IFERROR(VLOOKUP(B64,cubo!$A$6:$BE$37,16,0)-VLOOKUP(B64,#REF!,$J$2,0),0)</f>
        <v>0</v>
      </c>
      <c r="K64" s="9">
        <f>IFERROR(VLOOKUP(B64,cubo!$A$6:$BE$37,17,0)-VLOOKUP(B64,#REF!,$K$2,0),0)</f>
        <v>0</v>
      </c>
      <c r="L64" s="9">
        <f>IFERROR(VLOOKUP(B64,cubo!$A$6:$BE$37,19,0)-VLOOKUP(B64,#REF!,$L$2,0),0)</f>
        <v>0</v>
      </c>
      <c r="M64" s="9">
        <f>IFERROR(VLOOKUP(B64,cubo!$A$6:$BE$37,23,0)-VLOOKUP(B64,#REF!,$M$2,0),0)</f>
        <v>0</v>
      </c>
      <c r="N64" s="9">
        <f>IFERROR(VLOOKUP(B64,cubo!$A$6:$BE$37,25,0)-VLOOKUP(B64,#REF!,$N$2,0),0)</f>
        <v>0</v>
      </c>
      <c r="O64" s="9">
        <f>IFERROR(VLOOKUP(B64,cubo!$A$6:$BE$37,33,0)-VLOOKUP(B64,#REF!,$O$2,0),0)</f>
        <v>0</v>
      </c>
      <c r="P64" s="8">
        <f>IFERROR(VLOOKUP(B64,cubo!$A$6:$BE$37,37,0)-VLOOKUP(B64,#REF!,$P$2,0),0)</f>
        <v>0</v>
      </c>
      <c r="Q64" s="8">
        <f>IFERROR(VLOOKUP(B64,cubo!$A$6:$BE$37,56,0)-VLOOKUP(B64,#REF!,$Q$2,0),0)</f>
        <v>0</v>
      </c>
      <c r="R64" s="9">
        <f>IFERROR(VLOOKUP(B64,cubo!$A$6:$BE$37,40,0)-VLOOKUP(B64,#REF!,$R$2,0),0)</f>
        <v>0</v>
      </c>
      <c r="S64" s="9">
        <f>IFERROR(VLOOKUP(B64,cubo!$A$6:$BE$37,43,0)-VLOOKUP(B64,#REF!,$S$2,0),0)</f>
        <v>0</v>
      </c>
      <c r="T64" s="9">
        <f>IFERROR(VLOOKUP(B64,cubo!$A$6:$BE$37,46,0)-VLOOKUP(B64,#REF!,$T$2,0),0)</f>
        <v>0</v>
      </c>
      <c r="U64" s="9">
        <f>IFERROR(VLOOKUP(B64,cubo!$A$6:$BE$37,51,0)-VLOOKUP(B64,#REF!,$U$2,0),0)</f>
        <v>0</v>
      </c>
      <c r="V64" s="9">
        <f>IFERROR(VLOOKUP(B64,cubo!$A$6:$BJ$37,60,0)-VLOOKUP(B64,#REF!,$V$2,0),0)</f>
        <v>0</v>
      </c>
      <c r="W64" s="9">
        <f>IFERROR(VLOOKUP(B64,cubo!$A$6:$BE$37,26,0)-VLOOKUP(B64,#REF!,$W$2,0),0)</f>
        <v>0</v>
      </c>
      <c r="X64" s="9">
        <f>IFERROR(VLOOKUP(B64,cubo!$A$6:$BE$37,20,0)-VLOOKUP(B64,#REF!,$X$2,0),0)</f>
        <v>0</v>
      </c>
      <c r="Y64" s="9">
        <f>IFERROR(VLOOKUP(B64,cubo!$A$6:$BE$37,21,0)-VLOOKUP(B64,#REF!,$Y$2,0),0)</f>
        <v>0</v>
      </c>
      <c r="Z64" s="9">
        <f>IFERROR(VLOOKUP(B64,cubo!$A$6:$BE$37,27,0)-VLOOKUP(B64,#REF!,$Z$2,0),0)</f>
        <v>0</v>
      </c>
      <c r="AA64" s="9">
        <f>IFERROR(VLOOKUP(B64,cubo!$A$6:$BE$37,28,0)-VLOOKUP(B64,#REF!,$AA$2,0),0)</f>
        <v>0</v>
      </c>
      <c r="AB64" s="9">
        <f>IFERROR(VLOOKUP(B64,cubo!$A$6:$BE$37,29,0)-VLOOKUP(B64,#REF!,$AB$2,0),0)</f>
        <v>0</v>
      </c>
      <c r="AC64" s="9">
        <f>IFERROR(VLOOKUP(B64,cubo!$A$6:$BE$37,30,0)-VLOOKUP(B64,#REF!,$AC$2,0),0)</f>
        <v>0</v>
      </c>
      <c r="AD64" s="9">
        <f>IFERROR(VLOOKUP(B64,cubo!$A$6:$BE$37,31,0)-VLOOKUP(B64,#REF!,$AD$2,0),0)</f>
        <v>0</v>
      </c>
      <c r="AE64" s="9">
        <f>IFERROR(VLOOKUP(B64,cubo!$A$6:$BE$37,35,0)-VLOOKUP(B64,#REF!,$AE$2,0),0)</f>
        <v>0</v>
      </c>
      <c r="AF64" s="9" cm="1">
        <f t="array" aca="1" ref="AF64" ca="1">IFERROR(rrPROCV(B64,cubo!$A$6:$BE$37,48,0)-VLOOKUP(B64,#REF!,$AF$2,0),0)</f>
        <v>0</v>
      </c>
      <c r="AG64" s="9">
        <f>IFERROR(VLOOKUP(B64,cubo!$A$6:$BE$37,49,0)-VLOOKUP(B64,#REF!,$AG$2,0),0)</f>
        <v>0</v>
      </c>
      <c r="AH64" s="9">
        <f>IFERROR(VLOOKUP(B64,cubo!$A$6:$BE$37,50,0)-VLOOKUP(B64,#REF!,$AH$2,0),0)</f>
        <v>0</v>
      </c>
      <c r="AI64" s="9">
        <f>IFERROR(VLOOKUP(B64,cubo!$A$6:$BE$37,51,0)-VLOOKUP(B64,#REF!,$AI$2,0),0)</f>
        <v>0</v>
      </c>
      <c r="AJ64" s="9">
        <f>IFERROR(VLOOKUP(B64,cubo!$A$6:$BI$116,62,0)-VLOOKUP(B64,#REF!,$AJ$2,0),0)</f>
        <v>0</v>
      </c>
      <c r="AK64" s="9">
        <f>IFERROR(VLOOKUP(B64,cubo!$A$6:$BJ$37,63,0)-VLOOKUP(B64,#REF!,$AK$2,0),0)</f>
        <v>0</v>
      </c>
      <c r="AL64" s="9">
        <f>IFERROR(VLOOKUP(B64,cubo!$A$6:$BE$37,58,0)-VLOOKUP(B64,#REF!,$AL$2,0),0)</f>
        <v>0</v>
      </c>
      <c r="AM64" s="9">
        <f>IFERROR(VLOOKUP(B64,cubo!$A$6:$BK$37,64,0)-VLOOKUP(B64,#REF!,$AM$2,0),0)</f>
        <v>0</v>
      </c>
      <c r="AN64" s="9">
        <f>IFERROR(VLOOKUP(B64,cubo!$A$6:$AN$37,41,0)-VLOOKUP(B64,#REF!,$AN$2,0),0)</f>
        <v>0</v>
      </c>
    </row>
    <row r="65" spans="2:40" x14ac:dyDescent="0.25">
      <c r="B65" s="7">
        <f>[1]salario!A64</f>
        <v>0</v>
      </c>
      <c r="C65" s="8">
        <f>[1]salario!C64</f>
        <v>0</v>
      </c>
      <c r="D65" s="9">
        <f>IFERROR(VLOOKUP(B65,cubo!$A$6:$BE$37,3,0)-VLOOKUP(B65,#REF!,$D$2,0),0)</f>
        <v>0</v>
      </c>
      <c r="E65" s="10">
        <f>IFERROR(VLOOKUP(B65,cubo!$A$6:$BE$37,5,0)-VLOOKUP(B65,#REF!,$E$2,0),0)</f>
        <v>0</v>
      </c>
      <c r="F65" s="10">
        <f>IFERROR(VLOOKUP(B65,cubo!$A$6:$BE$37,8,0)-VLOOKUP(B65,#REF!,$F$2,0),0)</f>
        <v>0</v>
      </c>
      <c r="G65" s="9">
        <f>IFERROR(VLOOKUP(B65,cubo!$A$6:$BE$37,11,0)-VLOOKUP(B65,#REF!,$G$2,0),0)</f>
        <v>0</v>
      </c>
      <c r="H65" s="9">
        <f>IFERROR(VLOOKUP(B65,cubo!$A$6:$BE$37,53,0)-VLOOKUP(B65,#REF!,$H$2,0),0)</f>
        <v>0</v>
      </c>
      <c r="I65" s="10">
        <f>IFERROR(VLOOKUP(B65,cubo!$A$6:$BE$37,14,0)-VLOOKUP(B65,#REF!,$I$2,0),0)</f>
        <v>0</v>
      </c>
      <c r="J65" s="9">
        <f>IFERROR(VLOOKUP(B65,cubo!$A$6:$BE$37,16,0)-VLOOKUP(B65,#REF!,$J$2,0),0)</f>
        <v>0</v>
      </c>
      <c r="K65" s="9">
        <f>IFERROR(VLOOKUP(B65,cubo!$A$6:$BE$37,17,0)-VLOOKUP(B65,#REF!,$K$2,0),0)</f>
        <v>0</v>
      </c>
      <c r="L65" s="9">
        <f>IFERROR(VLOOKUP(B65,cubo!$A$6:$BE$37,19,0)-VLOOKUP(B65,#REF!,$L$2,0),0)</f>
        <v>0</v>
      </c>
      <c r="M65" s="9">
        <f>IFERROR(VLOOKUP(B65,cubo!$A$6:$BE$37,23,0)-VLOOKUP(B65,#REF!,$M$2,0),0)</f>
        <v>0</v>
      </c>
      <c r="N65" s="9">
        <f>IFERROR(VLOOKUP(B65,cubo!$A$6:$BE$37,25,0)-VLOOKUP(B65,#REF!,$N$2,0),0)</f>
        <v>0</v>
      </c>
      <c r="O65" s="9">
        <f>IFERROR(VLOOKUP(B65,cubo!$A$6:$BE$37,33,0)-VLOOKUP(B65,#REF!,$O$2,0),0)</f>
        <v>0</v>
      </c>
      <c r="P65" s="8">
        <f>IFERROR(VLOOKUP(B65,cubo!$A$6:$BE$37,37,0)-VLOOKUP(B65,#REF!,$P$2,0),0)</f>
        <v>0</v>
      </c>
      <c r="Q65" s="8">
        <f>IFERROR(VLOOKUP(B65,cubo!$A$6:$BE$37,56,0)-VLOOKUP(B65,#REF!,$Q$2,0),0)</f>
        <v>0</v>
      </c>
      <c r="R65" s="9">
        <f>IFERROR(VLOOKUP(B65,cubo!$A$6:$BE$37,40,0)-VLOOKUP(B65,#REF!,$R$2,0),0)</f>
        <v>0</v>
      </c>
      <c r="S65" s="9">
        <f>IFERROR(VLOOKUP(B65,cubo!$A$6:$BE$37,43,0)-VLOOKUP(B65,#REF!,$S$2,0),0)</f>
        <v>0</v>
      </c>
      <c r="T65" s="9">
        <f>IFERROR(VLOOKUP(B65,cubo!$A$6:$BE$37,46,0)-VLOOKUP(B65,#REF!,$T$2,0),0)</f>
        <v>0</v>
      </c>
      <c r="U65" s="9">
        <f>IFERROR(VLOOKUP(B65,cubo!$A$6:$BE$37,51,0)-VLOOKUP(B65,#REF!,$U$2,0),0)</f>
        <v>0</v>
      </c>
      <c r="V65" s="9">
        <f>IFERROR(VLOOKUP(B65,cubo!$A$6:$BJ$37,60,0)-VLOOKUP(B65,#REF!,$V$2,0),0)</f>
        <v>0</v>
      </c>
      <c r="W65" s="9">
        <f>IFERROR(VLOOKUP(B65,cubo!$A$6:$BE$37,26,0)-VLOOKUP(B65,#REF!,$W$2,0),0)</f>
        <v>0</v>
      </c>
      <c r="X65" s="9">
        <f>IFERROR(VLOOKUP(B65,cubo!$A$6:$BE$37,20,0)-VLOOKUP(B65,#REF!,$X$2,0),0)</f>
        <v>0</v>
      </c>
      <c r="Y65" s="9">
        <f>IFERROR(VLOOKUP(B65,cubo!$A$6:$BE$37,21,0)-VLOOKUP(B65,#REF!,$Y$2,0),0)</f>
        <v>0</v>
      </c>
      <c r="Z65" s="9">
        <f>IFERROR(VLOOKUP(B65,cubo!$A$6:$BE$37,27,0)-VLOOKUP(B65,#REF!,$Z$2,0),0)</f>
        <v>0</v>
      </c>
      <c r="AA65" s="9">
        <f>IFERROR(VLOOKUP(B65,cubo!$A$6:$BE$37,28,0)-VLOOKUP(B65,#REF!,$AA$2,0),0)</f>
        <v>0</v>
      </c>
      <c r="AB65" s="9">
        <f>IFERROR(VLOOKUP(B65,cubo!$A$6:$BE$37,29,0)-VLOOKUP(B65,#REF!,$AB$2,0),0)</f>
        <v>0</v>
      </c>
      <c r="AC65" s="9">
        <f>IFERROR(VLOOKUP(B65,cubo!$A$6:$BE$37,30,0)-VLOOKUP(B65,#REF!,$AC$2,0),0)</f>
        <v>0</v>
      </c>
      <c r="AD65" s="9">
        <f>IFERROR(VLOOKUP(B65,cubo!$A$6:$BE$37,31,0)-VLOOKUP(B65,#REF!,$AD$2,0),0)</f>
        <v>0</v>
      </c>
      <c r="AE65" s="9">
        <f>IFERROR(VLOOKUP(B65,cubo!$A$6:$BE$37,35,0)-VLOOKUP(B65,#REF!,$AE$2,0),0)</f>
        <v>0</v>
      </c>
      <c r="AF65" s="9" cm="1">
        <f t="array" aca="1" ref="AF65" ca="1">IFERROR(rrPROCV(B65,cubo!$A$6:$BE$37,48,0)-VLOOKUP(B65,#REF!,$AF$2,0),0)</f>
        <v>0</v>
      </c>
      <c r="AG65" s="9">
        <f>IFERROR(VLOOKUP(B65,cubo!$A$6:$BE$37,49,0)-VLOOKUP(B65,#REF!,$AG$2,0),0)</f>
        <v>0</v>
      </c>
      <c r="AH65" s="9">
        <f>IFERROR(VLOOKUP(B65,cubo!$A$6:$BE$37,50,0)-VLOOKUP(B65,#REF!,$AH$2,0),0)</f>
        <v>0</v>
      </c>
      <c r="AI65" s="9">
        <f>IFERROR(VLOOKUP(B65,cubo!$A$6:$BE$37,51,0)-VLOOKUP(B65,#REF!,$AI$2,0),0)</f>
        <v>0</v>
      </c>
      <c r="AJ65" s="9">
        <f>IFERROR(VLOOKUP(B65,cubo!$A$6:$BI$116,62,0)-VLOOKUP(B65,#REF!,$AJ$2,0),0)</f>
        <v>0</v>
      </c>
      <c r="AK65" s="9">
        <f>IFERROR(VLOOKUP(B65,cubo!$A$6:$BJ$37,63,0)-VLOOKUP(B65,#REF!,$AK$2,0),0)</f>
        <v>0</v>
      </c>
      <c r="AL65" s="9">
        <f>IFERROR(VLOOKUP(B65,cubo!$A$6:$BE$37,58,0)-VLOOKUP(B65,#REF!,$AL$2,0),0)</f>
        <v>0</v>
      </c>
      <c r="AM65" s="9">
        <f>IFERROR(VLOOKUP(B65,cubo!$A$6:$BK$37,64,0)-VLOOKUP(B65,#REF!,$AM$2,0),0)</f>
        <v>0</v>
      </c>
      <c r="AN65" s="9">
        <f>IFERROR(VLOOKUP(B65,cubo!$A$6:$AN$37,41,0)-VLOOKUP(B65,#REF!,$AN$2,0),0)</f>
        <v>0</v>
      </c>
    </row>
    <row r="66" spans="2:40" x14ac:dyDescent="0.25">
      <c r="B66" s="7">
        <f>[1]salario!A65</f>
        <v>0</v>
      </c>
      <c r="C66" s="8">
        <f>[1]salario!C65</f>
        <v>0</v>
      </c>
      <c r="D66" s="9">
        <f>IFERROR(VLOOKUP(B66,cubo!$A$6:$BE$37,3,0)-VLOOKUP(B66,#REF!,$D$2,0),0)</f>
        <v>0</v>
      </c>
      <c r="E66" s="10">
        <f>IFERROR(VLOOKUP(B66,cubo!$A$6:$BE$37,5,0)-VLOOKUP(B66,#REF!,$E$2,0),0)</f>
        <v>0</v>
      </c>
      <c r="F66" s="10">
        <f>IFERROR(VLOOKUP(B66,cubo!$A$6:$BE$37,8,0)-VLOOKUP(B66,#REF!,$F$2,0),0)</f>
        <v>0</v>
      </c>
      <c r="G66" s="9">
        <f>IFERROR(VLOOKUP(B66,cubo!$A$6:$BE$37,11,0)-VLOOKUP(B66,#REF!,$G$2,0),0)</f>
        <v>0</v>
      </c>
      <c r="H66" s="9">
        <f>IFERROR(VLOOKUP(B66,cubo!$A$6:$BE$37,53,0)-VLOOKUP(B66,#REF!,$H$2,0),0)</f>
        <v>0</v>
      </c>
      <c r="I66" s="10">
        <f>IFERROR(VLOOKUP(B66,cubo!$A$6:$BE$37,14,0)-VLOOKUP(B66,#REF!,$I$2,0),0)</f>
        <v>0</v>
      </c>
      <c r="J66" s="9">
        <f>IFERROR(VLOOKUP(B66,cubo!$A$6:$BE$37,16,0)-VLOOKUP(B66,#REF!,$J$2,0),0)</f>
        <v>0</v>
      </c>
      <c r="K66" s="9">
        <f>IFERROR(VLOOKUP(B66,cubo!$A$6:$BE$37,17,0)-VLOOKUP(B66,#REF!,$K$2,0),0)</f>
        <v>0</v>
      </c>
      <c r="L66" s="9">
        <f>IFERROR(VLOOKUP(B66,cubo!$A$6:$BE$37,19,0)-VLOOKUP(B66,#REF!,$L$2,0),0)</f>
        <v>0</v>
      </c>
      <c r="M66" s="9">
        <f>IFERROR(VLOOKUP(B66,cubo!$A$6:$BE$37,23,0)-VLOOKUP(B66,#REF!,$M$2,0),0)</f>
        <v>0</v>
      </c>
      <c r="N66" s="9">
        <f>IFERROR(VLOOKUP(B66,cubo!$A$6:$BE$37,25,0)-VLOOKUP(B66,#REF!,$N$2,0),0)</f>
        <v>0</v>
      </c>
      <c r="O66" s="9">
        <f>IFERROR(VLOOKUP(B66,cubo!$A$6:$BE$37,33,0)-VLOOKUP(B66,#REF!,$O$2,0),0)</f>
        <v>0</v>
      </c>
      <c r="P66" s="8">
        <f>IFERROR(VLOOKUP(B66,cubo!$A$6:$BE$37,37,0)-VLOOKUP(B66,#REF!,$P$2,0),0)</f>
        <v>0</v>
      </c>
      <c r="Q66" s="8">
        <f>IFERROR(VLOOKUP(B66,cubo!$A$6:$BE$37,56,0)-VLOOKUP(B66,#REF!,$Q$2,0),0)</f>
        <v>0</v>
      </c>
      <c r="R66" s="9">
        <f>IFERROR(VLOOKUP(B66,cubo!$A$6:$BE$37,40,0)-VLOOKUP(B66,#REF!,$R$2,0),0)</f>
        <v>0</v>
      </c>
      <c r="S66" s="9">
        <f>IFERROR(VLOOKUP(B66,cubo!$A$6:$BE$37,43,0)-VLOOKUP(B66,#REF!,$S$2,0),0)</f>
        <v>0</v>
      </c>
      <c r="T66" s="9">
        <f>IFERROR(VLOOKUP(B66,cubo!$A$6:$BE$37,46,0)-VLOOKUP(B66,#REF!,$T$2,0),0)</f>
        <v>0</v>
      </c>
      <c r="U66" s="9">
        <f>IFERROR(VLOOKUP(B66,cubo!$A$6:$BE$37,51,0)-VLOOKUP(B66,#REF!,$U$2,0),0)</f>
        <v>0</v>
      </c>
      <c r="V66" s="9">
        <f>IFERROR(VLOOKUP(B66,cubo!$A$6:$BJ$37,60,0)-VLOOKUP(B66,#REF!,$V$2,0),0)</f>
        <v>0</v>
      </c>
      <c r="W66" s="9">
        <f>IFERROR(VLOOKUP(B66,cubo!$A$6:$BE$37,26,0)-VLOOKUP(B66,#REF!,$W$2,0),0)</f>
        <v>0</v>
      </c>
      <c r="X66" s="9">
        <f>IFERROR(VLOOKUP(B66,cubo!$A$6:$BE$37,20,0)-VLOOKUP(B66,#REF!,$X$2,0),0)</f>
        <v>0</v>
      </c>
      <c r="Y66" s="9">
        <f>IFERROR(VLOOKUP(B66,cubo!$A$6:$BE$37,21,0)-VLOOKUP(B66,#REF!,$Y$2,0),0)</f>
        <v>0</v>
      </c>
      <c r="Z66" s="9">
        <f>IFERROR(VLOOKUP(B66,cubo!$A$6:$BE$37,27,0)-VLOOKUP(B66,#REF!,$Z$2,0),0)</f>
        <v>0</v>
      </c>
      <c r="AA66" s="9">
        <f>IFERROR(VLOOKUP(B66,cubo!$A$6:$BE$37,28,0)-VLOOKUP(B66,#REF!,$AA$2,0),0)</f>
        <v>0</v>
      </c>
      <c r="AB66" s="9">
        <f>IFERROR(VLOOKUP(B66,cubo!$A$6:$BE$37,29,0)-VLOOKUP(B66,#REF!,$AB$2,0),0)</f>
        <v>0</v>
      </c>
      <c r="AC66" s="9">
        <f>IFERROR(VLOOKUP(B66,cubo!$A$6:$BE$37,30,0)-VLOOKUP(B66,#REF!,$AC$2,0),0)</f>
        <v>0</v>
      </c>
      <c r="AD66" s="9">
        <f>IFERROR(VLOOKUP(B66,cubo!$A$6:$BE$37,31,0)-VLOOKUP(B66,#REF!,$AD$2,0),0)</f>
        <v>0</v>
      </c>
      <c r="AE66" s="9">
        <f>IFERROR(VLOOKUP(B66,cubo!$A$6:$BE$37,35,0)-VLOOKUP(B66,#REF!,$AE$2,0),0)</f>
        <v>0</v>
      </c>
      <c r="AF66" s="9" cm="1">
        <f t="array" aca="1" ref="AF66" ca="1">IFERROR(rrPROCV(B66,cubo!$A$6:$BE$37,48,0)-VLOOKUP(B66,#REF!,$AF$2,0),0)</f>
        <v>0</v>
      </c>
      <c r="AG66" s="9">
        <f>IFERROR(VLOOKUP(B66,cubo!$A$6:$BE$37,49,0)-VLOOKUP(B66,#REF!,$AG$2,0),0)</f>
        <v>0</v>
      </c>
      <c r="AH66" s="9">
        <f>IFERROR(VLOOKUP(B66,cubo!$A$6:$BE$37,50,0)-VLOOKUP(B66,#REF!,$AH$2,0),0)</f>
        <v>0</v>
      </c>
      <c r="AI66" s="9">
        <f>IFERROR(VLOOKUP(B66,cubo!$A$6:$BE$37,51,0)-VLOOKUP(B66,#REF!,$AI$2,0),0)</f>
        <v>0</v>
      </c>
      <c r="AJ66" s="9">
        <f>IFERROR(VLOOKUP(B66,cubo!$A$6:$BI$116,62,0)-VLOOKUP(B66,#REF!,$AJ$2,0),0)</f>
        <v>0</v>
      </c>
      <c r="AK66" s="9">
        <f>IFERROR(VLOOKUP(B66,cubo!$A$6:$BJ$37,63,0)-VLOOKUP(B66,#REF!,$AK$2,0),0)</f>
        <v>0</v>
      </c>
      <c r="AL66" s="9">
        <f>IFERROR(VLOOKUP(B66,cubo!$A$6:$BE$37,58,0)-VLOOKUP(B66,#REF!,$AL$2,0),0)</f>
        <v>0</v>
      </c>
      <c r="AM66" s="9">
        <f>IFERROR(VLOOKUP(B66,cubo!$A$6:$BK$37,64,0)-VLOOKUP(B66,#REF!,$AM$2,0),0)</f>
        <v>0</v>
      </c>
      <c r="AN66" s="9">
        <f>IFERROR(VLOOKUP(B66,cubo!$A$6:$AN$37,41,0)-VLOOKUP(B66,#REF!,$AN$2,0),0)</f>
        <v>0</v>
      </c>
    </row>
    <row r="67" spans="2:40" x14ac:dyDescent="0.25">
      <c r="B67" s="7">
        <f>[1]salario!A66</f>
        <v>0</v>
      </c>
      <c r="C67" s="8">
        <f>[1]salario!C66</f>
        <v>0</v>
      </c>
      <c r="D67" s="9">
        <f>IFERROR(VLOOKUP(B67,cubo!$A$6:$BE$37,3,0)-VLOOKUP(B67,#REF!,$D$2,0),0)</f>
        <v>0</v>
      </c>
      <c r="E67" s="10">
        <f>IFERROR(VLOOKUP(B67,cubo!$A$6:$BE$37,5,0)-VLOOKUP(B67,#REF!,$E$2,0),0)</f>
        <v>0</v>
      </c>
      <c r="F67" s="10">
        <f>IFERROR(VLOOKUP(B67,cubo!$A$6:$BE$37,8,0)-VLOOKUP(B67,#REF!,$F$2,0),0)</f>
        <v>0</v>
      </c>
      <c r="G67" s="9">
        <f>IFERROR(VLOOKUP(B67,cubo!$A$6:$BE$37,11,0)-VLOOKUP(B67,#REF!,$G$2,0),0)</f>
        <v>0</v>
      </c>
      <c r="H67" s="9">
        <f>IFERROR(VLOOKUP(B67,cubo!$A$6:$BE$37,53,0)-VLOOKUP(B67,#REF!,$H$2,0),0)</f>
        <v>0</v>
      </c>
      <c r="I67" s="10">
        <f>IFERROR(VLOOKUP(B67,cubo!$A$6:$BE$37,14,0)-VLOOKUP(B67,#REF!,$I$2,0),0)</f>
        <v>0</v>
      </c>
      <c r="J67" s="9">
        <f>IFERROR(VLOOKUP(B67,cubo!$A$6:$BE$37,16,0)-VLOOKUP(B67,#REF!,$J$2,0),0)</f>
        <v>0</v>
      </c>
      <c r="K67" s="9">
        <f>IFERROR(VLOOKUP(B67,cubo!$A$6:$BE$37,17,0)-VLOOKUP(B67,#REF!,$K$2,0),0)</f>
        <v>0</v>
      </c>
      <c r="L67" s="9">
        <f>IFERROR(VLOOKUP(B67,cubo!$A$6:$BE$37,19,0)-VLOOKUP(B67,#REF!,$L$2,0),0)</f>
        <v>0</v>
      </c>
      <c r="M67" s="9">
        <f>IFERROR(VLOOKUP(B67,cubo!$A$6:$BE$37,23,0)-VLOOKUP(B67,#REF!,$M$2,0),0)</f>
        <v>0</v>
      </c>
      <c r="N67" s="9">
        <f>IFERROR(VLOOKUP(B67,cubo!$A$6:$BE$37,25,0)-VLOOKUP(B67,#REF!,$N$2,0),0)</f>
        <v>0</v>
      </c>
      <c r="O67" s="9">
        <f>IFERROR(VLOOKUP(B67,cubo!$A$6:$BE$37,33,0)-VLOOKUP(B67,#REF!,$O$2,0),0)</f>
        <v>0</v>
      </c>
      <c r="P67" s="8">
        <f>IFERROR(VLOOKUP(B67,cubo!$A$6:$BE$37,37,0)-VLOOKUP(B67,#REF!,$P$2,0),0)</f>
        <v>0</v>
      </c>
      <c r="Q67" s="8">
        <f>IFERROR(VLOOKUP(B67,cubo!$A$6:$BE$37,56,0)-VLOOKUP(B67,#REF!,$Q$2,0),0)</f>
        <v>0</v>
      </c>
      <c r="R67" s="9">
        <f>IFERROR(VLOOKUP(B67,cubo!$A$6:$BE$37,40,0)-VLOOKUP(B67,#REF!,$R$2,0),0)</f>
        <v>0</v>
      </c>
      <c r="S67" s="9">
        <f>IFERROR(VLOOKUP(B67,cubo!$A$6:$BE$37,43,0)-VLOOKUP(B67,#REF!,$S$2,0),0)</f>
        <v>0</v>
      </c>
      <c r="T67" s="9">
        <f>IFERROR(VLOOKUP(B67,cubo!$A$6:$BE$37,46,0)-VLOOKUP(B67,#REF!,$T$2,0),0)</f>
        <v>0</v>
      </c>
      <c r="U67" s="9">
        <f>IFERROR(VLOOKUP(B67,cubo!$A$6:$BE$37,51,0)-VLOOKUP(B67,#REF!,$U$2,0),0)</f>
        <v>0</v>
      </c>
      <c r="V67" s="9">
        <f>IFERROR(VLOOKUP(B67,cubo!$A$6:$BJ$37,60,0)-VLOOKUP(B67,#REF!,$V$2,0),0)</f>
        <v>0</v>
      </c>
      <c r="W67" s="9">
        <f>IFERROR(VLOOKUP(B67,cubo!$A$6:$BE$37,26,0)-VLOOKUP(B67,#REF!,$W$2,0),0)</f>
        <v>0</v>
      </c>
      <c r="X67" s="9">
        <f>IFERROR(VLOOKUP(B67,cubo!$A$6:$BE$37,20,0)-VLOOKUP(B67,#REF!,$X$2,0),0)</f>
        <v>0</v>
      </c>
      <c r="Y67" s="9">
        <f>IFERROR(VLOOKUP(B67,cubo!$A$6:$BE$37,21,0)-VLOOKUP(B67,#REF!,$Y$2,0),0)</f>
        <v>0</v>
      </c>
      <c r="Z67" s="9">
        <f>IFERROR(VLOOKUP(B67,cubo!$A$6:$BE$37,27,0)-VLOOKUP(B67,#REF!,$Z$2,0),0)</f>
        <v>0</v>
      </c>
      <c r="AA67" s="9">
        <f>IFERROR(VLOOKUP(B67,cubo!$A$6:$BE$37,28,0)-VLOOKUP(B67,#REF!,$AA$2,0),0)</f>
        <v>0</v>
      </c>
      <c r="AB67" s="9">
        <f>IFERROR(VLOOKUP(B67,cubo!$A$6:$BE$37,29,0)-VLOOKUP(B67,#REF!,$AB$2,0),0)</f>
        <v>0</v>
      </c>
      <c r="AC67" s="9">
        <f>IFERROR(VLOOKUP(B67,cubo!$A$6:$BE$37,30,0)-VLOOKUP(B67,#REF!,$AC$2,0),0)</f>
        <v>0</v>
      </c>
      <c r="AD67" s="9">
        <f>IFERROR(VLOOKUP(B67,cubo!$A$6:$BE$37,31,0)-VLOOKUP(B67,#REF!,$AD$2,0),0)</f>
        <v>0</v>
      </c>
      <c r="AE67" s="9">
        <f>IFERROR(VLOOKUP(B67,cubo!$A$6:$BE$37,35,0)-VLOOKUP(B67,#REF!,$AE$2,0),0)</f>
        <v>0</v>
      </c>
      <c r="AF67" s="9" cm="1">
        <f t="array" aca="1" ref="AF67" ca="1">IFERROR(rrPROCV(B67,cubo!$A$6:$BE$37,48,0)-VLOOKUP(B67,#REF!,$AF$2,0),0)</f>
        <v>0</v>
      </c>
      <c r="AG67" s="9">
        <f>IFERROR(VLOOKUP(B67,cubo!$A$6:$BE$37,49,0)-VLOOKUP(B67,#REF!,$AG$2,0),0)</f>
        <v>0</v>
      </c>
      <c r="AH67" s="9">
        <f>IFERROR(VLOOKUP(B67,cubo!$A$6:$BE$37,50,0)-VLOOKUP(B67,#REF!,$AH$2,0),0)</f>
        <v>0</v>
      </c>
      <c r="AI67" s="9">
        <f>IFERROR(VLOOKUP(B67,cubo!$A$6:$BE$37,51,0)-VLOOKUP(B67,#REF!,$AI$2,0),0)</f>
        <v>0</v>
      </c>
      <c r="AJ67" s="9">
        <f>IFERROR(VLOOKUP(B67,cubo!$A$6:$BI$116,62,0)-VLOOKUP(B67,#REF!,$AJ$2,0),0)</f>
        <v>0</v>
      </c>
      <c r="AK67" s="9">
        <f>IFERROR(VLOOKUP(B67,cubo!$A$6:$BJ$37,63,0)-VLOOKUP(B67,#REF!,$AK$2,0),0)</f>
        <v>0</v>
      </c>
      <c r="AL67" s="9">
        <f>IFERROR(VLOOKUP(B67,cubo!$A$6:$BE$37,58,0)-VLOOKUP(B67,#REF!,$AL$2,0),0)</f>
        <v>0</v>
      </c>
      <c r="AM67" s="9">
        <f>IFERROR(VLOOKUP(B67,cubo!$A$6:$BK$37,64,0)-VLOOKUP(B67,#REF!,$AM$2,0),0)</f>
        <v>0</v>
      </c>
      <c r="AN67" s="9">
        <f>IFERROR(VLOOKUP(B67,cubo!$A$6:$AN$37,41,0)-VLOOKUP(B67,#REF!,$AN$2,0),0)</f>
        <v>0</v>
      </c>
    </row>
    <row r="68" spans="2:40" x14ac:dyDescent="0.25">
      <c r="B68" s="7">
        <f>[1]salario!A67</f>
        <v>0</v>
      </c>
      <c r="C68" s="8">
        <f>[1]salario!C67</f>
        <v>0</v>
      </c>
      <c r="D68" s="9">
        <f>IFERROR(VLOOKUP(B68,cubo!$A$6:$BE$37,3,0)-VLOOKUP(B68,#REF!,$D$2,0),0)</f>
        <v>0</v>
      </c>
      <c r="E68" s="10">
        <f>IFERROR(VLOOKUP(B68,cubo!$A$6:$BE$37,5,0)-VLOOKUP(B68,#REF!,$E$2,0),0)</f>
        <v>0</v>
      </c>
      <c r="F68" s="10">
        <f>IFERROR(VLOOKUP(B68,cubo!$A$6:$BE$37,8,0)-VLOOKUP(B68,#REF!,$F$2,0),0)</f>
        <v>0</v>
      </c>
      <c r="G68" s="9">
        <f>IFERROR(VLOOKUP(B68,cubo!$A$6:$BE$37,11,0)-VLOOKUP(B68,#REF!,$G$2,0),0)</f>
        <v>0</v>
      </c>
      <c r="H68" s="9">
        <f>IFERROR(VLOOKUP(B68,cubo!$A$6:$BE$37,53,0)-VLOOKUP(B68,#REF!,$H$2,0),0)</f>
        <v>0</v>
      </c>
      <c r="I68" s="10">
        <f>IFERROR(VLOOKUP(B68,cubo!$A$6:$BE$37,14,0)-VLOOKUP(B68,#REF!,$I$2,0),0)</f>
        <v>0</v>
      </c>
      <c r="J68" s="9">
        <f>IFERROR(VLOOKUP(B68,cubo!$A$6:$BE$37,16,0)-VLOOKUP(B68,#REF!,$J$2,0),0)</f>
        <v>0</v>
      </c>
      <c r="K68" s="9">
        <f>IFERROR(VLOOKUP(B68,cubo!$A$6:$BE$37,17,0)-VLOOKUP(B68,#REF!,$K$2,0),0)</f>
        <v>0</v>
      </c>
      <c r="L68" s="9">
        <f>IFERROR(VLOOKUP(B68,cubo!$A$6:$BE$37,19,0)-VLOOKUP(B68,#REF!,$L$2,0),0)</f>
        <v>0</v>
      </c>
      <c r="M68" s="9">
        <f>IFERROR(VLOOKUP(B68,cubo!$A$6:$BE$37,23,0)-VLOOKUP(B68,#REF!,$M$2,0),0)</f>
        <v>0</v>
      </c>
      <c r="N68" s="9">
        <f>IFERROR(VLOOKUP(B68,cubo!$A$6:$BE$37,25,0)-VLOOKUP(B68,#REF!,$N$2,0),0)</f>
        <v>0</v>
      </c>
      <c r="O68" s="9">
        <f>IFERROR(VLOOKUP(B68,cubo!$A$6:$BE$37,33,0)-VLOOKUP(B68,#REF!,$O$2,0),0)</f>
        <v>0</v>
      </c>
      <c r="P68" s="8">
        <f>IFERROR(VLOOKUP(B68,cubo!$A$6:$BE$37,37,0)-VLOOKUP(B68,#REF!,$P$2,0),0)</f>
        <v>0</v>
      </c>
      <c r="Q68" s="8">
        <f>IFERROR(VLOOKUP(B68,cubo!$A$6:$BE$37,56,0)-VLOOKUP(B68,#REF!,$Q$2,0),0)</f>
        <v>0</v>
      </c>
      <c r="R68" s="9">
        <f>IFERROR(VLOOKUP(B68,cubo!$A$6:$BE$37,40,0)-VLOOKUP(B68,#REF!,$R$2,0),0)</f>
        <v>0</v>
      </c>
      <c r="S68" s="9">
        <f>IFERROR(VLOOKUP(B68,cubo!$A$6:$BE$37,43,0)-VLOOKUP(B68,#REF!,$S$2,0),0)</f>
        <v>0</v>
      </c>
      <c r="T68" s="9">
        <f>IFERROR(VLOOKUP(B68,cubo!$A$6:$BE$37,46,0)-VLOOKUP(B68,#REF!,$T$2,0),0)</f>
        <v>0</v>
      </c>
      <c r="U68" s="9">
        <f>IFERROR(VLOOKUP(B68,cubo!$A$6:$BE$37,51,0)-VLOOKUP(B68,#REF!,$U$2,0),0)</f>
        <v>0</v>
      </c>
      <c r="V68" s="9">
        <f>IFERROR(VLOOKUP(B68,cubo!$A$6:$BJ$37,60,0)-VLOOKUP(B68,#REF!,$V$2,0),0)</f>
        <v>0</v>
      </c>
      <c r="W68" s="9">
        <f>IFERROR(VLOOKUP(B68,cubo!$A$6:$BE$37,26,0)-VLOOKUP(B68,#REF!,$W$2,0),0)</f>
        <v>0</v>
      </c>
      <c r="X68" s="9">
        <f>IFERROR(VLOOKUP(B68,cubo!$A$6:$BE$37,20,0)-VLOOKUP(B68,#REF!,$X$2,0),0)</f>
        <v>0</v>
      </c>
      <c r="Y68" s="9">
        <f>IFERROR(VLOOKUP(B68,cubo!$A$6:$BE$37,21,0)-VLOOKUP(B68,#REF!,$Y$2,0),0)</f>
        <v>0</v>
      </c>
      <c r="Z68" s="9">
        <f>IFERROR(VLOOKUP(B68,cubo!$A$6:$BE$37,27,0)-VLOOKUP(B68,#REF!,$Z$2,0),0)</f>
        <v>0</v>
      </c>
      <c r="AA68" s="9">
        <f>IFERROR(VLOOKUP(B68,cubo!$A$6:$BE$37,28,0)-VLOOKUP(B68,#REF!,$AA$2,0),0)</f>
        <v>0</v>
      </c>
      <c r="AB68" s="9">
        <f>IFERROR(VLOOKUP(B68,cubo!$A$6:$BE$37,29,0)-VLOOKUP(B68,#REF!,$AB$2,0),0)</f>
        <v>0</v>
      </c>
      <c r="AC68" s="9">
        <f>IFERROR(VLOOKUP(B68,cubo!$A$6:$BE$37,30,0)-VLOOKUP(B68,#REF!,$AC$2,0),0)</f>
        <v>0</v>
      </c>
      <c r="AD68" s="9">
        <f>IFERROR(VLOOKUP(B68,cubo!$A$6:$BE$37,31,0)-VLOOKUP(B68,#REF!,$AD$2,0),0)</f>
        <v>0</v>
      </c>
      <c r="AE68" s="9">
        <f>IFERROR(VLOOKUP(B68,cubo!$A$6:$BE$37,35,0)-VLOOKUP(B68,#REF!,$AE$2,0),0)</f>
        <v>0</v>
      </c>
      <c r="AF68" s="9" cm="1">
        <f t="array" aca="1" ref="AF68" ca="1">IFERROR(rrPROCV(B68,cubo!$A$6:$BE$37,48,0)-VLOOKUP(B68,#REF!,$AF$2,0),0)</f>
        <v>0</v>
      </c>
      <c r="AG68" s="9">
        <f>IFERROR(VLOOKUP(B68,cubo!$A$6:$BE$37,49,0)-VLOOKUP(B68,#REF!,$AG$2,0),0)</f>
        <v>0</v>
      </c>
      <c r="AH68" s="9">
        <f>IFERROR(VLOOKUP(B68,cubo!$A$6:$BE$37,50,0)-VLOOKUP(B68,#REF!,$AH$2,0),0)</f>
        <v>0</v>
      </c>
      <c r="AI68" s="9">
        <f>IFERROR(VLOOKUP(B68,cubo!$A$6:$BE$37,51,0)-VLOOKUP(B68,#REF!,$AI$2,0),0)</f>
        <v>0</v>
      </c>
      <c r="AJ68" s="9">
        <f>IFERROR(VLOOKUP(B68,cubo!$A$6:$BI$116,62,0)-VLOOKUP(B68,#REF!,$AJ$2,0),0)</f>
        <v>0</v>
      </c>
      <c r="AK68" s="9">
        <f>IFERROR(VLOOKUP(B68,cubo!$A$6:$BJ$37,63,0)-VLOOKUP(B68,#REF!,$AK$2,0),0)</f>
        <v>0</v>
      </c>
      <c r="AL68" s="9">
        <f>IFERROR(VLOOKUP(B68,cubo!$A$6:$BE$37,58,0)-VLOOKUP(B68,#REF!,$AL$2,0),0)</f>
        <v>0</v>
      </c>
      <c r="AM68" s="9">
        <f>IFERROR(VLOOKUP(B68,cubo!$A$6:$BK$37,64,0)-VLOOKUP(B68,#REF!,$AM$2,0),0)</f>
        <v>0</v>
      </c>
      <c r="AN68" s="9">
        <f>IFERROR(VLOOKUP(B68,cubo!$A$6:$AN$37,41,0)-VLOOKUP(B68,#REF!,$AN$2,0),0)</f>
        <v>0</v>
      </c>
    </row>
    <row r="69" spans="2:40" x14ac:dyDescent="0.25">
      <c r="B69" s="7">
        <f>[1]salario!A68</f>
        <v>0</v>
      </c>
      <c r="C69" s="8">
        <f>[1]salario!C68</f>
        <v>0</v>
      </c>
      <c r="D69" s="9">
        <f>IFERROR(VLOOKUP(B69,cubo!$A$6:$BE$37,3,0)-VLOOKUP(B69,#REF!,$D$2,0),0)</f>
        <v>0</v>
      </c>
      <c r="E69" s="10">
        <f>IFERROR(VLOOKUP(B69,cubo!$A$6:$BE$37,5,0)-VLOOKUP(B69,#REF!,$E$2,0),0)</f>
        <v>0</v>
      </c>
      <c r="F69" s="10">
        <f>IFERROR(VLOOKUP(B69,cubo!$A$6:$BE$37,8,0)-VLOOKUP(B69,#REF!,$F$2,0),0)</f>
        <v>0</v>
      </c>
      <c r="G69" s="9">
        <f>IFERROR(VLOOKUP(B69,cubo!$A$6:$BE$37,11,0)-VLOOKUP(B69,#REF!,$G$2,0),0)</f>
        <v>0</v>
      </c>
      <c r="H69" s="9">
        <f>IFERROR(VLOOKUP(B69,cubo!$A$6:$BE$37,53,0)-VLOOKUP(B69,#REF!,$H$2,0),0)</f>
        <v>0</v>
      </c>
      <c r="I69" s="10">
        <f>IFERROR(VLOOKUP(B69,cubo!$A$6:$BE$37,14,0)-VLOOKUP(B69,#REF!,$I$2,0),0)</f>
        <v>0</v>
      </c>
      <c r="J69" s="9">
        <f>IFERROR(VLOOKUP(B69,cubo!$A$6:$BE$37,16,0)-VLOOKUP(B69,#REF!,$J$2,0),0)</f>
        <v>0</v>
      </c>
      <c r="K69" s="9">
        <f>IFERROR(VLOOKUP(B69,cubo!$A$6:$BE$37,17,0)-VLOOKUP(B69,#REF!,$K$2,0),0)</f>
        <v>0</v>
      </c>
      <c r="L69" s="9">
        <f>IFERROR(VLOOKUP(B69,cubo!$A$6:$BE$37,19,0)-VLOOKUP(B69,#REF!,$L$2,0),0)</f>
        <v>0</v>
      </c>
      <c r="M69" s="9">
        <f>IFERROR(VLOOKUP(B69,cubo!$A$6:$BE$37,23,0)-VLOOKUP(B69,#REF!,$M$2,0),0)</f>
        <v>0</v>
      </c>
      <c r="N69" s="9">
        <f>IFERROR(VLOOKUP(B69,cubo!$A$6:$BE$37,25,0)-VLOOKUP(B69,#REF!,$N$2,0),0)</f>
        <v>0</v>
      </c>
      <c r="O69" s="9">
        <f>IFERROR(VLOOKUP(B69,cubo!$A$6:$BE$37,33,0)-VLOOKUP(B69,#REF!,$O$2,0),0)</f>
        <v>0</v>
      </c>
      <c r="P69" s="8">
        <f>IFERROR(VLOOKUP(B69,cubo!$A$6:$BE$37,37,0)-VLOOKUP(B69,#REF!,$P$2,0),0)</f>
        <v>0</v>
      </c>
      <c r="Q69" s="8">
        <f>IFERROR(VLOOKUP(B69,cubo!$A$6:$BE$37,56,0)-VLOOKUP(B69,#REF!,$Q$2,0),0)</f>
        <v>0</v>
      </c>
      <c r="R69" s="9">
        <f>IFERROR(VLOOKUP(B69,cubo!$A$6:$BE$37,40,0)-VLOOKUP(B69,#REF!,$R$2,0),0)</f>
        <v>0</v>
      </c>
      <c r="S69" s="9">
        <f>IFERROR(VLOOKUP(B69,cubo!$A$6:$BE$37,43,0)-VLOOKUP(B69,#REF!,$S$2,0),0)</f>
        <v>0</v>
      </c>
      <c r="T69" s="9">
        <f>IFERROR(VLOOKUP(B69,cubo!$A$6:$BE$37,46,0)-VLOOKUP(B69,#REF!,$T$2,0),0)</f>
        <v>0</v>
      </c>
      <c r="U69" s="9">
        <f>IFERROR(VLOOKUP(B69,cubo!$A$6:$BE$37,51,0)-VLOOKUP(B69,#REF!,$U$2,0),0)</f>
        <v>0</v>
      </c>
      <c r="V69" s="9">
        <f>IFERROR(VLOOKUP(B69,cubo!$A$6:$BJ$37,60,0)-VLOOKUP(B69,#REF!,$V$2,0),0)</f>
        <v>0</v>
      </c>
      <c r="W69" s="9">
        <f>IFERROR(VLOOKUP(B69,cubo!$A$6:$BE$37,26,0)-VLOOKUP(B69,#REF!,$W$2,0),0)</f>
        <v>0</v>
      </c>
      <c r="X69" s="9">
        <f>IFERROR(VLOOKUP(B69,cubo!$A$6:$BE$37,20,0)-VLOOKUP(B69,#REF!,$X$2,0),0)</f>
        <v>0</v>
      </c>
      <c r="Y69" s="9">
        <f>IFERROR(VLOOKUP(B69,cubo!$A$6:$BE$37,21,0)-VLOOKUP(B69,#REF!,$Y$2,0),0)</f>
        <v>0</v>
      </c>
      <c r="Z69" s="9">
        <f>IFERROR(VLOOKUP(B69,cubo!$A$6:$BE$37,27,0)-VLOOKUP(B69,#REF!,$Z$2,0),0)</f>
        <v>0</v>
      </c>
      <c r="AA69" s="9">
        <f>IFERROR(VLOOKUP(B69,cubo!$A$6:$BE$37,28,0)-VLOOKUP(B69,#REF!,$AA$2,0),0)</f>
        <v>0</v>
      </c>
      <c r="AB69" s="9">
        <f>IFERROR(VLOOKUP(B69,cubo!$A$6:$BE$37,29,0)-VLOOKUP(B69,#REF!,$AB$2,0),0)</f>
        <v>0</v>
      </c>
      <c r="AC69" s="9">
        <f>IFERROR(VLOOKUP(B69,cubo!$A$6:$BE$37,30,0)-VLOOKUP(B69,#REF!,$AC$2,0),0)</f>
        <v>0</v>
      </c>
      <c r="AD69" s="9">
        <f>IFERROR(VLOOKUP(B69,cubo!$A$6:$BE$37,31,0)-VLOOKUP(B69,#REF!,$AD$2,0),0)</f>
        <v>0</v>
      </c>
      <c r="AE69" s="9">
        <f>IFERROR(VLOOKUP(B69,cubo!$A$6:$BE$37,35,0)-VLOOKUP(B69,#REF!,$AE$2,0),0)</f>
        <v>0</v>
      </c>
      <c r="AF69" s="9" cm="1">
        <f t="array" aca="1" ref="AF69" ca="1">IFERROR(rrPROCV(B69,cubo!$A$6:$BE$37,48,0)-VLOOKUP(B69,#REF!,$AF$2,0),0)</f>
        <v>0</v>
      </c>
      <c r="AG69" s="9">
        <f>IFERROR(VLOOKUP(B69,cubo!$A$6:$BE$37,49,0)-VLOOKUP(B69,#REF!,$AG$2,0),0)</f>
        <v>0</v>
      </c>
      <c r="AH69" s="9">
        <f>IFERROR(VLOOKUP(B69,cubo!$A$6:$BE$37,50,0)-VLOOKUP(B69,#REF!,$AH$2,0),0)</f>
        <v>0</v>
      </c>
      <c r="AI69" s="9">
        <f>IFERROR(VLOOKUP(B69,cubo!$A$6:$BE$37,51,0)-VLOOKUP(B69,#REF!,$AI$2,0),0)</f>
        <v>0</v>
      </c>
      <c r="AJ69" s="9">
        <f>IFERROR(VLOOKUP(B69,cubo!$A$6:$BI$116,62,0)-VLOOKUP(B69,#REF!,$AJ$2,0),0)</f>
        <v>0</v>
      </c>
      <c r="AK69" s="9">
        <f>IFERROR(VLOOKUP(B69,cubo!$A$6:$BJ$37,63,0)-VLOOKUP(B69,#REF!,$AK$2,0),0)</f>
        <v>0</v>
      </c>
      <c r="AL69" s="9">
        <f>IFERROR(VLOOKUP(B69,cubo!$A$6:$BE$37,58,0)-VLOOKUP(B69,#REF!,$AL$2,0),0)</f>
        <v>0</v>
      </c>
      <c r="AM69" s="9">
        <f>IFERROR(VLOOKUP(B69,cubo!$A$6:$BK$37,64,0)-VLOOKUP(B69,#REF!,$AM$2,0),0)</f>
        <v>0</v>
      </c>
      <c r="AN69" s="9">
        <f>IFERROR(VLOOKUP(B69,cubo!$A$6:$AN$37,41,0)-VLOOKUP(B69,#REF!,$AN$2,0),0)</f>
        <v>0</v>
      </c>
    </row>
    <row r="70" spans="2:40" x14ac:dyDescent="0.25">
      <c r="B70" s="7">
        <f>[1]salario!A69</f>
        <v>0</v>
      </c>
      <c r="C70" s="8">
        <f>[1]salario!C69</f>
        <v>0</v>
      </c>
      <c r="D70" s="9">
        <f>IFERROR(VLOOKUP(B70,cubo!$A$6:$BE$37,3,0)-VLOOKUP(B70,#REF!,$D$2,0),0)</f>
        <v>0</v>
      </c>
      <c r="E70" s="10">
        <f>IFERROR(VLOOKUP(B70,cubo!$A$6:$BE$37,5,0)-VLOOKUP(B70,#REF!,$E$2,0),0)</f>
        <v>0</v>
      </c>
      <c r="F70" s="10">
        <f>IFERROR(VLOOKUP(B70,cubo!$A$6:$BE$37,8,0)-VLOOKUP(B70,#REF!,$F$2,0),0)</f>
        <v>0</v>
      </c>
      <c r="G70" s="9">
        <f>IFERROR(VLOOKUP(B70,cubo!$A$6:$BE$37,11,0)-VLOOKUP(B70,#REF!,$G$2,0),0)</f>
        <v>0</v>
      </c>
      <c r="H70" s="9">
        <f>IFERROR(VLOOKUP(B70,cubo!$A$6:$BE$37,53,0)-VLOOKUP(B70,#REF!,$H$2,0),0)</f>
        <v>0</v>
      </c>
      <c r="I70" s="10">
        <f>IFERROR(VLOOKUP(B70,cubo!$A$6:$BE$37,14,0)-VLOOKUP(B70,#REF!,$I$2,0),0)</f>
        <v>0</v>
      </c>
      <c r="J70" s="9">
        <f>IFERROR(VLOOKUP(B70,cubo!$A$6:$BE$37,16,0)-VLOOKUP(B70,#REF!,$J$2,0),0)</f>
        <v>0</v>
      </c>
      <c r="K70" s="9">
        <f>IFERROR(VLOOKUP(B70,cubo!$A$6:$BE$37,17,0)-VLOOKUP(B70,#REF!,$K$2,0),0)</f>
        <v>0</v>
      </c>
      <c r="L70" s="9">
        <f>IFERROR(VLOOKUP(B70,cubo!$A$6:$BE$37,19,0)-VLOOKUP(B70,#REF!,$L$2,0),0)</f>
        <v>0</v>
      </c>
      <c r="M70" s="9">
        <f>IFERROR(VLOOKUP(B70,cubo!$A$6:$BE$37,23,0)-VLOOKUP(B70,#REF!,$M$2,0),0)</f>
        <v>0</v>
      </c>
      <c r="N70" s="9">
        <f>IFERROR(VLOOKUP(B70,cubo!$A$6:$BE$37,25,0)-VLOOKUP(B70,#REF!,$N$2,0),0)</f>
        <v>0</v>
      </c>
      <c r="O70" s="9">
        <f>IFERROR(VLOOKUP(B70,cubo!$A$6:$BE$37,33,0)-VLOOKUP(B70,#REF!,$O$2,0),0)</f>
        <v>0</v>
      </c>
      <c r="P70" s="8">
        <f>IFERROR(VLOOKUP(B70,cubo!$A$6:$BE$37,37,0)-VLOOKUP(B70,#REF!,$P$2,0),0)</f>
        <v>0</v>
      </c>
      <c r="Q70" s="8">
        <f>IFERROR(VLOOKUP(B70,cubo!$A$6:$BE$37,56,0)-VLOOKUP(B70,#REF!,$Q$2,0),0)</f>
        <v>0</v>
      </c>
      <c r="R70" s="9">
        <f>IFERROR(VLOOKUP(B70,cubo!$A$6:$BE$37,40,0)-VLOOKUP(B70,#REF!,$R$2,0),0)</f>
        <v>0</v>
      </c>
      <c r="S70" s="9">
        <f>IFERROR(VLOOKUP(B70,cubo!$A$6:$BE$37,43,0)-VLOOKUP(B70,#REF!,$S$2,0),0)</f>
        <v>0</v>
      </c>
      <c r="T70" s="9">
        <f>IFERROR(VLOOKUP(B70,cubo!$A$6:$BE$37,46,0)-VLOOKUP(B70,#REF!,$T$2,0),0)</f>
        <v>0</v>
      </c>
      <c r="U70" s="9">
        <f>IFERROR(VLOOKUP(B70,cubo!$A$6:$BE$37,51,0)-VLOOKUP(B70,#REF!,$U$2,0),0)</f>
        <v>0</v>
      </c>
      <c r="V70" s="9">
        <f>IFERROR(VLOOKUP(B70,cubo!$A$6:$BJ$37,60,0)-VLOOKUP(B70,#REF!,$V$2,0),0)</f>
        <v>0</v>
      </c>
      <c r="W70" s="9">
        <f>IFERROR(VLOOKUP(B70,cubo!$A$6:$BE$37,26,0)-VLOOKUP(B70,#REF!,$W$2,0),0)</f>
        <v>0</v>
      </c>
      <c r="X70" s="9">
        <f>IFERROR(VLOOKUP(B70,cubo!$A$6:$BE$37,20,0)-VLOOKUP(B70,#REF!,$X$2,0),0)</f>
        <v>0</v>
      </c>
      <c r="Y70" s="9">
        <f>IFERROR(VLOOKUP(B70,cubo!$A$6:$BE$37,21,0)-VLOOKUP(B70,#REF!,$Y$2,0),0)</f>
        <v>0</v>
      </c>
      <c r="Z70" s="9">
        <f>IFERROR(VLOOKUP(B70,cubo!$A$6:$BE$37,27,0)-VLOOKUP(B70,#REF!,$Z$2,0),0)</f>
        <v>0</v>
      </c>
      <c r="AA70" s="9">
        <f>IFERROR(VLOOKUP(B70,cubo!$A$6:$BE$37,28,0)-VLOOKUP(B70,#REF!,$AA$2,0),0)</f>
        <v>0</v>
      </c>
      <c r="AB70" s="9">
        <f>IFERROR(VLOOKUP(B70,cubo!$A$6:$BE$37,29,0)-VLOOKUP(B70,#REF!,$AB$2,0),0)</f>
        <v>0</v>
      </c>
      <c r="AC70" s="9">
        <f>IFERROR(VLOOKUP(B70,cubo!$A$6:$BE$37,30,0)-VLOOKUP(B70,#REF!,$AC$2,0),0)</f>
        <v>0</v>
      </c>
      <c r="AD70" s="9">
        <f>IFERROR(VLOOKUP(B70,cubo!$A$6:$BE$37,31,0)-VLOOKUP(B70,#REF!,$AD$2,0),0)</f>
        <v>0</v>
      </c>
      <c r="AE70" s="9">
        <f>IFERROR(VLOOKUP(B70,cubo!$A$6:$BE$37,35,0)-VLOOKUP(B70,#REF!,$AE$2,0),0)</f>
        <v>0</v>
      </c>
      <c r="AF70" s="9" cm="1">
        <f t="array" aca="1" ref="AF70" ca="1">IFERROR(rrPROCV(B70,cubo!$A$6:$BE$37,48,0)-VLOOKUP(B70,#REF!,$AF$2,0),0)</f>
        <v>0</v>
      </c>
      <c r="AG70" s="9">
        <f>IFERROR(VLOOKUP(B70,cubo!$A$6:$BE$37,49,0)-VLOOKUP(B70,#REF!,$AG$2,0),0)</f>
        <v>0</v>
      </c>
      <c r="AH70" s="9">
        <f>IFERROR(VLOOKUP(B70,cubo!$A$6:$BE$37,50,0)-VLOOKUP(B70,#REF!,$AH$2,0),0)</f>
        <v>0</v>
      </c>
      <c r="AI70" s="9">
        <f>IFERROR(VLOOKUP(B70,cubo!$A$6:$BE$37,51,0)-VLOOKUP(B70,#REF!,$AI$2,0),0)</f>
        <v>0</v>
      </c>
      <c r="AJ70" s="9">
        <f>IFERROR(VLOOKUP(B70,cubo!$A$6:$BI$116,62,0)-VLOOKUP(B70,#REF!,$AJ$2,0),0)</f>
        <v>0</v>
      </c>
      <c r="AK70" s="9">
        <f>IFERROR(VLOOKUP(B70,cubo!$A$6:$BJ$37,63,0)-VLOOKUP(B70,#REF!,$AK$2,0),0)</f>
        <v>0</v>
      </c>
      <c r="AL70" s="9">
        <f>IFERROR(VLOOKUP(B70,cubo!$A$6:$BE$37,58,0)-VLOOKUP(B70,#REF!,$AL$2,0),0)</f>
        <v>0</v>
      </c>
      <c r="AM70" s="9">
        <f>IFERROR(VLOOKUP(B70,cubo!$A$6:$BK$37,64,0)-VLOOKUP(B70,#REF!,$AM$2,0),0)</f>
        <v>0</v>
      </c>
      <c r="AN70" s="9">
        <f>IFERROR(VLOOKUP(B70,cubo!$A$6:$AN$37,41,0)-VLOOKUP(B70,#REF!,$AN$2,0),0)</f>
        <v>0</v>
      </c>
    </row>
    <row r="71" spans="2:40" x14ac:dyDescent="0.25">
      <c r="B71" s="7">
        <f>[1]salario!A70</f>
        <v>0</v>
      </c>
      <c r="C71" s="8">
        <f>[1]salario!C70</f>
        <v>0</v>
      </c>
      <c r="D71" s="9">
        <f>IFERROR(VLOOKUP(B71,cubo!$A$6:$BE$37,3,0)-VLOOKUP(B71,#REF!,$D$2,0),0)</f>
        <v>0</v>
      </c>
      <c r="E71" s="10">
        <f>IFERROR(VLOOKUP(B71,cubo!$A$6:$BE$37,5,0)-VLOOKUP(B71,#REF!,$E$2,0),0)</f>
        <v>0</v>
      </c>
      <c r="F71" s="10">
        <f>IFERROR(VLOOKUP(B71,cubo!$A$6:$BE$37,8,0)-VLOOKUP(B71,#REF!,$F$2,0),0)</f>
        <v>0</v>
      </c>
      <c r="G71" s="9">
        <f>IFERROR(VLOOKUP(B71,cubo!$A$6:$BE$37,11,0)-VLOOKUP(B71,#REF!,$G$2,0),0)</f>
        <v>0</v>
      </c>
      <c r="H71" s="9">
        <f>IFERROR(VLOOKUP(B71,cubo!$A$6:$BE$37,53,0)-VLOOKUP(B71,#REF!,$H$2,0),0)</f>
        <v>0</v>
      </c>
      <c r="I71" s="10">
        <f>IFERROR(VLOOKUP(B71,cubo!$A$6:$BE$37,14,0)-VLOOKUP(B71,#REF!,$I$2,0),0)</f>
        <v>0</v>
      </c>
      <c r="J71" s="9">
        <f>IFERROR(VLOOKUP(B71,cubo!$A$6:$BE$37,16,0)-VLOOKUP(B71,#REF!,$J$2,0),0)</f>
        <v>0</v>
      </c>
      <c r="K71" s="9">
        <f>IFERROR(VLOOKUP(B71,cubo!$A$6:$BE$37,17,0)-VLOOKUP(B71,#REF!,$K$2,0),0)</f>
        <v>0</v>
      </c>
      <c r="L71" s="9">
        <f>IFERROR(VLOOKUP(B71,cubo!$A$6:$BE$37,19,0)-VLOOKUP(B71,#REF!,$L$2,0),0)</f>
        <v>0</v>
      </c>
      <c r="M71" s="9">
        <f>IFERROR(VLOOKUP(B71,cubo!$A$6:$BE$37,23,0)-VLOOKUP(B71,#REF!,$M$2,0),0)</f>
        <v>0</v>
      </c>
      <c r="N71" s="9">
        <f>IFERROR(VLOOKUP(B71,cubo!$A$6:$BE$37,25,0)-VLOOKUP(B71,#REF!,$N$2,0),0)</f>
        <v>0</v>
      </c>
      <c r="O71" s="9">
        <f>IFERROR(VLOOKUP(B71,cubo!$A$6:$BE$37,33,0)-VLOOKUP(B71,#REF!,$O$2,0),0)</f>
        <v>0</v>
      </c>
      <c r="P71" s="8">
        <f>IFERROR(VLOOKUP(B71,cubo!$A$6:$BE$37,37,0)-VLOOKUP(B71,#REF!,$P$2,0),0)</f>
        <v>0</v>
      </c>
      <c r="Q71" s="8">
        <f>IFERROR(VLOOKUP(B71,cubo!$A$6:$BE$37,56,0)-VLOOKUP(B71,#REF!,$Q$2,0),0)</f>
        <v>0</v>
      </c>
      <c r="R71" s="9">
        <f>IFERROR(VLOOKUP(B71,cubo!$A$6:$BE$37,40,0)-VLOOKUP(B71,#REF!,$R$2,0),0)</f>
        <v>0</v>
      </c>
      <c r="S71" s="9">
        <f>IFERROR(VLOOKUP(B71,cubo!$A$6:$BE$37,43,0)-VLOOKUP(B71,#REF!,$S$2,0),0)</f>
        <v>0</v>
      </c>
      <c r="T71" s="9">
        <f>IFERROR(VLOOKUP(B71,cubo!$A$6:$BE$37,46,0)-VLOOKUP(B71,#REF!,$T$2,0),0)</f>
        <v>0</v>
      </c>
      <c r="U71" s="9">
        <f>IFERROR(VLOOKUP(B71,cubo!$A$6:$BE$37,51,0)-VLOOKUP(B71,#REF!,$U$2,0),0)</f>
        <v>0</v>
      </c>
      <c r="V71" s="9">
        <f>IFERROR(VLOOKUP(B71,cubo!$A$6:$BJ$37,60,0)-VLOOKUP(B71,#REF!,$V$2,0),0)</f>
        <v>0</v>
      </c>
      <c r="W71" s="9">
        <f>IFERROR(VLOOKUP(B71,cubo!$A$6:$BE$37,26,0)-VLOOKUP(B71,#REF!,$W$2,0),0)</f>
        <v>0</v>
      </c>
      <c r="X71" s="9">
        <f>IFERROR(VLOOKUP(B71,cubo!$A$6:$BE$37,20,0)-VLOOKUP(B71,#REF!,$X$2,0),0)</f>
        <v>0</v>
      </c>
      <c r="Y71" s="9">
        <f>IFERROR(VLOOKUP(B71,cubo!$A$6:$BE$37,21,0)-VLOOKUP(B71,#REF!,$Y$2,0),0)</f>
        <v>0</v>
      </c>
      <c r="Z71" s="9">
        <f>IFERROR(VLOOKUP(B71,cubo!$A$6:$BE$37,27,0)-VLOOKUP(B71,#REF!,$Z$2,0),0)</f>
        <v>0</v>
      </c>
      <c r="AA71" s="9">
        <f>IFERROR(VLOOKUP(B71,cubo!$A$6:$BE$37,28,0)-VLOOKUP(B71,#REF!,$AA$2,0),0)</f>
        <v>0</v>
      </c>
      <c r="AB71" s="9">
        <f>IFERROR(VLOOKUP(B71,cubo!$A$6:$BE$37,29,0)-VLOOKUP(B71,#REF!,$AB$2,0),0)</f>
        <v>0</v>
      </c>
      <c r="AC71" s="9">
        <f>IFERROR(VLOOKUP(B71,cubo!$A$6:$BE$37,30,0)-VLOOKUP(B71,#REF!,$AC$2,0),0)</f>
        <v>0</v>
      </c>
      <c r="AD71" s="9">
        <f>IFERROR(VLOOKUP(B71,cubo!$A$6:$BE$37,31,0)-VLOOKUP(B71,#REF!,$AD$2,0),0)</f>
        <v>0</v>
      </c>
      <c r="AE71" s="9">
        <f>IFERROR(VLOOKUP(B71,cubo!$A$6:$BE$37,35,0)-VLOOKUP(B71,#REF!,$AE$2,0),0)</f>
        <v>0</v>
      </c>
      <c r="AF71" s="9" cm="1">
        <f t="array" aca="1" ref="AF71" ca="1">IFERROR(rrPROCV(B71,cubo!$A$6:$BE$37,48,0)-VLOOKUP(B71,#REF!,$AF$2,0),0)</f>
        <v>0</v>
      </c>
      <c r="AG71" s="9">
        <f>IFERROR(VLOOKUP(B71,cubo!$A$6:$BE$37,49,0)-VLOOKUP(B71,#REF!,$AG$2,0),0)</f>
        <v>0</v>
      </c>
      <c r="AH71" s="9">
        <f>IFERROR(VLOOKUP(B71,cubo!$A$6:$BE$37,50,0)-VLOOKUP(B71,#REF!,$AH$2,0),0)</f>
        <v>0</v>
      </c>
      <c r="AI71" s="9">
        <f>IFERROR(VLOOKUP(B71,cubo!$A$6:$BE$37,51,0)-VLOOKUP(B71,#REF!,$AI$2,0),0)</f>
        <v>0</v>
      </c>
      <c r="AJ71" s="9">
        <f>IFERROR(VLOOKUP(B71,cubo!$A$6:$BI$116,62,0)-VLOOKUP(B71,#REF!,$AJ$2,0),0)</f>
        <v>0</v>
      </c>
      <c r="AK71" s="9">
        <f>IFERROR(VLOOKUP(B71,cubo!$A$6:$BJ$37,63,0)-VLOOKUP(B71,#REF!,$AK$2,0),0)</f>
        <v>0</v>
      </c>
      <c r="AL71" s="9">
        <f>IFERROR(VLOOKUP(B71,cubo!$A$6:$BE$37,58,0)-VLOOKUP(B71,#REF!,$AL$2,0),0)</f>
        <v>0</v>
      </c>
      <c r="AM71" s="9">
        <f>IFERROR(VLOOKUP(B71,cubo!$A$6:$BK$37,64,0)-VLOOKUP(B71,#REF!,$AM$2,0),0)</f>
        <v>0</v>
      </c>
      <c r="AN71" s="9">
        <f>IFERROR(VLOOKUP(B71,cubo!$A$6:$AN$37,41,0)-VLOOKUP(B71,#REF!,$AN$2,0),0)</f>
        <v>0</v>
      </c>
    </row>
    <row r="72" spans="2:40" x14ac:dyDescent="0.25">
      <c r="B72" s="7">
        <f>[1]salario!A71</f>
        <v>0</v>
      </c>
      <c r="C72" s="8">
        <f>[1]salario!C71</f>
        <v>0</v>
      </c>
      <c r="D72" s="9">
        <f>IFERROR(VLOOKUP(B72,cubo!$A$6:$BE$37,3,0)-VLOOKUP(B72,#REF!,$D$2,0),0)</f>
        <v>0</v>
      </c>
      <c r="E72" s="10">
        <f>IFERROR(VLOOKUP(B72,cubo!$A$6:$BE$37,5,0)-VLOOKUP(B72,#REF!,$E$2,0),0)</f>
        <v>0</v>
      </c>
      <c r="F72" s="10">
        <f>IFERROR(VLOOKUP(B72,cubo!$A$6:$BE$37,8,0)-VLOOKUP(B72,#REF!,$F$2,0),0)</f>
        <v>0</v>
      </c>
      <c r="G72" s="9">
        <f>IFERROR(VLOOKUP(B72,cubo!$A$6:$BE$37,11,0)-VLOOKUP(B72,#REF!,$G$2,0),0)</f>
        <v>0</v>
      </c>
      <c r="H72" s="9">
        <f>IFERROR(VLOOKUP(B72,cubo!$A$6:$BE$37,53,0)-VLOOKUP(B72,#REF!,$H$2,0),0)</f>
        <v>0</v>
      </c>
      <c r="I72" s="10">
        <f>IFERROR(VLOOKUP(B72,cubo!$A$6:$BE$37,14,0)-VLOOKUP(B72,#REF!,$I$2,0),0)</f>
        <v>0</v>
      </c>
      <c r="J72" s="9">
        <f>IFERROR(VLOOKUP(B72,cubo!$A$6:$BE$37,16,0)-VLOOKUP(B72,#REF!,$J$2,0),0)</f>
        <v>0</v>
      </c>
      <c r="K72" s="9">
        <f>IFERROR(VLOOKUP(B72,cubo!$A$6:$BE$37,17,0)-VLOOKUP(B72,#REF!,$K$2,0),0)</f>
        <v>0</v>
      </c>
      <c r="L72" s="9">
        <f>IFERROR(VLOOKUP(B72,cubo!$A$6:$BE$37,19,0)-VLOOKUP(B72,#REF!,$L$2,0),0)</f>
        <v>0</v>
      </c>
      <c r="M72" s="9">
        <f>IFERROR(VLOOKUP(B72,cubo!$A$6:$BE$37,23,0)-VLOOKUP(B72,#REF!,$M$2,0),0)</f>
        <v>0</v>
      </c>
      <c r="N72" s="9">
        <f>IFERROR(VLOOKUP(B72,cubo!$A$6:$BE$37,25,0)-VLOOKUP(B72,#REF!,$N$2,0),0)</f>
        <v>0</v>
      </c>
      <c r="O72" s="9">
        <f>IFERROR(VLOOKUP(B72,cubo!$A$6:$BE$37,33,0)-VLOOKUP(B72,#REF!,$O$2,0),0)</f>
        <v>0</v>
      </c>
      <c r="P72" s="8">
        <f>IFERROR(VLOOKUP(B72,cubo!$A$6:$BE$37,37,0)-VLOOKUP(B72,#REF!,$P$2,0),0)</f>
        <v>0</v>
      </c>
      <c r="Q72" s="8">
        <f>IFERROR(VLOOKUP(B72,cubo!$A$6:$BE$37,56,0)-VLOOKUP(B72,#REF!,$Q$2,0),0)</f>
        <v>0</v>
      </c>
      <c r="R72" s="9">
        <f>IFERROR(VLOOKUP(B72,cubo!$A$6:$BE$37,40,0)-VLOOKUP(B72,#REF!,$R$2,0),0)</f>
        <v>0</v>
      </c>
      <c r="S72" s="9">
        <f>IFERROR(VLOOKUP(B72,cubo!$A$6:$BE$37,43,0)-VLOOKUP(B72,#REF!,$S$2,0),0)</f>
        <v>0</v>
      </c>
      <c r="T72" s="9">
        <f>IFERROR(VLOOKUP(B72,cubo!$A$6:$BE$37,46,0)-VLOOKUP(B72,#REF!,$T$2,0),0)</f>
        <v>0</v>
      </c>
      <c r="U72" s="9">
        <f>IFERROR(VLOOKUP(B72,cubo!$A$6:$BE$37,51,0)-VLOOKUP(B72,#REF!,$U$2,0),0)</f>
        <v>0</v>
      </c>
      <c r="V72" s="9">
        <f>IFERROR(VLOOKUP(B72,cubo!$A$6:$BJ$37,60,0)-VLOOKUP(B72,#REF!,$V$2,0),0)</f>
        <v>0</v>
      </c>
      <c r="W72" s="9">
        <f>IFERROR(VLOOKUP(B72,cubo!$A$6:$BE$37,26,0)-VLOOKUP(B72,#REF!,$W$2,0),0)</f>
        <v>0</v>
      </c>
      <c r="X72" s="9">
        <f>IFERROR(VLOOKUP(B72,cubo!$A$6:$BE$37,20,0)-VLOOKUP(B72,#REF!,$X$2,0),0)</f>
        <v>0</v>
      </c>
      <c r="Y72" s="9">
        <f>IFERROR(VLOOKUP(B72,cubo!$A$6:$BE$37,21,0)-VLOOKUP(B72,#REF!,$Y$2,0),0)</f>
        <v>0</v>
      </c>
      <c r="Z72" s="9">
        <f>IFERROR(VLOOKUP(B72,cubo!$A$6:$BE$37,27,0)-VLOOKUP(B72,#REF!,$Z$2,0),0)</f>
        <v>0</v>
      </c>
      <c r="AA72" s="9">
        <f>IFERROR(VLOOKUP(B72,cubo!$A$6:$BE$37,28,0)-VLOOKUP(B72,#REF!,$AA$2,0),0)</f>
        <v>0</v>
      </c>
      <c r="AB72" s="9">
        <f>IFERROR(VLOOKUP(B72,cubo!$A$6:$BE$37,29,0)-VLOOKUP(B72,#REF!,$AB$2,0),0)</f>
        <v>0</v>
      </c>
      <c r="AC72" s="9">
        <f>IFERROR(VLOOKUP(B72,cubo!$A$6:$BE$37,30,0)-VLOOKUP(B72,#REF!,$AC$2,0),0)</f>
        <v>0</v>
      </c>
      <c r="AD72" s="9">
        <f>IFERROR(VLOOKUP(B72,cubo!$A$6:$BE$37,31,0)-VLOOKUP(B72,#REF!,$AD$2,0),0)</f>
        <v>0</v>
      </c>
      <c r="AE72" s="9">
        <f>IFERROR(VLOOKUP(B72,cubo!$A$6:$BE$37,35,0)-VLOOKUP(B72,#REF!,$AE$2,0),0)</f>
        <v>0</v>
      </c>
      <c r="AF72" s="9" cm="1">
        <f t="array" aca="1" ref="AF72" ca="1">IFERROR(rrPROCV(B72,cubo!$A$6:$BE$37,48,0)-VLOOKUP(B72,#REF!,$AF$2,0),0)</f>
        <v>0</v>
      </c>
      <c r="AG72" s="9">
        <f>IFERROR(VLOOKUP(B72,cubo!$A$6:$BE$37,49,0)-VLOOKUP(B72,#REF!,$AG$2,0),0)</f>
        <v>0</v>
      </c>
      <c r="AH72" s="9">
        <f>IFERROR(VLOOKUP(B72,cubo!$A$6:$BE$37,50,0)-VLOOKUP(B72,#REF!,$AH$2,0),0)</f>
        <v>0</v>
      </c>
      <c r="AI72" s="9">
        <f>IFERROR(VLOOKUP(B72,cubo!$A$6:$BE$37,51,0)-VLOOKUP(B72,#REF!,$AI$2,0),0)</f>
        <v>0</v>
      </c>
      <c r="AJ72" s="9">
        <f>IFERROR(VLOOKUP(B72,cubo!$A$6:$BI$116,62,0)-VLOOKUP(B72,#REF!,$AJ$2,0),0)</f>
        <v>0</v>
      </c>
      <c r="AK72" s="9">
        <f>IFERROR(VLOOKUP(B72,cubo!$A$6:$BJ$37,63,0)-VLOOKUP(B72,#REF!,$AK$2,0),0)</f>
        <v>0</v>
      </c>
      <c r="AL72" s="9">
        <f>IFERROR(VLOOKUP(B72,cubo!$A$6:$BE$37,58,0)-VLOOKUP(B72,#REF!,$AL$2,0),0)</f>
        <v>0</v>
      </c>
      <c r="AM72" s="9">
        <f>IFERROR(VLOOKUP(B72,cubo!$A$6:$BK$37,64,0)-VLOOKUP(B72,#REF!,$AM$2,0),0)</f>
        <v>0</v>
      </c>
      <c r="AN72" s="9">
        <f>IFERROR(VLOOKUP(B72,cubo!$A$6:$AN$37,41,0)-VLOOKUP(B72,#REF!,$AN$2,0),0)</f>
        <v>0</v>
      </c>
    </row>
    <row r="73" spans="2:40" x14ac:dyDescent="0.25">
      <c r="B73" s="7">
        <f>[1]salario!A72</f>
        <v>0</v>
      </c>
      <c r="C73" s="8">
        <f>[1]salario!C72</f>
        <v>0</v>
      </c>
      <c r="D73" s="9">
        <f>IFERROR(VLOOKUP(B73,cubo!$A$6:$BE$37,3,0)-VLOOKUP(B73,#REF!,$D$2,0),0)</f>
        <v>0</v>
      </c>
      <c r="E73" s="10">
        <f>IFERROR(VLOOKUP(B73,cubo!$A$6:$BE$37,5,0)-VLOOKUP(B73,#REF!,$E$2,0),0)</f>
        <v>0</v>
      </c>
      <c r="F73" s="10">
        <f>IFERROR(VLOOKUP(B73,cubo!$A$6:$BE$37,8,0)-VLOOKUP(B73,#REF!,$F$2,0),0)</f>
        <v>0</v>
      </c>
      <c r="G73" s="9">
        <f>IFERROR(VLOOKUP(B73,cubo!$A$6:$BE$37,11,0)-VLOOKUP(B73,#REF!,$G$2,0),0)</f>
        <v>0</v>
      </c>
      <c r="H73" s="9">
        <f>IFERROR(VLOOKUP(B73,cubo!$A$6:$BE$37,53,0)-VLOOKUP(B73,#REF!,$H$2,0),0)</f>
        <v>0</v>
      </c>
      <c r="I73" s="10">
        <f>IFERROR(VLOOKUP(B73,cubo!$A$6:$BE$37,14,0)-VLOOKUP(B73,#REF!,$I$2,0),0)</f>
        <v>0</v>
      </c>
      <c r="J73" s="9">
        <f>IFERROR(VLOOKUP(B73,cubo!$A$6:$BE$37,16,0)-VLOOKUP(B73,#REF!,$J$2,0),0)</f>
        <v>0</v>
      </c>
      <c r="K73" s="9">
        <f>IFERROR(VLOOKUP(B73,cubo!$A$6:$BE$37,17,0)-VLOOKUP(B73,#REF!,$K$2,0),0)</f>
        <v>0</v>
      </c>
      <c r="L73" s="9">
        <f>IFERROR(VLOOKUP(B73,cubo!$A$6:$BE$37,19,0)-VLOOKUP(B73,#REF!,$L$2,0),0)</f>
        <v>0</v>
      </c>
      <c r="M73" s="9">
        <f>IFERROR(VLOOKUP(B73,cubo!$A$6:$BE$37,23,0)-VLOOKUP(B73,#REF!,$M$2,0),0)</f>
        <v>0</v>
      </c>
      <c r="N73" s="9">
        <f>IFERROR(VLOOKUP(B73,cubo!$A$6:$BE$37,25,0)-VLOOKUP(B73,#REF!,$N$2,0),0)</f>
        <v>0</v>
      </c>
      <c r="O73" s="9">
        <f>IFERROR(VLOOKUP(B73,cubo!$A$6:$BE$37,33,0)-VLOOKUP(B73,#REF!,$O$2,0),0)</f>
        <v>0</v>
      </c>
      <c r="P73" s="8">
        <f>IFERROR(VLOOKUP(B73,cubo!$A$6:$BE$37,37,0)-VLOOKUP(B73,#REF!,$P$2,0),0)</f>
        <v>0</v>
      </c>
      <c r="Q73" s="8">
        <f>IFERROR(VLOOKUP(B73,cubo!$A$6:$BE$37,56,0)-VLOOKUP(B73,#REF!,$Q$2,0),0)</f>
        <v>0</v>
      </c>
      <c r="R73" s="9">
        <f>IFERROR(VLOOKUP(B73,cubo!$A$6:$BE$37,40,0)-VLOOKUP(B73,#REF!,$R$2,0),0)</f>
        <v>0</v>
      </c>
      <c r="S73" s="9">
        <f>IFERROR(VLOOKUP(B73,cubo!$A$6:$BE$37,43,0)-VLOOKUP(B73,#REF!,$S$2,0),0)</f>
        <v>0</v>
      </c>
      <c r="T73" s="9">
        <f>IFERROR(VLOOKUP(B73,cubo!$A$6:$BE$37,46,0)-VLOOKUP(B73,#REF!,$T$2,0),0)</f>
        <v>0</v>
      </c>
      <c r="U73" s="9">
        <f>IFERROR(VLOOKUP(B73,cubo!$A$6:$BE$37,51,0)-VLOOKUP(B73,#REF!,$U$2,0),0)</f>
        <v>0</v>
      </c>
      <c r="V73" s="9">
        <f>IFERROR(VLOOKUP(B73,cubo!$A$6:$BJ$37,60,0)-VLOOKUP(B73,#REF!,$V$2,0),0)</f>
        <v>0</v>
      </c>
      <c r="W73" s="9">
        <f>IFERROR(VLOOKUP(B73,cubo!$A$6:$BE$37,26,0)-VLOOKUP(B73,#REF!,$W$2,0),0)</f>
        <v>0</v>
      </c>
      <c r="X73" s="9">
        <f>IFERROR(VLOOKUP(B73,cubo!$A$6:$BE$37,20,0)-VLOOKUP(B73,#REF!,$X$2,0),0)</f>
        <v>0</v>
      </c>
      <c r="Y73" s="9">
        <f>IFERROR(VLOOKUP(B73,cubo!$A$6:$BE$37,21,0)-VLOOKUP(B73,#REF!,$Y$2,0),0)</f>
        <v>0</v>
      </c>
      <c r="Z73" s="9">
        <f>IFERROR(VLOOKUP(B73,cubo!$A$6:$BE$37,27,0)-VLOOKUP(B73,#REF!,$Z$2,0),0)</f>
        <v>0</v>
      </c>
      <c r="AA73" s="9">
        <f>IFERROR(VLOOKUP(B73,cubo!$A$6:$BE$37,28,0)-VLOOKUP(B73,#REF!,$AA$2,0),0)</f>
        <v>0</v>
      </c>
      <c r="AB73" s="9">
        <f>IFERROR(VLOOKUP(B73,cubo!$A$6:$BE$37,29,0)-VLOOKUP(B73,#REF!,$AB$2,0),0)</f>
        <v>0</v>
      </c>
      <c r="AC73" s="9">
        <f>IFERROR(VLOOKUP(B73,cubo!$A$6:$BE$37,30,0)-VLOOKUP(B73,#REF!,$AC$2,0),0)</f>
        <v>0</v>
      </c>
      <c r="AD73" s="9">
        <f>IFERROR(VLOOKUP(B73,cubo!$A$6:$BE$37,31,0)-VLOOKUP(B73,#REF!,$AD$2,0),0)</f>
        <v>0</v>
      </c>
      <c r="AE73" s="9">
        <f>IFERROR(VLOOKUP(B73,cubo!$A$6:$BE$37,35,0)-VLOOKUP(B73,#REF!,$AE$2,0),0)</f>
        <v>0</v>
      </c>
      <c r="AF73" s="9" cm="1">
        <f t="array" aca="1" ref="AF73" ca="1">IFERROR(rrPROCV(B73,cubo!$A$6:$BE$37,48,0)-VLOOKUP(B73,#REF!,$AF$2,0),0)</f>
        <v>0</v>
      </c>
      <c r="AG73" s="9">
        <f>IFERROR(VLOOKUP(B73,cubo!$A$6:$BE$37,49,0)-VLOOKUP(B73,#REF!,$AG$2,0),0)</f>
        <v>0</v>
      </c>
      <c r="AH73" s="9">
        <f>IFERROR(VLOOKUP(B73,cubo!$A$6:$BE$37,50,0)-VLOOKUP(B73,#REF!,$AH$2,0),0)</f>
        <v>0</v>
      </c>
      <c r="AI73" s="9">
        <f>IFERROR(VLOOKUP(B73,cubo!$A$6:$BE$37,51,0)-VLOOKUP(B73,#REF!,$AI$2,0),0)</f>
        <v>0</v>
      </c>
      <c r="AJ73" s="9">
        <f>IFERROR(VLOOKUP(B73,cubo!$A$6:$BI$116,62,0)-VLOOKUP(B73,#REF!,$AJ$2,0),0)</f>
        <v>0</v>
      </c>
      <c r="AK73" s="9">
        <f>IFERROR(VLOOKUP(B73,cubo!$A$6:$BJ$37,63,0)-VLOOKUP(B73,#REF!,$AK$2,0),0)</f>
        <v>0</v>
      </c>
      <c r="AL73" s="9">
        <f>IFERROR(VLOOKUP(B73,cubo!$A$6:$BE$37,58,0)-VLOOKUP(B73,#REF!,$AL$2,0),0)</f>
        <v>0</v>
      </c>
      <c r="AM73" s="9">
        <f>IFERROR(VLOOKUP(B73,cubo!$A$6:$BK$37,64,0)-VLOOKUP(B73,#REF!,$AM$2,0),0)</f>
        <v>0</v>
      </c>
      <c r="AN73" s="9">
        <f>IFERROR(VLOOKUP(B73,cubo!$A$6:$AN$37,41,0)-VLOOKUP(B73,#REF!,$AN$2,0),0)</f>
        <v>0</v>
      </c>
    </row>
    <row r="74" spans="2:40" x14ac:dyDescent="0.25">
      <c r="B74" s="7">
        <f>[1]salario!A73</f>
        <v>0</v>
      </c>
      <c r="C74" s="8">
        <f>[1]salario!C73</f>
        <v>0</v>
      </c>
      <c r="D74" s="9">
        <f>IFERROR(VLOOKUP(B74,cubo!$A$6:$BE$37,3,0)-VLOOKUP(B74,#REF!,$D$2,0),0)</f>
        <v>0</v>
      </c>
      <c r="E74" s="10">
        <f>IFERROR(VLOOKUP(B74,cubo!$A$6:$BE$37,5,0)-VLOOKUP(B74,#REF!,$E$2,0),0)</f>
        <v>0</v>
      </c>
      <c r="F74" s="10">
        <f>IFERROR(VLOOKUP(B74,cubo!$A$6:$BE$37,8,0)-VLOOKUP(B74,#REF!,$F$2,0),0)</f>
        <v>0</v>
      </c>
      <c r="G74" s="9">
        <f>IFERROR(VLOOKUP(B74,cubo!$A$6:$BE$37,11,0)-VLOOKUP(B74,#REF!,$G$2,0),0)</f>
        <v>0</v>
      </c>
      <c r="H74" s="9">
        <f>IFERROR(VLOOKUP(B74,cubo!$A$6:$BE$37,53,0)-VLOOKUP(B74,#REF!,$H$2,0),0)</f>
        <v>0</v>
      </c>
      <c r="I74" s="10">
        <f>IFERROR(VLOOKUP(B74,cubo!$A$6:$BE$37,14,0)-VLOOKUP(B74,#REF!,$I$2,0),0)</f>
        <v>0</v>
      </c>
      <c r="J74" s="9">
        <f>IFERROR(VLOOKUP(B74,cubo!$A$6:$BE$37,16,0)-VLOOKUP(B74,#REF!,$J$2,0),0)</f>
        <v>0</v>
      </c>
      <c r="K74" s="9">
        <f>IFERROR(VLOOKUP(B74,cubo!$A$6:$BE$37,17,0)-VLOOKUP(B74,#REF!,$K$2,0),0)</f>
        <v>0</v>
      </c>
      <c r="L74" s="9">
        <f>IFERROR(VLOOKUP(B74,cubo!$A$6:$BE$37,19,0)-VLOOKUP(B74,#REF!,$L$2,0),0)</f>
        <v>0</v>
      </c>
      <c r="M74" s="9">
        <f>IFERROR(VLOOKUP(B74,cubo!$A$6:$BE$37,23,0)-VLOOKUP(B74,#REF!,$M$2,0),0)</f>
        <v>0</v>
      </c>
      <c r="N74" s="9">
        <f>IFERROR(VLOOKUP(B74,cubo!$A$6:$BE$37,25,0)-VLOOKUP(B74,#REF!,$N$2,0),0)</f>
        <v>0</v>
      </c>
      <c r="O74" s="9">
        <f>IFERROR(VLOOKUP(B74,cubo!$A$6:$BE$37,33,0)-VLOOKUP(B74,#REF!,$O$2,0),0)</f>
        <v>0</v>
      </c>
      <c r="P74" s="8">
        <f>IFERROR(VLOOKUP(B74,cubo!$A$6:$BE$37,37,0)-VLOOKUP(B74,#REF!,$P$2,0),0)</f>
        <v>0</v>
      </c>
      <c r="Q74" s="8">
        <f>IFERROR(VLOOKUP(B74,cubo!$A$6:$BE$37,56,0)-VLOOKUP(B74,#REF!,$Q$2,0),0)</f>
        <v>0</v>
      </c>
      <c r="R74" s="9">
        <f>IFERROR(VLOOKUP(B74,cubo!$A$6:$BE$37,40,0)-VLOOKUP(B74,#REF!,$R$2,0),0)</f>
        <v>0</v>
      </c>
      <c r="S74" s="9">
        <f>IFERROR(VLOOKUP(B74,cubo!$A$6:$BE$37,43,0)-VLOOKUP(B74,#REF!,$S$2,0),0)</f>
        <v>0</v>
      </c>
      <c r="T74" s="9">
        <f>IFERROR(VLOOKUP(B74,cubo!$A$6:$BE$37,46,0)-VLOOKUP(B74,#REF!,$T$2,0),0)</f>
        <v>0</v>
      </c>
      <c r="U74" s="9">
        <f>IFERROR(VLOOKUP(B74,cubo!$A$6:$BE$37,51,0)-VLOOKUP(B74,#REF!,$U$2,0),0)</f>
        <v>0</v>
      </c>
      <c r="V74" s="9">
        <f>IFERROR(VLOOKUP(B74,cubo!$A$6:$BJ$37,60,0)-VLOOKUP(B74,#REF!,$V$2,0),0)</f>
        <v>0</v>
      </c>
      <c r="W74" s="9">
        <f>IFERROR(VLOOKUP(B74,cubo!$A$6:$BE$37,26,0)-VLOOKUP(B74,#REF!,$W$2,0),0)</f>
        <v>0</v>
      </c>
      <c r="X74" s="9">
        <f>IFERROR(VLOOKUP(B74,cubo!$A$6:$BE$37,20,0)-VLOOKUP(B74,#REF!,$X$2,0),0)</f>
        <v>0</v>
      </c>
      <c r="Y74" s="9">
        <f>IFERROR(VLOOKUP(B74,cubo!$A$6:$BE$37,21,0)-VLOOKUP(B74,#REF!,$Y$2,0),0)</f>
        <v>0</v>
      </c>
      <c r="Z74" s="9">
        <f>IFERROR(VLOOKUP(B74,cubo!$A$6:$BE$37,27,0)-VLOOKUP(B74,#REF!,$Z$2,0),0)</f>
        <v>0</v>
      </c>
      <c r="AA74" s="9">
        <f>IFERROR(VLOOKUP(B74,cubo!$A$6:$BE$37,28,0)-VLOOKUP(B74,#REF!,$AA$2,0),0)</f>
        <v>0</v>
      </c>
      <c r="AB74" s="9">
        <f>IFERROR(VLOOKUP(B74,cubo!$A$6:$BE$37,29,0)-VLOOKUP(B74,#REF!,$AB$2,0),0)</f>
        <v>0</v>
      </c>
      <c r="AC74" s="9">
        <f>IFERROR(VLOOKUP(B74,cubo!$A$6:$BE$37,30,0)-VLOOKUP(B74,#REF!,$AC$2,0),0)</f>
        <v>0</v>
      </c>
      <c r="AD74" s="9">
        <f>IFERROR(VLOOKUP(B74,cubo!$A$6:$BE$37,31,0)-VLOOKUP(B74,#REF!,$AD$2,0),0)</f>
        <v>0</v>
      </c>
      <c r="AE74" s="9">
        <f>IFERROR(VLOOKUP(B74,cubo!$A$6:$BE$37,35,0)-VLOOKUP(B74,#REF!,$AE$2,0),0)</f>
        <v>0</v>
      </c>
      <c r="AF74" s="9" cm="1">
        <f t="array" aca="1" ref="AF74" ca="1">IFERROR(rrPROCV(B74,cubo!$A$6:$BE$37,48,0)-VLOOKUP(B74,#REF!,$AF$2,0),0)</f>
        <v>0</v>
      </c>
      <c r="AG74" s="9">
        <f>IFERROR(VLOOKUP(B74,cubo!$A$6:$BE$37,49,0)-VLOOKUP(B74,#REF!,$AG$2,0),0)</f>
        <v>0</v>
      </c>
      <c r="AH74" s="9">
        <f>IFERROR(VLOOKUP(B74,cubo!$A$6:$BE$37,50,0)-VLOOKUP(B74,#REF!,$AH$2,0),0)</f>
        <v>0</v>
      </c>
      <c r="AI74" s="9">
        <f>IFERROR(VLOOKUP(B74,cubo!$A$6:$BE$37,51,0)-VLOOKUP(B74,#REF!,$AI$2,0),0)</f>
        <v>0</v>
      </c>
      <c r="AJ74" s="9">
        <f>IFERROR(VLOOKUP(B74,cubo!$A$6:$BI$116,62,0)-VLOOKUP(B74,#REF!,$AJ$2,0),0)</f>
        <v>0</v>
      </c>
      <c r="AK74" s="9">
        <f>IFERROR(VLOOKUP(B74,cubo!$A$6:$BJ$37,63,0)-VLOOKUP(B74,#REF!,$AK$2,0),0)</f>
        <v>0</v>
      </c>
      <c r="AL74" s="9">
        <f>IFERROR(VLOOKUP(B74,cubo!$A$6:$BE$37,58,0)-VLOOKUP(B74,#REF!,$AL$2,0),0)</f>
        <v>0</v>
      </c>
      <c r="AM74" s="9">
        <f>IFERROR(VLOOKUP(B74,cubo!$A$6:$BK$37,64,0)-VLOOKUP(B74,#REF!,$AM$2,0),0)</f>
        <v>0</v>
      </c>
      <c r="AN74" s="9">
        <f>IFERROR(VLOOKUP(B74,cubo!$A$6:$AN$37,41,0)-VLOOKUP(B74,#REF!,$AN$2,0),0)</f>
        <v>0</v>
      </c>
    </row>
    <row r="75" spans="2:40" x14ac:dyDescent="0.25">
      <c r="B75" s="7">
        <f>[1]salario!A74</f>
        <v>0</v>
      </c>
      <c r="C75" s="8">
        <f>[1]salario!C74</f>
        <v>0</v>
      </c>
      <c r="D75" s="9">
        <f>IFERROR(VLOOKUP(B75,cubo!$A$6:$BE$37,3,0)-VLOOKUP(B75,#REF!,$D$2,0),0)</f>
        <v>0</v>
      </c>
      <c r="E75" s="10">
        <f>IFERROR(VLOOKUP(B75,cubo!$A$6:$BE$37,5,0)-VLOOKUP(B75,#REF!,$E$2,0),0)</f>
        <v>0</v>
      </c>
      <c r="F75" s="10">
        <f>IFERROR(VLOOKUP(B75,cubo!$A$6:$BE$37,8,0)-VLOOKUP(B75,#REF!,$F$2,0),0)</f>
        <v>0</v>
      </c>
      <c r="G75" s="9">
        <f>IFERROR(VLOOKUP(B75,cubo!$A$6:$BE$37,11,0)-VLOOKUP(B75,#REF!,$G$2,0),0)</f>
        <v>0</v>
      </c>
      <c r="H75" s="9">
        <f>IFERROR(VLOOKUP(B75,cubo!$A$6:$BE$37,53,0)-VLOOKUP(B75,#REF!,$H$2,0),0)</f>
        <v>0</v>
      </c>
      <c r="I75" s="10">
        <f>IFERROR(VLOOKUP(B75,cubo!$A$6:$BE$37,14,0)-VLOOKUP(B75,#REF!,$I$2,0),0)</f>
        <v>0</v>
      </c>
      <c r="J75" s="9">
        <f>IFERROR(VLOOKUP(B75,cubo!$A$6:$BE$37,16,0)-VLOOKUP(B75,#REF!,$J$2,0),0)</f>
        <v>0</v>
      </c>
      <c r="K75" s="9">
        <f>IFERROR(VLOOKUP(B75,cubo!$A$6:$BE$37,17,0)-VLOOKUP(B75,#REF!,$K$2,0),0)</f>
        <v>0</v>
      </c>
      <c r="L75" s="9">
        <f>IFERROR(VLOOKUP(B75,cubo!$A$6:$BE$37,19,0)-VLOOKUP(B75,#REF!,$L$2,0),0)</f>
        <v>0</v>
      </c>
      <c r="M75" s="9">
        <f>IFERROR(VLOOKUP(B75,cubo!$A$6:$BE$37,23,0)-VLOOKUP(B75,#REF!,$M$2,0),0)</f>
        <v>0</v>
      </c>
      <c r="N75" s="9">
        <f>IFERROR(VLOOKUP(B75,cubo!$A$6:$BE$37,25,0)-VLOOKUP(B75,#REF!,$N$2,0),0)</f>
        <v>0</v>
      </c>
      <c r="O75" s="9">
        <f>IFERROR(VLOOKUP(B75,cubo!$A$6:$BE$37,33,0)-VLOOKUP(B75,#REF!,$O$2,0),0)</f>
        <v>0</v>
      </c>
      <c r="P75" s="8">
        <f>IFERROR(VLOOKUP(B75,cubo!$A$6:$BE$37,37,0)-VLOOKUP(B75,#REF!,$P$2,0),0)</f>
        <v>0</v>
      </c>
      <c r="Q75" s="8">
        <f>IFERROR(VLOOKUP(B75,cubo!$A$6:$BE$37,56,0)-VLOOKUP(B75,#REF!,$Q$2,0),0)</f>
        <v>0</v>
      </c>
      <c r="R75" s="9">
        <f>IFERROR(VLOOKUP(B75,cubo!$A$6:$BE$37,40,0)-VLOOKUP(B75,#REF!,$R$2,0),0)</f>
        <v>0</v>
      </c>
      <c r="S75" s="9">
        <f>IFERROR(VLOOKUP(B75,cubo!$A$6:$BE$37,43,0)-VLOOKUP(B75,#REF!,$S$2,0),0)</f>
        <v>0</v>
      </c>
      <c r="T75" s="9">
        <f>IFERROR(VLOOKUP(B75,cubo!$A$6:$BE$37,46,0)-VLOOKUP(B75,#REF!,$T$2,0),0)</f>
        <v>0</v>
      </c>
      <c r="U75" s="9">
        <f>IFERROR(VLOOKUP(B75,cubo!$A$6:$BE$37,51,0)-VLOOKUP(B75,#REF!,$U$2,0),0)</f>
        <v>0</v>
      </c>
      <c r="V75" s="9">
        <f>IFERROR(VLOOKUP(B75,cubo!$A$6:$BJ$37,60,0)-VLOOKUP(B75,#REF!,$V$2,0),0)</f>
        <v>0</v>
      </c>
      <c r="W75" s="9">
        <f>IFERROR(VLOOKUP(B75,cubo!$A$6:$BE$37,26,0)-VLOOKUP(B75,#REF!,$W$2,0),0)</f>
        <v>0</v>
      </c>
      <c r="X75" s="9">
        <f>IFERROR(VLOOKUP(B75,cubo!$A$6:$BE$37,20,0)-VLOOKUP(B75,#REF!,$X$2,0),0)</f>
        <v>0</v>
      </c>
      <c r="Y75" s="9">
        <f>IFERROR(VLOOKUP(B75,cubo!$A$6:$BE$37,21,0)-VLOOKUP(B75,#REF!,$Y$2,0),0)</f>
        <v>0</v>
      </c>
      <c r="Z75" s="9">
        <f>IFERROR(VLOOKUP(B75,cubo!$A$6:$BE$37,27,0)-VLOOKUP(B75,#REF!,$Z$2,0),0)</f>
        <v>0</v>
      </c>
      <c r="AA75" s="9">
        <f>IFERROR(VLOOKUP(B75,cubo!$A$6:$BE$37,28,0)-VLOOKUP(B75,#REF!,$AA$2,0),0)</f>
        <v>0</v>
      </c>
      <c r="AB75" s="9">
        <f>IFERROR(VLOOKUP(B75,cubo!$A$6:$BE$37,29,0)-VLOOKUP(B75,#REF!,$AB$2,0),0)</f>
        <v>0</v>
      </c>
      <c r="AC75" s="9">
        <f>IFERROR(VLOOKUP(B75,cubo!$A$6:$BE$37,30,0)-VLOOKUP(B75,#REF!,$AC$2,0),0)</f>
        <v>0</v>
      </c>
      <c r="AD75" s="9">
        <f>IFERROR(VLOOKUP(B75,cubo!$A$6:$BE$37,31,0)-VLOOKUP(B75,#REF!,$AD$2,0),0)</f>
        <v>0</v>
      </c>
      <c r="AE75" s="9">
        <f>IFERROR(VLOOKUP(B75,cubo!$A$6:$BE$37,35,0)-VLOOKUP(B75,#REF!,$AE$2,0),0)</f>
        <v>0</v>
      </c>
      <c r="AF75" s="9" cm="1">
        <f t="array" aca="1" ref="AF75" ca="1">IFERROR(rrPROCV(B75,cubo!$A$6:$BE$37,48,0)-VLOOKUP(B75,#REF!,$AF$2,0),0)</f>
        <v>0</v>
      </c>
      <c r="AG75" s="9">
        <f>IFERROR(VLOOKUP(B75,cubo!$A$6:$BE$37,49,0)-VLOOKUP(B75,#REF!,$AG$2,0),0)</f>
        <v>0</v>
      </c>
      <c r="AH75" s="9">
        <f>IFERROR(VLOOKUP(B75,cubo!$A$6:$BE$37,50,0)-VLOOKUP(B75,#REF!,$AH$2,0),0)</f>
        <v>0</v>
      </c>
      <c r="AI75" s="9">
        <f>IFERROR(VLOOKUP(B75,cubo!$A$6:$BE$37,51,0)-VLOOKUP(B75,#REF!,$AI$2,0),0)</f>
        <v>0</v>
      </c>
      <c r="AJ75" s="9">
        <f>IFERROR(VLOOKUP(B75,cubo!$A$6:$BI$116,62,0)-VLOOKUP(B75,#REF!,$AJ$2,0),0)</f>
        <v>0</v>
      </c>
      <c r="AK75" s="9">
        <f>IFERROR(VLOOKUP(B75,cubo!$A$6:$BJ$37,63,0)-VLOOKUP(B75,#REF!,$AK$2,0),0)</f>
        <v>0</v>
      </c>
      <c r="AL75" s="9">
        <f>IFERROR(VLOOKUP(B75,cubo!$A$6:$BE$37,58,0)-VLOOKUP(B75,#REF!,$AL$2,0),0)</f>
        <v>0</v>
      </c>
      <c r="AM75" s="9">
        <f>IFERROR(VLOOKUP(B75,cubo!$A$6:$BK$37,64,0)-VLOOKUP(B75,#REF!,$AM$2,0),0)</f>
        <v>0</v>
      </c>
      <c r="AN75" s="9">
        <f>IFERROR(VLOOKUP(B75,cubo!$A$6:$AN$37,41,0)-VLOOKUP(B75,#REF!,$AN$2,0),0)</f>
        <v>0</v>
      </c>
    </row>
    <row r="76" spans="2:40" x14ac:dyDescent="0.25">
      <c r="B76" s="7">
        <f>[1]salario!A75</f>
        <v>0</v>
      </c>
      <c r="C76" s="8">
        <f>[1]salario!C75</f>
        <v>0</v>
      </c>
      <c r="D76" s="9">
        <f>IFERROR(VLOOKUP(B76,cubo!$A$6:$BE$37,3,0)-VLOOKUP(B76,#REF!,$D$2,0),0)</f>
        <v>0</v>
      </c>
      <c r="E76" s="10">
        <f>IFERROR(VLOOKUP(B76,cubo!$A$6:$BE$37,5,0)-VLOOKUP(B76,#REF!,$E$2,0),0)</f>
        <v>0</v>
      </c>
      <c r="F76" s="10">
        <f>IFERROR(VLOOKUP(B76,cubo!$A$6:$BE$37,8,0)-VLOOKUP(B76,#REF!,$F$2,0),0)</f>
        <v>0</v>
      </c>
      <c r="G76" s="9">
        <f>IFERROR(VLOOKUP(B76,cubo!$A$6:$BE$37,11,0)-VLOOKUP(B76,#REF!,$G$2,0),0)</f>
        <v>0</v>
      </c>
      <c r="H76" s="9">
        <f>IFERROR(VLOOKUP(B76,cubo!$A$6:$BE$37,53,0)-VLOOKUP(B76,#REF!,$H$2,0),0)</f>
        <v>0</v>
      </c>
      <c r="I76" s="10">
        <f>IFERROR(VLOOKUP(B76,cubo!$A$6:$BE$37,14,0)-VLOOKUP(B76,#REF!,$I$2,0),0)</f>
        <v>0</v>
      </c>
      <c r="J76" s="9">
        <f>IFERROR(VLOOKUP(B76,cubo!$A$6:$BE$37,16,0)-VLOOKUP(B76,#REF!,$J$2,0),0)</f>
        <v>0</v>
      </c>
      <c r="K76" s="9">
        <f>IFERROR(VLOOKUP(B76,cubo!$A$6:$BE$37,17,0)-VLOOKUP(B76,#REF!,$K$2,0),0)</f>
        <v>0</v>
      </c>
      <c r="L76" s="9">
        <f>IFERROR(VLOOKUP(B76,cubo!$A$6:$BE$37,19,0)-VLOOKUP(B76,#REF!,$L$2,0),0)</f>
        <v>0</v>
      </c>
      <c r="M76" s="9">
        <f>IFERROR(VLOOKUP(B76,cubo!$A$6:$BE$37,23,0)-VLOOKUP(B76,#REF!,$M$2,0),0)</f>
        <v>0</v>
      </c>
      <c r="N76" s="9">
        <f>IFERROR(VLOOKUP(B76,cubo!$A$6:$BE$37,25,0)-VLOOKUP(B76,#REF!,$N$2,0),0)</f>
        <v>0</v>
      </c>
      <c r="O76" s="9">
        <f>IFERROR(VLOOKUP(B76,cubo!$A$6:$BE$37,33,0)-VLOOKUP(B76,#REF!,$O$2,0),0)</f>
        <v>0</v>
      </c>
      <c r="P76" s="8">
        <f>IFERROR(VLOOKUP(B76,cubo!$A$6:$BE$37,37,0)-VLOOKUP(B76,#REF!,$P$2,0),0)</f>
        <v>0</v>
      </c>
      <c r="Q76" s="8">
        <f>IFERROR(VLOOKUP(B76,cubo!$A$6:$BE$37,56,0)-VLOOKUP(B76,#REF!,$Q$2,0),0)</f>
        <v>0</v>
      </c>
      <c r="R76" s="9">
        <f>IFERROR(VLOOKUP(B76,cubo!$A$6:$BE$37,40,0)-VLOOKUP(B76,#REF!,$R$2,0),0)</f>
        <v>0</v>
      </c>
      <c r="S76" s="9">
        <f>IFERROR(VLOOKUP(B76,cubo!$A$6:$BE$37,43,0)-VLOOKUP(B76,#REF!,$S$2,0),0)</f>
        <v>0</v>
      </c>
      <c r="T76" s="9">
        <f>IFERROR(VLOOKUP(B76,cubo!$A$6:$BE$37,46,0)-VLOOKUP(B76,#REF!,$T$2,0),0)</f>
        <v>0</v>
      </c>
      <c r="U76" s="9">
        <f>IFERROR(VLOOKUP(B76,cubo!$A$6:$BE$37,51,0)-VLOOKUP(B76,#REF!,$U$2,0),0)</f>
        <v>0</v>
      </c>
      <c r="V76" s="9">
        <f>IFERROR(VLOOKUP(B76,cubo!$A$6:$BJ$37,60,0)-VLOOKUP(B76,#REF!,$V$2,0),0)</f>
        <v>0</v>
      </c>
      <c r="W76" s="9">
        <f>IFERROR(VLOOKUP(B76,cubo!$A$6:$BE$37,26,0)-VLOOKUP(B76,#REF!,$W$2,0),0)</f>
        <v>0</v>
      </c>
      <c r="X76" s="9">
        <f>IFERROR(VLOOKUP(B76,cubo!$A$6:$BE$37,20,0)-VLOOKUP(B76,#REF!,$X$2,0),0)</f>
        <v>0</v>
      </c>
      <c r="Y76" s="9">
        <f>IFERROR(VLOOKUP(B76,cubo!$A$6:$BE$37,21,0)-VLOOKUP(B76,#REF!,$Y$2,0),0)</f>
        <v>0</v>
      </c>
      <c r="Z76" s="9">
        <f>IFERROR(VLOOKUP(B76,cubo!$A$6:$BE$37,27,0)-VLOOKUP(B76,#REF!,$Z$2,0),0)</f>
        <v>0</v>
      </c>
      <c r="AA76" s="9">
        <f>IFERROR(VLOOKUP(B76,cubo!$A$6:$BE$37,28,0)-VLOOKUP(B76,#REF!,$AA$2,0),0)</f>
        <v>0</v>
      </c>
      <c r="AB76" s="9">
        <f>IFERROR(VLOOKUP(B76,cubo!$A$6:$BE$37,29,0)-VLOOKUP(B76,#REF!,$AB$2,0),0)</f>
        <v>0</v>
      </c>
      <c r="AC76" s="9">
        <f>IFERROR(VLOOKUP(B76,cubo!$A$6:$BE$37,30,0)-VLOOKUP(B76,#REF!,$AC$2,0),0)</f>
        <v>0</v>
      </c>
      <c r="AD76" s="9">
        <f>IFERROR(VLOOKUP(B76,cubo!$A$6:$BE$37,31,0)-VLOOKUP(B76,#REF!,$AD$2,0),0)</f>
        <v>0</v>
      </c>
      <c r="AE76" s="9">
        <f>IFERROR(VLOOKUP(B76,cubo!$A$6:$BE$37,35,0)-VLOOKUP(B76,#REF!,$AE$2,0),0)</f>
        <v>0</v>
      </c>
      <c r="AF76" s="9" cm="1">
        <f t="array" aca="1" ref="AF76" ca="1">IFERROR(rrPROCV(B76,cubo!$A$6:$BE$37,48,0)-VLOOKUP(B76,#REF!,$AF$2,0),0)</f>
        <v>0</v>
      </c>
      <c r="AG76" s="9">
        <f>IFERROR(VLOOKUP(B76,cubo!$A$6:$BE$37,49,0)-VLOOKUP(B76,#REF!,$AG$2,0),0)</f>
        <v>0</v>
      </c>
      <c r="AH76" s="9">
        <f>IFERROR(VLOOKUP(B76,cubo!$A$6:$BE$37,50,0)-VLOOKUP(B76,#REF!,$AH$2,0),0)</f>
        <v>0</v>
      </c>
      <c r="AI76" s="9">
        <f>IFERROR(VLOOKUP(B76,cubo!$A$6:$BE$37,51,0)-VLOOKUP(B76,#REF!,$AI$2,0),0)</f>
        <v>0</v>
      </c>
      <c r="AJ76" s="9">
        <f>IFERROR(VLOOKUP(B76,cubo!$A$6:$BI$116,62,0)-VLOOKUP(B76,#REF!,$AJ$2,0),0)</f>
        <v>0</v>
      </c>
      <c r="AK76" s="9">
        <f>IFERROR(VLOOKUP(B76,cubo!$A$6:$BJ$37,63,0)-VLOOKUP(B76,#REF!,$AK$2,0),0)</f>
        <v>0</v>
      </c>
      <c r="AL76" s="9">
        <f>IFERROR(VLOOKUP(B76,cubo!$A$6:$BE$37,58,0)-VLOOKUP(B76,#REF!,$AL$2,0),0)</f>
        <v>0</v>
      </c>
      <c r="AM76" s="9">
        <f>IFERROR(VLOOKUP(B76,cubo!$A$6:$BK$37,64,0)-VLOOKUP(B76,#REF!,$AM$2,0),0)</f>
        <v>0</v>
      </c>
      <c r="AN76" s="9">
        <f>IFERROR(VLOOKUP(B76,cubo!$A$6:$AN$37,41,0)-VLOOKUP(B76,#REF!,$AN$2,0),0)</f>
        <v>0</v>
      </c>
    </row>
    <row r="77" spans="2:40" x14ac:dyDescent="0.25">
      <c r="B77" s="7">
        <f>[1]salario!A76</f>
        <v>0</v>
      </c>
      <c r="C77" s="8">
        <f>[1]salario!C76</f>
        <v>0</v>
      </c>
      <c r="D77" s="9">
        <f>IFERROR(VLOOKUP(B77,cubo!$A$6:$BE$37,3,0)-VLOOKUP(B77,#REF!,$D$2,0),0)</f>
        <v>0</v>
      </c>
      <c r="E77" s="10">
        <f>IFERROR(VLOOKUP(B77,cubo!$A$6:$BE$37,5,0)-VLOOKUP(B77,#REF!,$E$2,0),0)</f>
        <v>0</v>
      </c>
      <c r="F77" s="10">
        <f>IFERROR(VLOOKUP(B77,cubo!$A$6:$BE$37,8,0)-VLOOKUP(B77,#REF!,$F$2,0),0)</f>
        <v>0</v>
      </c>
      <c r="G77" s="9">
        <f>IFERROR(VLOOKUP(B77,cubo!$A$6:$BE$37,11,0)-VLOOKUP(B77,#REF!,$G$2,0),0)</f>
        <v>0</v>
      </c>
      <c r="H77" s="9">
        <f>IFERROR(VLOOKUP(B77,cubo!$A$6:$BE$37,53,0)-VLOOKUP(B77,#REF!,$H$2,0),0)</f>
        <v>0</v>
      </c>
      <c r="I77" s="10">
        <f>IFERROR(VLOOKUP(B77,cubo!$A$6:$BE$37,14,0)-VLOOKUP(B77,#REF!,$I$2,0),0)</f>
        <v>0</v>
      </c>
      <c r="J77" s="9">
        <f>IFERROR(VLOOKUP(B77,cubo!$A$6:$BE$37,16,0)-VLOOKUP(B77,#REF!,$J$2,0),0)</f>
        <v>0</v>
      </c>
      <c r="K77" s="9">
        <f>IFERROR(VLOOKUP(B77,cubo!$A$6:$BE$37,17,0)-VLOOKUP(B77,#REF!,$K$2,0),0)</f>
        <v>0</v>
      </c>
      <c r="L77" s="9">
        <f>IFERROR(VLOOKUP(B77,cubo!$A$6:$BE$37,19,0)-VLOOKUP(B77,#REF!,$L$2,0),0)</f>
        <v>0</v>
      </c>
      <c r="M77" s="9">
        <f>IFERROR(VLOOKUP(B77,cubo!$A$6:$BE$37,23,0)-VLOOKUP(B77,#REF!,$M$2,0),0)</f>
        <v>0</v>
      </c>
      <c r="N77" s="9">
        <f>IFERROR(VLOOKUP(B77,cubo!$A$6:$BE$37,25,0)-VLOOKUP(B77,#REF!,$N$2,0),0)</f>
        <v>0</v>
      </c>
      <c r="O77" s="9">
        <f>IFERROR(VLOOKUP(B77,cubo!$A$6:$BE$37,33,0)-VLOOKUP(B77,#REF!,$O$2,0),0)</f>
        <v>0</v>
      </c>
      <c r="P77" s="8">
        <f>IFERROR(VLOOKUP(B77,cubo!$A$6:$BE$37,37,0)-VLOOKUP(B77,#REF!,$P$2,0),0)</f>
        <v>0</v>
      </c>
      <c r="Q77" s="8">
        <f>IFERROR(VLOOKUP(B77,cubo!$A$6:$BE$37,56,0)-VLOOKUP(B77,#REF!,$Q$2,0),0)</f>
        <v>0</v>
      </c>
      <c r="R77" s="9">
        <f>IFERROR(VLOOKUP(B77,cubo!$A$6:$BE$37,40,0)-VLOOKUP(B77,#REF!,$R$2,0),0)</f>
        <v>0</v>
      </c>
      <c r="S77" s="9">
        <f>IFERROR(VLOOKUP(B77,cubo!$A$6:$BE$37,43,0)-VLOOKUP(B77,#REF!,$S$2,0),0)</f>
        <v>0</v>
      </c>
      <c r="T77" s="9">
        <f>IFERROR(VLOOKUP(B77,cubo!$A$6:$BE$37,46,0)-VLOOKUP(B77,#REF!,$T$2,0),0)</f>
        <v>0</v>
      </c>
      <c r="U77" s="9">
        <f>IFERROR(VLOOKUP(B77,cubo!$A$6:$BE$37,51,0)-VLOOKUP(B77,#REF!,$U$2,0),0)</f>
        <v>0</v>
      </c>
      <c r="V77" s="9">
        <f>IFERROR(VLOOKUP(B77,cubo!$A$6:$BJ$37,60,0)-VLOOKUP(B77,#REF!,$V$2,0),0)</f>
        <v>0</v>
      </c>
      <c r="W77" s="9">
        <f>IFERROR(VLOOKUP(B77,cubo!$A$6:$BE$37,26,0)-VLOOKUP(B77,#REF!,$W$2,0),0)</f>
        <v>0</v>
      </c>
      <c r="X77" s="9">
        <f>IFERROR(VLOOKUP(B77,cubo!$A$6:$BE$37,20,0)-VLOOKUP(B77,#REF!,$X$2,0),0)</f>
        <v>0</v>
      </c>
      <c r="Y77" s="9">
        <f>IFERROR(VLOOKUP(B77,cubo!$A$6:$BE$37,21,0)-VLOOKUP(B77,#REF!,$Y$2,0),0)</f>
        <v>0</v>
      </c>
      <c r="Z77" s="9">
        <f>IFERROR(VLOOKUP(B77,cubo!$A$6:$BE$37,27,0)-VLOOKUP(B77,#REF!,$Z$2,0),0)</f>
        <v>0</v>
      </c>
      <c r="AA77" s="9">
        <f>IFERROR(VLOOKUP(B77,cubo!$A$6:$BE$37,28,0)-VLOOKUP(B77,#REF!,$AA$2,0),0)</f>
        <v>0</v>
      </c>
      <c r="AB77" s="9">
        <f>IFERROR(VLOOKUP(B77,cubo!$A$6:$BE$37,29,0)-VLOOKUP(B77,#REF!,$AB$2,0),0)</f>
        <v>0</v>
      </c>
      <c r="AC77" s="9">
        <f>IFERROR(VLOOKUP(B77,cubo!$A$6:$BE$37,30,0)-VLOOKUP(B77,#REF!,$AC$2,0),0)</f>
        <v>0</v>
      </c>
      <c r="AD77" s="9">
        <f>IFERROR(VLOOKUP(B77,cubo!$A$6:$BE$37,31,0)-VLOOKUP(B77,#REF!,$AD$2,0),0)</f>
        <v>0</v>
      </c>
      <c r="AE77" s="9">
        <f>IFERROR(VLOOKUP(B77,cubo!$A$6:$BE$37,35,0)-VLOOKUP(B77,#REF!,$AE$2,0),0)</f>
        <v>0</v>
      </c>
      <c r="AF77" s="9" cm="1">
        <f t="array" aca="1" ref="AF77" ca="1">IFERROR(rrPROCV(B77,cubo!$A$6:$BE$37,48,0)-VLOOKUP(B77,#REF!,$AF$2,0),0)</f>
        <v>0</v>
      </c>
      <c r="AG77" s="9">
        <f>IFERROR(VLOOKUP(B77,cubo!$A$6:$BE$37,49,0)-VLOOKUP(B77,#REF!,$AG$2,0),0)</f>
        <v>0</v>
      </c>
      <c r="AH77" s="9">
        <f>IFERROR(VLOOKUP(B77,cubo!$A$6:$BE$37,50,0)-VLOOKUP(B77,#REF!,$AH$2,0),0)</f>
        <v>0</v>
      </c>
      <c r="AI77" s="9">
        <f>IFERROR(VLOOKUP(B77,cubo!$A$6:$BE$37,51,0)-VLOOKUP(B77,#REF!,$AI$2,0),0)</f>
        <v>0</v>
      </c>
      <c r="AJ77" s="9">
        <f>IFERROR(VLOOKUP(B77,cubo!$A$6:$BI$116,62,0)-VLOOKUP(B77,#REF!,$AJ$2,0),0)</f>
        <v>0</v>
      </c>
      <c r="AK77" s="9">
        <f>IFERROR(VLOOKUP(B77,cubo!$A$6:$BJ$37,63,0)-VLOOKUP(B77,#REF!,$AK$2,0),0)</f>
        <v>0</v>
      </c>
      <c r="AL77" s="9">
        <f>IFERROR(VLOOKUP(B77,cubo!$A$6:$BE$37,58,0)-VLOOKUP(B77,#REF!,$AL$2,0),0)</f>
        <v>0</v>
      </c>
      <c r="AM77" s="9">
        <f>IFERROR(VLOOKUP(B77,cubo!$A$6:$BK$37,64,0)-VLOOKUP(B77,#REF!,$AM$2,0),0)</f>
        <v>0</v>
      </c>
      <c r="AN77" s="9">
        <f>IFERROR(VLOOKUP(B77,cubo!$A$6:$AN$37,41,0)-VLOOKUP(B77,#REF!,$AN$2,0),0)</f>
        <v>0</v>
      </c>
    </row>
    <row r="78" spans="2:40" x14ac:dyDescent="0.25">
      <c r="B78" s="7">
        <f>[1]salario!A77</f>
        <v>0</v>
      </c>
      <c r="C78" s="8">
        <f>[1]salario!C77</f>
        <v>0</v>
      </c>
      <c r="D78" s="9">
        <f>IFERROR(VLOOKUP(B78,cubo!$A$6:$BE$37,3,0)-VLOOKUP(B78,#REF!,$D$2,0),0)</f>
        <v>0</v>
      </c>
      <c r="E78" s="10">
        <f>IFERROR(VLOOKUP(B78,cubo!$A$6:$BE$37,5,0)-VLOOKUP(B78,#REF!,$E$2,0),0)</f>
        <v>0</v>
      </c>
      <c r="F78" s="10">
        <f>IFERROR(VLOOKUP(B78,cubo!$A$6:$BE$37,8,0)-VLOOKUP(B78,#REF!,$F$2,0),0)</f>
        <v>0</v>
      </c>
      <c r="G78" s="9">
        <f>IFERROR(VLOOKUP(B78,cubo!$A$6:$BE$37,11,0)-VLOOKUP(B78,#REF!,$G$2,0),0)</f>
        <v>0</v>
      </c>
      <c r="H78" s="9">
        <f>IFERROR(VLOOKUP(B78,cubo!$A$6:$BE$37,53,0)-VLOOKUP(B78,#REF!,$H$2,0),0)</f>
        <v>0</v>
      </c>
      <c r="I78" s="10">
        <f>IFERROR(VLOOKUP(B78,cubo!$A$6:$BE$37,14,0)-VLOOKUP(B78,#REF!,$I$2,0),0)</f>
        <v>0</v>
      </c>
      <c r="J78" s="9">
        <f>IFERROR(VLOOKUP(B78,cubo!$A$6:$BE$37,16,0)-VLOOKUP(B78,#REF!,$J$2,0),0)</f>
        <v>0</v>
      </c>
      <c r="K78" s="9">
        <f>IFERROR(VLOOKUP(B78,cubo!$A$6:$BE$37,17,0)-VLOOKUP(B78,#REF!,$K$2,0),0)</f>
        <v>0</v>
      </c>
      <c r="L78" s="9">
        <f>IFERROR(VLOOKUP(B78,cubo!$A$6:$BE$37,19,0)-VLOOKUP(B78,#REF!,$L$2,0),0)</f>
        <v>0</v>
      </c>
      <c r="M78" s="9">
        <f>IFERROR(VLOOKUP(B78,cubo!$A$6:$BE$37,23,0)-VLOOKUP(B78,#REF!,$M$2,0),0)</f>
        <v>0</v>
      </c>
      <c r="N78" s="9">
        <f>IFERROR(VLOOKUP(B78,cubo!$A$6:$BE$37,25,0)-VLOOKUP(B78,#REF!,$N$2,0),0)</f>
        <v>0</v>
      </c>
      <c r="O78" s="9">
        <f>IFERROR(VLOOKUP(B78,cubo!$A$6:$BE$37,33,0)-VLOOKUP(B78,#REF!,$O$2,0),0)</f>
        <v>0</v>
      </c>
      <c r="P78" s="8">
        <f>IFERROR(VLOOKUP(B78,cubo!$A$6:$BE$37,37,0)-VLOOKUP(B78,#REF!,$P$2,0),0)</f>
        <v>0</v>
      </c>
      <c r="Q78" s="8">
        <f>IFERROR(VLOOKUP(B78,cubo!$A$6:$BE$37,56,0)-VLOOKUP(B78,#REF!,$Q$2,0),0)</f>
        <v>0</v>
      </c>
      <c r="R78" s="9">
        <f>IFERROR(VLOOKUP(B78,cubo!$A$6:$BE$37,40,0)-VLOOKUP(B78,#REF!,$R$2,0),0)</f>
        <v>0</v>
      </c>
      <c r="S78" s="9">
        <f>IFERROR(VLOOKUP(B78,cubo!$A$6:$BE$37,43,0)-VLOOKUP(B78,#REF!,$S$2,0),0)</f>
        <v>0</v>
      </c>
      <c r="T78" s="9">
        <f>IFERROR(VLOOKUP(B78,cubo!$A$6:$BE$37,46,0)-VLOOKUP(B78,#REF!,$T$2,0),0)</f>
        <v>0</v>
      </c>
      <c r="U78" s="9">
        <f>IFERROR(VLOOKUP(B78,cubo!$A$6:$BE$37,51,0)-VLOOKUP(B78,#REF!,$U$2,0),0)</f>
        <v>0</v>
      </c>
      <c r="V78" s="9">
        <f>IFERROR(VLOOKUP(B78,cubo!$A$6:$BJ$37,60,0)-VLOOKUP(B78,#REF!,$V$2,0),0)</f>
        <v>0</v>
      </c>
      <c r="W78" s="9">
        <f>IFERROR(VLOOKUP(B78,cubo!$A$6:$BE$37,26,0)-VLOOKUP(B78,#REF!,$W$2,0),0)</f>
        <v>0</v>
      </c>
      <c r="X78" s="9">
        <f>IFERROR(VLOOKUP(B78,cubo!$A$6:$BE$37,20,0)-VLOOKUP(B78,#REF!,$X$2,0),0)</f>
        <v>0</v>
      </c>
      <c r="Y78" s="9">
        <f>IFERROR(VLOOKUP(B78,cubo!$A$6:$BE$37,21,0)-VLOOKUP(B78,#REF!,$Y$2,0),0)</f>
        <v>0</v>
      </c>
      <c r="Z78" s="9">
        <f>IFERROR(VLOOKUP(B78,cubo!$A$6:$BE$37,27,0)-VLOOKUP(B78,#REF!,$Z$2,0),0)</f>
        <v>0</v>
      </c>
      <c r="AA78" s="9">
        <f>IFERROR(VLOOKUP(B78,cubo!$A$6:$BE$37,28,0)-VLOOKUP(B78,#REF!,$AA$2,0),0)</f>
        <v>0</v>
      </c>
      <c r="AB78" s="9">
        <f>IFERROR(VLOOKUP(B78,cubo!$A$6:$BE$37,29,0)-VLOOKUP(B78,#REF!,$AB$2,0),0)</f>
        <v>0</v>
      </c>
      <c r="AC78" s="9">
        <f>IFERROR(VLOOKUP(B78,cubo!$A$6:$BE$37,30,0)-VLOOKUP(B78,#REF!,$AC$2,0),0)</f>
        <v>0</v>
      </c>
      <c r="AD78" s="9">
        <f>IFERROR(VLOOKUP(B78,cubo!$A$6:$BE$37,31,0)-VLOOKUP(B78,#REF!,$AD$2,0),0)</f>
        <v>0</v>
      </c>
      <c r="AE78" s="9">
        <f>IFERROR(VLOOKUP(B78,cubo!$A$6:$BE$37,35,0)-VLOOKUP(B78,#REF!,$AE$2,0),0)</f>
        <v>0</v>
      </c>
      <c r="AF78" s="9" cm="1">
        <f t="array" aca="1" ref="AF78" ca="1">IFERROR(rrPROCV(B78,cubo!$A$6:$BE$37,48,0)-VLOOKUP(B78,#REF!,$AF$2,0),0)</f>
        <v>0</v>
      </c>
      <c r="AG78" s="9">
        <f>IFERROR(VLOOKUP(B78,cubo!$A$6:$BE$37,49,0)-VLOOKUP(B78,#REF!,$AG$2,0),0)</f>
        <v>0</v>
      </c>
      <c r="AH78" s="9">
        <f>IFERROR(VLOOKUP(B78,cubo!$A$6:$BE$37,50,0)-VLOOKUP(B78,#REF!,$AH$2,0),0)</f>
        <v>0</v>
      </c>
      <c r="AI78" s="9">
        <f>IFERROR(VLOOKUP(B78,cubo!$A$6:$BE$37,51,0)-VLOOKUP(B78,#REF!,$AI$2,0),0)</f>
        <v>0</v>
      </c>
      <c r="AJ78" s="9">
        <f>IFERROR(VLOOKUP(B78,cubo!$A$6:$BI$116,62,0)-VLOOKUP(B78,#REF!,$AJ$2,0),0)</f>
        <v>0</v>
      </c>
      <c r="AK78" s="9">
        <f>IFERROR(VLOOKUP(B78,cubo!$A$6:$BJ$37,63,0)-VLOOKUP(B78,#REF!,$AK$2,0),0)</f>
        <v>0</v>
      </c>
      <c r="AL78" s="9">
        <f>IFERROR(VLOOKUP(B78,cubo!$A$6:$BE$37,58,0)-VLOOKUP(B78,#REF!,$AL$2,0),0)</f>
        <v>0</v>
      </c>
      <c r="AM78" s="9">
        <f>IFERROR(VLOOKUP(B78,cubo!$A$6:$BK$37,64,0)-VLOOKUP(B78,#REF!,$AM$2,0),0)</f>
        <v>0</v>
      </c>
      <c r="AN78" s="9">
        <f>IFERROR(VLOOKUP(B78,cubo!$A$6:$AN$37,41,0)-VLOOKUP(B78,#REF!,$AN$2,0),0)</f>
        <v>0</v>
      </c>
    </row>
    <row r="79" spans="2:40" x14ac:dyDescent="0.25">
      <c r="B79" s="7">
        <f>[1]salario!A78</f>
        <v>0</v>
      </c>
      <c r="C79" s="8">
        <f>[1]salario!C78</f>
        <v>0</v>
      </c>
      <c r="D79" s="9">
        <f>IFERROR(VLOOKUP(B79,cubo!$A$6:$BE$37,3,0)-VLOOKUP(B79,#REF!,$D$2,0),0)</f>
        <v>0</v>
      </c>
      <c r="E79" s="10">
        <f>IFERROR(VLOOKUP(B79,cubo!$A$6:$BE$37,5,0)-VLOOKUP(B79,#REF!,$E$2,0),0)</f>
        <v>0</v>
      </c>
      <c r="F79" s="10">
        <f>IFERROR(VLOOKUP(B79,cubo!$A$6:$BE$37,8,0)-VLOOKUP(B79,#REF!,$F$2,0),0)</f>
        <v>0</v>
      </c>
      <c r="G79" s="9">
        <f>IFERROR(VLOOKUP(B79,cubo!$A$6:$BE$37,11,0)-VLOOKUP(B79,#REF!,$G$2,0),0)</f>
        <v>0</v>
      </c>
      <c r="H79" s="9">
        <f>IFERROR(VLOOKUP(B79,cubo!$A$6:$BE$37,53,0)-VLOOKUP(B79,#REF!,$H$2,0),0)</f>
        <v>0</v>
      </c>
      <c r="I79" s="10">
        <f>IFERROR(VLOOKUP(B79,cubo!$A$6:$BE$37,14,0)-VLOOKUP(B79,#REF!,$I$2,0),0)</f>
        <v>0</v>
      </c>
      <c r="J79" s="9">
        <f>IFERROR(VLOOKUP(B79,cubo!$A$6:$BE$37,16,0)-VLOOKUP(B79,#REF!,$J$2,0),0)</f>
        <v>0</v>
      </c>
      <c r="K79" s="9">
        <f>IFERROR(VLOOKUP(B79,cubo!$A$6:$BE$37,17,0)-VLOOKUP(B79,#REF!,$K$2,0),0)</f>
        <v>0</v>
      </c>
      <c r="L79" s="9">
        <f>IFERROR(VLOOKUP(B79,cubo!$A$6:$BE$37,19,0)-VLOOKUP(B79,#REF!,$L$2,0),0)</f>
        <v>0</v>
      </c>
      <c r="M79" s="9">
        <f>IFERROR(VLOOKUP(B79,cubo!$A$6:$BE$37,23,0)-VLOOKUP(B79,#REF!,$M$2,0),0)</f>
        <v>0</v>
      </c>
      <c r="N79" s="9">
        <f>IFERROR(VLOOKUP(B79,cubo!$A$6:$BE$37,25,0)-VLOOKUP(B79,#REF!,$N$2,0),0)</f>
        <v>0</v>
      </c>
      <c r="O79" s="9">
        <f>IFERROR(VLOOKUP(B79,cubo!$A$6:$BE$37,33,0)-VLOOKUP(B79,#REF!,$O$2,0),0)</f>
        <v>0</v>
      </c>
      <c r="P79" s="8">
        <f>IFERROR(VLOOKUP(B79,cubo!$A$6:$BE$37,37,0)-VLOOKUP(B79,#REF!,$P$2,0),0)</f>
        <v>0</v>
      </c>
      <c r="Q79" s="8">
        <f>IFERROR(VLOOKUP(B79,cubo!$A$6:$BE$37,56,0)-VLOOKUP(B79,#REF!,$Q$2,0),0)</f>
        <v>0</v>
      </c>
      <c r="R79" s="9">
        <f>IFERROR(VLOOKUP(B79,cubo!$A$6:$BE$37,40,0)-VLOOKUP(B79,#REF!,$R$2,0),0)</f>
        <v>0</v>
      </c>
      <c r="S79" s="9">
        <f>IFERROR(VLOOKUP(B79,cubo!$A$6:$BE$37,43,0)-VLOOKUP(B79,#REF!,$S$2,0),0)</f>
        <v>0</v>
      </c>
      <c r="T79" s="9">
        <f>IFERROR(VLOOKUP(B79,cubo!$A$6:$BE$37,46,0)-VLOOKUP(B79,#REF!,$T$2,0),0)</f>
        <v>0</v>
      </c>
      <c r="U79" s="9">
        <f>IFERROR(VLOOKUP(B79,cubo!$A$6:$BE$37,51,0)-VLOOKUP(B79,#REF!,$U$2,0),0)</f>
        <v>0</v>
      </c>
      <c r="V79" s="9">
        <f>IFERROR(VLOOKUP(B79,cubo!$A$6:$BJ$37,60,0)-VLOOKUP(B79,#REF!,$V$2,0),0)</f>
        <v>0</v>
      </c>
      <c r="W79" s="9">
        <f>IFERROR(VLOOKUP(B79,cubo!$A$6:$BE$37,26,0)-VLOOKUP(B79,#REF!,$W$2,0),0)</f>
        <v>0</v>
      </c>
      <c r="X79" s="9">
        <f>IFERROR(VLOOKUP(B79,cubo!$A$6:$BE$37,20,0)-VLOOKUP(B79,#REF!,$X$2,0),0)</f>
        <v>0</v>
      </c>
      <c r="Y79" s="9">
        <f>IFERROR(VLOOKUP(B79,cubo!$A$6:$BE$37,21,0)-VLOOKUP(B79,#REF!,$Y$2,0),0)</f>
        <v>0</v>
      </c>
      <c r="Z79" s="9">
        <f>IFERROR(VLOOKUP(B79,cubo!$A$6:$BE$37,27,0)-VLOOKUP(B79,#REF!,$Z$2,0),0)</f>
        <v>0</v>
      </c>
      <c r="AA79" s="9">
        <f>IFERROR(VLOOKUP(B79,cubo!$A$6:$BE$37,28,0)-VLOOKUP(B79,#REF!,$AA$2,0),0)</f>
        <v>0</v>
      </c>
      <c r="AB79" s="9">
        <f>IFERROR(VLOOKUP(B79,cubo!$A$6:$BE$37,29,0)-VLOOKUP(B79,#REF!,$AB$2,0),0)</f>
        <v>0</v>
      </c>
      <c r="AC79" s="9">
        <f>IFERROR(VLOOKUP(B79,cubo!$A$6:$BE$37,30,0)-VLOOKUP(B79,#REF!,$AC$2,0),0)</f>
        <v>0</v>
      </c>
      <c r="AD79" s="9">
        <f>IFERROR(VLOOKUP(B79,cubo!$A$6:$BE$37,31,0)-VLOOKUP(B79,#REF!,$AD$2,0),0)</f>
        <v>0</v>
      </c>
      <c r="AE79" s="9">
        <f>IFERROR(VLOOKUP(B79,cubo!$A$6:$BE$37,35,0)-VLOOKUP(B79,#REF!,$AE$2,0),0)</f>
        <v>0</v>
      </c>
      <c r="AF79" s="9" cm="1">
        <f t="array" aca="1" ref="AF79" ca="1">IFERROR(rrPROCV(B79,cubo!$A$6:$BE$37,48,0)-VLOOKUP(B79,#REF!,$AF$2,0),0)</f>
        <v>0</v>
      </c>
      <c r="AG79" s="9">
        <f>IFERROR(VLOOKUP(B79,cubo!$A$6:$BE$37,49,0)-VLOOKUP(B79,#REF!,$AG$2,0),0)</f>
        <v>0</v>
      </c>
      <c r="AH79" s="9">
        <f>IFERROR(VLOOKUP(B79,cubo!$A$6:$BE$37,50,0)-VLOOKUP(B79,#REF!,$AH$2,0),0)</f>
        <v>0</v>
      </c>
      <c r="AI79" s="9">
        <f>IFERROR(VLOOKUP(B79,cubo!$A$6:$BE$37,51,0)-VLOOKUP(B79,#REF!,$AI$2,0),0)</f>
        <v>0</v>
      </c>
      <c r="AJ79" s="9">
        <f>IFERROR(VLOOKUP(B79,cubo!$A$6:$BI$116,62,0)-VLOOKUP(B79,#REF!,$AJ$2,0),0)</f>
        <v>0</v>
      </c>
      <c r="AK79" s="9">
        <f>IFERROR(VLOOKUP(B79,cubo!$A$6:$BJ$37,63,0)-VLOOKUP(B79,#REF!,$AK$2,0),0)</f>
        <v>0</v>
      </c>
      <c r="AL79" s="9">
        <f>IFERROR(VLOOKUP(B79,cubo!$A$6:$BE$37,58,0)-VLOOKUP(B79,#REF!,$AL$2,0),0)</f>
        <v>0</v>
      </c>
      <c r="AM79" s="9">
        <f>IFERROR(VLOOKUP(B79,cubo!$A$6:$BK$37,64,0)-VLOOKUP(B79,#REF!,$AM$2,0),0)</f>
        <v>0</v>
      </c>
      <c r="AN79" s="9">
        <f>IFERROR(VLOOKUP(B79,cubo!$A$6:$AN$37,41,0)-VLOOKUP(B79,#REF!,$AN$2,0),0)</f>
        <v>0</v>
      </c>
    </row>
    <row r="80" spans="2:40" x14ac:dyDescent="0.25">
      <c r="B80" s="7">
        <f>[1]salario!A79</f>
        <v>0</v>
      </c>
      <c r="C80" s="8">
        <f>[1]salario!C79</f>
        <v>0</v>
      </c>
      <c r="D80" s="9">
        <f>IFERROR(VLOOKUP(B80,cubo!$A$6:$BE$37,3,0)-VLOOKUP(B80,#REF!,$D$2,0),0)</f>
        <v>0</v>
      </c>
      <c r="E80" s="10">
        <f>IFERROR(VLOOKUP(B80,cubo!$A$6:$BE$37,5,0)-VLOOKUP(B80,#REF!,$E$2,0),0)</f>
        <v>0</v>
      </c>
      <c r="F80" s="10">
        <f>IFERROR(VLOOKUP(B80,cubo!$A$6:$BE$37,8,0)-VLOOKUP(B80,#REF!,$F$2,0),0)</f>
        <v>0</v>
      </c>
      <c r="G80" s="9">
        <f>IFERROR(VLOOKUP(B80,cubo!$A$6:$BE$37,11,0)-VLOOKUP(B80,#REF!,$G$2,0),0)</f>
        <v>0</v>
      </c>
      <c r="H80" s="9">
        <f>IFERROR(VLOOKUP(B80,cubo!$A$6:$BE$37,53,0)-VLOOKUP(B80,#REF!,$H$2,0),0)</f>
        <v>0</v>
      </c>
      <c r="I80" s="10">
        <f>IFERROR(VLOOKUP(B80,cubo!$A$6:$BE$37,14,0)-VLOOKUP(B80,#REF!,$I$2,0),0)</f>
        <v>0</v>
      </c>
      <c r="J80" s="9">
        <f>IFERROR(VLOOKUP(B80,cubo!$A$6:$BE$37,16,0)-VLOOKUP(B80,#REF!,$J$2,0),0)</f>
        <v>0</v>
      </c>
      <c r="K80" s="9">
        <f>IFERROR(VLOOKUP(B80,cubo!$A$6:$BE$37,17,0)-VLOOKUP(B80,#REF!,$K$2,0),0)</f>
        <v>0</v>
      </c>
      <c r="L80" s="9">
        <f>IFERROR(VLOOKUP(B80,cubo!$A$6:$BE$37,19,0)-VLOOKUP(B80,#REF!,$L$2,0),0)</f>
        <v>0</v>
      </c>
      <c r="M80" s="9">
        <f>IFERROR(VLOOKUP(B80,cubo!$A$6:$BE$37,23,0)-VLOOKUP(B80,#REF!,$M$2,0),0)</f>
        <v>0</v>
      </c>
      <c r="N80" s="9">
        <f>IFERROR(VLOOKUP(B80,cubo!$A$6:$BE$37,25,0)-VLOOKUP(B80,#REF!,$N$2,0),0)</f>
        <v>0</v>
      </c>
      <c r="O80" s="9">
        <f>IFERROR(VLOOKUP(B80,cubo!$A$6:$BE$37,33,0)-VLOOKUP(B80,#REF!,$O$2,0),0)</f>
        <v>0</v>
      </c>
      <c r="P80" s="8">
        <f>IFERROR(VLOOKUP(B80,cubo!$A$6:$BE$37,37,0)-VLOOKUP(B80,#REF!,$P$2,0),0)</f>
        <v>0</v>
      </c>
      <c r="Q80" s="8">
        <f>IFERROR(VLOOKUP(B80,cubo!$A$6:$BE$37,56,0)-VLOOKUP(B80,#REF!,$Q$2,0),0)</f>
        <v>0</v>
      </c>
      <c r="R80" s="9">
        <f>IFERROR(VLOOKUP(B80,cubo!$A$6:$BE$37,40,0)-VLOOKUP(B80,#REF!,$R$2,0),0)</f>
        <v>0</v>
      </c>
      <c r="S80" s="9">
        <f>IFERROR(VLOOKUP(B80,cubo!$A$6:$BE$37,43,0)-VLOOKUP(B80,#REF!,$S$2,0),0)</f>
        <v>0</v>
      </c>
      <c r="T80" s="9">
        <f>IFERROR(VLOOKUP(B80,cubo!$A$6:$BE$37,46,0)-VLOOKUP(B80,#REF!,$T$2,0),0)</f>
        <v>0</v>
      </c>
      <c r="U80" s="9">
        <f>IFERROR(VLOOKUP(B80,cubo!$A$6:$BE$37,51,0)-VLOOKUP(B80,#REF!,$U$2,0),0)</f>
        <v>0</v>
      </c>
      <c r="V80" s="9">
        <f>IFERROR(VLOOKUP(B80,cubo!$A$6:$BJ$37,60,0)-VLOOKUP(B80,#REF!,$V$2,0),0)</f>
        <v>0</v>
      </c>
      <c r="W80" s="9">
        <f>IFERROR(VLOOKUP(B80,cubo!$A$6:$BE$37,26,0)-VLOOKUP(B80,#REF!,$W$2,0),0)</f>
        <v>0</v>
      </c>
      <c r="X80" s="9">
        <f>IFERROR(VLOOKUP(B80,cubo!$A$6:$BE$37,20,0)-VLOOKUP(B80,#REF!,$X$2,0),0)</f>
        <v>0</v>
      </c>
      <c r="Y80" s="9">
        <f>IFERROR(VLOOKUP(B80,cubo!$A$6:$BE$37,21,0)-VLOOKUP(B80,#REF!,$Y$2,0),0)</f>
        <v>0</v>
      </c>
      <c r="Z80" s="9">
        <f>IFERROR(VLOOKUP(B80,cubo!$A$6:$BE$37,27,0)-VLOOKUP(B80,#REF!,$Z$2,0),0)</f>
        <v>0</v>
      </c>
      <c r="AA80" s="9">
        <f>IFERROR(VLOOKUP(B80,cubo!$A$6:$BE$37,28,0)-VLOOKUP(B80,#REF!,$AA$2,0),0)</f>
        <v>0</v>
      </c>
      <c r="AB80" s="9">
        <f>IFERROR(VLOOKUP(B80,cubo!$A$6:$BE$37,29,0)-VLOOKUP(B80,#REF!,$AB$2,0),0)</f>
        <v>0</v>
      </c>
      <c r="AC80" s="9">
        <f>IFERROR(VLOOKUP(B80,cubo!$A$6:$BE$37,30,0)-VLOOKUP(B80,#REF!,$AC$2,0),0)</f>
        <v>0</v>
      </c>
      <c r="AD80" s="9">
        <f>IFERROR(VLOOKUP(B80,cubo!$A$6:$BE$37,31,0)-VLOOKUP(B80,#REF!,$AD$2,0),0)</f>
        <v>0</v>
      </c>
      <c r="AE80" s="9">
        <f>IFERROR(VLOOKUP(B80,cubo!$A$6:$BE$37,35,0)-VLOOKUP(B80,#REF!,$AE$2,0),0)</f>
        <v>0</v>
      </c>
      <c r="AF80" s="9" cm="1">
        <f t="array" aca="1" ref="AF80" ca="1">IFERROR(rrPROCV(B80,cubo!$A$6:$BE$37,48,0)-VLOOKUP(B80,#REF!,$AF$2,0),0)</f>
        <v>0</v>
      </c>
      <c r="AG80" s="9">
        <f>IFERROR(VLOOKUP(B80,cubo!$A$6:$BE$37,49,0)-VLOOKUP(B80,#REF!,$AG$2,0),0)</f>
        <v>0</v>
      </c>
      <c r="AH80" s="9">
        <f>IFERROR(VLOOKUP(B80,cubo!$A$6:$BE$37,50,0)-VLOOKUP(B80,#REF!,$AH$2,0),0)</f>
        <v>0</v>
      </c>
      <c r="AI80" s="9">
        <f>IFERROR(VLOOKUP(B80,cubo!$A$6:$BE$37,51,0)-VLOOKUP(B80,#REF!,$AI$2,0),0)</f>
        <v>0</v>
      </c>
      <c r="AJ80" s="9">
        <f>IFERROR(VLOOKUP(B80,cubo!$A$6:$BI$116,62,0)-VLOOKUP(B80,#REF!,$AJ$2,0),0)</f>
        <v>0</v>
      </c>
      <c r="AK80" s="9">
        <f>IFERROR(VLOOKUP(B80,cubo!$A$6:$BJ$37,63,0)-VLOOKUP(B80,#REF!,$AK$2,0),0)</f>
        <v>0</v>
      </c>
      <c r="AL80" s="9">
        <f>IFERROR(VLOOKUP(B80,cubo!$A$6:$BE$37,58,0)-VLOOKUP(B80,#REF!,$AL$2,0),0)</f>
        <v>0</v>
      </c>
      <c r="AM80" s="9">
        <f>IFERROR(VLOOKUP(B80,cubo!$A$6:$BK$37,64,0)-VLOOKUP(B80,#REF!,$AM$2,0),0)</f>
        <v>0</v>
      </c>
      <c r="AN80" s="9">
        <f>IFERROR(VLOOKUP(B80,cubo!$A$6:$AN$37,41,0)-VLOOKUP(B80,#REF!,$AN$2,0),0)</f>
        <v>0</v>
      </c>
    </row>
    <row r="81" spans="2:40" x14ac:dyDescent="0.25">
      <c r="B81" s="7">
        <f>[1]salario!A80</f>
        <v>0</v>
      </c>
      <c r="C81" s="8">
        <f>[1]salario!C80</f>
        <v>0</v>
      </c>
      <c r="D81" s="9">
        <f>IFERROR(VLOOKUP(B81,cubo!$A$6:$BE$37,3,0)-VLOOKUP(B81,#REF!,$D$2,0),0)</f>
        <v>0</v>
      </c>
      <c r="E81" s="10">
        <f>IFERROR(VLOOKUP(B81,cubo!$A$6:$BE$37,5,0)-VLOOKUP(B81,#REF!,$E$2,0),0)</f>
        <v>0</v>
      </c>
      <c r="F81" s="10">
        <f>IFERROR(VLOOKUP(B81,cubo!$A$6:$BE$37,8,0)-VLOOKUP(B81,#REF!,$F$2,0),0)</f>
        <v>0</v>
      </c>
      <c r="G81" s="9">
        <f>IFERROR(VLOOKUP(B81,cubo!$A$6:$BE$37,11,0)-VLOOKUP(B81,#REF!,$G$2,0),0)</f>
        <v>0</v>
      </c>
      <c r="H81" s="9">
        <f>IFERROR(VLOOKUP(B81,cubo!$A$6:$BE$37,53,0)-VLOOKUP(B81,#REF!,$H$2,0),0)</f>
        <v>0</v>
      </c>
      <c r="I81" s="10">
        <f>IFERROR(VLOOKUP(B81,cubo!$A$6:$BE$37,14,0)-VLOOKUP(B81,#REF!,$I$2,0),0)</f>
        <v>0</v>
      </c>
      <c r="J81" s="9">
        <f>IFERROR(VLOOKUP(B81,cubo!$A$6:$BE$37,16,0)-VLOOKUP(B81,#REF!,$J$2,0),0)</f>
        <v>0</v>
      </c>
      <c r="K81" s="9">
        <f>IFERROR(VLOOKUP(B81,cubo!$A$6:$BE$37,17,0)-VLOOKUP(B81,#REF!,$K$2,0),0)</f>
        <v>0</v>
      </c>
      <c r="L81" s="9">
        <f>IFERROR(VLOOKUP(B81,cubo!$A$6:$BE$37,19,0)-VLOOKUP(B81,#REF!,$L$2,0),0)</f>
        <v>0</v>
      </c>
      <c r="M81" s="9">
        <f>IFERROR(VLOOKUP(B81,cubo!$A$6:$BE$37,23,0)-VLOOKUP(B81,#REF!,$M$2,0),0)</f>
        <v>0</v>
      </c>
      <c r="N81" s="9">
        <f>IFERROR(VLOOKUP(B81,cubo!$A$6:$BE$37,25,0)-VLOOKUP(B81,#REF!,$N$2,0),0)</f>
        <v>0</v>
      </c>
      <c r="O81" s="9">
        <f>IFERROR(VLOOKUP(B81,cubo!$A$6:$BE$37,33,0)-VLOOKUP(B81,#REF!,$O$2,0),0)</f>
        <v>0</v>
      </c>
      <c r="P81" s="8">
        <f>IFERROR(VLOOKUP(B81,cubo!$A$6:$BE$37,37,0)-VLOOKUP(B81,#REF!,$P$2,0),0)</f>
        <v>0</v>
      </c>
      <c r="Q81" s="8">
        <f>IFERROR(VLOOKUP(B81,cubo!$A$6:$BE$37,56,0)-VLOOKUP(B81,#REF!,$Q$2,0),0)</f>
        <v>0</v>
      </c>
      <c r="R81" s="9">
        <f>IFERROR(VLOOKUP(B81,cubo!$A$6:$BE$37,40,0)-VLOOKUP(B81,#REF!,$R$2,0),0)</f>
        <v>0</v>
      </c>
      <c r="S81" s="9">
        <f>IFERROR(VLOOKUP(B81,cubo!$A$6:$BE$37,43,0)-VLOOKUP(B81,#REF!,$S$2,0),0)</f>
        <v>0</v>
      </c>
      <c r="T81" s="9">
        <f>IFERROR(VLOOKUP(B81,cubo!$A$6:$BE$37,46,0)-VLOOKUP(B81,#REF!,$T$2,0),0)</f>
        <v>0</v>
      </c>
      <c r="U81" s="9">
        <f>IFERROR(VLOOKUP(B81,cubo!$A$6:$BE$37,51,0)-VLOOKUP(B81,#REF!,$U$2,0),0)</f>
        <v>0</v>
      </c>
      <c r="V81" s="9">
        <f>IFERROR(VLOOKUP(B81,cubo!$A$6:$BJ$37,60,0)-VLOOKUP(B81,#REF!,$V$2,0),0)</f>
        <v>0</v>
      </c>
      <c r="W81" s="9">
        <f>IFERROR(VLOOKUP(B81,cubo!$A$6:$BE$37,26,0)-VLOOKUP(B81,#REF!,$W$2,0),0)</f>
        <v>0</v>
      </c>
      <c r="X81" s="9">
        <f>IFERROR(VLOOKUP(B81,cubo!$A$6:$BE$37,20,0)-VLOOKUP(B81,#REF!,$X$2,0),0)</f>
        <v>0</v>
      </c>
      <c r="Y81" s="9">
        <f>IFERROR(VLOOKUP(B81,cubo!$A$6:$BE$37,21,0)-VLOOKUP(B81,#REF!,$Y$2,0),0)</f>
        <v>0</v>
      </c>
      <c r="Z81" s="9">
        <f>IFERROR(VLOOKUP(B81,cubo!$A$6:$BE$37,27,0)-VLOOKUP(B81,#REF!,$Z$2,0),0)</f>
        <v>0</v>
      </c>
      <c r="AA81" s="9">
        <f>IFERROR(VLOOKUP(B81,cubo!$A$6:$BE$37,28,0)-VLOOKUP(B81,#REF!,$AA$2,0),0)</f>
        <v>0</v>
      </c>
      <c r="AB81" s="9">
        <f>IFERROR(VLOOKUP(B81,cubo!$A$6:$BE$37,29,0)-VLOOKUP(B81,#REF!,$AB$2,0),0)</f>
        <v>0</v>
      </c>
      <c r="AC81" s="9">
        <f>IFERROR(VLOOKUP(B81,cubo!$A$6:$BE$37,30,0)-VLOOKUP(B81,#REF!,$AC$2,0),0)</f>
        <v>0</v>
      </c>
      <c r="AD81" s="9">
        <f>IFERROR(VLOOKUP(B81,cubo!$A$6:$BE$37,31,0)-VLOOKUP(B81,#REF!,$AD$2,0),0)</f>
        <v>0</v>
      </c>
      <c r="AE81" s="9">
        <f>IFERROR(VLOOKUP(B81,cubo!$A$6:$BE$37,35,0)-VLOOKUP(B81,#REF!,$AE$2,0),0)</f>
        <v>0</v>
      </c>
      <c r="AF81" s="9" cm="1">
        <f t="array" aca="1" ref="AF81" ca="1">IFERROR(rrPROCV(B81,cubo!$A$6:$BE$37,48,0)-VLOOKUP(B81,#REF!,$AF$2,0),0)</f>
        <v>0</v>
      </c>
      <c r="AG81" s="9">
        <f>IFERROR(VLOOKUP(B81,cubo!$A$6:$BE$37,49,0)-VLOOKUP(B81,#REF!,$AG$2,0),0)</f>
        <v>0</v>
      </c>
      <c r="AH81" s="9">
        <f>IFERROR(VLOOKUP(B81,cubo!$A$6:$BE$37,50,0)-VLOOKUP(B81,#REF!,$AH$2,0),0)</f>
        <v>0</v>
      </c>
      <c r="AI81" s="9">
        <f>IFERROR(VLOOKUP(B81,cubo!$A$6:$BE$37,51,0)-VLOOKUP(B81,#REF!,$AI$2,0),0)</f>
        <v>0</v>
      </c>
      <c r="AJ81" s="9">
        <f>IFERROR(VLOOKUP(B81,cubo!$A$6:$BI$116,62,0)-VLOOKUP(B81,#REF!,$AJ$2,0),0)</f>
        <v>0</v>
      </c>
      <c r="AK81" s="9">
        <f>IFERROR(VLOOKUP(B81,cubo!$A$6:$BJ$37,63,0)-VLOOKUP(B81,#REF!,$AK$2,0),0)</f>
        <v>0</v>
      </c>
      <c r="AL81" s="9">
        <f>IFERROR(VLOOKUP(B81,cubo!$A$6:$BE$37,58,0)-VLOOKUP(B81,#REF!,$AL$2,0),0)</f>
        <v>0</v>
      </c>
      <c r="AM81" s="9">
        <f>IFERROR(VLOOKUP(B81,cubo!$A$6:$BK$37,64,0)-VLOOKUP(B81,#REF!,$AM$2,0),0)</f>
        <v>0</v>
      </c>
      <c r="AN81" s="9">
        <f>IFERROR(VLOOKUP(B81,cubo!$A$6:$AN$37,41,0)-VLOOKUP(B81,#REF!,$AN$2,0),0)</f>
        <v>0</v>
      </c>
    </row>
    <row r="82" spans="2:40" x14ac:dyDescent="0.25">
      <c r="B82" s="7">
        <f>[1]salario!A81</f>
        <v>0</v>
      </c>
      <c r="C82" s="8">
        <f>[1]salario!C81</f>
        <v>0</v>
      </c>
      <c r="D82" s="9">
        <f>IFERROR(VLOOKUP(B82,cubo!$A$6:$BE$37,3,0)-VLOOKUP(B82,#REF!,$D$2,0),0)</f>
        <v>0</v>
      </c>
      <c r="E82" s="10">
        <f>IFERROR(VLOOKUP(B82,cubo!$A$6:$BE$37,5,0)-VLOOKUP(B82,#REF!,$E$2,0),0)</f>
        <v>0</v>
      </c>
      <c r="F82" s="10">
        <f>IFERROR(VLOOKUP(B82,cubo!$A$6:$BE$37,8,0)-VLOOKUP(B82,#REF!,$F$2,0),0)</f>
        <v>0</v>
      </c>
      <c r="G82" s="9">
        <f>IFERROR(VLOOKUP(B82,cubo!$A$6:$BE$37,11,0)-VLOOKUP(B82,#REF!,$G$2,0),0)</f>
        <v>0</v>
      </c>
      <c r="H82" s="9">
        <f>IFERROR(VLOOKUP(B82,cubo!$A$6:$BE$37,53,0)-VLOOKUP(B82,#REF!,$H$2,0),0)</f>
        <v>0</v>
      </c>
      <c r="I82" s="10">
        <f>IFERROR(VLOOKUP(B82,cubo!$A$6:$BE$37,14,0)-VLOOKUP(B82,#REF!,$I$2,0),0)</f>
        <v>0</v>
      </c>
      <c r="J82" s="9">
        <f>IFERROR(VLOOKUP(B82,cubo!$A$6:$BE$37,16,0)-VLOOKUP(B82,#REF!,$J$2,0),0)</f>
        <v>0</v>
      </c>
      <c r="K82" s="9">
        <f>IFERROR(VLOOKUP(B82,cubo!$A$6:$BE$37,17,0)-VLOOKUP(B82,#REF!,$K$2,0),0)</f>
        <v>0</v>
      </c>
      <c r="L82" s="9">
        <f>IFERROR(VLOOKUP(B82,cubo!$A$6:$BE$37,19,0)-VLOOKUP(B82,#REF!,$L$2,0),0)</f>
        <v>0</v>
      </c>
      <c r="M82" s="9">
        <f>IFERROR(VLOOKUP(B82,cubo!$A$6:$BE$37,23,0)-VLOOKUP(B82,#REF!,$M$2,0),0)</f>
        <v>0</v>
      </c>
      <c r="N82" s="9">
        <f>IFERROR(VLOOKUP(B82,cubo!$A$6:$BE$37,25,0)-VLOOKUP(B82,#REF!,$N$2,0),0)</f>
        <v>0</v>
      </c>
      <c r="O82" s="9">
        <f>IFERROR(VLOOKUP(B82,cubo!$A$6:$BE$37,33,0)-VLOOKUP(B82,#REF!,$O$2,0),0)</f>
        <v>0</v>
      </c>
      <c r="P82" s="8">
        <f>IFERROR(VLOOKUP(B82,cubo!$A$6:$BE$37,37,0)-VLOOKUP(B82,#REF!,$P$2,0),0)</f>
        <v>0</v>
      </c>
      <c r="Q82" s="8">
        <f>IFERROR(VLOOKUP(B82,cubo!$A$6:$BE$37,56,0)-VLOOKUP(B82,#REF!,$Q$2,0),0)</f>
        <v>0</v>
      </c>
      <c r="R82" s="9">
        <f>IFERROR(VLOOKUP(B82,cubo!$A$6:$BE$37,40,0)-VLOOKUP(B82,#REF!,$R$2,0),0)</f>
        <v>0</v>
      </c>
      <c r="S82" s="9">
        <f>IFERROR(VLOOKUP(B82,cubo!$A$6:$BE$37,43,0)-VLOOKUP(B82,#REF!,$S$2,0),0)</f>
        <v>0</v>
      </c>
      <c r="T82" s="9">
        <f>IFERROR(VLOOKUP(B82,cubo!$A$6:$BE$37,46,0)-VLOOKUP(B82,#REF!,$T$2,0),0)</f>
        <v>0</v>
      </c>
      <c r="U82" s="9">
        <f>IFERROR(VLOOKUP(B82,cubo!$A$6:$BE$37,51,0)-VLOOKUP(B82,#REF!,$U$2,0),0)</f>
        <v>0</v>
      </c>
      <c r="V82" s="9">
        <f>IFERROR(VLOOKUP(B82,cubo!$A$6:$BJ$37,60,0)-VLOOKUP(B82,#REF!,$V$2,0),0)</f>
        <v>0</v>
      </c>
      <c r="W82" s="9">
        <f>IFERROR(VLOOKUP(B82,cubo!$A$6:$BE$37,26,0)-VLOOKUP(B82,#REF!,$W$2,0),0)</f>
        <v>0</v>
      </c>
      <c r="X82" s="9">
        <f>IFERROR(VLOOKUP(B82,cubo!$A$6:$BE$37,20,0)-VLOOKUP(B82,#REF!,$X$2,0),0)</f>
        <v>0</v>
      </c>
      <c r="Y82" s="9">
        <f>IFERROR(VLOOKUP(B82,cubo!$A$6:$BE$37,21,0)-VLOOKUP(B82,#REF!,$Y$2,0),0)</f>
        <v>0</v>
      </c>
      <c r="Z82" s="9">
        <f>IFERROR(VLOOKUP(B82,cubo!$A$6:$BE$37,27,0)-VLOOKUP(B82,#REF!,$Z$2,0),0)</f>
        <v>0</v>
      </c>
      <c r="AA82" s="9">
        <f>IFERROR(VLOOKUP(B82,cubo!$A$6:$BE$37,28,0)-VLOOKUP(B82,#REF!,$AA$2,0),0)</f>
        <v>0</v>
      </c>
      <c r="AB82" s="9">
        <f>IFERROR(VLOOKUP(B82,cubo!$A$6:$BE$37,29,0)-VLOOKUP(B82,#REF!,$AB$2,0),0)</f>
        <v>0</v>
      </c>
      <c r="AC82" s="9">
        <f>IFERROR(VLOOKUP(B82,cubo!$A$6:$BE$37,30,0)-VLOOKUP(B82,#REF!,$AC$2,0),0)</f>
        <v>0</v>
      </c>
      <c r="AD82" s="9">
        <f>IFERROR(VLOOKUP(B82,cubo!$A$6:$BE$37,31,0)-VLOOKUP(B82,#REF!,$AD$2,0),0)</f>
        <v>0</v>
      </c>
      <c r="AE82" s="9">
        <f>IFERROR(VLOOKUP(B82,cubo!$A$6:$BE$37,35,0)-VLOOKUP(B82,#REF!,$AE$2,0),0)</f>
        <v>0</v>
      </c>
      <c r="AF82" s="9" cm="1">
        <f t="array" aca="1" ref="AF82" ca="1">IFERROR(rrPROCV(B82,cubo!$A$6:$BE$37,48,0)-VLOOKUP(B82,#REF!,$AF$2,0),0)</f>
        <v>0</v>
      </c>
      <c r="AG82" s="9">
        <f>IFERROR(VLOOKUP(B82,cubo!$A$6:$BE$37,49,0)-VLOOKUP(B82,#REF!,$AG$2,0),0)</f>
        <v>0</v>
      </c>
      <c r="AH82" s="9">
        <f>IFERROR(VLOOKUP(B82,cubo!$A$6:$BE$37,50,0)-VLOOKUP(B82,#REF!,$AH$2,0),0)</f>
        <v>0</v>
      </c>
      <c r="AI82" s="9">
        <f>IFERROR(VLOOKUP(B82,cubo!$A$6:$BE$37,51,0)-VLOOKUP(B82,#REF!,$AI$2,0),0)</f>
        <v>0</v>
      </c>
      <c r="AJ82" s="9">
        <f>IFERROR(VLOOKUP(B82,cubo!$A$6:$BI$116,62,0)-VLOOKUP(B82,#REF!,$AJ$2,0),0)</f>
        <v>0</v>
      </c>
      <c r="AK82" s="9">
        <f>IFERROR(VLOOKUP(B82,cubo!$A$6:$BJ$37,63,0)-VLOOKUP(B82,#REF!,$AK$2,0),0)</f>
        <v>0</v>
      </c>
      <c r="AL82" s="9">
        <f>IFERROR(VLOOKUP(B82,cubo!$A$6:$BE$37,58,0)-VLOOKUP(B82,#REF!,$AL$2,0),0)</f>
        <v>0</v>
      </c>
      <c r="AM82" s="9">
        <f>IFERROR(VLOOKUP(B82,cubo!$A$6:$BK$37,64,0)-VLOOKUP(B82,#REF!,$AM$2,0),0)</f>
        <v>0</v>
      </c>
      <c r="AN82" s="9">
        <f>IFERROR(VLOOKUP(B82,cubo!$A$6:$AN$37,41,0)-VLOOKUP(B82,#REF!,$AN$2,0),0)</f>
        <v>0</v>
      </c>
    </row>
    <row r="83" spans="2:40" x14ac:dyDescent="0.25">
      <c r="B83" s="7">
        <f>[1]salario!A82</f>
        <v>0</v>
      </c>
      <c r="C83" s="8">
        <f>[1]salario!C82</f>
        <v>0</v>
      </c>
      <c r="D83" s="9">
        <f>IFERROR(VLOOKUP(B83,cubo!$A$6:$BE$37,3,0)-VLOOKUP(B83,#REF!,$D$2,0),0)</f>
        <v>0</v>
      </c>
      <c r="E83" s="10">
        <f>IFERROR(VLOOKUP(B83,cubo!$A$6:$BE$37,5,0)-VLOOKUP(B83,#REF!,$E$2,0),0)</f>
        <v>0</v>
      </c>
      <c r="F83" s="10">
        <f>IFERROR(VLOOKUP(B83,cubo!$A$6:$BE$37,8,0)-VLOOKUP(B83,#REF!,$F$2,0),0)</f>
        <v>0</v>
      </c>
      <c r="G83" s="9">
        <f>IFERROR(VLOOKUP(B83,cubo!$A$6:$BE$37,11,0)-VLOOKUP(B83,#REF!,$G$2,0),0)</f>
        <v>0</v>
      </c>
      <c r="H83" s="9">
        <f>IFERROR(VLOOKUP(B83,cubo!$A$6:$BE$37,53,0)-VLOOKUP(B83,#REF!,$H$2,0),0)</f>
        <v>0</v>
      </c>
      <c r="I83" s="10">
        <f>IFERROR(VLOOKUP(B83,cubo!$A$6:$BE$37,14,0)-VLOOKUP(B83,#REF!,$I$2,0),0)</f>
        <v>0</v>
      </c>
      <c r="J83" s="9">
        <f>IFERROR(VLOOKUP(B83,cubo!$A$6:$BE$37,16,0)-VLOOKUP(B83,#REF!,$J$2,0),0)</f>
        <v>0</v>
      </c>
      <c r="K83" s="9">
        <f>IFERROR(VLOOKUP(B83,cubo!$A$6:$BE$37,17,0)-VLOOKUP(B83,#REF!,$K$2,0),0)</f>
        <v>0</v>
      </c>
      <c r="L83" s="9">
        <f>IFERROR(VLOOKUP(B83,cubo!$A$6:$BE$37,19,0)-VLOOKUP(B83,#REF!,$L$2,0),0)</f>
        <v>0</v>
      </c>
      <c r="M83" s="9">
        <f>IFERROR(VLOOKUP(B83,cubo!$A$6:$BE$37,23,0)-VLOOKUP(B83,#REF!,$M$2,0),0)</f>
        <v>0</v>
      </c>
      <c r="N83" s="9">
        <f>IFERROR(VLOOKUP(B83,cubo!$A$6:$BE$37,25,0)-VLOOKUP(B83,#REF!,$N$2,0),0)</f>
        <v>0</v>
      </c>
      <c r="O83" s="9">
        <f>IFERROR(VLOOKUP(B83,cubo!$A$6:$BE$37,33,0)-VLOOKUP(B83,#REF!,$O$2,0),0)</f>
        <v>0</v>
      </c>
      <c r="P83" s="8">
        <f>IFERROR(VLOOKUP(B83,cubo!$A$6:$BE$37,37,0)-VLOOKUP(B83,#REF!,$P$2,0),0)</f>
        <v>0</v>
      </c>
      <c r="Q83" s="8">
        <f>IFERROR(VLOOKUP(B83,cubo!$A$6:$BE$37,56,0)-VLOOKUP(B83,#REF!,$Q$2,0),0)</f>
        <v>0</v>
      </c>
      <c r="R83" s="9">
        <f>IFERROR(VLOOKUP(B83,cubo!$A$6:$BE$37,40,0)-VLOOKUP(B83,#REF!,$R$2,0),0)</f>
        <v>0</v>
      </c>
      <c r="S83" s="9">
        <f>IFERROR(VLOOKUP(B83,cubo!$A$6:$BE$37,43,0)-VLOOKUP(B83,#REF!,$S$2,0),0)</f>
        <v>0</v>
      </c>
      <c r="T83" s="9">
        <f>IFERROR(VLOOKUP(B83,cubo!$A$6:$BE$37,46,0)-VLOOKUP(B83,#REF!,$T$2,0),0)</f>
        <v>0</v>
      </c>
      <c r="U83" s="9">
        <f>IFERROR(VLOOKUP(B83,cubo!$A$6:$BE$37,51,0)-VLOOKUP(B83,#REF!,$U$2,0),0)</f>
        <v>0</v>
      </c>
      <c r="V83" s="9">
        <f>IFERROR(VLOOKUP(B83,cubo!$A$6:$BJ$37,60,0)-VLOOKUP(B83,#REF!,$V$2,0),0)</f>
        <v>0</v>
      </c>
      <c r="W83" s="9">
        <f>IFERROR(VLOOKUP(B83,cubo!$A$6:$BE$37,26,0)-VLOOKUP(B83,#REF!,$W$2,0),0)</f>
        <v>0</v>
      </c>
      <c r="X83" s="9">
        <f>IFERROR(VLOOKUP(B83,cubo!$A$6:$BE$37,20,0)-VLOOKUP(B83,#REF!,$X$2,0),0)</f>
        <v>0</v>
      </c>
      <c r="Y83" s="9">
        <f>IFERROR(VLOOKUP(B83,cubo!$A$6:$BE$37,21,0)-VLOOKUP(B83,#REF!,$Y$2,0),0)</f>
        <v>0</v>
      </c>
      <c r="Z83" s="9">
        <f>IFERROR(VLOOKUP(B83,cubo!$A$6:$BE$37,27,0)-VLOOKUP(B83,#REF!,$Z$2,0),0)</f>
        <v>0</v>
      </c>
      <c r="AA83" s="9">
        <f>IFERROR(VLOOKUP(B83,cubo!$A$6:$BE$37,28,0)-VLOOKUP(B83,#REF!,$AA$2,0),0)</f>
        <v>0</v>
      </c>
      <c r="AB83" s="9">
        <f>IFERROR(VLOOKUP(B83,cubo!$A$6:$BE$37,29,0)-VLOOKUP(B83,#REF!,$AB$2,0),0)</f>
        <v>0</v>
      </c>
      <c r="AC83" s="9">
        <f>IFERROR(VLOOKUP(B83,cubo!$A$6:$BE$37,30,0)-VLOOKUP(B83,#REF!,$AC$2,0),0)</f>
        <v>0</v>
      </c>
      <c r="AD83" s="9">
        <f>IFERROR(VLOOKUP(B83,cubo!$A$6:$BE$37,31,0)-VLOOKUP(B83,#REF!,$AD$2,0),0)</f>
        <v>0</v>
      </c>
      <c r="AE83" s="9">
        <f>IFERROR(VLOOKUP(B83,cubo!$A$6:$BE$37,35,0)-VLOOKUP(B83,#REF!,$AE$2,0),0)</f>
        <v>0</v>
      </c>
      <c r="AF83" s="9" cm="1">
        <f t="array" aca="1" ref="AF83" ca="1">IFERROR(rrPROCV(B83,cubo!$A$6:$BE$37,48,0)-VLOOKUP(B83,#REF!,$AF$2,0),0)</f>
        <v>0</v>
      </c>
      <c r="AG83" s="9">
        <f>IFERROR(VLOOKUP(B83,cubo!$A$6:$BE$37,49,0)-VLOOKUP(B83,#REF!,$AG$2,0),0)</f>
        <v>0</v>
      </c>
      <c r="AH83" s="9">
        <f>IFERROR(VLOOKUP(B83,cubo!$A$6:$BE$37,50,0)-VLOOKUP(B83,#REF!,$AH$2,0),0)</f>
        <v>0</v>
      </c>
      <c r="AI83" s="9">
        <f>IFERROR(VLOOKUP(B83,cubo!$A$6:$BE$37,51,0)-VLOOKUP(B83,#REF!,$AI$2,0),0)</f>
        <v>0</v>
      </c>
      <c r="AJ83" s="9">
        <f>IFERROR(VLOOKUP(B83,cubo!$A$6:$BI$116,62,0)-VLOOKUP(B83,#REF!,$AJ$2,0),0)</f>
        <v>0</v>
      </c>
      <c r="AK83" s="9">
        <f>IFERROR(VLOOKUP(B83,cubo!$A$6:$BJ$37,63,0)-VLOOKUP(B83,#REF!,$AK$2,0),0)</f>
        <v>0</v>
      </c>
      <c r="AL83" s="9">
        <f>IFERROR(VLOOKUP(B83,cubo!$A$6:$BE$37,58,0)-VLOOKUP(B83,#REF!,$AL$2,0),0)</f>
        <v>0</v>
      </c>
      <c r="AM83" s="9">
        <f>IFERROR(VLOOKUP(B83,cubo!$A$6:$BK$37,64,0)-VLOOKUP(B83,#REF!,$AM$2,0),0)</f>
        <v>0</v>
      </c>
      <c r="AN83" s="9">
        <f>IFERROR(VLOOKUP(B83,cubo!$A$6:$AN$37,41,0)-VLOOKUP(B83,#REF!,$AN$2,0),0)</f>
        <v>0</v>
      </c>
    </row>
    <row r="84" spans="2:40" x14ac:dyDescent="0.25">
      <c r="B84" s="7">
        <f>[1]salario!A83</f>
        <v>0</v>
      </c>
      <c r="C84" s="8">
        <f>[1]salario!C83</f>
        <v>0</v>
      </c>
      <c r="D84" s="9">
        <f>IFERROR(VLOOKUP(B84,cubo!$A$6:$BE$37,3,0)-VLOOKUP(B84,#REF!,$D$2,0),0)</f>
        <v>0</v>
      </c>
      <c r="E84" s="10">
        <f>IFERROR(VLOOKUP(B84,cubo!$A$6:$BE$37,5,0)-VLOOKUP(B84,#REF!,$E$2,0),0)</f>
        <v>0</v>
      </c>
      <c r="F84" s="10">
        <f>IFERROR(VLOOKUP(B84,cubo!$A$6:$BE$37,8,0)-VLOOKUP(B84,#REF!,$F$2,0),0)</f>
        <v>0</v>
      </c>
      <c r="G84" s="9">
        <f>IFERROR(VLOOKUP(B84,cubo!$A$6:$BE$37,11,0)-VLOOKUP(B84,#REF!,$G$2,0),0)</f>
        <v>0</v>
      </c>
      <c r="H84" s="9">
        <f>IFERROR(VLOOKUP(B84,cubo!$A$6:$BE$37,53,0)-VLOOKUP(B84,#REF!,$H$2,0),0)</f>
        <v>0</v>
      </c>
      <c r="I84" s="10">
        <f>IFERROR(VLOOKUP(B84,cubo!$A$6:$BE$37,14,0)-VLOOKUP(B84,#REF!,$I$2,0),0)</f>
        <v>0</v>
      </c>
      <c r="J84" s="9">
        <f>IFERROR(VLOOKUP(B84,cubo!$A$6:$BE$37,16,0)-VLOOKUP(B84,#REF!,$J$2,0),0)</f>
        <v>0</v>
      </c>
      <c r="K84" s="9">
        <f>IFERROR(VLOOKUP(B84,cubo!$A$6:$BE$37,17,0)-VLOOKUP(B84,#REF!,$K$2,0),0)</f>
        <v>0</v>
      </c>
      <c r="L84" s="9">
        <f>IFERROR(VLOOKUP(B84,cubo!$A$6:$BE$37,19,0)-VLOOKUP(B84,#REF!,$L$2,0),0)</f>
        <v>0</v>
      </c>
      <c r="M84" s="9">
        <f>IFERROR(VLOOKUP(B84,cubo!$A$6:$BE$37,23,0)-VLOOKUP(B84,#REF!,$M$2,0),0)</f>
        <v>0</v>
      </c>
      <c r="N84" s="9">
        <f>IFERROR(VLOOKUP(B84,cubo!$A$6:$BE$37,25,0)-VLOOKUP(B84,#REF!,$N$2,0),0)</f>
        <v>0</v>
      </c>
      <c r="O84" s="9">
        <f>IFERROR(VLOOKUP(B84,cubo!$A$6:$BE$37,33,0)-VLOOKUP(B84,#REF!,$O$2,0),0)</f>
        <v>0</v>
      </c>
      <c r="P84" s="8">
        <f>IFERROR(VLOOKUP(B84,cubo!$A$6:$BE$37,37,0)-VLOOKUP(B84,#REF!,$P$2,0),0)</f>
        <v>0</v>
      </c>
      <c r="Q84" s="8">
        <f>IFERROR(VLOOKUP(B84,cubo!$A$6:$BE$37,56,0)-VLOOKUP(B84,#REF!,$Q$2,0),0)</f>
        <v>0</v>
      </c>
      <c r="R84" s="9">
        <f>IFERROR(VLOOKUP(B84,cubo!$A$6:$BE$37,40,0)-VLOOKUP(B84,#REF!,$R$2,0),0)</f>
        <v>0</v>
      </c>
      <c r="S84" s="9">
        <f>IFERROR(VLOOKUP(B84,cubo!$A$6:$BE$37,43,0)-VLOOKUP(B84,#REF!,$S$2,0),0)</f>
        <v>0</v>
      </c>
      <c r="T84" s="9">
        <f>IFERROR(VLOOKUP(B84,cubo!$A$6:$BE$37,46,0)-VLOOKUP(B84,#REF!,$T$2,0),0)</f>
        <v>0</v>
      </c>
      <c r="U84" s="9">
        <f>IFERROR(VLOOKUP(B84,cubo!$A$6:$BE$37,51,0)-VLOOKUP(B84,#REF!,$U$2,0),0)</f>
        <v>0</v>
      </c>
      <c r="V84" s="9">
        <f>IFERROR(VLOOKUP(B84,cubo!$A$6:$BJ$37,60,0)-VLOOKUP(B84,#REF!,$V$2,0),0)</f>
        <v>0</v>
      </c>
      <c r="W84" s="9">
        <f>IFERROR(VLOOKUP(B84,cubo!$A$6:$BE$37,26,0)-VLOOKUP(B84,#REF!,$W$2,0),0)</f>
        <v>0</v>
      </c>
      <c r="X84" s="9">
        <f>IFERROR(VLOOKUP(B84,cubo!$A$6:$BE$37,20,0)-VLOOKUP(B84,#REF!,$X$2,0),0)</f>
        <v>0</v>
      </c>
      <c r="Y84" s="9">
        <f>IFERROR(VLOOKUP(B84,cubo!$A$6:$BE$37,21,0)-VLOOKUP(B84,#REF!,$Y$2,0),0)</f>
        <v>0</v>
      </c>
      <c r="Z84" s="9">
        <f>IFERROR(VLOOKUP(B84,cubo!$A$6:$BE$37,27,0)-VLOOKUP(B84,#REF!,$Z$2,0),0)</f>
        <v>0</v>
      </c>
      <c r="AA84" s="9">
        <f>IFERROR(VLOOKUP(B84,cubo!$A$6:$BE$37,28,0)-VLOOKUP(B84,#REF!,$AA$2,0),0)</f>
        <v>0</v>
      </c>
      <c r="AB84" s="9">
        <f>IFERROR(VLOOKUP(B84,cubo!$A$6:$BE$37,29,0)-VLOOKUP(B84,#REF!,$AB$2,0),0)</f>
        <v>0</v>
      </c>
      <c r="AC84" s="9">
        <f>IFERROR(VLOOKUP(B84,cubo!$A$6:$BE$37,30,0)-VLOOKUP(B84,#REF!,$AC$2,0),0)</f>
        <v>0</v>
      </c>
      <c r="AD84" s="9">
        <f>IFERROR(VLOOKUP(B84,cubo!$A$6:$BE$37,31,0)-VLOOKUP(B84,#REF!,$AD$2,0),0)</f>
        <v>0</v>
      </c>
      <c r="AE84" s="9">
        <f>IFERROR(VLOOKUP(B84,cubo!$A$6:$BE$37,35,0)-VLOOKUP(B84,#REF!,$AE$2,0),0)</f>
        <v>0</v>
      </c>
      <c r="AF84" s="9" cm="1">
        <f t="array" aca="1" ref="AF84" ca="1">IFERROR(rrPROCV(B84,cubo!$A$6:$BE$37,48,0)-VLOOKUP(B84,#REF!,$AF$2,0),0)</f>
        <v>0</v>
      </c>
      <c r="AG84" s="9">
        <f>IFERROR(VLOOKUP(B84,cubo!$A$6:$BE$37,49,0)-VLOOKUP(B84,#REF!,$AG$2,0),0)</f>
        <v>0</v>
      </c>
      <c r="AH84" s="9">
        <f>IFERROR(VLOOKUP(B84,cubo!$A$6:$BE$37,50,0)-VLOOKUP(B84,#REF!,$AH$2,0),0)</f>
        <v>0</v>
      </c>
      <c r="AI84" s="9">
        <f>IFERROR(VLOOKUP(B84,cubo!$A$6:$BE$37,51,0)-VLOOKUP(B84,#REF!,$AI$2,0),0)</f>
        <v>0</v>
      </c>
      <c r="AJ84" s="9">
        <f>IFERROR(VLOOKUP(B84,cubo!$A$6:$BI$116,62,0)-VLOOKUP(B84,#REF!,$AJ$2,0),0)</f>
        <v>0</v>
      </c>
      <c r="AK84" s="9">
        <f>IFERROR(VLOOKUP(B84,cubo!$A$6:$BJ$37,63,0)-VLOOKUP(B84,#REF!,$AK$2,0),0)</f>
        <v>0</v>
      </c>
      <c r="AL84" s="9">
        <f>IFERROR(VLOOKUP(B84,cubo!$A$6:$BE$37,58,0)-VLOOKUP(B84,#REF!,$AL$2,0),0)</f>
        <v>0</v>
      </c>
      <c r="AM84" s="9">
        <f>IFERROR(VLOOKUP(B84,cubo!$A$6:$BK$37,64,0)-VLOOKUP(B84,#REF!,$AM$2,0),0)</f>
        <v>0</v>
      </c>
      <c r="AN84" s="9">
        <f>IFERROR(VLOOKUP(B84,cubo!$A$6:$AN$37,41,0)-VLOOKUP(B84,#REF!,$AN$2,0),0)</f>
        <v>0</v>
      </c>
    </row>
    <row r="85" spans="2:40" x14ac:dyDescent="0.25">
      <c r="B85" s="7">
        <f>[1]salario!A84</f>
        <v>0</v>
      </c>
      <c r="C85" s="8">
        <f>[1]salario!C84</f>
        <v>0</v>
      </c>
      <c r="D85" s="9">
        <f>IFERROR(VLOOKUP(B85,cubo!$A$6:$BE$37,3,0)-VLOOKUP(B85,#REF!,$D$2,0),0)</f>
        <v>0</v>
      </c>
      <c r="E85" s="10">
        <f>IFERROR(VLOOKUP(B85,cubo!$A$6:$BE$37,5,0)-VLOOKUP(B85,#REF!,$E$2,0),0)</f>
        <v>0</v>
      </c>
      <c r="F85" s="10">
        <f>IFERROR(VLOOKUP(B85,cubo!$A$6:$BE$37,8,0)-VLOOKUP(B85,#REF!,$F$2,0),0)</f>
        <v>0</v>
      </c>
      <c r="G85" s="9">
        <f>IFERROR(VLOOKUP(B85,cubo!$A$6:$BE$37,11,0)-VLOOKUP(B85,#REF!,$G$2,0),0)</f>
        <v>0</v>
      </c>
      <c r="H85" s="9">
        <f>IFERROR(VLOOKUP(B85,cubo!$A$6:$BE$37,53,0)-VLOOKUP(B85,#REF!,$H$2,0),0)</f>
        <v>0</v>
      </c>
      <c r="I85" s="10">
        <f>IFERROR(VLOOKUP(B85,cubo!$A$6:$BE$37,14,0)-VLOOKUP(B85,#REF!,$I$2,0),0)</f>
        <v>0</v>
      </c>
      <c r="J85" s="9">
        <f>IFERROR(VLOOKUP(B85,cubo!$A$6:$BE$37,16,0)-VLOOKUP(B85,#REF!,$J$2,0),0)</f>
        <v>0</v>
      </c>
      <c r="K85" s="9">
        <f>IFERROR(VLOOKUP(B85,cubo!$A$6:$BE$37,17,0)-VLOOKUP(B85,#REF!,$K$2,0),0)</f>
        <v>0</v>
      </c>
      <c r="L85" s="9">
        <f>IFERROR(VLOOKUP(B85,cubo!$A$6:$BE$37,19,0)-VLOOKUP(B85,#REF!,$L$2,0),0)</f>
        <v>0</v>
      </c>
      <c r="M85" s="9">
        <f>IFERROR(VLOOKUP(B85,cubo!$A$6:$BE$37,23,0)-VLOOKUP(B85,#REF!,$M$2,0),0)</f>
        <v>0</v>
      </c>
      <c r="N85" s="9">
        <f>IFERROR(VLOOKUP(B85,cubo!$A$6:$BE$37,25,0)-VLOOKUP(B85,#REF!,$N$2,0),0)</f>
        <v>0</v>
      </c>
      <c r="O85" s="9">
        <f>IFERROR(VLOOKUP(B85,cubo!$A$6:$BE$37,33,0)-VLOOKUP(B85,#REF!,$O$2,0),0)</f>
        <v>0</v>
      </c>
      <c r="P85" s="8">
        <f>IFERROR(VLOOKUP(B85,cubo!$A$6:$BE$37,37,0)-VLOOKUP(B85,#REF!,$P$2,0),0)</f>
        <v>0</v>
      </c>
      <c r="Q85" s="8">
        <f>IFERROR(VLOOKUP(B85,cubo!$A$6:$BE$37,56,0)-VLOOKUP(B85,#REF!,$Q$2,0),0)</f>
        <v>0</v>
      </c>
      <c r="R85" s="9">
        <f>IFERROR(VLOOKUP(B85,cubo!$A$6:$BE$37,40,0)-VLOOKUP(B85,#REF!,$R$2,0),0)</f>
        <v>0</v>
      </c>
      <c r="S85" s="9">
        <f>IFERROR(VLOOKUP(B85,cubo!$A$6:$BE$37,43,0)-VLOOKUP(B85,#REF!,$S$2,0),0)</f>
        <v>0</v>
      </c>
      <c r="T85" s="9">
        <f>IFERROR(VLOOKUP(B85,cubo!$A$6:$BE$37,46,0)-VLOOKUP(B85,#REF!,$T$2,0),0)</f>
        <v>0</v>
      </c>
      <c r="U85" s="9">
        <f>IFERROR(VLOOKUP(B85,cubo!$A$6:$BE$37,51,0)-VLOOKUP(B85,#REF!,$U$2,0),0)</f>
        <v>0</v>
      </c>
      <c r="V85" s="9">
        <f>IFERROR(VLOOKUP(B85,cubo!$A$6:$BJ$37,60,0)-VLOOKUP(B85,#REF!,$V$2,0),0)</f>
        <v>0</v>
      </c>
      <c r="W85" s="9">
        <f>IFERROR(VLOOKUP(B85,cubo!$A$6:$BE$37,26,0)-VLOOKUP(B85,#REF!,$W$2,0),0)</f>
        <v>0</v>
      </c>
      <c r="X85" s="9">
        <f>IFERROR(VLOOKUP(B85,cubo!$A$6:$BE$37,20,0)-VLOOKUP(B85,#REF!,$X$2,0),0)</f>
        <v>0</v>
      </c>
      <c r="Y85" s="9">
        <f>IFERROR(VLOOKUP(B85,cubo!$A$6:$BE$37,21,0)-VLOOKUP(B85,#REF!,$Y$2,0),0)</f>
        <v>0</v>
      </c>
      <c r="Z85" s="9">
        <f>IFERROR(VLOOKUP(B85,cubo!$A$6:$BE$37,27,0)-VLOOKUP(B85,#REF!,$Z$2,0),0)</f>
        <v>0</v>
      </c>
      <c r="AA85" s="9">
        <f>IFERROR(VLOOKUP(B85,cubo!$A$6:$BE$37,28,0)-VLOOKUP(B85,#REF!,$AA$2,0),0)</f>
        <v>0</v>
      </c>
      <c r="AB85" s="9">
        <f>IFERROR(VLOOKUP(B85,cubo!$A$6:$BE$37,29,0)-VLOOKUP(B85,#REF!,$AB$2,0),0)</f>
        <v>0</v>
      </c>
      <c r="AC85" s="9">
        <f>IFERROR(VLOOKUP(B85,cubo!$A$6:$BE$37,30,0)-VLOOKUP(B85,#REF!,$AC$2,0),0)</f>
        <v>0</v>
      </c>
      <c r="AD85" s="9">
        <f>IFERROR(VLOOKUP(B85,cubo!$A$6:$BE$37,31,0)-VLOOKUP(B85,#REF!,$AD$2,0),0)</f>
        <v>0</v>
      </c>
      <c r="AE85" s="9">
        <f>IFERROR(VLOOKUP(B85,cubo!$A$6:$BE$37,35,0)-VLOOKUP(B85,#REF!,$AE$2,0),0)</f>
        <v>0</v>
      </c>
      <c r="AF85" s="9" cm="1">
        <f t="array" aca="1" ref="AF85" ca="1">IFERROR(rrPROCV(B85,cubo!$A$6:$BE$37,48,0)-VLOOKUP(B85,#REF!,$AF$2,0),0)</f>
        <v>0</v>
      </c>
      <c r="AG85" s="9">
        <f>IFERROR(VLOOKUP(B85,cubo!$A$6:$BE$37,49,0)-VLOOKUP(B85,#REF!,$AG$2,0),0)</f>
        <v>0</v>
      </c>
      <c r="AH85" s="9">
        <f>IFERROR(VLOOKUP(B85,cubo!$A$6:$BE$37,50,0)-VLOOKUP(B85,#REF!,$AH$2,0),0)</f>
        <v>0</v>
      </c>
      <c r="AI85" s="9">
        <f>IFERROR(VLOOKUP(B85,cubo!$A$6:$BE$37,51,0)-VLOOKUP(B85,#REF!,$AI$2,0),0)</f>
        <v>0</v>
      </c>
      <c r="AJ85" s="9">
        <f>IFERROR(VLOOKUP(B85,cubo!$A$6:$BI$116,62,0)-VLOOKUP(B85,#REF!,$AJ$2,0),0)</f>
        <v>0</v>
      </c>
      <c r="AK85" s="9">
        <f>IFERROR(VLOOKUP(B85,cubo!$A$6:$BJ$37,63,0)-VLOOKUP(B85,#REF!,$AK$2,0),0)</f>
        <v>0</v>
      </c>
      <c r="AL85" s="9">
        <f>IFERROR(VLOOKUP(B85,cubo!$A$6:$BE$37,58,0)-VLOOKUP(B85,#REF!,$AL$2,0),0)</f>
        <v>0</v>
      </c>
      <c r="AM85" s="9">
        <f>IFERROR(VLOOKUP(B85,cubo!$A$6:$BK$37,64,0)-VLOOKUP(B85,#REF!,$AM$2,0),0)</f>
        <v>0</v>
      </c>
      <c r="AN85" s="9">
        <f>IFERROR(VLOOKUP(B85,cubo!$A$6:$AN$37,41,0)-VLOOKUP(B85,#REF!,$AN$2,0),0)</f>
        <v>0</v>
      </c>
    </row>
    <row r="86" spans="2:40" x14ac:dyDescent="0.25">
      <c r="B86" s="7">
        <f>[1]salario!A85</f>
        <v>0</v>
      </c>
      <c r="C86" s="8">
        <f>[1]salario!C85</f>
        <v>0</v>
      </c>
      <c r="D86" s="9">
        <f>IFERROR(VLOOKUP(B86,cubo!$A$6:$BE$37,3,0)-VLOOKUP(B86,#REF!,$D$2,0),0)</f>
        <v>0</v>
      </c>
      <c r="E86" s="10">
        <f>IFERROR(VLOOKUP(B86,cubo!$A$6:$BE$37,5,0)-VLOOKUP(B86,#REF!,$E$2,0),0)</f>
        <v>0</v>
      </c>
      <c r="F86" s="10">
        <f>IFERROR(VLOOKUP(B86,cubo!$A$6:$BE$37,8,0)-VLOOKUP(B86,#REF!,$F$2,0),0)</f>
        <v>0</v>
      </c>
      <c r="G86" s="9">
        <f>IFERROR(VLOOKUP(B86,cubo!$A$6:$BE$37,11,0)-VLOOKUP(B86,#REF!,$G$2,0),0)</f>
        <v>0</v>
      </c>
      <c r="H86" s="9">
        <f>IFERROR(VLOOKUP(B86,cubo!$A$6:$BE$37,53,0)-VLOOKUP(B86,#REF!,$H$2,0),0)</f>
        <v>0</v>
      </c>
      <c r="I86" s="10">
        <f>IFERROR(VLOOKUP(B86,cubo!$A$6:$BE$37,14,0)-VLOOKUP(B86,#REF!,$I$2,0),0)</f>
        <v>0</v>
      </c>
      <c r="J86" s="9">
        <f>IFERROR(VLOOKUP(B86,cubo!$A$6:$BE$37,16,0)-VLOOKUP(B86,#REF!,$J$2,0),0)</f>
        <v>0</v>
      </c>
      <c r="K86" s="9">
        <f>IFERROR(VLOOKUP(B86,cubo!$A$6:$BE$37,17,0)-VLOOKUP(B86,#REF!,$K$2,0),0)</f>
        <v>0</v>
      </c>
      <c r="L86" s="9">
        <f>IFERROR(VLOOKUP(B86,cubo!$A$6:$BE$37,19,0)-VLOOKUP(B86,#REF!,$L$2,0),0)</f>
        <v>0</v>
      </c>
      <c r="M86" s="9">
        <f>IFERROR(VLOOKUP(B86,cubo!$A$6:$BE$37,23,0)-VLOOKUP(B86,#REF!,$M$2,0),0)</f>
        <v>0</v>
      </c>
      <c r="N86" s="9">
        <f>IFERROR(VLOOKUP(B86,cubo!$A$6:$BE$37,25,0)-VLOOKUP(B86,#REF!,$N$2,0),0)</f>
        <v>0</v>
      </c>
      <c r="O86" s="9">
        <f>IFERROR(VLOOKUP(B86,cubo!$A$6:$BE$37,33,0)-VLOOKUP(B86,#REF!,$O$2,0),0)</f>
        <v>0</v>
      </c>
      <c r="P86" s="8">
        <f>IFERROR(VLOOKUP(B86,cubo!$A$6:$BE$37,37,0)-VLOOKUP(B86,#REF!,$P$2,0),0)</f>
        <v>0</v>
      </c>
      <c r="Q86" s="8">
        <f>IFERROR(VLOOKUP(B86,cubo!$A$6:$BE$37,56,0)-VLOOKUP(B86,#REF!,$Q$2,0),0)</f>
        <v>0</v>
      </c>
      <c r="R86" s="9">
        <f>IFERROR(VLOOKUP(B86,cubo!$A$6:$BE$37,40,0)-VLOOKUP(B86,#REF!,$R$2,0),0)</f>
        <v>0</v>
      </c>
      <c r="S86" s="9">
        <f>IFERROR(VLOOKUP(B86,cubo!$A$6:$BE$37,43,0)-VLOOKUP(B86,#REF!,$S$2,0),0)</f>
        <v>0</v>
      </c>
      <c r="T86" s="9">
        <f>IFERROR(VLOOKUP(B86,cubo!$A$6:$BE$37,46,0)-VLOOKUP(B86,#REF!,$T$2,0),0)</f>
        <v>0</v>
      </c>
      <c r="U86" s="9">
        <f>IFERROR(VLOOKUP(B86,cubo!$A$6:$BE$37,51,0)-VLOOKUP(B86,#REF!,$U$2,0),0)</f>
        <v>0</v>
      </c>
      <c r="V86" s="9">
        <f>IFERROR(VLOOKUP(B86,cubo!$A$6:$BJ$37,60,0)-VLOOKUP(B86,#REF!,$V$2,0),0)</f>
        <v>0</v>
      </c>
      <c r="W86" s="9">
        <f>IFERROR(VLOOKUP(B86,cubo!$A$6:$BE$37,26,0)-VLOOKUP(B86,#REF!,$W$2,0),0)</f>
        <v>0</v>
      </c>
      <c r="X86" s="9">
        <f>IFERROR(VLOOKUP(B86,cubo!$A$6:$BE$37,20,0)-VLOOKUP(B86,#REF!,$X$2,0),0)</f>
        <v>0</v>
      </c>
      <c r="Y86" s="9">
        <f>IFERROR(VLOOKUP(B86,cubo!$A$6:$BE$37,21,0)-VLOOKUP(B86,#REF!,$Y$2,0),0)</f>
        <v>0</v>
      </c>
      <c r="Z86" s="9">
        <f>IFERROR(VLOOKUP(B86,cubo!$A$6:$BE$37,27,0)-VLOOKUP(B86,#REF!,$Z$2,0),0)</f>
        <v>0</v>
      </c>
      <c r="AA86" s="9">
        <f>IFERROR(VLOOKUP(B86,cubo!$A$6:$BE$37,28,0)-VLOOKUP(B86,#REF!,$AA$2,0),0)</f>
        <v>0</v>
      </c>
      <c r="AB86" s="9">
        <f>IFERROR(VLOOKUP(B86,cubo!$A$6:$BE$37,29,0)-VLOOKUP(B86,#REF!,$AB$2,0),0)</f>
        <v>0</v>
      </c>
      <c r="AC86" s="9">
        <f>IFERROR(VLOOKUP(B86,cubo!$A$6:$BE$37,30,0)-VLOOKUP(B86,#REF!,$AC$2,0),0)</f>
        <v>0</v>
      </c>
      <c r="AD86" s="9">
        <f>IFERROR(VLOOKUP(B86,cubo!$A$6:$BE$37,31,0)-VLOOKUP(B86,#REF!,$AD$2,0),0)</f>
        <v>0</v>
      </c>
      <c r="AE86" s="9">
        <f>IFERROR(VLOOKUP(B86,cubo!$A$6:$BE$37,35,0)-VLOOKUP(B86,#REF!,$AE$2,0),0)</f>
        <v>0</v>
      </c>
      <c r="AF86" s="9" cm="1">
        <f t="array" aca="1" ref="AF86" ca="1">IFERROR(rrPROCV(B86,cubo!$A$6:$BE$37,48,0)-VLOOKUP(B86,#REF!,$AF$2,0),0)</f>
        <v>0</v>
      </c>
      <c r="AG86" s="9">
        <f>IFERROR(VLOOKUP(B86,cubo!$A$6:$BE$37,49,0)-VLOOKUP(B86,#REF!,$AG$2,0),0)</f>
        <v>0</v>
      </c>
      <c r="AH86" s="9">
        <f>IFERROR(VLOOKUP(B86,cubo!$A$6:$BE$37,50,0)-VLOOKUP(B86,#REF!,$AH$2,0),0)</f>
        <v>0</v>
      </c>
      <c r="AI86" s="9">
        <f>IFERROR(VLOOKUP(B86,cubo!$A$6:$BE$37,51,0)-VLOOKUP(B86,#REF!,$AI$2,0),0)</f>
        <v>0</v>
      </c>
      <c r="AJ86" s="9">
        <f>IFERROR(VLOOKUP(B86,cubo!$A$6:$BI$116,62,0)-VLOOKUP(B86,#REF!,$AJ$2,0),0)</f>
        <v>0</v>
      </c>
      <c r="AK86" s="9">
        <f>IFERROR(VLOOKUP(B86,cubo!$A$6:$BJ$37,63,0)-VLOOKUP(B86,#REF!,$AK$2,0),0)</f>
        <v>0</v>
      </c>
      <c r="AL86" s="9">
        <f>IFERROR(VLOOKUP(B86,cubo!$A$6:$BE$37,58,0)-VLOOKUP(B86,#REF!,$AL$2,0),0)</f>
        <v>0</v>
      </c>
      <c r="AM86" s="9">
        <f>IFERROR(VLOOKUP(B86,cubo!$A$6:$BK$37,64,0)-VLOOKUP(B86,#REF!,$AM$2,0),0)</f>
        <v>0</v>
      </c>
      <c r="AN86" s="9">
        <f>IFERROR(VLOOKUP(B86,cubo!$A$6:$AN$37,41,0)-VLOOKUP(B86,#REF!,$AN$2,0),0)</f>
        <v>0</v>
      </c>
    </row>
    <row r="87" spans="2:40" x14ac:dyDescent="0.25">
      <c r="B87" s="7">
        <f>[1]salario!A86</f>
        <v>0</v>
      </c>
      <c r="C87" s="8">
        <f>[1]salario!C86</f>
        <v>0</v>
      </c>
      <c r="D87" s="9">
        <f>IFERROR(VLOOKUP(B87,cubo!$A$6:$BE$37,3,0)-VLOOKUP(B87,#REF!,$D$2,0),0)</f>
        <v>0</v>
      </c>
      <c r="E87" s="10">
        <f>IFERROR(VLOOKUP(B87,cubo!$A$6:$BE$37,5,0)-VLOOKUP(B87,#REF!,$E$2,0),0)</f>
        <v>0</v>
      </c>
      <c r="F87" s="10">
        <f>IFERROR(VLOOKUP(B87,cubo!$A$6:$BE$37,8,0)-VLOOKUP(B87,#REF!,$F$2,0),0)</f>
        <v>0</v>
      </c>
      <c r="G87" s="9">
        <f>IFERROR(VLOOKUP(B87,cubo!$A$6:$BE$37,11,0)-VLOOKUP(B87,#REF!,$G$2,0),0)</f>
        <v>0</v>
      </c>
      <c r="H87" s="9">
        <f>IFERROR(VLOOKUP(B87,cubo!$A$6:$BE$37,53,0)-VLOOKUP(B87,#REF!,$H$2,0),0)</f>
        <v>0</v>
      </c>
      <c r="I87" s="10">
        <f>IFERROR(VLOOKUP(B87,cubo!$A$6:$BE$37,14,0)-VLOOKUP(B87,#REF!,$I$2,0),0)</f>
        <v>0</v>
      </c>
      <c r="J87" s="9">
        <f>IFERROR(VLOOKUP(B87,cubo!$A$6:$BE$37,16,0)-VLOOKUP(B87,#REF!,$J$2,0),0)</f>
        <v>0</v>
      </c>
      <c r="K87" s="9">
        <f>IFERROR(VLOOKUP(B87,cubo!$A$6:$BE$37,17,0)-VLOOKUP(B87,#REF!,$K$2,0),0)</f>
        <v>0</v>
      </c>
      <c r="L87" s="9">
        <f>IFERROR(VLOOKUP(B87,cubo!$A$6:$BE$37,19,0)-VLOOKUP(B87,#REF!,$L$2,0),0)</f>
        <v>0</v>
      </c>
      <c r="M87" s="9">
        <f>IFERROR(VLOOKUP(B87,cubo!$A$6:$BE$37,23,0)-VLOOKUP(B87,#REF!,$M$2,0),0)</f>
        <v>0</v>
      </c>
      <c r="N87" s="9">
        <f>IFERROR(VLOOKUP(B87,cubo!$A$6:$BE$37,25,0)-VLOOKUP(B87,#REF!,$N$2,0),0)</f>
        <v>0</v>
      </c>
      <c r="O87" s="9">
        <f>IFERROR(VLOOKUP(B87,cubo!$A$6:$BE$37,33,0)-VLOOKUP(B87,#REF!,$O$2,0),0)</f>
        <v>0</v>
      </c>
      <c r="P87" s="8">
        <f>IFERROR(VLOOKUP(B87,cubo!$A$6:$BE$37,37,0)-VLOOKUP(B87,#REF!,$P$2,0),0)</f>
        <v>0</v>
      </c>
      <c r="Q87" s="8">
        <f>IFERROR(VLOOKUP(B87,cubo!$A$6:$BE$37,56,0)-VLOOKUP(B87,#REF!,$Q$2,0),0)</f>
        <v>0</v>
      </c>
      <c r="R87" s="9">
        <f>IFERROR(VLOOKUP(B87,cubo!$A$6:$BE$37,40,0)-VLOOKUP(B87,#REF!,$R$2,0),0)</f>
        <v>0</v>
      </c>
      <c r="S87" s="9">
        <f>IFERROR(VLOOKUP(B87,cubo!$A$6:$BE$37,43,0)-VLOOKUP(B87,#REF!,$S$2,0),0)</f>
        <v>0</v>
      </c>
      <c r="T87" s="9">
        <f>IFERROR(VLOOKUP(B87,cubo!$A$6:$BE$37,46,0)-VLOOKUP(B87,#REF!,$T$2,0),0)</f>
        <v>0</v>
      </c>
      <c r="U87" s="9">
        <f>IFERROR(VLOOKUP(B87,cubo!$A$6:$BE$37,51,0)-VLOOKUP(B87,#REF!,$U$2,0),0)</f>
        <v>0</v>
      </c>
      <c r="V87" s="9">
        <f>IFERROR(VLOOKUP(B87,cubo!$A$6:$BJ$37,60,0)-VLOOKUP(B87,#REF!,$V$2,0),0)</f>
        <v>0</v>
      </c>
      <c r="W87" s="9">
        <f>IFERROR(VLOOKUP(B87,cubo!$A$6:$BE$37,26,0)-VLOOKUP(B87,#REF!,$W$2,0),0)</f>
        <v>0</v>
      </c>
      <c r="X87" s="9">
        <f>IFERROR(VLOOKUP(B87,cubo!$A$6:$BE$37,20,0)-VLOOKUP(B87,#REF!,$X$2,0),0)</f>
        <v>0</v>
      </c>
      <c r="Y87" s="9">
        <f>IFERROR(VLOOKUP(B87,cubo!$A$6:$BE$37,21,0)-VLOOKUP(B87,#REF!,$Y$2,0),0)</f>
        <v>0</v>
      </c>
      <c r="Z87" s="9">
        <f>IFERROR(VLOOKUP(B87,cubo!$A$6:$BE$37,27,0)-VLOOKUP(B87,#REF!,$Z$2,0),0)</f>
        <v>0</v>
      </c>
      <c r="AA87" s="9">
        <f>IFERROR(VLOOKUP(B87,cubo!$A$6:$BE$37,28,0)-VLOOKUP(B87,#REF!,$AA$2,0),0)</f>
        <v>0</v>
      </c>
      <c r="AB87" s="9">
        <f>IFERROR(VLOOKUP(B87,cubo!$A$6:$BE$37,29,0)-VLOOKUP(B87,#REF!,$AB$2,0),0)</f>
        <v>0</v>
      </c>
      <c r="AC87" s="9">
        <f>IFERROR(VLOOKUP(B87,cubo!$A$6:$BE$37,30,0)-VLOOKUP(B87,#REF!,$AC$2,0),0)</f>
        <v>0</v>
      </c>
      <c r="AD87" s="9">
        <f>IFERROR(VLOOKUP(B87,cubo!$A$6:$BE$37,31,0)-VLOOKUP(B87,#REF!,$AD$2,0),0)</f>
        <v>0</v>
      </c>
      <c r="AE87" s="9">
        <f>IFERROR(VLOOKUP(B87,cubo!$A$6:$BE$37,35,0)-VLOOKUP(B87,#REF!,$AE$2,0),0)</f>
        <v>0</v>
      </c>
      <c r="AF87" s="9" cm="1">
        <f t="array" aca="1" ref="AF87" ca="1">IFERROR(rrPROCV(B87,cubo!$A$6:$BE$37,48,0)-VLOOKUP(B87,#REF!,$AF$2,0),0)</f>
        <v>0</v>
      </c>
      <c r="AG87" s="9">
        <f>IFERROR(VLOOKUP(B87,cubo!$A$6:$BE$37,49,0)-VLOOKUP(B87,#REF!,$AG$2,0),0)</f>
        <v>0</v>
      </c>
      <c r="AH87" s="9">
        <f>IFERROR(VLOOKUP(B87,cubo!$A$6:$BE$37,50,0)-VLOOKUP(B87,#REF!,$AH$2,0),0)</f>
        <v>0</v>
      </c>
      <c r="AI87" s="9">
        <f>IFERROR(VLOOKUP(B87,cubo!$A$6:$BE$37,51,0)-VLOOKUP(B87,#REF!,$AI$2,0),0)</f>
        <v>0</v>
      </c>
      <c r="AJ87" s="9">
        <f>IFERROR(VLOOKUP(B87,cubo!$A$6:$BI$116,62,0)-VLOOKUP(B87,#REF!,$AJ$2,0),0)</f>
        <v>0</v>
      </c>
      <c r="AK87" s="9">
        <f>IFERROR(VLOOKUP(B87,cubo!$A$6:$BJ$37,63,0)-VLOOKUP(B87,#REF!,$AK$2,0),0)</f>
        <v>0</v>
      </c>
      <c r="AL87" s="9">
        <f>IFERROR(VLOOKUP(B87,cubo!$A$6:$BE$37,58,0)-VLOOKUP(B87,#REF!,$AL$2,0),0)</f>
        <v>0</v>
      </c>
      <c r="AM87" s="9">
        <f>IFERROR(VLOOKUP(B87,cubo!$A$6:$BK$37,64,0)-VLOOKUP(B87,#REF!,$AM$2,0),0)</f>
        <v>0</v>
      </c>
      <c r="AN87" s="9">
        <f>IFERROR(VLOOKUP(B87,cubo!$A$6:$AN$37,41,0)-VLOOKUP(B87,#REF!,$AN$2,0),0)</f>
        <v>0</v>
      </c>
    </row>
    <row r="88" spans="2:40" x14ac:dyDescent="0.25">
      <c r="B88" s="7">
        <f>[1]salario!A87</f>
        <v>0</v>
      </c>
      <c r="C88" s="8">
        <f>[1]salario!C87</f>
        <v>0</v>
      </c>
      <c r="D88" s="9">
        <f>IFERROR(VLOOKUP(B88,cubo!$A$6:$BE$37,3,0)-VLOOKUP(B88,#REF!,$D$2,0),0)</f>
        <v>0</v>
      </c>
      <c r="E88" s="10">
        <f>IFERROR(VLOOKUP(B88,cubo!$A$6:$BE$37,5,0)-VLOOKUP(B88,#REF!,$E$2,0),0)</f>
        <v>0</v>
      </c>
      <c r="F88" s="10">
        <f>IFERROR(VLOOKUP(B88,cubo!$A$6:$BE$37,8,0)-VLOOKUP(B88,#REF!,$F$2,0),0)</f>
        <v>0</v>
      </c>
      <c r="G88" s="9">
        <f>IFERROR(VLOOKUP(B88,cubo!$A$6:$BE$37,11,0)-VLOOKUP(B88,#REF!,$G$2,0),0)</f>
        <v>0</v>
      </c>
      <c r="H88" s="9">
        <f>IFERROR(VLOOKUP(B88,cubo!$A$6:$BE$37,53,0)-VLOOKUP(B88,#REF!,$H$2,0),0)</f>
        <v>0</v>
      </c>
      <c r="I88" s="10">
        <f>IFERROR(VLOOKUP(B88,cubo!$A$6:$BE$37,14,0)-VLOOKUP(B88,#REF!,$I$2,0),0)</f>
        <v>0</v>
      </c>
      <c r="J88" s="9">
        <f>IFERROR(VLOOKUP(B88,cubo!$A$6:$BE$37,16,0)-VLOOKUP(B88,#REF!,$J$2,0),0)</f>
        <v>0</v>
      </c>
      <c r="K88" s="9">
        <f>IFERROR(VLOOKUP(B88,cubo!$A$6:$BE$37,17,0)-VLOOKUP(B88,#REF!,$K$2,0),0)</f>
        <v>0</v>
      </c>
      <c r="L88" s="9">
        <f>IFERROR(VLOOKUP(B88,cubo!$A$6:$BE$37,19,0)-VLOOKUP(B88,#REF!,$L$2,0),0)</f>
        <v>0</v>
      </c>
      <c r="M88" s="9">
        <f>IFERROR(VLOOKUP(B88,cubo!$A$6:$BE$37,23,0)-VLOOKUP(B88,#REF!,$M$2,0),0)</f>
        <v>0</v>
      </c>
      <c r="N88" s="9">
        <f>IFERROR(VLOOKUP(B88,cubo!$A$6:$BE$37,25,0)-VLOOKUP(B88,#REF!,$N$2,0),0)</f>
        <v>0</v>
      </c>
      <c r="O88" s="9">
        <f>IFERROR(VLOOKUP(B88,cubo!$A$6:$BE$37,33,0)-VLOOKUP(B88,#REF!,$O$2,0),0)</f>
        <v>0</v>
      </c>
      <c r="P88" s="8">
        <f>IFERROR(VLOOKUP(B88,cubo!$A$6:$BE$37,37,0)-VLOOKUP(B88,#REF!,$P$2,0),0)</f>
        <v>0</v>
      </c>
      <c r="Q88" s="8">
        <f>IFERROR(VLOOKUP(B88,cubo!$A$6:$BE$37,56,0)-VLOOKUP(B88,#REF!,$Q$2,0),0)</f>
        <v>0</v>
      </c>
      <c r="R88" s="9">
        <f>IFERROR(VLOOKUP(B88,cubo!$A$6:$BE$37,40,0)-VLOOKUP(B88,#REF!,$R$2,0),0)</f>
        <v>0</v>
      </c>
      <c r="S88" s="9">
        <f>IFERROR(VLOOKUP(B88,cubo!$A$6:$BE$37,43,0)-VLOOKUP(B88,#REF!,$S$2,0),0)</f>
        <v>0</v>
      </c>
      <c r="T88" s="9">
        <f>IFERROR(VLOOKUP(B88,cubo!$A$6:$BE$37,46,0)-VLOOKUP(B88,#REF!,$T$2,0),0)</f>
        <v>0</v>
      </c>
      <c r="U88" s="9">
        <f>IFERROR(VLOOKUP(B88,cubo!$A$6:$BE$37,51,0)-VLOOKUP(B88,#REF!,$U$2,0),0)</f>
        <v>0</v>
      </c>
      <c r="V88" s="9">
        <f>IFERROR(VLOOKUP(B88,cubo!$A$6:$BJ$37,60,0)-VLOOKUP(B88,#REF!,$V$2,0),0)</f>
        <v>0</v>
      </c>
      <c r="W88" s="9">
        <f>IFERROR(VLOOKUP(B88,cubo!$A$6:$BE$37,26,0)-VLOOKUP(B88,#REF!,$W$2,0),0)</f>
        <v>0</v>
      </c>
      <c r="X88" s="9">
        <f>IFERROR(VLOOKUP(B88,cubo!$A$6:$BE$37,20,0)-VLOOKUP(B88,#REF!,$X$2,0),0)</f>
        <v>0</v>
      </c>
      <c r="Y88" s="9">
        <f>IFERROR(VLOOKUP(B88,cubo!$A$6:$BE$37,21,0)-VLOOKUP(B88,#REF!,$Y$2,0),0)</f>
        <v>0</v>
      </c>
      <c r="Z88" s="9">
        <f>IFERROR(VLOOKUP(B88,cubo!$A$6:$BE$37,27,0)-VLOOKUP(B88,#REF!,$Z$2,0),0)</f>
        <v>0</v>
      </c>
      <c r="AA88" s="9">
        <f>IFERROR(VLOOKUP(B88,cubo!$A$6:$BE$37,28,0)-VLOOKUP(B88,#REF!,$AA$2,0),0)</f>
        <v>0</v>
      </c>
      <c r="AB88" s="9">
        <f>IFERROR(VLOOKUP(B88,cubo!$A$6:$BE$37,29,0)-VLOOKUP(B88,#REF!,$AB$2,0),0)</f>
        <v>0</v>
      </c>
      <c r="AC88" s="9">
        <f>IFERROR(VLOOKUP(B88,cubo!$A$6:$BE$37,30,0)-VLOOKUP(B88,#REF!,$AC$2,0),0)</f>
        <v>0</v>
      </c>
      <c r="AD88" s="9">
        <f>IFERROR(VLOOKUP(B88,cubo!$A$6:$BE$37,31,0)-VLOOKUP(B88,#REF!,$AD$2,0),0)</f>
        <v>0</v>
      </c>
      <c r="AE88" s="9">
        <f>IFERROR(VLOOKUP(B88,cubo!$A$6:$BE$37,35,0)-VLOOKUP(B88,#REF!,$AE$2,0),0)</f>
        <v>0</v>
      </c>
      <c r="AF88" s="9" cm="1">
        <f t="array" aca="1" ref="AF88" ca="1">IFERROR(rrPROCV(B88,cubo!$A$6:$BE$37,48,0)-VLOOKUP(B88,#REF!,$AF$2,0),0)</f>
        <v>0</v>
      </c>
      <c r="AG88" s="9">
        <f>IFERROR(VLOOKUP(B88,cubo!$A$6:$BE$37,49,0)-VLOOKUP(B88,#REF!,$AG$2,0),0)</f>
        <v>0</v>
      </c>
      <c r="AH88" s="9">
        <f>IFERROR(VLOOKUP(B88,cubo!$A$6:$BE$37,50,0)-VLOOKUP(B88,#REF!,$AH$2,0),0)</f>
        <v>0</v>
      </c>
      <c r="AI88" s="9">
        <f>IFERROR(VLOOKUP(B88,cubo!$A$6:$BE$37,51,0)-VLOOKUP(B88,#REF!,$AI$2,0),0)</f>
        <v>0</v>
      </c>
      <c r="AJ88" s="9">
        <f>IFERROR(VLOOKUP(B88,cubo!$A$6:$BI$116,62,0)-VLOOKUP(B88,#REF!,$AJ$2,0),0)</f>
        <v>0</v>
      </c>
      <c r="AK88" s="9">
        <f>IFERROR(VLOOKUP(B88,cubo!$A$6:$BJ$37,63,0)-VLOOKUP(B88,#REF!,$AK$2,0),0)</f>
        <v>0</v>
      </c>
      <c r="AL88" s="9">
        <f>IFERROR(VLOOKUP(B88,cubo!$A$6:$BE$37,58,0)-VLOOKUP(B88,#REF!,$AL$2,0),0)</f>
        <v>0</v>
      </c>
      <c r="AM88" s="9">
        <f>IFERROR(VLOOKUP(B88,cubo!$A$6:$BK$37,64,0)-VLOOKUP(B88,#REF!,$AM$2,0),0)</f>
        <v>0</v>
      </c>
      <c r="AN88" s="9">
        <f>IFERROR(VLOOKUP(B88,cubo!$A$6:$AN$37,41,0)-VLOOKUP(B88,#REF!,$AN$2,0),0)</f>
        <v>0</v>
      </c>
    </row>
    <row r="89" spans="2:40" x14ac:dyDescent="0.25">
      <c r="B89" s="7">
        <f>[1]salario!A88</f>
        <v>0</v>
      </c>
      <c r="C89" s="8">
        <f>[1]salario!C88</f>
        <v>0</v>
      </c>
      <c r="D89" s="9">
        <f>IFERROR(VLOOKUP(B89,cubo!$A$6:$BE$37,3,0)-VLOOKUP(B89,#REF!,$D$2,0),0)</f>
        <v>0</v>
      </c>
      <c r="E89" s="10">
        <f>IFERROR(VLOOKUP(B89,cubo!$A$6:$BE$37,5,0)-VLOOKUP(B89,#REF!,$E$2,0),0)</f>
        <v>0</v>
      </c>
      <c r="F89" s="10">
        <f>IFERROR(VLOOKUP(B89,cubo!$A$6:$BE$37,8,0)-VLOOKUP(B89,#REF!,$F$2,0),0)</f>
        <v>0</v>
      </c>
      <c r="G89" s="9">
        <f>IFERROR(VLOOKUP(B89,cubo!$A$6:$BE$37,11,0)-VLOOKUP(B89,#REF!,$G$2,0),0)</f>
        <v>0</v>
      </c>
      <c r="H89" s="9">
        <f>IFERROR(VLOOKUP(B89,cubo!$A$6:$BE$37,53,0)-VLOOKUP(B89,#REF!,$H$2,0),0)</f>
        <v>0</v>
      </c>
      <c r="I89" s="10">
        <f>IFERROR(VLOOKUP(B89,cubo!$A$6:$BE$37,14,0)-VLOOKUP(B89,#REF!,$I$2,0),0)</f>
        <v>0</v>
      </c>
      <c r="J89" s="9">
        <f>IFERROR(VLOOKUP(B89,cubo!$A$6:$BE$37,16,0)-VLOOKUP(B89,#REF!,$J$2,0),0)</f>
        <v>0</v>
      </c>
      <c r="K89" s="9">
        <f>IFERROR(VLOOKUP(B89,cubo!$A$6:$BE$37,17,0)-VLOOKUP(B89,#REF!,$K$2,0),0)</f>
        <v>0</v>
      </c>
      <c r="L89" s="9">
        <f>IFERROR(VLOOKUP(B89,cubo!$A$6:$BE$37,19,0)-VLOOKUP(B89,#REF!,$L$2,0),0)</f>
        <v>0</v>
      </c>
      <c r="M89" s="9">
        <f>IFERROR(VLOOKUP(B89,cubo!$A$6:$BE$37,23,0)-VLOOKUP(B89,#REF!,$M$2,0),0)</f>
        <v>0</v>
      </c>
      <c r="N89" s="9">
        <f>IFERROR(VLOOKUP(B89,cubo!$A$6:$BE$37,25,0)-VLOOKUP(B89,#REF!,$N$2,0),0)</f>
        <v>0</v>
      </c>
      <c r="O89" s="9">
        <f>IFERROR(VLOOKUP(B89,cubo!$A$6:$BE$37,33,0)-VLOOKUP(B89,#REF!,$O$2,0),0)</f>
        <v>0</v>
      </c>
      <c r="P89" s="8">
        <f>IFERROR(VLOOKUP(B89,cubo!$A$6:$BE$37,37,0)-VLOOKUP(B89,#REF!,$P$2,0),0)</f>
        <v>0</v>
      </c>
      <c r="Q89" s="8">
        <f>IFERROR(VLOOKUP(B89,cubo!$A$6:$BE$37,56,0)-VLOOKUP(B89,#REF!,$Q$2,0),0)</f>
        <v>0</v>
      </c>
      <c r="R89" s="9">
        <f>IFERROR(VLOOKUP(B89,cubo!$A$6:$BE$37,40,0)-VLOOKUP(B89,#REF!,$R$2,0),0)</f>
        <v>0</v>
      </c>
      <c r="S89" s="9">
        <f>IFERROR(VLOOKUP(B89,cubo!$A$6:$BE$37,43,0)-VLOOKUP(B89,#REF!,$S$2,0),0)</f>
        <v>0</v>
      </c>
      <c r="T89" s="9">
        <f>IFERROR(VLOOKUP(B89,cubo!$A$6:$BE$37,46,0)-VLOOKUP(B89,#REF!,$T$2,0),0)</f>
        <v>0</v>
      </c>
      <c r="U89" s="9">
        <f>IFERROR(VLOOKUP(B89,cubo!$A$6:$BE$37,51,0)-VLOOKUP(B89,#REF!,$U$2,0),0)</f>
        <v>0</v>
      </c>
      <c r="V89" s="9">
        <f>IFERROR(VLOOKUP(B89,cubo!$A$6:$BJ$37,60,0)-VLOOKUP(B89,#REF!,$V$2,0),0)</f>
        <v>0</v>
      </c>
      <c r="W89" s="9">
        <f>IFERROR(VLOOKUP(B89,cubo!$A$6:$BE$37,26,0)-VLOOKUP(B89,#REF!,$W$2,0),0)</f>
        <v>0</v>
      </c>
      <c r="X89" s="9">
        <f>IFERROR(VLOOKUP(B89,cubo!$A$6:$BE$37,20,0)-VLOOKUP(B89,#REF!,$X$2,0),0)</f>
        <v>0</v>
      </c>
      <c r="Y89" s="9">
        <f>IFERROR(VLOOKUP(B89,cubo!$A$6:$BE$37,21,0)-VLOOKUP(B89,#REF!,$Y$2,0),0)</f>
        <v>0</v>
      </c>
      <c r="Z89" s="9">
        <f>IFERROR(VLOOKUP(B89,cubo!$A$6:$BE$37,27,0)-VLOOKUP(B89,#REF!,$Z$2,0),0)</f>
        <v>0</v>
      </c>
      <c r="AA89" s="9">
        <f>IFERROR(VLOOKUP(B89,cubo!$A$6:$BE$37,28,0)-VLOOKUP(B89,#REF!,$AA$2,0),0)</f>
        <v>0</v>
      </c>
      <c r="AB89" s="9">
        <f>IFERROR(VLOOKUP(B89,cubo!$A$6:$BE$37,29,0)-VLOOKUP(B89,#REF!,$AB$2,0),0)</f>
        <v>0</v>
      </c>
      <c r="AC89" s="9">
        <f>IFERROR(VLOOKUP(B89,cubo!$A$6:$BE$37,30,0)-VLOOKUP(B89,#REF!,$AC$2,0),0)</f>
        <v>0</v>
      </c>
      <c r="AD89" s="9">
        <f>IFERROR(VLOOKUP(B89,cubo!$A$6:$BE$37,31,0)-VLOOKUP(B89,#REF!,$AD$2,0),0)</f>
        <v>0</v>
      </c>
      <c r="AE89" s="9">
        <f>IFERROR(VLOOKUP(B89,cubo!$A$6:$BE$37,35,0)-VLOOKUP(B89,#REF!,$AE$2,0),0)</f>
        <v>0</v>
      </c>
      <c r="AF89" s="9" cm="1">
        <f t="array" aca="1" ref="AF89" ca="1">IFERROR(rrPROCV(B89,cubo!$A$6:$BE$37,48,0)-VLOOKUP(B89,#REF!,$AF$2,0),0)</f>
        <v>0</v>
      </c>
      <c r="AG89" s="9">
        <f>IFERROR(VLOOKUP(B89,cubo!$A$6:$BE$37,49,0)-VLOOKUP(B89,#REF!,$AG$2,0),0)</f>
        <v>0</v>
      </c>
      <c r="AH89" s="9">
        <f>IFERROR(VLOOKUP(B89,cubo!$A$6:$BE$37,50,0)-VLOOKUP(B89,#REF!,$AH$2,0),0)</f>
        <v>0</v>
      </c>
      <c r="AI89" s="9">
        <f>IFERROR(VLOOKUP(B89,cubo!$A$6:$BE$37,51,0)-VLOOKUP(B89,#REF!,$AI$2,0),0)</f>
        <v>0</v>
      </c>
      <c r="AJ89" s="9">
        <f>IFERROR(VLOOKUP(B89,cubo!$A$6:$BI$116,62,0)-VLOOKUP(B89,#REF!,$AJ$2,0),0)</f>
        <v>0</v>
      </c>
      <c r="AK89" s="9">
        <f>IFERROR(VLOOKUP(B89,cubo!$A$6:$BJ$37,63,0)-VLOOKUP(B89,#REF!,$AK$2,0),0)</f>
        <v>0</v>
      </c>
      <c r="AL89" s="9">
        <f>IFERROR(VLOOKUP(B89,cubo!$A$6:$BE$37,58,0)-VLOOKUP(B89,#REF!,$AL$2,0),0)</f>
        <v>0</v>
      </c>
      <c r="AM89" s="9">
        <f>IFERROR(VLOOKUP(B89,cubo!$A$6:$BK$37,64,0)-VLOOKUP(B89,#REF!,$AM$2,0),0)</f>
        <v>0</v>
      </c>
      <c r="AN89" s="9">
        <f>IFERROR(VLOOKUP(B89,cubo!$A$6:$AN$37,41,0)-VLOOKUP(B89,#REF!,$AN$2,0),0)</f>
        <v>0</v>
      </c>
    </row>
    <row r="90" spans="2:40" x14ac:dyDescent="0.25">
      <c r="B90" s="7">
        <f>[1]salario!A89</f>
        <v>0</v>
      </c>
      <c r="C90" s="8">
        <f>[1]salario!C89</f>
        <v>0</v>
      </c>
      <c r="D90" s="9">
        <f>IFERROR(VLOOKUP(B90,cubo!$A$6:$BE$37,3,0)-VLOOKUP(B90,#REF!,$D$2,0),0)</f>
        <v>0</v>
      </c>
      <c r="E90" s="10">
        <f>IFERROR(VLOOKUP(B90,cubo!$A$6:$BE$37,5,0)-VLOOKUP(B90,#REF!,$E$2,0),0)</f>
        <v>0</v>
      </c>
      <c r="F90" s="10">
        <f>IFERROR(VLOOKUP(B90,cubo!$A$6:$BE$37,8,0)-VLOOKUP(B90,#REF!,$F$2,0),0)</f>
        <v>0</v>
      </c>
      <c r="G90" s="9">
        <f>IFERROR(VLOOKUP(B90,cubo!$A$6:$BE$37,11,0)-VLOOKUP(B90,#REF!,$G$2,0),0)</f>
        <v>0</v>
      </c>
      <c r="H90" s="9">
        <f>IFERROR(VLOOKUP(B90,cubo!$A$6:$BE$37,53,0)-VLOOKUP(B90,#REF!,$H$2,0),0)</f>
        <v>0</v>
      </c>
      <c r="I90" s="10">
        <f>IFERROR(VLOOKUP(B90,cubo!$A$6:$BE$37,14,0)-VLOOKUP(B90,#REF!,$I$2,0),0)</f>
        <v>0</v>
      </c>
      <c r="J90" s="9">
        <f>IFERROR(VLOOKUP(B90,cubo!$A$6:$BE$37,16,0)-VLOOKUP(B90,#REF!,$J$2,0),0)</f>
        <v>0</v>
      </c>
      <c r="K90" s="9">
        <f>IFERROR(VLOOKUP(B90,cubo!$A$6:$BE$37,17,0)-VLOOKUP(B90,#REF!,$K$2,0),0)</f>
        <v>0</v>
      </c>
      <c r="L90" s="9">
        <f>IFERROR(VLOOKUP(B90,cubo!$A$6:$BE$37,19,0)-VLOOKUP(B90,#REF!,$L$2,0),0)</f>
        <v>0</v>
      </c>
      <c r="M90" s="9">
        <f>IFERROR(VLOOKUP(B90,cubo!$A$6:$BE$37,23,0)-VLOOKUP(B90,#REF!,$M$2,0),0)</f>
        <v>0</v>
      </c>
      <c r="N90" s="9">
        <f>IFERROR(VLOOKUP(B90,cubo!$A$6:$BE$37,25,0)-VLOOKUP(B90,#REF!,$N$2,0),0)</f>
        <v>0</v>
      </c>
      <c r="O90" s="9">
        <f>IFERROR(VLOOKUP(B90,cubo!$A$6:$BE$37,33,0)-VLOOKUP(B90,#REF!,$O$2,0),0)</f>
        <v>0</v>
      </c>
      <c r="P90" s="8">
        <f>IFERROR(VLOOKUP(B90,cubo!$A$6:$BE$37,37,0)-VLOOKUP(B90,#REF!,$P$2,0),0)</f>
        <v>0</v>
      </c>
      <c r="Q90" s="8">
        <f>IFERROR(VLOOKUP(B90,cubo!$A$6:$BE$37,56,0)-VLOOKUP(B90,#REF!,$Q$2,0),0)</f>
        <v>0</v>
      </c>
      <c r="R90" s="9">
        <f>IFERROR(VLOOKUP(B90,cubo!$A$6:$BE$37,40,0)-VLOOKUP(B90,#REF!,$R$2,0),0)</f>
        <v>0</v>
      </c>
      <c r="S90" s="9">
        <f>IFERROR(VLOOKUP(B90,cubo!$A$6:$BE$37,43,0)-VLOOKUP(B90,#REF!,$S$2,0),0)</f>
        <v>0</v>
      </c>
      <c r="T90" s="9">
        <f>IFERROR(VLOOKUP(B90,cubo!$A$6:$BE$37,46,0)-VLOOKUP(B90,#REF!,$T$2,0),0)</f>
        <v>0</v>
      </c>
      <c r="U90" s="9">
        <f>IFERROR(VLOOKUP(B90,cubo!$A$6:$BE$37,51,0)-VLOOKUP(B90,#REF!,$U$2,0),0)</f>
        <v>0</v>
      </c>
      <c r="V90" s="9">
        <f>IFERROR(VLOOKUP(B90,cubo!$A$6:$BJ$37,60,0)-VLOOKUP(B90,#REF!,$V$2,0),0)</f>
        <v>0</v>
      </c>
      <c r="W90" s="9">
        <f>IFERROR(VLOOKUP(B90,cubo!$A$6:$BE$37,26,0)-VLOOKUP(B90,#REF!,$W$2,0),0)</f>
        <v>0</v>
      </c>
      <c r="X90" s="9">
        <f>IFERROR(VLOOKUP(B90,cubo!$A$6:$BE$37,20,0)-VLOOKUP(B90,#REF!,$X$2,0),0)</f>
        <v>0</v>
      </c>
      <c r="Y90" s="9">
        <f>IFERROR(VLOOKUP(B90,cubo!$A$6:$BE$37,21,0)-VLOOKUP(B90,#REF!,$Y$2,0),0)</f>
        <v>0</v>
      </c>
      <c r="Z90" s="9">
        <f>IFERROR(VLOOKUP(B90,cubo!$A$6:$BE$37,27,0)-VLOOKUP(B90,#REF!,$Z$2,0),0)</f>
        <v>0</v>
      </c>
      <c r="AA90" s="9">
        <f>IFERROR(VLOOKUP(B90,cubo!$A$6:$BE$37,28,0)-VLOOKUP(B90,#REF!,$AA$2,0),0)</f>
        <v>0</v>
      </c>
      <c r="AB90" s="9">
        <f>IFERROR(VLOOKUP(B90,cubo!$A$6:$BE$37,29,0)-VLOOKUP(B90,#REF!,$AB$2,0),0)</f>
        <v>0</v>
      </c>
      <c r="AC90" s="9">
        <f>IFERROR(VLOOKUP(B90,cubo!$A$6:$BE$37,30,0)-VLOOKUP(B90,#REF!,$AC$2,0),0)</f>
        <v>0</v>
      </c>
      <c r="AD90" s="9">
        <f>IFERROR(VLOOKUP(B90,cubo!$A$6:$BE$37,31,0)-VLOOKUP(B90,#REF!,$AD$2,0),0)</f>
        <v>0</v>
      </c>
      <c r="AE90" s="9">
        <f>IFERROR(VLOOKUP(B90,cubo!$A$6:$BE$37,35,0)-VLOOKUP(B90,#REF!,$AE$2,0),0)</f>
        <v>0</v>
      </c>
      <c r="AF90" s="9" cm="1">
        <f t="array" aca="1" ref="AF90" ca="1">IFERROR(rrPROCV(B90,cubo!$A$6:$BE$37,48,0)-VLOOKUP(B90,#REF!,$AF$2,0),0)</f>
        <v>0</v>
      </c>
      <c r="AG90" s="9">
        <f>IFERROR(VLOOKUP(B90,cubo!$A$6:$BE$37,49,0)-VLOOKUP(B90,#REF!,$AG$2,0),0)</f>
        <v>0</v>
      </c>
      <c r="AH90" s="9">
        <f>IFERROR(VLOOKUP(B90,cubo!$A$6:$BE$37,50,0)-VLOOKUP(B90,#REF!,$AH$2,0),0)</f>
        <v>0</v>
      </c>
      <c r="AI90" s="9">
        <f>IFERROR(VLOOKUP(B90,cubo!$A$6:$BE$37,51,0)-VLOOKUP(B90,#REF!,$AI$2,0),0)</f>
        <v>0</v>
      </c>
      <c r="AJ90" s="9">
        <f>IFERROR(VLOOKUP(B90,cubo!$A$6:$BI$116,62,0)-VLOOKUP(B90,#REF!,$AJ$2,0),0)</f>
        <v>0</v>
      </c>
      <c r="AK90" s="9">
        <f>IFERROR(VLOOKUP(B90,cubo!$A$6:$BJ$37,63,0)-VLOOKUP(B90,#REF!,$AK$2,0),0)</f>
        <v>0</v>
      </c>
      <c r="AL90" s="9">
        <f>IFERROR(VLOOKUP(B90,cubo!$A$6:$BE$37,58,0)-VLOOKUP(B90,#REF!,$AL$2,0),0)</f>
        <v>0</v>
      </c>
      <c r="AM90" s="9">
        <f>IFERROR(VLOOKUP(B90,cubo!$A$6:$BK$37,64,0)-VLOOKUP(B90,#REF!,$AM$2,0),0)</f>
        <v>0</v>
      </c>
      <c r="AN90" s="9">
        <f>IFERROR(VLOOKUP(B90,cubo!$A$6:$AN$37,41,0)-VLOOKUP(B90,#REF!,$AN$2,0),0)</f>
        <v>0</v>
      </c>
    </row>
    <row r="91" spans="2:40" x14ac:dyDescent="0.25">
      <c r="B91" s="7">
        <f>[1]salario!A90</f>
        <v>0</v>
      </c>
      <c r="C91" s="8">
        <f>[1]salario!C90</f>
        <v>0</v>
      </c>
      <c r="D91" s="9">
        <f>IFERROR(VLOOKUP(B91,cubo!$A$6:$BE$37,3,0)-VLOOKUP(B91,#REF!,$D$2,0),0)</f>
        <v>0</v>
      </c>
      <c r="E91" s="10">
        <f>IFERROR(VLOOKUP(B91,cubo!$A$6:$BE$37,5,0)-VLOOKUP(B91,#REF!,$E$2,0),0)</f>
        <v>0</v>
      </c>
      <c r="F91" s="10">
        <f>IFERROR(VLOOKUP(B91,cubo!$A$6:$BE$37,8,0)-VLOOKUP(B91,#REF!,$F$2,0),0)</f>
        <v>0</v>
      </c>
      <c r="G91" s="9">
        <f>IFERROR(VLOOKUP(B91,cubo!$A$6:$BE$37,11,0)-VLOOKUP(B91,#REF!,$G$2,0),0)</f>
        <v>0</v>
      </c>
      <c r="H91" s="9">
        <f>IFERROR(VLOOKUP(B91,cubo!$A$6:$BE$37,53,0)-VLOOKUP(B91,#REF!,$H$2,0),0)</f>
        <v>0</v>
      </c>
      <c r="I91" s="10">
        <f>IFERROR(VLOOKUP(B91,cubo!$A$6:$BE$37,14,0)-VLOOKUP(B91,#REF!,$I$2,0),0)</f>
        <v>0</v>
      </c>
      <c r="J91" s="9">
        <f>IFERROR(VLOOKUP(B91,cubo!$A$6:$BE$37,16,0)-VLOOKUP(B91,#REF!,$J$2,0),0)</f>
        <v>0</v>
      </c>
      <c r="K91" s="9">
        <f>IFERROR(VLOOKUP(B91,cubo!$A$6:$BE$37,17,0)-VLOOKUP(B91,#REF!,$K$2,0),0)</f>
        <v>0</v>
      </c>
      <c r="L91" s="9">
        <f>IFERROR(VLOOKUP(B91,cubo!$A$6:$BE$37,19,0)-VLOOKUP(B91,#REF!,$L$2,0),0)</f>
        <v>0</v>
      </c>
      <c r="M91" s="9">
        <f>IFERROR(VLOOKUP(B91,cubo!$A$6:$BE$37,23,0)-VLOOKUP(B91,#REF!,$M$2,0),0)</f>
        <v>0</v>
      </c>
      <c r="N91" s="9">
        <f>IFERROR(VLOOKUP(B91,cubo!$A$6:$BE$37,25,0)-VLOOKUP(B91,#REF!,$N$2,0),0)</f>
        <v>0</v>
      </c>
      <c r="O91" s="9">
        <f>IFERROR(VLOOKUP(B91,cubo!$A$6:$BE$37,33,0)-VLOOKUP(B91,#REF!,$O$2,0),0)</f>
        <v>0</v>
      </c>
      <c r="P91" s="8">
        <f>IFERROR(VLOOKUP(B91,cubo!$A$6:$BE$37,37,0)-VLOOKUP(B91,#REF!,$P$2,0),0)</f>
        <v>0</v>
      </c>
      <c r="Q91" s="8">
        <f>IFERROR(VLOOKUP(B91,cubo!$A$6:$BE$37,56,0)-VLOOKUP(B91,#REF!,$Q$2,0),0)</f>
        <v>0</v>
      </c>
      <c r="R91" s="9">
        <f>IFERROR(VLOOKUP(B91,cubo!$A$6:$BE$37,40,0)-VLOOKUP(B91,#REF!,$R$2,0),0)</f>
        <v>0</v>
      </c>
      <c r="S91" s="9">
        <f>IFERROR(VLOOKUP(B91,cubo!$A$6:$BE$37,43,0)-VLOOKUP(B91,#REF!,$S$2,0),0)</f>
        <v>0</v>
      </c>
      <c r="T91" s="9">
        <f>IFERROR(VLOOKUP(B91,cubo!$A$6:$BE$37,46,0)-VLOOKUP(B91,#REF!,$T$2,0),0)</f>
        <v>0</v>
      </c>
      <c r="U91" s="9">
        <f>IFERROR(VLOOKUP(B91,cubo!$A$6:$BE$37,51,0)-VLOOKUP(B91,#REF!,$U$2,0),0)</f>
        <v>0</v>
      </c>
      <c r="V91" s="9">
        <f>IFERROR(VLOOKUP(B91,cubo!$A$6:$BJ$37,60,0)-VLOOKUP(B91,#REF!,$V$2,0),0)</f>
        <v>0</v>
      </c>
      <c r="W91" s="9">
        <f>IFERROR(VLOOKUP(B91,cubo!$A$6:$BE$37,26,0)-VLOOKUP(B91,#REF!,$W$2,0),0)</f>
        <v>0</v>
      </c>
      <c r="X91" s="9">
        <f>IFERROR(VLOOKUP(B91,cubo!$A$6:$BE$37,20,0)-VLOOKUP(B91,#REF!,$X$2,0),0)</f>
        <v>0</v>
      </c>
      <c r="Y91" s="9">
        <f>IFERROR(VLOOKUP(B91,cubo!$A$6:$BE$37,21,0)-VLOOKUP(B91,#REF!,$Y$2,0),0)</f>
        <v>0</v>
      </c>
      <c r="Z91" s="9">
        <f>IFERROR(VLOOKUP(B91,cubo!$A$6:$BE$37,27,0)-VLOOKUP(B91,#REF!,$Z$2,0),0)</f>
        <v>0</v>
      </c>
      <c r="AA91" s="9">
        <f>IFERROR(VLOOKUP(B91,cubo!$A$6:$BE$37,28,0)-VLOOKUP(B91,#REF!,$AA$2,0),0)</f>
        <v>0</v>
      </c>
      <c r="AB91" s="9">
        <f>IFERROR(VLOOKUP(B91,cubo!$A$6:$BE$37,29,0)-VLOOKUP(B91,#REF!,$AB$2,0),0)</f>
        <v>0</v>
      </c>
      <c r="AC91" s="9">
        <f>IFERROR(VLOOKUP(B91,cubo!$A$6:$BE$37,30,0)-VLOOKUP(B91,#REF!,$AC$2,0),0)</f>
        <v>0</v>
      </c>
      <c r="AD91" s="9">
        <f>IFERROR(VLOOKUP(B91,cubo!$A$6:$BE$37,31,0)-VLOOKUP(B91,#REF!,$AD$2,0),0)</f>
        <v>0</v>
      </c>
      <c r="AE91" s="9">
        <f>IFERROR(VLOOKUP(B91,cubo!$A$6:$BE$37,35,0)-VLOOKUP(B91,#REF!,$AE$2,0),0)</f>
        <v>0</v>
      </c>
      <c r="AF91" s="9" cm="1">
        <f t="array" aca="1" ref="AF91" ca="1">IFERROR(rrPROCV(B91,cubo!$A$6:$BE$37,48,0)-VLOOKUP(B91,#REF!,$AF$2,0),0)</f>
        <v>0</v>
      </c>
      <c r="AG91" s="9">
        <f>IFERROR(VLOOKUP(B91,cubo!$A$6:$BE$37,49,0)-VLOOKUP(B91,#REF!,$AG$2,0),0)</f>
        <v>0</v>
      </c>
      <c r="AH91" s="9">
        <f>IFERROR(VLOOKUP(B91,cubo!$A$6:$BE$37,50,0)-VLOOKUP(B91,#REF!,$AH$2,0),0)</f>
        <v>0</v>
      </c>
      <c r="AI91" s="9">
        <f>IFERROR(VLOOKUP(B91,cubo!$A$6:$BE$37,51,0)-VLOOKUP(B91,#REF!,$AI$2,0),0)</f>
        <v>0</v>
      </c>
      <c r="AJ91" s="9">
        <f>IFERROR(VLOOKUP(B91,cubo!$A$6:$BI$116,62,0)-VLOOKUP(B91,#REF!,$AJ$2,0),0)</f>
        <v>0</v>
      </c>
      <c r="AK91" s="9">
        <f>IFERROR(VLOOKUP(B91,cubo!$A$6:$BJ$37,63,0)-VLOOKUP(B91,#REF!,$AK$2,0),0)</f>
        <v>0</v>
      </c>
      <c r="AL91" s="9">
        <f>IFERROR(VLOOKUP(B91,cubo!$A$6:$BE$37,58,0)-VLOOKUP(B91,#REF!,$AL$2,0),0)</f>
        <v>0</v>
      </c>
      <c r="AM91" s="9">
        <f>IFERROR(VLOOKUP(B91,cubo!$A$6:$BK$37,64,0)-VLOOKUP(B91,#REF!,$AM$2,0),0)</f>
        <v>0</v>
      </c>
      <c r="AN91" s="9">
        <f>IFERROR(VLOOKUP(B91,cubo!$A$6:$AN$37,41,0)-VLOOKUP(B91,#REF!,$AN$2,0),0)</f>
        <v>0</v>
      </c>
    </row>
    <row r="92" spans="2:40" x14ac:dyDescent="0.25">
      <c r="B92" s="7">
        <f>[1]salario!A91</f>
        <v>0</v>
      </c>
      <c r="C92" s="8">
        <f>[1]salario!C91</f>
        <v>0</v>
      </c>
      <c r="D92" s="9">
        <f>IFERROR(VLOOKUP(B92,cubo!$A$6:$BE$37,3,0)-VLOOKUP(B92,#REF!,$D$2,0),0)</f>
        <v>0</v>
      </c>
      <c r="E92" s="10">
        <f>IFERROR(VLOOKUP(B92,cubo!$A$6:$BE$37,5,0)-VLOOKUP(B92,#REF!,$E$2,0),0)</f>
        <v>0</v>
      </c>
      <c r="F92" s="10">
        <f>IFERROR(VLOOKUP(B92,cubo!$A$6:$BE$37,8,0)-VLOOKUP(B92,#REF!,$F$2,0),0)</f>
        <v>0</v>
      </c>
      <c r="G92" s="9">
        <f>IFERROR(VLOOKUP(B92,cubo!$A$6:$BE$37,11,0)-VLOOKUP(B92,#REF!,$G$2,0),0)</f>
        <v>0</v>
      </c>
      <c r="H92" s="9">
        <f>IFERROR(VLOOKUP(B92,cubo!$A$6:$BE$37,53,0)-VLOOKUP(B92,#REF!,$H$2,0),0)</f>
        <v>0</v>
      </c>
      <c r="I92" s="10">
        <f>IFERROR(VLOOKUP(B92,cubo!$A$6:$BE$37,14,0)-VLOOKUP(B92,#REF!,$I$2,0),0)</f>
        <v>0</v>
      </c>
      <c r="J92" s="9">
        <f>IFERROR(VLOOKUP(B92,cubo!$A$6:$BE$37,16,0)-VLOOKUP(B92,#REF!,$J$2,0),0)</f>
        <v>0</v>
      </c>
      <c r="K92" s="9">
        <f>IFERROR(VLOOKUP(B92,cubo!$A$6:$BE$37,17,0)-VLOOKUP(B92,#REF!,$K$2,0),0)</f>
        <v>0</v>
      </c>
      <c r="L92" s="9">
        <f>IFERROR(VLOOKUP(B92,cubo!$A$6:$BE$37,19,0)-VLOOKUP(B92,#REF!,$L$2,0),0)</f>
        <v>0</v>
      </c>
      <c r="M92" s="9">
        <f>IFERROR(VLOOKUP(B92,cubo!$A$6:$BE$37,23,0)-VLOOKUP(B92,#REF!,$M$2,0),0)</f>
        <v>0</v>
      </c>
      <c r="N92" s="9">
        <f>IFERROR(VLOOKUP(B92,cubo!$A$6:$BE$37,25,0)-VLOOKUP(B92,#REF!,$N$2,0),0)</f>
        <v>0</v>
      </c>
      <c r="O92" s="9">
        <f>IFERROR(VLOOKUP(B92,cubo!$A$6:$BE$37,33,0)-VLOOKUP(B92,#REF!,$O$2,0),0)</f>
        <v>0</v>
      </c>
      <c r="P92" s="8">
        <f>IFERROR(VLOOKUP(B92,cubo!$A$6:$BE$37,37,0)-VLOOKUP(B92,#REF!,$P$2,0),0)</f>
        <v>0</v>
      </c>
      <c r="Q92" s="8">
        <f>IFERROR(VLOOKUP(B92,cubo!$A$6:$BE$37,56,0)-VLOOKUP(B92,#REF!,$Q$2,0),0)</f>
        <v>0</v>
      </c>
      <c r="R92" s="9">
        <f>IFERROR(VLOOKUP(B92,cubo!$A$6:$BE$37,40,0)-VLOOKUP(B92,#REF!,$R$2,0),0)</f>
        <v>0</v>
      </c>
      <c r="S92" s="9">
        <f>IFERROR(VLOOKUP(B92,cubo!$A$6:$BE$37,43,0)-VLOOKUP(B92,#REF!,$S$2,0),0)</f>
        <v>0</v>
      </c>
      <c r="T92" s="9">
        <f>IFERROR(VLOOKUP(B92,cubo!$A$6:$BE$37,46,0)-VLOOKUP(B92,#REF!,$T$2,0),0)</f>
        <v>0</v>
      </c>
      <c r="U92" s="9">
        <f>IFERROR(VLOOKUP(B92,cubo!$A$6:$BE$37,51,0)-VLOOKUP(B92,#REF!,$U$2,0),0)</f>
        <v>0</v>
      </c>
      <c r="V92" s="9">
        <f>IFERROR(VLOOKUP(B92,cubo!$A$6:$BJ$37,60,0)-VLOOKUP(B92,#REF!,$V$2,0),0)</f>
        <v>0</v>
      </c>
      <c r="W92" s="9">
        <f>IFERROR(VLOOKUP(B92,cubo!$A$6:$BE$37,26,0)-VLOOKUP(B92,#REF!,$W$2,0),0)</f>
        <v>0</v>
      </c>
      <c r="X92" s="9">
        <f>IFERROR(VLOOKUP(B92,cubo!$A$6:$BE$37,20,0)-VLOOKUP(B92,#REF!,$X$2,0),0)</f>
        <v>0</v>
      </c>
      <c r="Y92" s="9">
        <f>IFERROR(VLOOKUP(B92,cubo!$A$6:$BE$37,21,0)-VLOOKUP(B92,#REF!,$Y$2,0),0)</f>
        <v>0</v>
      </c>
      <c r="Z92" s="9">
        <f>IFERROR(VLOOKUP(B92,cubo!$A$6:$BE$37,27,0)-VLOOKUP(B92,#REF!,$Z$2,0),0)</f>
        <v>0</v>
      </c>
      <c r="AA92" s="9">
        <f>IFERROR(VLOOKUP(B92,cubo!$A$6:$BE$37,28,0)-VLOOKUP(B92,#REF!,$AA$2,0),0)</f>
        <v>0</v>
      </c>
      <c r="AB92" s="9">
        <f>IFERROR(VLOOKUP(B92,cubo!$A$6:$BE$37,29,0)-VLOOKUP(B92,#REF!,$AB$2,0),0)</f>
        <v>0</v>
      </c>
      <c r="AC92" s="9">
        <f>IFERROR(VLOOKUP(B92,cubo!$A$6:$BE$37,30,0)-VLOOKUP(B92,#REF!,$AC$2,0),0)</f>
        <v>0</v>
      </c>
      <c r="AD92" s="9">
        <f>IFERROR(VLOOKUP(B92,cubo!$A$6:$BE$37,31,0)-VLOOKUP(B92,#REF!,$AD$2,0),0)</f>
        <v>0</v>
      </c>
      <c r="AE92" s="9">
        <f>IFERROR(VLOOKUP(B92,cubo!$A$6:$BE$37,35,0)-VLOOKUP(B92,#REF!,$AE$2,0),0)</f>
        <v>0</v>
      </c>
      <c r="AF92" s="9" cm="1">
        <f t="array" aca="1" ref="AF92" ca="1">IFERROR(rrPROCV(B92,cubo!$A$6:$BE$37,48,0)-VLOOKUP(B92,#REF!,$AF$2,0),0)</f>
        <v>0</v>
      </c>
      <c r="AG92" s="9">
        <f>IFERROR(VLOOKUP(B92,cubo!$A$6:$BE$37,49,0)-VLOOKUP(B92,#REF!,$AG$2,0),0)</f>
        <v>0</v>
      </c>
      <c r="AH92" s="9">
        <f>IFERROR(VLOOKUP(B92,cubo!$A$6:$BE$37,50,0)-VLOOKUP(B92,#REF!,$AH$2,0),0)</f>
        <v>0</v>
      </c>
      <c r="AI92" s="9">
        <f>IFERROR(VLOOKUP(B92,cubo!$A$6:$BE$37,51,0)-VLOOKUP(B92,#REF!,$AI$2,0),0)</f>
        <v>0</v>
      </c>
      <c r="AJ92" s="9">
        <f>IFERROR(VLOOKUP(B92,cubo!$A$6:$BI$116,62,0)-VLOOKUP(B92,#REF!,$AJ$2,0),0)</f>
        <v>0</v>
      </c>
      <c r="AK92" s="9">
        <f>IFERROR(VLOOKUP(B92,cubo!$A$6:$BJ$37,63,0)-VLOOKUP(B92,#REF!,$AK$2,0),0)</f>
        <v>0</v>
      </c>
      <c r="AL92" s="9">
        <f>IFERROR(VLOOKUP(B92,cubo!$A$6:$BE$37,58,0)-VLOOKUP(B92,#REF!,$AL$2,0),0)</f>
        <v>0</v>
      </c>
      <c r="AM92" s="9">
        <f>IFERROR(VLOOKUP(B92,cubo!$A$6:$BK$37,64,0)-VLOOKUP(B92,#REF!,$AM$2,0),0)</f>
        <v>0</v>
      </c>
      <c r="AN92" s="9">
        <f>IFERROR(VLOOKUP(B92,cubo!$A$6:$AN$37,41,0)-VLOOKUP(B92,#REF!,$AN$2,0),0)</f>
        <v>0</v>
      </c>
    </row>
    <row r="93" spans="2:40" x14ac:dyDescent="0.25">
      <c r="B93" s="7">
        <f>[1]salario!A92</f>
        <v>0</v>
      </c>
      <c r="C93" s="8">
        <f>[1]salario!C92</f>
        <v>0</v>
      </c>
      <c r="D93" s="9">
        <f>IFERROR(VLOOKUP(B93,cubo!$A$6:$BE$37,3,0)-VLOOKUP(B93,#REF!,$D$2,0),0)</f>
        <v>0</v>
      </c>
      <c r="E93" s="10">
        <f>IFERROR(VLOOKUP(B93,cubo!$A$6:$BE$37,5,0)-VLOOKUP(B93,#REF!,$E$2,0),0)</f>
        <v>0</v>
      </c>
      <c r="F93" s="10">
        <f>IFERROR(VLOOKUP(B93,cubo!$A$6:$BE$37,8,0)-VLOOKUP(B93,#REF!,$F$2,0),0)</f>
        <v>0</v>
      </c>
      <c r="G93" s="9">
        <f>IFERROR(VLOOKUP(B93,cubo!$A$6:$BE$37,11,0)-VLOOKUP(B93,#REF!,$G$2,0),0)</f>
        <v>0</v>
      </c>
      <c r="H93" s="9">
        <f>IFERROR(VLOOKUP(B93,cubo!$A$6:$BE$37,53,0)-VLOOKUP(B93,#REF!,$H$2,0),0)</f>
        <v>0</v>
      </c>
      <c r="I93" s="10">
        <f>IFERROR(VLOOKUP(B93,cubo!$A$6:$BE$37,14,0)-VLOOKUP(B93,#REF!,$I$2,0),0)</f>
        <v>0</v>
      </c>
      <c r="J93" s="9">
        <f>IFERROR(VLOOKUP(B93,cubo!$A$6:$BE$37,16,0)-VLOOKUP(B93,#REF!,$J$2,0),0)</f>
        <v>0</v>
      </c>
      <c r="K93" s="9">
        <f>IFERROR(VLOOKUP(B93,cubo!$A$6:$BE$37,17,0)-VLOOKUP(B93,#REF!,$K$2,0),0)</f>
        <v>0</v>
      </c>
      <c r="L93" s="9">
        <f>IFERROR(VLOOKUP(B93,cubo!$A$6:$BE$37,19,0)-VLOOKUP(B93,#REF!,$L$2,0),0)</f>
        <v>0</v>
      </c>
      <c r="M93" s="9">
        <f>IFERROR(VLOOKUP(B93,cubo!$A$6:$BE$37,23,0)-VLOOKUP(B93,#REF!,$M$2,0),0)</f>
        <v>0</v>
      </c>
      <c r="N93" s="9">
        <f>IFERROR(VLOOKUP(B93,cubo!$A$6:$BE$37,25,0)-VLOOKUP(B93,#REF!,$N$2,0),0)</f>
        <v>0</v>
      </c>
      <c r="O93" s="9">
        <f>IFERROR(VLOOKUP(B93,cubo!$A$6:$BE$37,33,0)-VLOOKUP(B93,#REF!,$O$2,0),0)</f>
        <v>0</v>
      </c>
      <c r="P93" s="8">
        <f>IFERROR(VLOOKUP(B93,cubo!$A$6:$BE$37,37,0)-VLOOKUP(B93,#REF!,$P$2,0),0)</f>
        <v>0</v>
      </c>
      <c r="Q93" s="8">
        <f>IFERROR(VLOOKUP(B93,cubo!$A$6:$BE$37,56,0)-VLOOKUP(B93,#REF!,$Q$2,0),0)</f>
        <v>0</v>
      </c>
      <c r="R93" s="9">
        <f>IFERROR(VLOOKUP(B93,cubo!$A$6:$BE$37,40,0)-VLOOKUP(B93,#REF!,$R$2,0),0)</f>
        <v>0</v>
      </c>
      <c r="S93" s="9">
        <f>IFERROR(VLOOKUP(B93,cubo!$A$6:$BE$37,43,0)-VLOOKUP(B93,#REF!,$S$2,0),0)</f>
        <v>0</v>
      </c>
      <c r="T93" s="9">
        <f>IFERROR(VLOOKUP(B93,cubo!$A$6:$BE$37,46,0)-VLOOKUP(B93,#REF!,$T$2,0),0)</f>
        <v>0</v>
      </c>
      <c r="U93" s="9">
        <f>IFERROR(VLOOKUP(B93,cubo!$A$6:$BE$37,51,0)-VLOOKUP(B93,#REF!,$U$2,0),0)</f>
        <v>0</v>
      </c>
      <c r="V93" s="9">
        <f>IFERROR(VLOOKUP(B93,cubo!$A$6:$BJ$37,60,0)-VLOOKUP(B93,#REF!,$V$2,0),0)</f>
        <v>0</v>
      </c>
      <c r="W93" s="9">
        <f>IFERROR(VLOOKUP(B93,cubo!$A$6:$BE$37,26,0)-VLOOKUP(B93,#REF!,$W$2,0),0)</f>
        <v>0</v>
      </c>
      <c r="X93" s="9">
        <f>IFERROR(VLOOKUP(B93,cubo!$A$6:$BE$37,20,0)-VLOOKUP(B93,#REF!,$X$2,0),0)</f>
        <v>0</v>
      </c>
      <c r="Y93" s="9">
        <f>IFERROR(VLOOKUP(B93,cubo!$A$6:$BE$37,21,0)-VLOOKUP(B93,#REF!,$Y$2,0),0)</f>
        <v>0</v>
      </c>
      <c r="Z93" s="9">
        <f>IFERROR(VLOOKUP(B93,cubo!$A$6:$BE$37,27,0)-VLOOKUP(B93,#REF!,$Z$2,0),0)</f>
        <v>0</v>
      </c>
      <c r="AA93" s="9">
        <f>IFERROR(VLOOKUP(B93,cubo!$A$6:$BE$37,28,0)-VLOOKUP(B93,#REF!,$AA$2,0),0)</f>
        <v>0</v>
      </c>
      <c r="AB93" s="9">
        <f>IFERROR(VLOOKUP(B93,cubo!$A$6:$BE$37,29,0)-VLOOKUP(B93,#REF!,$AB$2,0),0)</f>
        <v>0</v>
      </c>
      <c r="AC93" s="9">
        <f>IFERROR(VLOOKUP(B93,cubo!$A$6:$BE$37,30,0)-VLOOKUP(B93,#REF!,$AC$2,0),0)</f>
        <v>0</v>
      </c>
      <c r="AD93" s="9">
        <f>IFERROR(VLOOKUP(B93,cubo!$A$6:$BE$37,31,0)-VLOOKUP(B93,#REF!,$AD$2,0),0)</f>
        <v>0</v>
      </c>
      <c r="AE93" s="9">
        <f>IFERROR(VLOOKUP(B93,cubo!$A$6:$BE$37,35,0)-VLOOKUP(B93,#REF!,$AE$2,0),0)</f>
        <v>0</v>
      </c>
      <c r="AF93" s="9" cm="1">
        <f t="array" aca="1" ref="AF93" ca="1">IFERROR(rrPROCV(B93,cubo!$A$6:$BE$37,48,0)-VLOOKUP(B93,#REF!,$AF$2,0),0)</f>
        <v>0</v>
      </c>
      <c r="AG93" s="9">
        <f>IFERROR(VLOOKUP(B93,cubo!$A$6:$BE$37,49,0)-VLOOKUP(B93,#REF!,$AG$2,0),0)</f>
        <v>0</v>
      </c>
      <c r="AH93" s="9">
        <f>IFERROR(VLOOKUP(B93,cubo!$A$6:$BE$37,50,0)-VLOOKUP(B93,#REF!,$AH$2,0),0)</f>
        <v>0</v>
      </c>
      <c r="AI93" s="9">
        <f>IFERROR(VLOOKUP(B93,cubo!$A$6:$BE$37,51,0)-VLOOKUP(B93,#REF!,$AI$2,0),0)</f>
        <v>0</v>
      </c>
      <c r="AJ93" s="9">
        <f>IFERROR(VLOOKUP(B93,cubo!$A$6:$BI$116,62,0)-VLOOKUP(B93,#REF!,$AJ$2,0),0)</f>
        <v>0</v>
      </c>
      <c r="AK93" s="9">
        <f>IFERROR(VLOOKUP(B93,cubo!$A$6:$BJ$37,63,0)-VLOOKUP(B93,#REF!,$AK$2,0),0)</f>
        <v>0</v>
      </c>
      <c r="AL93" s="9">
        <f>IFERROR(VLOOKUP(B93,cubo!$A$6:$BE$37,58,0)-VLOOKUP(B93,#REF!,$AL$2,0),0)</f>
        <v>0</v>
      </c>
      <c r="AM93" s="9">
        <f>IFERROR(VLOOKUP(B93,cubo!$A$6:$BK$37,64,0)-VLOOKUP(B93,#REF!,$AM$2,0),0)</f>
        <v>0</v>
      </c>
      <c r="AN93" s="9">
        <f>IFERROR(VLOOKUP(B93,cubo!$A$6:$AN$37,41,0)-VLOOKUP(B93,#REF!,$AN$2,0),0)</f>
        <v>0</v>
      </c>
    </row>
    <row r="94" spans="2:40" x14ac:dyDescent="0.25">
      <c r="B94" s="7">
        <f>[1]salario!A93</f>
        <v>0</v>
      </c>
      <c r="C94" s="8">
        <f>[1]salario!C93</f>
        <v>0</v>
      </c>
      <c r="D94" s="9">
        <f>IFERROR(VLOOKUP(B94,cubo!$A$6:$BE$37,3,0)-VLOOKUP(B94,#REF!,$D$2,0),0)</f>
        <v>0</v>
      </c>
      <c r="E94" s="10">
        <f>IFERROR(VLOOKUP(B94,cubo!$A$6:$BE$37,5,0)-VLOOKUP(B94,#REF!,$E$2,0),0)</f>
        <v>0</v>
      </c>
      <c r="F94" s="10">
        <f>IFERROR(VLOOKUP(B94,cubo!$A$6:$BE$37,8,0)-VLOOKUP(B94,#REF!,$F$2,0),0)</f>
        <v>0</v>
      </c>
      <c r="G94" s="9">
        <f>IFERROR(VLOOKUP(B94,cubo!$A$6:$BE$37,11,0)-VLOOKUP(B94,#REF!,$G$2,0),0)</f>
        <v>0</v>
      </c>
      <c r="H94" s="9">
        <f>IFERROR(VLOOKUP(B94,cubo!$A$6:$BE$37,53,0)-VLOOKUP(B94,#REF!,$H$2,0),0)</f>
        <v>0</v>
      </c>
      <c r="I94" s="10">
        <f>IFERROR(VLOOKUP(B94,cubo!$A$6:$BE$37,14,0)-VLOOKUP(B94,#REF!,$I$2,0),0)</f>
        <v>0</v>
      </c>
      <c r="J94" s="9">
        <f>IFERROR(VLOOKUP(B94,cubo!$A$6:$BE$37,16,0)-VLOOKUP(B94,#REF!,$J$2,0),0)</f>
        <v>0</v>
      </c>
      <c r="K94" s="9">
        <f>IFERROR(VLOOKUP(B94,cubo!$A$6:$BE$37,17,0)-VLOOKUP(B94,#REF!,$K$2,0),0)</f>
        <v>0</v>
      </c>
      <c r="L94" s="9">
        <f>IFERROR(VLOOKUP(B94,cubo!$A$6:$BE$37,19,0)-VLOOKUP(B94,#REF!,$L$2,0),0)</f>
        <v>0</v>
      </c>
      <c r="M94" s="9">
        <f>IFERROR(VLOOKUP(B94,cubo!$A$6:$BE$37,23,0)-VLOOKUP(B94,#REF!,$M$2,0),0)</f>
        <v>0</v>
      </c>
      <c r="N94" s="9">
        <f>IFERROR(VLOOKUP(B94,cubo!$A$6:$BE$37,25,0)-VLOOKUP(B94,#REF!,$N$2,0),0)</f>
        <v>0</v>
      </c>
      <c r="O94" s="9">
        <f>IFERROR(VLOOKUP(B94,cubo!$A$6:$BE$37,33,0)-VLOOKUP(B94,#REF!,$O$2,0),0)</f>
        <v>0</v>
      </c>
      <c r="P94" s="8">
        <f>IFERROR(VLOOKUP(B94,cubo!$A$6:$BE$37,37,0)-VLOOKUP(B94,#REF!,$P$2,0),0)</f>
        <v>0</v>
      </c>
      <c r="Q94" s="8">
        <f>IFERROR(VLOOKUP(B94,cubo!$A$6:$BE$37,56,0)-VLOOKUP(B94,#REF!,$Q$2,0),0)</f>
        <v>0</v>
      </c>
      <c r="R94" s="9">
        <f>IFERROR(VLOOKUP(B94,cubo!$A$6:$BE$37,40,0)-VLOOKUP(B94,#REF!,$R$2,0),0)</f>
        <v>0</v>
      </c>
      <c r="S94" s="9">
        <f>IFERROR(VLOOKUP(B94,cubo!$A$6:$BE$37,43,0)-VLOOKUP(B94,#REF!,$S$2,0),0)</f>
        <v>0</v>
      </c>
      <c r="T94" s="9">
        <f>IFERROR(VLOOKUP(B94,cubo!$A$6:$BE$37,46,0)-VLOOKUP(B94,#REF!,$T$2,0),0)</f>
        <v>0</v>
      </c>
      <c r="U94" s="9">
        <f>IFERROR(VLOOKUP(B94,cubo!$A$6:$BE$37,51,0)-VLOOKUP(B94,#REF!,$U$2,0),0)</f>
        <v>0</v>
      </c>
      <c r="V94" s="9">
        <f>IFERROR(VLOOKUP(B94,cubo!$A$6:$BJ$37,60,0)-VLOOKUP(B94,#REF!,$V$2,0),0)</f>
        <v>0</v>
      </c>
      <c r="W94" s="9">
        <f>IFERROR(VLOOKUP(B94,cubo!$A$6:$BE$37,26,0)-VLOOKUP(B94,#REF!,$W$2,0),0)</f>
        <v>0</v>
      </c>
      <c r="X94" s="9">
        <f>IFERROR(VLOOKUP(B94,cubo!$A$6:$BE$37,20,0)-VLOOKUP(B94,#REF!,$X$2,0),0)</f>
        <v>0</v>
      </c>
      <c r="Y94" s="9">
        <f>IFERROR(VLOOKUP(B94,cubo!$A$6:$BE$37,21,0)-VLOOKUP(B94,#REF!,$Y$2,0),0)</f>
        <v>0</v>
      </c>
      <c r="Z94" s="9">
        <f>IFERROR(VLOOKUP(B94,cubo!$A$6:$BE$37,27,0)-VLOOKUP(B94,#REF!,$Z$2,0),0)</f>
        <v>0</v>
      </c>
      <c r="AA94" s="9">
        <f>IFERROR(VLOOKUP(B94,cubo!$A$6:$BE$37,28,0)-VLOOKUP(B94,#REF!,$AA$2,0),0)</f>
        <v>0</v>
      </c>
      <c r="AB94" s="9">
        <f>IFERROR(VLOOKUP(B94,cubo!$A$6:$BE$37,29,0)-VLOOKUP(B94,#REF!,$AB$2,0),0)</f>
        <v>0</v>
      </c>
      <c r="AC94" s="9">
        <f>IFERROR(VLOOKUP(B94,cubo!$A$6:$BE$37,30,0)-VLOOKUP(B94,#REF!,$AC$2,0),0)</f>
        <v>0</v>
      </c>
      <c r="AD94" s="9">
        <f>IFERROR(VLOOKUP(B94,cubo!$A$6:$BE$37,31,0)-VLOOKUP(B94,#REF!,$AD$2,0),0)</f>
        <v>0</v>
      </c>
      <c r="AE94" s="9">
        <f>IFERROR(VLOOKUP(B94,cubo!$A$6:$BE$37,35,0)-VLOOKUP(B94,#REF!,$AE$2,0),0)</f>
        <v>0</v>
      </c>
      <c r="AF94" s="9" cm="1">
        <f t="array" aca="1" ref="AF94" ca="1">IFERROR(rrPROCV(B94,cubo!$A$6:$BE$37,48,0)-VLOOKUP(B94,#REF!,$AF$2,0),0)</f>
        <v>0</v>
      </c>
      <c r="AG94" s="9">
        <f>IFERROR(VLOOKUP(B94,cubo!$A$6:$BE$37,49,0)-VLOOKUP(B94,#REF!,$AG$2,0),0)</f>
        <v>0</v>
      </c>
      <c r="AH94" s="9">
        <f>IFERROR(VLOOKUP(B94,cubo!$A$6:$BE$37,50,0)-VLOOKUP(B94,#REF!,$AH$2,0),0)</f>
        <v>0</v>
      </c>
      <c r="AI94" s="9">
        <f>IFERROR(VLOOKUP(B94,cubo!$A$6:$BE$37,51,0)-VLOOKUP(B94,#REF!,$AI$2,0),0)</f>
        <v>0</v>
      </c>
      <c r="AJ94" s="9">
        <f>IFERROR(VLOOKUP(B94,cubo!$A$6:$BI$116,62,0)-VLOOKUP(B94,#REF!,$AJ$2,0),0)</f>
        <v>0</v>
      </c>
      <c r="AK94" s="9">
        <f>IFERROR(VLOOKUP(B94,cubo!$A$6:$BJ$37,63,0)-VLOOKUP(B94,#REF!,$AK$2,0),0)</f>
        <v>0</v>
      </c>
      <c r="AL94" s="9">
        <f>IFERROR(VLOOKUP(B94,cubo!$A$6:$BE$37,58,0)-VLOOKUP(B94,#REF!,$AL$2,0),0)</f>
        <v>0</v>
      </c>
      <c r="AM94" s="9">
        <f>IFERROR(VLOOKUP(B94,cubo!$A$6:$BK$37,64,0)-VLOOKUP(B94,#REF!,$AM$2,0),0)</f>
        <v>0</v>
      </c>
      <c r="AN94" s="9">
        <f>IFERROR(VLOOKUP(B94,cubo!$A$6:$AN$37,41,0)-VLOOKUP(B94,#REF!,$AN$2,0),0)</f>
        <v>0</v>
      </c>
    </row>
    <row r="95" spans="2:40" x14ac:dyDescent="0.25">
      <c r="B95" s="7">
        <f>[1]salario!A94</f>
        <v>0</v>
      </c>
      <c r="C95" s="8">
        <f>[1]salario!C94</f>
        <v>0</v>
      </c>
      <c r="D95" s="9">
        <f>IFERROR(VLOOKUP(B95,cubo!$A$6:$BE$37,3,0)-VLOOKUP(B95,#REF!,$D$2,0),0)</f>
        <v>0</v>
      </c>
      <c r="E95" s="10">
        <f>IFERROR(VLOOKUP(B95,cubo!$A$6:$BE$37,5,0)-VLOOKUP(B95,#REF!,$E$2,0),0)</f>
        <v>0</v>
      </c>
      <c r="F95" s="10">
        <f>IFERROR(VLOOKUP(B95,cubo!$A$6:$BE$37,8,0)-VLOOKUP(B95,#REF!,$F$2,0),0)</f>
        <v>0</v>
      </c>
      <c r="G95" s="9">
        <f>IFERROR(VLOOKUP(B95,cubo!$A$6:$BE$37,11,0)-VLOOKUP(B95,#REF!,$G$2,0),0)</f>
        <v>0</v>
      </c>
      <c r="H95" s="9">
        <f>IFERROR(VLOOKUP(B95,cubo!$A$6:$BE$37,53,0)-VLOOKUP(B95,#REF!,$H$2,0),0)</f>
        <v>0</v>
      </c>
      <c r="I95" s="10">
        <f>IFERROR(VLOOKUP(B95,cubo!$A$6:$BE$37,14,0)-VLOOKUP(B95,#REF!,$I$2,0),0)</f>
        <v>0</v>
      </c>
      <c r="J95" s="9">
        <f>IFERROR(VLOOKUP(B95,cubo!$A$6:$BE$37,16,0)-VLOOKUP(B95,#REF!,$J$2,0),0)</f>
        <v>0</v>
      </c>
      <c r="K95" s="9">
        <f>IFERROR(VLOOKUP(B95,cubo!$A$6:$BE$37,17,0)-VLOOKUP(B95,#REF!,$K$2,0),0)</f>
        <v>0</v>
      </c>
      <c r="L95" s="9">
        <f>IFERROR(VLOOKUP(B95,cubo!$A$6:$BE$37,19,0)-VLOOKUP(B95,#REF!,$L$2,0),0)</f>
        <v>0</v>
      </c>
      <c r="M95" s="9">
        <f>IFERROR(VLOOKUP(B95,cubo!$A$6:$BE$37,23,0)-VLOOKUP(B95,#REF!,$M$2,0),0)</f>
        <v>0</v>
      </c>
      <c r="N95" s="9">
        <f>IFERROR(VLOOKUP(B95,cubo!$A$6:$BE$37,25,0)-VLOOKUP(B95,#REF!,$N$2,0),0)</f>
        <v>0</v>
      </c>
      <c r="O95" s="9">
        <f>IFERROR(VLOOKUP(B95,cubo!$A$6:$BE$37,33,0)-VLOOKUP(B95,#REF!,$O$2,0),0)</f>
        <v>0</v>
      </c>
      <c r="P95" s="8">
        <f>IFERROR(VLOOKUP(B95,cubo!$A$6:$BE$37,37,0)-VLOOKUP(B95,#REF!,$P$2,0),0)</f>
        <v>0</v>
      </c>
      <c r="Q95" s="8">
        <f>IFERROR(VLOOKUP(B95,cubo!$A$6:$BE$37,56,0)-VLOOKUP(B95,#REF!,$Q$2,0),0)</f>
        <v>0</v>
      </c>
      <c r="R95" s="9">
        <f>IFERROR(VLOOKUP(B95,cubo!$A$6:$BE$37,40,0)-VLOOKUP(B95,#REF!,$R$2,0),0)</f>
        <v>0</v>
      </c>
      <c r="S95" s="9">
        <f>IFERROR(VLOOKUP(B95,cubo!$A$6:$BE$37,43,0)-VLOOKUP(B95,#REF!,$S$2,0),0)</f>
        <v>0</v>
      </c>
      <c r="T95" s="9">
        <f>IFERROR(VLOOKUP(B95,cubo!$A$6:$BE$37,46,0)-VLOOKUP(B95,#REF!,$T$2,0),0)</f>
        <v>0</v>
      </c>
      <c r="U95" s="9">
        <f>IFERROR(VLOOKUP(B95,cubo!$A$6:$BE$37,51,0)-VLOOKUP(B95,#REF!,$U$2,0),0)</f>
        <v>0</v>
      </c>
      <c r="V95" s="9">
        <f>IFERROR(VLOOKUP(B95,cubo!$A$6:$BJ$37,60,0)-VLOOKUP(B95,#REF!,$V$2,0),0)</f>
        <v>0</v>
      </c>
      <c r="W95" s="9">
        <f>IFERROR(VLOOKUP(B95,cubo!$A$6:$BE$37,26,0)-VLOOKUP(B95,#REF!,$W$2,0),0)</f>
        <v>0</v>
      </c>
      <c r="X95" s="9">
        <f>IFERROR(VLOOKUP(B95,cubo!$A$6:$BE$37,20,0)-VLOOKUP(B95,#REF!,$X$2,0),0)</f>
        <v>0</v>
      </c>
      <c r="Y95" s="9">
        <f>IFERROR(VLOOKUP(B95,cubo!$A$6:$BE$37,21,0)-VLOOKUP(B95,#REF!,$Y$2,0),0)</f>
        <v>0</v>
      </c>
      <c r="Z95" s="9">
        <f>IFERROR(VLOOKUP(B95,cubo!$A$6:$BE$37,27,0)-VLOOKUP(B95,#REF!,$Z$2,0),0)</f>
        <v>0</v>
      </c>
      <c r="AA95" s="9">
        <f>IFERROR(VLOOKUP(B95,cubo!$A$6:$BE$37,28,0)-VLOOKUP(B95,#REF!,$AA$2,0),0)</f>
        <v>0</v>
      </c>
      <c r="AB95" s="9">
        <f>IFERROR(VLOOKUP(B95,cubo!$A$6:$BE$37,29,0)-VLOOKUP(B95,#REF!,$AB$2,0),0)</f>
        <v>0</v>
      </c>
      <c r="AC95" s="9">
        <f>IFERROR(VLOOKUP(B95,cubo!$A$6:$BE$37,30,0)-VLOOKUP(B95,#REF!,$AC$2,0),0)</f>
        <v>0</v>
      </c>
      <c r="AD95" s="9">
        <f>IFERROR(VLOOKUP(B95,cubo!$A$6:$BE$37,31,0)-VLOOKUP(B95,#REF!,$AD$2,0),0)</f>
        <v>0</v>
      </c>
      <c r="AE95" s="9">
        <f>IFERROR(VLOOKUP(B95,cubo!$A$6:$BE$37,35,0)-VLOOKUP(B95,#REF!,$AE$2,0),0)</f>
        <v>0</v>
      </c>
      <c r="AF95" s="9" cm="1">
        <f t="array" aca="1" ref="AF95" ca="1">IFERROR(rrPROCV(B95,cubo!$A$6:$BE$37,48,0)-VLOOKUP(B95,#REF!,$AF$2,0),0)</f>
        <v>0</v>
      </c>
      <c r="AG95" s="9">
        <f>IFERROR(VLOOKUP(B95,cubo!$A$6:$BE$37,49,0)-VLOOKUP(B95,#REF!,$AG$2,0),0)</f>
        <v>0</v>
      </c>
      <c r="AH95" s="9">
        <f>IFERROR(VLOOKUP(B95,cubo!$A$6:$BE$37,50,0)-VLOOKUP(B95,#REF!,$AH$2,0),0)</f>
        <v>0</v>
      </c>
      <c r="AI95" s="9">
        <f>IFERROR(VLOOKUP(B95,cubo!$A$6:$BE$37,51,0)-VLOOKUP(B95,#REF!,$AI$2,0),0)</f>
        <v>0</v>
      </c>
      <c r="AJ95" s="9">
        <f>IFERROR(VLOOKUP(B95,cubo!$A$6:$BI$116,62,0)-VLOOKUP(B95,#REF!,$AJ$2,0),0)</f>
        <v>0</v>
      </c>
      <c r="AK95" s="9">
        <f>IFERROR(VLOOKUP(B95,cubo!$A$6:$BJ$37,63,0)-VLOOKUP(B95,#REF!,$AK$2,0),0)</f>
        <v>0</v>
      </c>
      <c r="AL95" s="9">
        <f>IFERROR(VLOOKUP(B95,cubo!$A$6:$BE$37,58,0)-VLOOKUP(B95,#REF!,$AL$2,0),0)</f>
        <v>0</v>
      </c>
      <c r="AM95" s="9">
        <f>IFERROR(VLOOKUP(B95,cubo!$A$6:$BK$37,64,0)-VLOOKUP(B95,#REF!,$AM$2,0),0)</f>
        <v>0</v>
      </c>
      <c r="AN95" s="9">
        <f>IFERROR(VLOOKUP(B95,cubo!$A$6:$AN$37,41,0)-VLOOKUP(B95,#REF!,$AN$2,0),0)</f>
        <v>0</v>
      </c>
    </row>
    <row r="96" spans="2:40" x14ac:dyDescent="0.25">
      <c r="B96" s="7">
        <f>[1]salario!A95</f>
        <v>0</v>
      </c>
      <c r="C96" s="8">
        <f>[1]salario!C95</f>
        <v>0</v>
      </c>
      <c r="D96" s="9">
        <f>IFERROR(VLOOKUP(B96,cubo!$A$6:$BE$37,3,0)-VLOOKUP(B96,#REF!,$D$2,0),0)</f>
        <v>0</v>
      </c>
      <c r="E96" s="10">
        <f>IFERROR(VLOOKUP(B96,cubo!$A$6:$BE$37,5,0)-VLOOKUP(B96,#REF!,$E$2,0),0)</f>
        <v>0</v>
      </c>
      <c r="F96" s="10">
        <f>IFERROR(VLOOKUP(B96,cubo!$A$6:$BE$37,8,0)-VLOOKUP(B96,#REF!,$F$2,0),0)</f>
        <v>0</v>
      </c>
      <c r="G96" s="9">
        <f>IFERROR(VLOOKUP(B96,cubo!$A$6:$BE$37,11,0)-VLOOKUP(B96,#REF!,$G$2,0),0)</f>
        <v>0</v>
      </c>
      <c r="H96" s="9">
        <f>IFERROR(VLOOKUP(B96,cubo!$A$6:$BE$37,53,0)-VLOOKUP(B96,#REF!,$H$2,0),0)</f>
        <v>0</v>
      </c>
      <c r="I96" s="10">
        <f>IFERROR(VLOOKUP(B96,cubo!$A$6:$BE$37,14,0)-VLOOKUP(B96,#REF!,$I$2,0),0)</f>
        <v>0</v>
      </c>
      <c r="J96" s="9">
        <f>IFERROR(VLOOKUP(B96,cubo!$A$6:$BE$37,16,0)-VLOOKUP(B96,#REF!,$J$2,0),0)</f>
        <v>0</v>
      </c>
      <c r="K96" s="9">
        <f>IFERROR(VLOOKUP(B96,cubo!$A$6:$BE$37,17,0)-VLOOKUP(B96,#REF!,$K$2,0),0)</f>
        <v>0</v>
      </c>
      <c r="L96" s="9">
        <f>IFERROR(VLOOKUP(B96,cubo!$A$6:$BE$37,19,0)-VLOOKUP(B96,#REF!,$L$2,0),0)</f>
        <v>0</v>
      </c>
      <c r="M96" s="9">
        <f>IFERROR(VLOOKUP(B96,cubo!$A$6:$BE$37,23,0)-VLOOKUP(B96,#REF!,$M$2,0),0)</f>
        <v>0</v>
      </c>
      <c r="N96" s="9">
        <f>IFERROR(VLOOKUP(B96,cubo!$A$6:$BE$37,25,0)-VLOOKUP(B96,#REF!,$N$2,0),0)</f>
        <v>0</v>
      </c>
      <c r="O96" s="9">
        <f>IFERROR(VLOOKUP(B96,cubo!$A$6:$BE$37,33,0)-VLOOKUP(B96,#REF!,$O$2,0),0)</f>
        <v>0</v>
      </c>
      <c r="P96" s="8">
        <f>IFERROR(VLOOKUP(B96,cubo!$A$6:$BE$37,37,0)-VLOOKUP(B96,#REF!,$P$2,0),0)</f>
        <v>0</v>
      </c>
      <c r="Q96" s="8">
        <f>IFERROR(VLOOKUP(B96,cubo!$A$6:$BE$37,56,0)-VLOOKUP(B96,#REF!,$Q$2,0),0)</f>
        <v>0</v>
      </c>
      <c r="R96" s="9">
        <f>IFERROR(VLOOKUP(B96,cubo!$A$6:$BE$37,40,0)-VLOOKUP(B96,#REF!,$R$2,0),0)</f>
        <v>0</v>
      </c>
      <c r="S96" s="9">
        <f>IFERROR(VLOOKUP(B96,cubo!$A$6:$BE$37,43,0)-VLOOKUP(B96,#REF!,$S$2,0),0)</f>
        <v>0</v>
      </c>
      <c r="T96" s="9">
        <f>IFERROR(VLOOKUP(B96,cubo!$A$6:$BE$37,46,0)-VLOOKUP(B96,#REF!,$T$2,0),0)</f>
        <v>0</v>
      </c>
      <c r="U96" s="9">
        <f>IFERROR(VLOOKUP(B96,cubo!$A$6:$BE$37,51,0)-VLOOKUP(B96,#REF!,$U$2,0),0)</f>
        <v>0</v>
      </c>
      <c r="V96" s="9">
        <f>IFERROR(VLOOKUP(B96,cubo!$A$6:$BJ$37,60,0)-VLOOKUP(B96,#REF!,$V$2,0),0)</f>
        <v>0</v>
      </c>
      <c r="W96" s="9">
        <f>IFERROR(VLOOKUP(B96,cubo!$A$6:$BE$37,26,0)-VLOOKUP(B96,#REF!,$W$2,0),0)</f>
        <v>0</v>
      </c>
      <c r="X96" s="9">
        <f>IFERROR(VLOOKUP(B96,cubo!$A$6:$BE$37,20,0)-VLOOKUP(B96,#REF!,$X$2,0),0)</f>
        <v>0</v>
      </c>
      <c r="Y96" s="9">
        <f>IFERROR(VLOOKUP(B96,cubo!$A$6:$BE$37,21,0)-VLOOKUP(B96,#REF!,$Y$2,0),0)</f>
        <v>0</v>
      </c>
      <c r="Z96" s="9">
        <f>IFERROR(VLOOKUP(B96,cubo!$A$6:$BE$37,27,0)-VLOOKUP(B96,#REF!,$Z$2,0),0)</f>
        <v>0</v>
      </c>
      <c r="AA96" s="9">
        <f>IFERROR(VLOOKUP(B96,cubo!$A$6:$BE$37,28,0)-VLOOKUP(B96,#REF!,$AA$2,0),0)</f>
        <v>0</v>
      </c>
      <c r="AB96" s="9">
        <f>IFERROR(VLOOKUP(B96,cubo!$A$6:$BE$37,29,0)-VLOOKUP(B96,#REF!,$AB$2,0),0)</f>
        <v>0</v>
      </c>
      <c r="AC96" s="9">
        <f>IFERROR(VLOOKUP(B96,cubo!$A$6:$BE$37,30,0)-VLOOKUP(B96,#REF!,$AC$2,0),0)</f>
        <v>0</v>
      </c>
      <c r="AD96" s="9">
        <f>IFERROR(VLOOKUP(B96,cubo!$A$6:$BE$37,31,0)-VLOOKUP(B96,#REF!,$AD$2,0),0)</f>
        <v>0</v>
      </c>
      <c r="AE96" s="9">
        <f>IFERROR(VLOOKUP(B96,cubo!$A$6:$BE$37,35,0)-VLOOKUP(B96,#REF!,$AE$2,0),0)</f>
        <v>0</v>
      </c>
      <c r="AF96" s="9" cm="1">
        <f t="array" aca="1" ref="AF96" ca="1">IFERROR(rrPROCV(B96,cubo!$A$6:$BE$37,48,0)-VLOOKUP(B96,#REF!,$AF$2,0),0)</f>
        <v>0</v>
      </c>
      <c r="AG96" s="9">
        <f>IFERROR(VLOOKUP(B96,cubo!$A$6:$BE$37,49,0)-VLOOKUP(B96,#REF!,$AG$2,0),0)</f>
        <v>0</v>
      </c>
      <c r="AH96" s="9">
        <f>IFERROR(VLOOKUP(B96,cubo!$A$6:$BE$37,50,0)-VLOOKUP(B96,#REF!,$AH$2,0),0)</f>
        <v>0</v>
      </c>
      <c r="AI96" s="9">
        <f>IFERROR(VLOOKUP(B96,cubo!$A$6:$BE$37,51,0)-VLOOKUP(B96,#REF!,$AI$2,0),0)</f>
        <v>0</v>
      </c>
      <c r="AJ96" s="9">
        <f>IFERROR(VLOOKUP(B96,cubo!$A$6:$BI$116,62,0)-VLOOKUP(B96,#REF!,$AJ$2,0),0)</f>
        <v>0</v>
      </c>
      <c r="AK96" s="9">
        <f>IFERROR(VLOOKUP(B96,cubo!$A$6:$BJ$37,63,0)-VLOOKUP(B96,#REF!,$AK$2,0),0)</f>
        <v>0</v>
      </c>
      <c r="AL96" s="9">
        <f>IFERROR(VLOOKUP(B96,cubo!$A$6:$BE$37,58,0)-VLOOKUP(B96,#REF!,$AL$2,0),0)</f>
        <v>0</v>
      </c>
      <c r="AM96" s="9">
        <f>IFERROR(VLOOKUP(B96,cubo!$A$6:$BK$37,64,0)-VLOOKUP(B96,#REF!,$AM$2,0),0)</f>
        <v>0</v>
      </c>
      <c r="AN96" s="9">
        <f>IFERROR(VLOOKUP(B96,cubo!$A$6:$AN$37,41,0)-VLOOKUP(B96,#REF!,$AN$2,0),0)</f>
        <v>0</v>
      </c>
    </row>
    <row r="97" spans="2:40" x14ac:dyDescent="0.25">
      <c r="B97" s="7">
        <f>[1]salario!A96</f>
        <v>0</v>
      </c>
      <c r="C97" s="8">
        <f>[1]salario!C96</f>
        <v>0</v>
      </c>
      <c r="D97" s="9">
        <f>IFERROR(VLOOKUP(B97,cubo!$A$6:$BE$37,3,0)-VLOOKUP(B97,#REF!,$D$2,0),0)</f>
        <v>0</v>
      </c>
      <c r="E97" s="10">
        <f>IFERROR(VLOOKUP(B97,cubo!$A$6:$BE$37,5,0)-VLOOKUP(B97,#REF!,$E$2,0),0)</f>
        <v>0</v>
      </c>
      <c r="F97" s="10">
        <f>IFERROR(VLOOKUP(B97,cubo!$A$6:$BE$37,8,0)-VLOOKUP(B97,#REF!,$F$2,0),0)</f>
        <v>0</v>
      </c>
      <c r="G97" s="9">
        <f>IFERROR(VLOOKUP(B97,cubo!$A$6:$BE$37,11,0)-VLOOKUP(B97,#REF!,$G$2,0),0)</f>
        <v>0</v>
      </c>
      <c r="H97" s="9">
        <f>IFERROR(VLOOKUP(B97,cubo!$A$6:$BE$37,53,0)-VLOOKUP(B97,#REF!,$H$2,0),0)</f>
        <v>0</v>
      </c>
      <c r="I97" s="10">
        <f>IFERROR(VLOOKUP(B97,cubo!$A$6:$BE$37,14,0)-VLOOKUP(B97,#REF!,$I$2,0),0)</f>
        <v>0</v>
      </c>
      <c r="J97" s="9">
        <f>IFERROR(VLOOKUP(B97,cubo!$A$6:$BE$37,16,0)-VLOOKUP(B97,#REF!,$J$2,0),0)</f>
        <v>0</v>
      </c>
      <c r="K97" s="9">
        <f>IFERROR(VLOOKUP(B97,cubo!$A$6:$BE$37,17,0)-VLOOKUP(B97,#REF!,$K$2,0),0)</f>
        <v>0</v>
      </c>
      <c r="L97" s="9">
        <f>IFERROR(VLOOKUP(B97,cubo!$A$6:$BE$37,19,0)-VLOOKUP(B97,#REF!,$L$2,0),0)</f>
        <v>0</v>
      </c>
      <c r="M97" s="9">
        <f>IFERROR(VLOOKUP(B97,cubo!$A$6:$BE$37,23,0)-VLOOKUP(B97,#REF!,$M$2,0),0)</f>
        <v>0</v>
      </c>
      <c r="N97" s="9">
        <f>IFERROR(VLOOKUP(B97,cubo!$A$6:$BE$37,25,0)-VLOOKUP(B97,#REF!,$N$2,0),0)</f>
        <v>0</v>
      </c>
      <c r="O97" s="9">
        <f>IFERROR(VLOOKUP(B97,cubo!$A$6:$BE$37,33,0)-VLOOKUP(B97,#REF!,$O$2,0),0)</f>
        <v>0</v>
      </c>
      <c r="P97" s="8">
        <f>IFERROR(VLOOKUP(B97,cubo!$A$6:$BE$37,37,0)-VLOOKUP(B97,#REF!,$P$2,0),0)</f>
        <v>0</v>
      </c>
      <c r="Q97" s="8">
        <f>IFERROR(VLOOKUP(B97,cubo!$A$6:$BE$37,56,0)-VLOOKUP(B97,#REF!,$Q$2,0),0)</f>
        <v>0</v>
      </c>
      <c r="R97" s="9">
        <f>IFERROR(VLOOKUP(B97,cubo!$A$6:$BE$37,40,0)-VLOOKUP(B97,#REF!,$R$2,0),0)</f>
        <v>0</v>
      </c>
      <c r="S97" s="9">
        <f>IFERROR(VLOOKUP(B97,cubo!$A$6:$BE$37,43,0)-VLOOKUP(B97,#REF!,$S$2,0),0)</f>
        <v>0</v>
      </c>
      <c r="T97" s="9">
        <f>IFERROR(VLOOKUP(B97,cubo!$A$6:$BE$37,46,0)-VLOOKUP(B97,#REF!,$T$2,0),0)</f>
        <v>0</v>
      </c>
      <c r="U97" s="9">
        <f>IFERROR(VLOOKUP(B97,cubo!$A$6:$BE$37,51,0)-VLOOKUP(B97,#REF!,$U$2,0),0)</f>
        <v>0</v>
      </c>
      <c r="V97" s="9">
        <f>IFERROR(VLOOKUP(B97,cubo!$A$6:$BJ$37,60,0)-VLOOKUP(B97,#REF!,$V$2,0),0)</f>
        <v>0</v>
      </c>
      <c r="W97" s="9">
        <f>IFERROR(VLOOKUP(B97,cubo!$A$6:$BE$37,26,0)-VLOOKUP(B97,#REF!,$W$2,0),0)</f>
        <v>0</v>
      </c>
      <c r="X97" s="9">
        <f>IFERROR(VLOOKUP(B97,cubo!$A$6:$BE$37,20,0)-VLOOKUP(B97,#REF!,$X$2,0),0)</f>
        <v>0</v>
      </c>
      <c r="Y97" s="9">
        <f>IFERROR(VLOOKUP(B97,cubo!$A$6:$BE$37,21,0)-VLOOKUP(B97,#REF!,$Y$2,0),0)</f>
        <v>0</v>
      </c>
      <c r="Z97" s="9">
        <f>IFERROR(VLOOKUP(B97,cubo!$A$6:$BE$37,27,0)-VLOOKUP(B97,#REF!,$Z$2,0),0)</f>
        <v>0</v>
      </c>
      <c r="AA97" s="9">
        <f>IFERROR(VLOOKUP(B97,cubo!$A$6:$BE$37,28,0)-VLOOKUP(B97,#REF!,$AA$2,0),0)</f>
        <v>0</v>
      </c>
      <c r="AB97" s="9">
        <f>IFERROR(VLOOKUP(B97,cubo!$A$6:$BE$37,29,0)-VLOOKUP(B97,#REF!,$AB$2,0),0)</f>
        <v>0</v>
      </c>
      <c r="AC97" s="9">
        <f>IFERROR(VLOOKUP(B97,cubo!$A$6:$BE$37,30,0)-VLOOKUP(B97,#REF!,$AC$2,0),0)</f>
        <v>0</v>
      </c>
      <c r="AD97" s="9">
        <f>IFERROR(VLOOKUP(B97,cubo!$A$6:$BE$37,31,0)-VLOOKUP(B97,#REF!,$AD$2,0),0)</f>
        <v>0</v>
      </c>
      <c r="AE97" s="9">
        <f>IFERROR(VLOOKUP(B97,cubo!$A$6:$BE$37,35,0)-VLOOKUP(B97,#REF!,$AE$2,0),0)</f>
        <v>0</v>
      </c>
      <c r="AF97" s="9" cm="1">
        <f t="array" aca="1" ref="AF97" ca="1">IFERROR(rrPROCV(B97,cubo!$A$6:$BE$37,48,0)-VLOOKUP(B97,#REF!,$AF$2,0),0)</f>
        <v>0</v>
      </c>
      <c r="AG97" s="9">
        <f>IFERROR(VLOOKUP(B97,cubo!$A$6:$BE$37,49,0)-VLOOKUP(B97,#REF!,$AG$2,0),0)</f>
        <v>0</v>
      </c>
      <c r="AH97" s="9">
        <f>IFERROR(VLOOKUP(B97,cubo!$A$6:$BE$37,50,0)-VLOOKUP(B97,#REF!,$AH$2,0),0)</f>
        <v>0</v>
      </c>
      <c r="AI97" s="9">
        <f>IFERROR(VLOOKUP(B97,cubo!$A$6:$BE$37,51,0)-VLOOKUP(B97,#REF!,$AI$2,0),0)</f>
        <v>0</v>
      </c>
      <c r="AJ97" s="9">
        <f>IFERROR(VLOOKUP(B97,cubo!$A$6:$BI$116,62,0)-VLOOKUP(B97,#REF!,$AJ$2,0),0)</f>
        <v>0</v>
      </c>
      <c r="AK97" s="9">
        <f>IFERROR(VLOOKUP(B97,cubo!$A$6:$BJ$37,63,0)-VLOOKUP(B97,#REF!,$AK$2,0),0)</f>
        <v>0</v>
      </c>
      <c r="AL97" s="9">
        <f>IFERROR(VLOOKUP(B97,cubo!$A$6:$BE$37,58,0)-VLOOKUP(B97,#REF!,$AL$2,0),0)</f>
        <v>0</v>
      </c>
      <c r="AM97" s="9">
        <f>IFERROR(VLOOKUP(B97,cubo!$A$6:$BK$37,64,0)-VLOOKUP(B97,#REF!,$AM$2,0),0)</f>
        <v>0</v>
      </c>
      <c r="AN97" s="9">
        <f>IFERROR(VLOOKUP(B97,cubo!$A$6:$AN$37,41,0)-VLOOKUP(B97,#REF!,$AN$2,0),0)</f>
        <v>0</v>
      </c>
    </row>
    <row r="98" spans="2:40" x14ac:dyDescent="0.25">
      <c r="B98" s="7">
        <f>[1]salario!A97</f>
        <v>0</v>
      </c>
      <c r="C98" s="8">
        <f>[1]salario!C97</f>
        <v>0</v>
      </c>
      <c r="D98" s="9">
        <f>IFERROR(VLOOKUP(B98,cubo!$A$6:$BE$37,3,0)-VLOOKUP(B98,#REF!,$D$2,0),0)</f>
        <v>0</v>
      </c>
      <c r="E98" s="10">
        <f>IFERROR(VLOOKUP(B98,cubo!$A$6:$BE$37,5,0)-VLOOKUP(B98,#REF!,$E$2,0),0)</f>
        <v>0</v>
      </c>
      <c r="F98" s="10">
        <f>IFERROR(VLOOKUP(B98,cubo!$A$6:$BE$37,8,0)-VLOOKUP(B98,#REF!,$F$2,0),0)</f>
        <v>0</v>
      </c>
      <c r="G98" s="9">
        <f>IFERROR(VLOOKUP(B98,cubo!$A$6:$BE$37,11,0)-VLOOKUP(B98,#REF!,$G$2,0),0)</f>
        <v>0</v>
      </c>
      <c r="H98" s="9">
        <f>IFERROR(VLOOKUP(B98,cubo!$A$6:$BE$37,53,0)-VLOOKUP(B98,#REF!,$H$2,0),0)</f>
        <v>0</v>
      </c>
      <c r="I98" s="10">
        <f>IFERROR(VLOOKUP(B98,cubo!$A$6:$BE$37,14,0)-VLOOKUP(B98,#REF!,$I$2,0),0)</f>
        <v>0</v>
      </c>
      <c r="J98" s="9">
        <f>IFERROR(VLOOKUP(B98,cubo!$A$6:$BE$37,16,0)-VLOOKUP(B98,#REF!,$J$2,0),0)</f>
        <v>0</v>
      </c>
      <c r="K98" s="9">
        <f>IFERROR(VLOOKUP(B98,cubo!$A$6:$BE$37,17,0)-VLOOKUP(B98,#REF!,$K$2,0),0)</f>
        <v>0</v>
      </c>
      <c r="L98" s="9">
        <f>IFERROR(VLOOKUP(B98,cubo!$A$6:$BE$37,19,0)-VLOOKUP(B98,#REF!,$L$2,0),0)</f>
        <v>0</v>
      </c>
      <c r="M98" s="9">
        <f>IFERROR(VLOOKUP(B98,cubo!$A$6:$BE$37,23,0)-VLOOKUP(B98,#REF!,$M$2,0),0)</f>
        <v>0</v>
      </c>
      <c r="N98" s="9">
        <f>IFERROR(VLOOKUP(B98,cubo!$A$6:$BE$37,25,0)-VLOOKUP(B98,#REF!,$N$2,0),0)</f>
        <v>0</v>
      </c>
      <c r="O98" s="9">
        <f>IFERROR(VLOOKUP(B98,cubo!$A$6:$BE$37,33,0)-VLOOKUP(B98,#REF!,$O$2,0),0)</f>
        <v>0</v>
      </c>
      <c r="P98" s="8">
        <f>IFERROR(VLOOKUP(B98,cubo!$A$6:$BE$37,37,0)-VLOOKUP(B98,#REF!,$P$2,0),0)</f>
        <v>0</v>
      </c>
      <c r="Q98" s="8">
        <f>IFERROR(VLOOKUP(B98,cubo!$A$6:$BE$37,56,0)-VLOOKUP(B98,#REF!,$Q$2,0),0)</f>
        <v>0</v>
      </c>
      <c r="R98" s="9">
        <f>IFERROR(VLOOKUP(B98,cubo!$A$6:$BE$37,40,0)-VLOOKUP(B98,#REF!,$R$2,0),0)</f>
        <v>0</v>
      </c>
      <c r="S98" s="9">
        <f>IFERROR(VLOOKUP(B98,cubo!$A$6:$BE$37,43,0)-VLOOKUP(B98,#REF!,$S$2,0),0)</f>
        <v>0</v>
      </c>
      <c r="T98" s="9">
        <f>IFERROR(VLOOKUP(B98,cubo!$A$6:$BE$37,46,0)-VLOOKUP(B98,#REF!,$T$2,0),0)</f>
        <v>0</v>
      </c>
      <c r="U98" s="9">
        <f>IFERROR(VLOOKUP(B98,cubo!$A$6:$BE$37,51,0)-VLOOKUP(B98,#REF!,$U$2,0),0)</f>
        <v>0</v>
      </c>
      <c r="V98" s="9">
        <f>IFERROR(VLOOKUP(B98,cubo!$A$6:$BJ$37,60,0)-VLOOKUP(B98,#REF!,$V$2,0),0)</f>
        <v>0</v>
      </c>
      <c r="W98" s="9">
        <f>IFERROR(VLOOKUP(B98,cubo!$A$6:$BE$37,26,0)-VLOOKUP(B98,#REF!,$W$2,0),0)</f>
        <v>0</v>
      </c>
      <c r="X98" s="9">
        <f>IFERROR(VLOOKUP(B98,cubo!$A$6:$BE$37,20,0)-VLOOKUP(B98,#REF!,$X$2,0),0)</f>
        <v>0</v>
      </c>
      <c r="Y98" s="9">
        <f>IFERROR(VLOOKUP(B98,cubo!$A$6:$BE$37,21,0)-VLOOKUP(B98,#REF!,$Y$2,0),0)</f>
        <v>0</v>
      </c>
      <c r="Z98" s="9">
        <f>IFERROR(VLOOKUP(B98,cubo!$A$6:$BE$37,27,0)-VLOOKUP(B98,#REF!,$Z$2,0),0)</f>
        <v>0</v>
      </c>
      <c r="AA98" s="9">
        <f>IFERROR(VLOOKUP(B98,cubo!$A$6:$BE$37,28,0)-VLOOKUP(B98,#REF!,$AA$2,0),0)</f>
        <v>0</v>
      </c>
      <c r="AB98" s="9">
        <f>IFERROR(VLOOKUP(B98,cubo!$A$6:$BE$37,29,0)-VLOOKUP(B98,#REF!,$AB$2,0),0)</f>
        <v>0</v>
      </c>
      <c r="AC98" s="9">
        <f>IFERROR(VLOOKUP(B98,cubo!$A$6:$BE$37,30,0)-VLOOKUP(B98,#REF!,$AC$2,0),0)</f>
        <v>0</v>
      </c>
      <c r="AD98" s="9">
        <f>IFERROR(VLOOKUP(B98,cubo!$A$6:$BE$37,31,0)-VLOOKUP(B98,#REF!,$AD$2,0),0)</f>
        <v>0</v>
      </c>
      <c r="AE98" s="9">
        <f>IFERROR(VLOOKUP(B98,cubo!$A$6:$BE$37,35,0)-VLOOKUP(B98,#REF!,$AE$2,0),0)</f>
        <v>0</v>
      </c>
      <c r="AF98" s="9" cm="1">
        <f t="array" aca="1" ref="AF98" ca="1">IFERROR(rrPROCV(B98,cubo!$A$6:$BE$37,48,0)-VLOOKUP(B98,#REF!,$AF$2,0),0)</f>
        <v>0</v>
      </c>
      <c r="AG98" s="9">
        <f>IFERROR(VLOOKUP(B98,cubo!$A$6:$BE$37,49,0)-VLOOKUP(B98,#REF!,$AG$2,0),0)</f>
        <v>0</v>
      </c>
      <c r="AH98" s="9">
        <f>IFERROR(VLOOKUP(B98,cubo!$A$6:$BE$37,50,0)-VLOOKUP(B98,#REF!,$AH$2,0),0)</f>
        <v>0</v>
      </c>
      <c r="AI98" s="9">
        <f>IFERROR(VLOOKUP(B98,cubo!$A$6:$BE$37,51,0)-VLOOKUP(B98,#REF!,$AI$2,0),0)</f>
        <v>0</v>
      </c>
      <c r="AJ98" s="9">
        <f>IFERROR(VLOOKUP(B98,cubo!$A$6:$BI$116,62,0)-VLOOKUP(B98,#REF!,$AJ$2,0),0)</f>
        <v>0</v>
      </c>
      <c r="AK98" s="9">
        <f>IFERROR(VLOOKUP(B98,cubo!$A$6:$BJ$37,63,0)-VLOOKUP(B98,#REF!,$AK$2,0),0)</f>
        <v>0</v>
      </c>
      <c r="AL98" s="9">
        <f>IFERROR(VLOOKUP(B98,cubo!$A$6:$BE$37,58,0)-VLOOKUP(B98,#REF!,$AL$2,0),0)</f>
        <v>0</v>
      </c>
      <c r="AM98" s="9">
        <f>IFERROR(VLOOKUP(B98,cubo!$A$6:$BK$37,64,0)-VLOOKUP(B98,#REF!,$AM$2,0),0)</f>
        <v>0</v>
      </c>
      <c r="AN98" s="9">
        <f>IFERROR(VLOOKUP(B98,cubo!$A$6:$AN$37,41,0)-VLOOKUP(B98,#REF!,$AN$2,0),0)</f>
        <v>0</v>
      </c>
    </row>
    <row r="99" spans="2:40" x14ac:dyDescent="0.25">
      <c r="B99" s="7">
        <f>[1]salario!A98</f>
        <v>0</v>
      </c>
      <c r="C99" s="8">
        <f>[1]salario!C98</f>
        <v>0</v>
      </c>
      <c r="D99" s="9">
        <f>IFERROR(VLOOKUP(B99,cubo!$A$6:$BE$37,3,0)-VLOOKUP(B99,#REF!,$D$2,0),0)</f>
        <v>0</v>
      </c>
      <c r="E99" s="10">
        <f>IFERROR(VLOOKUP(B99,cubo!$A$6:$BE$37,5,0)-VLOOKUP(B99,#REF!,$E$2,0),0)</f>
        <v>0</v>
      </c>
      <c r="F99" s="10">
        <f>IFERROR(VLOOKUP(B99,cubo!$A$6:$BE$37,8,0)-VLOOKUP(B99,#REF!,$F$2,0),0)</f>
        <v>0</v>
      </c>
      <c r="G99" s="9">
        <f>IFERROR(VLOOKUP(B99,cubo!$A$6:$BE$37,11,0)-VLOOKUP(B99,#REF!,$G$2,0),0)</f>
        <v>0</v>
      </c>
      <c r="H99" s="9">
        <f>IFERROR(VLOOKUP(B99,cubo!$A$6:$BE$37,53,0)-VLOOKUP(B99,#REF!,$H$2,0),0)</f>
        <v>0</v>
      </c>
      <c r="I99" s="10">
        <f>IFERROR(VLOOKUP(B99,cubo!$A$6:$BE$37,14,0)-VLOOKUP(B99,#REF!,$I$2,0),0)</f>
        <v>0</v>
      </c>
      <c r="J99" s="9">
        <f>IFERROR(VLOOKUP(B99,cubo!$A$6:$BE$37,16,0)-VLOOKUP(B99,#REF!,$J$2,0),0)</f>
        <v>0</v>
      </c>
      <c r="K99" s="9">
        <f>IFERROR(VLOOKUP(B99,cubo!$A$6:$BE$37,17,0)-VLOOKUP(B99,#REF!,$K$2,0),0)</f>
        <v>0</v>
      </c>
      <c r="L99" s="9">
        <f>IFERROR(VLOOKUP(B99,cubo!$A$6:$BE$37,19,0)-VLOOKUP(B99,#REF!,$L$2,0),0)</f>
        <v>0</v>
      </c>
      <c r="M99" s="9">
        <f>IFERROR(VLOOKUP(B99,cubo!$A$6:$BE$37,23,0)-VLOOKUP(B99,#REF!,$M$2,0),0)</f>
        <v>0</v>
      </c>
      <c r="N99" s="9">
        <f>IFERROR(VLOOKUP(B99,cubo!$A$6:$BE$37,25,0)-VLOOKUP(B99,#REF!,$N$2,0),0)</f>
        <v>0</v>
      </c>
      <c r="O99" s="9">
        <f>IFERROR(VLOOKUP(B99,cubo!$A$6:$BE$37,33,0)-VLOOKUP(B99,#REF!,$O$2,0),0)</f>
        <v>0</v>
      </c>
      <c r="P99" s="8">
        <f>IFERROR(VLOOKUP(B99,cubo!$A$6:$BE$37,37,0)-VLOOKUP(B99,#REF!,$P$2,0),0)</f>
        <v>0</v>
      </c>
      <c r="Q99" s="8">
        <f>IFERROR(VLOOKUP(B99,cubo!$A$6:$BE$37,56,0)-VLOOKUP(B99,#REF!,$Q$2,0),0)</f>
        <v>0</v>
      </c>
      <c r="R99" s="9">
        <f>IFERROR(VLOOKUP(B99,cubo!$A$6:$BE$37,40,0)-VLOOKUP(B99,#REF!,$R$2,0),0)</f>
        <v>0</v>
      </c>
      <c r="S99" s="9">
        <f>IFERROR(VLOOKUP(B99,cubo!$A$6:$BE$37,43,0)-VLOOKUP(B99,#REF!,$S$2,0),0)</f>
        <v>0</v>
      </c>
      <c r="T99" s="9">
        <f>IFERROR(VLOOKUP(B99,cubo!$A$6:$BE$37,46,0)-VLOOKUP(B99,#REF!,$T$2,0),0)</f>
        <v>0</v>
      </c>
      <c r="U99" s="9">
        <f>IFERROR(VLOOKUP(B99,cubo!$A$6:$BE$37,51,0)-VLOOKUP(B99,#REF!,$U$2,0),0)</f>
        <v>0</v>
      </c>
      <c r="V99" s="9">
        <f>IFERROR(VLOOKUP(B99,cubo!$A$6:$BJ$37,60,0)-VLOOKUP(B99,#REF!,$V$2,0),0)</f>
        <v>0</v>
      </c>
      <c r="W99" s="9">
        <f>IFERROR(VLOOKUP(B99,cubo!$A$6:$BE$37,26,0)-VLOOKUP(B99,#REF!,$W$2,0),0)</f>
        <v>0</v>
      </c>
      <c r="X99" s="9">
        <f>IFERROR(VLOOKUP(B99,cubo!$A$6:$BE$37,20,0)-VLOOKUP(B99,#REF!,$X$2,0),0)</f>
        <v>0</v>
      </c>
      <c r="Y99" s="9">
        <f>IFERROR(VLOOKUP(B99,cubo!$A$6:$BE$37,21,0)-VLOOKUP(B99,#REF!,$Y$2,0),0)</f>
        <v>0</v>
      </c>
      <c r="Z99" s="9">
        <f>IFERROR(VLOOKUP(B99,cubo!$A$6:$BE$37,27,0)-VLOOKUP(B99,#REF!,$Z$2,0),0)</f>
        <v>0</v>
      </c>
      <c r="AA99" s="9">
        <f>IFERROR(VLOOKUP(B99,cubo!$A$6:$BE$37,28,0)-VLOOKUP(B99,#REF!,$AA$2,0),0)</f>
        <v>0</v>
      </c>
      <c r="AB99" s="9">
        <f>IFERROR(VLOOKUP(B99,cubo!$A$6:$BE$37,29,0)-VLOOKUP(B99,#REF!,$AB$2,0),0)</f>
        <v>0</v>
      </c>
      <c r="AC99" s="9">
        <f>IFERROR(VLOOKUP(B99,cubo!$A$6:$BE$37,30,0)-VLOOKUP(B99,#REF!,$AC$2,0),0)</f>
        <v>0</v>
      </c>
      <c r="AD99" s="9">
        <f>IFERROR(VLOOKUP(B99,cubo!$A$6:$BE$37,31,0)-VLOOKUP(B99,#REF!,$AD$2,0),0)</f>
        <v>0</v>
      </c>
      <c r="AE99" s="9">
        <f>IFERROR(VLOOKUP(B99,cubo!$A$6:$BE$37,35,0)-VLOOKUP(B99,#REF!,$AE$2,0),0)</f>
        <v>0</v>
      </c>
      <c r="AF99" s="9" cm="1">
        <f t="array" aca="1" ref="AF99" ca="1">IFERROR(rrPROCV(B99,cubo!$A$6:$BE$37,48,0)-VLOOKUP(B99,#REF!,$AF$2,0),0)</f>
        <v>0</v>
      </c>
      <c r="AG99" s="9">
        <f>IFERROR(VLOOKUP(B99,cubo!$A$6:$BE$37,49,0)-VLOOKUP(B99,#REF!,$AG$2,0),0)</f>
        <v>0</v>
      </c>
      <c r="AH99" s="9">
        <f>IFERROR(VLOOKUP(B99,cubo!$A$6:$BE$37,50,0)-VLOOKUP(B99,#REF!,$AH$2,0),0)</f>
        <v>0</v>
      </c>
      <c r="AI99" s="9">
        <f>IFERROR(VLOOKUP(B99,cubo!$A$6:$BE$37,51,0)-VLOOKUP(B99,#REF!,$AI$2,0),0)</f>
        <v>0</v>
      </c>
      <c r="AJ99" s="9">
        <f>IFERROR(VLOOKUP(B99,cubo!$A$6:$BI$116,62,0)-VLOOKUP(B99,#REF!,$AJ$2,0),0)</f>
        <v>0</v>
      </c>
      <c r="AK99" s="9">
        <f>IFERROR(VLOOKUP(B99,cubo!$A$6:$BJ$37,63,0)-VLOOKUP(B99,#REF!,$AK$2,0),0)</f>
        <v>0</v>
      </c>
      <c r="AL99" s="9">
        <f>IFERROR(VLOOKUP(B99,cubo!$A$6:$BE$37,58,0)-VLOOKUP(B99,#REF!,$AL$2,0),0)</f>
        <v>0</v>
      </c>
      <c r="AM99" s="9">
        <f>IFERROR(VLOOKUP(B99,cubo!$A$6:$BK$37,64,0)-VLOOKUP(B99,#REF!,$AM$2,0),0)</f>
        <v>0</v>
      </c>
      <c r="AN99" s="9">
        <f>IFERROR(VLOOKUP(B99,cubo!$A$6:$AN$37,41,0)-VLOOKUP(B99,#REF!,$AN$2,0),0)</f>
        <v>0</v>
      </c>
    </row>
    <row r="100" spans="2:40" x14ac:dyDescent="0.25">
      <c r="B100" s="7">
        <f>[1]salario!A99</f>
        <v>0</v>
      </c>
      <c r="C100" s="8">
        <f>[1]salario!C99</f>
        <v>0</v>
      </c>
      <c r="D100" s="9">
        <f>IFERROR(VLOOKUP(B100,cubo!$A$6:$BE$37,3,0)-VLOOKUP(B100,#REF!,$D$2,0),0)</f>
        <v>0</v>
      </c>
      <c r="E100" s="10">
        <f>IFERROR(VLOOKUP(B100,cubo!$A$6:$BE$37,5,0)-VLOOKUP(B100,#REF!,$E$2,0),0)</f>
        <v>0</v>
      </c>
      <c r="F100" s="10">
        <f>IFERROR(VLOOKUP(B100,cubo!$A$6:$BE$37,8,0)-VLOOKUP(B100,#REF!,$F$2,0),0)</f>
        <v>0</v>
      </c>
      <c r="G100" s="9">
        <f>IFERROR(VLOOKUP(B100,cubo!$A$6:$BE$37,11,0)-VLOOKUP(B100,#REF!,$G$2,0),0)</f>
        <v>0</v>
      </c>
      <c r="H100" s="9">
        <f>IFERROR(VLOOKUP(B100,cubo!$A$6:$BE$37,53,0)-VLOOKUP(B100,#REF!,$H$2,0),0)</f>
        <v>0</v>
      </c>
      <c r="I100" s="10">
        <f>IFERROR(VLOOKUP(B100,cubo!$A$6:$BE$37,14,0)-VLOOKUP(B100,#REF!,$I$2,0),0)</f>
        <v>0</v>
      </c>
      <c r="J100" s="9">
        <f>IFERROR(VLOOKUP(B100,cubo!$A$6:$BE$37,16,0)-VLOOKUP(B100,#REF!,$J$2,0),0)</f>
        <v>0</v>
      </c>
      <c r="K100" s="9">
        <f>IFERROR(VLOOKUP(B100,cubo!$A$6:$BE$37,17,0)-VLOOKUP(B100,#REF!,$K$2,0),0)</f>
        <v>0</v>
      </c>
      <c r="L100" s="9">
        <f>IFERROR(VLOOKUP(B100,cubo!$A$6:$BE$37,19,0)-VLOOKUP(B100,#REF!,$L$2,0),0)</f>
        <v>0</v>
      </c>
      <c r="M100" s="9">
        <f>IFERROR(VLOOKUP(B100,cubo!$A$6:$BE$37,23,0)-VLOOKUP(B100,#REF!,$M$2,0),0)</f>
        <v>0</v>
      </c>
      <c r="N100" s="9">
        <f>IFERROR(VLOOKUP(B100,cubo!$A$6:$BE$37,25,0)-VLOOKUP(B100,#REF!,$N$2,0),0)</f>
        <v>0</v>
      </c>
      <c r="O100" s="9">
        <f>IFERROR(VLOOKUP(B100,cubo!$A$6:$BE$37,33,0)-VLOOKUP(B100,#REF!,$O$2,0),0)</f>
        <v>0</v>
      </c>
      <c r="P100" s="8">
        <f>IFERROR(VLOOKUP(B100,cubo!$A$6:$BE$37,37,0)-VLOOKUP(B100,#REF!,$P$2,0),0)</f>
        <v>0</v>
      </c>
      <c r="Q100" s="8">
        <f>IFERROR(VLOOKUP(B100,cubo!$A$6:$BE$37,56,0)-VLOOKUP(B100,#REF!,$Q$2,0),0)</f>
        <v>0</v>
      </c>
      <c r="R100" s="9">
        <f>IFERROR(VLOOKUP(B100,cubo!$A$6:$BE$37,40,0)-VLOOKUP(B100,#REF!,$R$2,0),0)</f>
        <v>0</v>
      </c>
      <c r="S100" s="9">
        <f>IFERROR(VLOOKUP(B100,cubo!$A$6:$BE$37,43,0)-VLOOKUP(B100,#REF!,$S$2,0),0)</f>
        <v>0</v>
      </c>
      <c r="T100" s="9">
        <f>IFERROR(VLOOKUP(B100,cubo!$A$6:$BE$37,46,0)-VLOOKUP(B100,#REF!,$T$2,0),0)</f>
        <v>0</v>
      </c>
      <c r="U100" s="9">
        <f>IFERROR(VLOOKUP(B100,cubo!$A$6:$BE$37,51,0)-VLOOKUP(B100,#REF!,$U$2,0),0)</f>
        <v>0</v>
      </c>
      <c r="V100" s="9">
        <f>IFERROR(VLOOKUP(B100,cubo!$A$6:$BJ$37,60,0)-VLOOKUP(B100,#REF!,$V$2,0),0)</f>
        <v>0</v>
      </c>
      <c r="W100" s="9">
        <f>IFERROR(VLOOKUP(B100,cubo!$A$6:$BE$37,26,0)-VLOOKUP(B100,#REF!,$W$2,0),0)</f>
        <v>0</v>
      </c>
      <c r="X100" s="9">
        <f>IFERROR(VLOOKUP(B100,cubo!$A$6:$BE$37,20,0)-VLOOKUP(B100,#REF!,$X$2,0),0)</f>
        <v>0</v>
      </c>
      <c r="Y100" s="9">
        <f>IFERROR(VLOOKUP(B100,cubo!$A$6:$BE$37,21,0)-VLOOKUP(B100,#REF!,$Y$2,0),0)</f>
        <v>0</v>
      </c>
      <c r="Z100" s="9">
        <f>IFERROR(VLOOKUP(B100,cubo!$A$6:$BE$37,27,0)-VLOOKUP(B100,#REF!,$Z$2,0),0)</f>
        <v>0</v>
      </c>
      <c r="AA100" s="9">
        <f>IFERROR(VLOOKUP(B100,cubo!$A$6:$BE$37,28,0)-VLOOKUP(B100,#REF!,$AA$2,0),0)</f>
        <v>0</v>
      </c>
      <c r="AB100" s="9">
        <f>IFERROR(VLOOKUP(B100,cubo!$A$6:$BE$37,29,0)-VLOOKUP(B100,#REF!,$AB$2,0),0)</f>
        <v>0</v>
      </c>
      <c r="AC100" s="9">
        <f>IFERROR(VLOOKUP(B100,cubo!$A$6:$BE$37,30,0)-VLOOKUP(B100,#REF!,$AC$2,0),0)</f>
        <v>0</v>
      </c>
      <c r="AD100" s="9">
        <f>IFERROR(VLOOKUP(B100,cubo!$A$6:$BE$37,31,0)-VLOOKUP(B100,#REF!,$AD$2,0),0)</f>
        <v>0</v>
      </c>
      <c r="AE100" s="9">
        <f>IFERROR(VLOOKUP(B100,cubo!$A$6:$BE$37,35,0)-VLOOKUP(B100,#REF!,$AE$2,0),0)</f>
        <v>0</v>
      </c>
      <c r="AF100" s="9" cm="1">
        <f t="array" aca="1" ref="AF100" ca="1">IFERROR(rrPROCV(B100,cubo!$A$6:$BE$37,48,0)-VLOOKUP(B100,#REF!,$AF$2,0),0)</f>
        <v>0</v>
      </c>
      <c r="AG100" s="9">
        <f>IFERROR(VLOOKUP(B100,cubo!$A$6:$BE$37,49,0)-VLOOKUP(B100,#REF!,$AG$2,0),0)</f>
        <v>0</v>
      </c>
      <c r="AH100" s="9">
        <f>IFERROR(VLOOKUP(B100,cubo!$A$6:$BE$37,50,0)-VLOOKUP(B100,#REF!,$AH$2,0),0)</f>
        <v>0</v>
      </c>
      <c r="AI100" s="9">
        <f>IFERROR(VLOOKUP(B100,cubo!$A$6:$BE$37,51,0)-VLOOKUP(B100,#REF!,$AI$2,0),0)</f>
        <v>0</v>
      </c>
      <c r="AJ100" s="9">
        <f>IFERROR(VLOOKUP(B100,cubo!$A$6:$BI$116,62,0)-VLOOKUP(B100,#REF!,$AJ$2,0),0)</f>
        <v>0</v>
      </c>
      <c r="AK100" s="9">
        <f>IFERROR(VLOOKUP(B100,cubo!$A$6:$BJ$37,63,0)-VLOOKUP(B100,#REF!,$AK$2,0),0)</f>
        <v>0</v>
      </c>
      <c r="AL100" s="9">
        <f>IFERROR(VLOOKUP(B100,cubo!$A$6:$BE$37,58,0)-VLOOKUP(B100,#REF!,$AL$2,0),0)</f>
        <v>0</v>
      </c>
      <c r="AM100" s="9">
        <f>IFERROR(VLOOKUP(B100,cubo!$A$6:$BK$37,64,0)-VLOOKUP(B100,#REF!,$AM$2,0),0)</f>
        <v>0</v>
      </c>
      <c r="AN100" s="9">
        <f>IFERROR(VLOOKUP(B100,cubo!$A$6:$AN$37,41,0)-VLOOKUP(B100,#REF!,$AN$2,0),0)</f>
        <v>0</v>
      </c>
    </row>
    <row r="101" spans="2:40" x14ac:dyDescent="0.25">
      <c r="B101" s="7">
        <f>[1]salario!A100</f>
        <v>0</v>
      </c>
      <c r="C101" s="8">
        <f>[1]salario!C100</f>
        <v>0</v>
      </c>
      <c r="D101" s="9">
        <f>IFERROR(VLOOKUP(B101,cubo!$A$6:$BE$37,3,0)-VLOOKUP(B101,#REF!,$D$2,0),0)</f>
        <v>0</v>
      </c>
      <c r="E101" s="10">
        <f>IFERROR(VLOOKUP(B101,cubo!$A$6:$BE$37,5,0)-VLOOKUP(B101,#REF!,$E$2,0),0)</f>
        <v>0</v>
      </c>
      <c r="F101" s="10">
        <f>IFERROR(VLOOKUP(B101,cubo!$A$6:$BE$37,8,0)-VLOOKUP(B101,#REF!,$F$2,0),0)</f>
        <v>0</v>
      </c>
      <c r="G101" s="9">
        <f>IFERROR(VLOOKUP(B101,cubo!$A$6:$BE$37,11,0)-VLOOKUP(B101,#REF!,$G$2,0),0)</f>
        <v>0</v>
      </c>
      <c r="H101" s="9">
        <f>IFERROR(VLOOKUP(B101,cubo!$A$6:$BE$37,53,0)-VLOOKUP(B101,#REF!,$H$2,0),0)</f>
        <v>0</v>
      </c>
      <c r="I101" s="10">
        <f>IFERROR(VLOOKUP(B101,cubo!$A$6:$BE$37,14,0)-VLOOKUP(B101,#REF!,$I$2,0),0)</f>
        <v>0</v>
      </c>
      <c r="J101" s="9">
        <f>IFERROR(VLOOKUP(B101,cubo!$A$6:$BE$37,16,0)-VLOOKUP(B101,#REF!,$J$2,0),0)</f>
        <v>0</v>
      </c>
      <c r="K101" s="9">
        <f>IFERROR(VLOOKUP(B101,cubo!$A$6:$BE$37,17,0)-VLOOKUP(B101,#REF!,$K$2,0),0)</f>
        <v>0</v>
      </c>
      <c r="L101" s="9">
        <f>IFERROR(VLOOKUP(B101,cubo!$A$6:$BE$37,19,0)-VLOOKUP(B101,#REF!,$L$2,0),0)</f>
        <v>0</v>
      </c>
      <c r="M101" s="9">
        <f>IFERROR(VLOOKUP(B101,cubo!$A$6:$BE$37,23,0)-VLOOKUP(B101,#REF!,$M$2,0),0)</f>
        <v>0</v>
      </c>
      <c r="N101" s="9">
        <f>IFERROR(VLOOKUP(B101,cubo!$A$6:$BE$37,25,0)-VLOOKUP(B101,#REF!,$N$2,0),0)</f>
        <v>0</v>
      </c>
      <c r="O101" s="9">
        <f>IFERROR(VLOOKUP(B101,cubo!$A$6:$BE$37,33,0)-VLOOKUP(B101,#REF!,$O$2,0),0)</f>
        <v>0</v>
      </c>
      <c r="P101" s="8">
        <f>IFERROR(VLOOKUP(B101,cubo!$A$6:$BE$37,37,0)-VLOOKUP(B101,#REF!,$P$2,0),0)</f>
        <v>0</v>
      </c>
      <c r="Q101" s="8">
        <f>IFERROR(VLOOKUP(B101,cubo!$A$6:$BE$37,56,0)-VLOOKUP(B101,#REF!,$Q$2,0),0)</f>
        <v>0</v>
      </c>
      <c r="R101" s="9">
        <f>IFERROR(VLOOKUP(B101,cubo!$A$6:$BE$37,40,0)-VLOOKUP(B101,#REF!,$R$2,0),0)</f>
        <v>0</v>
      </c>
      <c r="S101" s="9">
        <f>IFERROR(VLOOKUP(B101,cubo!$A$6:$BE$37,43,0)-VLOOKUP(B101,#REF!,$S$2,0),0)</f>
        <v>0</v>
      </c>
      <c r="T101" s="9">
        <f>IFERROR(VLOOKUP(B101,cubo!$A$6:$BE$37,46,0)-VLOOKUP(B101,#REF!,$T$2,0),0)</f>
        <v>0</v>
      </c>
      <c r="U101" s="9">
        <f>IFERROR(VLOOKUP(B101,cubo!$A$6:$BE$37,51,0)-VLOOKUP(B101,#REF!,$U$2,0),0)</f>
        <v>0</v>
      </c>
      <c r="V101" s="9">
        <f>IFERROR(VLOOKUP(B101,cubo!$A$6:$BJ$37,60,0)-VLOOKUP(B101,#REF!,$V$2,0),0)</f>
        <v>0</v>
      </c>
      <c r="W101" s="9">
        <f>IFERROR(VLOOKUP(B101,cubo!$A$6:$BE$37,26,0)-VLOOKUP(B101,#REF!,$W$2,0),0)</f>
        <v>0</v>
      </c>
      <c r="X101" s="9">
        <f>IFERROR(VLOOKUP(B101,cubo!$A$6:$BE$37,20,0)-VLOOKUP(B101,#REF!,$X$2,0),0)</f>
        <v>0</v>
      </c>
      <c r="Y101" s="9">
        <f>IFERROR(VLOOKUP(B101,cubo!$A$6:$BE$37,21,0)-VLOOKUP(B101,#REF!,$Y$2,0),0)</f>
        <v>0</v>
      </c>
      <c r="Z101" s="9">
        <f>IFERROR(VLOOKUP(B101,cubo!$A$6:$BE$37,27,0)-VLOOKUP(B101,#REF!,$Z$2,0),0)</f>
        <v>0</v>
      </c>
      <c r="AA101" s="9">
        <f>IFERROR(VLOOKUP(B101,cubo!$A$6:$BE$37,28,0)-VLOOKUP(B101,#REF!,$AA$2,0),0)</f>
        <v>0</v>
      </c>
      <c r="AB101" s="9">
        <f>IFERROR(VLOOKUP(B101,cubo!$A$6:$BE$37,29,0)-VLOOKUP(B101,#REF!,$AB$2,0),0)</f>
        <v>0</v>
      </c>
      <c r="AC101" s="9">
        <f>IFERROR(VLOOKUP(B101,cubo!$A$6:$BE$37,30,0)-VLOOKUP(B101,#REF!,$AC$2,0),0)</f>
        <v>0</v>
      </c>
      <c r="AD101" s="9">
        <f>IFERROR(VLOOKUP(B101,cubo!$A$6:$BE$37,31,0)-VLOOKUP(B101,#REF!,$AD$2,0),0)</f>
        <v>0</v>
      </c>
      <c r="AE101" s="9">
        <f>IFERROR(VLOOKUP(B101,cubo!$A$6:$BE$37,35,0)-VLOOKUP(B101,#REF!,$AE$2,0),0)</f>
        <v>0</v>
      </c>
      <c r="AF101" s="9" cm="1">
        <f t="array" aca="1" ref="AF101" ca="1">IFERROR(rrPROCV(B101,cubo!$A$6:$BE$37,48,0)-VLOOKUP(B101,#REF!,$AF$2,0),0)</f>
        <v>0</v>
      </c>
      <c r="AG101" s="9">
        <f>IFERROR(VLOOKUP(B101,cubo!$A$6:$BE$37,49,0)-VLOOKUP(B101,#REF!,$AG$2,0),0)</f>
        <v>0</v>
      </c>
      <c r="AH101" s="9">
        <f>IFERROR(VLOOKUP(B101,cubo!$A$6:$BE$37,50,0)-VLOOKUP(B101,#REF!,$AH$2,0),0)</f>
        <v>0</v>
      </c>
      <c r="AI101" s="9">
        <f>IFERROR(VLOOKUP(B101,cubo!$A$6:$BE$37,51,0)-VLOOKUP(B101,#REF!,$AI$2,0),0)</f>
        <v>0</v>
      </c>
      <c r="AJ101" s="9">
        <f>IFERROR(VLOOKUP(B101,cubo!$A$6:$BI$116,62,0)-VLOOKUP(B101,#REF!,$AJ$2,0),0)</f>
        <v>0</v>
      </c>
      <c r="AK101" s="9">
        <f>IFERROR(VLOOKUP(B101,cubo!$A$6:$BJ$37,63,0)-VLOOKUP(B101,#REF!,$AK$2,0),0)</f>
        <v>0</v>
      </c>
      <c r="AL101" s="9">
        <f>IFERROR(VLOOKUP(B101,cubo!$A$6:$BE$37,58,0)-VLOOKUP(B101,#REF!,$AL$2,0),0)</f>
        <v>0</v>
      </c>
      <c r="AM101" s="9">
        <f>IFERROR(VLOOKUP(B101,cubo!$A$6:$BK$37,64,0)-VLOOKUP(B101,#REF!,$AM$2,0),0)</f>
        <v>0</v>
      </c>
      <c r="AN101" s="9">
        <f>IFERROR(VLOOKUP(B101,cubo!$A$6:$AN$37,41,0)-VLOOKUP(B101,#REF!,$AN$2,0),0)</f>
        <v>0</v>
      </c>
    </row>
    <row r="102" spans="2:40" x14ac:dyDescent="0.25">
      <c r="B102" s="7">
        <f>[1]salario!A101</f>
        <v>0</v>
      </c>
      <c r="C102" s="8">
        <f>[1]salario!C101</f>
        <v>0</v>
      </c>
      <c r="D102" s="9">
        <f>IFERROR(VLOOKUP(B102,cubo!$A$6:$BE$37,3,0)-VLOOKUP(B102,#REF!,$D$2,0),0)</f>
        <v>0</v>
      </c>
      <c r="E102" s="10">
        <f>IFERROR(VLOOKUP(B102,cubo!$A$6:$BE$37,5,0)-VLOOKUP(B102,#REF!,$E$2,0),0)</f>
        <v>0</v>
      </c>
      <c r="F102" s="10">
        <f>IFERROR(VLOOKUP(B102,cubo!$A$6:$BE$37,8,0)-VLOOKUP(B102,#REF!,$F$2,0),0)</f>
        <v>0</v>
      </c>
      <c r="G102" s="9">
        <f>IFERROR(VLOOKUP(B102,cubo!$A$6:$BE$37,11,0)-VLOOKUP(B102,#REF!,$G$2,0),0)</f>
        <v>0</v>
      </c>
      <c r="H102" s="9">
        <f>IFERROR(VLOOKUP(B102,cubo!$A$6:$BE$37,53,0)-VLOOKUP(B102,#REF!,$H$2,0),0)</f>
        <v>0</v>
      </c>
      <c r="I102" s="10">
        <f>IFERROR(VLOOKUP(B102,cubo!$A$6:$BE$37,14,0)-VLOOKUP(B102,#REF!,$I$2,0),0)</f>
        <v>0</v>
      </c>
      <c r="J102" s="9">
        <f>IFERROR(VLOOKUP(B102,cubo!$A$6:$BE$37,16,0)-VLOOKUP(B102,#REF!,$J$2,0),0)</f>
        <v>0</v>
      </c>
      <c r="K102" s="9">
        <f>IFERROR(VLOOKUP(B102,cubo!$A$6:$BE$37,17,0)-VLOOKUP(B102,#REF!,$K$2,0),0)</f>
        <v>0</v>
      </c>
      <c r="L102" s="9">
        <f>IFERROR(VLOOKUP(B102,cubo!$A$6:$BE$37,19,0)-VLOOKUP(B102,#REF!,$L$2,0),0)</f>
        <v>0</v>
      </c>
      <c r="M102" s="9">
        <f>IFERROR(VLOOKUP(B102,cubo!$A$6:$BE$37,23,0)-VLOOKUP(B102,#REF!,$M$2,0),0)</f>
        <v>0</v>
      </c>
      <c r="N102" s="9">
        <f>IFERROR(VLOOKUP(B102,cubo!$A$6:$BE$37,25,0)-VLOOKUP(B102,#REF!,$N$2,0),0)</f>
        <v>0</v>
      </c>
      <c r="O102" s="9">
        <f>IFERROR(VLOOKUP(B102,cubo!$A$6:$BE$37,33,0)-VLOOKUP(B102,#REF!,$O$2,0),0)</f>
        <v>0</v>
      </c>
      <c r="P102" s="8">
        <f>IFERROR(VLOOKUP(B102,cubo!$A$6:$BE$37,37,0)-VLOOKUP(B102,#REF!,$P$2,0),0)</f>
        <v>0</v>
      </c>
      <c r="Q102" s="8">
        <f>IFERROR(VLOOKUP(B102,cubo!$A$6:$BE$37,56,0)-VLOOKUP(B102,#REF!,$Q$2,0),0)</f>
        <v>0</v>
      </c>
      <c r="R102" s="9">
        <f>IFERROR(VLOOKUP(B102,cubo!$A$6:$BE$37,40,0)-VLOOKUP(B102,#REF!,$R$2,0),0)</f>
        <v>0</v>
      </c>
      <c r="S102" s="9">
        <f>IFERROR(VLOOKUP(B102,cubo!$A$6:$BE$37,43,0)-VLOOKUP(B102,#REF!,$S$2,0),0)</f>
        <v>0</v>
      </c>
      <c r="T102" s="9">
        <f>IFERROR(VLOOKUP(B102,cubo!$A$6:$BE$37,46,0)-VLOOKUP(B102,#REF!,$T$2,0),0)</f>
        <v>0</v>
      </c>
      <c r="U102" s="9">
        <f>IFERROR(VLOOKUP(B102,cubo!$A$6:$BE$37,51,0)-VLOOKUP(B102,#REF!,$U$2,0),0)</f>
        <v>0</v>
      </c>
      <c r="V102" s="9">
        <f>IFERROR(VLOOKUP(B102,cubo!$A$6:$BJ$37,60,0)-VLOOKUP(B102,#REF!,$V$2,0),0)</f>
        <v>0</v>
      </c>
      <c r="W102" s="9">
        <f>IFERROR(VLOOKUP(B102,cubo!$A$6:$BE$37,26,0)-VLOOKUP(B102,#REF!,$W$2,0),0)</f>
        <v>0</v>
      </c>
      <c r="X102" s="9">
        <f>IFERROR(VLOOKUP(B102,cubo!$A$6:$BE$37,20,0)-VLOOKUP(B102,#REF!,$X$2,0),0)</f>
        <v>0</v>
      </c>
      <c r="Y102" s="9">
        <f>IFERROR(VLOOKUP(B102,cubo!$A$6:$BE$37,21,0)-VLOOKUP(B102,#REF!,$Y$2,0),0)</f>
        <v>0</v>
      </c>
      <c r="Z102" s="9">
        <f>IFERROR(VLOOKUP(B102,cubo!$A$6:$BE$37,27,0)-VLOOKUP(B102,#REF!,$Z$2,0),0)</f>
        <v>0</v>
      </c>
      <c r="AA102" s="9">
        <f>IFERROR(VLOOKUP(B102,cubo!$A$6:$BE$37,28,0)-VLOOKUP(B102,#REF!,$AA$2,0),0)</f>
        <v>0</v>
      </c>
      <c r="AB102" s="9">
        <f>IFERROR(VLOOKUP(B102,cubo!$A$6:$BE$37,29,0)-VLOOKUP(B102,#REF!,$AB$2,0),0)</f>
        <v>0</v>
      </c>
      <c r="AC102" s="9">
        <f>IFERROR(VLOOKUP(B102,cubo!$A$6:$BE$37,30,0)-VLOOKUP(B102,#REF!,$AC$2,0),0)</f>
        <v>0</v>
      </c>
      <c r="AD102" s="9">
        <f>IFERROR(VLOOKUP(B102,cubo!$A$6:$BE$37,31,0)-VLOOKUP(B102,#REF!,$AD$2,0),0)</f>
        <v>0</v>
      </c>
      <c r="AE102" s="9">
        <f>IFERROR(VLOOKUP(B102,cubo!$A$6:$BE$37,35,0)-VLOOKUP(B102,#REF!,$AE$2,0),0)</f>
        <v>0</v>
      </c>
      <c r="AF102" s="9" cm="1">
        <f t="array" aca="1" ref="AF102" ca="1">IFERROR(rrPROCV(B102,cubo!$A$6:$BE$37,48,0)-VLOOKUP(B102,#REF!,$AF$2,0),0)</f>
        <v>0</v>
      </c>
      <c r="AG102" s="9">
        <f>IFERROR(VLOOKUP(B102,cubo!$A$6:$BE$37,49,0)-VLOOKUP(B102,#REF!,$AG$2,0),0)</f>
        <v>0</v>
      </c>
      <c r="AH102" s="9">
        <f>IFERROR(VLOOKUP(B102,cubo!$A$6:$BE$37,50,0)-VLOOKUP(B102,#REF!,$AH$2,0),0)</f>
        <v>0</v>
      </c>
      <c r="AI102" s="9">
        <f>IFERROR(VLOOKUP(B102,cubo!$A$6:$BE$37,51,0)-VLOOKUP(B102,#REF!,$AI$2,0),0)</f>
        <v>0</v>
      </c>
      <c r="AJ102" s="9">
        <f>IFERROR(VLOOKUP(B102,cubo!$A$6:$BI$116,62,0)-VLOOKUP(B102,#REF!,$AJ$2,0),0)</f>
        <v>0</v>
      </c>
      <c r="AK102" s="9">
        <f>IFERROR(VLOOKUP(B102,cubo!$A$6:$BJ$37,63,0)-VLOOKUP(B102,#REF!,$AK$2,0),0)</f>
        <v>0</v>
      </c>
      <c r="AL102" s="9">
        <f>IFERROR(VLOOKUP(B102,cubo!$A$6:$BE$37,58,0)-VLOOKUP(B102,#REF!,$AL$2,0),0)</f>
        <v>0</v>
      </c>
      <c r="AM102" s="9">
        <f>IFERROR(VLOOKUP(B102,cubo!$A$6:$BK$37,64,0)-VLOOKUP(B102,#REF!,$AM$2,0),0)</f>
        <v>0</v>
      </c>
      <c r="AN102" s="9">
        <f>IFERROR(VLOOKUP(B102,cubo!$A$6:$AN$37,41,0)-VLOOKUP(B102,#REF!,$AN$2,0),0)</f>
        <v>0</v>
      </c>
    </row>
    <row r="103" spans="2:40" x14ac:dyDescent="0.25">
      <c r="B103" s="7">
        <f>[1]salario!A102</f>
        <v>0</v>
      </c>
      <c r="C103" s="8">
        <f>[1]salario!C102</f>
        <v>0</v>
      </c>
      <c r="D103" s="9">
        <f>IFERROR(VLOOKUP(B103,cubo!$A$6:$BE$37,3,0)-VLOOKUP(B103,#REF!,$D$2,0),0)</f>
        <v>0</v>
      </c>
      <c r="E103" s="10">
        <f>IFERROR(VLOOKUP(B103,cubo!$A$6:$BE$37,5,0)-VLOOKUP(B103,#REF!,$E$2,0),0)</f>
        <v>0</v>
      </c>
      <c r="F103" s="10">
        <f>IFERROR(VLOOKUP(B103,cubo!$A$6:$BE$37,8,0)-VLOOKUP(B103,#REF!,$F$2,0),0)</f>
        <v>0</v>
      </c>
      <c r="G103" s="9">
        <f>IFERROR(VLOOKUP(B103,cubo!$A$6:$BE$37,11,0)-VLOOKUP(B103,#REF!,$G$2,0),0)</f>
        <v>0</v>
      </c>
      <c r="H103" s="9">
        <f>IFERROR(VLOOKUP(B103,cubo!$A$6:$BE$37,53,0)-VLOOKUP(B103,#REF!,$H$2,0),0)</f>
        <v>0</v>
      </c>
      <c r="I103" s="10">
        <f>IFERROR(VLOOKUP(B103,cubo!$A$6:$BE$37,14,0)-VLOOKUP(B103,#REF!,$I$2,0),0)</f>
        <v>0</v>
      </c>
      <c r="J103" s="9">
        <f>IFERROR(VLOOKUP(B103,cubo!$A$6:$BE$37,16,0)-VLOOKUP(B103,#REF!,$J$2,0),0)</f>
        <v>0</v>
      </c>
      <c r="K103" s="9">
        <f>IFERROR(VLOOKUP(B103,cubo!$A$6:$BE$37,17,0)-VLOOKUP(B103,#REF!,$K$2,0),0)</f>
        <v>0</v>
      </c>
      <c r="L103" s="9">
        <f>IFERROR(VLOOKUP(B103,cubo!$A$6:$BE$37,19,0)-VLOOKUP(B103,#REF!,$L$2,0),0)</f>
        <v>0</v>
      </c>
      <c r="M103" s="9">
        <f>IFERROR(VLOOKUP(B103,cubo!$A$6:$BE$37,23,0)-VLOOKUP(B103,#REF!,$M$2,0),0)</f>
        <v>0</v>
      </c>
      <c r="N103" s="9">
        <f>IFERROR(VLOOKUP(B103,cubo!$A$6:$BE$37,25,0)-VLOOKUP(B103,#REF!,$N$2,0),0)</f>
        <v>0</v>
      </c>
      <c r="O103" s="9">
        <f>IFERROR(VLOOKUP(B103,cubo!$A$6:$BE$37,33,0)-VLOOKUP(B103,#REF!,$O$2,0),0)</f>
        <v>0</v>
      </c>
      <c r="P103" s="8">
        <f>IFERROR(VLOOKUP(B103,cubo!$A$6:$BE$37,37,0)-VLOOKUP(B103,#REF!,$P$2,0),0)</f>
        <v>0</v>
      </c>
      <c r="Q103" s="8">
        <f>IFERROR(VLOOKUP(B103,cubo!$A$6:$BE$37,56,0)-VLOOKUP(B103,#REF!,$Q$2,0),0)</f>
        <v>0</v>
      </c>
      <c r="R103" s="9">
        <f>IFERROR(VLOOKUP(B103,cubo!$A$6:$BE$37,40,0)-VLOOKUP(B103,#REF!,$R$2,0),0)</f>
        <v>0</v>
      </c>
      <c r="S103" s="9">
        <f>IFERROR(VLOOKUP(B103,cubo!$A$6:$BE$37,43,0)-VLOOKUP(B103,#REF!,$S$2,0),0)</f>
        <v>0</v>
      </c>
      <c r="T103" s="9">
        <f>IFERROR(VLOOKUP(B103,cubo!$A$6:$BE$37,46,0)-VLOOKUP(B103,#REF!,$T$2,0),0)</f>
        <v>0</v>
      </c>
      <c r="U103" s="9">
        <f>IFERROR(VLOOKUP(B103,cubo!$A$6:$BE$37,51,0)-VLOOKUP(B103,#REF!,$U$2,0),0)</f>
        <v>0</v>
      </c>
      <c r="V103" s="9">
        <f>IFERROR(VLOOKUP(B103,cubo!$A$6:$BJ$37,60,0)-VLOOKUP(B103,#REF!,$V$2,0),0)</f>
        <v>0</v>
      </c>
      <c r="W103" s="9">
        <f>IFERROR(VLOOKUP(B103,cubo!$A$6:$BE$37,26,0)-VLOOKUP(B103,#REF!,$W$2,0),0)</f>
        <v>0</v>
      </c>
      <c r="X103" s="9">
        <f>IFERROR(VLOOKUP(B103,cubo!$A$6:$BE$37,20,0)-VLOOKUP(B103,#REF!,$X$2,0),0)</f>
        <v>0</v>
      </c>
      <c r="Y103" s="9">
        <f>IFERROR(VLOOKUP(B103,cubo!$A$6:$BE$37,21,0)-VLOOKUP(B103,#REF!,$Y$2,0),0)</f>
        <v>0</v>
      </c>
      <c r="Z103" s="9">
        <f>IFERROR(VLOOKUP(B103,cubo!$A$6:$BE$37,27,0)-VLOOKUP(B103,#REF!,$Z$2,0),0)</f>
        <v>0</v>
      </c>
      <c r="AA103" s="9">
        <f>IFERROR(VLOOKUP(B103,cubo!$A$6:$BE$37,28,0)-VLOOKUP(B103,#REF!,$AA$2,0),0)</f>
        <v>0</v>
      </c>
      <c r="AB103" s="9">
        <f>IFERROR(VLOOKUP(B103,cubo!$A$6:$BE$37,29,0)-VLOOKUP(B103,#REF!,$AB$2,0),0)</f>
        <v>0</v>
      </c>
      <c r="AC103" s="9">
        <f>IFERROR(VLOOKUP(B103,cubo!$A$6:$BE$37,30,0)-VLOOKUP(B103,#REF!,$AC$2,0),0)</f>
        <v>0</v>
      </c>
      <c r="AD103" s="9">
        <f>IFERROR(VLOOKUP(B103,cubo!$A$6:$BE$37,31,0)-VLOOKUP(B103,#REF!,$AD$2,0),0)</f>
        <v>0</v>
      </c>
      <c r="AE103" s="9">
        <f>IFERROR(VLOOKUP(B103,cubo!$A$6:$BE$37,35,0)-VLOOKUP(B103,#REF!,$AE$2,0),0)</f>
        <v>0</v>
      </c>
      <c r="AF103" s="9" cm="1">
        <f t="array" aca="1" ref="AF103" ca="1">IFERROR(rrPROCV(B103,cubo!$A$6:$BE$37,48,0)-VLOOKUP(B103,#REF!,$AF$2,0),0)</f>
        <v>0</v>
      </c>
      <c r="AG103" s="9">
        <f>IFERROR(VLOOKUP(B103,cubo!$A$6:$BE$37,49,0)-VLOOKUP(B103,#REF!,$AG$2,0),0)</f>
        <v>0</v>
      </c>
      <c r="AH103" s="9">
        <f>IFERROR(VLOOKUP(B103,cubo!$A$6:$BE$37,50,0)-VLOOKUP(B103,#REF!,$AH$2,0),0)</f>
        <v>0</v>
      </c>
      <c r="AI103" s="9">
        <f>IFERROR(VLOOKUP(B103,cubo!$A$6:$BE$37,51,0)-VLOOKUP(B103,#REF!,$AI$2,0),0)</f>
        <v>0</v>
      </c>
      <c r="AJ103" s="9">
        <f>IFERROR(VLOOKUP(B103,cubo!$A$6:$BI$116,62,0)-VLOOKUP(B103,#REF!,$AJ$2,0),0)</f>
        <v>0</v>
      </c>
      <c r="AK103" s="9">
        <f>IFERROR(VLOOKUP(B103,cubo!$A$6:$BJ$37,63,0)-VLOOKUP(B103,#REF!,$AK$2,0),0)</f>
        <v>0</v>
      </c>
      <c r="AL103" s="9">
        <f>IFERROR(VLOOKUP(B103,cubo!$A$6:$BE$37,58,0)-VLOOKUP(B103,#REF!,$AL$2,0),0)</f>
        <v>0</v>
      </c>
      <c r="AM103" s="9">
        <f>IFERROR(VLOOKUP(B103,cubo!$A$6:$BK$37,64,0)-VLOOKUP(B103,#REF!,$AM$2,0),0)</f>
        <v>0</v>
      </c>
      <c r="AN103" s="9">
        <f>IFERROR(VLOOKUP(B103,cubo!$A$6:$AN$37,41,0)-VLOOKUP(B103,#REF!,$AN$2,0),0)</f>
        <v>0</v>
      </c>
    </row>
    <row r="104" spans="2:40" x14ac:dyDescent="0.25">
      <c r="B104" s="7">
        <f>[1]salario!A103</f>
        <v>0</v>
      </c>
      <c r="C104" s="8">
        <f>[1]salario!C103</f>
        <v>0</v>
      </c>
      <c r="D104" s="9">
        <f>IFERROR(VLOOKUP(B104,cubo!$A$6:$BE$37,3,0)-VLOOKUP(B104,#REF!,$D$2,0),0)</f>
        <v>0</v>
      </c>
      <c r="E104" s="10">
        <f>IFERROR(VLOOKUP(B104,cubo!$A$6:$BE$37,5,0)-VLOOKUP(B104,#REF!,$E$2,0),0)</f>
        <v>0</v>
      </c>
      <c r="F104" s="10">
        <f>IFERROR(VLOOKUP(B104,cubo!$A$6:$BE$37,8,0)-VLOOKUP(B104,#REF!,$F$2,0),0)</f>
        <v>0</v>
      </c>
      <c r="G104" s="9">
        <f>IFERROR(VLOOKUP(B104,cubo!$A$6:$BE$37,11,0)-VLOOKUP(B104,#REF!,$G$2,0),0)</f>
        <v>0</v>
      </c>
      <c r="H104" s="9">
        <f>IFERROR(VLOOKUP(B104,cubo!$A$6:$BE$37,53,0)-VLOOKUP(B104,#REF!,$H$2,0),0)</f>
        <v>0</v>
      </c>
      <c r="I104" s="10">
        <f>IFERROR(VLOOKUP(B104,cubo!$A$6:$BE$37,14,0)-VLOOKUP(B104,#REF!,$I$2,0),0)</f>
        <v>0</v>
      </c>
      <c r="J104" s="9">
        <f>IFERROR(VLOOKUP(B104,cubo!$A$6:$BE$37,16,0)-VLOOKUP(B104,#REF!,$J$2,0),0)</f>
        <v>0</v>
      </c>
      <c r="K104" s="9">
        <f>IFERROR(VLOOKUP(B104,cubo!$A$6:$BE$37,17,0)-VLOOKUP(B104,#REF!,$K$2,0),0)</f>
        <v>0</v>
      </c>
      <c r="L104" s="9">
        <f>IFERROR(VLOOKUP(B104,cubo!$A$6:$BE$37,19,0)-VLOOKUP(B104,#REF!,$L$2,0),0)</f>
        <v>0</v>
      </c>
      <c r="M104" s="9">
        <f>IFERROR(VLOOKUP(B104,cubo!$A$6:$BE$37,23,0)-VLOOKUP(B104,#REF!,$M$2,0),0)</f>
        <v>0</v>
      </c>
      <c r="N104" s="9">
        <f>IFERROR(VLOOKUP(B104,cubo!$A$6:$BE$37,25,0)-VLOOKUP(B104,#REF!,$N$2,0),0)</f>
        <v>0</v>
      </c>
      <c r="O104" s="9">
        <f>IFERROR(VLOOKUP(B104,cubo!$A$6:$BE$37,33,0)-VLOOKUP(B104,#REF!,$O$2,0),0)</f>
        <v>0</v>
      </c>
      <c r="P104" s="8">
        <f>IFERROR(VLOOKUP(B104,cubo!$A$6:$BE$37,37,0)-VLOOKUP(B104,#REF!,$P$2,0),0)</f>
        <v>0</v>
      </c>
      <c r="Q104" s="8">
        <f>IFERROR(VLOOKUP(B104,cubo!$A$6:$BE$37,56,0)-VLOOKUP(B104,#REF!,$Q$2,0),0)</f>
        <v>0</v>
      </c>
      <c r="R104" s="9">
        <f>IFERROR(VLOOKUP(B104,cubo!$A$6:$BE$37,40,0)-VLOOKUP(B104,#REF!,$R$2,0),0)</f>
        <v>0</v>
      </c>
      <c r="S104" s="9">
        <f>IFERROR(VLOOKUP(B104,cubo!$A$6:$BE$37,43,0)-VLOOKUP(B104,#REF!,$S$2,0),0)</f>
        <v>0</v>
      </c>
      <c r="T104" s="9">
        <f>IFERROR(VLOOKUP(B104,cubo!$A$6:$BE$37,46,0)-VLOOKUP(B104,#REF!,$T$2,0),0)</f>
        <v>0</v>
      </c>
      <c r="U104" s="9">
        <f>IFERROR(VLOOKUP(B104,cubo!$A$6:$BE$37,51,0)-VLOOKUP(B104,#REF!,$U$2,0),0)</f>
        <v>0</v>
      </c>
      <c r="V104" s="9">
        <f>IFERROR(VLOOKUP(B104,cubo!$A$6:$BJ$37,60,0)-VLOOKUP(B104,#REF!,$V$2,0),0)</f>
        <v>0</v>
      </c>
      <c r="W104" s="9">
        <f>IFERROR(VLOOKUP(B104,cubo!$A$6:$BE$37,26,0)-VLOOKUP(B104,#REF!,$W$2,0),0)</f>
        <v>0</v>
      </c>
      <c r="X104" s="9">
        <f>IFERROR(VLOOKUP(B104,cubo!$A$6:$BE$37,20,0)-VLOOKUP(B104,#REF!,$X$2,0),0)</f>
        <v>0</v>
      </c>
      <c r="Y104" s="9">
        <f>IFERROR(VLOOKUP(B104,cubo!$A$6:$BE$37,21,0)-VLOOKUP(B104,#REF!,$Y$2,0),0)</f>
        <v>0</v>
      </c>
      <c r="Z104" s="9">
        <f>IFERROR(VLOOKUP(B104,cubo!$A$6:$BE$37,27,0)-VLOOKUP(B104,#REF!,$Z$2,0),0)</f>
        <v>0</v>
      </c>
      <c r="AA104" s="9">
        <f>IFERROR(VLOOKUP(B104,cubo!$A$6:$BE$37,28,0)-VLOOKUP(B104,#REF!,$AA$2,0),0)</f>
        <v>0</v>
      </c>
      <c r="AB104" s="9">
        <f>IFERROR(VLOOKUP(B104,cubo!$A$6:$BE$37,29,0)-VLOOKUP(B104,#REF!,$AB$2,0),0)</f>
        <v>0</v>
      </c>
      <c r="AC104" s="9">
        <f>IFERROR(VLOOKUP(B104,cubo!$A$6:$BE$37,30,0)-VLOOKUP(B104,#REF!,$AC$2,0),0)</f>
        <v>0</v>
      </c>
      <c r="AD104" s="9">
        <f>IFERROR(VLOOKUP(B104,cubo!$A$6:$BE$37,31,0)-VLOOKUP(B104,#REF!,$AD$2,0),0)</f>
        <v>0</v>
      </c>
      <c r="AE104" s="9">
        <f>IFERROR(VLOOKUP(B104,cubo!$A$6:$BE$37,35,0)-VLOOKUP(B104,#REF!,$AE$2,0),0)</f>
        <v>0</v>
      </c>
      <c r="AF104" s="9" cm="1">
        <f t="array" aca="1" ref="AF104" ca="1">IFERROR(rrPROCV(B104,cubo!$A$6:$BE$37,48,0)-VLOOKUP(B104,#REF!,$AF$2,0),0)</f>
        <v>0</v>
      </c>
      <c r="AG104" s="9">
        <f>IFERROR(VLOOKUP(B104,cubo!$A$6:$BE$37,49,0)-VLOOKUP(B104,#REF!,$AG$2,0),0)</f>
        <v>0</v>
      </c>
      <c r="AH104" s="9">
        <f>IFERROR(VLOOKUP(B104,cubo!$A$6:$BE$37,50,0)-VLOOKUP(B104,#REF!,$AH$2,0),0)</f>
        <v>0</v>
      </c>
      <c r="AI104" s="9">
        <f>IFERROR(VLOOKUP(B104,cubo!$A$6:$BE$37,51,0)-VLOOKUP(B104,#REF!,$AI$2,0),0)</f>
        <v>0</v>
      </c>
      <c r="AJ104" s="9">
        <f>IFERROR(VLOOKUP(B104,cubo!$A$6:$BI$116,62,0)-VLOOKUP(B104,#REF!,$AJ$2,0),0)</f>
        <v>0</v>
      </c>
      <c r="AK104" s="9">
        <f>IFERROR(VLOOKUP(B104,cubo!$A$6:$BJ$37,63,0)-VLOOKUP(B104,#REF!,$AK$2,0),0)</f>
        <v>0</v>
      </c>
      <c r="AL104" s="9">
        <f>IFERROR(VLOOKUP(B104,cubo!$A$6:$BE$37,58,0)-VLOOKUP(B104,#REF!,$AL$2,0),0)</f>
        <v>0</v>
      </c>
      <c r="AM104" s="9">
        <f>IFERROR(VLOOKUP(B104,cubo!$A$6:$BK$37,64,0)-VLOOKUP(B104,#REF!,$AM$2,0),0)</f>
        <v>0</v>
      </c>
      <c r="AN104" s="9">
        <f>IFERROR(VLOOKUP(B104,cubo!$A$6:$AN$37,41,0)-VLOOKUP(B104,#REF!,$AN$2,0),0)</f>
        <v>0</v>
      </c>
    </row>
    <row r="105" spans="2:40" x14ac:dyDescent="0.25">
      <c r="B105" s="7">
        <f>[1]salario!A104</f>
        <v>0</v>
      </c>
      <c r="C105" s="8">
        <f>[1]salario!C104</f>
        <v>0</v>
      </c>
      <c r="D105" s="9">
        <f>IFERROR(VLOOKUP(B105,cubo!$A$6:$BE$37,3,0)-VLOOKUP(B105,#REF!,$D$2,0),0)</f>
        <v>0</v>
      </c>
      <c r="E105" s="10">
        <f>IFERROR(VLOOKUP(B105,cubo!$A$6:$BE$37,5,0)-VLOOKUP(B105,#REF!,$E$2,0),0)</f>
        <v>0</v>
      </c>
      <c r="F105" s="10">
        <f>IFERROR(VLOOKUP(B105,cubo!$A$6:$BE$37,8,0)-VLOOKUP(B105,#REF!,$F$2,0),0)</f>
        <v>0</v>
      </c>
      <c r="G105" s="9">
        <f>IFERROR(VLOOKUP(B105,cubo!$A$6:$BE$37,11,0)-VLOOKUP(B105,#REF!,$G$2,0),0)</f>
        <v>0</v>
      </c>
      <c r="H105" s="9">
        <f>IFERROR(VLOOKUP(B105,cubo!$A$6:$BE$37,53,0)-VLOOKUP(B105,#REF!,$H$2,0),0)</f>
        <v>0</v>
      </c>
      <c r="I105" s="10">
        <f>IFERROR(VLOOKUP(B105,cubo!$A$6:$BE$37,14,0)-VLOOKUP(B105,#REF!,$I$2,0),0)</f>
        <v>0</v>
      </c>
      <c r="J105" s="9">
        <f>IFERROR(VLOOKUP(B105,cubo!$A$6:$BE$37,16,0)-VLOOKUP(B105,#REF!,$J$2,0),0)</f>
        <v>0</v>
      </c>
      <c r="K105" s="9">
        <f>IFERROR(VLOOKUP(B105,cubo!$A$6:$BE$37,17,0)-VLOOKUP(B105,#REF!,$K$2,0),0)</f>
        <v>0</v>
      </c>
      <c r="L105" s="9">
        <f>IFERROR(VLOOKUP(B105,cubo!$A$6:$BE$37,19,0)-VLOOKUP(B105,#REF!,$L$2,0),0)</f>
        <v>0</v>
      </c>
      <c r="M105" s="9">
        <f>IFERROR(VLOOKUP(B105,cubo!$A$6:$BE$37,23,0)-VLOOKUP(B105,#REF!,$M$2,0),0)</f>
        <v>0</v>
      </c>
      <c r="N105" s="9">
        <f>IFERROR(VLOOKUP(B105,cubo!$A$6:$BE$37,25,0)-VLOOKUP(B105,#REF!,$N$2,0),0)</f>
        <v>0</v>
      </c>
      <c r="O105" s="9">
        <f>IFERROR(VLOOKUP(B105,cubo!$A$6:$BE$37,33,0)-VLOOKUP(B105,#REF!,$O$2,0),0)</f>
        <v>0</v>
      </c>
      <c r="P105" s="8">
        <f>IFERROR(VLOOKUP(B105,cubo!$A$6:$BE$37,37,0)-VLOOKUP(B105,#REF!,$P$2,0),0)</f>
        <v>0</v>
      </c>
      <c r="Q105" s="8">
        <f>IFERROR(VLOOKUP(B105,cubo!$A$6:$BE$37,56,0)-VLOOKUP(B105,#REF!,$Q$2,0),0)</f>
        <v>0</v>
      </c>
      <c r="R105" s="9">
        <f>IFERROR(VLOOKUP(B105,cubo!$A$6:$BE$37,40,0)-VLOOKUP(B105,#REF!,$R$2,0),0)</f>
        <v>0</v>
      </c>
      <c r="S105" s="9">
        <f>IFERROR(VLOOKUP(B105,cubo!$A$6:$BE$37,43,0)-VLOOKUP(B105,#REF!,$S$2,0),0)</f>
        <v>0</v>
      </c>
      <c r="T105" s="9">
        <f>IFERROR(VLOOKUP(B105,cubo!$A$6:$BE$37,46,0)-VLOOKUP(B105,#REF!,$T$2,0),0)</f>
        <v>0</v>
      </c>
      <c r="U105" s="9">
        <f>IFERROR(VLOOKUP(B105,cubo!$A$6:$BE$37,51,0)-VLOOKUP(B105,#REF!,$U$2,0),0)</f>
        <v>0</v>
      </c>
      <c r="V105" s="9">
        <f>IFERROR(VLOOKUP(B105,cubo!$A$6:$BJ$37,60,0)-VLOOKUP(B105,#REF!,$V$2,0),0)</f>
        <v>0</v>
      </c>
      <c r="W105" s="9">
        <f>IFERROR(VLOOKUP(B105,cubo!$A$6:$BE$37,26,0)-VLOOKUP(B105,#REF!,$W$2,0),0)</f>
        <v>0</v>
      </c>
      <c r="X105" s="9">
        <f>IFERROR(VLOOKUP(B105,cubo!$A$6:$BE$37,20,0)-VLOOKUP(B105,#REF!,$X$2,0),0)</f>
        <v>0</v>
      </c>
      <c r="Y105" s="9">
        <f>IFERROR(VLOOKUP(B105,cubo!$A$6:$BE$37,21,0)-VLOOKUP(B105,#REF!,$Y$2,0),0)</f>
        <v>0</v>
      </c>
      <c r="Z105" s="9">
        <f>IFERROR(VLOOKUP(B105,cubo!$A$6:$BE$37,27,0)-VLOOKUP(B105,#REF!,$Z$2,0),0)</f>
        <v>0</v>
      </c>
      <c r="AA105" s="9">
        <f>IFERROR(VLOOKUP(B105,cubo!$A$6:$BE$37,28,0)-VLOOKUP(B105,#REF!,$AA$2,0),0)</f>
        <v>0</v>
      </c>
      <c r="AB105" s="9">
        <f>IFERROR(VLOOKUP(B105,cubo!$A$6:$BE$37,29,0)-VLOOKUP(B105,#REF!,$AB$2,0),0)</f>
        <v>0</v>
      </c>
      <c r="AC105" s="9">
        <f>IFERROR(VLOOKUP(B105,cubo!$A$6:$BE$37,30,0)-VLOOKUP(B105,#REF!,$AC$2,0),0)</f>
        <v>0</v>
      </c>
      <c r="AD105" s="9">
        <f>IFERROR(VLOOKUP(B105,cubo!$A$6:$BE$37,31,0)-VLOOKUP(B105,#REF!,$AD$2,0),0)</f>
        <v>0</v>
      </c>
      <c r="AE105" s="9">
        <f>IFERROR(VLOOKUP(B105,cubo!$A$6:$BE$37,35,0)-VLOOKUP(B105,#REF!,$AE$2,0),0)</f>
        <v>0</v>
      </c>
      <c r="AF105" s="9" cm="1">
        <f t="array" aca="1" ref="AF105" ca="1">IFERROR(rrPROCV(B105,cubo!$A$6:$BE$37,48,0)-VLOOKUP(B105,#REF!,$AF$2,0),0)</f>
        <v>0</v>
      </c>
      <c r="AG105" s="9">
        <f>IFERROR(VLOOKUP(B105,cubo!$A$6:$BE$37,49,0)-VLOOKUP(B105,#REF!,$AG$2,0),0)</f>
        <v>0</v>
      </c>
      <c r="AH105" s="9">
        <f>IFERROR(VLOOKUP(B105,cubo!$A$6:$BE$37,50,0)-VLOOKUP(B105,#REF!,$AH$2,0),0)</f>
        <v>0</v>
      </c>
      <c r="AI105" s="9">
        <f>IFERROR(VLOOKUP(B105,cubo!$A$6:$BE$37,51,0)-VLOOKUP(B105,#REF!,$AI$2,0),0)</f>
        <v>0</v>
      </c>
      <c r="AJ105" s="9">
        <f>IFERROR(VLOOKUP(B105,cubo!$A$6:$BI$116,62,0)-VLOOKUP(B105,#REF!,$AJ$2,0),0)</f>
        <v>0</v>
      </c>
      <c r="AK105" s="9">
        <f>IFERROR(VLOOKUP(B105,cubo!$A$6:$BJ$37,63,0)-VLOOKUP(B105,#REF!,$AK$2,0),0)</f>
        <v>0</v>
      </c>
      <c r="AL105" s="9">
        <f>IFERROR(VLOOKUP(B105,cubo!$A$6:$BE$37,58,0)-VLOOKUP(B105,#REF!,$AL$2,0),0)</f>
        <v>0</v>
      </c>
      <c r="AM105" s="9">
        <f>IFERROR(VLOOKUP(B105,cubo!$A$6:$BK$37,64,0)-VLOOKUP(B105,#REF!,$AM$2,0),0)</f>
        <v>0</v>
      </c>
      <c r="AN105" s="9">
        <f>IFERROR(VLOOKUP(B105,cubo!$A$6:$AN$37,41,0)-VLOOKUP(B105,#REF!,$AN$2,0),0)</f>
        <v>0</v>
      </c>
    </row>
    <row r="106" spans="2:40" x14ac:dyDescent="0.25">
      <c r="B106" s="7">
        <f>[1]salario!A105</f>
        <v>0</v>
      </c>
      <c r="C106" s="8">
        <f>[1]salario!C105</f>
        <v>0</v>
      </c>
      <c r="D106" s="9">
        <f>IFERROR(VLOOKUP(B106,cubo!$A$6:$BE$37,3,0)-VLOOKUP(B106,#REF!,$D$2,0),0)</f>
        <v>0</v>
      </c>
      <c r="E106" s="10">
        <f>IFERROR(VLOOKUP(B106,cubo!$A$6:$BE$37,5,0)-VLOOKUP(B106,#REF!,$E$2,0),0)</f>
        <v>0</v>
      </c>
      <c r="F106" s="10">
        <f>IFERROR(VLOOKUP(B106,cubo!$A$6:$BE$37,8,0)-VLOOKUP(B106,#REF!,$F$2,0),0)</f>
        <v>0</v>
      </c>
      <c r="G106" s="9">
        <f>IFERROR(VLOOKUP(B106,cubo!$A$6:$BE$37,11,0)-VLOOKUP(B106,#REF!,$G$2,0),0)</f>
        <v>0</v>
      </c>
      <c r="H106" s="9">
        <f>IFERROR(VLOOKUP(B106,cubo!$A$6:$BE$37,53,0)-VLOOKUP(B106,#REF!,$H$2,0),0)</f>
        <v>0</v>
      </c>
      <c r="I106" s="10">
        <f>IFERROR(VLOOKUP(B106,cubo!$A$6:$BE$37,14,0)-VLOOKUP(B106,#REF!,$I$2,0),0)</f>
        <v>0</v>
      </c>
      <c r="J106" s="9">
        <f>IFERROR(VLOOKUP(B106,cubo!$A$6:$BE$37,16,0)-VLOOKUP(B106,#REF!,$J$2,0),0)</f>
        <v>0</v>
      </c>
      <c r="K106" s="9">
        <f>IFERROR(VLOOKUP(B106,cubo!$A$6:$BE$37,17,0)-VLOOKUP(B106,#REF!,$K$2,0),0)</f>
        <v>0</v>
      </c>
      <c r="L106" s="9">
        <f>IFERROR(VLOOKUP(B106,cubo!$A$6:$BE$37,19,0)-VLOOKUP(B106,#REF!,$L$2,0),0)</f>
        <v>0</v>
      </c>
      <c r="M106" s="9">
        <f>IFERROR(VLOOKUP(B106,cubo!$A$6:$BE$37,23,0)-VLOOKUP(B106,#REF!,$M$2,0),0)</f>
        <v>0</v>
      </c>
      <c r="N106" s="9">
        <f>IFERROR(VLOOKUP(B106,cubo!$A$6:$BE$37,25,0)-VLOOKUP(B106,#REF!,$N$2,0),0)</f>
        <v>0</v>
      </c>
      <c r="O106" s="9">
        <f>IFERROR(VLOOKUP(B106,cubo!$A$6:$BE$37,33,0)-VLOOKUP(B106,#REF!,$O$2,0),0)</f>
        <v>0</v>
      </c>
      <c r="P106" s="8">
        <f>IFERROR(VLOOKUP(B106,cubo!$A$6:$BE$37,37,0)-VLOOKUP(B106,#REF!,$P$2,0),0)</f>
        <v>0</v>
      </c>
      <c r="Q106" s="8">
        <f>IFERROR(VLOOKUP(B106,cubo!$A$6:$BE$37,56,0)-VLOOKUP(B106,#REF!,$Q$2,0),0)</f>
        <v>0</v>
      </c>
      <c r="R106" s="9">
        <f>IFERROR(VLOOKUP(B106,cubo!$A$6:$BE$37,40,0)-VLOOKUP(B106,#REF!,$R$2,0),0)</f>
        <v>0</v>
      </c>
      <c r="S106" s="9">
        <f>IFERROR(VLOOKUP(B106,cubo!$A$6:$BE$37,43,0)-VLOOKUP(B106,#REF!,$S$2,0),0)</f>
        <v>0</v>
      </c>
      <c r="T106" s="9">
        <f>IFERROR(VLOOKUP(B106,cubo!$A$6:$BE$37,46,0)-VLOOKUP(B106,#REF!,$T$2,0),0)</f>
        <v>0</v>
      </c>
      <c r="U106" s="9">
        <f>IFERROR(VLOOKUP(B106,cubo!$A$6:$BE$37,51,0)-VLOOKUP(B106,#REF!,$U$2,0),0)</f>
        <v>0</v>
      </c>
      <c r="V106" s="9">
        <f>IFERROR(VLOOKUP(B106,cubo!$A$6:$BJ$37,60,0)-VLOOKUP(B106,#REF!,$V$2,0),0)</f>
        <v>0</v>
      </c>
      <c r="W106" s="9">
        <f>IFERROR(VLOOKUP(B106,cubo!$A$6:$BE$37,26,0)-VLOOKUP(B106,#REF!,$W$2,0),0)</f>
        <v>0</v>
      </c>
      <c r="X106" s="9">
        <f>IFERROR(VLOOKUP(B106,cubo!$A$6:$BE$37,20,0)-VLOOKUP(B106,#REF!,$X$2,0),0)</f>
        <v>0</v>
      </c>
      <c r="Y106" s="9">
        <f>IFERROR(VLOOKUP(B106,cubo!$A$6:$BE$37,21,0)-VLOOKUP(B106,#REF!,$Y$2,0),0)</f>
        <v>0</v>
      </c>
      <c r="Z106" s="9">
        <f>IFERROR(VLOOKUP(B106,cubo!$A$6:$BE$37,27,0)-VLOOKUP(B106,#REF!,$Z$2,0),0)</f>
        <v>0</v>
      </c>
      <c r="AA106" s="9">
        <f>IFERROR(VLOOKUP(B106,cubo!$A$6:$BE$37,28,0)-VLOOKUP(B106,#REF!,$AA$2,0),0)</f>
        <v>0</v>
      </c>
      <c r="AB106" s="9">
        <f>IFERROR(VLOOKUP(B106,cubo!$A$6:$BE$37,29,0)-VLOOKUP(B106,#REF!,$AB$2,0),0)</f>
        <v>0</v>
      </c>
      <c r="AC106" s="9">
        <f>IFERROR(VLOOKUP(B106,cubo!$A$6:$BE$37,30,0)-VLOOKUP(B106,#REF!,$AC$2,0),0)</f>
        <v>0</v>
      </c>
      <c r="AD106" s="9">
        <f>IFERROR(VLOOKUP(B106,cubo!$A$6:$BE$37,31,0)-VLOOKUP(B106,#REF!,$AD$2,0),0)</f>
        <v>0</v>
      </c>
      <c r="AE106" s="9">
        <f>IFERROR(VLOOKUP(B106,cubo!$A$6:$BE$37,35,0)-VLOOKUP(B106,#REF!,$AE$2,0),0)</f>
        <v>0</v>
      </c>
      <c r="AF106" s="9" cm="1">
        <f t="array" aca="1" ref="AF106" ca="1">IFERROR(rrPROCV(B106,cubo!$A$6:$BE$37,48,0)-VLOOKUP(B106,#REF!,$AF$2,0),0)</f>
        <v>0</v>
      </c>
      <c r="AG106" s="9">
        <f>IFERROR(VLOOKUP(B106,cubo!$A$6:$BE$37,49,0)-VLOOKUP(B106,#REF!,$AG$2,0),0)</f>
        <v>0</v>
      </c>
      <c r="AH106" s="9">
        <f>IFERROR(VLOOKUP(B106,cubo!$A$6:$BE$37,50,0)-VLOOKUP(B106,#REF!,$AH$2,0),0)</f>
        <v>0</v>
      </c>
      <c r="AI106" s="9">
        <f>IFERROR(VLOOKUP(B106,cubo!$A$6:$BE$37,51,0)-VLOOKUP(B106,#REF!,$AI$2,0),0)</f>
        <v>0</v>
      </c>
      <c r="AJ106" s="9">
        <f>IFERROR(VLOOKUP(B106,cubo!$A$6:$BI$116,62,0)-VLOOKUP(B106,#REF!,$AJ$2,0),0)</f>
        <v>0</v>
      </c>
      <c r="AK106" s="9">
        <f>IFERROR(VLOOKUP(B106,cubo!$A$6:$BJ$37,63,0)-VLOOKUP(B106,#REF!,$AK$2,0),0)</f>
        <v>0</v>
      </c>
      <c r="AL106" s="9">
        <f>IFERROR(VLOOKUP(B106,cubo!$A$6:$BE$37,58,0)-VLOOKUP(B106,#REF!,$AL$2,0),0)</f>
        <v>0</v>
      </c>
      <c r="AM106" s="9">
        <f>IFERROR(VLOOKUP(B106,cubo!$A$6:$BK$37,64,0)-VLOOKUP(B106,#REF!,$AM$2,0),0)</f>
        <v>0</v>
      </c>
      <c r="AN106" s="9">
        <f>IFERROR(VLOOKUP(B106,cubo!$A$6:$AN$37,41,0)-VLOOKUP(B106,#REF!,$AN$2,0),0)</f>
        <v>0</v>
      </c>
    </row>
    <row r="107" spans="2:40" x14ac:dyDescent="0.25">
      <c r="B107" s="7">
        <f>[1]salario!A106</f>
        <v>0</v>
      </c>
      <c r="C107" s="8">
        <f>[1]salario!C106</f>
        <v>0</v>
      </c>
      <c r="D107" s="9">
        <f>IFERROR(VLOOKUP(B107,cubo!$A$6:$BE$37,3,0)-VLOOKUP(B107,#REF!,$D$2,0),0)</f>
        <v>0</v>
      </c>
      <c r="E107" s="10">
        <f>IFERROR(VLOOKUP(B107,cubo!$A$6:$BE$37,5,0)-VLOOKUP(B107,#REF!,$E$2,0),0)</f>
        <v>0</v>
      </c>
      <c r="F107" s="10">
        <f>IFERROR(VLOOKUP(B107,cubo!$A$6:$BE$37,8,0)-VLOOKUP(B107,#REF!,$F$2,0),0)</f>
        <v>0</v>
      </c>
      <c r="G107" s="9">
        <f>IFERROR(VLOOKUP(B107,cubo!$A$6:$BE$37,11,0)-VLOOKUP(B107,#REF!,$G$2,0),0)</f>
        <v>0</v>
      </c>
      <c r="H107" s="9">
        <f>IFERROR(VLOOKUP(B107,cubo!$A$6:$BE$37,53,0)-VLOOKUP(B107,#REF!,$H$2,0),0)</f>
        <v>0</v>
      </c>
      <c r="I107" s="10">
        <f>IFERROR(VLOOKUP(B107,cubo!$A$6:$BE$37,14,0)-VLOOKUP(B107,#REF!,$I$2,0),0)</f>
        <v>0</v>
      </c>
      <c r="J107" s="9">
        <f>IFERROR(VLOOKUP(B107,cubo!$A$6:$BE$37,16,0)-VLOOKUP(B107,#REF!,$J$2,0),0)</f>
        <v>0</v>
      </c>
      <c r="K107" s="9">
        <f>IFERROR(VLOOKUP(B107,cubo!$A$6:$BE$37,17,0)-VLOOKUP(B107,#REF!,$K$2,0),0)</f>
        <v>0</v>
      </c>
      <c r="L107" s="9">
        <f>IFERROR(VLOOKUP(B107,cubo!$A$6:$BE$37,19,0)-VLOOKUP(B107,#REF!,$L$2,0),0)</f>
        <v>0</v>
      </c>
      <c r="M107" s="9">
        <f>IFERROR(VLOOKUP(B107,cubo!$A$6:$BE$37,23,0)-VLOOKUP(B107,#REF!,$M$2,0),0)</f>
        <v>0</v>
      </c>
      <c r="N107" s="9">
        <f>IFERROR(VLOOKUP(B107,cubo!$A$6:$BE$37,25,0)-VLOOKUP(B107,#REF!,$N$2,0),0)</f>
        <v>0</v>
      </c>
      <c r="O107" s="9">
        <f>IFERROR(VLOOKUP(B107,cubo!$A$6:$BE$37,33,0)-VLOOKUP(B107,#REF!,$O$2,0),0)</f>
        <v>0</v>
      </c>
      <c r="P107" s="8">
        <f>IFERROR(VLOOKUP(B107,cubo!$A$6:$BE$37,37,0)-VLOOKUP(B107,#REF!,$P$2,0),0)</f>
        <v>0</v>
      </c>
      <c r="Q107" s="8">
        <f>IFERROR(VLOOKUP(B107,cubo!$A$6:$BE$37,56,0)-VLOOKUP(B107,#REF!,$Q$2,0),0)</f>
        <v>0</v>
      </c>
      <c r="R107" s="9">
        <f>IFERROR(VLOOKUP(B107,cubo!$A$6:$BE$37,40,0)-VLOOKUP(B107,#REF!,$R$2,0),0)</f>
        <v>0</v>
      </c>
      <c r="S107" s="9">
        <f>IFERROR(VLOOKUP(B107,cubo!$A$6:$BE$37,43,0)-VLOOKUP(B107,#REF!,$S$2,0),0)</f>
        <v>0</v>
      </c>
      <c r="T107" s="9">
        <f>IFERROR(VLOOKUP(B107,cubo!$A$6:$BE$37,46,0)-VLOOKUP(B107,#REF!,$T$2,0),0)</f>
        <v>0</v>
      </c>
      <c r="U107" s="9">
        <f>IFERROR(VLOOKUP(B107,cubo!$A$6:$BE$37,51,0)-VLOOKUP(B107,#REF!,$U$2,0),0)</f>
        <v>0</v>
      </c>
      <c r="V107" s="9">
        <f>IFERROR(VLOOKUP(B107,cubo!$A$6:$BJ$37,60,0)-VLOOKUP(B107,#REF!,$V$2,0),0)</f>
        <v>0</v>
      </c>
      <c r="W107" s="9">
        <f>IFERROR(VLOOKUP(B107,cubo!$A$6:$BE$37,26,0)-VLOOKUP(B107,#REF!,$W$2,0),0)</f>
        <v>0</v>
      </c>
      <c r="X107" s="9">
        <f>IFERROR(VLOOKUP(B107,cubo!$A$6:$BE$37,20,0)-VLOOKUP(B107,#REF!,$X$2,0),0)</f>
        <v>0</v>
      </c>
      <c r="Y107" s="9">
        <f>IFERROR(VLOOKUP(B107,cubo!$A$6:$BE$37,21,0)-VLOOKUP(B107,#REF!,$Y$2,0),0)</f>
        <v>0</v>
      </c>
      <c r="Z107" s="9">
        <f>IFERROR(VLOOKUP(B107,cubo!$A$6:$BE$37,27,0)-VLOOKUP(B107,#REF!,$Z$2,0),0)</f>
        <v>0</v>
      </c>
      <c r="AA107" s="9">
        <f>IFERROR(VLOOKUP(B107,cubo!$A$6:$BE$37,28,0)-VLOOKUP(B107,#REF!,$AA$2,0),0)</f>
        <v>0</v>
      </c>
      <c r="AB107" s="9">
        <f>IFERROR(VLOOKUP(B107,cubo!$A$6:$BE$37,29,0)-VLOOKUP(B107,#REF!,$AB$2,0),0)</f>
        <v>0</v>
      </c>
      <c r="AC107" s="9">
        <f>IFERROR(VLOOKUP(B107,cubo!$A$6:$BE$37,30,0)-VLOOKUP(B107,#REF!,$AC$2,0),0)</f>
        <v>0</v>
      </c>
      <c r="AD107" s="9">
        <f>IFERROR(VLOOKUP(B107,cubo!$A$6:$BE$37,31,0)-VLOOKUP(B107,#REF!,$AD$2,0),0)</f>
        <v>0</v>
      </c>
      <c r="AE107" s="9">
        <f>IFERROR(VLOOKUP(B107,cubo!$A$6:$BE$37,35,0)-VLOOKUP(B107,#REF!,$AE$2,0),0)</f>
        <v>0</v>
      </c>
      <c r="AF107" s="9" cm="1">
        <f t="array" aca="1" ref="AF107" ca="1">IFERROR(rrPROCV(B107,cubo!$A$6:$BE$37,48,0)-VLOOKUP(B107,#REF!,$AF$2,0),0)</f>
        <v>0</v>
      </c>
      <c r="AG107" s="9">
        <f>IFERROR(VLOOKUP(B107,cubo!$A$6:$BE$37,49,0)-VLOOKUP(B107,#REF!,$AG$2,0),0)</f>
        <v>0</v>
      </c>
      <c r="AH107" s="9">
        <f>IFERROR(VLOOKUP(B107,cubo!$A$6:$BE$37,50,0)-VLOOKUP(B107,#REF!,$AH$2,0),0)</f>
        <v>0</v>
      </c>
      <c r="AI107" s="9">
        <f>IFERROR(VLOOKUP(B107,cubo!$A$6:$BE$37,51,0)-VLOOKUP(B107,#REF!,$AI$2,0),0)</f>
        <v>0</v>
      </c>
      <c r="AJ107" s="9">
        <f>IFERROR(VLOOKUP(B107,cubo!$A$6:$BI$116,62,0)-VLOOKUP(B107,#REF!,$AJ$2,0),0)</f>
        <v>0</v>
      </c>
      <c r="AK107" s="9">
        <f>IFERROR(VLOOKUP(B107,cubo!$A$6:$BJ$37,63,0)-VLOOKUP(B107,#REF!,$AK$2,0),0)</f>
        <v>0</v>
      </c>
      <c r="AL107" s="9">
        <f>IFERROR(VLOOKUP(B107,cubo!$A$6:$BE$37,58,0)-VLOOKUP(B107,#REF!,$AL$2,0),0)</f>
        <v>0</v>
      </c>
      <c r="AM107" s="9">
        <f>IFERROR(VLOOKUP(B107,cubo!$A$6:$BK$37,64,0)-VLOOKUP(B107,#REF!,$AM$2,0),0)</f>
        <v>0</v>
      </c>
      <c r="AN107" s="9">
        <f>IFERROR(VLOOKUP(B107,cubo!$A$6:$AN$37,41,0)-VLOOKUP(B107,#REF!,$AN$2,0),0)</f>
        <v>0</v>
      </c>
    </row>
    <row r="108" spans="2:40" x14ac:dyDescent="0.25">
      <c r="B108" s="7">
        <f>[1]salario!A107</f>
        <v>0</v>
      </c>
      <c r="C108" s="8">
        <f>[1]salario!C107</f>
        <v>0</v>
      </c>
      <c r="D108" s="9">
        <f>IFERROR(VLOOKUP(B108,cubo!$A$6:$BE$37,3,0)-VLOOKUP(B108,#REF!,$D$2,0),0)</f>
        <v>0</v>
      </c>
      <c r="E108" s="10">
        <f>IFERROR(VLOOKUP(B108,cubo!$A$6:$BE$37,5,0)-VLOOKUP(B108,#REF!,$E$2,0),0)</f>
        <v>0</v>
      </c>
      <c r="F108" s="10">
        <f>IFERROR(VLOOKUP(B108,cubo!$A$6:$BE$37,8,0)-VLOOKUP(B108,#REF!,$F$2,0),0)</f>
        <v>0</v>
      </c>
      <c r="G108" s="9">
        <f>IFERROR(VLOOKUP(B108,cubo!$A$6:$BE$37,11,0)-VLOOKUP(B108,#REF!,$G$2,0),0)</f>
        <v>0</v>
      </c>
      <c r="H108" s="9">
        <f>IFERROR(VLOOKUP(B108,cubo!$A$6:$BE$37,53,0)-VLOOKUP(B108,#REF!,$H$2,0),0)</f>
        <v>0</v>
      </c>
      <c r="I108" s="10">
        <f>IFERROR(VLOOKUP(B108,cubo!$A$6:$BE$37,14,0)-VLOOKUP(B108,#REF!,$I$2,0),0)</f>
        <v>0</v>
      </c>
      <c r="J108" s="9">
        <f>IFERROR(VLOOKUP(B108,cubo!$A$6:$BE$37,16,0)-VLOOKUP(B108,#REF!,$J$2,0),0)</f>
        <v>0</v>
      </c>
      <c r="K108" s="9">
        <f>IFERROR(VLOOKUP(B108,cubo!$A$6:$BE$37,17,0)-VLOOKUP(B108,#REF!,$K$2,0),0)</f>
        <v>0</v>
      </c>
      <c r="L108" s="9">
        <f>IFERROR(VLOOKUP(B108,cubo!$A$6:$BE$37,19,0)-VLOOKUP(B108,#REF!,$L$2,0),0)</f>
        <v>0</v>
      </c>
      <c r="M108" s="9">
        <f>IFERROR(VLOOKUP(B108,cubo!$A$6:$BE$37,23,0)-VLOOKUP(B108,#REF!,$M$2,0),0)</f>
        <v>0</v>
      </c>
      <c r="N108" s="9">
        <f>IFERROR(VLOOKUP(B108,cubo!$A$6:$BE$37,25,0)-VLOOKUP(B108,#REF!,$N$2,0),0)</f>
        <v>0</v>
      </c>
      <c r="O108" s="9">
        <f>IFERROR(VLOOKUP(B108,cubo!$A$6:$BE$37,33,0)-VLOOKUP(B108,#REF!,$O$2,0),0)</f>
        <v>0</v>
      </c>
      <c r="P108" s="8">
        <f>IFERROR(VLOOKUP(B108,cubo!$A$6:$BE$37,37,0)-VLOOKUP(B108,#REF!,$P$2,0),0)</f>
        <v>0</v>
      </c>
      <c r="Q108" s="8">
        <f>IFERROR(VLOOKUP(B108,cubo!$A$6:$BE$37,56,0)-VLOOKUP(B108,#REF!,$Q$2,0),0)</f>
        <v>0</v>
      </c>
      <c r="R108" s="9">
        <f>IFERROR(VLOOKUP(B108,cubo!$A$6:$BE$37,40,0)-VLOOKUP(B108,#REF!,$R$2,0),0)</f>
        <v>0</v>
      </c>
      <c r="S108" s="9">
        <f>IFERROR(VLOOKUP(B108,cubo!$A$6:$BE$37,43,0)-VLOOKUP(B108,#REF!,$S$2,0),0)</f>
        <v>0</v>
      </c>
      <c r="T108" s="9">
        <f>IFERROR(VLOOKUP(B108,cubo!$A$6:$BE$37,46,0)-VLOOKUP(B108,#REF!,$T$2,0),0)</f>
        <v>0</v>
      </c>
      <c r="U108" s="9">
        <f>IFERROR(VLOOKUP(B108,cubo!$A$6:$BE$37,51,0)-VLOOKUP(B108,#REF!,$U$2,0),0)</f>
        <v>0</v>
      </c>
      <c r="V108" s="9">
        <f>IFERROR(VLOOKUP(B108,cubo!$A$6:$BJ$37,60,0)-VLOOKUP(B108,#REF!,$V$2,0),0)</f>
        <v>0</v>
      </c>
      <c r="W108" s="9">
        <f>IFERROR(VLOOKUP(B108,cubo!$A$6:$BE$37,26,0)-VLOOKUP(B108,#REF!,$W$2,0),0)</f>
        <v>0</v>
      </c>
      <c r="X108" s="9">
        <f>IFERROR(VLOOKUP(B108,cubo!$A$6:$BE$37,20,0)-VLOOKUP(B108,#REF!,$X$2,0),0)</f>
        <v>0</v>
      </c>
      <c r="Y108" s="9">
        <f>IFERROR(VLOOKUP(B108,cubo!$A$6:$BE$37,21,0)-VLOOKUP(B108,#REF!,$Y$2,0),0)</f>
        <v>0</v>
      </c>
      <c r="Z108" s="9">
        <f>IFERROR(VLOOKUP(B108,cubo!$A$6:$BE$37,27,0)-VLOOKUP(B108,#REF!,$Z$2,0),0)</f>
        <v>0</v>
      </c>
      <c r="AA108" s="9">
        <f>IFERROR(VLOOKUP(B108,cubo!$A$6:$BE$37,28,0)-VLOOKUP(B108,#REF!,$AA$2,0),0)</f>
        <v>0</v>
      </c>
      <c r="AB108" s="9">
        <f>IFERROR(VLOOKUP(B108,cubo!$A$6:$BE$37,29,0)-VLOOKUP(B108,#REF!,$AB$2,0),0)</f>
        <v>0</v>
      </c>
      <c r="AC108" s="9">
        <f>IFERROR(VLOOKUP(B108,cubo!$A$6:$BE$37,30,0)-VLOOKUP(B108,#REF!,$AC$2,0),0)</f>
        <v>0</v>
      </c>
      <c r="AD108" s="9">
        <f>IFERROR(VLOOKUP(B108,cubo!$A$6:$BE$37,31,0)-VLOOKUP(B108,#REF!,$AD$2,0),0)</f>
        <v>0</v>
      </c>
      <c r="AE108" s="9">
        <f>IFERROR(VLOOKUP(B108,cubo!$A$6:$BE$37,35,0)-VLOOKUP(B108,#REF!,$AE$2,0),0)</f>
        <v>0</v>
      </c>
      <c r="AF108" s="9" cm="1">
        <f t="array" aca="1" ref="AF108" ca="1">IFERROR(rrPROCV(B108,cubo!$A$6:$BE$37,48,0)-VLOOKUP(B108,#REF!,$AF$2,0),0)</f>
        <v>0</v>
      </c>
      <c r="AG108" s="9">
        <f>IFERROR(VLOOKUP(B108,cubo!$A$6:$BE$37,49,0)-VLOOKUP(B108,#REF!,$AG$2,0),0)</f>
        <v>0</v>
      </c>
      <c r="AH108" s="9">
        <f>IFERROR(VLOOKUP(B108,cubo!$A$6:$BE$37,50,0)-VLOOKUP(B108,#REF!,$AH$2,0),0)</f>
        <v>0</v>
      </c>
      <c r="AI108" s="9">
        <f>IFERROR(VLOOKUP(B108,cubo!$A$6:$BE$37,51,0)-VLOOKUP(B108,#REF!,$AI$2,0),0)</f>
        <v>0</v>
      </c>
      <c r="AJ108" s="9">
        <f>IFERROR(VLOOKUP(B108,cubo!$A$6:$BI$116,62,0)-VLOOKUP(B108,#REF!,$AJ$2,0),0)</f>
        <v>0</v>
      </c>
      <c r="AK108" s="9">
        <f>IFERROR(VLOOKUP(B108,cubo!$A$6:$BJ$37,63,0)-VLOOKUP(B108,#REF!,$AK$2,0),0)</f>
        <v>0</v>
      </c>
      <c r="AL108" s="9">
        <f>IFERROR(VLOOKUP(B108,cubo!$A$6:$BE$37,58,0)-VLOOKUP(B108,#REF!,$AL$2,0),0)</f>
        <v>0</v>
      </c>
      <c r="AM108" s="9">
        <f>IFERROR(VLOOKUP(B108,cubo!$A$6:$BK$37,64,0)-VLOOKUP(B108,#REF!,$AM$2,0),0)</f>
        <v>0</v>
      </c>
      <c r="AN108" s="9">
        <f>IFERROR(VLOOKUP(B108,cubo!$A$6:$AN$37,41,0)-VLOOKUP(B108,#REF!,$AN$2,0),0)</f>
        <v>0</v>
      </c>
    </row>
    <row r="109" spans="2:40" x14ac:dyDescent="0.25">
      <c r="B109" s="7">
        <f>[1]salario!A108</f>
        <v>0</v>
      </c>
      <c r="C109" s="8">
        <f>[1]salario!C108</f>
        <v>0</v>
      </c>
      <c r="D109" s="9">
        <f>IFERROR(VLOOKUP(B109,cubo!$A$6:$BE$37,3,0)-VLOOKUP(B109,#REF!,$D$2,0),0)</f>
        <v>0</v>
      </c>
      <c r="E109" s="10">
        <f>IFERROR(VLOOKUP(B109,cubo!$A$6:$BE$37,5,0)-VLOOKUP(B109,#REF!,$E$2,0),0)</f>
        <v>0</v>
      </c>
      <c r="F109" s="10">
        <f>IFERROR(VLOOKUP(B109,cubo!$A$6:$BE$37,8,0)-VLOOKUP(B109,#REF!,$F$2,0),0)</f>
        <v>0</v>
      </c>
      <c r="G109" s="9">
        <f>IFERROR(VLOOKUP(B109,cubo!$A$6:$BE$37,11,0)-VLOOKUP(B109,#REF!,$G$2,0),0)</f>
        <v>0</v>
      </c>
      <c r="H109" s="9">
        <f>IFERROR(VLOOKUP(B109,cubo!$A$6:$BE$37,53,0)-VLOOKUP(B109,#REF!,$H$2,0),0)</f>
        <v>0</v>
      </c>
      <c r="I109" s="10">
        <f>IFERROR(VLOOKUP(B109,cubo!$A$6:$BE$37,14,0)-VLOOKUP(B109,#REF!,$I$2,0),0)</f>
        <v>0</v>
      </c>
      <c r="J109" s="9">
        <f>IFERROR(VLOOKUP(B109,cubo!$A$6:$BE$37,16,0)-VLOOKUP(B109,#REF!,$J$2,0),0)</f>
        <v>0</v>
      </c>
      <c r="K109" s="9">
        <f>IFERROR(VLOOKUP(B109,cubo!$A$6:$BE$37,17,0)-VLOOKUP(B109,#REF!,$K$2,0),0)</f>
        <v>0</v>
      </c>
      <c r="L109" s="9">
        <f>IFERROR(VLOOKUP(B109,cubo!$A$6:$BE$37,19,0)-VLOOKUP(B109,#REF!,$L$2,0),0)</f>
        <v>0</v>
      </c>
      <c r="M109" s="9">
        <f>IFERROR(VLOOKUP(B109,cubo!$A$6:$BE$37,23,0)-VLOOKUP(B109,#REF!,$M$2,0),0)</f>
        <v>0</v>
      </c>
      <c r="N109" s="9">
        <f>IFERROR(VLOOKUP(B109,cubo!$A$6:$BE$37,25,0)-VLOOKUP(B109,#REF!,$N$2,0),0)</f>
        <v>0</v>
      </c>
      <c r="O109" s="9">
        <f>IFERROR(VLOOKUP(B109,cubo!$A$6:$BE$37,33,0)-VLOOKUP(B109,#REF!,$O$2,0),0)</f>
        <v>0</v>
      </c>
      <c r="P109" s="8">
        <f>IFERROR(VLOOKUP(B109,cubo!$A$6:$BE$37,37,0)-VLOOKUP(B109,#REF!,$P$2,0),0)</f>
        <v>0</v>
      </c>
      <c r="Q109" s="8">
        <f>IFERROR(VLOOKUP(B109,cubo!$A$6:$BE$37,56,0)-VLOOKUP(B109,#REF!,$Q$2,0),0)</f>
        <v>0</v>
      </c>
      <c r="R109" s="9">
        <f>IFERROR(VLOOKUP(B109,cubo!$A$6:$BE$37,40,0)-VLOOKUP(B109,#REF!,$R$2,0),0)</f>
        <v>0</v>
      </c>
      <c r="S109" s="9">
        <f>IFERROR(VLOOKUP(B109,cubo!$A$6:$BE$37,43,0)-VLOOKUP(B109,#REF!,$S$2,0),0)</f>
        <v>0</v>
      </c>
      <c r="T109" s="9">
        <f>IFERROR(VLOOKUP(B109,cubo!$A$6:$BE$37,46,0)-VLOOKUP(B109,#REF!,$T$2,0),0)</f>
        <v>0</v>
      </c>
      <c r="U109" s="9">
        <f>IFERROR(VLOOKUP(B109,cubo!$A$6:$BE$37,51,0)-VLOOKUP(B109,#REF!,$U$2,0),0)</f>
        <v>0</v>
      </c>
      <c r="V109" s="9">
        <f>IFERROR(VLOOKUP(B109,cubo!$A$6:$BJ$37,60,0)-VLOOKUP(B109,#REF!,$V$2,0),0)</f>
        <v>0</v>
      </c>
      <c r="W109" s="9">
        <f>IFERROR(VLOOKUP(B109,cubo!$A$6:$BE$37,26,0)-VLOOKUP(B109,#REF!,$W$2,0),0)</f>
        <v>0</v>
      </c>
      <c r="X109" s="9">
        <f>IFERROR(VLOOKUP(B109,cubo!$A$6:$BE$37,20,0)-VLOOKUP(B109,#REF!,$X$2,0),0)</f>
        <v>0</v>
      </c>
      <c r="Y109" s="9">
        <f>IFERROR(VLOOKUP(B109,cubo!$A$6:$BE$37,21,0)-VLOOKUP(B109,#REF!,$Y$2,0),0)</f>
        <v>0</v>
      </c>
      <c r="Z109" s="9">
        <f>IFERROR(VLOOKUP(B109,cubo!$A$6:$BE$37,27,0)-VLOOKUP(B109,#REF!,$Z$2,0),0)</f>
        <v>0</v>
      </c>
      <c r="AA109" s="9">
        <f>IFERROR(VLOOKUP(B109,cubo!$A$6:$BE$37,28,0)-VLOOKUP(B109,#REF!,$AA$2,0),0)</f>
        <v>0</v>
      </c>
      <c r="AB109" s="9">
        <f>IFERROR(VLOOKUP(B109,cubo!$A$6:$BE$37,29,0)-VLOOKUP(B109,#REF!,$AB$2,0),0)</f>
        <v>0</v>
      </c>
      <c r="AC109" s="9">
        <f>IFERROR(VLOOKUP(B109,cubo!$A$6:$BE$37,30,0)-VLOOKUP(B109,#REF!,$AC$2,0),0)</f>
        <v>0</v>
      </c>
      <c r="AD109" s="9">
        <f>IFERROR(VLOOKUP(B109,cubo!$A$6:$BE$37,31,0)-VLOOKUP(B109,#REF!,$AD$2,0),0)</f>
        <v>0</v>
      </c>
      <c r="AE109" s="9">
        <f>IFERROR(VLOOKUP(B109,cubo!$A$6:$BE$37,35,0)-VLOOKUP(B109,#REF!,$AE$2,0),0)</f>
        <v>0</v>
      </c>
      <c r="AF109" s="9" cm="1">
        <f t="array" aca="1" ref="AF109" ca="1">IFERROR(rrPROCV(B109,cubo!$A$6:$BE$37,48,0)-VLOOKUP(B109,#REF!,$AF$2,0),0)</f>
        <v>0</v>
      </c>
      <c r="AG109" s="9">
        <f>IFERROR(VLOOKUP(B109,cubo!$A$6:$BE$37,49,0)-VLOOKUP(B109,#REF!,$AG$2,0),0)</f>
        <v>0</v>
      </c>
      <c r="AH109" s="9">
        <f>IFERROR(VLOOKUP(B109,cubo!$A$6:$BE$37,50,0)-VLOOKUP(B109,#REF!,$AH$2,0),0)</f>
        <v>0</v>
      </c>
      <c r="AI109" s="9">
        <f>IFERROR(VLOOKUP(B109,cubo!$A$6:$BE$37,51,0)-VLOOKUP(B109,#REF!,$AI$2,0),0)</f>
        <v>0</v>
      </c>
      <c r="AJ109" s="9">
        <f>IFERROR(VLOOKUP(B109,cubo!$A$6:$BI$116,62,0)-VLOOKUP(B109,#REF!,$AJ$2,0),0)</f>
        <v>0</v>
      </c>
      <c r="AK109" s="9">
        <f>IFERROR(VLOOKUP(B109,cubo!$A$6:$BJ$37,63,0)-VLOOKUP(B109,#REF!,$AK$2,0),0)</f>
        <v>0</v>
      </c>
      <c r="AL109" s="9">
        <f>IFERROR(VLOOKUP(B109,cubo!$A$6:$BE$37,58,0)-VLOOKUP(B109,#REF!,$AL$2,0),0)</f>
        <v>0</v>
      </c>
      <c r="AM109" s="9">
        <f>IFERROR(VLOOKUP(B109,cubo!$A$6:$BK$37,64,0)-VLOOKUP(B109,#REF!,$AM$2,0),0)</f>
        <v>0</v>
      </c>
      <c r="AN109" s="9">
        <f>IFERROR(VLOOKUP(B109,cubo!$A$6:$AN$37,41,0)-VLOOKUP(B109,#REF!,$AN$2,0),0)</f>
        <v>0</v>
      </c>
    </row>
    <row r="110" spans="2:40" x14ac:dyDescent="0.25">
      <c r="B110" s="7">
        <f>[1]salario!A109</f>
        <v>0</v>
      </c>
      <c r="C110" s="8">
        <f>[1]salario!C109</f>
        <v>0</v>
      </c>
      <c r="D110" s="9">
        <f>IFERROR(VLOOKUP(B110,cubo!$A$6:$BE$37,3,0)-VLOOKUP(B110,#REF!,$D$2,0),0)</f>
        <v>0</v>
      </c>
      <c r="E110" s="10">
        <f>IFERROR(VLOOKUP(B110,cubo!$A$6:$BE$37,5,0)-VLOOKUP(B110,#REF!,$E$2,0),0)</f>
        <v>0</v>
      </c>
      <c r="F110" s="10">
        <f>IFERROR(VLOOKUP(B110,cubo!$A$6:$BE$37,8,0)-VLOOKUP(B110,#REF!,$F$2,0),0)</f>
        <v>0</v>
      </c>
      <c r="G110" s="9">
        <f>IFERROR(VLOOKUP(B110,cubo!$A$6:$BE$37,11,0)-VLOOKUP(B110,#REF!,$G$2,0),0)</f>
        <v>0</v>
      </c>
      <c r="H110" s="9">
        <f>IFERROR(VLOOKUP(B110,cubo!$A$6:$BE$37,53,0)-VLOOKUP(B110,#REF!,$H$2,0),0)</f>
        <v>0</v>
      </c>
      <c r="I110" s="10">
        <f>IFERROR(VLOOKUP(B110,cubo!$A$6:$BE$37,14,0)-VLOOKUP(B110,#REF!,$I$2,0),0)</f>
        <v>0</v>
      </c>
      <c r="J110" s="9">
        <f>IFERROR(VLOOKUP(B110,cubo!$A$6:$BE$37,16,0)-VLOOKUP(B110,#REF!,$J$2,0),0)</f>
        <v>0</v>
      </c>
      <c r="K110" s="9">
        <f>IFERROR(VLOOKUP(B110,cubo!$A$6:$BE$37,17,0)-VLOOKUP(B110,#REF!,$K$2,0),0)</f>
        <v>0</v>
      </c>
      <c r="L110" s="9">
        <f>IFERROR(VLOOKUP(B110,cubo!$A$6:$BE$37,19,0)-VLOOKUP(B110,#REF!,$L$2,0),0)</f>
        <v>0</v>
      </c>
      <c r="M110" s="9">
        <f>IFERROR(VLOOKUP(B110,cubo!$A$6:$BE$37,23,0)-VLOOKUP(B110,#REF!,$M$2,0),0)</f>
        <v>0</v>
      </c>
      <c r="N110" s="9">
        <f>IFERROR(VLOOKUP(B110,cubo!$A$6:$BE$37,25,0)-VLOOKUP(B110,#REF!,$N$2,0),0)</f>
        <v>0</v>
      </c>
      <c r="O110" s="9">
        <f>IFERROR(VLOOKUP(B110,cubo!$A$6:$BE$37,33,0)-VLOOKUP(B110,#REF!,$O$2,0),0)</f>
        <v>0</v>
      </c>
      <c r="P110" s="8">
        <f>IFERROR(VLOOKUP(B110,cubo!$A$6:$BE$37,37,0)-VLOOKUP(B110,#REF!,$P$2,0),0)</f>
        <v>0</v>
      </c>
      <c r="Q110" s="8">
        <f>IFERROR(VLOOKUP(B110,cubo!$A$6:$BE$37,56,0)-VLOOKUP(B110,#REF!,$Q$2,0),0)</f>
        <v>0</v>
      </c>
      <c r="R110" s="9">
        <f>IFERROR(VLOOKUP(B110,cubo!$A$6:$BE$37,40,0)-VLOOKUP(B110,#REF!,$R$2,0),0)</f>
        <v>0</v>
      </c>
      <c r="S110" s="9">
        <f>IFERROR(VLOOKUP(B110,cubo!$A$6:$BE$37,43,0)-VLOOKUP(B110,#REF!,$S$2,0),0)</f>
        <v>0</v>
      </c>
      <c r="T110" s="9">
        <f>IFERROR(VLOOKUP(B110,cubo!$A$6:$BE$37,46,0)-VLOOKUP(B110,#REF!,$T$2,0),0)</f>
        <v>0</v>
      </c>
      <c r="U110" s="9">
        <f>IFERROR(VLOOKUP(B110,cubo!$A$6:$BE$37,51,0)-VLOOKUP(B110,#REF!,$U$2,0),0)</f>
        <v>0</v>
      </c>
      <c r="V110" s="9">
        <f>IFERROR(VLOOKUP(B110,cubo!$A$6:$BJ$37,60,0)-VLOOKUP(B110,#REF!,$V$2,0),0)</f>
        <v>0</v>
      </c>
      <c r="W110" s="9">
        <f>IFERROR(VLOOKUP(B110,cubo!$A$6:$BE$37,26,0)-VLOOKUP(B110,#REF!,$W$2,0),0)</f>
        <v>0</v>
      </c>
      <c r="X110" s="9">
        <f>IFERROR(VLOOKUP(B110,cubo!$A$6:$BE$37,20,0)-VLOOKUP(B110,#REF!,$X$2,0),0)</f>
        <v>0</v>
      </c>
      <c r="Y110" s="9">
        <f>IFERROR(VLOOKUP(B110,cubo!$A$6:$BE$37,21,0)-VLOOKUP(B110,#REF!,$Y$2,0),0)</f>
        <v>0</v>
      </c>
      <c r="Z110" s="9">
        <f>IFERROR(VLOOKUP(B110,cubo!$A$6:$BE$37,27,0)-VLOOKUP(B110,#REF!,$Z$2,0),0)</f>
        <v>0</v>
      </c>
      <c r="AA110" s="9">
        <f>IFERROR(VLOOKUP(B110,cubo!$A$6:$BE$37,28,0)-VLOOKUP(B110,#REF!,$AA$2,0),0)</f>
        <v>0</v>
      </c>
      <c r="AB110" s="9">
        <f>IFERROR(VLOOKUP(B110,cubo!$A$6:$BE$37,29,0)-VLOOKUP(B110,#REF!,$AB$2,0),0)</f>
        <v>0</v>
      </c>
      <c r="AC110" s="9">
        <f>IFERROR(VLOOKUP(B110,cubo!$A$6:$BE$37,30,0)-VLOOKUP(B110,#REF!,$AC$2,0),0)</f>
        <v>0</v>
      </c>
      <c r="AD110" s="9">
        <f>IFERROR(VLOOKUP(B110,cubo!$A$6:$BE$37,31,0)-VLOOKUP(B110,#REF!,$AD$2,0),0)</f>
        <v>0</v>
      </c>
      <c r="AE110" s="9">
        <f>IFERROR(VLOOKUP(B110,cubo!$A$6:$BE$37,35,0)-VLOOKUP(B110,#REF!,$AE$2,0),0)</f>
        <v>0</v>
      </c>
      <c r="AF110" s="9" cm="1">
        <f t="array" aca="1" ref="AF110" ca="1">IFERROR(rrPROCV(B110,cubo!$A$6:$BE$37,48,0)-VLOOKUP(B110,#REF!,$AF$2,0),0)</f>
        <v>0</v>
      </c>
      <c r="AG110" s="9">
        <f>IFERROR(VLOOKUP(B110,cubo!$A$6:$BE$37,49,0)-VLOOKUP(B110,#REF!,$AG$2,0),0)</f>
        <v>0</v>
      </c>
      <c r="AH110" s="9">
        <f>IFERROR(VLOOKUP(B110,cubo!$A$6:$BE$37,50,0)-VLOOKUP(B110,#REF!,$AH$2,0),0)</f>
        <v>0</v>
      </c>
      <c r="AI110" s="9">
        <f>IFERROR(VLOOKUP(B110,cubo!$A$6:$BE$37,51,0)-VLOOKUP(B110,#REF!,$AI$2,0),0)</f>
        <v>0</v>
      </c>
      <c r="AJ110" s="9">
        <f>IFERROR(VLOOKUP(B110,cubo!$A$6:$BI$116,62,0)-VLOOKUP(B110,#REF!,$AJ$2,0),0)</f>
        <v>0</v>
      </c>
      <c r="AK110" s="9">
        <f>IFERROR(VLOOKUP(B110,cubo!$A$6:$BJ$37,63,0)-VLOOKUP(B110,#REF!,$AK$2,0),0)</f>
        <v>0</v>
      </c>
      <c r="AL110" s="9">
        <f>IFERROR(VLOOKUP(B110,cubo!$A$6:$BE$37,58,0)-VLOOKUP(B110,#REF!,$AL$2,0),0)</f>
        <v>0</v>
      </c>
      <c r="AM110" s="9">
        <f>IFERROR(VLOOKUP(B110,cubo!$A$6:$BK$37,64,0)-VLOOKUP(B110,#REF!,$AM$2,0),0)</f>
        <v>0</v>
      </c>
      <c r="AN110" s="9">
        <f>IFERROR(VLOOKUP(B110,cubo!$A$6:$AN$37,41,0)-VLOOKUP(B110,#REF!,$AN$2,0),0)</f>
        <v>0</v>
      </c>
    </row>
    <row r="111" spans="2:40" x14ac:dyDescent="0.25">
      <c r="B111" s="7">
        <f>[1]salario!A110</f>
        <v>0</v>
      </c>
      <c r="C111" s="8">
        <f>[1]salario!C110</f>
        <v>0</v>
      </c>
      <c r="D111" s="9">
        <f>IFERROR(VLOOKUP(B111,cubo!$A$6:$BE$37,3,0)-VLOOKUP(B111,#REF!,$D$2,0),0)</f>
        <v>0</v>
      </c>
      <c r="E111" s="10">
        <f>IFERROR(VLOOKUP(B111,cubo!$A$6:$BE$37,5,0)-VLOOKUP(B111,#REF!,$E$2,0),0)</f>
        <v>0</v>
      </c>
      <c r="F111" s="10">
        <f>IFERROR(VLOOKUP(B111,cubo!$A$6:$BE$37,8,0)-VLOOKUP(B111,#REF!,$F$2,0),0)</f>
        <v>0</v>
      </c>
      <c r="G111" s="9">
        <f>IFERROR(VLOOKUP(B111,cubo!$A$6:$BE$37,11,0)-VLOOKUP(B111,#REF!,$G$2,0),0)</f>
        <v>0</v>
      </c>
      <c r="H111" s="9">
        <f>IFERROR(VLOOKUP(B111,cubo!$A$6:$BE$37,53,0)-VLOOKUP(B111,#REF!,$H$2,0),0)</f>
        <v>0</v>
      </c>
      <c r="I111" s="10">
        <f>IFERROR(VLOOKUP(B111,cubo!$A$6:$BE$37,14,0)-VLOOKUP(B111,#REF!,$I$2,0),0)</f>
        <v>0</v>
      </c>
      <c r="J111" s="9">
        <f>IFERROR(VLOOKUP(B111,cubo!$A$6:$BE$37,16,0)-VLOOKUP(B111,#REF!,$J$2,0),0)</f>
        <v>0</v>
      </c>
      <c r="K111" s="9">
        <f>IFERROR(VLOOKUP(B111,cubo!$A$6:$BE$37,17,0)-VLOOKUP(B111,#REF!,$K$2,0),0)</f>
        <v>0</v>
      </c>
      <c r="L111" s="9">
        <f>IFERROR(VLOOKUP(B111,cubo!$A$6:$BE$37,19,0)-VLOOKUP(B111,#REF!,$L$2,0),0)</f>
        <v>0</v>
      </c>
      <c r="M111" s="9">
        <f>IFERROR(VLOOKUP(B111,cubo!$A$6:$BE$37,23,0)-VLOOKUP(B111,#REF!,$M$2,0),0)</f>
        <v>0</v>
      </c>
      <c r="N111" s="9">
        <f>IFERROR(VLOOKUP(B111,cubo!$A$6:$BE$37,25,0)-VLOOKUP(B111,#REF!,$N$2,0),0)</f>
        <v>0</v>
      </c>
      <c r="O111" s="9">
        <f>IFERROR(VLOOKUP(B111,cubo!$A$6:$BE$37,33,0)-VLOOKUP(B111,#REF!,$O$2,0),0)</f>
        <v>0</v>
      </c>
      <c r="P111" s="8">
        <f>IFERROR(VLOOKUP(B111,cubo!$A$6:$BE$37,37,0)-VLOOKUP(B111,#REF!,$P$2,0),0)</f>
        <v>0</v>
      </c>
      <c r="Q111" s="8">
        <f>IFERROR(VLOOKUP(B111,cubo!$A$6:$BE$37,56,0)-VLOOKUP(B111,#REF!,$Q$2,0),0)</f>
        <v>0</v>
      </c>
      <c r="R111" s="9">
        <f>IFERROR(VLOOKUP(B111,cubo!$A$6:$BE$37,40,0)-VLOOKUP(B111,#REF!,$R$2,0),0)</f>
        <v>0</v>
      </c>
      <c r="S111" s="9">
        <f>IFERROR(VLOOKUP(B111,cubo!$A$6:$BE$37,43,0)-VLOOKUP(B111,#REF!,$S$2,0),0)</f>
        <v>0</v>
      </c>
      <c r="T111" s="9">
        <f>IFERROR(VLOOKUP(B111,cubo!$A$6:$BE$37,46,0)-VLOOKUP(B111,#REF!,$T$2,0),0)</f>
        <v>0</v>
      </c>
      <c r="U111" s="9">
        <f>IFERROR(VLOOKUP(B111,cubo!$A$6:$BE$37,51,0)-VLOOKUP(B111,#REF!,$U$2,0),0)</f>
        <v>0</v>
      </c>
      <c r="V111" s="9">
        <f>IFERROR(VLOOKUP(B111,cubo!$A$6:$BJ$37,60,0)-VLOOKUP(B111,#REF!,$V$2,0),0)</f>
        <v>0</v>
      </c>
      <c r="W111" s="9">
        <f>IFERROR(VLOOKUP(B111,cubo!$A$6:$BE$37,26,0)-VLOOKUP(B111,#REF!,$W$2,0),0)</f>
        <v>0</v>
      </c>
      <c r="X111" s="9">
        <f>IFERROR(VLOOKUP(B111,cubo!$A$6:$BE$37,20,0)-VLOOKUP(B111,#REF!,$X$2,0),0)</f>
        <v>0</v>
      </c>
      <c r="Y111" s="9">
        <f>IFERROR(VLOOKUP(B111,cubo!$A$6:$BE$37,21,0)-VLOOKUP(B111,#REF!,$Y$2,0),0)</f>
        <v>0</v>
      </c>
      <c r="Z111" s="9">
        <f>IFERROR(VLOOKUP(B111,cubo!$A$6:$BE$37,27,0)-VLOOKUP(B111,#REF!,$Z$2,0),0)</f>
        <v>0</v>
      </c>
      <c r="AA111" s="9">
        <f>IFERROR(VLOOKUP(B111,cubo!$A$6:$BE$37,28,0)-VLOOKUP(B111,#REF!,$AA$2,0),0)</f>
        <v>0</v>
      </c>
      <c r="AB111" s="9">
        <f>IFERROR(VLOOKUP(B111,cubo!$A$6:$BE$37,29,0)-VLOOKUP(B111,#REF!,$AB$2,0),0)</f>
        <v>0</v>
      </c>
      <c r="AC111" s="9">
        <f>IFERROR(VLOOKUP(B111,cubo!$A$6:$BE$37,30,0)-VLOOKUP(B111,#REF!,$AC$2,0),0)</f>
        <v>0</v>
      </c>
      <c r="AD111" s="9">
        <f>IFERROR(VLOOKUP(B111,cubo!$A$6:$BE$37,31,0)-VLOOKUP(B111,#REF!,$AD$2,0),0)</f>
        <v>0</v>
      </c>
      <c r="AE111" s="9">
        <f>IFERROR(VLOOKUP(B111,cubo!$A$6:$BE$37,35,0)-VLOOKUP(B111,#REF!,$AE$2,0),0)</f>
        <v>0</v>
      </c>
      <c r="AF111" s="9" cm="1">
        <f t="array" aca="1" ref="AF111" ca="1">IFERROR(rrPROCV(B111,cubo!$A$6:$BE$37,48,0)-VLOOKUP(B111,#REF!,$AF$2,0),0)</f>
        <v>0</v>
      </c>
      <c r="AG111" s="9">
        <f>IFERROR(VLOOKUP(B111,cubo!$A$6:$BE$37,49,0)-VLOOKUP(B111,#REF!,$AG$2,0),0)</f>
        <v>0</v>
      </c>
      <c r="AH111" s="9">
        <f>IFERROR(VLOOKUP(B111,cubo!$A$6:$BE$37,50,0)-VLOOKUP(B111,#REF!,$AH$2,0),0)</f>
        <v>0</v>
      </c>
      <c r="AI111" s="9">
        <f>IFERROR(VLOOKUP(B111,cubo!$A$6:$BE$37,51,0)-VLOOKUP(B111,#REF!,$AI$2,0),0)</f>
        <v>0</v>
      </c>
      <c r="AJ111" s="9">
        <f>IFERROR(VLOOKUP(B111,cubo!$A$6:$BI$116,62,0)-VLOOKUP(B111,#REF!,$AJ$2,0),0)</f>
        <v>0</v>
      </c>
      <c r="AK111" s="9">
        <f>IFERROR(VLOOKUP(B111,cubo!$A$6:$BJ$37,63,0)-VLOOKUP(B111,#REF!,$AK$2,0),0)</f>
        <v>0</v>
      </c>
      <c r="AL111" s="9">
        <f>IFERROR(VLOOKUP(B111,cubo!$A$6:$BE$37,58,0)-VLOOKUP(B111,#REF!,$AL$2,0),0)</f>
        <v>0</v>
      </c>
      <c r="AM111" s="9">
        <f>IFERROR(VLOOKUP(B111,cubo!$A$6:$BK$37,64,0)-VLOOKUP(B111,#REF!,$AM$2,0),0)</f>
        <v>0</v>
      </c>
      <c r="AN111" s="9">
        <f>IFERROR(VLOOKUP(B111,cubo!$A$6:$AN$37,41,0)-VLOOKUP(B111,#REF!,$AN$2,0),0)</f>
        <v>0</v>
      </c>
    </row>
    <row r="112" spans="2:40" x14ac:dyDescent="0.25">
      <c r="B112" s="7">
        <f>[1]salario!A111</f>
        <v>0</v>
      </c>
      <c r="C112" s="8">
        <f>[1]salario!C111</f>
        <v>0</v>
      </c>
      <c r="D112" s="9">
        <f>IFERROR(VLOOKUP(B112,cubo!$A$6:$BE$37,3,0)-VLOOKUP(B112,#REF!,$D$2,0),0)</f>
        <v>0</v>
      </c>
      <c r="E112" s="10">
        <f>IFERROR(VLOOKUP(B112,cubo!$A$6:$BE$37,5,0)-VLOOKUP(B112,#REF!,$E$2,0),0)</f>
        <v>0</v>
      </c>
      <c r="F112" s="10">
        <f>IFERROR(VLOOKUP(B112,cubo!$A$6:$BE$37,8,0)-VLOOKUP(B112,#REF!,$F$2,0),0)</f>
        <v>0</v>
      </c>
      <c r="G112" s="9">
        <f>IFERROR(VLOOKUP(B112,cubo!$A$6:$BE$37,11,0)-VLOOKUP(B112,#REF!,$G$2,0),0)</f>
        <v>0</v>
      </c>
      <c r="H112" s="9">
        <f>IFERROR(VLOOKUP(B112,cubo!$A$6:$BE$37,53,0)-VLOOKUP(B112,#REF!,$H$2,0),0)</f>
        <v>0</v>
      </c>
      <c r="I112" s="10">
        <f>IFERROR(VLOOKUP(B112,cubo!$A$6:$BE$37,14,0)-VLOOKUP(B112,#REF!,$I$2,0),0)</f>
        <v>0</v>
      </c>
      <c r="J112" s="9">
        <f>IFERROR(VLOOKUP(B112,cubo!$A$6:$BE$37,16,0)-VLOOKUP(B112,#REF!,$J$2,0),0)</f>
        <v>0</v>
      </c>
      <c r="K112" s="9">
        <f>IFERROR(VLOOKUP(B112,cubo!$A$6:$BE$37,17,0)-VLOOKUP(B112,#REF!,$K$2,0),0)</f>
        <v>0</v>
      </c>
      <c r="L112" s="9">
        <f>IFERROR(VLOOKUP(B112,cubo!$A$6:$BE$37,19,0)-VLOOKUP(B112,#REF!,$L$2,0),0)</f>
        <v>0</v>
      </c>
      <c r="M112" s="9">
        <f>IFERROR(VLOOKUP(B112,cubo!$A$6:$BE$37,23,0)-VLOOKUP(B112,#REF!,$M$2,0),0)</f>
        <v>0</v>
      </c>
      <c r="N112" s="9">
        <f>IFERROR(VLOOKUP(B112,cubo!$A$6:$BE$37,25,0)-VLOOKUP(B112,#REF!,$N$2,0),0)</f>
        <v>0</v>
      </c>
      <c r="O112" s="9">
        <f>IFERROR(VLOOKUP(B112,cubo!$A$6:$BE$37,33,0)-VLOOKUP(B112,#REF!,$O$2,0),0)</f>
        <v>0</v>
      </c>
      <c r="P112" s="8">
        <f>IFERROR(VLOOKUP(B112,cubo!$A$6:$BE$37,37,0)-VLOOKUP(B112,#REF!,$P$2,0),0)</f>
        <v>0</v>
      </c>
      <c r="Q112" s="8">
        <f>IFERROR(VLOOKUP(B112,cubo!$A$6:$BE$37,56,0)-VLOOKUP(B112,#REF!,$Q$2,0),0)</f>
        <v>0</v>
      </c>
      <c r="R112" s="9">
        <f>IFERROR(VLOOKUP(B112,cubo!$A$6:$BE$37,40,0)-VLOOKUP(B112,#REF!,$R$2,0),0)</f>
        <v>0</v>
      </c>
      <c r="S112" s="9">
        <f>IFERROR(VLOOKUP(B112,cubo!$A$6:$BE$37,43,0)-VLOOKUP(B112,#REF!,$S$2,0),0)</f>
        <v>0</v>
      </c>
      <c r="T112" s="9">
        <f>IFERROR(VLOOKUP(B112,cubo!$A$6:$BE$37,46,0)-VLOOKUP(B112,#REF!,$T$2,0),0)</f>
        <v>0</v>
      </c>
      <c r="U112" s="9">
        <f>IFERROR(VLOOKUP(B112,cubo!$A$6:$BE$37,51,0)-VLOOKUP(B112,#REF!,$U$2,0),0)</f>
        <v>0</v>
      </c>
      <c r="V112" s="9">
        <f>IFERROR(VLOOKUP(B112,cubo!$A$6:$BJ$37,60,0)-VLOOKUP(B112,#REF!,$V$2,0),0)</f>
        <v>0</v>
      </c>
      <c r="W112" s="9">
        <f>IFERROR(VLOOKUP(B112,cubo!$A$6:$BE$37,26,0)-VLOOKUP(B112,#REF!,$W$2,0),0)</f>
        <v>0</v>
      </c>
      <c r="X112" s="9">
        <f>IFERROR(VLOOKUP(B112,cubo!$A$6:$BE$37,20,0)-VLOOKUP(B112,#REF!,$X$2,0),0)</f>
        <v>0</v>
      </c>
      <c r="Y112" s="9">
        <f>IFERROR(VLOOKUP(B112,cubo!$A$6:$BE$37,21,0)-VLOOKUP(B112,#REF!,$Y$2,0),0)</f>
        <v>0</v>
      </c>
      <c r="Z112" s="9">
        <f>IFERROR(VLOOKUP(B112,cubo!$A$6:$BE$37,27,0)-VLOOKUP(B112,#REF!,$Z$2,0),0)</f>
        <v>0</v>
      </c>
      <c r="AA112" s="9">
        <f>IFERROR(VLOOKUP(B112,cubo!$A$6:$BE$37,28,0)-VLOOKUP(B112,#REF!,$AA$2,0),0)</f>
        <v>0</v>
      </c>
      <c r="AB112" s="9">
        <f>IFERROR(VLOOKUP(B112,cubo!$A$6:$BE$37,29,0)-VLOOKUP(B112,#REF!,$AB$2,0),0)</f>
        <v>0</v>
      </c>
      <c r="AC112" s="9">
        <f>IFERROR(VLOOKUP(B112,cubo!$A$6:$BE$37,30,0)-VLOOKUP(B112,#REF!,$AC$2,0),0)</f>
        <v>0</v>
      </c>
      <c r="AD112" s="9">
        <f>IFERROR(VLOOKUP(B112,cubo!$A$6:$BE$37,31,0)-VLOOKUP(B112,#REF!,$AD$2,0),0)</f>
        <v>0</v>
      </c>
      <c r="AE112" s="9">
        <f>IFERROR(VLOOKUP(B112,cubo!$A$6:$BE$37,35,0)-VLOOKUP(B112,#REF!,$AE$2,0),0)</f>
        <v>0</v>
      </c>
      <c r="AF112" s="9" cm="1">
        <f t="array" aca="1" ref="AF112" ca="1">IFERROR(rrPROCV(B112,cubo!$A$6:$BE$37,48,0)-VLOOKUP(B112,#REF!,$AF$2,0),0)</f>
        <v>0</v>
      </c>
      <c r="AG112" s="9">
        <f>IFERROR(VLOOKUP(B112,cubo!$A$6:$BE$37,49,0)-VLOOKUP(B112,#REF!,$AG$2,0),0)</f>
        <v>0</v>
      </c>
      <c r="AH112" s="9">
        <f>IFERROR(VLOOKUP(B112,cubo!$A$6:$BE$37,50,0)-VLOOKUP(B112,#REF!,$AH$2,0),0)</f>
        <v>0</v>
      </c>
      <c r="AI112" s="9">
        <f>IFERROR(VLOOKUP(B112,cubo!$A$6:$BE$37,51,0)-VLOOKUP(B112,#REF!,$AI$2,0),0)</f>
        <v>0</v>
      </c>
      <c r="AJ112" s="9">
        <f>IFERROR(VLOOKUP(B112,cubo!$A$6:$BI$116,62,0)-VLOOKUP(B112,#REF!,$AJ$2,0),0)</f>
        <v>0</v>
      </c>
      <c r="AK112" s="9">
        <f>IFERROR(VLOOKUP(B112,cubo!$A$6:$BJ$37,63,0)-VLOOKUP(B112,#REF!,$AK$2,0),0)</f>
        <v>0</v>
      </c>
      <c r="AL112" s="9">
        <f>IFERROR(VLOOKUP(B112,cubo!$A$6:$BE$37,58,0)-VLOOKUP(B112,#REF!,$AL$2,0),0)</f>
        <v>0</v>
      </c>
      <c r="AM112" s="9">
        <f>IFERROR(VLOOKUP(B112,cubo!$A$6:$BK$37,64,0)-VLOOKUP(B112,#REF!,$AM$2,0),0)</f>
        <v>0</v>
      </c>
      <c r="AN112" s="9">
        <f>IFERROR(VLOOKUP(B112,cubo!$A$6:$AN$37,41,0)-VLOOKUP(B112,#REF!,$AN$2,0),0)</f>
        <v>0</v>
      </c>
    </row>
    <row r="113" spans="2:40" x14ac:dyDescent="0.25">
      <c r="B113" s="7">
        <f>[1]salario!A112</f>
        <v>0</v>
      </c>
      <c r="C113" s="8">
        <f>[1]salario!C112</f>
        <v>0</v>
      </c>
      <c r="D113" s="9">
        <f>IFERROR(VLOOKUP(B113,cubo!$A$6:$BE$37,3,0)-VLOOKUP(B113,#REF!,$D$2,0),0)</f>
        <v>0</v>
      </c>
      <c r="E113" s="10">
        <f>IFERROR(VLOOKUP(B113,cubo!$A$6:$BE$37,5,0)-VLOOKUP(B113,#REF!,$E$2,0),0)</f>
        <v>0</v>
      </c>
      <c r="F113" s="10">
        <f>IFERROR(VLOOKUP(B113,cubo!$A$6:$BE$37,8,0)-VLOOKUP(B113,#REF!,$F$2,0),0)</f>
        <v>0</v>
      </c>
      <c r="G113" s="9">
        <f>IFERROR(VLOOKUP(B113,cubo!$A$6:$BE$37,11,0)-VLOOKUP(B113,#REF!,$G$2,0),0)</f>
        <v>0</v>
      </c>
      <c r="H113" s="9">
        <f>IFERROR(VLOOKUP(B113,cubo!$A$6:$BE$37,53,0)-VLOOKUP(B113,#REF!,$H$2,0),0)</f>
        <v>0</v>
      </c>
      <c r="I113" s="10">
        <f>IFERROR(VLOOKUP(B113,cubo!$A$6:$BE$37,14,0)-VLOOKUP(B113,#REF!,$I$2,0),0)</f>
        <v>0</v>
      </c>
      <c r="J113" s="9">
        <f>IFERROR(VLOOKUP(B113,cubo!$A$6:$BE$37,16,0)-VLOOKUP(B113,#REF!,$J$2,0),0)</f>
        <v>0</v>
      </c>
      <c r="K113" s="9">
        <f>IFERROR(VLOOKUP(B113,cubo!$A$6:$BE$37,17,0)-VLOOKUP(B113,#REF!,$K$2,0),0)</f>
        <v>0</v>
      </c>
      <c r="L113" s="9">
        <f>IFERROR(VLOOKUP(B113,cubo!$A$6:$BE$37,19,0)-VLOOKUP(B113,#REF!,$L$2,0),0)</f>
        <v>0</v>
      </c>
      <c r="M113" s="9">
        <f>IFERROR(VLOOKUP(B113,cubo!$A$6:$BE$37,23,0)-VLOOKUP(B113,#REF!,$M$2,0),0)</f>
        <v>0</v>
      </c>
      <c r="N113" s="9">
        <f>IFERROR(VLOOKUP(B113,cubo!$A$6:$BE$37,25,0)-VLOOKUP(B113,#REF!,$N$2,0),0)</f>
        <v>0</v>
      </c>
      <c r="O113" s="9">
        <f>IFERROR(VLOOKUP(B113,cubo!$A$6:$BE$37,33,0)-VLOOKUP(B113,#REF!,$O$2,0),0)</f>
        <v>0</v>
      </c>
      <c r="P113" s="8">
        <f>IFERROR(VLOOKUP(B113,cubo!$A$6:$BE$37,37,0)-VLOOKUP(B113,#REF!,$P$2,0),0)</f>
        <v>0</v>
      </c>
      <c r="Q113" s="8">
        <f>IFERROR(VLOOKUP(B113,cubo!$A$6:$BE$37,56,0)-VLOOKUP(B113,#REF!,$Q$2,0),0)</f>
        <v>0</v>
      </c>
      <c r="R113" s="9">
        <f>IFERROR(VLOOKUP(B113,cubo!$A$6:$BE$37,40,0)-VLOOKUP(B113,#REF!,$R$2,0),0)</f>
        <v>0</v>
      </c>
      <c r="S113" s="9">
        <f>IFERROR(VLOOKUP(B113,cubo!$A$6:$BE$37,43,0)-VLOOKUP(B113,#REF!,$S$2,0),0)</f>
        <v>0</v>
      </c>
      <c r="T113" s="9">
        <f>IFERROR(VLOOKUP(B113,cubo!$A$6:$BE$37,46,0)-VLOOKUP(B113,#REF!,$T$2,0),0)</f>
        <v>0</v>
      </c>
      <c r="U113" s="9">
        <f>IFERROR(VLOOKUP(B113,cubo!$A$6:$BE$37,51,0)-VLOOKUP(B113,#REF!,$U$2,0),0)</f>
        <v>0</v>
      </c>
      <c r="V113" s="9">
        <f>IFERROR(VLOOKUP(B113,cubo!$A$6:$BJ$37,60,0)-VLOOKUP(B113,#REF!,$V$2,0),0)</f>
        <v>0</v>
      </c>
      <c r="W113" s="9">
        <f>IFERROR(VLOOKUP(B113,cubo!$A$6:$BE$37,26,0)-VLOOKUP(B113,#REF!,$W$2,0),0)</f>
        <v>0</v>
      </c>
      <c r="X113" s="9">
        <f>IFERROR(VLOOKUP(B113,cubo!$A$6:$BE$37,20,0)-VLOOKUP(B113,#REF!,$X$2,0),0)</f>
        <v>0</v>
      </c>
      <c r="Y113" s="9">
        <f>IFERROR(VLOOKUP(B113,cubo!$A$6:$BE$37,21,0)-VLOOKUP(B113,#REF!,$Y$2,0),0)</f>
        <v>0</v>
      </c>
      <c r="Z113" s="9">
        <f>IFERROR(VLOOKUP(B113,cubo!$A$6:$BE$37,27,0)-VLOOKUP(B113,#REF!,$Z$2,0),0)</f>
        <v>0</v>
      </c>
      <c r="AA113" s="9">
        <f>IFERROR(VLOOKUP(B113,cubo!$A$6:$BE$37,28,0)-VLOOKUP(B113,#REF!,$AA$2,0),0)</f>
        <v>0</v>
      </c>
      <c r="AB113" s="9">
        <f>IFERROR(VLOOKUP(B113,cubo!$A$6:$BE$37,29,0)-VLOOKUP(B113,#REF!,$AB$2,0),0)</f>
        <v>0</v>
      </c>
      <c r="AC113" s="9">
        <f>IFERROR(VLOOKUP(B113,cubo!$A$6:$BE$37,30,0)-VLOOKUP(B113,#REF!,$AC$2,0),0)</f>
        <v>0</v>
      </c>
      <c r="AD113" s="9">
        <f>IFERROR(VLOOKUP(B113,cubo!$A$6:$BE$37,31,0)-VLOOKUP(B113,#REF!,$AD$2,0),0)</f>
        <v>0</v>
      </c>
      <c r="AE113" s="9">
        <f>IFERROR(VLOOKUP(B113,cubo!$A$6:$BE$37,35,0)-VLOOKUP(B113,#REF!,$AE$2,0),0)</f>
        <v>0</v>
      </c>
      <c r="AF113" s="9" cm="1">
        <f t="array" aca="1" ref="AF113" ca="1">IFERROR(rrPROCV(B113,cubo!$A$6:$BE$37,48,0)-VLOOKUP(B113,#REF!,$AF$2,0),0)</f>
        <v>0</v>
      </c>
      <c r="AG113" s="9">
        <f>IFERROR(VLOOKUP(B113,cubo!$A$6:$BE$37,49,0)-VLOOKUP(B113,#REF!,$AG$2,0),0)</f>
        <v>0</v>
      </c>
      <c r="AH113" s="9">
        <f>IFERROR(VLOOKUP(B113,cubo!$A$6:$BE$37,50,0)-VLOOKUP(B113,#REF!,$AH$2,0),0)</f>
        <v>0</v>
      </c>
      <c r="AI113" s="9">
        <f>IFERROR(VLOOKUP(B113,cubo!$A$6:$BE$37,51,0)-VLOOKUP(B113,#REF!,$AI$2,0),0)</f>
        <v>0</v>
      </c>
      <c r="AJ113" s="9">
        <f>IFERROR(VLOOKUP(B113,cubo!$A$6:$BI$116,62,0)-VLOOKUP(B113,#REF!,$AJ$2,0),0)</f>
        <v>0</v>
      </c>
      <c r="AK113" s="9">
        <f>IFERROR(VLOOKUP(B113,cubo!$A$6:$BJ$37,63,0)-VLOOKUP(B113,#REF!,$AK$2,0),0)</f>
        <v>0</v>
      </c>
      <c r="AL113" s="9">
        <f>IFERROR(VLOOKUP(B113,cubo!$A$6:$BE$37,58,0)-VLOOKUP(B113,#REF!,$AL$2,0),0)</f>
        <v>0</v>
      </c>
      <c r="AM113" s="9">
        <f>IFERROR(VLOOKUP(B113,cubo!$A$6:$BK$37,64,0)-VLOOKUP(B113,#REF!,$AM$2,0),0)</f>
        <v>0</v>
      </c>
      <c r="AN113" s="9">
        <f>IFERROR(VLOOKUP(B113,cubo!$A$6:$AN$37,41,0)-VLOOKUP(B113,#REF!,$AN$2,0),0)</f>
        <v>0</v>
      </c>
    </row>
    <row r="114" spans="2:40" x14ac:dyDescent="0.25">
      <c r="B114" s="7">
        <f>[1]salario!A113</f>
        <v>0</v>
      </c>
      <c r="C114" s="8">
        <f>[1]salario!C113</f>
        <v>0</v>
      </c>
      <c r="D114" s="9">
        <f>IFERROR(VLOOKUP(B114,cubo!$A$6:$BE$37,3,0)-VLOOKUP(B114,#REF!,$D$2,0),0)</f>
        <v>0</v>
      </c>
      <c r="E114" s="10">
        <f>IFERROR(VLOOKUP(B114,cubo!$A$6:$BE$37,5,0)-VLOOKUP(B114,#REF!,$E$2,0),0)</f>
        <v>0</v>
      </c>
      <c r="F114" s="10">
        <f>IFERROR(VLOOKUP(B114,cubo!$A$6:$BE$37,8,0)-VLOOKUP(B114,#REF!,$F$2,0),0)</f>
        <v>0</v>
      </c>
      <c r="G114" s="9">
        <f>IFERROR(VLOOKUP(B114,cubo!$A$6:$BE$37,11,0)-VLOOKUP(B114,#REF!,$G$2,0),0)</f>
        <v>0</v>
      </c>
      <c r="H114" s="9">
        <f>IFERROR(VLOOKUP(B114,cubo!$A$6:$BE$37,53,0)-VLOOKUP(B114,#REF!,$H$2,0),0)</f>
        <v>0</v>
      </c>
      <c r="I114" s="10">
        <f>IFERROR(VLOOKUP(B114,cubo!$A$6:$BE$37,14,0)-VLOOKUP(B114,#REF!,$I$2,0),0)</f>
        <v>0</v>
      </c>
      <c r="J114" s="9">
        <f>IFERROR(VLOOKUP(B114,cubo!$A$6:$BE$37,16,0)-VLOOKUP(B114,#REF!,$J$2,0),0)</f>
        <v>0</v>
      </c>
      <c r="K114" s="9">
        <f>IFERROR(VLOOKUP(B114,cubo!$A$6:$BE$37,17,0)-VLOOKUP(B114,#REF!,$K$2,0),0)</f>
        <v>0</v>
      </c>
      <c r="L114" s="9">
        <f>IFERROR(VLOOKUP(B114,cubo!$A$6:$BE$37,19,0)-VLOOKUP(B114,#REF!,$L$2,0),0)</f>
        <v>0</v>
      </c>
      <c r="M114" s="9">
        <f>IFERROR(VLOOKUP(B114,cubo!$A$6:$BE$37,23,0)-VLOOKUP(B114,#REF!,$M$2,0),0)</f>
        <v>0</v>
      </c>
      <c r="N114" s="9">
        <f>IFERROR(VLOOKUP(B114,cubo!$A$6:$BE$37,25,0)-VLOOKUP(B114,#REF!,$N$2,0),0)</f>
        <v>0</v>
      </c>
      <c r="O114" s="9">
        <f>IFERROR(VLOOKUP(B114,cubo!$A$6:$BE$37,33,0)-VLOOKUP(B114,#REF!,$O$2,0),0)</f>
        <v>0</v>
      </c>
      <c r="P114" s="8">
        <f>IFERROR(VLOOKUP(B114,cubo!$A$6:$BE$37,37,0)-VLOOKUP(B114,#REF!,$P$2,0),0)</f>
        <v>0</v>
      </c>
      <c r="Q114" s="8">
        <f>IFERROR(VLOOKUP(B114,cubo!$A$6:$BE$37,56,0)-VLOOKUP(B114,#REF!,$Q$2,0),0)</f>
        <v>0</v>
      </c>
      <c r="R114" s="9">
        <f>IFERROR(VLOOKUP(B114,cubo!$A$6:$BE$37,40,0)-VLOOKUP(B114,#REF!,$R$2,0),0)</f>
        <v>0</v>
      </c>
      <c r="S114" s="9">
        <f>IFERROR(VLOOKUP(B114,cubo!$A$6:$BE$37,43,0)-VLOOKUP(B114,#REF!,$S$2,0),0)</f>
        <v>0</v>
      </c>
      <c r="T114" s="9">
        <f>IFERROR(VLOOKUP(B114,cubo!$A$6:$BE$37,46,0)-VLOOKUP(B114,#REF!,$T$2,0),0)</f>
        <v>0</v>
      </c>
      <c r="U114" s="9">
        <f>IFERROR(VLOOKUP(B114,cubo!$A$6:$BE$37,51,0)-VLOOKUP(B114,#REF!,$U$2,0),0)</f>
        <v>0</v>
      </c>
      <c r="V114" s="9">
        <f>IFERROR(VLOOKUP(B114,cubo!$A$6:$BJ$37,60,0)-VLOOKUP(B114,#REF!,$V$2,0),0)</f>
        <v>0</v>
      </c>
      <c r="W114" s="9">
        <f>IFERROR(VLOOKUP(B114,cubo!$A$6:$BE$37,26,0)-VLOOKUP(B114,#REF!,$W$2,0),0)</f>
        <v>0</v>
      </c>
      <c r="X114" s="9">
        <f>IFERROR(VLOOKUP(B114,cubo!$A$6:$BE$37,20,0)-VLOOKUP(B114,#REF!,$X$2,0),0)</f>
        <v>0</v>
      </c>
      <c r="Y114" s="9">
        <f>IFERROR(VLOOKUP(B114,cubo!$A$6:$BE$37,21,0)-VLOOKUP(B114,#REF!,$Y$2,0),0)</f>
        <v>0</v>
      </c>
      <c r="Z114" s="9">
        <f>IFERROR(VLOOKUP(B114,cubo!$A$6:$BE$37,27,0)-VLOOKUP(B114,#REF!,$Z$2,0),0)</f>
        <v>0</v>
      </c>
      <c r="AA114" s="9">
        <f>IFERROR(VLOOKUP(B114,cubo!$A$6:$BE$37,28,0)-VLOOKUP(B114,#REF!,$AA$2,0),0)</f>
        <v>0</v>
      </c>
      <c r="AB114" s="9">
        <f>IFERROR(VLOOKUP(B114,cubo!$A$6:$BE$37,29,0)-VLOOKUP(B114,#REF!,$AB$2,0),0)</f>
        <v>0</v>
      </c>
      <c r="AC114" s="9">
        <f>IFERROR(VLOOKUP(B114,cubo!$A$6:$BE$37,30,0)-VLOOKUP(B114,#REF!,$AC$2,0),0)</f>
        <v>0</v>
      </c>
      <c r="AD114" s="9">
        <f>IFERROR(VLOOKUP(B114,cubo!$A$6:$BE$37,31,0)-VLOOKUP(B114,#REF!,$AD$2,0),0)</f>
        <v>0</v>
      </c>
      <c r="AE114" s="9">
        <f>IFERROR(VLOOKUP(B114,cubo!$A$6:$BE$37,35,0)-VLOOKUP(B114,#REF!,$AE$2,0),0)</f>
        <v>0</v>
      </c>
      <c r="AF114" s="9" cm="1">
        <f t="array" aca="1" ref="AF114" ca="1">IFERROR(rrPROCV(B114,cubo!$A$6:$BE$37,48,0)-VLOOKUP(B114,#REF!,$AF$2,0),0)</f>
        <v>0</v>
      </c>
      <c r="AG114" s="9">
        <f>IFERROR(VLOOKUP(B114,cubo!$A$6:$BE$37,49,0)-VLOOKUP(B114,#REF!,$AG$2,0),0)</f>
        <v>0</v>
      </c>
      <c r="AH114" s="9">
        <f>IFERROR(VLOOKUP(B114,cubo!$A$6:$BE$37,50,0)-VLOOKUP(B114,#REF!,$AH$2,0),0)</f>
        <v>0</v>
      </c>
      <c r="AI114" s="9">
        <f>IFERROR(VLOOKUP(B114,cubo!$A$6:$BE$37,51,0)-VLOOKUP(B114,#REF!,$AI$2,0),0)</f>
        <v>0</v>
      </c>
      <c r="AJ114" s="9">
        <f>IFERROR(VLOOKUP(B114,cubo!$A$6:$BI$116,62,0)-VLOOKUP(B114,#REF!,$AJ$2,0),0)</f>
        <v>0</v>
      </c>
      <c r="AK114" s="9">
        <f>IFERROR(VLOOKUP(B114,cubo!$A$6:$BJ$37,63,0)-VLOOKUP(B114,#REF!,$AK$2,0),0)</f>
        <v>0</v>
      </c>
      <c r="AL114" s="9">
        <f>IFERROR(VLOOKUP(B114,cubo!$A$6:$BE$37,58,0)-VLOOKUP(B114,#REF!,$AL$2,0),0)</f>
        <v>0</v>
      </c>
      <c r="AM114" s="9">
        <f>IFERROR(VLOOKUP(B114,cubo!$A$6:$BK$37,64,0)-VLOOKUP(B114,#REF!,$AM$2,0),0)</f>
        <v>0</v>
      </c>
      <c r="AN114" s="9">
        <f>IFERROR(VLOOKUP(B114,cubo!$A$6:$AN$37,41,0)-VLOOKUP(B114,#REF!,$AN$2,0),0)</f>
        <v>0</v>
      </c>
    </row>
    <row r="115" spans="2:40" x14ac:dyDescent="0.25">
      <c r="B115" s="7">
        <f>[1]salario!A114</f>
        <v>0</v>
      </c>
      <c r="C115" s="8">
        <f>[1]salario!C114</f>
        <v>0</v>
      </c>
      <c r="D115" s="9">
        <f>IFERROR(VLOOKUP(B115,cubo!$A$6:$BE$37,3,0)-VLOOKUP(B115,#REF!,$D$2,0),0)</f>
        <v>0</v>
      </c>
      <c r="E115" s="10">
        <f>IFERROR(VLOOKUP(B115,cubo!$A$6:$BE$37,5,0)-VLOOKUP(B115,#REF!,$E$2,0),0)</f>
        <v>0</v>
      </c>
      <c r="F115" s="10">
        <f>IFERROR(VLOOKUP(B115,cubo!$A$6:$BE$37,8,0)-VLOOKUP(B115,#REF!,$F$2,0),0)</f>
        <v>0</v>
      </c>
      <c r="G115" s="9">
        <f>IFERROR(VLOOKUP(B115,cubo!$A$6:$BE$37,11,0)-VLOOKUP(B115,#REF!,$G$2,0),0)</f>
        <v>0</v>
      </c>
      <c r="H115" s="9">
        <f>IFERROR(VLOOKUP(B115,cubo!$A$6:$BE$37,53,0)-VLOOKUP(B115,#REF!,$H$2,0),0)</f>
        <v>0</v>
      </c>
      <c r="I115" s="10">
        <f>IFERROR(VLOOKUP(B115,cubo!$A$6:$BE$37,14,0)-VLOOKUP(B115,#REF!,$I$2,0),0)</f>
        <v>0</v>
      </c>
      <c r="J115" s="9">
        <f>IFERROR(VLOOKUP(B115,cubo!$A$6:$BE$37,16,0)-VLOOKUP(B115,#REF!,$J$2,0),0)</f>
        <v>0</v>
      </c>
      <c r="K115" s="9">
        <f>IFERROR(VLOOKUP(B115,cubo!$A$6:$BE$37,17,0)-VLOOKUP(B115,#REF!,$K$2,0),0)</f>
        <v>0</v>
      </c>
      <c r="L115" s="9">
        <f>IFERROR(VLOOKUP(B115,cubo!$A$6:$BE$37,19,0)-VLOOKUP(B115,#REF!,$L$2,0),0)</f>
        <v>0</v>
      </c>
      <c r="M115" s="9">
        <f>IFERROR(VLOOKUP(B115,cubo!$A$6:$BE$37,23,0)-VLOOKUP(B115,#REF!,$M$2,0),0)</f>
        <v>0</v>
      </c>
      <c r="N115" s="9">
        <f>IFERROR(VLOOKUP(B115,cubo!$A$6:$BE$37,25,0)-VLOOKUP(B115,#REF!,$N$2,0),0)</f>
        <v>0</v>
      </c>
      <c r="O115" s="9">
        <f>IFERROR(VLOOKUP(B115,cubo!$A$6:$BE$37,33,0)-VLOOKUP(B115,#REF!,$O$2,0),0)</f>
        <v>0</v>
      </c>
      <c r="P115" s="8">
        <f>IFERROR(VLOOKUP(B115,cubo!$A$6:$BE$37,37,0)-VLOOKUP(B115,#REF!,$P$2,0),0)</f>
        <v>0</v>
      </c>
      <c r="Q115" s="8">
        <f>IFERROR(VLOOKUP(B115,cubo!$A$6:$BE$37,56,0)-VLOOKUP(B115,#REF!,$Q$2,0),0)</f>
        <v>0</v>
      </c>
      <c r="R115" s="9">
        <f>IFERROR(VLOOKUP(B115,cubo!$A$6:$BE$37,40,0)-VLOOKUP(B115,#REF!,$R$2,0),0)</f>
        <v>0</v>
      </c>
      <c r="S115" s="9">
        <f>IFERROR(VLOOKUP(B115,cubo!$A$6:$BE$37,43,0)-VLOOKUP(B115,#REF!,$S$2,0),0)</f>
        <v>0</v>
      </c>
      <c r="T115" s="9">
        <f>IFERROR(VLOOKUP(B115,cubo!$A$6:$BE$37,46,0)-VLOOKUP(B115,#REF!,$T$2,0),0)</f>
        <v>0</v>
      </c>
      <c r="U115" s="9">
        <f>IFERROR(VLOOKUP(B115,cubo!$A$6:$BE$37,51,0)-VLOOKUP(B115,#REF!,$U$2,0),0)</f>
        <v>0</v>
      </c>
      <c r="V115" s="9">
        <f>IFERROR(VLOOKUP(B115,cubo!$A$6:$BJ$37,60,0)-VLOOKUP(B115,#REF!,$V$2,0),0)</f>
        <v>0</v>
      </c>
      <c r="W115" s="9">
        <f>IFERROR(VLOOKUP(B115,cubo!$A$6:$BE$37,26,0)-VLOOKUP(B115,#REF!,$W$2,0),0)</f>
        <v>0</v>
      </c>
      <c r="X115" s="9">
        <f>IFERROR(VLOOKUP(B115,cubo!$A$6:$BE$37,20,0)-VLOOKUP(B115,#REF!,$X$2,0),0)</f>
        <v>0</v>
      </c>
      <c r="Y115" s="9">
        <f>IFERROR(VLOOKUP(B115,cubo!$A$6:$BE$37,21,0)-VLOOKUP(B115,#REF!,$Y$2,0),0)</f>
        <v>0</v>
      </c>
      <c r="Z115" s="9">
        <f>IFERROR(VLOOKUP(B115,cubo!$A$6:$BE$37,27,0)-VLOOKUP(B115,#REF!,$Z$2,0),0)</f>
        <v>0</v>
      </c>
      <c r="AA115" s="9">
        <f>IFERROR(VLOOKUP(B115,cubo!$A$6:$BE$37,28,0)-VLOOKUP(B115,#REF!,$AA$2,0),0)</f>
        <v>0</v>
      </c>
      <c r="AB115" s="9">
        <f>IFERROR(VLOOKUP(B115,cubo!$A$6:$BE$37,29,0)-VLOOKUP(B115,#REF!,$AB$2,0),0)</f>
        <v>0</v>
      </c>
      <c r="AC115" s="9">
        <f>IFERROR(VLOOKUP(B115,cubo!$A$6:$BE$37,30,0)-VLOOKUP(B115,#REF!,$AC$2,0),0)</f>
        <v>0</v>
      </c>
      <c r="AD115" s="9">
        <f>IFERROR(VLOOKUP(B115,cubo!$A$6:$BE$37,31,0)-VLOOKUP(B115,#REF!,$AD$2,0),0)</f>
        <v>0</v>
      </c>
      <c r="AE115" s="9">
        <f>IFERROR(VLOOKUP(B115,cubo!$A$6:$BE$37,35,0)-VLOOKUP(B115,#REF!,$AE$2,0),0)</f>
        <v>0</v>
      </c>
      <c r="AF115" s="9" cm="1">
        <f t="array" aca="1" ref="AF115" ca="1">IFERROR(rrPROCV(B115,cubo!$A$6:$BE$37,48,0)-VLOOKUP(B115,#REF!,$AF$2,0),0)</f>
        <v>0</v>
      </c>
      <c r="AG115" s="9">
        <f>IFERROR(VLOOKUP(B115,cubo!$A$6:$BE$37,49,0)-VLOOKUP(B115,#REF!,$AG$2,0),0)</f>
        <v>0</v>
      </c>
      <c r="AH115" s="9">
        <f>IFERROR(VLOOKUP(B115,cubo!$A$6:$BE$37,50,0)-VLOOKUP(B115,#REF!,$AH$2,0),0)</f>
        <v>0</v>
      </c>
      <c r="AI115" s="9">
        <f>IFERROR(VLOOKUP(B115,cubo!$A$6:$BE$37,51,0)-VLOOKUP(B115,#REF!,$AI$2,0),0)</f>
        <v>0</v>
      </c>
      <c r="AJ115" s="9">
        <f>IFERROR(VLOOKUP(B115,cubo!$A$6:$BI$116,62,0)-VLOOKUP(B115,#REF!,$AJ$2,0),0)</f>
        <v>0</v>
      </c>
      <c r="AK115" s="9">
        <f>IFERROR(VLOOKUP(B115,cubo!$A$6:$BJ$37,63,0)-VLOOKUP(B115,#REF!,$AK$2,0),0)</f>
        <v>0</v>
      </c>
      <c r="AL115" s="9">
        <f>IFERROR(VLOOKUP(B115,cubo!$A$6:$BE$37,58,0)-VLOOKUP(B115,#REF!,$AL$2,0),0)</f>
        <v>0</v>
      </c>
      <c r="AM115" s="9">
        <f>IFERROR(VLOOKUP(B115,cubo!$A$6:$BK$37,64,0)-VLOOKUP(B115,#REF!,$AM$2,0),0)</f>
        <v>0</v>
      </c>
      <c r="AN115" s="9">
        <f>IFERROR(VLOOKUP(B115,cubo!$A$6:$AN$37,41,0)-VLOOKUP(B115,#REF!,$AN$2,0),0)</f>
        <v>0</v>
      </c>
    </row>
    <row r="116" spans="2:40" x14ac:dyDescent="0.25">
      <c r="B116" s="7">
        <f>[1]salario!A115</f>
        <v>0</v>
      </c>
      <c r="C116" s="8">
        <f>[1]salario!C115</f>
        <v>0</v>
      </c>
      <c r="D116" s="9">
        <f>IFERROR(VLOOKUP(B116,cubo!$A$6:$BE$37,3,0)-VLOOKUP(B116,#REF!,$D$2,0),0)</f>
        <v>0</v>
      </c>
      <c r="E116" s="10">
        <f>IFERROR(VLOOKUP(B116,cubo!$A$6:$BE$37,5,0)-VLOOKUP(B116,#REF!,$E$2,0),0)</f>
        <v>0</v>
      </c>
      <c r="F116" s="10">
        <f>IFERROR(VLOOKUP(B116,cubo!$A$6:$BE$37,8,0)-VLOOKUP(B116,#REF!,$F$2,0),0)</f>
        <v>0</v>
      </c>
      <c r="G116" s="9">
        <f>IFERROR(VLOOKUP(B116,cubo!$A$6:$BE$37,11,0)-VLOOKUP(B116,#REF!,$G$2,0),0)</f>
        <v>0</v>
      </c>
      <c r="H116" s="9">
        <f>IFERROR(VLOOKUP(B116,cubo!$A$6:$BE$37,53,0)-VLOOKUP(B116,#REF!,$H$2,0),0)</f>
        <v>0</v>
      </c>
      <c r="I116" s="10">
        <f>IFERROR(VLOOKUP(B116,cubo!$A$6:$BE$37,14,0)-VLOOKUP(B116,#REF!,$I$2,0),0)</f>
        <v>0</v>
      </c>
      <c r="J116" s="9">
        <f>IFERROR(VLOOKUP(B116,cubo!$A$6:$BE$37,16,0)-VLOOKUP(B116,#REF!,$J$2,0),0)</f>
        <v>0</v>
      </c>
      <c r="K116" s="9">
        <f>IFERROR(VLOOKUP(B116,cubo!$A$6:$BE$37,17,0)-VLOOKUP(B116,#REF!,$K$2,0),0)</f>
        <v>0</v>
      </c>
      <c r="L116" s="9">
        <f>IFERROR(VLOOKUP(B116,cubo!$A$6:$BE$37,19,0)-VLOOKUP(B116,#REF!,$L$2,0),0)</f>
        <v>0</v>
      </c>
      <c r="M116" s="9">
        <f>IFERROR(VLOOKUP(B116,cubo!$A$6:$BE$37,23,0)-VLOOKUP(B116,#REF!,$M$2,0),0)</f>
        <v>0</v>
      </c>
      <c r="N116" s="9">
        <f>IFERROR(VLOOKUP(B116,cubo!$A$6:$BE$37,25,0)-VLOOKUP(B116,#REF!,$N$2,0),0)</f>
        <v>0</v>
      </c>
      <c r="O116" s="9">
        <f>IFERROR(VLOOKUP(B116,cubo!$A$6:$BE$37,33,0)-VLOOKUP(B116,#REF!,$O$2,0),0)</f>
        <v>0</v>
      </c>
      <c r="P116" s="8">
        <f>IFERROR(VLOOKUP(B116,cubo!$A$6:$BE$37,37,0)-VLOOKUP(B116,#REF!,$P$2,0),0)</f>
        <v>0</v>
      </c>
      <c r="Q116" s="8">
        <f>IFERROR(VLOOKUP(B116,cubo!$A$6:$BE$37,56,0)-VLOOKUP(B116,#REF!,$Q$2,0),0)</f>
        <v>0</v>
      </c>
      <c r="R116" s="9">
        <f>IFERROR(VLOOKUP(B116,cubo!$A$6:$BE$37,40,0)-VLOOKUP(B116,#REF!,$R$2,0),0)</f>
        <v>0</v>
      </c>
      <c r="S116" s="9">
        <f>IFERROR(VLOOKUP(B116,cubo!$A$6:$BE$37,43,0)-VLOOKUP(B116,#REF!,$S$2,0),0)</f>
        <v>0</v>
      </c>
      <c r="T116" s="9">
        <f>IFERROR(VLOOKUP(B116,cubo!$A$6:$BE$37,46,0)-VLOOKUP(B116,#REF!,$T$2,0),0)</f>
        <v>0</v>
      </c>
      <c r="U116" s="9">
        <f>IFERROR(VLOOKUP(B116,cubo!$A$6:$BE$37,51,0)-VLOOKUP(B116,#REF!,$U$2,0),0)</f>
        <v>0</v>
      </c>
      <c r="V116" s="9">
        <f>IFERROR(VLOOKUP(B116,cubo!$A$6:$BJ$37,60,0)-VLOOKUP(B116,#REF!,$V$2,0),0)</f>
        <v>0</v>
      </c>
      <c r="W116" s="9">
        <f>IFERROR(VLOOKUP(B116,cubo!$A$6:$BE$37,26,0)-VLOOKUP(B116,#REF!,$W$2,0),0)</f>
        <v>0</v>
      </c>
      <c r="X116" s="9">
        <f>IFERROR(VLOOKUP(B116,cubo!$A$6:$BE$37,20,0)-VLOOKUP(B116,#REF!,$X$2,0),0)</f>
        <v>0</v>
      </c>
      <c r="Y116" s="9">
        <f>IFERROR(VLOOKUP(B116,cubo!$A$6:$BE$37,21,0)-VLOOKUP(B116,#REF!,$Y$2,0),0)</f>
        <v>0</v>
      </c>
      <c r="Z116" s="9">
        <f>IFERROR(VLOOKUP(B116,cubo!$A$6:$BE$37,27,0)-VLOOKUP(B116,#REF!,$Z$2,0),0)</f>
        <v>0</v>
      </c>
      <c r="AA116" s="9">
        <f>IFERROR(VLOOKUP(B116,cubo!$A$6:$BE$37,28,0)-VLOOKUP(B116,#REF!,$AA$2,0),0)</f>
        <v>0</v>
      </c>
      <c r="AB116" s="9">
        <f>IFERROR(VLOOKUP(B116,cubo!$A$6:$BE$37,29,0)-VLOOKUP(B116,#REF!,$AB$2,0),0)</f>
        <v>0</v>
      </c>
      <c r="AC116" s="9">
        <f>IFERROR(VLOOKUP(B116,cubo!$A$6:$BE$37,30,0)-VLOOKUP(B116,#REF!,$AC$2,0),0)</f>
        <v>0</v>
      </c>
      <c r="AD116" s="9">
        <f>IFERROR(VLOOKUP(B116,cubo!$A$6:$BE$37,31,0)-VLOOKUP(B116,#REF!,$AD$2,0),0)</f>
        <v>0</v>
      </c>
      <c r="AE116" s="9">
        <f>IFERROR(VLOOKUP(B116,cubo!$A$6:$BE$37,35,0)-VLOOKUP(B116,#REF!,$AE$2,0),0)</f>
        <v>0</v>
      </c>
      <c r="AF116" s="9" cm="1">
        <f t="array" aca="1" ref="AF116" ca="1">IFERROR(rrPROCV(B116,cubo!$A$6:$BE$37,48,0)-VLOOKUP(B116,#REF!,$AF$2,0),0)</f>
        <v>0</v>
      </c>
      <c r="AG116" s="9">
        <f>IFERROR(VLOOKUP(B116,cubo!$A$6:$BE$37,49,0)-VLOOKUP(B116,#REF!,$AG$2,0),0)</f>
        <v>0</v>
      </c>
      <c r="AH116" s="9">
        <f>IFERROR(VLOOKUP(B116,cubo!$A$6:$BE$37,50,0)-VLOOKUP(B116,#REF!,$AH$2,0),0)</f>
        <v>0</v>
      </c>
      <c r="AI116" s="9">
        <f>IFERROR(VLOOKUP(B116,cubo!$A$6:$BE$37,51,0)-VLOOKUP(B116,#REF!,$AI$2,0),0)</f>
        <v>0</v>
      </c>
      <c r="AJ116" s="9">
        <f>IFERROR(VLOOKUP(B116,cubo!$A$6:$BI$116,62,0)-VLOOKUP(B116,#REF!,$AJ$2,0),0)</f>
        <v>0</v>
      </c>
      <c r="AK116" s="9">
        <f>IFERROR(VLOOKUP(B116,cubo!$A$6:$BJ$37,63,0)-VLOOKUP(B116,#REF!,$AK$2,0),0)</f>
        <v>0</v>
      </c>
      <c r="AL116" s="9">
        <f>IFERROR(VLOOKUP(B116,cubo!$A$6:$BE$37,58,0)-VLOOKUP(B116,#REF!,$AL$2,0),0)</f>
        <v>0</v>
      </c>
      <c r="AM116" s="9">
        <f>IFERROR(VLOOKUP(B116,cubo!$A$6:$BK$37,64,0)-VLOOKUP(B116,#REF!,$AM$2,0),0)</f>
        <v>0</v>
      </c>
      <c r="AN116" s="9">
        <f>IFERROR(VLOOKUP(B116,cubo!$A$6:$AN$37,41,0)-VLOOKUP(B116,#REF!,$AN$2,0),0)</f>
        <v>0</v>
      </c>
    </row>
    <row r="117" spans="2:40" x14ac:dyDescent="0.25">
      <c r="B117" s="7">
        <f>[1]salario!A116</f>
        <v>0</v>
      </c>
      <c r="C117" s="8">
        <f>[1]salario!C116</f>
        <v>0</v>
      </c>
      <c r="D117" s="9">
        <f>IFERROR(VLOOKUP(B117,cubo!$A$6:$BE$37,3,0)-VLOOKUP(B117,#REF!,$D$2,0),0)</f>
        <v>0</v>
      </c>
      <c r="E117" s="10">
        <f>IFERROR(VLOOKUP(B117,cubo!$A$6:$BE$37,5,0)-VLOOKUP(B117,#REF!,$E$2,0),0)</f>
        <v>0</v>
      </c>
      <c r="F117" s="10">
        <f>IFERROR(VLOOKUP(B117,cubo!$A$6:$BE$37,8,0)-VLOOKUP(B117,#REF!,$F$2,0),0)</f>
        <v>0</v>
      </c>
      <c r="G117" s="9">
        <f>IFERROR(VLOOKUP(B117,cubo!$A$6:$BE$37,11,0)-VLOOKUP(B117,#REF!,$G$2,0),0)</f>
        <v>0</v>
      </c>
      <c r="H117" s="9">
        <f>IFERROR(VLOOKUP(B117,cubo!$A$6:$BE$37,53,0)-VLOOKUP(B117,#REF!,$H$2,0),0)</f>
        <v>0</v>
      </c>
      <c r="I117" s="10">
        <f>IFERROR(VLOOKUP(B117,cubo!$A$6:$BE$37,14,0)-VLOOKUP(B117,#REF!,$I$2,0),0)</f>
        <v>0</v>
      </c>
      <c r="J117" s="9">
        <f>IFERROR(VLOOKUP(B117,cubo!$A$6:$BE$37,16,0)-VLOOKUP(B117,#REF!,$J$2,0),0)</f>
        <v>0</v>
      </c>
      <c r="K117" s="9">
        <f>IFERROR(VLOOKUP(B117,cubo!$A$6:$BE$37,17,0)-VLOOKUP(B117,#REF!,$K$2,0),0)</f>
        <v>0</v>
      </c>
      <c r="L117" s="9">
        <f>IFERROR(VLOOKUP(B117,cubo!$A$6:$BE$37,19,0)-VLOOKUP(B117,#REF!,$L$2,0),0)</f>
        <v>0</v>
      </c>
      <c r="M117" s="9">
        <f>IFERROR(VLOOKUP(B117,cubo!$A$6:$BE$37,23,0)-VLOOKUP(B117,#REF!,$M$2,0),0)</f>
        <v>0</v>
      </c>
      <c r="N117" s="9">
        <f>IFERROR(VLOOKUP(B117,cubo!$A$6:$BE$37,25,0)-VLOOKUP(B117,#REF!,$N$2,0),0)</f>
        <v>0</v>
      </c>
      <c r="O117" s="9">
        <f>IFERROR(VLOOKUP(B117,cubo!$A$6:$BE$37,33,0)-VLOOKUP(B117,#REF!,$O$2,0),0)</f>
        <v>0</v>
      </c>
      <c r="P117" s="8">
        <f>IFERROR(VLOOKUP(B117,cubo!$A$6:$BE$37,37,0)-VLOOKUP(B117,#REF!,$P$2,0),0)</f>
        <v>0</v>
      </c>
      <c r="Q117" s="8">
        <f>IFERROR(VLOOKUP(B117,cubo!$A$6:$BE$37,56,0)-VLOOKUP(B117,#REF!,$Q$2,0),0)</f>
        <v>0</v>
      </c>
      <c r="R117" s="9">
        <f>IFERROR(VLOOKUP(B117,cubo!$A$6:$BE$37,40,0)-VLOOKUP(B117,#REF!,$R$2,0),0)</f>
        <v>0</v>
      </c>
      <c r="S117" s="9">
        <f>IFERROR(VLOOKUP(B117,cubo!$A$6:$BE$37,43,0)-VLOOKUP(B117,#REF!,$S$2,0),0)</f>
        <v>0</v>
      </c>
      <c r="T117" s="9">
        <f>IFERROR(VLOOKUP(B117,cubo!$A$6:$BE$37,46,0)-VLOOKUP(B117,#REF!,$T$2,0),0)</f>
        <v>0</v>
      </c>
      <c r="U117" s="9">
        <f>IFERROR(VLOOKUP(B117,cubo!$A$6:$BE$37,51,0)-VLOOKUP(B117,#REF!,$U$2,0),0)</f>
        <v>0</v>
      </c>
      <c r="V117" s="9">
        <f>IFERROR(VLOOKUP(B117,cubo!$A$6:$BJ$37,60,0)-VLOOKUP(B117,#REF!,$V$2,0),0)</f>
        <v>0</v>
      </c>
      <c r="W117" s="9">
        <f>IFERROR(VLOOKUP(B117,cubo!$A$6:$BE$37,26,0)-VLOOKUP(B117,#REF!,$W$2,0),0)</f>
        <v>0</v>
      </c>
      <c r="X117" s="9">
        <f>IFERROR(VLOOKUP(B117,cubo!$A$6:$BE$37,20,0)-VLOOKUP(B117,#REF!,$X$2,0),0)</f>
        <v>0</v>
      </c>
      <c r="Y117" s="9">
        <f>IFERROR(VLOOKUP(B117,cubo!$A$6:$BE$37,21,0)-VLOOKUP(B117,#REF!,$Y$2,0),0)</f>
        <v>0</v>
      </c>
      <c r="Z117" s="9">
        <f>IFERROR(VLOOKUP(B117,cubo!$A$6:$BE$37,27,0)-VLOOKUP(B117,#REF!,$Z$2,0),0)</f>
        <v>0</v>
      </c>
      <c r="AA117" s="9">
        <f>IFERROR(VLOOKUP(B117,cubo!$A$6:$BE$37,28,0)-VLOOKUP(B117,#REF!,$AA$2,0),0)</f>
        <v>0</v>
      </c>
      <c r="AB117" s="9">
        <f>IFERROR(VLOOKUP(B117,cubo!$A$6:$BE$37,29,0)-VLOOKUP(B117,#REF!,$AB$2,0),0)</f>
        <v>0</v>
      </c>
      <c r="AC117" s="9">
        <f>IFERROR(VLOOKUP(B117,cubo!$A$6:$BE$37,30,0)-VLOOKUP(B117,#REF!,$AC$2,0),0)</f>
        <v>0</v>
      </c>
      <c r="AD117" s="9">
        <f>IFERROR(VLOOKUP(B117,cubo!$A$6:$BE$37,31,0)-VLOOKUP(B117,#REF!,$AD$2,0),0)</f>
        <v>0</v>
      </c>
      <c r="AE117" s="9">
        <f>IFERROR(VLOOKUP(B117,cubo!$A$6:$BE$37,35,0)-VLOOKUP(B117,#REF!,$AE$2,0),0)</f>
        <v>0</v>
      </c>
      <c r="AF117" s="9" cm="1">
        <f t="array" aca="1" ref="AF117" ca="1">IFERROR(rrPROCV(B117,cubo!$A$6:$BE$37,48,0)-VLOOKUP(B117,#REF!,$AF$2,0),0)</f>
        <v>0</v>
      </c>
      <c r="AG117" s="9">
        <f>IFERROR(VLOOKUP(B117,cubo!$A$6:$BE$37,49,0)-VLOOKUP(B117,#REF!,$AG$2,0),0)</f>
        <v>0</v>
      </c>
      <c r="AH117" s="9">
        <f>IFERROR(VLOOKUP(B117,cubo!$A$6:$BE$37,50,0)-VLOOKUP(B117,#REF!,$AH$2,0),0)</f>
        <v>0</v>
      </c>
      <c r="AI117" s="9">
        <f>IFERROR(VLOOKUP(B117,cubo!$A$6:$BE$37,51,0)-VLOOKUP(B117,#REF!,$AI$2,0),0)</f>
        <v>0</v>
      </c>
      <c r="AJ117" s="9">
        <f>IFERROR(VLOOKUP(B117,cubo!$A$6:$BI$116,62,0)-VLOOKUP(B117,#REF!,$AJ$2,0),0)</f>
        <v>0</v>
      </c>
      <c r="AK117" s="9">
        <f>IFERROR(VLOOKUP(B117,cubo!$A$6:$BJ$37,63,0)-VLOOKUP(B117,#REF!,$AK$2,0),0)</f>
        <v>0</v>
      </c>
      <c r="AL117" s="9">
        <f>IFERROR(VLOOKUP(B117,cubo!$A$6:$BE$37,58,0)-VLOOKUP(B117,#REF!,$AL$2,0),0)</f>
        <v>0</v>
      </c>
      <c r="AM117" s="9">
        <f>IFERROR(VLOOKUP(B117,cubo!$A$6:$BK$37,64,0)-VLOOKUP(B117,#REF!,$AM$2,0),0)</f>
        <v>0</v>
      </c>
      <c r="AN117" s="9">
        <f>IFERROR(VLOOKUP(B117,cubo!$A$6:$AN$37,41,0)-VLOOKUP(B117,#REF!,$AN$2,0),0)</f>
        <v>0</v>
      </c>
    </row>
    <row r="118" spans="2:40" x14ac:dyDescent="0.25">
      <c r="B118" s="7">
        <f>[1]salario!A117</f>
        <v>0</v>
      </c>
      <c r="C118" s="8">
        <f>[1]salario!C117</f>
        <v>0</v>
      </c>
      <c r="D118" s="9">
        <f>IFERROR(VLOOKUP(B118,cubo!$A$6:$BE$37,3,0)-VLOOKUP(B118,#REF!,$D$2,0),0)</f>
        <v>0</v>
      </c>
      <c r="E118" s="10">
        <f>IFERROR(VLOOKUP(B118,cubo!$A$6:$BE$37,5,0)-VLOOKUP(B118,#REF!,$E$2,0),0)</f>
        <v>0</v>
      </c>
      <c r="F118" s="10">
        <f>IFERROR(VLOOKUP(B118,cubo!$A$6:$BE$37,8,0)-VLOOKUP(B118,#REF!,$F$2,0),0)</f>
        <v>0</v>
      </c>
      <c r="G118" s="9">
        <f>IFERROR(VLOOKUP(B118,cubo!$A$6:$BE$37,11,0)-VLOOKUP(B118,#REF!,$G$2,0),0)</f>
        <v>0</v>
      </c>
      <c r="H118" s="9">
        <f>IFERROR(VLOOKUP(B118,cubo!$A$6:$BE$37,53,0)-VLOOKUP(B118,#REF!,$H$2,0),0)</f>
        <v>0</v>
      </c>
      <c r="I118" s="10">
        <f>IFERROR(VLOOKUP(B118,cubo!$A$6:$BE$37,14,0)-VLOOKUP(B118,#REF!,$I$2,0),0)</f>
        <v>0</v>
      </c>
      <c r="J118" s="9">
        <f>IFERROR(VLOOKUP(B118,cubo!$A$6:$BE$37,16,0)-VLOOKUP(B118,#REF!,$J$2,0),0)</f>
        <v>0</v>
      </c>
      <c r="K118" s="9">
        <f>IFERROR(VLOOKUP(B118,cubo!$A$6:$BE$37,17,0)-VLOOKUP(B118,#REF!,$K$2,0),0)</f>
        <v>0</v>
      </c>
      <c r="L118" s="9">
        <f>IFERROR(VLOOKUP(B118,cubo!$A$6:$BE$37,19,0)-VLOOKUP(B118,#REF!,$L$2,0),0)</f>
        <v>0</v>
      </c>
      <c r="M118" s="9">
        <f>IFERROR(VLOOKUP(B118,cubo!$A$6:$BE$37,23,0)-VLOOKUP(B118,#REF!,$M$2,0),0)</f>
        <v>0</v>
      </c>
      <c r="N118" s="9">
        <f>IFERROR(VLOOKUP(B118,cubo!$A$6:$BE$37,25,0)-VLOOKUP(B118,#REF!,$N$2,0),0)</f>
        <v>0</v>
      </c>
      <c r="O118" s="9">
        <f>IFERROR(VLOOKUP(B118,cubo!$A$6:$BE$37,33,0)-VLOOKUP(B118,#REF!,$O$2,0),0)</f>
        <v>0</v>
      </c>
      <c r="P118" s="8">
        <f>IFERROR(VLOOKUP(B118,cubo!$A$6:$BE$37,37,0)-VLOOKUP(B118,#REF!,$P$2,0),0)</f>
        <v>0</v>
      </c>
      <c r="Q118" s="8">
        <f>IFERROR(VLOOKUP(B118,cubo!$A$6:$BE$37,56,0)-VLOOKUP(B118,#REF!,$Q$2,0),0)</f>
        <v>0</v>
      </c>
      <c r="R118" s="9">
        <f>IFERROR(VLOOKUP(B118,cubo!$A$6:$BE$37,40,0)-VLOOKUP(B118,#REF!,$R$2,0),0)</f>
        <v>0</v>
      </c>
      <c r="S118" s="9">
        <f>IFERROR(VLOOKUP(B118,cubo!$A$6:$BE$37,43,0)-VLOOKUP(B118,#REF!,$S$2,0),0)</f>
        <v>0</v>
      </c>
      <c r="T118" s="9">
        <f>IFERROR(VLOOKUP(B118,cubo!$A$6:$BE$37,46,0)-VLOOKUP(B118,#REF!,$T$2,0),0)</f>
        <v>0</v>
      </c>
      <c r="U118" s="9">
        <f>IFERROR(VLOOKUP(B118,cubo!$A$6:$BE$37,51,0)-VLOOKUP(B118,#REF!,$U$2,0),0)</f>
        <v>0</v>
      </c>
      <c r="V118" s="9">
        <f>IFERROR(VLOOKUP(B118,cubo!$A$6:$BJ$37,60,0)-VLOOKUP(B118,#REF!,$V$2,0),0)</f>
        <v>0</v>
      </c>
      <c r="W118" s="9">
        <f>IFERROR(VLOOKUP(B118,cubo!$A$6:$BE$37,26,0)-VLOOKUP(B118,#REF!,$W$2,0),0)</f>
        <v>0</v>
      </c>
      <c r="X118" s="9">
        <f>IFERROR(VLOOKUP(B118,cubo!$A$6:$BE$37,20,0)-VLOOKUP(B118,#REF!,$X$2,0),0)</f>
        <v>0</v>
      </c>
      <c r="Y118" s="9">
        <f>IFERROR(VLOOKUP(B118,cubo!$A$6:$BE$37,21,0)-VLOOKUP(B118,#REF!,$Y$2,0),0)</f>
        <v>0</v>
      </c>
      <c r="Z118" s="9">
        <f>IFERROR(VLOOKUP(B118,cubo!$A$6:$BE$37,27,0)-VLOOKUP(B118,#REF!,$Z$2,0),0)</f>
        <v>0</v>
      </c>
      <c r="AA118" s="9">
        <f>IFERROR(VLOOKUP(B118,cubo!$A$6:$BE$37,28,0)-VLOOKUP(B118,#REF!,$AA$2,0),0)</f>
        <v>0</v>
      </c>
      <c r="AB118" s="9">
        <f>IFERROR(VLOOKUP(B118,cubo!$A$6:$BE$37,29,0)-VLOOKUP(B118,#REF!,$AB$2,0),0)</f>
        <v>0</v>
      </c>
      <c r="AC118" s="9">
        <f>IFERROR(VLOOKUP(B118,cubo!$A$6:$BE$37,30,0)-VLOOKUP(B118,#REF!,$AC$2,0),0)</f>
        <v>0</v>
      </c>
      <c r="AD118" s="9">
        <f>IFERROR(VLOOKUP(B118,cubo!$A$6:$BE$37,31,0)-VLOOKUP(B118,#REF!,$AD$2,0),0)</f>
        <v>0</v>
      </c>
      <c r="AE118" s="9">
        <f>IFERROR(VLOOKUP(B118,cubo!$A$6:$BE$37,35,0)-VLOOKUP(B118,#REF!,$AE$2,0),0)</f>
        <v>0</v>
      </c>
      <c r="AF118" s="9" cm="1">
        <f t="array" aca="1" ref="AF118" ca="1">IFERROR(rrPROCV(B118,cubo!$A$6:$BE$37,48,0)-VLOOKUP(B118,#REF!,$AF$2,0),0)</f>
        <v>0</v>
      </c>
      <c r="AG118" s="9">
        <f>IFERROR(VLOOKUP(B118,cubo!$A$6:$BE$37,49,0)-VLOOKUP(B118,#REF!,$AG$2,0),0)</f>
        <v>0</v>
      </c>
      <c r="AH118" s="9">
        <f>IFERROR(VLOOKUP(B118,cubo!$A$6:$BE$37,50,0)-VLOOKUP(B118,#REF!,$AH$2,0),0)</f>
        <v>0</v>
      </c>
      <c r="AI118" s="9">
        <f>IFERROR(VLOOKUP(B118,cubo!$A$6:$BE$37,51,0)-VLOOKUP(B118,#REF!,$AI$2,0),0)</f>
        <v>0</v>
      </c>
      <c r="AJ118" s="9">
        <f>IFERROR(VLOOKUP(B118,cubo!$A$6:$BI$116,62,0)-VLOOKUP(B118,#REF!,$AJ$2,0),0)</f>
        <v>0</v>
      </c>
      <c r="AK118" s="9">
        <f>IFERROR(VLOOKUP(B118,cubo!$A$6:$BJ$37,63,0)-VLOOKUP(B118,#REF!,$AK$2,0),0)</f>
        <v>0</v>
      </c>
      <c r="AL118" s="9">
        <f>IFERROR(VLOOKUP(B118,cubo!$A$6:$BE$37,58,0)-VLOOKUP(B118,#REF!,$AL$2,0),0)</f>
        <v>0</v>
      </c>
      <c r="AM118" s="9">
        <f>IFERROR(VLOOKUP(B118,cubo!$A$6:$BK$37,64,0)-VLOOKUP(B118,#REF!,$AM$2,0),0)</f>
        <v>0</v>
      </c>
      <c r="AN118" s="9">
        <f>IFERROR(VLOOKUP(B118,cubo!$A$6:$AN$37,41,0)-VLOOKUP(B118,#REF!,$AN$2,0),0)</f>
        <v>0</v>
      </c>
    </row>
    <row r="119" spans="2:40" x14ac:dyDescent="0.25">
      <c r="B119" s="7">
        <f>[1]salario!A118</f>
        <v>0</v>
      </c>
      <c r="C119" s="8">
        <f>[1]salario!C118</f>
        <v>0</v>
      </c>
      <c r="D119" s="9">
        <f>IFERROR(VLOOKUP(B119,cubo!$A$6:$BE$37,3,0)-VLOOKUP(B119,#REF!,$D$2,0),0)</f>
        <v>0</v>
      </c>
      <c r="E119" s="10">
        <f>IFERROR(VLOOKUP(B119,cubo!$A$6:$BE$37,5,0)-VLOOKUP(B119,#REF!,$E$2,0),0)</f>
        <v>0</v>
      </c>
      <c r="F119" s="10">
        <f>IFERROR(VLOOKUP(B119,cubo!$A$6:$BE$37,8,0)-VLOOKUP(B119,#REF!,$F$2,0),0)</f>
        <v>0</v>
      </c>
      <c r="G119" s="9">
        <f>IFERROR(VLOOKUP(B119,cubo!$A$6:$BE$37,11,0)-VLOOKUP(B119,#REF!,$G$2,0),0)</f>
        <v>0</v>
      </c>
      <c r="H119" s="9">
        <f>IFERROR(VLOOKUP(B119,cubo!$A$6:$BE$37,53,0)-VLOOKUP(B119,#REF!,$H$2,0),0)</f>
        <v>0</v>
      </c>
      <c r="I119" s="10">
        <f>IFERROR(VLOOKUP(B119,cubo!$A$6:$BE$37,14,0)-VLOOKUP(B119,#REF!,$I$2,0),0)</f>
        <v>0</v>
      </c>
      <c r="J119" s="9">
        <f>IFERROR(VLOOKUP(B119,cubo!$A$6:$BE$37,16,0)-VLOOKUP(B119,#REF!,$J$2,0),0)</f>
        <v>0</v>
      </c>
      <c r="K119" s="9">
        <f>IFERROR(VLOOKUP(B119,cubo!$A$6:$BE$37,17,0)-VLOOKUP(B119,#REF!,$K$2,0),0)</f>
        <v>0</v>
      </c>
      <c r="L119" s="9">
        <f>IFERROR(VLOOKUP(B119,cubo!$A$6:$BE$37,19,0)-VLOOKUP(B119,#REF!,$L$2,0),0)</f>
        <v>0</v>
      </c>
      <c r="M119" s="9">
        <f>IFERROR(VLOOKUP(B119,cubo!$A$6:$BE$37,23,0)-VLOOKUP(B119,#REF!,$M$2,0),0)</f>
        <v>0</v>
      </c>
      <c r="N119" s="9">
        <f>IFERROR(VLOOKUP(B119,cubo!$A$6:$BE$37,25,0)-VLOOKUP(B119,#REF!,$N$2,0),0)</f>
        <v>0</v>
      </c>
      <c r="O119" s="9">
        <f>IFERROR(VLOOKUP(B119,cubo!$A$6:$BE$37,33,0)-VLOOKUP(B119,#REF!,$O$2,0),0)</f>
        <v>0</v>
      </c>
      <c r="P119" s="8">
        <f>IFERROR(VLOOKUP(B119,cubo!$A$6:$BE$37,37,0)-VLOOKUP(B119,#REF!,$P$2,0),0)</f>
        <v>0</v>
      </c>
      <c r="Q119" s="8">
        <f>IFERROR(VLOOKUP(B119,cubo!$A$6:$BE$37,56,0)-VLOOKUP(B119,#REF!,$Q$2,0),0)</f>
        <v>0</v>
      </c>
      <c r="R119" s="9">
        <f>IFERROR(VLOOKUP(B119,cubo!$A$6:$BE$37,40,0)-VLOOKUP(B119,#REF!,$R$2,0),0)</f>
        <v>0</v>
      </c>
      <c r="S119" s="9">
        <f>IFERROR(VLOOKUP(B119,cubo!$A$6:$BE$37,43,0)-VLOOKUP(B119,#REF!,$S$2,0),0)</f>
        <v>0</v>
      </c>
      <c r="T119" s="9">
        <f>IFERROR(VLOOKUP(B119,cubo!$A$6:$BE$37,46,0)-VLOOKUP(B119,#REF!,$T$2,0),0)</f>
        <v>0</v>
      </c>
      <c r="U119" s="9">
        <f>IFERROR(VLOOKUP(B119,cubo!$A$6:$BE$37,51,0)-VLOOKUP(B119,#REF!,$U$2,0),0)</f>
        <v>0</v>
      </c>
      <c r="V119" s="9">
        <f>IFERROR(VLOOKUP(B119,cubo!$A$6:$BJ$37,60,0)-VLOOKUP(B119,#REF!,$V$2,0),0)</f>
        <v>0</v>
      </c>
      <c r="W119" s="9">
        <f>IFERROR(VLOOKUP(B119,cubo!$A$6:$BE$37,26,0)-VLOOKUP(B119,#REF!,$W$2,0),0)</f>
        <v>0</v>
      </c>
      <c r="X119" s="9">
        <f>IFERROR(VLOOKUP(B119,cubo!$A$6:$BE$37,20,0)-VLOOKUP(B119,#REF!,$X$2,0),0)</f>
        <v>0</v>
      </c>
      <c r="Y119" s="9">
        <f>IFERROR(VLOOKUP(B119,cubo!$A$6:$BE$37,21,0)-VLOOKUP(B119,#REF!,$Y$2,0),0)</f>
        <v>0</v>
      </c>
      <c r="Z119" s="9">
        <f>IFERROR(VLOOKUP(B119,cubo!$A$6:$BE$37,27,0)-VLOOKUP(B119,#REF!,$Z$2,0),0)</f>
        <v>0</v>
      </c>
      <c r="AA119" s="9">
        <f>IFERROR(VLOOKUP(B119,cubo!$A$6:$BE$37,28,0)-VLOOKUP(B119,#REF!,$AA$2,0),0)</f>
        <v>0</v>
      </c>
      <c r="AB119" s="9">
        <f>IFERROR(VLOOKUP(B119,cubo!$A$6:$BE$37,29,0)-VLOOKUP(B119,#REF!,$AB$2,0),0)</f>
        <v>0</v>
      </c>
      <c r="AC119" s="9">
        <f>IFERROR(VLOOKUP(B119,cubo!$A$6:$BE$37,30,0)-VLOOKUP(B119,#REF!,$AC$2,0),0)</f>
        <v>0</v>
      </c>
      <c r="AD119" s="9">
        <f>IFERROR(VLOOKUP(B119,cubo!$A$6:$BE$37,31,0)-VLOOKUP(B119,#REF!,$AD$2,0),0)</f>
        <v>0</v>
      </c>
      <c r="AE119" s="9">
        <f>IFERROR(VLOOKUP(B119,cubo!$A$6:$BE$37,35,0)-VLOOKUP(B119,#REF!,$AE$2,0),0)</f>
        <v>0</v>
      </c>
      <c r="AF119" s="9" cm="1">
        <f t="array" aca="1" ref="AF119" ca="1">IFERROR(rrPROCV(B119,cubo!$A$6:$BE$37,48,0)-VLOOKUP(B119,#REF!,$AF$2,0),0)</f>
        <v>0</v>
      </c>
      <c r="AG119" s="9">
        <f>IFERROR(VLOOKUP(B119,cubo!$A$6:$BE$37,49,0)-VLOOKUP(B119,#REF!,$AG$2,0),0)</f>
        <v>0</v>
      </c>
      <c r="AH119" s="9">
        <f>IFERROR(VLOOKUP(B119,cubo!$A$6:$BE$37,50,0)-VLOOKUP(B119,#REF!,$AH$2,0),0)</f>
        <v>0</v>
      </c>
      <c r="AI119" s="9">
        <f>IFERROR(VLOOKUP(B119,cubo!$A$6:$BE$37,51,0)-VLOOKUP(B119,#REF!,$AI$2,0),0)</f>
        <v>0</v>
      </c>
      <c r="AJ119" s="9">
        <f>IFERROR(VLOOKUP(B119,cubo!$A$6:$BI$116,62,0)-VLOOKUP(B119,#REF!,$AJ$2,0),0)</f>
        <v>0</v>
      </c>
      <c r="AK119" s="9">
        <f>IFERROR(VLOOKUP(B119,cubo!$A$6:$BJ$37,63,0)-VLOOKUP(B119,#REF!,$AK$2,0),0)</f>
        <v>0</v>
      </c>
      <c r="AL119" s="9">
        <f>IFERROR(VLOOKUP(B119,cubo!$A$6:$BE$37,58,0)-VLOOKUP(B119,#REF!,$AL$2,0),0)</f>
        <v>0</v>
      </c>
      <c r="AM119" s="9">
        <f>IFERROR(VLOOKUP(B119,cubo!$A$6:$BK$37,64,0)-VLOOKUP(B119,#REF!,$AM$2,0),0)</f>
        <v>0</v>
      </c>
      <c r="AN119" s="9">
        <f>IFERROR(VLOOKUP(B119,cubo!$A$6:$AN$37,41,0)-VLOOKUP(B119,#REF!,$AN$2,0),0)</f>
        <v>0</v>
      </c>
    </row>
    <row r="120" spans="2:40" x14ac:dyDescent="0.25">
      <c r="B120" s="7">
        <f>[1]salario!A119</f>
        <v>0</v>
      </c>
      <c r="C120" s="8">
        <f>[1]salario!C119</f>
        <v>0</v>
      </c>
      <c r="D120" s="9">
        <f>IFERROR(VLOOKUP(B120,cubo!$A$6:$BE$37,3,0)-VLOOKUP(B120,#REF!,$D$2,0),0)</f>
        <v>0</v>
      </c>
      <c r="E120" s="10">
        <f>IFERROR(VLOOKUP(B120,cubo!$A$6:$BE$37,5,0)-VLOOKUP(B120,#REF!,$E$2,0),0)</f>
        <v>0</v>
      </c>
      <c r="F120" s="10">
        <f>IFERROR(VLOOKUP(B120,cubo!$A$6:$BE$37,8,0)-VLOOKUP(B120,#REF!,$F$2,0),0)</f>
        <v>0</v>
      </c>
      <c r="G120" s="9">
        <f>IFERROR(VLOOKUP(B120,cubo!$A$6:$BE$37,11,0)-VLOOKUP(B120,#REF!,$G$2,0),0)</f>
        <v>0</v>
      </c>
      <c r="H120" s="9">
        <f>IFERROR(VLOOKUP(B120,cubo!$A$6:$BE$37,53,0)-VLOOKUP(B120,#REF!,$H$2,0),0)</f>
        <v>0</v>
      </c>
      <c r="I120" s="10">
        <f>IFERROR(VLOOKUP(B120,cubo!$A$6:$BE$37,14,0)-VLOOKUP(B120,#REF!,$I$2,0),0)</f>
        <v>0</v>
      </c>
      <c r="J120" s="9">
        <f>IFERROR(VLOOKUP(B120,cubo!$A$6:$BE$37,16,0)-VLOOKUP(B120,#REF!,$J$2,0),0)</f>
        <v>0</v>
      </c>
      <c r="K120" s="9">
        <f>IFERROR(VLOOKUP(B120,cubo!$A$6:$BE$37,17,0)-VLOOKUP(B120,#REF!,$K$2,0),0)</f>
        <v>0</v>
      </c>
      <c r="L120" s="9">
        <f>IFERROR(VLOOKUP(B120,cubo!$A$6:$BE$37,19,0)-VLOOKUP(B120,#REF!,$L$2,0),0)</f>
        <v>0</v>
      </c>
      <c r="M120" s="9">
        <f>IFERROR(VLOOKUP(B120,cubo!$A$6:$BE$37,23,0)-VLOOKUP(B120,#REF!,$M$2,0),0)</f>
        <v>0</v>
      </c>
      <c r="N120" s="9">
        <f>IFERROR(VLOOKUP(B120,cubo!$A$6:$BE$37,25,0)-VLOOKUP(B120,#REF!,$N$2,0),0)</f>
        <v>0</v>
      </c>
      <c r="O120" s="9">
        <f>IFERROR(VLOOKUP(B120,cubo!$A$6:$BE$37,33,0)-VLOOKUP(B120,#REF!,$O$2,0),0)</f>
        <v>0</v>
      </c>
      <c r="P120" s="8">
        <f>IFERROR(VLOOKUP(B120,cubo!$A$6:$BE$37,37,0)-VLOOKUP(B120,#REF!,$P$2,0),0)</f>
        <v>0</v>
      </c>
      <c r="Q120" s="8">
        <f>IFERROR(VLOOKUP(B120,cubo!$A$6:$BE$37,56,0)-VLOOKUP(B120,#REF!,$Q$2,0),0)</f>
        <v>0</v>
      </c>
      <c r="R120" s="9">
        <f>IFERROR(VLOOKUP(B120,cubo!$A$6:$BE$37,40,0)-VLOOKUP(B120,#REF!,$R$2,0),0)</f>
        <v>0</v>
      </c>
      <c r="S120" s="9">
        <f>IFERROR(VLOOKUP(B120,cubo!$A$6:$BE$37,43,0)-VLOOKUP(B120,#REF!,$S$2,0),0)</f>
        <v>0</v>
      </c>
      <c r="T120" s="9">
        <f>IFERROR(VLOOKUP(B120,cubo!$A$6:$BE$37,46,0)-VLOOKUP(B120,#REF!,$T$2,0),0)</f>
        <v>0</v>
      </c>
      <c r="U120" s="9">
        <f>IFERROR(VLOOKUP(B120,cubo!$A$6:$BE$37,51,0)-VLOOKUP(B120,#REF!,$U$2,0),0)</f>
        <v>0</v>
      </c>
      <c r="V120" s="9">
        <f>IFERROR(VLOOKUP(B120,cubo!$A$6:$BJ$37,60,0)-VLOOKUP(B120,#REF!,$V$2,0),0)</f>
        <v>0</v>
      </c>
      <c r="W120" s="9">
        <f>IFERROR(VLOOKUP(B120,cubo!$A$6:$BE$37,26,0)-VLOOKUP(B120,#REF!,$W$2,0),0)</f>
        <v>0</v>
      </c>
      <c r="X120" s="9">
        <f>IFERROR(VLOOKUP(B120,cubo!$A$6:$BE$37,20,0)-VLOOKUP(B120,#REF!,$X$2,0),0)</f>
        <v>0</v>
      </c>
      <c r="Y120" s="9">
        <f>IFERROR(VLOOKUP(B120,cubo!$A$6:$BE$37,21,0)-VLOOKUP(B120,#REF!,$Y$2,0),0)</f>
        <v>0</v>
      </c>
      <c r="Z120" s="9">
        <f>IFERROR(VLOOKUP(B120,cubo!$A$6:$BE$37,27,0)-VLOOKUP(B120,#REF!,$Z$2,0),0)</f>
        <v>0</v>
      </c>
      <c r="AA120" s="9">
        <f>IFERROR(VLOOKUP(B120,cubo!$A$6:$BE$37,28,0)-VLOOKUP(B120,#REF!,$AA$2,0),0)</f>
        <v>0</v>
      </c>
      <c r="AB120" s="9">
        <f>IFERROR(VLOOKUP(B120,cubo!$A$6:$BE$37,29,0)-VLOOKUP(B120,#REF!,$AB$2,0),0)</f>
        <v>0</v>
      </c>
      <c r="AC120" s="9">
        <f>IFERROR(VLOOKUP(B120,cubo!$A$6:$BE$37,30,0)-VLOOKUP(B120,#REF!,$AC$2,0),0)</f>
        <v>0</v>
      </c>
      <c r="AD120" s="9">
        <f>IFERROR(VLOOKUP(B120,cubo!$A$6:$BE$37,31,0)-VLOOKUP(B120,#REF!,$AD$2,0),0)</f>
        <v>0</v>
      </c>
      <c r="AE120" s="9">
        <f>IFERROR(VLOOKUP(B120,cubo!$A$6:$BE$37,35,0)-VLOOKUP(B120,#REF!,$AE$2,0),0)</f>
        <v>0</v>
      </c>
      <c r="AF120" s="9" cm="1">
        <f t="array" aca="1" ref="AF120" ca="1">IFERROR(rrPROCV(B120,cubo!$A$6:$BE$37,48,0)-VLOOKUP(B120,#REF!,$AF$2,0),0)</f>
        <v>0</v>
      </c>
      <c r="AG120" s="9">
        <f>IFERROR(VLOOKUP(B120,cubo!$A$6:$BE$37,49,0)-VLOOKUP(B120,#REF!,$AG$2,0),0)</f>
        <v>0</v>
      </c>
      <c r="AH120" s="9">
        <f>IFERROR(VLOOKUP(B120,cubo!$A$6:$BE$37,50,0)-VLOOKUP(B120,#REF!,$AH$2,0),0)</f>
        <v>0</v>
      </c>
      <c r="AI120" s="9">
        <f>IFERROR(VLOOKUP(B120,cubo!$A$6:$BE$37,51,0)-VLOOKUP(B120,#REF!,$AI$2,0),0)</f>
        <v>0</v>
      </c>
      <c r="AJ120" s="9">
        <f>IFERROR(VLOOKUP(B120,cubo!$A$6:$BI$116,62,0)-VLOOKUP(B120,#REF!,$AJ$2,0),0)</f>
        <v>0</v>
      </c>
      <c r="AK120" s="9">
        <f>IFERROR(VLOOKUP(B120,cubo!$A$6:$BJ$37,63,0)-VLOOKUP(B120,#REF!,$AK$2,0),0)</f>
        <v>0</v>
      </c>
      <c r="AL120" s="9">
        <f>IFERROR(VLOOKUP(B120,cubo!$A$6:$BE$37,58,0)-VLOOKUP(B120,#REF!,$AL$2,0),0)</f>
        <v>0</v>
      </c>
      <c r="AM120" s="9">
        <f>IFERROR(VLOOKUP(B120,cubo!$A$6:$BK$37,64,0)-VLOOKUP(B120,#REF!,$AM$2,0),0)</f>
        <v>0</v>
      </c>
      <c r="AN120" s="9">
        <f>IFERROR(VLOOKUP(B120,cubo!$A$6:$AN$37,41,0)-VLOOKUP(B120,#REF!,$AN$2,0),0)</f>
        <v>0</v>
      </c>
    </row>
    <row r="121" spans="2:40" x14ac:dyDescent="0.25">
      <c r="B121" s="7">
        <f>[1]salario!A120</f>
        <v>0</v>
      </c>
      <c r="C121" s="8">
        <f>[1]salario!C120</f>
        <v>0</v>
      </c>
      <c r="D121" s="9">
        <f>IFERROR(VLOOKUP(B121,cubo!$A$6:$BE$37,3,0)-VLOOKUP(B121,#REF!,$D$2,0),0)</f>
        <v>0</v>
      </c>
      <c r="E121" s="10">
        <f>IFERROR(VLOOKUP(B121,cubo!$A$6:$BE$37,5,0)-VLOOKUP(B121,#REF!,$E$2,0),0)</f>
        <v>0</v>
      </c>
      <c r="F121" s="10">
        <f>IFERROR(VLOOKUP(B121,cubo!$A$6:$BE$37,8,0)-VLOOKUP(B121,#REF!,$F$2,0),0)</f>
        <v>0</v>
      </c>
      <c r="G121" s="9">
        <f>IFERROR(VLOOKUP(B121,cubo!$A$6:$BE$37,11,0)-VLOOKUP(B121,#REF!,$G$2,0),0)</f>
        <v>0</v>
      </c>
      <c r="H121" s="9">
        <f>IFERROR(VLOOKUP(B121,cubo!$A$6:$BE$37,53,0)-VLOOKUP(B121,#REF!,$H$2,0),0)</f>
        <v>0</v>
      </c>
      <c r="I121" s="10">
        <f>IFERROR(VLOOKUP(B121,cubo!$A$6:$BE$37,14,0)-VLOOKUP(B121,#REF!,$I$2,0),0)</f>
        <v>0</v>
      </c>
      <c r="J121" s="9">
        <f>IFERROR(VLOOKUP(B121,cubo!$A$6:$BE$37,16,0)-VLOOKUP(B121,#REF!,$J$2,0),0)</f>
        <v>0</v>
      </c>
      <c r="K121" s="9">
        <f>IFERROR(VLOOKUP(B121,cubo!$A$6:$BE$37,17,0)-VLOOKUP(B121,#REF!,$K$2,0),0)</f>
        <v>0</v>
      </c>
      <c r="L121" s="9">
        <f>IFERROR(VLOOKUP(B121,cubo!$A$6:$BE$37,19,0)-VLOOKUP(B121,#REF!,$L$2,0),0)</f>
        <v>0</v>
      </c>
      <c r="M121" s="9">
        <f>IFERROR(VLOOKUP(B121,cubo!$A$6:$BE$37,23,0)-VLOOKUP(B121,#REF!,$M$2,0),0)</f>
        <v>0</v>
      </c>
      <c r="N121" s="9">
        <f>IFERROR(VLOOKUP(B121,cubo!$A$6:$BE$37,25,0)-VLOOKUP(B121,#REF!,$N$2,0),0)</f>
        <v>0</v>
      </c>
      <c r="O121" s="9">
        <f>IFERROR(VLOOKUP(B121,cubo!$A$6:$BE$37,33,0)-VLOOKUP(B121,#REF!,$O$2,0),0)</f>
        <v>0</v>
      </c>
      <c r="P121" s="8">
        <f>IFERROR(VLOOKUP(B121,cubo!$A$6:$BE$37,37,0)-VLOOKUP(B121,#REF!,$P$2,0),0)</f>
        <v>0</v>
      </c>
      <c r="Q121" s="8">
        <f>IFERROR(VLOOKUP(B121,cubo!$A$6:$BE$37,56,0)-VLOOKUP(B121,#REF!,$Q$2,0),0)</f>
        <v>0</v>
      </c>
      <c r="R121" s="9">
        <f>IFERROR(VLOOKUP(B121,cubo!$A$6:$BE$37,40,0)-VLOOKUP(B121,#REF!,$R$2,0),0)</f>
        <v>0</v>
      </c>
      <c r="S121" s="9">
        <f>IFERROR(VLOOKUP(B121,cubo!$A$6:$BE$37,43,0)-VLOOKUP(B121,#REF!,$S$2,0),0)</f>
        <v>0</v>
      </c>
      <c r="T121" s="9">
        <f>IFERROR(VLOOKUP(B121,cubo!$A$6:$BE$37,46,0)-VLOOKUP(B121,#REF!,$T$2,0),0)</f>
        <v>0</v>
      </c>
      <c r="U121" s="9">
        <f>IFERROR(VLOOKUP(B121,cubo!$A$6:$BE$37,51,0)-VLOOKUP(B121,#REF!,$U$2,0),0)</f>
        <v>0</v>
      </c>
      <c r="V121" s="9">
        <f>IFERROR(VLOOKUP(B121,cubo!$A$6:$BJ$37,60,0)-VLOOKUP(B121,#REF!,$V$2,0),0)</f>
        <v>0</v>
      </c>
      <c r="W121" s="9">
        <f>IFERROR(VLOOKUP(B121,cubo!$A$6:$BE$37,26,0)-VLOOKUP(B121,#REF!,$W$2,0),0)</f>
        <v>0</v>
      </c>
      <c r="X121" s="9">
        <f>IFERROR(VLOOKUP(B121,cubo!$A$6:$BE$37,20,0)-VLOOKUP(B121,#REF!,$X$2,0),0)</f>
        <v>0</v>
      </c>
      <c r="Y121" s="9">
        <f>IFERROR(VLOOKUP(B121,cubo!$A$6:$BE$37,21,0)-VLOOKUP(B121,#REF!,$Y$2,0),0)</f>
        <v>0</v>
      </c>
      <c r="Z121" s="9">
        <f>IFERROR(VLOOKUP(B121,cubo!$A$6:$BE$37,27,0)-VLOOKUP(B121,#REF!,$Z$2,0),0)</f>
        <v>0</v>
      </c>
      <c r="AA121" s="9">
        <f>IFERROR(VLOOKUP(B121,cubo!$A$6:$BE$37,28,0)-VLOOKUP(B121,#REF!,$AA$2,0),0)</f>
        <v>0</v>
      </c>
      <c r="AB121" s="9">
        <f>IFERROR(VLOOKUP(B121,cubo!$A$6:$BE$37,29,0)-VLOOKUP(B121,#REF!,$AB$2,0),0)</f>
        <v>0</v>
      </c>
      <c r="AC121" s="9">
        <f>IFERROR(VLOOKUP(B121,cubo!$A$6:$BE$37,30,0)-VLOOKUP(B121,#REF!,$AC$2,0),0)</f>
        <v>0</v>
      </c>
      <c r="AD121" s="9">
        <f>IFERROR(VLOOKUP(B121,cubo!$A$6:$BE$37,31,0)-VLOOKUP(B121,#REF!,$AD$2,0),0)</f>
        <v>0</v>
      </c>
      <c r="AE121" s="9">
        <f>IFERROR(VLOOKUP(B121,cubo!$A$6:$BE$37,35,0)-VLOOKUP(B121,#REF!,$AE$2,0),0)</f>
        <v>0</v>
      </c>
      <c r="AF121" s="9" cm="1">
        <f t="array" aca="1" ref="AF121" ca="1">IFERROR(rrPROCV(B121,cubo!$A$6:$BE$37,48,0)-VLOOKUP(B121,#REF!,$AF$2,0),0)</f>
        <v>0</v>
      </c>
      <c r="AG121" s="9">
        <f>IFERROR(VLOOKUP(B121,cubo!$A$6:$BE$37,49,0)-VLOOKUP(B121,#REF!,$AG$2,0),0)</f>
        <v>0</v>
      </c>
      <c r="AH121" s="9">
        <f>IFERROR(VLOOKUP(B121,cubo!$A$6:$BE$37,50,0)-VLOOKUP(B121,#REF!,$AH$2,0),0)</f>
        <v>0</v>
      </c>
      <c r="AI121" s="9">
        <f>IFERROR(VLOOKUP(B121,cubo!$A$6:$BE$37,51,0)-VLOOKUP(B121,#REF!,$AI$2,0),0)</f>
        <v>0</v>
      </c>
      <c r="AJ121" s="9">
        <f>IFERROR(VLOOKUP(B121,cubo!$A$6:$BI$116,62,0)-VLOOKUP(B121,#REF!,$AJ$2,0),0)</f>
        <v>0</v>
      </c>
      <c r="AK121" s="9">
        <f>IFERROR(VLOOKUP(B121,cubo!$A$6:$BJ$37,63,0)-VLOOKUP(B121,#REF!,$AK$2,0),0)</f>
        <v>0</v>
      </c>
      <c r="AL121" s="9">
        <f>IFERROR(VLOOKUP(B121,cubo!$A$6:$BE$37,58,0)-VLOOKUP(B121,#REF!,$AL$2,0),0)</f>
        <v>0</v>
      </c>
      <c r="AM121" s="9">
        <f>IFERROR(VLOOKUP(B121,cubo!$A$6:$BK$37,64,0)-VLOOKUP(B121,#REF!,$AM$2,0),0)</f>
        <v>0</v>
      </c>
      <c r="AN121" s="9">
        <f>IFERROR(VLOOKUP(B121,cubo!$A$6:$AN$37,41,0)-VLOOKUP(B121,#REF!,$AN$2,0),0)</f>
        <v>0</v>
      </c>
    </row>
    <row r="122" spans="2:40" x14ac:dyDescent="0.25">
      <c r="B122" s="7">
        <f>[1]salario!A121</f>
        <v>0</v>
      </c>
      <c r="C122" s="8">
        <f>[1]salario!C121</f>
        <v>0</v>
      </c>
      <c r="D122" s="9">
        <f>IFERROR(VLOOKUP(B122,cubo!$A$6:$BE$37,3,0)-VLOOKUP(B122,#REF!,$D$2,0),0)</f>
        <v>0</v>
      </c>
      <c r="E122" s="10">
        <f>IFERROR(VLOOKUP(B122,cubo!$A$6:$BE$37,5,0)-VLOOKUP(B122,#REF!,$E$2,0),0)</f>
        <v>0</v>
      </c>
      <c r="F122" s="10">
        <f>IFERROR(VLOOKUP(B122,cubo!$A$6:$BE$37,8,0)-VLOOKUP(B122,#REF!,$F$2,0),0)</f>
        <v>0</v>
      </c>
      <c r="G122" s="9">
        <f>IFERROR(VLOOKUP(B122,cubo!$A$6:$BE$37,11,0)-VLOOKUP(B122,#REF!,$G$2,0),0)</f>
        <v>0</v>
      </c>
      <c r="H122" s="9">
        <f>IFERROR(VLOOKUP(B122,cubo!$A$6:$BE$37,53,0)-VLOOKUP(B122,#REF!,$H$2,0),0)</f>
        <v>0</v>
      </c>
      <c r="I122" s="10">
        <f>IFERROR(VLOOKUP(B122,cubo!$A$6:$BE$37,14,0)-VLOOKUP(B122,#REF!,$I$2,0),0)</f>
        <v>0</v>
      </c>
      <c r="J122" s="9">
        <f>IFERROR(VLOOKUP(B122,cubo!$A$6:$BE$37,16,0)-VLOOKUP(B122,#REF!,$J$2,0),0)</f>
        <v>0</v>
      </c>
      <c r="K122" s="9">
        <f>IFERROR(VLOOKUP(B122,cubo!$A$6:$BE$37,17,0)-VLOOKUP(B122,#REF!,$K$2,0),0)</f>
        <v>0</v>
      </c>
      <c r="L122" s="9">
        <f>IFERROR(VLOOKUP(B122,cubo!$A$6:$BE$37,19,0)-VLOOKUP(B122,#REF!,$L$2,0),0)</f>
        <v>0</v>
      </c>
      <c r="M122" s="9">
        <f>IFERROR(VLOOKUP(B122,cubo!$A$6:$BE$37,23,0)-VLOOKUP(B122,#REF!,$M$2,0),0)</f>
        <v>0</v>
      </c>
      <c r="N122" s="9">
        <f>IFERROR(VLOOKUP(B122,cubo!$A$6:$BE$37,25,0)-VLOOKUP(B122,#REF!,$N$2,0),0)</f>
        <v>0</v>
      </c>
      <c r="O122" s="9">
        <f>IFERROR(VLOOKUP(B122,cubo!$A$6:$BE$37,33,0)-VLOOKUP(B122,#REF!,$O$2,0),0)</f>
        <v>0</v>
      </c>
      <c r="P122" s="8">
        <f>IFERROR(VLOOKUP(B122,cubo!$A$6:$BE$37,37,0)-VLOOKUP(B122,#REF!,$P$2,0),0)</f>
        <v>0</v>
      </c>
      <c r="Q122" s="8">
        <f>IFERROR(VLOOKUP(B122,cubo!$A$6:$BE$37,56,0)-VLOOKUP(B122,#REF!,$Q$2,0),0)</f>
        <v>0</v>
      </c>
      <c r="R122" s="9">
        <f>IFERROR(VLOOKUP(B122,cubo!$A$6:$BE$37,40,0)-VLOOKUP(B122,#REF!,$R$2,0),0)</f>
        <v>0</v>
      </c>
      <c r="S122" s="9">
        <f>IFERROR(VLOOKUP(B122,cubo!$A$6:$BE$37,43,0)-VLOOKUP(B122,#REF!,$S$2,0),0)</f>
        <v>0</v>
      </c>
      <c r="T122" s="9">
        <f>IFERROR(VLOOKUP(B122,cubo!$A$6:$BE$37,46,0)-VLOOKUP(B122,#REF!,$T$2,0),0)</f>
        <v>0</v>
      </c>
      <c r="U122" s="9">
        <f>IFERROR(VLOOKUP(B122,cubo!$A$6:$BE$37,51,0)-VLOOKUP(B122,#REF!,$U$2,0),0)</f>
        <v>0</v>
      </c>
      <c r="V122" s="9">
        <f>IFERROR(VLOOKUP(B122,cubo!$A$6:$BJ$37,60,0)-VLOOKUP(B122,#REF!,$V$2,0),0)</f>
        <v>0</v>
      </c>
      <c r="W122" s="9">
        <f>IFERROR(VLOOKUP(B122,cubo!$A$6:$BE$37,26,0)-VLOOKUP(B122,#REF!,$W$2,0),0)</f>
        <v>0</v>
      </c>
      <c r="X122" s="9">
        <f>IFERROR(VLOOKUP(B122,cubo!$A$6:$BE$37,20,0)-VLOOKUP(B122,#REF!,$X$2,0),0)</f>
        <v>0</v>
      </c>
      <c r="Y122" s="9">
        <f>IFERROR(VLOOKUP(B122,cubo!$A$6:$BE$37,21,0)-VLOOKUP(B122,#REF!,$Y$2,0),0)</f>
        <v>0</v>
      </c>
      <c r="Z122" s="9">
        <f>IFERROR(VLOOKUP(B122,cubo!$A$6:$BE$37,27,0)-VLOOKUP(B122,#REF!,$Z$2,0),0)</f>
        <v>0</v>
      </c>
      <c r="AA122" s="9">
        <f>IFERROR(VLOOKUP(B122,cubo!$A$6:$BE$37,28,0)-VLOOKUP(B122,#REF!,$AA$2,0),0)</f>
        <v>0</v>
      </c>
      <c r="AB122" s="9">
        <f>IFERROR(VLOOKUP(B122,cubo!$A$6:$BE$37,29,0)-VLOOKUP(B122,#REF!,$AB$2,0),0)</f>
        <v>0</v>
      </c>
      <c r="AC122" s="9">
        <f>IFERROR(VLOOKUP(B122,cubo!$A$6:$BE$37,30,0)-VLOOKUP(B122,#REF!,$AC$2,0),0)</f>
        <v>0</v>
      </c>
      <c r="AD122" s="9">
        <f>IFERROR(VLOOKUP(B122,cubo!$A$6:$BE$37,31,0)-VLOOKUP(B122,#REF!,$AD$2,0),0)</f>
        <v>0</v>
      </c>
      <c r="AE122" s="9">
        <f>IFERROR(VLOOKUP(B122,cubo!$A$6:$BE$37,35,0)-VLOOKUP(B122,#REF!,$AE$2,0),0)</f>
        <v>0</v>
      </c>
      <c r="AF122" s="9" cm="1">
        <f t="array" aca="1" ref="AF122" ca="1">IFERROR(rrPROCV(B122,cubo!$A$6:$BE$37,48,0)-VLOOKUP(B122,#REF!,$AF$2,0),0)</f>
        <v>0</v>
      </c>
      <c r="AG122" s="9">
        <f>IFERROR(VLOOKUP(B122,cubo!$A$6:$BE$37,49,0)-VLOOKUP(B122,#REF!,$AG$2,0),0)</f>
        <v>0</v>
      </c>
      <c r="AH122" s="9">
        <f>IFERROR(VLOOKUP(B122,cubo!$A$6:$BE$37,50,0)-VLOOKUP(B122,#REF!,$AH$2,0),0)</f>
        <v>0</v>
      </c>
      <c r="AI122" s="9">
        <f>IFERROR(VLOOKUP(B122,cubo!$A$6:$BE$37,51,0)-VLOOKUP(B122,#REF!,$AI$2,0),0)</f>
        <v>0</v>
      </c>
      <c r="AJ122" s="9">
        <f>IFERROR(VLOOKUP(B122,cubo!$A$6:$BI$116,62,0)-VLOOKUP(B122,#REF!,$AJ$2,0),0)</f>
        <v>0</v>
      </c>
      <c r="AK122" s="9">
        <f>IFERROR(VLOOKUP(B122,cubo!$A$6:$BJ$37,63,0)-VLOOKUP(B122,#REF!,$AK$2,0),0)</f>
        <v>0</v>
      </c>
      <c r="AL122" s="9">
        <f>IFERROR(VLOOKUP(B122,cubo!$A$6:$BE$37,58,0)-VLOOKUP(B122,#REF!,$AL$2,0),0)</f>
        <v>0</v>
      </c>
      <c r="AM122" s="9">
        <f>IFERROR(VLOOKUP(B122,cubo!$A$6:$BK$37,64,0)-VLOOKUP(B122,#REF!,$AM$2,0),0)</f>
        <v>0</v>
      </c>
      <c r="AN122" s="9">
        <f>IFERROR(VLOOKUP(B122,cubo!$A$6:$AN$37,41,0)-VLOOKUP(B122,#REF!,$AN$2,0),0)</f>
        <v>0</v>
      </c>
    </row>
    <row r="123" spans="2:40" x14ac:dyDescent="0.25">
      <c r="B123" s="7">
        <f>[1]salario!A122</f>
        <v>0</v>
      </c>
      <c r="C123" s="8">
        <f>[1]salario!C122</f>
        <v>0</v>
      </c>
      <c r="D123" s="9">
        <f>IFERROR(VLOOKUP(B123,cubo!$A$6:$BE$37,3,0)-VLOOKUP(B123,#REF!,$D$2,0),0)</f>
        <v>0</v>
      </c>
      <c r="E123" s="10">
        <f>IFERROR(VLOOKUP(B123,cubo!$A$6:$BE$37,5,0)-VLOOKUP(B123,#REF!,$E$2,0),0)</f>
        <v>0</v>
      </c>
      <c r="F123" s="10">
        <f>IFERROR(VLOOKUP(B123,cubo!$A$6:$BE$37,8,0)-VLOOKUP(B123,#REF!,$F$2,0),0)</f>
        <v>0</v>
      </c>
      <c r="G123" s="9">
        <f>IFERROR(VLOOKUP(B123,cubo!$A$6:$BE$37,11,0)-VLOOKUP(B123,#REF!,$G$2,0),0)</f>
        <v>0</v>
      </c>
      <c r="H123" s="9">
        <f>IFERROR(VLOOKUP(B123,cubo!$A$6:$BE$37,53,0)-VLOOKUP(B123,#REF!,$H$2,0),0)</f>
        <v>0</v>
      </c>
      <c r="I123" s="10">
        <f>IFERROR(VLOOKUP(B123,cubo!$A$6:$BE$37,14,0)-VLOOKUP(B123,#REF!,$I$2,0),0)</f>
        <v>0</v>
      </c>
      <c r="J123" s="9">
        <f>IFERROR(VLOOKUP(B123,cubo!$A$6:$BE$37,16,0)-VLOOKUP(B123,#REF!,$J$2,0),0)</f>
        <v>0</v>
      </c>
      <c r="K123" s="9">
        <f>IFERROR(VLOOKUP(B123,cubo!$A$6:$BE$37,17,0)-VLOOKUP(B123,#REF!,$K$2,0),0)</f>
        <v>0</v>
      </c>
      <c r="L123" s="9">
        <f>IFERROR(VLOOKUP(B123,cubo!$A$6:$BE$37,19,0)-VLOOKUP(B123,#REF!,$L$2,0),0)</f>
        <v>0</v>
      </c>
      <c r="M123" s="9">
        <f>IFERROR(VLOOKUP(B123,cubo!$A$6:$BE$37,23,0)-VLOOKUP(B123,#REF!,$M$2,0),0)</f>
        <v>0</v>
      </c>
      <c r="N123" s="9">
        <f>IFERROR(VLOOKUP(B123,cubo!$A$6:$BE$37,25,0)-VLOOKUP(B123,#REF!,$N$2,0),0)</f>
        <v>0</v>
      </c>
      <c r="O123" s="9">
        <f>IFERROR(VLOOKUP(B123,cubo!$A$6:$BE$37,33,0)-VLOOKUP(B123,#REF!,$O$2,0),0)</f>
        <v>0</v>
      </c>
      <c r="P123" s="8">
        <f>IFERROR(VLOOKUP(B123,cubo!$A$6:$BE$37,37,0)-VLOOKUP(B123,#REF!,$P$2,0),0)</f>
        <v>0</v>
      </c>
      <c r="Q123" s="8">
        <f>IFERROR(VLOOKUP(B123,cubo!$A$6:$BE$37,56,0)-VLOOKUP(B123,#REF!,$Q$2,0),0)</f>
        <v>0</v>
      </c>
      <c r="R123" s="9">
        <f>IFERROR(VLOOKUP(B123,cubo!$A$6:$BE$37,40,0)-VLOOKUP(B123,#REF!,$R$2,0),0)</f>
        <v>0</v>
      </c>
      <c r="S123" s="9">
        <f>IFERROR(VLOOKUP(B123,cubo!$A$6:$BE$37,43,0)-VLOOKUP(B123,#REF!,$S$2,0),0)</f>
        <v>0</v>
      </c>
      <c r="T123" s="9">
        <f>IFERROR(VLOOKUP(B123,cubo!$A$6:$BE$37,46,0)-VLOOKUP(B123,#REF!,$T$2,0),0)</f>
        <v>0</v>
      </c>
      <c r="U123" s="9">
        <f>IFERROR(VLOOKUP(B123,cubo!$A$6:$BE$37,51,0)-VLOOKUP(B123,#REF!,$U$2,0),0)</f>
        <v>0</v>
      </c>
      <c r="V123" s="9">
        <f>IFERROR(VLOOKUP(B123,cubo!$A$6:$BJ$37,60,0)-VLOOKUP(B123,#REF!,$V$2,0),0)</f>
        <v>0</v>
      </c>
      <c r="W123" s="9">
        <f>IFERROR(VLOOKUP(B123,cubo!$A$6:$BE$37,26,0)-VLOOKUP(B123,#REF!,$W$2,0),0)</f>
        <v>0</v>
      </c>
      <c r="X123" s="9">
        <f>IFERROR(VLOOKUP(B123,cubo!$A$6:$BE$37,20,0)-VLOOKUP(B123,#REF!,$X$2,0),0)</f>
        <v>0</v>
      </c>
      <c r="Y123" s="9">
        <f>IFERROR(VLOOKUP(B123,cubo!$A$6:$BE$37,21,0)-VLOOKUP(B123,#REF!,$Y$2,0),0)</f>
        <v>0</v>
      </c>
      <c r="Z123" s="9">
        <f>IFERROR(VLOOKUP(B123,cubo!$A$6:$BE$37,27,0)-VLOOKUP(B123,#REF!,$Z$2,0),0)</f>
        <v>0</v>
      </c>
      <c r="AA123" s="9">
        <f>IFERROR(VLOOKUP(B123,cubo!$A$6:$BE$37,28,0)-VLOOKUP(B123,#REF!,$AA$2,0),0)</f>
        <v>0</v>
      </c>
      <c r="AB123" s="9">
        <f>IFERROR(VLOOKUP(B123,cubo!$A$6:$BE$37,29,0)-VLOOKUP(B123,#REF!,$AB$2,0),0)</f>
        <v>0</v>
      </c>
      <c r="AC123" s="9">
        <f>IFERROR(VLOOKUP(B123,cubo!$A$6:$BE$37,30,0)-VLOOKUP(B123,#REF!,$AC$2,0),0)</f>
        <v>0</v>
      </c>
      <c r="AD123" s="9">
        <f>IFERROR(VLOOKUP(B123,cubo!$A$6:$BE$37,31,0)-VLOOKUP(B123,#REF!,$AD$2,0),0)</f>
        <v>0</v>
      </c>
      <c r="AE123" s="9">
        <f>IFERROR(VLOOKUP(B123,cubo!$A$6:$BE$37,35,0)-VLOOKUP(B123,#REF!,$AE$2,0),0)</f>
        <v>0</v>
      </c>
      <c r="AF123" s="9" cm="1">
        <f t="array" aca="1" ref="AF123" ca="1">IFERROR(rrPROCV(B123,cubo!$A$6:$BE$37,48,0)-VLOOKUP(B123,#REF!,$AF$2,0),0)</f>
        <v>0</v>
      </c>
      <c r="AG123" s="9">
        <f>IFERROR(VLOOKUP(B123,cubo!$A$6:$BE$37,49,0)-VLOOKUP(B123,#REF!,$AG$2,0),0)</f>
        <v>0</v>
      </c>
      <c r="AH123" s="9">
        <f>IFERROR(VLOOKUP(B123,cubo!$A$6:$BE$37,50,0)-VLOOKUP(B123,#REF!,$AH$2,0),0)</f>
        <v>0</v>
      </c>
      <c r="AI123" s="9">
        <f>IFERROR(VLOOKUP(B123,cubo!$A$6:$BE$37,51,0)-VLOOKUP(B123,#REF!,$AI$2,0),0)</f>
        <v>0</v>
      </c>
      <c r="AJ123" s="9">
        <f>IFERROR(VLOOKUP(B123,cubo!$A$6:$BI$116,62,0)-VLOOKUP(B123,#REF!,$AJ$2,0),0)</f>
        <v>0</v>
      </c>
      <c r="AK123" s="9">
        <f>IFERROR(VLOOKUP(B123,cubo!$A$6:$BJ$37,63,0)-VLOOKUP(B123,#REF!,$AK$2,0),0)</f>
        <v>0</v>
      </c>
      <c r="AL123" s="9">
        <f>IFERROR(VLOOKUP(B123,cubo!$A$6:$BE$37,58,0)-VLOOKUP(B123,#REF!,$AL$2,0),0)</f>
        <v>0</v>
      </c>
      <c r="AM123" s="9">
        <f>IFERROR(VLOOKUP(B123,cubo!$A$6:$BK$37,64,0)-VLOOKUP(B123,#REF!,$AM$2,0),0)</f>
        <v>0</v>
      </c>
      <c r="AN123" s="9">
        <f>IFERROR(VLOOKUP(B123,cubo!$A$6:$AN$37,41,0)-VLOOKUP(B123,#REF!,$AN$2,0),0)</f>
        <v>0</v>
      </c>
    </row>
    <row r="124" spans="2:40" x14ac:dyDescent="0.25">
      <c r="B124" s="7">
        <f>[1]salario!A123</f>
        <v>0</v>
      </c>
      <c r="C124" s="8">
        <f>[1]salario!C123</f>
        <v>0</v>
      </c>
      <c r="D124" s="9">
        <f>IFERROR(VLOOKUP(B124,cubo!$A$6:$BE$37,3,0)-VLOOKUP(B124,#REF!,$D$2,0),0)</f>
        <v>0</v>
      </c>
      <c r="E124" s="10">
        <f>IFERROR(VLOOKUP(B124,cubo!$A$6:$BE$37,5,0)-VLOOKUP(B124,#REF!,$E$2,0),0)</f>
        <v>0</v>
      </c>
      <c r="F124" s="10">
        <f>IFERROR(VLOOKUP(B124,cubo!$A$6:$BE$37,8,0)-VLOOKUP(B124,#REF!,$F$2,0),0)</f>
        <v>0</v>
      </c>
      <c r="G124" s="9">
        <f>IFERROR(VLOOKUP(B124,cubo!$A$6:$BE$37,11,0)-VLOOKUP(B124,#REF!,$G$2,0),0)</f>
        <v>0</v>
      </c>
      <c r="H124" s="9">
        <f>IFERROR(VLOOKUP(B124,cubo!$A$6:$BE$37,53,0)-VLOOKUP(B124,#REF!,$H$2,0),0)</f>
        <v>0</v>
      </c>
      <c r="I124" s="10">
        <f>IFERROR(VLOOKUP(B124,cubo!$A$6:$BE$37,14,0)-VLOOKUP(B124,#REF!,$I$2,0),0)</f>
        <v>0</v>
      </c>
      <c r="J124" s="9">
        <f>IFERROR(VLOOKUP(B124,cubo!$A$6:$BE$37,16,0)-VLOOKUP(B124,#REF!,$J$2,0),0)</f>
        <v>0</v>
      </c>
      <c r="K124" s="9">
        <f>IFERROR(VLOOKUP(B124,cubo!$A$6:$BE$37,17,0)-VLOOKUP(B124,#REF!,$K$2,0),0)</f>
        <v>0</v>
      </c>
      <c r="L124" s="9">
        <f>IFERROR(VLOOKUP(B124,cubo!$A$6:$BE$37,19,0)-VLOOKUP(B124,#REF!,$L$2,0),0)</f>
        <v>0</v>
      </c>
      <c r="M124" s="9">
        <f>IFERROR(VLOOKUP(B124,cubo!$A$6:$BE$37,23,0)-VLOOKUP(B124,#REF!,$M$2,0),0)</f>
        <v>0</v>
      </c>
      <c r="N124" s="9">
        <f>IFERROR(VLOOKUP(B124,cubo!$A$6:$BE$37,25,0)-VLOOKUP(B124,#REF!,$N$2,0),0)</f>
        <v>0</v>
      </c>
      <c r="O124" s="9">
        <f>IFERROR(VLOOKUP(B124,cubo!$A$6:$BE$37,33,0)-VLOOKUP(B124,#REF!,$O$2,0),0)</f>
        <v>0</v>
      </c>
      <c r="P124" s="8">
        <f>IFERROR(VLOOKUP(B124,cubo!$A$6:$BE$37,37,0)-VLOOKUP(B124,#REF!,$P$2,0),0)</f>
        <v>0</v>
      </c>
      <c r="Q124" s="8">
        <f>IFERROR(VLOOKUP(B124,cubo!$A$6:$BE$37,56,0)-VLOOKUP(B124,#REF!,$Q$2,0),0)</f>
        <v>0</v>
      </c>
      <c r="R124" s="9">
        <f>IFERROR(VLOOKUP(B124,cubo!$A$6:$BE$37,40,0)-VLOOKUP(B124,#REF!,$R$2,0),0)</f>
        <v>0</v>
      </c>
      <c r="S124" s="9">
        <f>IFERROR(VLOOKUP(B124,cubo!$A$6:$BE$37,43,0)-VLOOKUP(B124,#REF!,$S$2,0),0)</f>
        <v>0</v>
      </c>
      <c r="T124" s="9">
        <f>IFERROR(VLOOKUP(B124,cubo!$A$6:$BE$37,46,0)-VLOOKUP(B124,#REF!,$T$2,0),0)</f>
        <v>0</v>
      </c>
      <c r="U124" s="9">
        <f>IFERROR(VLOOKUP(B124,cubo!$A$6:$BE$37,51,0)-VLOOKUP(B124,#REF!,$U$2,0),0)</f>
        <v>0</v>
      </c>
      <c r="V124" s="9">
        <f>IFERROR(VLOOKUP(B124,cubo!$A$6:$BJ$37,60,0)-VLOOKUP(B124,#REF!,$V$2,0),0)</f>
        <v>0</v>
      </c>
      <c r="W124" s="9">
        <f>IFERROR(VLOOKUP(B124,cubo!$A$6:$BE$37,26,0)-VLOOKUP(B124,#REF!,$W$2,0),0)</f>
        <v>0</v>
      </c>
      <c r="X124" s="9">
        <f>IFERROR(VLOOKUP(B124,cubo!$A$6:$BE$37,20,0)-VLOOKUP(B124,#REF!,$X$2,0),0)</f>
        <v>0</v>
      </c>
      <c r="Y124" s="9">
        <f>IFERROR(VLOOKUP(B124,cubo!$A$6:$BE$37,21,0)-VLOOKUP(B124,#REF!,$Y$2,0),0)</f>
        <v>0</v>
      </c>
      <c r="Z124" s="9">
        <f>IFERROR(VLOOKUP(B124,cubo!$A$6:$BE$37,27,0)-VLOOKUP(B124,#REF!,$Z$2,0),0)</f>
        <v>0</v>
      </c>
      <c r="AA124" s="9">
        <f>IFERROR(VLOOKUP(B124,cubo!$A$6:$BE$37,28,0)-VLOOKUP(B124,#REF!,$AA$2,0),0)</f>
        <v>0</v>
      </c>
      <c r="AB124" s="9">
        <f>IFERROR(VLOOKUP(B124,cubo!$A$6:$BE$37,29,0)-VLOOKUP(B124,#REF!,$AB$2,0),0)</f>
        <v>0</v>
      </c>
      <c r="AC124" s="9">
        <f>IFERROR(VLOOKUP(B124,cubo!$A$6:$BE$37,30,0)-VLOOKUP(B124,#REF!,$AC$2,0),0)</f>
        <v>0</v>
      </c>
      <c r="AD124" s="9">
        <f>IFERROR(VLOOKUP(B124,cubo!$A$6:$BE$37,31,0)-VLOOKUP(B124,#REF!,$AD$2,0),0)</f>
        <v>0</v>
      </c>
      <c r="AE124" s="9">
        <f>IFERROR(VLOOKUP(B124,cubo!$A$6:$BE$37,35,0)-VLOOKUP(B124,#REF!,$AE$2,0),0)</f>
        <v>0</v>
      </c>
      <c r="AF124" s="9" cm="1">
        <f t="array" aca="1" ref="AF124" ca="1">IFERROR(rrPROCV(B124,cubo!$A$6:$BE$37,48,0)-VLOOKUP(B124,#REF!,$AF$2,0),0)</f>
        <v>0</v>
      </c>
      <c r="AG124" s="9">
        <f>IFERROR(VLOOKUP(B124,cubo!$A$6:$BE$37,49,0)-VLOOKUP(B124,#REF!,$AG$2,0),0)</f>
        <v>0</v>
      </c>
      <c r="AH124" s="9">
        <f>IFERROR(VLOOKUP(B124,cubo!$A$6:$BE$37,50,0)-VLOOKUP(B124,#REF!,$AH$2,0),0)</f>
        <v>0</v>
      </c>
      <c r="AI124" s="9">
        <f>IFERROR(VLOOKUP(B124,cubo!$A$6:$BE$37,51,0)-VLOOKUP(B124,#REF!,$AI$2,0),0)</f>
        <v>0</v>
      </c>
      <c r="AJ124" s="9">
        <f>IFERROR(VLOOKUP(B124,cubo!$A$6:$BI$116,62,0)-VLOOKUP(B124,#REF!,$AJ$2,0),0)</f>
        <v>0</v>
      </c>
      <c r="AK124" s="9">
        <f>IFERROR(VLOOKUP(B124,cubo!$A$6:$BJ$37,63,0)-VLOOKUP(B124,#REF!,$AK$2,0),0)</f>
        <v>0</v>
      </c>
      <c r="AL124" s="9">
        <f>IFERROR(VLOOKUP(B124,cubo!$A$6:$BE$37,58,0)-VLOOKUP(B124,#REF!,$AL$2,0),0)</f>
        <v>0</v>
      </c>
      <c r="AM124" s="9">
        <f>IFERROR(VLOOKUP(B124,cubo!$A$6:$BK$37,64,0)-VLOOKUP(B124,#REF!,$AM$2,0),0)</f>
        <v>0</v>
      </c>
      <c r="AN124" s="9">
        <f>IFERROR(VLOOKUP(B124,cubo!$A$6:$AN$37,41,0)-VLOOKUP(B124,#REF!,$AN$2,0),0)</f>
        <v>0</v>
      </c>
    </row>
    <row r="125" spans="2:40" x14ac:dyDescent="0.25">
      <c r="B125" s="7">
        <f>[1]salario!A124</f>
        <v>0</v>
      </c>
      <c r="C125" s="8">
        <f>[1]salario!C124</f>
        <v>0</v>
      </c>
      <c r="D125" s="9">
        <f>IFERROR(VLOOKUP(B125,cubo!$A$6:$BE$37,3,0)-VLOOKUP(B125,#REF!,$D$2,0),0)</f>
        <v>0</v>
      </c>
      <c r="E125" s="10">
        <f>IFERROR(VLOOKUP(B125,cubo!$A$6:$BE$37,5,0)-VLOOKUP(B125,#REF!,$E$2,0),0)</f>
        <v>0</v>
      </c>
      <c r="F125" s="10">
        <f>IFERROR(VLOOKUP(B125,cubo!$A$6:$BE$37,8,0)-VLOOKUP(B125,#REF!,$F$2,0),0)</f>
        <v>0</v>
      </c>
      <c r="G125" s="9">
        <f>IFERROR(VLOOKUP(B125,cubo!$A$6:$BE$37,11,0)-VLOOKUP(B125,#REF!,$G$2,0),0)</f>
        <v>0</v>
      </c>
      <c r="H125" s="9">
        <f>IFERROR(VLOOKUP(B125,cubo!$A$6:$BE$37,53,0)-VLOOKUP(B125,#REF!,$H$2,0),0)</f>
        <v>0</v>
      </c>
      <c r="I125" s="10">
        <f>IFERROR(VLOOKUP(B125,cubo!$A$6:$BE$37,14,0)-VLOOKUP(B125,#REF!,$I$2,0),0)</f>
        <v>0</v>
      </c>
      <c r="J125" s="9">
        <f>IFERROR(VLOOKUP(B125,cubo!$A$6:$BE$37,16,0)-VLOOKUP(B125,#REF!,$J$2,0),0)</f>
        <v>0</v>
      </c>
      <c r="K125" s="9">
        <f>IFERROR(VLOOKUP(B125,cubo!$A$6:$BE$37,17,0)-VLOOKUP(B125,#REF!,$K$2,0),0)</f>
        <v>0</v>
      </c>
      <c r="L125" s="9">
        <f>IFERROR(VLOOKUP(B125,cubo!$A$6:$BE$37,19,0)-VLOOKUP(B125,#REF!,$L$2,0),0)</f>
        <v>0</v>
      </c>
      <c r="M125" s="9">
        <f>IFERROR(VLOOKUP(B125,cubo!$A$6:$BE$37,23,0)-VLOOKUP(B125,#REF!,$M$2,0),0)</f>
        <v>0</v>
      </c>
      <c r="N125" s="9">
        <f>IFERROR(VLOOKUP(B125,cubo!$A$6:$BE$37,25,0)-VLOOKUP(B125,#REF!,$N$2,0),0)</f>
        <v>0</v>
      </c>
      <c r="O125" s="9">
        <f>IFERROR(VLOOKUP(B125,cubo!$A$6:$BE$37,33,0)-VLOOKUP(B125,#REF!,$O$2,0),0)</f>
        <v>0</v>
      </c>
      <c r="P125" s="8">
        <f>IFERROR(VLOOKUP(B125,cubo!$A$6:$BE$37,37,0)-VLOOKUP(B125,#REF!,$P$2,0),0)</f>
        <v>0</v>
      </c>
      <c r="Q125" s="8">
        <f>IFERROR(VLOOKUP(B125,cubo!$A$6:$BE$37,56,0)-VLOOKUP(B125,#REF!,$Q$2,0),0)</f>
        <v>0</v>
      </c>
      <c r="R125" s="9">
        <f>IFERROR(VLOOKUP(B125,cubo!$A$6:$BE$37,40,0)-VLOOKUP(B125,#REF!,$R$2,0),0)</f>
        <v>0</v>
      </c>
      <c r="S125" s="9">
        <f>IFERROR(VLOOKUP(B125,cubo!$A$6:$BE$37,43,0)-VLOOKUP(B125,#REF!,$S$2,0),0)</f>
        <v>0</v>
      </c>
      <c r="T125" s="9">
        <f>IFERROR(VLOOKUP(B125,cubo!$A$6:$BE$37,46,0)-VLOOKUP(B125,#REF!,$T$2,0),0)</f>
        <v>0</v>
      </c>
      <c r="U125" s="9">
        <f>IFERROR(VLOOKUP(B125,cubo!$A$6:$BE$37,51,0)-VLOOKUP(B125,#REF!,$U$2,0),0)</f>
        <v>0</v>
      </c>
      <c r="V125" s="9">
        <f>IFERROR(VLOOKUP(B125,cubo!$A$6:$BJ$37,60,0)-VLOOKUP(B125,#REF!,$V$2,0),0)</f>
        <v>0</v>
      </c>
      <c r="W125" s="9">
        <f>IFERROR(VLOOKUP(B125,cubo!$A$6:$BE$37,26,0)-VLOOKUP(B125,#REF!,$W$2,0),0)</f>
        <v>0</v>
      </c>
      <c r="X125" s="9">
        <f>IFERROR(VLOOKUP(B125,cubo!$A$6:$BE$37,20,0)-VLOOKUP(B125,#REF!,$X$2,0),0)</f>
        <v>0</v>
      </c>
      <c r="Y125" s="9">
        <f>IFERROR(VLOOKUP(B125,cubo!$A$6:$BE$37,21,0)-VLOOKUP(B125,#REF!,$Y$2,0),0)</f>
        <v>0</v>
      </c>
      <c r="Z125" s="9">
        <f>IFERROR(VLOOKUP(B125,cubo!$A$6:$BE$37,27,0)-VLOOKUP(B125,#REF!,$Z$2,0),0)</f>
        <v>0</v>
      </c>
      <c r="AA125" s="9">
        <f>IFERROR(VLOOKUP(B125,cubo!$A$6:$BE$37,28,0)-VLOOKUP(B125,#REF!,$AA$2,0),0)</f>
        <v>0</v>
      </c>
      <c r="AB125" s="9">
        <f>IFERROR(VLOOKUP(B125,cubo!$A$6:$BE$37,29,0)-VLOOKUP(B125,#REF!,$AB$2,0),0)</f>
        <v>0</v>
      </c>
      <c r="AC125" s="9">
        <f>IFERROR(VLOOKUP(B125,cubo!$A$6:$BE$37,30,0)-VLOOKUP(B125,#REF!,$AC$2,0),0)</f>
        <v>0</v>
      </c>
      <c r="AD125" s="9">
        <f>IFERROR(VLOOKUP(B125,cubo!$A$6:$BE$37,31,0)-VLOOKUP(B125,#REF!,$AD$2,0),0)</f>
        <v>0</v>
      </c>
      <c r="AE125" s="9">
        <f>IFERROR(VLOOKUP(B125,cubo!$A$6:$BE$37,35,0)-VLOOKUP(B125,#REF!,$AE$2,0),0)</f>
        <v>0</v>
      </c>
      <c r="AF125" s="9" cm="1">
        <f t="array" aca="1" ref="AF125" ca="1">IFERROR(rrPROCV(B125,cubo!$A$6:$BE$37,48,0)-VLOOKUP(B125,#REF!,$AF$2,0),0)</f>
        <v>0</v>
      </c>
      <c r="AG125" s="9">
        <f>IFERROR(VLOOKUP(B125,cubo!$A$6:$BE$37,49,0)-VLOOKUP(B125,#REF!,$AG$2,0),0)</f>
        <v>0</v>
      </c>
      <c r="AH125" s="9">
        <f>IFERROR(VLOOKUP(B125,cubo!$A$6:$BE$37,50,0)-VLOOKUP(B125,#REF!,$AH$2,0),0)</f>
        <v>0</v>
      </c>
      <c r="AI125" s="9">
        <f>IFERROR(VLOOKUP(B125,cubo!$A$6:$BE$37,51,0)-VLOOKUP(B125,#REF!,$AI$2,0),0)</f>
        <v>0</v>
      </c>
      <c r="AJ125" s="9">
        <f>IFERROR(VLOOKUP(B125,cubo!$A$6:$BI$116,62,0)-VLOOKUP(B125,#REF!,$AJ$2,0),0)</f>
        <v>0</v>
      </c>
      <c r="AK125" s="9">
        <f>IFERROR(VLOOKUP(B125,cubo!$A$6:$BJ$37,63,0)-VLOOKUP(B125,#REF!,$AK$2,0),0)</f>
        <v>0</v>
      </c>
      <c r="AL125" s="9">
        <f>IFERROR(VLOOKUP(B125,cubo!$A$6:$BE$37,58,0)-VLOOKUP(B125,#REF!,$AL$2,0),0)</f>
        <v>0</v>
      </c>
      <c r="AM125" s="9">
        <f>IFERROR(VLOOKUP(B125,cubo!$A$6:$BK$37,64,0)-VLOOKUP(B125,#REF!,$AM$2,0),0)</f>
        <v>0</v>
      </c>
      <c r="AN125" s="9">
        <f>IFERROR(VLOOKUP(B125,cubo!$A$6:$AN$37,41,0)-VLOOKUP(B125,#REF!,$AN$2,0),0)</f>
        <v>0</v>
      </c>
    </row>
    <row r="126" spans="2:40" x14ac:dyDescent="0.25">
      <c r="B126" s="7">
        <f>[1]salario!A125</f>
        <v>0</v>
      </c>
      <c r="C126" s="8">
        <f>[1]salario!C125</f>
        <v>0</v>
      </c>
      <c r="D126" s="9">
        <f>IFERROR(VLOOKUP(B126,cubo!$A$6:$BE$37,3,0)-VLOOKUP(B126,#REF!,$D$2,0),0)</f>
        <v>0</v>
      </c>
      <c r="E126" s="10">
        <f>IFERROR(VLOOKUP(B126,cubo!$A$6:$BE$37,5,0)-VLOOKUP(B126,#REF!,$E$2,0),0)</f>
        <v>0</v>
      </c>
      <c r="F126" s="10">
        <f>IFERROR(VLOOKUP(B126,cubo!$A$6:$BE$37,8,0)-VLOOKUP(B126,#REF!,$F$2,0),0)</f>
        <v>0</v>
      </c>
      <c r="G126" s="9">
        <f>IFERROR(VLOOKUP(B126,cubo!$A$6:$BE$37,11,0)-VLOOKUP(B126,#REF!,$G$2,0),0)</f>
        <v>0</v>
      </c>
      <c r="H126" s="9">
        <f>IFERROR(VLOOKUP(B126,cubo!$A$6:$BE$37,53,0)-VLOOKUP(B126,#REF!,$H$2,0),0)</f>
        <v>0</v>
      </c>
      <c r="I126" s="10">
        <f>IFERROR(VLOOKUP(B126,cubo!$A$6:$BE$37,14,0)-VLOOKUP(B126,#REF!,$I$2,0),0)</f>
        <v>0</v>
      </c>
      <c r="J126" s="9">
        <f>IFERROR(VLOOKUP(B126,cubo!$A$6:$BE$37,16,0)-VLOOKUP(B126,#REF!,$J$2,0),0)</f>
        <v>0</v>
      </c>
      <c r="K126" s="9">
        <f>IFERROR(VLOOKUP(B126,cubo!$A$6:$BE$37,17,0)-VLOOKUP(B126,#REF!,$K$2,0),0)</f>
        <v>0</v>
      </c>
      <c r="L126" s="9">
        <f>IFERROR(VLOOKUP(B126,cubo!$A$6:$BE$37,19,0)-VLOOKUP(B126,#REF!,$L$2,0),0)</f>
        <v>0</v>
      </c>
      <c r="M126" s="9">
        <f>IFERROR(VLOOKUP(B126,cubo!$A$6:$BE$37,23,0)-VLOOKUP(B126,#REF!,$M$2,0),0)</f>
        <v>0</v>
      </c>
      <c r="N126" s="9">
        <f>IFERROR(VLOOKUP(B126,cubo!$A$6:$BE$37,25,0)-VLOOKUP(B126,#REF!,$N$2,0),0)</f>
        <v>0</v>
      </c>
      <c r="O126" s="9">
        <f>IFERROR(VLOOKUP(B126,cubo!$A$6:$BE$37,33,0)-VLOOKUP(B126,#REF!,$O$2,0),0)</f>
        <v>0</v>
      </c>
      <c r="P126" s="8">
        <f>IFERROR(VLOOKUP(B126,cubo!$A$6:$BE$37,37,0)-VLOOKUP(B126,#REF!,$P$2,0),0)</f>
        <v>0</v>
      </c>
      <c r="Q126" s="8">
        <f>IFERROR(VLOOKUP(B126,cubo!$A$6:$BE$37,56,0)-VLOOKUP(B126,#REF!,$Q$2,0),0)</f>
        <v>0</v>
      </c>
      <c r="R126" s="9">
        <f>IFERROR(VLOOKUP(B126,cubo!$A$6:$BE$37,40,0)-VLOOKUP(B126,#REF!,$R$2,0),0)</f>
        <v>0</v>
      </c>
      <c r="S126" s="9">
        <f>IFERROR(VLOOKUP(B126,cubo!$A$6:$BE$37,43,0)-VLOOKUP(B126,#REF!,$S$2,0),0)</f>
        <v>0</v>
      </c>
      <c r="T126" s="9">
        <f>IFERROR(VLOOKUP(B126,cubo!$A$6:$BE$37,46,0)-VLOOKUP(B126,#REF!,$T$2,0),0)</f>
        <v>0</v>
      </c>
      <c r="U126" s="9">
        <f>IFERROR(VLOOKUP(B126,cubo!$A$6:$BE$37,51,0)-VLOOKUP(B126,#REF!,$U$2,0),0)</f>
        <v>0</v>
      </c>
      <c r="V126" s="9">
        <f>IFERROR(VLOOKUP(B126,cubo!$A$6:$BJ$37,60,0)-VLOOKUP(B126,#REF!,$V$2,0),0)</f>
        <v>0</v>
      </c>
      <c r="W126" s="9">
        <f>IFERROR(VLOOKUP(B126,cubo!$A$6:$BE$37,26,0)-VLOOKUP(B126,#REF!,$W$2,0),0)</f>
        <v>0</v>
      </c>
      <c r="X126" s="9">
        <f>IFERROR(VLOOKUP(B126,cubo!$A$6:$BE$37,20,0)-VLOOKUP(B126,#REF!,$X$2,0),0)</f>
        <v>0</v>
      </c>
      <c r="Y126" s="9">
        <f>IFERROR(VLOOKUP(B126,cubo!$A$6:$BE$37,21,0)-VLOOKUP(B126,#REF!,$Y$2,0),0)</f>
        <v>0</v>
      </c>
      <c r="Z126" s="9">
        <f>IFERROR(VLOOKUP(B126,cubo!$A$6:$BE$37,27,0)-VLOOKUP(B126,#REF!,$Z$2,0),0)</f>
        <v>0</v>
      </c>
      <c r="AA126" s="9">
        <f>IFERROR(VLOOKUP(B126,cubo!$A$6:$BE$37,28,0)-VLOOKUP(B126,#REF!,$AA$2,0),0)</f>
        <v>0</v>
      </c>
      <c r="AB126" s="9">
        <f>IFERROR(VLOOKUP(B126,cubo!$A$6:$BE$37,29,0)-VLOOKUP(B126,#REF!,$AB$2,0),0)</f>
        <v>0</v>
      </c>
      <c r="AC126" s="9">
        <f>IFERROR(VLOOKUP(B126,cubo!$A$6:$BE$37,30,0)-VLOOKUP(B126,#REF!,$AC$2,0),0)</f>
        <v>0</v>
      </c>
      <c r="AD126" s="9">
        <f>IFERROR(VLOOKUP(B126,cubo!$A$6:$BE$37,31,0)-VLOOKUP(B126,#REF!,$AD$2,0),0)</f>
        <v>0</v>
      </c>
      <c r="AE126" s="9">
        <f>IFERROR(VLOOKUP(B126,cubo!$A$6:$BE$37,35,0)-VLOOKUP(B126,#REF!,$AE$2,0),0)</f>
        <v>0</v>
      </c>
      <c r="AF126" s="9" cm="1">
        <f t="array" aca="1" ref="AF126" ca="1">IFERROR(rrPROCV(B126,cubo!$A$6:$BE$37,48,0)-VLOOKUP(B126,#REF!,$AF$2,0),0)</f>
        <v>0</v>
      </c>
      <c r="AG126" s="9">
        <f>IFERROR(VLOOKUP(B126,cubo!$A$6:$BE$37,49,0)-VLOOKUP(B126,#REF!,$AG$2,0),0)</f>
        <v>0</v>
      </c>
      <c r="AH126" s="9">
        <f>IFERROR(VLOOKUP(B126,cubo!$A$6:$BE$37,50,0)-VLOOKUP(B126,#REF!,$AH$2,0),0)</f>
        <v>0</v>
      </c>
      <c r="AI126" s="9">
        <f>IFERROR(VLOOKUP(B126,cubo!$A$6:$BE$37,51,0)-VLOOKUP(B126,#REF!,$AI$2,0),0)</f>
        <v>0</v>
      </c>
      <c r="AJ126" s="9">
        <f>IFERROR(VLOOKUP(B126,cubo!$A$6:$BI$116,62,0)-VLOOKUP(B126,#REF!,$AJ$2,0),0)</f>
        <v>0</v>
      </c>
      <c r="AK126" s="9">
        <f>IFERROR(VLOOKUP(B126,cubo!$A$6:$BJ$37,63,0)-VLOOKUP(B126,#REF!,$AK$2,0),0)</f>
        <v>0</v>
      </c>
      <c r="AL126" s="9">
        <f>IFERROR(VLOOKUP(B126,cubo!$A$6:$BE$37,58,0)-VLOOKUP(B126,#REF!,$AL$2,0),0)</f>
        <v>0</v>
      </c>
      <c r="AM126" s="9">
        <f>IFERROR(VLOOKUP(B126,cubo!$A$6:$BK$37,64,0)-VLOOKUP(B126,#REF!,$AM$2,0),0)</f>
        <v>0</v>
      </c>
      <c r="AN126" s="9">
        <f>IFERROR(VLOOKUP(B126,cubo!$A$6:$AN$37,41,0)-VLOOKUP(B126,#REF!,$AN$2,0),0)</f>
        <v>0</v>
      </c>
    </row>
    <row r="127" spans="2:40" x14ac:dyDescent="0.25">
      <c r="B127" s="7">
        <f>[1]salario!A126</f>
        <v>0</v>
      </c>
      <c r="C127" s="8">
        <f>[1]salario!C126</f>
        <v>0</v>
      </c>
      <c r="D127" s="9">
        <f>IFERROR(VLOOKUP(B127,cubo!$A$6:$BE$37,3,0)-VLOOKUP(B127,#REF!,$D$2,0),0)</f>
        <v>0</v>
      </c>
      <c r="E127" s="10">
        <f>IFERROR(VLOOKUP(B127,cubo!$A$6:$BE$37,5,0)-VLOOKUP(B127,#REF!,$E$2,0),0)</f>
        <v>0</v>
      </c>
      <c r="F127" s="10">
        <f>IFERROR(VLOOKUP(B127,cubo!$A$6:$BE$37,8,0)-VLOOKUP(B127,#REF!,$F$2,0),0)</f>
        <v>0</v>
      </c>
      <c r="G127" s="9">
        <f>IFERROR(VLOOKUP(B127,cubo!$A$6:$BE$37,11,0)-VLOOKUP(B127,#REF!,$G$2,0),0)</f>
        <v>0</v>
      </c>
      <c r="H127" s="9">
        <f>IFERROR(VLOOKUP(B127,cubo!$A$6:$BE$37,53,0)-VLOOKUP(B127,#REF!,$H$2,0),0)</f>
        <v>0</v>
      </c>
      <c r="I127" s="10">
        <f>IFERROR(VLOOKUP(B127,cubo!$A$6:$BE$37,14,0)-VLOOKUP(B127,#REF!,$I$2,0),0)</f>
        <v>0</v>
      </c>
      <c r="J127" s="9">
        <f>IFERROR(VLOOKUP(B127,cubo!$A$6:$BE$37,16,0)-VLOOKUP(B127,#REF!,$J$2,0),0)</f>
        <v>0</v>
      </c>
      <c r="K127" s="9">
        <f>IFERROR(VLOOKUP(B127,cubo!$A$6:$BE$37,17,0)-VLOOKUP(B127,#REF!,$K$2,0),0)</f>
        <v>0</v>
      </c>
      <c r="L127" s="9">
        <f>IFERROR(VLOOKUP(B127,cubo!$A$6:$BE$37,19,0)-VLOOKUP(B127,#REF!,$L$2,0),0)</f>
        <v>0</v>
      </c>
      <c r="M127" s="9">
        <f>IFERROR(VLOOKUP(B127,cubo!$A$6:$BE$37,23,0)-VLOOKUP(B127,#REF!,$M$2,0),0)</f>
        <v>0</v>
      </c>
      <c r="N127" s="9">
        <f>IFERROR(VLOOKUP(B127,cubo!$A$6:$BE$37,25,0)-VLOOKUP(B127,#REF!,$N$2,0),0)</f>
        <v>0</v>
      </c>
      <c r="O127" s="9">
        <f>IFERROR(VLOOKUP(B127,cubo!$A$6:$BE$37,33,0)-VLOOKUP(B127,#REF!,$O$2,0),0)</f>
        <v>0</v>
      </c>
      <c r="P127" s="8">
        <f>IFERROR(VLOOKUP(B127,cubo!$A$6:$BE$37,37,0)-VLOOKUP(B127,#REF!,$P$2,0),0)</f>
        <v>0</v>
      </c>
      <c r="Q127" s="8">
        <f>IFERROR(VLOOKUP(B127,cubo!$A$6:$BE$37,56,0)-VLOOKUP(B127,#REF!,$Q$2,0),0)</f>
        <v>0</v>
      </c>
      <c r="R127" s="9">
        <f>IFERROR(VLOOKUP(B127,cubo!$A$6:$BE$37,40,0)-VLOOKUP(B127,#REF!,$R$2,0),0)</f>
        <v>0</v>
      </c>
      <c r="S127" s="9">
        <f>IFERROR(VLOOKUP(B127,cubo!$A$6:$BE$37,43,0)-VLOOKUP(B127,#REF!,$S$2,0),0)</f>
        <v>0</v>
      </c>
      <c r="T127" s="9">
        <f>IFERROR(VLOOKUP(B127,cubo!$A$6:$BE$37,46,0)-VLOOKUP(B127,#REF!,$T$2,0),0)</f>
        <v>0</v>
      </c>
      <c r="U127" s="9">
        <f>IFERROR(VLOOKUP(B127,cubo!$A$6:$BE$37,51,0)-VLOOKUP(B127,#REF!,$U$2,0),0)</f>
        <v>0</v>
      </c>
      <c r="V127" s="9">
        <f>IFERROR(VLOOKUP(B127,cubo!$A$6:$BJ$37,60,0)-VLOOKUP(B127,#REF!,$V$2,0),0)</f>
        <v>0</v>
      </c>
      <c r="W127" s="9">
        <f>IFERROR(VLOOKUP(B127,cubo!$A$6:$BE$37,26,0)-VLOOKUP(B127,#REF!,$W$2,0),0)</f>
        <v>0</v>
      </c>
      <c r="X127" s="9">
        <f>IFERROR(VLOOKUP(B127,cubo!$A$6:$BE$37,20,0)-VLOOKUP(B127,#REF!,$X$2,0),0)</f>
        <v>0</v>
      </c>
      <c r="Y127" s="9">
        <f>IFERROR(VLOOKUP(B127,cubo!$A$6:$BE$37,21,0)-VLOOKUP(B127,#REF!,$Y$2,0),0)</f>
        <v>0</v>
      </c>
      <c r="Z127" s="9">
        <f>IFERROR(VLOOKUP(B127,cubo!$A$6:$BE$37,27,0)-VLOOKUP(B127,#REF!,$Z$2,0),0)</f>
        <v>0</v>
      </c>
      <c r="AA127" s="9">
        <f>IFERROR(VLOOKUP(B127,cubo!$A$6:$BE$37,28,0)-VLOOKUP(B127,#REF!,$AA$2,0),0)</f>
        <v>0</v>
      </c>
      <c r="AB127" s="9">
        <f>IFERROR(VLOOKUP(B127,cubo!$A$6:$BE$37,29,0)-VLOOKUP(B127,#REF!,$AB$2,0),0)</f>
        <v>0</v>
      </c>
      <c r="AC127" s="9">
        <f>IFERROR(VLOOKUP(B127,cubo!$A$6:$BE$37,30,0)-VLOOKUP(B127,#REF!,$AC$2,0),0)</f>
        <v>0</v>
      </c>
      <c r="AD127" s="9">
        <f>IFERROR(VLOOKUP(B127,cubo!$A$6:$BE$37,31,0)-VLOOKUP(B127,#REF!,$AD$2,0),0)</f>
        <v>0</v>
      </c>
      <c r="AE127" s="9">
        <f>IFERROR(VLOOKUP(B127,cubo!$A$6:$BE$37,35,0)-VLOOKUP(B127,#REF!,$AE$2,0),0)</f>
        <v>0</v>
      </c>
      <c r="AF127" s="9" cm="1">
        <f t="array" aca="1" ref="AF127" ca="1">IFERROR(rrPROCV(B127,cubo!$A$6:$BE$37,48,0)-VLOOKUP(B127,#REF!,$AF$2,0),0)</f>
        <v>0</v>
      </c>
      <c r="AG127" s="9">
        <f>IFERROR(VLOOKUP(B127,cubo!$A$6:$BE$37,49,0)-VLOOKUP(B127,#REF!,$AG$2,0),0)</f>
        <v>0</v>
      </c>
      <c r="AH127" s="9">
        <f>IFERROR(VLOOKUP(B127,cubo!$A$6:$BE$37,50,0)-VLOOKUP(B127,#REF!,$AH$2,0),0)</f>
        <v>0</v>
      </c>
      <c r="AI127" s="9">
        <f>IFERROR(VLOOKUP(B127,cubo!$A$6:$BE$37,51,0)-VLOOKUP(B127,#REF!,$AI$2,0),0)</f>
        <v>0</v>
      </c>
      <c r="AJ127" s="9">
        <f>IFERROR(VLOOKUP(B127,cubo!$A$6:$BI$116,62,0)-VLOOKUP(B127,#REF!,$AJ$2,0),0)</f>
        <v>0</v>
      </c>
      <c r="AK127" s="9">
        <f>IFERROR(VLOOKUP(B127,cubo!$A$6:$BJ$37,63,0)-VLOOKUP(B127,#REF!,$AK$2,0),0)</f>
        <v>0</v>
      </c>
      <c r="AL127" s="9">
        <f>IFERROR(VLOOKUP(B127,cubo!$A$6:$BE$37,58,0)-VLOOKUP(B127,#REF!,$AL$2,0),0)</f>
        <v>0</v>
      </c>
      <c r="AM127" s="9">
        <f>IFERROR(VLOOKUP(B127,cubo!$A$6:$BK$37,64,0)-VLOOKUP(B127,#REF!,$AM$2,0),0)</f>
        <v>0</v>
      </c>
      <c r="AN127" s="9">
        <f>IFERROR(VLOOKUP(B127,cubo!$A$6:$AN$37,41,0)-VLOOKUP(B127,#REF!,$AN$2,0),0)</f>
        <v>0</v>
      </c>
    </row>
    <row r="128" spans="2:40" x14ac:dyDescent="0.25">
      <c r="B128" s="7">
        <f>[1]salario!A127</f>
        <v>0</v>
      </c>
      <c r="C128" s="8">
        <f>[1]salario!C127</f>
        <v>0</v>
      </c>
      <c r="D128" s="9">
        <f>IFERROR(VLOOKUP(B128,cubo!$A$6:$BE$37,3,0)-VLOOKUP(B128,#REF!,$D$2,0),0)</f>
        <v>0</v>
      </c>
      <c r="E128" s="10">
        <f>IFERROR(VLOOKUP(B128,cubo!$A$6:$BE$37,5,0)-VLOOKUP(B128,#REF!,$E$2,0),0)</f>
        <v>0</v>
      </c>
      <c r="F128" s="10">
        <f>IFERROR(VLOOKUP(B128,cubo!$A$6:$BE$37,8,0)-VLOOKUP(B128,#REF!,$F$2,0),0)</f>
        <v>0</v>
      </c>
      <c r="G128" s="9">
        <f>IFERROR(VLOOKUP(B128,cubo!$A$6:$BE$37,11,0)-VLOOKUP(B128,#REF!,$G$2,0),0)</f>
        <v>0</v>
      </c>
      <c r="H128" s="9">
        <f>IFERROR(VLOOKUP(B128,cubo!$A$6:$BE$37,53,0)-VLOOKUP(B128,#REF!,$H$2,0),0)</f>
        <v>0</v>
      </c>
      <c r="I128" s="10">
        <f>IFERROR(VLOOKUP(B128,cubo!$A$6:$BE$37,14,0)-VLOOKUP(B128,#REF!,$I$2,0),0)</f>
        <v>0</v>
      </c>
      <c r="J128" s="9">
        <f>IFERROR(VLOOKUP(B128,cubo!$A$6:$BE$37,16,0)-VLOOKUP(B128,#REF!,$J$2,0),0)</f>
        <v>0</v>
      </c>
      <c r="K128" s="9">
        <f>IFERROR(VLOOKUP(B128,cubo!$A$6:$BE$37,17,0)-VLOOKUP(B128,#REF!,$K$2,0),0)</f>
        <v>0</v>
      </c>
      <c r="L128" s="9">
        <f>IFERROR(VLOOKUP(B128,cubo!$A$6:$BE$37,19,0)-VLOOKUP(B128,#REF!,$L$2,0),0)</f>
        <v>0</v>
      </c>
      <c r="M128" s="9">
        <f>IFERROR(VLOOKUP(B128,cubo!$A$6:$BE$37,23,0)-VLOOKUP(B128,#REF!,$M$2,0),0)</f>
        <v>0</v>
      </c>
      <c r="N128" s="9">
        <f>IFERROR(VLOOKUP(B128,cubo!$A$6:$BE$37,25,0)-VLOOKUP(B128,#REF!,$N$2,0),0)</f>
        <v>0</v>
      </c>
      <c r="O128" s="9">
        <f>IFERROR(VLOOKUP(B128,cubo!$A$6:$BE$37,33,0)-VLOOKUP(B128,#REF!,$O$2,0),0)</f>
        <v>0</v>
      </c>
      <c r="P128" s="8">
        <f>IFERROR(VLOOKUP(B128,cubo!$A$6:$BE$37,37,0)-VLOOKUP(B128,#REF!,$P$2,0),0)</f>
        <v>0</v>
      </c>
      <c r="Q128" s="8">
        <f>IFERROR(VLOOKUP(B128,cubo!$A$6:$BE$37,56,0)-VLOOKUP(B128,#REF!,$Q$2,0),0)</f>
        <v>0</v>
      </c>
      <c r="R128" s="9">
        <f>IFERROR(VLOOKUP(B128,cubo!$A$6:$BE$37,40,0)-VLOOKUP(B128,#REF!,$R$2,0),0)</f>
        <v>0</v>
      </c>
      <c r="S128" s="9">
        <f>IFERROR(VLOOKUP(B128,cubo!$A$6:$BE$37,43,0)-VLOOKUP(B128,#REF!,$S$2,0),0)</f>
        <v>0</v>
      </c>
      <c r="T128" s="9">
        <f>IFERROR(VLOOKUP(B128,cubo!$A$6:$BE$37,46,0)-VLOOKUP(B128,#REF!,$T$2,0),0)</f>
        <v>0</v>
      </c>
      <c r="U128" s="9">
        <f>IFERROR(VLOOKUP(B128,cubo!$A$6:$BE$37,51,0)-VLOOKUP(B128,#REF!,$U$2,0),0)</f>
        <v>0</v>
      </c>
      <c r="V128" s="9">
        <f>IFERROR(VLOOKUP(B128,cubo!$A$6:$BJ$37,60,0)-VLOOKUP(B128,#REF!,$V$2,0),0)</f>
        <v>0</v>
      </c>
      <c r="W128" s="9">
        <f>IFERROR(VLOOKUP(B128,cubo!$A$6:$BE$37,26,0)-VLOOKUP(B128,#REF!,$W$2,0),0)</f>
        <v>0</v>
      </c>
      <c r="X128" s="9">
        <f>IFERROR(VLOOKUP(B128,cubo!$A$6:$BE$37,20,0)-VLOOKUP(B128,#REF!,$X$2,0),0)</f>
        <v>0</v>
      </c>
      <c r="Y128" s="9">
        <f>IFERROR(VLOOKUP(B128,cubo!$A$6:$BE$37,21,0)-VLOOKUP(B128,#REF!,$Y$2,0),0)</f>
        <v>0</v>
      </c>
      <c r="Z128" s="9">
        <f>IFERROR(VLOOKUP(B128,cubo!$A$6:$BE$37,27,0)-VLOOKUP(B128,#REF!,$Z$2,0),0)</f>
        <v>0</v>
      </c>
      <c r="AA128" s="9">
        <f>IFERROR(VLOOKUP(B128,cubo!$A$6:$BE$37,28,0)-VLOOKUP(B128,#REF!,$AA$2,0),0)</f>
        <v>0</v>
      </c>
      <c r="AB128" s="9">
        <f>IFERROR(VLOOKUP(B128,cubo!$A$6:$BE$37,29,0)-VLOOKUP(B128,#REF!,$AB$2,0),0)</f>
        <v>0</v>
      </c>
      <c r="AC128" s="9">
        <f>IFERROR(VLOOKUP(B128,cubo!$A$6:$BE$37,30,0)-VLOOKUP(B128,#REF!,$AC$2,0),0)</f>
        <v>0</v>
      </c>
      <c r="AD128" s="9">
        <f>IFERROR(VLOOKUP(B128,cubo!$A$6:$BE$37,31,0)-VLOOKUP(B128,#REF!,$AD$2,0),0)</f>
        <v>0</v>
      </c>
      <c r="AE128" s="9">
        <f>IFERROR(VLOOKUP(B128,cubo!$A$6:$BE$37,35,0)-VLOOKUP(B128,#REF!,$AE$2,0),0)</f>
        <v>0</v>
      </c>
      <c r="AF128" s="9" cm="1">
        <f t="array" aca="1" ref="AF128" ca="1">IFERROR(rrPROCV(B128,cubo!$A$6:$BE$37,48,0)-VLOOKUP(B128,#REF!,$AF$2,0),0)</f>
        <v>0</v>
      </c>
      <c r="AG128" s="9">
        <f>IFERROR(VLOOKUP(B128,cubo!$A$6:$BE$37,49,0)-VLOOKUP(B128,#REF!,$AG$2,0),0)</f>
        <v>0</v>
      </c>
      <c r="AH128" s="9">
        <f>IFERROR(VLOOKUP(B128,cubo!$A$6:$BE$37,50,0)-VLOOKUP(B128,#REF!,$AH$2,0),0)</f>
        <v>0</v>
      </c>
      <c r="AI128" s="9">
        <f>IFERROR(VLOOKUP(B128,cubo!$A$6:$BE$37,51,0)-VLOOKUP(B128,#REF!,$AI$2,0),0)</f>
        <v>0</v>
      </c>
      <c r="AJ128" s="9">
        <f>IFERROR(VLOOKUP(B128,cubo!$A$6:$BI$116,62,0)-VLOOKUP(B128,#REF!,$AJ$2,0),0)</f>
        <v>0</v>
      </c>
      <c r="AK128" s="9">
        <f>IFERROR(VLOOKUP(B128,cubo!$A$6:$BJ$37,63,0)-VLOOKUP(B128,#REF!,$AK$2,0),0)</f>
        <v>0</v>
      </c>
      <c r="AL128" s="9">
        <f>IFERROR(VLOOKUP(B128,cubo!$A$6:$BE$37,58,0)-VLOOKUP(B128,#REF!,$AL$2,0),0)</f>
        <v>0</v>
      </c>
      <c r="AM128" s="9">
        <f>IFERROR(VLOOKUP(B128,cubo!$A$6:$BK$37,64,0)-VLOOKUP(B128,#REF!,$AM$2,0),0)</f>
        <v>0</v>
      </c>
      <c r="AN128" s="9">
        <f>IFERROR(VLOOKUP(B128,cubo!$A$6:$AN$37,41,0)-VLOOKUP(B128,#REF!,$AN$2,0),0)</f>
        <v>0</v>
      </c>
    </row>
    <row r="129" spans="2:40" x14ac:dyDescent="0.25">
      <c r="B129" s="7">
        <f>[1]salario!A128</f>
        <v>0</v>
      </c>
      <c r="C129" s="8">
        <f>[1]salario!C128</f>
        <v>0</v>
      </c>
      <c r="D129" s="9">
        <f>IFERROR(VLOOKUP(B129,cubo!$A$6:$BE$37,3,0)-VLOOKUP(B129,#REF!,$D$2,0),0)</f>
        <v>0</v>
      </c>
      <c r="E129" s="10">
        <f>IFERROR(VLOOKUP(B129,cubo!$A$6:$BE$37,5,0)-VLOOKUP(B129,#REF!,$E$2,0),0)</f>
        <v>0</v>
      </c>
      <c r="F129" s="10">
        <f>IFERROR(VLOOKUP(B129,cubo!$A$6:$BE$37,8,0)-VLOOKUP(B129,#REF!,$F$2,0),0)</f>
        <v>0</v>
      </c>
      <c r="G129" s="9">
        <f>IFERROR(VLOOKUP(B129,cubo!$A$6:$BE$37,11,0)-VLOOKUP(B129,#REF!,$G$2,0),0)</f>
        <v>0</v>
      </c>
      <c r="H129" s="9">
        <f>IFERROR(VLOOKUP(B129,cubo!$A$6:$BE$37,53,0)-VLOOKUP(B129,#REF!,$H$2,0),0)</f>
        <v>0</v>
      </c>
      <c r="I129" s="10">
        <f>IFERROR(VLOOKUP(B129,cubo!$A$6:$BE$37,14,0)-VLOOKUP(B129,#REF!,$I$2,0),0)</f>
        <v>0</v>
      </c>
      <c r="J129" s="9">
        <f>IFERROR(VLOOKUP(B129,cubo!$A$6:$BE$37,16,0)-VLOOKUP(B129,#REF!,$J$2,0),0)</f>
        <v>0</v>
      </c>
      <c r="K129" s="9">
        <f>IFERROR(VLOOKUP(B129,cubo!$A$6:$BE$37,17,0)-VLOOKUP(B129,#REF!,$K$2,0),0)</f>
        <v>0</v>
      </c>
      <c r="L129" s="9">
        <f>IFERROR(VLOOKUP(B129,cubo!$A$6:$BE$37,19,0)-VLOOKUP(B129,#REF!,$L$2,0),0)</f>
        <v>0</v>
      </c>
      <c r="M129" s="9">
        <f>IFERROR(VLOOKUP(B129,cubo!$A$6:$BE$37,23,0)-VLOOKUP(B129,#REF!,$M$2,0),0)</f>
        <v>0</v>
      </c>
      <c r="N129" s="9">
        <f>IFERROR(VLOOKUP(B129,cubo!$A$6:$BE$37,25,0)-VLOOKUP(B129,#REF!,$N$2,0),0)</f>
        <v>0</v>
      </c>
      <c r="O129" s="9">
        <f>IFERROR(VLOOKUP(B129,cubo!$A$6:$BE$37,33,0)-VLOOKUP(B129,#REF!,$O$2,0),0)</f>
        <v>0</v>
      </c>
      <c r="P129" s="8">
        <f>IFERROR(VLOOKUP(B129,cubo!$A$6:$BE$37,37,0)-VLOOKUP(B129,#REF!,$P$2,0),0)</f>
        <v>0</v>
      </c>
      <c r="Q129" s="8">
        <f>IFERROR(VLOOKUP(B129,cubo!$A$6:$BE$37,56,0)-VLOOKUP(B129,#REF!,$Q$2,0),0)</f>
        <v>0</v>
      </c>
      <c r="R129" s="9">
        <f>IFERROR(VLOOKUP(B129,cubo!$A$6:$BE$37,40,0)-VLOOKUP(B129,#REF!,$R$2,0),0)</f>
        <v>0</v>
      </c>
      <c r="S129" s="9">
        <f>IFERROR(VLOOKUP(B129,cubo!$A$6:$BE$37,43,0)-VLOOKUP(B129,#REF!,$S$2,0),0)</f>
        <v>0</v>
      </c>
      <c r="T129" s="9">
        <f>IFERROR(VLOOKUP(B129,cubo!$A$6:$BE$37,46,0)-VLOOKUP(B129,#REF!,$T$2,0),0)</f>
        <v>0</v>
      </c>
      <c r="U129" s="9">
        <f>IFERROR(VLOOKUP(B129,cubo!$A$6:$BE$37,51,0)-VLOOKUP(B129,#REF!,$U$2,0),0)</f>
        <v>0</v>
      </c>
      <c r="V129" s="9">
        <f>IFERROR(VLOOKUP(B129,cubo!$A$6:$BJ$37,60,0)-VLOOKUP(B129,#REF!,$V$2,0),0)</f>
        <v>0</v>
      </c>
      <c r="W129" s="9">
        <f>IFERROR(VLOOKUP(B129,cubo!$A$6:$BE$37,26,0)-VLOOKUP(B129,#REF!,$W$2,0),0)</f>
        <v>0</v>
      </c>
      <c r="X129" s="9">
        <f>IFERROR(VLOOKUP(B129,cubo!$A$6:$BE$37,20,0)-VLOOKUP(B129,#REF!,$X$2,0),0)</f>
        <v>0</v>
      </c>
      <c r="Y129" s="9">
        <f>IFERROR(VLOOKUP(B129,cubo!$A$6:$BE$37,21,0)-VLOOKUP(B129,#REF!,$Y$2,0),0)</f>
        <v>0</v>
      </c>
      <c r="Z129" s="9">
        <f>IFERROR(VLOOKUP(B129,cubo!$A$6:$BE$37,27,0)-VLOOKUP(B129,#REF!,$Z$2,0),0)</f>
        <v>0</v>
      </c>
      <c r="AA129" s="9">
        <f>IFERROR(VLOOKUP(B129,cubo!$A$6:$BE$37,28,0)-VLOOKUP(B129,#REF!,$AA$2,0),0)</f>
        <v>0</v>
      </c>
      <c r="AB129" s="9">
        <f>IFERROR(VLOOKUP(B129,cubo!$A$6:$BE$37,29,0)-VLOOKUP(B129,#REF!,$AB$2,0),0)</f>
        <v>0</v>
      </c>
      <c r="AC129" s="9">
        <f>IFERROR(VLOOKUP(B129,cubo!$A$6:$BE$37,30,0)-VLOOKUP(B129,#REF!,$AC$2,0),0)</f>
        <v>0</v>
      </c>
      <c r="AD129" s="9">
        <f>IFERROR(VLOOKUP(B129,cubo!$A$6:$BE$37,31,0)-VLOOKUP(B129,#REF!,$AD$2,0),0)</f>
        <v>0</v>
      </c>
      <c r="AE129" s="9">
        <f>IFERROR(VLOOKUP(B129,cubo!$A$6:$BE$37,35,0)-VLOOKUP(B129,#REF!,$AE$2,0),0)</f>
        <v>0</v>
      </c>
      <c r="AF129" s="9" cm="1">
        <f t="array" aca="1" ref="AF129" ca="1">IFERROR(rrPROCV(B129,cubo!$A$6:$BE$37,48,0)-VLOOKUP(B129,#REF!,$AF$2,0),0)</f>
        <v>0</v>
      </c>
      <c r="AG129" s="9">
        <f>IFERROR(VLOOKUP(B129,cubo!$A$6:$BE$37,49,0)-VLOOKUP(B129,#REF!,$AG$2,0),0)</f>
        <v>0</v>
      </c>
      <c r="AH129" s="9">
        <f>IFERROR(VLOOKUP(B129,cubo!$A$6:$BE$37,50,0)-VLOOKUP(B129,#REF!,$AH$2,0),0)</f>
        <v>0</v>
      </c>
      <c r="AI129" s="9">
        <f>IFERROR(VLOOKUP(B129,cubo!$A$6:$BE$37,51,0)-VLOOKUP(B129,#REF!,$AI$2,0),0)</f>
        <v>0</v>
      </c>
      <c r="AJ129" s="9">
        <f>IFERROR(VLOOKUP(B129,cubo!$A$6:$BI$116,62,0)-VLOOKUP(B129,#REF!,$AJ$2,0),0)</f>
        <v>0</v>
      </c>
      <c r="AK129" s="9">
        <f>IFERROR(VLOOKUP(B129,cubo!$A$6:$BJ$37,63,0)-VLOOKUP(B129,#REF!,$AK$2,0),0)</f>
        <v>0</v>
      </c>
      <c r="AL129" s="9">
        <f>IFERROR(VLOOKUP(B129,cubo!$A$6:$BE$37,58,0)-VLOOKUP(B129,#REF!,$AL$2,0),0)</f>
        <v>0</v>
      </c>
      <c r="AM129" s="9">
        <f>IFERROR(VLOOKUP(B129,cubo!$A$6:$BK$37,64,0)-VLOOKUP(B129,#REF!,$AM$2,0),0)</f>
        <v>0</v>
      </c>
      <c r="AN129" s="9">
        <f>IFERROR(VLOOKUP(B129,cubo!$A$6:$AN$37,41,0)-VLOOKUP(B129,#REF!,$AN$2,0),0)</f>
        <v>0</v>
      </c>
    </row>
    <row r="130" spans="2:40" x14ac:dyDescent="0.25">
      <c r="B130" s="7">
        <f>[1]salario!A129</f>
        <v>0</v>
      </c>
      <c r="C130" s="8">
        <f>[1]salario!C129</f>
        <v>0</v>
      </c>
      <c r="D130" s="9">
        <f>IFERROR(VLOOKUP(B130,cubo!$A$6:$BE$37,3,0)-VLOOKUP(B130,#REF!,$D$2,0),0)</f>
        <v>0</v>
      </c>
      <c r="E130" s="10">
        <f>IFERROR(VLOOKUP(B130,cubo!$A$6:$BE$37,5,0)-VLOOKUP(B130,#REF!,$E$2,0),0)</f>
        <v>0</v>
      </c>
      <c r="F130" s="10">
        <f>IFERROR(VLOOKUP(B130,cubo!$A$6:$BE$37,8,0)-VLOOKUP(B130,#REF!,$F$2,0),0)</f>
        <v>0</v>
      </c>
      <c r="G130" s="9">
        <f>IFERROR(VLOOKUP(B130,cubo!$A$6:$BE$37,11,0)-VLOOKUP(B130,#REF!,$G$2,0),0)</f>
        <v>0</v>
      </c>
      <c r="H130" s="9">
        <f>IFERROR(VLOOKUP(B130,cubo!$A$6:$BE$37,53,0)-VLOOKUP(B130,#REF!,$H$2,0),0)</f>
        <v>0</v>
      </c>
      <c r="I130" s="10">
        <f>IFERROR(VLOOKUP(B130,cubo!$A$6:$BE$37,14,0)-VLOOKUP(B130,#REF!,$I$2,0),0)</f>
        <v>0</v>
      </c>
      <c r="J130" s="9">
        <f>IFERROR(VLOOKUP(B130,cubo!$A$6:$BE$37,16,0)-VLOOKUP(B130,#REF!,$J$2,0),0)</f>
        <v>0</v>
      </c>
      <c r="K130" s="9">
        <f>IFERROR(VLOOKUP(B130,cubo!$A$6:$BE$37,17,0)-VLOOKUP(B130,#REF!,$K$2,0),0)</f>
        <v>0</v>
      </c>
      <c r="L130" s="9">
        <f>IFERROR(VLOOKUP(B130,cubo!$A$6:$BE$37,19,0)-VLOOKUP(B130,#REF!,$L$2,0),0)</f>
        <v>0</v>
      </c>
      <c r="M130" s="9">
        <f>IFERROR(VLOOKUP(B130,cubo!$A$6:$BE$37,23,0)-VLOOKUP(B130,#REF!,$M$2,0),0)</f>
        <v>0</v>
      </c>
      <c r="N130" s="9">
        <f>IFERROR(VLOOKUP(B130,cubo!$A$6:$BE$37,25,0)-VLOOKUP(B130,#REF!,$N$2,0),0)</f>
        <v>0</v>
      </c>
      <c r="O130" s="9">
        <f>IFERROR(VLOOKUP(B130,cubo!$A$6:$BE$37,33,0)-VLOOKUP(B130,#REF!,$O$2,0),0)</f>
        <v>0</v>
      </c>
      <c r="P130" s="8">
        <f>IFERROR(VLOOKUP(B130,cubo!$A$6:$BE$37,37,0)-VLOOKUP(B130,#REF!,$P$2,0),0)</f>
        <v>0</v>
      </c>
      <c r="Q130" s="8">
        <f>IFERROR(VLOOKUP(B130,cubo!$A$6:$BE$37,56,0)-VLOOKUP(B130,#REF!,$Q$2,0),0)</f>
        <v>0</v>
      </c>
      <c r="R130" s="9">
        <f>IFERROR(VLOOKUP(B130,cubo!$A$6:$BE$37,40,0)-VLOOKUP(B130,#REF!,$R$2,0),0)</f>
        <v>0</v>
      </c>
      <c r="S130" s="9">
        <f>IFERROR(VLOOKUP(B130,cubo!$A$6:$BE$37,43,0)-VLOOKUP(B130,#REF!,$S$2,0),0)</f>
        <v>0</v>
      </c>
      <c r="T130" s="9">
        <f>IFERROR(VLOOKUP(B130,cubo!$A$6:$BE$37,46,0)-VLOOKUP(B130,#REF!,$T$2,0),0)</f>
        <v>0</v>
      </c>
      <c r="U130" s="9">
        <f>IFERROR(VLOOKUP(B130,cubo!$A$6:$BE$37,51,0)-VLOOKUP(B130,#REF!,$U$2,0),0)</f>
        <v>0</v>
      </c>
      <c r="V130" s="9">
        <f>IFERROR(VLOOKUP(B130,cubo!$A$6:$BJ$37,60,0)-VLOOKUP(B130,#REF!,$V$2,0),0)</f>
        <v>0</v>
      </c>
      <c r="W130" s="9">
        <f>IFERROR(VLOOKUP(B130,cubo!$A$6:$BE$37,26,0)-VLOOKUP(B130,#REF!,$W$2,0),0)</f>
        <v>0</v>
      </c>
      <c r="X130" s="9">
        <f>IFERROR(VLOOKUP(B130,cubo!$A$6:$BE$37,20,0)-VLOOKUP(B130,#REF!,$X$2,0),0)</f>
        <v>0</v>
      </c>
      <c r="Y130" s="9">
        <f>IFERROR(VLOOKUP(B130,cubo!$A$6:$BE$37,21,0)-VLOOKUP(B130,#REF!,$Y$2,0),0)</f>
        <v>0</v>
      </c>
      <c r="Z130" s="9">
        <f>IFERROR(VLOOKUP(B130,cubo!$A$6:$BE$37,27,0)-VLOOKUP(B130,#REF!,$Z$2,0),0)</f>
        <v>0</v>
      </c>
      <c r="AA130" s="9">
        <f>IFERROR(VLOOKUP(B130,cubo!$A$6:$BE$37,28,0)-VLOOKUP(B130,#REF!,$AA$2,0),0)</f>
        <v>0</v>
      </c>
      <c r="AB130" s="9">
        <f>IFERROR(VLOOKUP(B130,cubo!$A$6:$BE$37,29,0)-VLOOKUP(B130,#REF!,$AB$2,0),0)</f>
        <v>0</v>
      </c>
      <c r="AC130" s="9">
        <f>IFERROR(VLOOKUP(B130,cubo!$A$6:$BE$37,30,0)-VLOOKUP(B130,#REF!,$AC$2,0),0)</f>
        <v>0</v>
      </c>
      <c r="AD130" s="9">
        <f>IFERROR(VLOOKUP(B130,cubo!$A$6:$BE$37,31,0)-VLOOKUP(B130,#REF!,$AD$2,0),0)</f>
        <v>0</v>
      </c>
      <c r="AE130" s="9">
        <f>IFERROR(VLOOKUP(B130,cubo!$A$6:$BE$37,35,0)-VLOOKUP(B130,#REF!,$AE$2,0),0)</f>
        <v>0</v>
      </c>
      <c r="AF130" s="9" cm="1">
        <f t="array" aca="1" ref="AF130" ca="1">IFERROR(rrPROCV(B130,cubo!$A$6:$BE$37,48,0)-VLOOKUP(B130,#REF!,$AF$2,0),0)</f>
        <v>0</v>
      </c>
      <c r="AG130" s="9">
        <f>IFERROR(VLOOKUP(B130,cubo!$A$6:$BE$37,49,0)-VLOOKUP(B130,#REF!,$AG$2,0),0)</f>
        <v>0</v>
      </c>
      <c r="AH130" s="9">
        <f>IFERROR(VLOOKUP(B130,cubo!$A$6:$BE$37,50,0)-VLOOKUP(B130,#REF!,$AH$2,0),0)</f>
        <v>0</v>
      </c>
      <c r="AI130" s="9">
        <f>IFERROR(VLOOKUP(B130,cubo!$A$6:$BE$37,51,0)-VLOOKUP(B130,#REF!,$AI$2,0),0)</f>
        <v>0</v>
      </c>
      <c r="AJ130" s="9">
        <f>IFERROR(VLOOKUP(B130,cubo!$A$6:$BI$116,62,0)-VLOOKUP(B130,#REF!,$AJ$2,0),0)</f>
        <v>0</v>
      </c>
      <c r="AK130" s="9">
        <f>IFERROR(VLOOKUP(B130,cubo!$A$6:$BJ$37,63,0)-VLOOKUP(B130,#REF!,$AK$2,0),0)</f>
        <v>0</v>
      </c>
      <c r="AL130" s="9">
        <f>IFERROR(VLOOKUP(B130,cubo!$A$6:$BE$37,58,0)-VLOOKUP(B130,#REF!,$AL$2,0),0)</f>
        <v>0</v>
      </c>
      <c r="AM130" s="9">
        <f>IFERROR(VLOOKUP(B130,cubo!$A$6:$BK$37,64,0)-VLOOKUP(B130,#REF!,$AM$2,0),0)</f>
        <v>0</v>
      </c>
      <c r="AN130" s="9">
        <f>IFERROR(VLOOKUP(B130,cubo!$A$6:$AN$37,41,0)-VLOOKUP(B130,#REF!,$AN$2,0),0)</f>
        <v>0</v>
      </c>
    </row>
    <row r="131" spans="2:40" x14ac:dyDescent="0.25">
      <c r="B131" s="7">
        <f>[1]salario!A130</f>
        <v>0</v>
      </c>
      <c r="C131" s="8">
        <f>[1]salario!C130</f>
        <v>0</v>
      </c>
      <c r="D131" s="9">
        <f>IFERROR(VLOOKUP(B131,cubo!$A$6:$BE$37,3,0)-VLOOKUP(B131,#REF!,$D$2,0),0)</f>
        <v>0</v>
      </c>
      <c r="E131" s="10">
        <f>IFERROR(VLOOKUP(B131,cubo!$A$6:$BE$37,5,0)-VLOOKUP(B131,#REF!,$E$2,0),0)</f>
        <v>0</v>
      </c>
      <c r="F131" s="10">
        <f>IFERROR(VLOOKUP(B131,cubo!$A$6:$BE$37,8,0)-VLOOKUP(B131,#REF!,$F$2,0),0)</f>
        <v>0</v>
      </c>
      <c r="G131" s="9">
        <f>IFERROR(VLOOKUP(B131,cubo!$A$6:$BE$37,11,0)-VLOOKUP(B131,#REF!,$G$2,0),0)</f>
        <v>0</v>
      </c>
      <c r="H131" s="9">
        <f>IFERROR(VLOOKUP(B131,cubo!$A$6:$BE$37,53,0)-VLOOKUP(B131,#REF!,$H$2,0),0)</f>
        <v>0</v>
      </c>
      <c r="I131" s="10">
        <f>IFERROR(VLOOKUP(B131,cubo!$A$6:$BE$37,14,0)-VLOOKUP(B131,#REF!,$I$2,0),0)</f>
        <v>0</v>
      </c>
      <c r="J131" s="9">
        <f>IFERROR(VLOOKUP(B131,cubo!$A$6:$BE$37,16,0)-VLOOKUP(B131,#REF!,$J$2,0),0)</f>
        <v>0</v>
      </c>
      <c r="K131" s="9">
        <f>IFERROR(VLOOKUP(B131,cubo!$A$6:$BE$37,17,0)-VLOOKUP(B131,#REF!,$K$2,0),0)</f>
        <v>0</v>
      </c>
      <c r="L131" s="9">
        <f>IFERROR(VLOOKUP(B131,cubo!$A$6:$BE$37,19,0)-VLOOKUP(B131,#REF!,$L$2,0),0)</f>
        <v>0</v>
      </c>
      <c r="M131" s="9">
        <f>IFERROR(VLOOKUP(B131,cubo!$A$6:$BE$37,23,0)-VLOOKUP(B131,#REF!,$M$2,0),0)</f>
        <v>0</v>
      </c>
      <c r="N131" s="9">
        <f>IFERROR(VLOOKUP(B131,cubo!$A$6:$BE$37,25,0)-VLOOKUP(B131,#REF!,$N$2,0),0)</f>
        <v>0</v>
      </c>
      <c r="O131" s="9">
        <f>IFERROR(VLOOKUP(B131,cubo!$A$6:$BE$37,33,0)-VLOOKUP(B131,#REF!,$O$2,0),0)</f>
        <v>0</v>
      </c>
      <c r="P131" s="8">
        <f>IFERROR(VLOOKUP(B131,cubo!$A$6:$BE$37,37,0)-VLOOKUP(B131,#REF!,$P$2,0),0)</f>
        <v>0</v>
      </c>
      <c r="Q131" s="8">
        <f>IFERROR(VLOOKUP(B131,cubo!$A$6:$BE$37,56,0)-VLOOKUP(B131,#REF!,$Q$2,0),0)</f>
        <v>0</v>
      </c>
      <c r="R131" s="9">
        <f>IFERROR(VLOOKUP(B131,cubo!$A$6:$BE$37,40,0)-VLOOKUP(B131,#REF!,$R$2,0),0)</f>
        <v>0</v>
      </c>
      <c r="S131" s="9">
        <f>IFERROR(VLOOKUP(B131,cubo!$A$6:$BE$37,43,0)-VLOOKUP(B131,#REF!,$S$2,0),0)</f>
        <v>0</v>
      </c>
      <c r="T131" s="9">
        <f>IFERROR(VLOOKUP(B131,cubo!$A$6:$BE$37,46,0)-VLOOKUP(B131,#REF!,$T$2,0),0)</f>
        <v>0</v>
      </c>
      <c r="U131" s="9">
        <f>IFERROR(VLOOKUP(B131,cubo!$A$6:$BE$37,51,0)-VLOOKUP(B131,#REF!,$U$2,0),0)</f>
        <v>0</v>
      </c>
      <c r="V131" s="9">
        <f>IFERROR(VLOOKUP(B131,cubo!$A$6:$BJ$37,60,0)-VLOOKUP(B131,#REF!,$V$2,0),0)</f>
        <v>0</v>
      </c>
      <c r="W131" s="9">
        <f>IFERROR(VLOOKUP(B131,cubo!$A$6:$BE$37,26,0)-VLOOKUP(B131,#REF!,$W$2,0),0)</f>
        <v>0</v>
      </c>
      <c r="X131" s="9">
        <f>IFERROR(VLOOKUP(B131,cubo!$A$6:$BE$37,20,0)-VLOOKUP(B131,#REF!,$X$2,0),0)</f>
        <v>0</v>
      </c>
      <c r="Y131" s="9">
        <f>IFERROR(VLOOKUP(B131,cubo!$A$6:$BE$37,21,0)-VLOOKUP(B131,#REF!,$Y$2,0),0)</f>
        <v>0</v>
      </c>
      <c r="Z131" s="9">
        <f>IFERROR(VLOOKUP(B131,cubo!$A$6:$BE$37,27,0)-VLOOKUP(B131,#REF!,$Z$2,0),0)</f>
        <v>0</v>
      </c>
      <c r="AA131" s="9">
        <f>IFERROR(VLOOKUP(B131,cubo!$A$6:$BE$37,28,0)-VLOOKUP(B131,#REF!,$AA$2,0),0)</f>
        <v>0</v>
      </c>
      <c r="AB131" s="9">
        <f>IFERROR(VLOOKUP(B131,cubo!$A$6:$BE$37,29,0)-VLOOKUP(B131,#REF!,$AB$2,0),0)</f>
        <v>0</v>
      </c>
      <c r="AC131" s="9">
        <f>IFERROR(VLOOKUP(B131,cubo!$A$6:$BE$37,30,0)-VLOOKUP(B131,#REF!,$AC$2,0),0)</f>
        <v>0</v>
      </c>
      <c r="AD131" s="9">
        <f>IFERROR(VLOOKUP(B131,cubo!$A$6:$BE$37,31,0)-VLOOKUP(B131,#REF!,$AD$2,0),0)</f>
        <v>0</v>
      </c>
      <c r="AE131" s="9">
        <f>IFERROR(VLOOKUP(B131,cubo!$A$6:$BE$37,35,0)-VLOOKUP(B131,#REF!,$AE$2,0),0)</f>
        <v>0</v>
      </c>
      <c r="AF131" s="9" cm="1">
        <f t="array" aca="1" ref="AF131" ca="1">IFERROR(rrPROCV(B131,cubo!$A$6:$BE$37,48,0)-VLOOKUP(B131,#REF!,$AF$2,0),0)</f>
        <v>0</v>
      </c>
      <c r="AG131" s="9">
        <f>IFERROR(VLOOKUP(B131,cubo!$A$6:$BE$37,49,0)-VLOOKUP(B131,#REF!,$AG$2,0),0)</f>
        <v>0</v>
      </c>
      <c r="AH131" s="9">
        <f>IFERROR(VLOOKUP(B131,cubo!$A$6:$BE$37,50,0)-VLOOKUP(B131,#REF!,$AH$2,0),0)</f>
        <v>0</v>
      </c>
      <c r="AI131" s="9">
        <f>IFERROR(VLOOKUP(B131,cubo!$A$6:$BE$37,51,0)-VLOOKUP(B131,#REF!,$AI$2,0),0)</f>
        <v>0</v>
      </c>
      <c r="AJ131" s="9">
        <f>IFERROR(VLOOKUP(B131,cubo!$A$6:$BI$116,62,0)-VLOOKUP(B131,#REF!,$AJ$2,0),0)</f>
        <v>0</v>
      </c>
      <c r="AK131" s="9">
        <f>IFERROR(VLOOKUP(B131,cubo!$A$6:$BJ$37,63,0)-VLOOKUP(B131,#REF!,$AK$2,0),0)</f>
        <v>0</v>
      </c>
      <c r="AL131" s="9">
        <f>IFERROR(VLOOKUP(B131,cubo!$A$6:$BE$37,58,0)-VLOOKUP(B131,#REF!,$AL$2,0),0)</f>
        <v>0</v>
      </c>
      <c r="AM131" s="9">
        <f>IFERROR(VLOOKUP(B131,cubo!$A$6:$BK$37,64,0)-VLOOKUP(B131,#REF!,$AM$2,0),0)</f>
        <v>0</v>
      </c>
      <c r="AN131" s="9">
        <f>IFERROR(VLOOKUP(B131,cubo!$A$6:$AN$37,41,0)-VLOOKUP(B131,#REF!,$AN$2,0),0)</f>
        <v>0</v>
      </c>
    </row>
    <row r="132" spans="2:40" x14ac:dyDescent="0.25">
      <c r="B132" s="7">
        <f>[1]salario!A131</f>
        <v>0</v>
      </c>
      <c r="C132" s="8">
        <f>[1]salario!C131</f>
        <v>0</v>
      </c>
      <c r="D132" s="9">
        <f>IFERROR(VLOOKUP(B132,cubo!$A$6:$BE$37,3,0)-VLOOKUP(B132,#REF!,$D$2,0),0)</f>
        <v>0</v>
      </c>
      <c r="E132" s="10">
        <f>IFERROR(VLOOKUP(B132,cubo!$A$6:$BE$37,5,0)-VLOOKUP(B132,#REF!,$E$2,0),0)</f>
        <v>0</v>
      </c>
      <c r="F132" s="10">
        <f>IFERROR(VLOOKUP(B132,cubo!$A$6:$BE$37,8,0)-VLOOKUP(B132,#REF!,$F$2,0),0)</f>
        <v>0</v>
      </c>
      <c r="G132" s="9">
        <f>IFERROR(VLOOKUP(B132,cubo!$A$6:$BE$37,11,0)-VLOOKUP(B132,#REF!,$G$2,0),0)</f>
        <v>0</v>
      </c>
      <c r="H132" s="9">
        <f>IFERROR(VLOOKUP(B132,cubo!$A$6:$BE$37,53,0)-VLOOKUP(B132,#REF!,$H$2,0),0)</f>
        <v>0</v>
      </c>
      <c r="I132" s="10">
        <f>IFERROR(VLOOKUP(B132,cubo!$A$6:$BE$37,14,0)-VLOOKUP(B132,#REF!,$I$2,0),0)</f>
        <v>0</v>
      </c>
      <c r="J132" s="9">
        <f>IFERROR(VLOOKUP(B132,cubo!$A$6:$BE$37,16,0)-VLOOKUP(B132,#REF!,$J$2,0),0)</f>
        <v>0</v>
      </c>
      <c r="K132" s="9">
        <f>IFERROR(VLOOKUP(B132,cubo!$A$6:$BE$37,17,0)-VLOOKUP(B132,#REF!,$K$2,0),0)</f>
        <v>0</v>
      </c>
      <c r="L132" s="9">
        <f>IFERROR(VLOOKUP(B132,cubo!$A$6:$BE$37,19,0)-VLOOKUP(B132,#REF!,$L$2,0),0)</f>
        <v>0</v>
      </c>
      <c r="M132" s="9">
        <f>IFERROR(VLOOKUP(B132,cubo!$A$6:$BE$37,23,0)-VLOOKUP(B132,#REF!,$M$2,0),0)</f>
        <v>0</v>
      </c>
      <c r="N132" s="9">
        <f>IFERROR(VLOOKUP(B132,cubo!$A$6:$BE$37,25,0)-VLOOKUP(B132,#REF!,$N$2,0),0)</f>
        <v>0</v>
      </c>
      <c r="O132" s="9">
        <f>IFERROR(VLOOKUP(B132,cubo!$A$6:$BE$37,33,0)-VLOOKUP(B132,#REF!,$O$2,0),0)</f>
        <v>0</v>
      </c>
      <c r="P132" s="8">
        <f>IFERROR(VLOOKUP(B132,cubo!$A$6:$BE$37,37,0)-VLOOKUP(B132,#REF!,$P$2,0),0)</f>
        <v>0</v>
      </c>
      <c r="Q132" s="8">
        <f>IFERROR(VLOOKUP(B132,cubo!$A$6:$BE$37,56,0)-VLOOKUP(B132,#REF!,$Q$2,0),0)</f>
        <v>0</v>
      </c>
      <c r="R132" s="9">
        <f>IFERROR(VLOOKUP(B132,cubo!$A$6:$BE$37,40,0)-VLOOKUP(B132,#REF!,$R$2,0),0)</f>
        <v>0</v>
      </c>
      <c r="S132" s="9">
        <f>IFERROR(VLOOKUP(B132,cubo!$A$6:$BE$37,43,0)-VLOOKUP(B132,#REF!,$S$2,0),0)</f>
        <v>0</v>
      </c>
      <c r="T132" s="9">
        <f>IFERROR(VLOOKUP(B132,cubo!$A$6:$BE$37,46,0)-VLOOKUP(B132,#REF!,$T$2,0),0)</f>
        <v>0</v>
      </c>
      <c r="U132" s="9">
        <f>IFERROR(VLOOKUP(B132,cubo!$A$6:$BE$37,51,0)-VLOOKUP(B132,#REF!,$U$2,0),0)</f>
        <v>0</v>
      </c>
      <c r="V132" s="9">
        <f>IFERROR(VLOOKUP(B132,cubo!$A$6:$BJ$37,60,0)-VLOOKUP(B132,#REF!,$V$2,0),0)</f>
        <v>0</v>
      </c>
      <c r="W132" s="9">
        <f>IFERROR(VLOOKUP(B132,cubo!$A$6:$BE$37,26,0)-VLOOKUP(B132,#REF!,$W$2,0),0)</f>
        <v>0</v>
      </c>
      <c r="X132" s="9">
        <f>IFERROR(VLOOKUP(B132,cubo!$A$6:$BE$37,20,0)-VLOOKUP(B132,#REF!,$X$2,0),0)</f>
        <v>0</v>
      </c>
      <c r="Y132" s="9">
        <f>IFERROR(VLOOKUP(B132,cubo!$A$6:$BE$37,21,0)-VLOOKUP(B132,#REF!,$Y$2,0),0)</f>
        <v>0</v>
      </c>
      <c r="Z132" s="9">
        <f>IFERROR(VLOOKUP(B132,cubo!$A$6:$BE$37,27,0)-VLOOKUP(B132,#REF!,$Z$2,0),0)</f>
        <v>0</v>
      </c>
      <c r="AA132" s="9">
        <f>IFERROR(VLOOKUP(B132,cubo!$A$6:$BE$37,28,0)-VLOOKUP(B132,#REF!,$AA$2,0),0)</f>
        <v>0</v>
      </c>
      <c r="AB132" s="9">
        <f>IFERROR(VLOOKUP(B132,cubo!$A$6:$BE$37,29,0)-VLOOKUP(B132,#REF!,$AB$2,0),0)</f>
        <v>0</v>
      </c>
      <c r="AC132" s="9">
        <f>IFERROR(VLOOKUP(B132,cubo!$A$6:$BE$37,30,0)-VLOOKUP(B132,#REF!,$AC$2,0),0)</f>
        <v>0</v>
      </c>
      <c r="AD132" s="9">
        <f>IFERROR(VLOOKUP(B132,cubo!$A$6:$BE$37,31,0)-VLOOKUP(B132,#REF!,$AD$2,0),0)</f>
        <v>0</v>
      </c>
      <c r="AE132" s="9">
        <f>IFERROR(VLOOKUP(B132,cubo!$A$6:$BE$37,35,0)-VLOOKUP(B132,#REF!,$AE$2,0),0)</f>
        <v>0</v>
      </c>
      <c r="AF132" s="9" cm="1">
        <f t="array" aca="1" ref="AF132" ca="1">IFERROR(rrPROCV(B132,cubo!$A$6:$BE$37,48,0)-VLOOKUP(B132,#REF!,$AF$2,0),0)</f>
        <v>0</v>
      </c>
      <c r="AG132" s="9">
        <f>IFERROR(VLOOKUP(B132,cubo!$A$6:$BE$37,49,0)-VLOOKUP(B132,#REF!,$AG$2,0),0)</f>
        <v>0</v>
      </c>
      <c r="AH132" s="9">
        <f>IFERROR(VLOOKUP(B132,cubo!$A$6:$BE$37,50,0)-VLOOKUP(B132,#REF!,$AH$2,0),0)</f>
        <v>0</v>
      </c>
      <c r="AI132" s="9">
        <f>IFERROR(VLOOKUP(B132,cubo!$A$6:$BE$37,51,0)-VLOOKUP(B132,#REF!,$AI$2,0),0)</f>
        <v>0</v>
      </c>
      <c r="AJ132" s="9">
        <f>IFERROR(VLOOKUP(B132,cubo!$A$6:$BI$116,62,0)-VLOOKUP(B132,#REF!,$AJ$2,0),0)</f>
        <v>0</v>
      </c>
      <c r="AK132" s="9">
        <f>IFERROR(VLOOKUP(B132,cubo!$A$6:$BJ$37,63,0)-VLOOKUP(B132,#REF!,$AK$2,0),0)</f>
        <v>0</v>
      </c>
      <c r="AL132" s="9">
        <f>IFERROR(VLOOKUP(B132,cubo!$A$6:$BE$37,58,0)-VLOOKUP(B132,#REF!,$AL$2,0),0)</f>
        <v>0</v>
      </c>
      <c r="AM132" s="9">
        <f>IFERROR(VLOOKUP(B132,cubo!$A$6:$BK$37,64,0)-VLOOKUP(B132,#REF!,$AM$2,0),0)</f>
        <v>0</v>
      </c>
      <c r="AN132" s="9">
        <f>IFERROR(VLOOKUP(B132,cubo!$A$6:$AN$37,41,0)-VLOOKUP(B132,#REF!,$AN$2,0),0)</f>
        <v>0</v>
      </c>
    </row>
    <row r="133" spans="2:40" x14ac:dyDescent="0.25">
      <c r="B133" s="7">
        <f>[1]salario!A132</f>
        <v>0</v>
      </c>
      <c r="C133" s="8">
        <f>[1]salario!C132</f>
        <v>0</v>
      </c>
      <c r="D133" s="9">
        <f>IFERROR(VLOOKUP(B133,cubo!$A$6:$BE$37,3,0)-VLOOKUP(B133,#REF!,$D$2,0),0)</f>
        <v>0</v>
      </c>
      <c r="E133" s="10">
        <f>IFERROR(VLOOKUP(B133,cubo!$A$6:$BE$37,5,0)-VLOOKUP(B133,#REF!,$E$2,0),0)</f>
        <v>0</v>
      </c>
      <c r="F133" s="10">
        <f>IFERROR(VLOOKUP(B133,cubo!$A$6:$BE$37,8,0)-VLOOKUP(B133,#REF!,$F$2,0),0)</f>
        <v>0</v>
      </c>
      <c r="G133" s="9">
        <f>IFERROR(VLOOKUP(B133,cubo!$A$6:$BE$37,11,0)-VLOOKUP(B133,#REF!,$G$2,0),0)</f>
        <v>0</v>
      </c>
      <c r="H133" s="9">
        <f>IFERROR(VLOOKUP(B133,cubo!$A$6:$BE$37,53,0)-VLOOKUP(B133,#REF!,$H$2,0),0)</f>
        <v>0</v>
      </c>
      <c r="I133" s="10">
        <f>IFERROR(VLOOKUP(B133,cubo!$A$6:$BE$37,14,0)-VLOOKUP(B133,#REF!,$I$2,0),0)</f>
        <v>0</v>
      </c>
      <c r="J133" s="9">
        <f>IFERROR(VLOOKUP(B133,cubo!$A$6:$BE$37,16,0)-VLOOKUP(B133,#REF!,$J$2,0),0)</f>
        <v>0</v>
      </c>
      <c r="K133" s="9">
        <f>IFERROR(VLOOKUP(B133,cubo!$A$6:$BE$37,17,0)-VLOOKUP(B133,#REF!,$K$2,0),0)</f>
        <v>0</v>
      </c>
      <c r="L133" s="9">
        <f>IFERROR(VLOOKUP(B133,cubo!$A$6:$BE$37,19,0)-VLOOKUP(B133,#REF!,$L$2,0),0)</f>
        <v>0</v>
      </c>
      <c r="M133" s="9">
        <f>IFERROR(VLOOKUP(B133,cubo!$A$6:$BE$37,23,0)-VLOOKUP(B133,#REF!,$M$2,0),0)</f>
        <v>0</v>
      </c>
      <c r="N133" s="9">
        <f>IFERROR(VLOOKUP(B133,cubo!$A$6:$BE$37,25,0)-VLOOKUP(B133,#REF!,$N$2,0),0)</f>
        <v>0</v>
      </c>
      <c r="O133" s="9">
        <f>IFERROR(VLOOKUP(B133,cubo!$A$6:$BE$37,33,0)-VLOOKUP(B133,#REF!,$O$2,0),0)</f>
        <v>0</v>
      </c>
      <c r="P133" s="8">
        <f>IFERROR(VLOOKUP(B133,cubo!$A$6:$BE$37,37,0)-VLOOKUP(B133,#REF!,$P$2,0),0)</f>
        <v>0</v>
      </c>
      <c r="Q133" s="8">
        <f>IFERROR(VLOOKUP(B133,cubo!$A$6:$BE$37,56,0)-VLOOKUP(B133,#REF!,$Q$2,0),0)</f>
        <v>0</v>
      </c>
      <c r="R133" s="9">
        <f>IFERROR(VLOOKUP(B133,cubo!$A$6:$BE$37,40,0)-VLOOKUP(B133,#REF!,$R$2,0),0)</f>
        <v>0</v>
      </c>
      <c r="S133" s="9">
        <f>IFERROR(VLOOKUP(B133,cubo!$A$6:$BE$37,43,0)-VLOOKUP(B133,#REF!,$S$2,0),0)</f>
        <v>0</v>
      </c>
      <c r="T133" s="9">
        <f>IFERROR(VLOOKUP(B133,cubo!$A$6:$BE$37,46,0)-VLOOKUP(B133,#REF!,$T$2,0),0)</f>
        <v>0</v>
      </c>
      <c r="U133" s="9">
        <f>IFERROR(VLOOKUP(B133,cubo!$A$6:$BE$37,51,0)-VLOOKUP(B133,#REF!,$U$2,0),0)</f>
        <v>0</v>
      </c>
      <c r="V133" s="9">
        <f>IFERROR(VLOOKUP(B133,cubo!$A$6:$BJ$37,60,0)-VLOOKUP(B133,#REF!,$V$2,0),0)</f>
        <v>0</v>
      </c>
      <c r="W133" s="9">
        <f>IFERROR(VLOOKUP(B133,cubo!$A$6:$BE$37,26,0)-VLOOKUP(B133,#REF!,$W$2,0),0)</f>
        <v>0</v>
      </c>
      <c r="X133" s="9">
        <f>IFERROR(VLOOKUP(B133,cubo!$A$6:$BE$37,20,0)-VLOOKUP(B133,#REF!,$X$2,0),0)</f>
        <v>0</v>
      </c>
      <c r="Y133" s="9">
        <f>IFERROR(VLOOKUP(B133,cubo!$A$6:$BE$37,21,0)-VLOOKUP(B133,#REF!,$Y$2,0),0)</f>
        <v>0</v>
      </c>
      <c r="Z133" s="9">
        <f>IFERROR(VLOOKUP(B133,cubo!$A$6:$BE$37,27,0)-VLOOKUP(B133,#REF!,$Z$2,0),0)</f>
        <v>0</v>
      </c>
      <c r="AA133" s="9">
        <f>IFERROR(VLOOKUP(B133,cubo!$A$6:$BE$37,28,0)-VLOOKUP(B133,#REF!,$AA$2,0),0)</f>
        <v>0</v>
      </c>
      <c r="AB133" s="9">
        <f>IFERROR(VLOOKUP(B133,cubo!$A$6:$BE$37,29,0)-VLOOKUP(B133,#REF!,$AB$2,0),0)</f>
        <v>0</v>
      </c>
      <c r="AC133" s="9">
        <f>IFERROR(VLOOKUP(B133,cubo!$A$6:$BE$37,30,0)-VLOOKUP(B133,#REF!,$AC$2,0),0)</f>
        <v>0</v>
      </c>
      <c r="AD133" s="9">
        <f>IFERROR(VLOOKUP(B133,cubo!$A$6:$BE$37,31,0)-VLOOKUP(B133,#REF!,$AD$2,0),0)</f>
        <v>0</v>
      </c>
      <c r="AE133" s="9">
        <f>IFERROR(VLOOKUP(B133,cubo!$A$6:$BE$37,35,0)-VLOOKUP(B133,#REF!,$AE$2,0),0)</f>
        <v>0</v>
      </c>
      <c r="AF133" s="9" cm="1">
        <f t="array" aca="1" ref="AF133" ca="1">IFERROR(rrPROCV(B133,cubo!$A$6:$BE$37,48,0)-VLOOKUP(B133,#REF!,$AF$2,0),0)</f>
        <v>0</v>
      </c>
      <c r="AG133" s="9">
        <f>IFERROR(VLOOKUP(B133,cubo!$A$6:$BE$37,49,0)-VLOOKUP(B133,#REF!,$AG$2,0),0)</f>
        <v>0</v>
      </c>
      <c r="AH133" s="9">
        <f>IFERROR(VLOOKUP(B133,cubo!$A$6:$BE$37,50,0)-VLOOKUP(B133,#REF!,$AH$2,0),0)</f>
        <v>0</v>
      </c>
      <c r="AI133" s="9">
        <f>IFERROR(VLOOKUP(B133,cubo!$A$6:$BE$37,51,0)-VLOOKUP(B133,#REF!,$AI$2,0),0)</f>
        <v>0</v>
      </c>
      <c r="AJ133" s="9">
        <f>IFERROR(VLOOKUP(B133,cubo!$A$6:$BI$116,62,0)-VLOOKUP(B133,#REF!,$AJ$2,0),0)</f>
        <v>0</v>
      </c>
      <c r="AK133" s="9">
        <f>IFERROR(VLOOKUP(B133,cubo!$A$6:$BJ$37,63,0)-VLOOKUP(B133,#REF!,$AK$2,0),0)</f>
        <v>0</v>
      </c>
      <c r="AL133" s="9">
        <f>IFERROR(VLOOKUP(B133,cubo!$A$6:$BE$37,58,0)-VLOOKUP(B133,#REF!,$AL$2,0),0)</f>
        <v>0</v>
      </c>
      <c r="AM133" s="9">
        <f>IFERROR(VLOOKUP(B133,cubo!$A$6:$BK$37,64,0)-VLOOKUP(B133,#REF!,$AM$2,0),0)</f>
        <v>0</v>
      </c>
      <c r="AN133" s="9">
        <f>IFERROR(VLOOKUP(B133,cubo!$A$6:$AN$37,41,0)-VLOOKUP(B133,#REF!,$AN$2,0),0)</f>
        <v>0</v>
      </c>
    </row>
    <row r="134" spans="2:40" x14ac:dyDescent="0.25">
      <c r="B134" s="7">
        <f>[1]salario!A133</f>
        <v>0</v>
      </c>
      <c r="C134" s="8">
        <f>[1]salario!C133</f>
        <v>0</v>
      </c>
      <c r="D134" s="9">
        <f>IFERROR(VLOOKUP(B134,cubo!$A$6:$BE$37,3,0)-VLOOKUP(B134,#REF!,$D$2,0),0)</f>
        <v>0</v>
      </c>
      <c r="E134" s="10">
        <f>IFERROR(VLOOKUP(B134,cubo!$A$6:$BE$37,5,0)-VLOOKUP(B134,#REF!,$E$2,0),0)</f>
        <v>0</v>
      </c>
      <c r="F134" s="10">
        <f>IFERROR(VLOOKUP(B134,cubo!$A$6:$BE$37,8,0)-VLOOKUP(B134,#REF!,$F$2,0),0)</f>
        <v>0</v>
      </c>
      <c r="G134" s="9">
        <f>IFERROR(VLOOKUP(B134,cubo!$A$6:$BE$37,11,0)-VLOOKUP(B134,#REF!,$G$2,0),0)</f>
        <v>0</v>
      </c>
      <c r="H134" s="9">
        <f>IFERROR(VLOOKUP(B134,cubo!$A$6:$BE$37,53,0)-VLOOKUP(B134,#REF!,$H$2,0),0)</f>
        <v>0</v>
      </c>
      <c r="I134" s="10">
        <f>IFERROR(VLOOKUP(B134,cubo!$A$6:$BE$37,14,0)-VLOOKUP(B134,#REF!,$I$2,0),0)</f>
        <v>0</v>
      </c>
      <c r="J134" s="9">
        <f>IFERROR(VLOOKUP(B134,cubo!$A$6:$BE$37,16,0)-VLOOKUP(B134,#REF!,$J$2,0),0)</f>
        <v>0</v>
      </c>
      <c r="K134" s="9">
        <f>IFERROR(VLOOKUP(B134,cubo!$A$6:$BE$37,17,0)-VLOOKUP(B134,#REF!,$K$2,0),0)</f>
        <v>0</v>
      </c>
      <c r="L134" s="9">
        <f>IFERROR(VLOOKUP(B134,cubo!$A$6:$BE$37,19,0)-VLOOKUP(B134,#REF!,$L$2,0),0)</f>
        <v>0</v>
      </c>
      <c r="M134" s="9">
        <f>IFERROR(VLOOKUP(B134,cubo!$A$6:$BE$37,23,0)-VLOOKUP(B134,#REF!,$M$2,0),0)</f>
        <v>0</v>
      </c>
      <c r="N134" s="9">
        <f>IFERROR(VLOOKUP(B134,cubo!$A$6:$BE$37,25,0)-VLOOKUP(B134,#REF!,$N$2,0),0)</f>
        <v>0</v>
      </c>
      <c r="O134" s="9">
        <f>IFERROR(VLOOKUP(B134,cubo!$A$6:$BE$37,33,0)-VLOOKUP(B134,#REF!,$O$2,0),0)</f>
        <v>0</v>
      </c>
      <c r="P134" s="8">
        <f>IFERROR(VLOOKUP(B134,cubo!$A$6:$BE$37,37,0)-VLOOKUP(B134,#REF!,$P$2,0),0)</f>
        <v>0</v>
      </c>
      <c r="Q134" s="8">
        <f>IFERROR(VLOOKUP(B134,cubo!$A$6:$BE$37,56,0)-VLOOKUP(B134,#REF!,$Q$2,0),0)</f>
        <v>0</v>
      </c>
      <c r="R134" s="9">
        <f>IFERROR(VLOOKUP(B134,cubo!$A$6:$BE$37,40,0)-VLOOKUP(B134,#REF!,$R$2,0),0)</f>
        <v>0</v>
      </c>
      <c r="S134" s="9">
        <f>IFERROR(VLOOKUP(B134,cubo!$A$6:$BE$37,43,0)-VLOOKUP(B134,#REF!,$S$2,0),0)</f>
        <v>0</v>
      </c>
      <c r="T134" s="9">
        <f>IFERROR(VLOOKUP(B134,cubo!$A$6:$BE$37,46,0)-VLOOKUP(B134,#REF!,$T$2,0),0)</f>
        <v>0</v>
      </c>
      <c r="U134" s="9">
        <f>IFERROR(VLOOKUP(B134,cubo!$A$6:$BE$37,51,0)-VLOOKUP(B134,#REF!,$U$2,0),0)</f>
        <v>0</v>
      </c>
      <c r="V134" s="9">
        <f>IFERROR(VLOOKUP(B134,cubo!$A$6:$BJ$37,60,0)-VLOOKUP(B134,#REF!,$V$2,0),0)</f>
        <v>0</v>
      </c>
      <c r="W134" s="9">
        <f>IFERROR(VLOOKUP(B134,cubo!$A$6:$BE$37,26,0)-VLOOKUP(B134,#REF!,$W$2,0),0)</f>
        <v>0</v>
      </c>
      <c r="X134" s="9">
        <f>IFERROR(VLOOKUP(B134,cubo!$A$6:$BE$37,20,0)-VLOOKUP(B134,#REF!,$X$2,0),0)</f>
        <v>0</v>
      </c>
      <c r="Y134" s="9">
        <f>IFERROR(VLOOKUP(B134,cubo!$A$6:$BE$37,21,0)-VLOOKUP(B134,#REF!,$Y$2,0),0)</f>
        <v>0</v>
      </c>
      <c r="Z134" s="9">
        <f>IFERROR(VLOOKUP(B134,cubo!$A$6:$BE$37,27,0)-VLOOKUP(B134,#REF!,$Z$2,0),0)</f>
        <v>0</v>
      </c>
      <c r="AA134" s="9">
        <f>IFERROR(VLOOKUP(B134,cubo!$A$6:$BE$37,28,0)-VLOOKUP(B134,#REF!,$AA$2,0),0)</f>
        <v>0</v>
      </c>
      <c r="AB134" s="9">
        <f>IFERROR(VLOOKUP(B134,cubo!$A$6:$BE$37,29,0)-VLOOKUP(B134,#REF!,$AB$2,0),0)</f>
        <v>0</v>
      </c>
      <c r="AC134" s="9">
        <f>IFERROR(VLOOKUP(B134,cubo!$A$6:$BE$37,30,0)-VLOOKUP(B134,#REF!,$AC$2,0),0)</f>
        <v>0</v>
      </c>
      <c r="AD134" s="9">
        <f>IFERROR(VLOOKUP(B134,cubo!$A$6:$BE$37,31,0)-VLOOKUP(B134,#REF!,$AD$2,0),0)</f>
        <v>0</v>
      </c>
      <c r="AE134" s="9">
        <f>IFERROR(VLOOKUP(B134,cubo!$A$6:$BE$37,35,0)-VLOOKUP(B134,#REF!,$AE$2,0),0)</f>
        <v>0</v>
      </c>
      <c r="AF134" s="9" cm="1">
        <f t="array" aca="1" ref="AF134" ca="1">IFERROR(rrPROCV(B134,cubo!$A$6:$BE$37,48,0)-VLOOKUP(B134,#REF!,$AF$2,0),0)</f>
        <v>0</v>
      </c>
      <c r="AG134" s="9">
        <f>IFERROR(VLOOKUP(B134,cubo!$A$6:$BE$37,49,0)-VLOOKUP(B134,#REF!,$AG$2,0),0)</f>
        <v>0</v>
      </c>
      <c r="AH134" s="9">
        <f>IFERROR(VLOOKUP(B134,cubo!$A$6:$BE$37,50,0)-VLOOKUP(B134,#REF!,$AH$2,0),0)</f>
        <v>0</v>
      </c>
      <c r="AI134" s="9">
        <f>IFERROR(VLOOKUP(B134,cubo!$A$6:$BE$37,51,0)-VLOOKUP(B134,#REF!,$AI$2,0),0)</f>
        <v>0</v>
      </c>
      <c r="AJ134" s="9">
        <f>IFERROR(VLOOKUP(B134,cubo!$A$6:$BI$116,62,0)-VLOOKUP(B134,#REF!,$AJ$2,0),0)</f>
        <v>0</v>
      </c>
      <c r="AK134" s="9">
        <f>IFERROR(VLOOKUP(B134,cubo!$A$6:$BJ$37,63,0)-VLOOKUP(B134,#REF!,$AK$2,0),0)</f>
        <v>0</v>
      </c>
      <c r="AL134" s="9">
        <f>IFERROR(VLOOKUP(B134,cubo!$A$6:$BE$37,58,0)-VLOOKUP(B134,#REF!,$AL$2,0),0)</f>
        <v>0</v>
      </c>
      <c r="AM134" s="9">
        <f>IFERROR(VLOOKUP(B134,cubo!$A$6:$BK$37,64,0)-VLOOKUP(B134,#REF!,$AM$2,0),0)</f>
        <v>0</v>
      </c>
      <c r="AN134" s="9">
        <f>IFERROR(VLOOKUP(B134,cubo!$A$6:$AN$37,41,0)-VLOOKUP(B134,#REF!,$AN$2,0),0)</f>
        <v>0</v>
      </c>
    </row>
    <row r="135" spans="2:40" x14ac:dyDescent="0.25">
      <c r="B135" s="7">
        <f>[1]salario!A134</f>
        <v>0</v>
      </c>
      <c r="C135" s="8">
        <f>[1]salario!C134</f>
        <v>0</v>
      </c>
      <c r="D135" s="9">
        <f>IFERROR(VLOOKUP(B135,cubo!$A$6:$BE$37,3,0)-VLOOKUP(B135,#REF!,$D$2,0),0)</f>
        <v>0</v>
      </c>
      <c r="E135" s="10">
        <f>IFERROR(VLOOKUP(B135,cubo!$A$6:$BE$37,5,0)-VLOOKUP(B135,#REF!,$E$2,0),0)</f>
        <v>0</v>
      </c>
      <c r="F135" s="10">
        <f>IFERROR(VLOOKUP(B135,cubo!$A$6:$BE$37,8,0)-VLOOKUP(B135,#REF!,$F$2,0),0)</f>
        <v>0</v>
      </c>
      <c r="G135" s="9">
        <f>IFERROR(VLOOKUP(B135,cubo!$A$6:$BE$37,11,0)-VLOOKUP(B135,#REF!,$G$2,0),0)</f>
        <v>0</v>
      </c>
      <c r="H135" s="9">
        <f>IFERROR(VLOOKUP(B135,cubo!$A$6:$BE$37,53,0)-VLOOKUP(B135,#REF!,$H$2,0),0)</f>
        <v>0</v>
      </c>
      <c r="I135" s="10">
        <f>IFERROR(VLOOKUP(B135,cubo!$A$6:$BE$37,14,0)-VLOOKUP(B135,#REF!,$I$2,0),0)</f>
        <v>0</v>
      </c>
      <c r="J135" s="9">
        <f>IFERROR(VLOOKUP(B135,cubo!$A$6:$BE$37,16,0)-VLOOKUP(B135,#REF!,$J$2,0),0)</f>
        <v>0</v>
      </c>
      <c r="K135" s="9">
        <f>IFERROR(VLOOKUP(B135,cubo!$A$6:$BE$37,17,0)-VLOOKUP(B135,#REF!,$K$2,0),0)</f>
        <v>0</v>
      </c>
      <c r="L135" s="9">
        <f>IFERROR(VLOOKUP(B135,cubo!$A$6:$BE$37,19,0)-VLOOKUP(B135,#REF!,$L$2,0),0)</f>
        <v>0</v>
      </c>
      <c r="M135" s="9">
        <f>IFERROR(VLOOKUP(B135,cubo!$A$6:$BE$37,23,0)-VLOOKUP(B135,#REF!,$M$2,0),0)</f>
        <v>0</v>
      </c>
      <c r="N135" s="9">
        <f>IFERROR(VLOOKUP(B135,cubo!$A$6:$BE$37,25,0)-VLOOKUP(B135,#REF!,$N$2,0),0)</f>
        <v>0</v>
      </c>
      <c r="O135" s="9">
        <f>IFERROR(VLOOKUP(B135,cubo!$A$6:$BE$37,33,0)-VLOOKUP(B135,#REF!,$O$2,0),0)</f>
        <v>0</v>
      </c>
      <c r="P135" s="8">
        <f>IFERROR(VLOOKUP(B135,cubo!$A$6:$BE$37,37,0)-VLOOKUP(B135,#REF!,$P$2,0),0)</f>
        <v>0</v>
      </c>
      <c r="Q135" s="8">
        <f>IFERROR(VLOOKUP(B135,cubo!$A$6:$BE$37,56,0)-VLOOKUP(B135,#REF!,$Q$2,0),0)</f>
        <v>0</v>
      </c>
      <c r="R135" s="9">
        <f>IFERROR(VLOOKUP(B135,cubo!$A$6:$BE$37,40,0)-VLOOKUP(B135,#REF!,$R$2,0),0)</f>
        <v>0</v>
      </c>
      <c r="S135" s="9">
        <f>IFERROR(VLOOKUP(B135,cubo!$A$6:$BE$37,43,0)-VLOOKUP(B135,#REF!,$S$2,0),0)</f>
        <v>0</v>
      </c>
      <c r="T135" s="9">
        <f>IFERROR(VLOOKUP(B135,cubo!$A$6:$BE$37,46,0)-VLOOKUP(B135,#REF!,$T$2,0),0)</f>
        <v>0</v>
      </c>
      <c r="U135" s="9">
        <f>IFERROR(VLOOKUP(B135,cubo!$A$6:$BE$37,51,0)-VLOOKUP(B135,#REF!,$U$2,0),0)</f>
        <v>0</v>
      </c>
      <c r="V135" s="9">
        <f>IFERROR(VLOOKUP(B135,cubo!$A$6:$BJ$37,60,0)-VLOOKUP(B135,#REF!,$V$2,0),0)</f>
        <v>0</v>
      </c>
      <c r="W135" s="9">
        <f>IFERROR(VLOOKUP(B135,cubo!$A$6:$BE$37,26,0)-VLOOKUP(B135,#REF!,$W$2,0),0)</f>
        <v>0</v>
      </c>
      <c r="X135" s="9">
        <f>IFERROR(VLOOKUP(B135,cubo!$A$6:$BE$37,20,0)-VLOOKUP(B135,#REF!,$X$2,0),0)</f>
        <v>0</v>
      </c>
      <c r="Y135" s="9">
        <f>IFERROR(VLOOKUP(B135,cubo!$A$6:$BE$37,21,0)-VLOOKUP(B135,#REF!,$Y$2,0),0)</f>
        <v>0</v>
      </c>
      <c r="Z135" s="9">
        <f>IFERROR(VLOOKUP(B135,cubo!$A$6:$BE$37,27,0)-VLOOKUP(B135,#REF!,$Z$2,0),0)</f>
        <v>0</v>
      </c>
      <c r="AA135" s="9">
        <f>IFERROR(VLOOKUP(B135,cubo!$A$6:$BE$37,28,0)-VLOOKUP(B135,#REF!,$AA$2,0),0)</f>
        <v>0</v>
      </c>
      <c r="AB135" s="9">
        <f>IFERROR(VLOOKUP(B135,cubo!$A$6:$BE$37,29,0)-VLOOKUP(B135,#REF!,$AB$2,0),0)</f>
        <v>0</v>
      </c>
      <c r="AC135" s="9">
        <f>IFERROR(VLOOKUP(B135,cubo!$A$6:$BE$37,30,0)-VLOOKUP(B135,#REF!,$AC$2,0),0)</f>
        <v>0</v>
      </c>
      <c r="AD135" s="9">
        <f>IFERROR(VLOOKUP(B135,cubo!$A$6:$BE$37,31,0)-VLOOKUP(B135,#REF!,$AD$2,0),0)</f>
        <v>0</v>
      </c>
      <c r="AE135" s="9">
        <f>IFERROR(VLOOKUP(B135,cubo!$A$6:$BE$37,35,0)-VLOOKUP(B135,#REF!,$AE$2,0),0)</f>
        <v>0</v>
      </c>
      <c r="AF135" s="9" cm="1">
        <f t="array" aca="1" ref="AF135" ca="1">IFERROR(rrPROCV(B135,cubo!$A$6:$BE$37,48,0)-VLOOKUP(B135,#REF!,$AF$2,0),0)</f>
        <v>0</v>
      </c>
      <c r="AG135" s="9">
        <f>IFERROR(VLOOKUP(B135,cubo!$A$6:$BE$37,49,0)-VLOOKUP(B135,#REF!,$AG$2,0),0)</f>
        <v>0</v>
      </c>
      <c r="AH135" s="9">
        <f>IFERROR(VLOOKUP(B135,cubo!$A$6:$BE$37,50,0)-VLOOKUP(B135,#REF!,$AH$2,0),0)</f>
        <v>0</v>
      </c>
      <c r="AI135" s="9">
        <f>IFERROR(VLOOKUP(B135,cubo!$A$6:$BE$37,51,0)-VLOOKUP(B135,#REF!,$AI$2,0),0)</f>
        <v>0</v>
      </c>
      <c r="AJ135" s="9">
        <f>IFERROR(VLOOKUP(B135,cubo!$A$6:$BI$116,62,0)-VLOOKUP(B135,#REF!,$AJ$2,0),0)</f>
        <v>0</v>
      </c>
      <c r="AK135" s="9">
        <f>IFERROR(VLOOKUP(B135,cubo!$A$6:$BJ$37,63,0)-VLOOKUP(B135,#REF!,$AK$2,0),0)</f>
        <v>0</v>
      </c>
      <c r="AL135" s="9">
        <f>IFERROR(VLOOKUP(B135,cubo!$A$6:$BE$37,58,0)-VLOOKUP(B135,#REF!,$AL$2,0),0)</f>
        <v>0</v>
      </c>
      <c r="AM135" s="9">
        <f>IFERROR(VLOOKUP(B135,cubo!$A$6:$BK$37,64,0)-VLOOKUP(B135,#REF!,$AM$2,0),0)</f>
        <v>0</v>
      </c>
      <c r="AN135" s="9">
        <f>IFERROR(VLOOKUP(B135,cubo!$A$6:$AN$37,41,0)-VLOOKUP(B135,#REF!,$AN$2,0),0)</f>
        <v>0</v>
      </c>
    </row>
    <row r="136" spans="2:40" x14ac:dyDescent="0.25">
      <c r="B136" s="7">
        <f>[1]salario!A135</f>
        <v>0</v>
      </c>
      <c r="C136" s="8">
        <f>[1]salario!C135</f>
        <v>0</v>
      </c>
      <c r="D136" s="9">
        <f>IFERROR(VLOOKUP(B136,cubo!$A$6:$BE$37,3,0)-VLOOKUP(B136,#REF!,$D$2,0),0)</f>
        <v>0</v>
      </c>
      <c r="E136" s="10">
        <f>IFERROR(VLOOKUP(B136,cubo!$A$6:$BE$37,5,0)-VLOOKUP(B136,#REF!,$E$2,0),0)</f>
        <v>0</v>
      </c>
      <c r="F136" s="10">
        <f>IFERROR(VLOOKUP(B136,cubo!$A$6:$BE$37,8,0)-VLOOKUP(B136,#REF!,$F$2,0),0)</f>
        <v>0</v>
      </c>
      <c r="G136" s="9">
        <f>IFERROR(VLOOKUP(B136,cubo!$A$6:$BE$37,11,0)-VLOOKUP(B136,#REF!,$G$2,0),0)</f>
        <v>0</v>
      </c>
      <c r="H136" s="9">
        <f>IFERROR(VLOOKUP(B136,cubo!$A$6:$BE$37,53,0)-VLOOKUP(B136,#REF!,$H$2,0),0)</f>
        <v>0</v>
      </c>
      <c r="I136" s="10">
        <f>IFERROR(VLOOKUP(B136,cubo!$A$6:$BE$37,14,0)-VLOOKUP(B136,#REF!,$I$2,0),0)</f>
        <v>0</v>
      </c>
      <c r="J136" s="9">
        <f>IFERROR(VLOOKUP(B136,cubo!$A$6:$BE$37,16,0)-VLOOKUP(B136,#REF!,$J$2,0),0)</f>
        <v>0</v>
      </c>
      <c r="K136" s="9">
        <f>IFERROR(VLOOKUP(B136,cubo!$A$6:$BE$37,17,0)-VLOOKUP(B136,#REF!,$K$2,0),0)</f>
        <v>0</v>
      </c>
      <c r="L136" s="9">
        <f>IFERROR(VLOOKUP(B136,cubo!$A$6:$BE$37,19,0)-VLOOKUP(B136,#REF!,$L$2,0),0)</f>
        <v>0</v>
      </c>
      <c r="M136" s="9">
        <f>IFERROR(VLOOKUP(B136,cubo!$A$6:$BE$37,23,0)-VLOOKUP(B136,#REF!,$M$2,0),0)</f>
        <v>0</v>
      </c>
      <c r="N136" s="9">
        <f>IFERROR(VLOOKUP(B136,cubo!$A$6:$BE$37,25,0)-VLOOKUP(B136,#REF!,$N$2,0),0)</f>
        <v>0</v>
      </c>
      <c r="O136" s="9">
        <f>IFERROR(VLOOKUP(B136,cubo!$A$6:$BE$37,33,0)-VLOOKUP(B136,#REF!,$O$2,0),0)</f>
        <v>0</v>
      </c>
      <c r="P136" s="8">
        <f>IFERROR(VLOOKUP(B136,cubo!$A$6:$BE$37,37,0)-VLOOKUP(B136,#REF!,$P$2,0),0)</f>
        <v>0</v>
      </c>
      <c r="Q136" s="8">
        <f>IFERROR(VLOOKUP(B136,cubo!$A$6:$BE$37,56,0)-VLOOKUP(B136,#REF!,$Q$2,0),0)</f>
        <v>0</v>
      </c>
      <c r="R136" s="9">
        <f>IFERROR(VLOOKUP(B136,cubo!$A$6:$BE$37,40,0)-VLOOKUP(B136,#REF!,$R$2,0),0)</f>
        <v>0</v>
      </c>
      <c r="S136" s="9">
        <f>IFERROR(VLOOKUP(B136,cubo!$A$6:$BE$37,43,0)-VLOOKUP(B136,#REF!,$S$2,0),0)</f>
        <v>0</v>
      </c>
      <c r="T136" s="9">
        <f>IFERROR(VLOOKUP(B136,cubo!$A$6:$BE$37,46,0)-VLOOKUP(B136,#REF!,$T$2,0),0)</f>
        <v>0</v>
      </c>
      <c r="U136" s="9">
        <f>IFERROR(VLOOKUP(B136,cubo!$A$6:$BE$37,51,0)-VLOOKUP(B136,#REF!,$U$2,0),0)</f>
        <v>0</v>
      </c>
      <c r="V136" s="9">
        <f>IFERROR(VLOOKUP(B136,cubo!$A$6:$BJ$37,60,0)-VLOOKUP(B136,#REF!,$V$2,0),0)</f>
        <v>0</v>
      </c>
      <c r="W136" s="9">
        <f>IFERROR(VLOOKUP(B136,cubo!$A$6:$BE$37,26,0)-VLOOKUP(B136,#REF!,$W$2,0),0)</f>
        <v>0</v>
      </c>
      <c r="X136" s="9">
        <f>IFERROR(VLOOKUP(B136,cubo!$A$6:$BE$37,20,0)-VLOOKUP(B136,#REF!,$X$2,0),0)</f>
        <v>0</v>
      </c>
      <c r="Y136" s="9">
        <f>IFERROR(VLOOKUP(B136,cubo!$A$6:$BE$37,21,0)-VLOOKUP(B136,#REF!,$Y$2,0),0)</f>
        <v>0</v>
      </c>
      <c r="Z136" s="9">
        <f>IFERROR(VLOOKUP(B136,cubo!$A$6:$BE$37,27,0)-VLOOKUP(B136,#REF!,$Z$2,0),0)</f>
        <v>0</v>
      </c>
      <c r="AA136" s="9">
        <f>IFERROR(VLOOKUP(B136,cubo!$A$6:$BE$37,28,0)-VLOOKUP(B136,#REF!,$AA$2,0),0)</f>
        <v>0</v>
      </c>
      <c r="AB136" s="9">
        <f>IFERROR(VLOOKUP(B136,cubo!$A$6:$BE$37,29,0)-VLOOKUP(B136,#REF!,$AB$2,0),0)</f>
        <v>0</v>
      </c>
      <c r="AC136" s="9">
        <f>IFERROR(VLOOKUP(B136,cubo!$A$6:$BE$37,30,0)-VLOOKUP(B136,#REF!,$AC$2,0),0)</f>
        <v>0</v>
      </c>
      <c r="AD136" s="9">
        <f>IFERROR(VLOOKUP(B136,cubo!$A$6:$BE$37,31,0)-VLOOKUP(B136,#REF!,$AD$2,0),0)</f>
        <v>0</v>
      </c>
      <c r="AE136" s="9">
        <f>IFERROR(VLOOKUP(B136,cubo!$A$6:$BE$37,35,0)-VLOOKUP(B136,#REF!,$AE$2,0),0)</f>
        <v>0</v>
      </c>
      <c r="AF136" s="9" cm="1">
        <f t="array" aca="1" ref="AF136" ca="1">IFERROR(rrPROCV(B136,cubo!$A$6:$BE$37,48,0)-VLOOKUP(B136,#REF!,$AF$2,0),0)</f>
        <v>0</v>
      </c>
      <c r="AG136" s="9">
        <f>IFERROR(VLOOKUP(B136,cubo!$A$6:$BE$37,49,0)-VLOOKUP(B136,#REF!,$AG$2,0),0)</f>
        <v>0</v>
      </c>
      <c r="AH136" s="9">
        <f>IFERROR(VLOOKUP(B136,cubo!$A$6:$BE$37,50,0)-VLOOKUP(B136,#REF!,$AH$2,0),0)</f>
        <v>0</v>
      </c>
      <c r="AI136" s="9">
        <f>IFERROR(VLOOKUP(B136,cubo!$A$6:$BE$37,51,0)-VLOOKUP(B136,#REF!,$AI$2,0),0)</f>
        <v>0</v>
      </c>
      <c r="AJ136" s="9">
        <f>IFERROR(VLOOKUP(B136,cubo!$A$6:$BI$116,62,0)-VLOOKUP(B136,#REF!,$AJ$2,0),0)</f>
        <v>0</v>
      </c>
      <c r="AK136" s="9">
        <f>IFERROR(VLOOKUP(B136,cubo!$A$6:$BJ$37,63,0)-VLOOKUP(B136,#REF!,$AK$2,0),0)</f>
        <v>0</v>
      </c>
      <c r="AL136" s="9">
        <f>IFERROR(VLOOKUP(B136,cubo!$A$6:$BE$37,58,0)-VLOOKUP(B136,#REF!,$AL$2,0),0)</f>
        <v>0</v>
      </c>
      <c r="AM136" s="9">
        <f>IFERROR(VLOOKUP(B136,cubo!$A$6:$BK$37,64,0)-VLOOKUP(B136,#REF!,$AM$2,0),0)</f>
        <v>0</v>
      </c>
      <c r="AN136" s="9">
        <f>IFERROR(VLOOKUP(B136,cubo!$A$6:$AN$37,41,0)-VLOOKUP(B136,#REF!,$AN$2,0),0)</f>
        <v>0</v>
      </c>
    </row>
    <row r="137" spans="2:40" x14ac:dyDescent="0.25">
      <c r="B137" s="7">
        <f>[1]salario!A136</f>
        <v>0</v>
      </c>
      <c r="C137" s="8">
        <f>[1]salario!C136</f>
        <v>0</v>
      </c>
      <c r="D137" s="9">
        <f>IFERROR(VLOOKUP(B137,cubo!$A$6:$BE$37,3,0)-VLOOKUP(B137,#REF!,$D$2,0),0)</f>
        <v>0</v>
      </c>
      <c r="E137" s="10">
        <f>IFERROR(VLOOKUP(B137,cubo!$A$6:$BE$37,5,0)-VLOOKUP(B137,#REF!,$E$2,0),0)</f>
        <v>0</v>
      </c>
      <c r="F137" s="10">
        <f>IFERROR(VLOOKUP(B137,cubo!$A$6:$BE$37,8,0)-VLOOKUP(B137,#REF!,$F$2,0),0)</f>
        <v>0</v>
      </c>
      <c r="G137" s="9">
        <f>IFERROR(VLOOKUP(B137,cubo!$A$6:$BE$37,11,0)-VLOOKUP(B137,#REF!,$G$2,0),0)</f>
        <v>0</v>
      </c>
      <c r="H137" s="9">
        <f>IFERROR(VLOOKUP(B137,cubo!$A$6:$BE$37,53,0)-VLOOKUP(B137,#REF!,$H$2,0),0)</f>
        <v>0</v>
      </c>
      <c r="I137" s="10">
        <f>IFERROR(VLOOKUP(B137,cubo!$A$6:$BE$37,14,0)-VLOOKUP(B137,#REF!,$I$2,0),0)</f>
        <v>0</v>
      </c>
      <c r="J137" s="9">
        <f>IFERROR(VLOOKUP(B137,cubo!$A$6:$BE$37,16,0)-VLOOKUP(B137,#REF!,$J$2,0),0)</f>
        <v>0</v>
      </c>
      <c r="K137" s="9">
        <f>IFERROR(VLOOKUP(B137,cubo!$A$6:$BE$37,17,0)-VLOOKUP(B137,#REF!,$K$2,0),0)</f>
        <v>0</v>
      </c>
      <c r="L137" s="9">
        <f>IFERROR(VLOOKUP(B137,cubo!$A$6:$BE$37,19,0)-VLOOKUP(B137,#REF!,$L$2,0),0)</f>
        <v>0</v>
      </c>
      <c r="M137" s="9">
        <f>IFERROR(VLOOKUP(B137,cubo!$A$6:$BE$37,23,0)-VLOOKUP(B137,#REF!,$M$2,0),0)</f>
        <v>0</v>
      </c>
      <c r="N137" s="9">
        <f>IFERROR(VLOOKUP(B137,cubo!$A$6:$BE$37,25,0)-VLOOKUP(B137,#REF!,$N$2,0),0)</f>
        <v>0</v>
      </c>
      <c r="O137" s="9">
        <f>IFERROR(VLOOKUP(B137,cubo!$A$6:$BE$37,33,0)-VLOOKUP(B137,#REF!,$O$2,0),0)</f>
        <v>0</v>
      </c>
      <c r="P137" s="8">
        <f>IFERROR(VLOOKUP(B137,cubo!$A$6:$BE$37,37,0)-VLOOKUP(B137,#REF!,$P$2,0),0)</f>
        <v>0</v>
      </c>
      <c r="Q137" s="8">
        <f>IFERROR(VLOOKUP(B137,cubo!$A$6:$BE$37,56,0)-VLOOKUP(B137,#REF!,$Q$2,0),0)</f>
        <v>0</v>
      </c>
      <c r="R137" s="9">
        <f>IFERROR(VLOOKUP(B137,cubo!$A$6:$BE$37,40,0)-VLOOKUP(B137,#REF!,$R$2,0),0)</f>
        <v>0</v>
      </c>
      <c r="S137" s="9">
        <f>IFERROR(VLOOKUP(B137,cubo!$A$6:$BE$37,43,0)-VLOOKUP(B137,#REF!,$S$2,0),0)</f>
        <v>0</v>
      </c>
      <c r="T137" s="9">
        <f>IFERROR(VLOOKUP(B137,cubo!$A$6:$BE$37,46,0)-VLOOKUP(B137,#REF!,$T$2,0),0)</f>
        <v>0</v>
      </c>
      <c r="U137" s="9">
        <f>IFERROR(VLOOKUP(B137,cubo!$A$6:$BE$37,51,0)-VLOOKUP(B137,#REF!,$U$2,0),0)</f>
        <v>0</v>
      </c>
      <c r="V137" s="9">
        <f>IFERROR(VLOOKUP(B137,cubo!$A$6:$BJ$37,60,0)-VLOOKUP(B137,#REF!,$V$2,0),0)</f>
        <v>0</v>
      </c>
      <c r="W137" s="9">
        <f>IFERROR(VLOOKUP(B137,cubo!$A$6:$BE$37,26,0)-VLOOKUP(B137,#REF!,$W$2,0),0)</f>
        <v>0</v>
      </c>
      <c r="X137" s="9">
        <f>IFERROR(VLOOKUP(B137,cubo!$A$6:$BE$37,20,0)-VLOOKUP(B137,#REF!,$X$2,0),0)</f>
        <v>0</v>
      </c>
      <c r="Y137" s="9">
        <f>IFERROR(VLOOKUP(B137,cubo!$A$6:$BE$37,21,0)-VLOOKUP(B137,#REF!,$Y$2,0),0)</f>
        <v>0</v>
      </c>
      <c r="Z137" s="9">
        <f>IFERROR(VLOOKUP(B137,cubo!$A$6:$BE$37,27,0)-VLOOKUP(B137,#REF!,$Z$2,0),0)</f>
        <v>0</v>
      </c>
      <c r="AA137" s="9">
        <f>IFERROR(VLOOKUP(B137,cubo!$A$6:$BE$37,28,0)-VLOOKUP(B137,#REF!,$AA$2,0),0)</f>
        <v>0</v>
      </c>
      <c r="AB137" s="9">
        <f>IFERROR(VLOOKUP(B137,cubo!$A$6:$BE$37,29,0)-VLOOKUP(B137,#REF!,$AB$2,0),0)</f>
        <v>0</v>
      </c>
      <c r="AC137" s="9">
        <f>IFERROR(VLOOKUP(B137,cubo!$A$6:$BE$37,30,0)-VLOOKUP(B137,#REF!,$AC$2,0),0)</f>
        <v>0</v>
      </c>
      <c r="AD137" s="9">
        <f>IFERROR(VLOOKUP(B137,cubo!$A$6:$BE$37,31,0)-VLOOKUP(B137,#REF!,$AD$2,0),0)</f>
        <v>0</v>
      </c>
      <c r="AE137" s="9">
        <f>IFERROR(VLOOKUP(B137,cubo!$A$6:$BE$37,35,0)-VLOOKUP(B137,#REF!,$AE$2,0),0)</f>
        <v>0</v>
      </c>
      <c r="AF137" s="9" cm="1">
        <f t="array" aca="1" ref="AF137" ca="1">IFERROR(rrPROCV(B137,cubo!$A$6:$BE$37,48,0)-VLOOKUP(B137,#REF!,$AF$2,0),0)</f>
        <v>0</v>
      </c>
      <c r="AG137" s="9">
        <f>IFERROR(VLOOKUP(B137,cubo!$A$6:$BE$37,49,0)-VLOOKUP(B137,#REF!,$AG$2,0),0)</f>
        <v>0</v>
      </c>
      <c r="AH137" s="9">
        <f>IFERROR(VLOOKUP(B137,cubo!$A$6:$BE$37,50,0)-VLOOKUP(B137,#REF!,$AH$2,0),0)</f>
        <v>0</v>
      </c>
      <c r="AI137" s="9">
        <f>IFERROR(VLOOKUP(B137,cubo!$A$6:$BE$37,51,0)-VLOOKUP(B137,#REF!,$AI$2,0),0)</f>
        <v>0</v>
      </c>
      <c r="AJ137" s="9">
        <f>IFERROR(VLOOKUP(B137,cubo!$A$6:$BI$116,62,0)-VLOOKUP(B137,#REF!,$AJ$2,0),0)</f>
        <v>0</v>
      </c>
      <c r="AK137" s="9">
        <f>IFERROR(VLOOKUP(B137,cubo!$A$6:$BJ$37,63,0)-VLOOKUP(B137,#REF!,$AK$2,0),0)</f>
        <v>0</v>
      </c>
      <c r="AL137" s="9">
        <f>IFERROR(VLOOKUP(B137,cubo!$A$6:$BE$37,58,0)-VLOOKUP(B137,#REF!,$AL$2,0),0)</f>
        <v>0</v>
      </c>
      <c r="AM137" s="9">
        <f>IFERROR(VLOOKUP(B137,cubo!$A$6:$BK$37,64,0)-VLOOKUP(B137,#REF!,$AM$2,0),0)</f>
        <v>0</v>
      </c>
      <c r="AN137" s="9">
        <f>IFERROR(VLOOKUP(B137,cubo!$A$6:$AN$37,41,0)-VLOOKUP(B137,#REF!,$AN$2,0),0)</f>
        <v>0</v>
      </c>
    </row>
    <row r="138" spans="2:40" x14ac:dyDescent="0.25">
      <c r="B138" s="7">
        <f>[1]salario!A137</f>
        <v>0</v>
      </c>
      <c r="C138" s="8">
        <f>[1]salario!C137</f>
        <v>0</v>
      </c>
      <c r="D138" s="9">
        <f>IFERROR(VLOOKUP(B138,cubo!$A$6:$BE$37,3,0)-VLOOKUP(B138,#REF!,$D$2,0),0)</f>
        <v>0</v>
      </c>
      <c r="E138" s="10">
        <f>IFERROR(VLOOKUP(B138,cubo!$A$6:$BE$37,5,0)-VLOOKUP(B138,#REF!,$E$2,0),0)</f>
        <v>0</v>
      </c>
      <c r="F138" s="10">
        <f>IFERROR(VLOOKUP(B138,cubo!$A$6:$BE$37,8,0)-VLOOKUP(B138,#REF!,$F$2,0),0)</f>
        <v>0</v>
      </c>
      <c r="G138" s="9">
        <f>IFERROR(VLOOKUP(B138,cubo!$A$6:$BE$37,11,0)-VLOOKUP(B138,#REF!,$G$2,0),0)</f>
        <v>0</v>
      </c>
      <c r="H138" s="9">
        <f>IFERROR(VLOOKUP(B138,cubo!$A$6:$BE$37,53,0)-VLOOKUP(B138,#REF!,$H$2,0),0)</f>
        <v>0</v>
      </c>
      <c r="I138" s="10">
        <f>IFERROR(VLOOKUP(B138,cubo!$A$6:$BE$37,14,0)-VLOOKUP(B138,#REF!,$I$2,0),0)</f>
        <v>0</v>
      </c>
      <c r="J138" s="9">
        <f>IFERROR(VLOOKUP(B138,cubo!$A$6:$BE$37,16,0)-VLOOKUP(B138,#REF!,$J$2,0),0)</f>
        <v>0</v>
      </c>
      <c r="K138" s="9">
        <f>IFERROR(VLOOKUP(B138,cubo!$A$6:$BE$37,17,0)-VLOOKUP(B138,#REF!,$K$2,0),0)</f>
        <v>0</v>
      </c>
      <c r="L138" s="9">
        <f>IFERROR(VLOOKUP(B138,cubo!$A$6:$BE$37,19,0)-VLOOKUP(B138,#REF!,$L$2,0),0)</f>
        <v>0</v>
      </c>
      <c r="M138" s="9">
        <f>IFERROR(VLOOKUP(B138,cubo!$A$6:$BE$37,23,0)-VLOOKUP(B138,#REF!,$M$2,0),0)</f>
        <v>0</v>
      </c>
      <c r="N138" s="9">
        <f>IFERROR(VLOOKUP(B138,cubo!$A$6:$BE$37,25,0)-VLOOKUP(B138,#REF!,$N$2,0),0)</f>
        <v>0</v>
      </c>
      <c r="O138" s="9">
        <f>IFERROR(VLOOKUP(B138,cubo!$A$6:$BE$37,33,0)-VLOOKUP(B138,#REF!,$O$2,0),0)</f>
        <v>0</v>
      </c>
      <c r="P138" s="8">
        <f>IFERROR(VLOOKUP(B138,cubo!$A$6:$BE$37,37,0)-VLOOKUP(B138,#REF!,$P$2,0),0)</f>
        <v>0</v>
      </c>
      <c r="Q138" s="8">
        <f>IFERROR(VLOOKUP(B138,cubo!$A$6:$BE$37,56,0)-VLOOKUP(B138,#REF!,$Q$2,0),0)</f>
        <v>0</v>
      </c>
      <c r="R138" s="9">
        <f>IFERROR(VLOOKUP(B138,cubo!$A$6:$BE$37,40,0)-VLOOKUP(B138,#REF!,$R$2,0),0)</f>
        <v>0</v>
      </c>
      <c r="S138" s="9">
        <f>IFERROR(VLOOKUP(B138,cubo!$A$6:$BE$37,43,0)-VLOOKUP(B138,#REF!,$S$2,0),0)</f>
        <v>0</v>
      </c>
      <c r="T138" s="9">
        <f>IFERROR(VLOOKUP(B138,cubo!$A$6:$BE$37,46,0)-VLOOKUP(B138,#REF!,$T$2,0),0)</f>
        <v>0</v>
      </c>
      <c r="U138" s="9">
        <f>IFERROR(VLOOKUP(B138,cubo!$A$6:$BE$37,51,0)-VLOOKUP(B138,#REF!,$U$2,0),0)</f>
        <v>0</v>
      </c>
      <c r="V138" s="9">
        <f>IFERROR(VLOOKUP(B138,cubo!$A$6:$BJ$37,60,0)-VLOOKUP(B138,#REF!,$V$2,0),0)</f>
        <v>0</v>
      </c>
      <c r="W138" s="9">
        <f>IFERROR(VLOOKUP(B138,cubo!$A$6:$BE$37,26,0)-VLOOKUP(B138,#REF!,$W$2,0),0)</f>
        <v>0</v>
      </c>
      <c r="X138" s="9">
        <f>IFERROR(VLOOKUP(B138,cubo!$A$6:$BE$37,20,0)-VLOOKUP(B138,#REF!,$X$2,0),0)</f>
        <v>0</v>
      </c>
      <c r="Y138" s="9">
        <f>IFERROR(VLOOKUP(B138,cubo!$A$6:$BE$37,21,0)-VLOOKUP(B138,#REF!,$Y$2,0),0)</f>
        <v>0</v>
      </c>
      <c r="Z138" s="9">
        <f>IFERROR(VLOOKUP(B138,cubo!$A$6:$BE$37,27,0)-VLOOKUP(B138,#REF!,$Z$2,0),0)</f>
        <v>0</v>
      </c>
      <c r="AA138" s="9">
        <f>IFERROR(VLOOKUP(B138,cubo!$A$6:$BE$37,28,0)-VLOOKUP(B138,#REF!,$AA$2,0),0)</f>
        <v>0</v>
      </c>
      <c r="AB138" s="9">
        <f>IFERROR(VLOOKUP(B138,cubo!$A$6:$BE$37,29,0)-VLOOKUP(B138,#REF!,$AB$2,0),0)</f>
        <v>0</v>
      </c>
      <c r="AC138" s="9">
        <f>IFERROR(VLOOKUP(B138,cubo!$A$6:$BE$37,30,0)-VLOOKUP(B138,#REF!,$AC$2,0),0)</f>
        <v>0</v>
      </c>
      <c r="AD138" s="9">
        <f>IFERROR(VLOOKUP(B138,cubo!$A$6:$BE$37,31,0)-VLOOKUP(B138,#REF!,$AD$2,0),0)</f>
        <v>0</v>
      </c>
      <c r="AE138" s="9">
        <f>IFERROR(VLOOKUP(B138,cubo!$A$6:$BE$37,35,0)-VLOOKUP(B138,#REF!,$AE$2,0),0)</f>
        <v>0</v>
      </c>
      <c r="AF138" s="9" cm="1">
        <f t="array" aca="1" ref="AF138" ca="1">IFERROR(rrPROCV(B138,cubo!$A$6:$BE$37,48,0)-VLOOKUP(B138,#REF!,$AF$2,0),0)</f>
        <v>0</v>
      </c>
      <c r="AG138" s="9">
        <f>IFERROR(VLOOKUP(B138,cubo!$A$6:$BE$37,49,0)-VLOOKUP(B138,#REF!,$AG$2,0),0)</f>
        <v>0</v>
      </c>
      <c r="AH138" s="9">
        <f>IFERROR(VLOOKUP(B138,cubo!$A$6:$BE$37,50,0)-VLOOKUP(B138,#REF!,$AH$2,0),0)</f>
        <v>0</v>
      </c>
      <c r="AI138" s="9">
        <f>IFERROR(VLOOKUP(B138,cubo!$A$6:$BE$37,51,0)-VLOOKUP(B138,#REF!,$AI$2,0),0)</f>
        <v>0</v>
      </c>
      <c r="AJ138" s="9">
        <f>IFERROR(VLOOKUP(B138,cubo!$A$6:$BI$116,62,0)-VLOOKUP(B138,#REF!,$AJ$2,0),0)</f>
        <v>0</v>
      </c>
      <c r="AK138" s="9">
        <f>IFERROR(VLOOKUP(B138,cubo!$A$6:$BJ$37,63,0)-VLOOKUP(B138,#REF!,$AK$2,0),0)</f>
        <v>0</v>
      </c>
      <c r="AL138" s="9">
        <f>IFERROR(VLOOKUP(B138,cubo!$A$6:$BE$37,58,0)-VLOOKUP(B138,#REF!,$AL$2,0),0)</f>
        <v>0</v>
      </c>
      <c r="AM138" s="9">
        <f>IFERROR(VLOOKUP(B138,cubo!$A$6:$BK$37,64,0)-VLOOKUP(B138,#REF!,$AM$2,0),0)</f>
        <v>0</v>
      </c>
      <c r="AN138" s="9">
        <f>IFERROR(VLOOKUP(B138,cubo!$A$6:$AN$37,41,0)-VLOOKUP(B138,#REF!,$AN$2,0),0)</f>
        <v>0</v>
      </c>
    </row>
    <row r="139" spans="2:40" x14ac:dyDescent="0.25">
      <c r="B139" s="7">
        <f>[1]salario!A138</f>
        <v>0</v>
      </c>
      <c r="C139" s="8">
        <f>[1]salario!C138</f>
        <v>0</v>
      </c>
      <c r="D139" s="9">
        <f>IFERROR(VLOOKUP(B139,cubo!$A$6:$BE$37,3,0)-VLOOKUP(B139,#REF!,$D$2,0),0)</f>
        <v>0</v>
      </c>
      <c r="E139" s="10">
        <f>IFERROR(VLOOKUP(B139,cubo!$A$6:$BE$37,5,0)-VLOOKUP(B139,#REF!,$E$2,0),0)</f>
        <v>0</v>
      </c>
      <c r="F139" s="10">
        <f>IFERROR(VLOOKUP(B139,cubo!$A$6:$BE$37,8,0)-VLOOKUP(B139,#REF!,$F$2,0),0)</f>
        <v>0</v>
      </c>
      <c r="G139" s="9">
        <f>IFERROR(VLOOKUP(B139,cubo!$A$6:$BE$37,11,0)-VLOOKUP(B139,#REF!,$G$2,0),0)</f>
        <v>0</v>
      </c>
      <c r="H139" s="9">
        <f>IFERROR(VLOOKUP(B139,cubo!$A$6:$BE$37,53,0)-VLOOKUP(B139,#REF!,$H$2,0),0)</f>
        <v>0</v>
      </c>
      <c r="I139" s="10">
        <f>IFERROR(VLOOKUP(B139,cubo!$A$6:$BE$37,14,0)-VLOOKUP(B139,#REF!,$I$2,0),0)</f>
        <v>0</v>
      </c>
      <c r="J139" s="9">
        <f>IFERROR(VLOOKUP(B139,cubo!$A$6:$BE$37,16,0)-VLOOKUP(B139,#REF!,$J$2,0),0)</f>
        <v>0</v>
      </c>
      <c r="K139" s="9">
        <f>IFERROR(VLOOKUP(B139,cubo!$A$6:$BE$37,17,0)-VLOOKUP(B139,#REF!,$K$2,0),0)</f>
        <v>0</v>
      </c>
      <c r="L139" s="9">
        <f>IFERROR(VLOOKUP(B139,cubo!$A$6:$BE$37,19,0)-VLOOKUP(B139,#REF!,$L$2,0),0)</f>
        <v>0</v>
      </c>
      <c r="M139" s="9">
        <f>IFERROR(VLOOKUP(B139,cubo!$A$6:$BE$37,23,0)-VLOOKUP(B139,#REF!,$M$2,0),0)</f>
        <v>0</v>
      </c>
      <c r="N139" s="9">
        <f>IFERROR(VLOOKUP(B139,cubo!$A$6:$BE$37,25,0)-VLOOKUP(B139,#REF!,$N$2,0),0)</f>
        <v>0</v>
      </c>
      <c r="O139" s="9">
        <f>IFERROR(VLOOKUP(B139,cubo!$A$6:$BE$37,33,0)-VLOOKUP(B139,#REF!,$O$2,0),0)</f>
        <v>0</v>
      </c>
      <c r="P139" s="8">
        <f>IFERROR(VLOOKUP(B139,cubo!$A$6:$BE$37,37,0)-VLOOKUP(B139,#REF!,$P$2,0),0)</f>
        <v>0</v>
      </c>
      <c r="Q139" s="8">
        <f>IFERROR(VLOOKUP(B139,cubo!$A$6:$BE$37,56,0)-VLOOKUP(B139,#REF!,$Q$2,0),0)</f>
        <v>0</v>
      </c>
      <c r="R139" s="9">
        <f>IFERROR(VLOOKUP(B139,cubo!$A$6:$BE$37,40,0)-VLOOKUP(B139,#REF!,$R$2,0),0)</f>
        <v>0</v>
      </c>
      <c r="S139" s="9">
        <f>IFERROR(VLOOKUP(B139,cubo!$A$6:$BE$37,43,0)-VLOOKUP(B139,#REF!,$S$2,0),0)</f>
        <v>0</v>
      </c>
      <c r="T139" s="9">
        <f>IFERROR(VLOOKUP(B139,cubo!$A$6:$BE$37,46,0)-VLOOKUP(B139,#REF!,$T$2,0),0)</f>
        <v>0</v>
      </c>
      <c r="U139" s="9">
        <f>IFERROR(VLOOKUP(B139,cubo!$A$6:$BE$37,51,0)-VLOOKUP(B139,#REF!,$U$2,0),0)</f>
        <v>0</v>
      </c>
      <c r="V139" s="9">
        <f>IFERROR(VLOOKUP(B139,cubo!$A$6:$BJ$37,60,0)-VLOOKUP(B139,#REF!,$V$2,0),0)</f>
        <v>0</v>
      </c>
      <c r="W139" s="9">
        <f>IFERROR(VLOOKUP(B139,cubo!$A$6:$BE$37,26,0)-VLOOKUP(B139,#REF!,$W$2,0),0)</f>
        <v>0</v>
      </c>
      <c r="X139" s="9">
        <f>IFERROR(VLOOKUP(B139,cubo!$A$6:$BE$37,20,0)-VLOOKUP(B139,#REF!,$X$2,0),0)</f>
        <v>0</v>
      </c>
      <c r="Y139" s="9">
        <f>IFERROR(VLOOKUP(B139,cubo!$A$6:$BE$37,21,0)-VLOOKUP(B139,#REF!,$Y$2,0),0)</f>
        <v>0</v>
      </c>
      <c r="Z139" s="9">
        <f>IFERROR(VLOOKUP(B139,cubo!$A$6:$BE$37,27,0)-VLOOKUP(B139,#REF!,$Z$2,0),0)</f>
        <v>0</v>
      </c>
      <c r="AA139" s="9">
        <f>IFERROR(VLOOKUP(B139,cubo!$A$6:$BE$37,28,0)-VLOOKUP(B139,#REF!,$AA$2,0),0)</f>
        <v>0</v>
      </c>
      <c r="AB139" s="9">
        <f>IFERROR(VLOOKUP(B139,cubo!$A$6:$BE$37,29,0)-VLOOKUP(B139,#REF!,$AB$2,0),0)</f>
        <v>0</v>
      </c>
      <c r="AC139" s="9">
        <f>IFERROR(VLOOKUP(B139,cubo!$A$6:$BE$37,30,0)-VLOOKUP(B139,#REF!,$AC$2,0),0)</f>
        <v>0</v>
      </c>
      <c r="AD139" s="9">
        <f>IFERROR(VLOOKUP(B139,cubo!$A$6:$BE$37,31,0)-VLOOKUP(B139,#REF!,$AD$2,0),0)</f>
        <v>0</v>
      </c>
      <c r="AE139" s="9">
        <f>IFERROR(VLOOKUP(B139,cubo!$A$6:$BE$37,35,0)-VLOOKUP(B139,#REF!,$AE$2,0),0)</f>
        <v>0</v>
      </c>
      <c r="AF139" s="9" cm="1">
        <f t="array" aca="1" ref="AF139" ca="1">IFERROR(rrPROCV(B139,cubo!$A$6:$BE$37,48,0)-VLOOKUP(B139,#REF!,$AF$2,0),0)</f>
        <v>0</v>
      </c>
      <c r="AG139" s="9">
        <f>IFERROR(VLOOKUP(B139,cubo!$A$6:$BE$37,49,0)-VLOOKUP(B139,#REF!,$AG$2,0),0)</f>
        <v>0</v>
      </c>
      <c r="AH139" s="9">
        <f>IFERROR(VLOOKUP(B139,cubo!$A$6:$BE$37,50,0)-VLOOKUP(B139,#REF!,$AH$2,0),0)</f>
        <v>0</v>
      </c>
      <c r="AI139" s="9">
        <f>IFERROR(VLOOKUP(B139,cubo!$A$6:$BE$37,51,0)-VLOOKUP(B139,#REF!,$AI$2,0),0)</f>
        <v>0</v>
      </c>
      <c r="AJ139" s="9">
        <f>IFERROR(VLOOKUP(B139,cubo!$A$6:$BI$116,62,0)-VLOOKUP(B139,#REF!,$AJ$2,0),0)</f>
        <v>0</v>
      </c>
      <c r="AK139" s="9">
        <f>IFERROR(VLOOKUP(B139,cubo!$A$6:$BJ$37,63,0)-VLOOKUP(B139,#REF!,$AK$2,0),0)</f>
        <v>0</v>
      </c>
      <c r="AL139" s="9">
        <f>IFERROR(VLOOKUP(B139,cubo!$A$6:$BE$37,58,0)-VLOOKUP(B139,#REF!,$AL$2,0),0)</f>
        <v>0</v>
      </c>
      <c r="AM139" s="9">
        <f>IFERROR(VLOOKUP(B139,cubo!$A$6:$BK$37,64,0)-VLOOKUP(B139,#REF!,$AM$2,0),0)</f>
        <v>0</v>
      </c>
      <c r="AN139" s="9">
        <f>IFERROR(VLOOKUP(B139,cubo!$A$6:$AN$37,41,0)-VLOOKUP(B139,#REF!,$AN$2,0),0)</f>
        <v>0</v>
      </c>
    </row>
    <row r="140" spans="2:40" x14ac:dyDescent="0.25">
      <c r="B140" s="7">
        <f>[1]salario!A139</f>
        <v>0</v>
      </c>
      <c r="C140" s="8">
        <f>[1]salario!C139</f>
        <v>0</v>
      </c>
      <c r="D140" s="9">
        <f>IFERROR(VLOOKUP(B140,cubo!$A$6:$BE$37,3,0)-VLOOKUP(B140,#REF!,$D$2,0),0)</f>
        <v>0</v>
      </c>
      <c r="E140" s="10">
        <f>IFERROR(VLOOKUP(B140,cubo!$A$6:$BE$37,5,0)-VLOOKUP(B140,#REF!,$E$2,0),0)</f>
        <v>0</v>
      </c>
      <c r="F140" s="10">
        <f>IFERROR(VLOOKUP(B140,cubo!$A$6:$BE$37,8,0)-VLOOKUP(B140,#REF!,$F$2,0),0)</f>
        <v>0</v>
      </c>
      <c r="G140" s="9">
        <f>IFERROR(VLOOKUP(B140,cubo!$A$6:$BE$37,11,0)-VLOOKUP(B140,#REF!,$G$2,0),0)</f>
        <v>0</v>
      </c>
      <c r="H140" s="9">
        <f>IFERROR(VLOOKUP(B140,cubo!$A$6:$BE$37,53,0)-VLOOKUP(B140,#REF!,$H$2,0),0)</f>
        <v>0</v>
      </c>
      <c r="I140" s="10">
        <f>IFERROR(VLOOKUP(B140,cubo!$A$6:$BE$37,14,0)-VLOOKUP(B140,#REF!,$I$2,0),0)</f>
        <v>0</v>
      </c>
      <c r="J140" s="9">
        <f>IFERROR(VLOOKUP(B140,cubo!$A$6:$BE$37,16,0)-VLOOKUP(B140,#REF!,$J$2,0),0)</f>
        <v>0</v>
      </c>
      <c r="K140" s="9">
        <f>IFERROR(VLOOKUP(B140,cubo!$A$6:$BE$37,17,0)-VLOOKUP(B140,#REF!,$K$2,0),0)</f>
        <v>0</v>
      </c>
      <c r="L140" s="9">
        <f>IFERROR(VLOOKUP(B140,cubo!$A$6:$BE$37,19,0)-VLOOKUP(B140,#REF!,$L$2,0),0)</f>
        <v>0</v>
      </c>
      <c r="M140" s="9">
        <f>IFERROR(VLOOKUP(B140,cubo!$A$6:$BE$37,23,0)-VLOOKUP(B140,#REF!,$M$2,0),0)</f>
        <v>0</v>
      </c>
      <c r="N140" s="9">
        <f>IFERROR(VLOOKUP(B140,cubo!$A$6:$BE$37,25,0)-VLOOKUP(B140,#REF!,$N$2,0),0)</f>
        <v>0</v>
      </c>
      <c r="O140" s="9">
        <f>IFERROR(VLOOKUP(B140,cubo!$A$6:$BE$37,33,0)-VLOOKUP(B140,#REF!,$O$2,0),0)</f>
        <v>0</v>
      </c>
      <c r="P140" s="8">
        <f>IFERROR(VLOOKUP(B140,cubo!$A$6:$BE$37,37,0)-VLOOKUP(B140,#REF!,$P$2,0),0)</f>
        <v>0</v>
      </c>
      <c r="Q140" s="8">
        <f>IFERROR(VLOOKUP(B140,cubo!$A$6:$BE$37,56,0)-VLOOKUP(B140,#REF!,$Q$2,0),0)</f>
        <v>0</v>
      </c>
      <c r="R140" s="9">
        <f>IFERROR(VLOOKUP(B140,cubo!$A$6:$BE$37,40,0)-VLOOKUP(B140,#REF!,$R$2,0),0)</f>
        <v>0</v>
      </c>
      <c r="S140" s="9">
        <f>IFERROR(VLOOKUP(B140,cubo!$A$6:$BE$37,43,0)-VLOOKUP(B140,#REF!,$S$2,0),0)</f>
        <v>0</v>
      </c>
      <c r="T140" s="9">
        <f>IFERROR(VLOOKUP(B140,cubo!$A$6:$BE$37,46,0)-VLOOKUP(B140,#REF!,$T$2,0),0)</f>
        <v>0</v>
      </c>
      <c r="U140" s="9">
        <f>IFERROR(VLOOKUP(B140,cubo!$A$6:$BE$37,51,0)-VLOOKUP(B140,#REF!,$U$2,0),0)</f>
        <v>0</v>
      </c>
      <c r="V140" s="9">
        <f>IFERROR(VLOOKUP(B140,cubo!$A$6:$BJ$37,60,0)-VLOOKUP(B140,#REF!,$V$2,0),0)</f>
        <v>0</v>
      </c>
      <c r="W140" s="9">
        <f>IFERROR(VLOOKUP(B140,cubo!$A$6:$BE$37,26,0)-VLOOKUP(B140,#REF!,$W$2,0),0)</f>
        <v>0</v>
      </c>
      <c r="X140" s="9">
        <f>IFERROR(VLOOKUP(B140,cubo!$A$6:$BE$37,20,0)-VLOOKUP(B140,#REF!,$X$2,0),0)</f>
        <v>0</v>
      </c>
      <c r="Y140" s="9">
        <f>IFERROR(VLOOKUP(B140,cubo!$A$6:$BE$37,21,0)-VLOOKUP(B140,#REF!,$Y$2,0),0)</f>
        <v>0</v>
      </c>
      <c r="Z140" s="9">
        <f>IFERROR(VLOOKUP(B140,cubo!$A$6:$BE$37,27,0)-VLOOKUP(B140,#REF!,$Z$2,0),0)</f>
        <v>0</v>
      </c>
      <c r="AA140" s="9">
        <f>IFERROR(VLOOKUP(B140,cubo!$A$6:$BE$37,28,0)-VLOOKUP(B140,#REF!,$AA$2,0),0)</f>
        <v>0</v>
      </c>
      <c r="AB140" s="9">
        <f>IFERROR(VLOOKUP(B140,cubo!$A$6:$BE$37,29,0)-VLOOKUP(B140,#REF!,$AB$2,0),0)</f>
        <v>0</v>
      </c>
      <c r="AC140" s="9">
        <f>IFERROR(VLOOKUP(B140,cubo!$A$6:$BE$37,30,0)-VLOOKUP(B140,#REF!,$AC$2,0),0)</f>
        <v>0</v>
      </c>
      <c r="AD140" s="9">
        <f>IFERROR(VLOOKUP(B140,cubo!$A$6:$BE$37,31,0)-VLOOKUP(B140,#REF!,$AD$2,0),0)</f>
        <v>0</v>
      </c>
      <c r="AE140" s="9">
        <f>IFERROR(VLOOKUP(B140,cubo!$A$6:$BE$37,35,0)-VLOOKUP(B140,#REF!,$AE$2,0),0)</f>
        <v>0</v>
      </c>
      <c r="AF140" s="9" cm="1">
        <f t="array" aca="1" ref="AF140" ca="1">IFERROR(rrPROCV(B140,cubo!$A$6:$BE$37,48,0)-VLOOKUP(B140,#REF!,$AF$2,0),0)</f>
        <v>0</v>
      </c>
      <c r="AG140" s="9">
        <f>IFERROR(VLOOKUP(B140,cubo!$A$6:$BE$37,49,0)-VLOOKUP(B140,#REF!,$AG$2,0),0)</f>
        <v>0</v>
      </c>
      <c r="AH140" s="9">
        <f>IFERROR(VLOOKUP(B140,cubo!$A$6:$BE$37,50,0)-VLOOKUP(B140,#REF!,$AH$2,0),0)</f>
        <v>0</v>
      </c>
      <c r="AI140" s="9">
        <f>IFERROR(VLOOKUP(B140,cubo!$A$6:$BE$37,51,0)-VLOOKUP(B140,#REF!,$AI$2,0),0)</f>
        <v>0</v>
      </c>
      <c r="AJ140" s="9">
        <f>IFERROR(VLOOKUP(B140,cubo!$A$6:$BI$116,62,0)-VLOOKUP(B140,#REF!,$AJ$2,0),0)</f>
        <v>0</v>
      </c>
      <c r="AK140" s="9">
        <f>IFERROR(VLOOKUP(B140,cubo!$A$6:$BJ$37,63,0)-VLOOKUP(B140,#REF!,$AK$2,0),0)</f>
        <v>0</v>
      </c>
      <c r="AL140" s="9">
        <f>IFERROR(VLOOKUP(B140,cubo!$A$6:$BE$37,58,0)-VLOOKUP(B140,#REF!,$AL$2,0),0)</f>
        <v>0</v>
      </c>
      <c r="AM140" s="9">
        <f>IFERROR(VLOOKUP(B140,cubo!$A$6:$BK$37,64,0)-VLOOKUP(B140,#REF!,$AM$2,0),0)</f>
        <v>0</v>
      </c>
      <c r="AN140" s="9">
        <f>IFERROR(VLOOKUP(B140,cubo!$A$6:$AN$37,41,0)-VLOOKUP(B140,#REF!,$AN$2,0),0)</f>
        <v>0</v>
      </c>
    </row>
    <row r="141" spans="2:40" x14ac:dyDescent="0.25">
      <c r="B141" s="7">
        <f>[1]salario!A140</f>
        <v>0</v>
      </c>
      <c r="C141" s="8">
        <f>[1]salario!C140</f>
        <v>0</v>
      </c>
      <c r="D141" s="9">
        <f>IFERROR(VLOOKUP(B141,cubo!$A$6:$BE$37,3,0)-VLOOKUP(B141,#REF!,$D$2,0),0)</f>
        <v>0</v>
      </c>
      <c r="E141" s="10">
        <f>IFERROR(VLOOKUP(B141,cubo!$A$6:$BE$37,5,0)-VLOOKUP(B141,#REF!,$E$2,0),0)</f>
        <v>0</v>
      </c>
      <c r="F141" s="10">
        <f>IFERROR(VLOOKUP(B141,cubo!$A$6:$BE$37,8,0)-VLOOKUP(B141,#REF!,$F$2,0),0)</f>
        <v>0</v>
      </c>
      <c r="G141" s="9">
        <f>IFERROR(VLOOKUP(B141,cubo!$A$6:$BE$37,11,0)-VLOOKUP(B141,#REF!,$G$2,0),0)</f>
        <v>0</v>
      </c>
      <c r="H141" s="9">
        <f>IFERROR(VLOOKUP(B141,cubo!$A$6:$BE$37,53,0)-VLOOKUP(B141,#REF!,$H$2,0),0)</f>
        <v>0</v>
      </c>
      <c r="I141" s="10">
        <f>IFERROR(VLOOKUP(B141,cubo!$A$6:$BE$37,14,0)-VLOOKUP(B141,#REF!,$I$2,0),0)</f>
        <v>0</v>
      </c>
      <c r="J141" s="9">
        <f>IFERROR(VLOOKUP(B141,cubo!$A$6:$BE$37,16,0)-VLOOKUP(B141,#REF!,$J$2,0),0)</f>
        <v>0</v>
      </c>
      <c r="K141" s="9">
        <f>IFERROR(VLOOKUP(B141,cubo!$A$6:$BE$37,17,0)-VLOOKUP(B141,#REF!,$K$2,0),0)</f>
        <v>0</v>
      </c>
      <c r="L141" s="9">
        <f>IFERROR(VLOOKUP(B141,cubo!$A$6:$BE$37,19,0)-VLOOKUP(B141,#REF!,$L$2,0),0)</f>
        <v>0</v>
      </c>
      <c r="M141" s="9">
        <f>IFERROR(VLOOKUP(B141,cubo!$A$6:$BE$37,23,0)-VLOOKUP(B141,#REF!,$M$2,0),0)</f>
        <v>0</v>
      </c>
      <c r="N141" s="9">
        <f>IFERROR(VLOOKUP(B141,cubo!$A$6:$BE$37,25,0)-VLOOKUP(B141,#REF!,$N$2,0),0)</f>
        <v>0</v>
      </c>
      <c r="O141" s="9">
        <f>IFERROR(VLOOKUP(B141,cubo!$A$6:$BE$37,33,0)-VLOOKUP(B141,#REF!,$O$2,0),0)</f>
        <v>0</v>
      </c>
      <c r="P141" s="8">
        <f>IFERROR(VLOOKUP(B141,cubo!$A$6:$BE$37,37,0)-VLOOKUP(B141,#REF!,$P$2,0),0)</f>
        <v>0</v>
      </c>
      <c r="Q141" s="8">
        <f>IFERROR(VLOOKUP(B141,cubo!$A$6:$BE$37,56,0)-VLOOKUP(B141,#REF!,$Q$2,0),0)</f>
        <v>0</v>
      </c>
      <c r="R141" s="9">
        <f>IFERROR(VLOOKUP(B141,cubo!$A$6:$BE$37,40,0)-VLOOKUP(B141,#REF!,$R$2,0),0)</f>
        <v>0</v>
      </c>
      <c r="S141" s="9">
        <f>IFERROR(VLOOKUP(B141,cubo!$A$6:$BE$37,43,0)-VLOOKUP(B141,#REF!,$S$2,0),0)</f>
        <v>0</v>
      </c>
      <c r="T141" s="9">
        <f>IFERROR(VLOOKUP(B141,cubo!$A$6:$BE$37,46,0)-VLOOKUP(B141,#REF!,$T$2,0),0)</f>
        <v>0</v>
      </c>
      <c r="U141" s="9">
        <f>IFERROR(VLOOKUP(B141,cubo!$A$6:$BE$37,51,0)-VLOOKUP(B141,#REF!,$U$2,0),0)</f>
        <v>0</v>
      </c>
      <c r="V141" s="9">
        <f>IFERROR(VLOOKUP(B141,cubo!$A$6:$BJ$37,60,0)-VLOOKUP(B141,#REF!,$V$2,0),0)</f>
        <v>0</v>
      </c>
      <c r="W141" s="9">
        <f>IFERROR(VLOOKUP(B141,cubo!$A$6:$BE$37,26,0)-VLOOKUP(B141,#REF!,$W$2,0),0)</f>
        <v>0</v>
      </c>
      <c r="X141" s="9">
        <f>IFERROR(VLOOKUP(B141,cubo!$A$6:$BE$37,20,0)-VLOOKUP(B141,#REF!,$X$2,0),0)</f>
        <v>0</v>
      </c>
      <c r="Y141" s="9">
        <f>IFERROR(VLOOKUP(B141,cubo!$A$6:$BE$37,21,0)-VLOOKUP(B141,#REF!,$Y$2,0),0)</f>
        <v>0</v>
      </c>
      <c r="Z141" s="9">
        <f>IFERROR(VLOOKUP(B141,cubo!$A$6:$BE$37,27,0)-VLOOKUP(B141,#REF!,$Z$2,0),0)</f>
        <v>0</v>
      </c>
      <c r="AA141" s="9">
        <f>IFERROR(VLOOKUP(B141,cubo!$A$6:$BE$37,28,0)-VLOOKUP(B141,#REF!,$AA$2,0),0)</f>
        <v>0</v>
      </c>
      <c r="AB141" s="9">
        <f>IFERROR(VLOOKUP(B141,cubo!$A$6:$BE$37,29,0)-VLOOKUP(B141,#REF!,$AB$2,0),0)</f>
        <v>0</v>
      </c>
      <c r="AC141" s="9">
        <f>IFERROR(VLOOKUP(B141,cubo!$A$6:$BE$37,30,0)-VLOOKUP(B141,#REF!,$AC$2,0),0)</f>
        <v>0</v>
      </c>
      <c r="AD141" s="9">
        <f>IFERROR(VLOOKUP(B141,cubo!$A$6:$BE$37,31,0)-VLOOKUP(B141,#REF!,$AD$2,0),0)</f>
        <v>0</v>
      </c>
      <c r="AE141" s="9">
        <f>IFERROR(VLOOKUP(B141,cubo!$A$6:$BE$37,35,0)-VLOOKUP(B141,#REF!,$AE$2,0),0)</f>
        <v>0</v>
      </c>
      <c r="AF141" s="9" cm="1">
        <f t="array" aca="1" ref="AF141" ca="1">IFERROR(rrPROCV(B141,cubo!$A$6:$BE$37,48,0)-VLOOKUP(B141,#REF!,$AF$2,0),0)</f>
        <v>0</v>
      </c>
      <c r="AG141" s="9">
        <f>IFERROR(VLOOKUP(B141,cubo!$A$6:$BE$37,49,0)-VLOOKUP(B141,#REF!,$AG$2,0),0)</f>
        <v>0</v>
      </c>
      <c r="AH141" s="9">
        <f>IFERROR(VLOOKUP(B141,cubo!$A$6:$BE$37,50,0)-VLOOKUP(B141,#REF!,$AH$2,0),0)</f>
        <v>0</v>
      </c>
      <c r="AI141" s="9">
        <f>IFERROR(VLOOKUP(B141,cubo!$A$6:$BE$37,51,0)-VLOOKUP(B141,#REF!,$AI$2,0),0)</f>
        <v>0</v>
      </c>
      <c r="AJ141" s="9">
        <f>IFERROR(VLOOKUP(B141,cubo!$A$6:$BI$116,62,0)-VLOOKUP(B141,#REF!,$AJ$2,0),0)</f>
        <v>0</v>
      </c>
      <c r="AK141" s="9">
        <f>IFERROR(VLOOKUP(B141,cubo!$A$6:$BJ$37,63,0)-VLOOKUP(B141,#REF!,$AK$2,0),0)</f>
        <v>0</v>
      </c>
      <c r="AL141" s="9">
        <f>IFERROR(VLOOKUP(B141,cubo!$A$6:$BE$37,58,0)-VLOOKUP(B141,#REF!,$AL$2,0),0)</f>
        <v>0</v>
      </c>
      <c r="AM141" s="9">
        <f>IFERROR(VLOOKUP(B141,cubo!$A$6:$BK$37,64,0)-VLOOKUP(B141,#REF!,$AM$2,0),0)</f>
        <v>0</v>
      </c>
      <c r="AN141" s="9">
        <f>IFERROR(VLOOKUP(B141,cubo!$A$6:$AN$37,41,0)-VLOOKUP(B141,#REF!,$AN$2,0),0)</f>
        <v>0</v>
      </c>
    </row>
    <row r="142" spans="2:40" x14ac:dyDescent="0.25">
      <c r="B142" s="7">
        <f>[1]salario!A141</f>
        <v>0</v>
      </c>
      <c r="C142" s="8">
        <f>[1]salario!C141</f>
        <v>0</v>
      </c>
      <c r="D142" s="9">
        <f>IFERROR(VLOOKUP(B142,cubo!$A$6:$BE$37,3,0)-VLOOKUP(B142,#REF!,$D$2,0),0)</f>
        <v>0</v>
      </c>
      <c r="E142" s="10">
        <f>IFERROR(VLOOKUP(B142,cubo!$A$6:$BE$37,5,0)-VLOOKUP(B142,#REF!,$E$2,0),0)</f>
        <v>0</v>
      </c>
      <c r="F142" s="10">
        <f>IFERROR(VLOOKUP(B142,cubo!$A$6:$BE$37,8,0)-VLOOKUP(B142,#REF!,$F$2,0),0)</f>
        <v>0</v>
      </c>
      <c r="G142" s="9">
        <f>IFERROR(VLOOKUP(B142,cubo!$A$6:$BE$37,11,0)-VLOOKUP(B142,#REF!,$G$2,0),0)</f>
        <v>0</v>
      </c>
      <c r="H142" s="9">
        <f>IFERROR(VLOOKUP(B142,cubo!$A$6:$BE$37,53,0)-VLOOKUP(B142,#REF!,$H$2,0),0)</f>
        <v>0</v>
      </c>
      <c r="I142" s="10">
        <f>IFERROR(VLOOKUP(B142,cubo!$A$6:$BE$37,14,0)-VLOOKUP(B142,#REF!,$I$2,0),0)</f>
        <v>0</v>
      </c>
      <c r="J142" s="9">
        <f>IFERROR(VLOOKUP(B142,cubo!$A$6:$BE$37,16,0)-VLOOKUP(B142,#REF!,$J$2,0),0)</f>
        <v>0</v>
      </c>
      <c r="K142" s="9">
        <f>IFERROR(VLOOKUP(B142,cubo!$A$6:$BE$37,17,0)-VLOOKUP(B142,#REF!,$K$2,0),0)</f>
        <v>0</v>
      </c>
      <c r="L142" s="9">
        <f>IFERROR(VLOOKUP(B142,cubo!$A$6:$BE$37,19,0)-VLOOKUP(B142,#REF!,$L$2,0),0)</f>
        <v>0</v>
      </c>
      <c r="M142" s="9">
        <f>IFERROR(VLOOKUP(B142,cubo!$A$6:$BE$37,23,0)-VLOOKUP(B142,#REF!,$M$2,0),0)</f>
        <v>0</v>
      </c>
      <c r="N142" s="9">
        <f>IFERROR(VLOOKUP(B142,cubo!$A$6:$BE$37,25,0)-VLOOKUP(B142,#REF!,$N$2,0),0)</f>
        <v>0</v>
      </c>
      <c r="O142" s="9">
        <f>IFERROR(VLOOKUP(B142,cubo!$A$6:$BE$37,33,0)-VLOOKUP(B142,#REF!,$O$2,0),0)</f>
        <v>0</v>
      </c>
      <c r="P142" s="8">
        <f>IFERROR(VLOOKUP(B142,cubo!$A$6:$BE$37,37,0)-VLOOKUP(B142,#REF!,$P$2,0),0)</f>
        <v>0</v>
      </c>
      <c r="Q142" s="8">
        <f>IFERROR(VLOOKUP(B142,cubo!$A$6:$BE$37,56,0)-VLOOKUP(B142,#REF!,$Q$2,0),0)</f>
        <v>0</v>
      </c>
      <c r="R142" s="9">
        <f>IFERROR(VLOOKUP(B142,cubo!$A$6:$BE$37,40,0)-VLOOKUP(B142,#REF!,$R$2,0),0)</f>
        <v>0</v>
      </c>
      <c r="S142" s="9">
        <f>IFERROR(VLOOKUP(B142,cubo!$A$6:$BE$37,43,0)-VLOOKUP(B142,#REF!,$S$2,0),0)</f>
        <v>0</v>
      </c>
      <c r="T142" s="9">
        <f>IFERROR(VLOOKUP(B142,cubo!$A$6:$BE$37,46,0)-VLOOKUP(B142,#REF!,$T$2,0),0)</f>
        <v>0</v>
      </c>
      <c r="U142" s="9">
        <f>IFERROR(VLOOKUP(B142,cubo!$A$6:$BE$37,51,0)-VLOOKUP(B142,#REF!,$U$2,0),0)</f>
        <v>0</v>
      </c>
      <c r="V142" s="9">
        <f>IFERROR(VLOOKUP(B142,cubo!$A$6:$BJ$37,60,0)-VLOOKUP(B142,#REF!,$V$2,0),0)</f>
        <v>0</v>
      </c>
      <c r="W142" s="9">
        <f>IFERROR(VLOOKUP(B142,cubo!$A$6:$BE$37,26,0)-VLOOKUP(B142,#REF!,$W$2,0),0)</f>
        <v>0</v>
      </c>
      <c r="X142" s="9">
        <f>IFERROR(VLOOKUP(B142,cubo!$A$6:$BE$37,20,0)-VLOOKUP(B142,#REF!,$X$2,0),0)</f>
        <v>0</v>
      </c>
      <c r="Y142" s="9">
        <f>IFERROR(VLOOKUP(B142,cubo!$A$6:$BE$37,21,0)-VLOOKUP(B142,#REF!,$Y$2,0),0)</f>
        <v>0</v>
      </c>
      <c r="Z142" s="9">
        <f>IFERROR(VLOOKUP(B142,cubo!$A$6:$BE$37,27,0)-VLOOKUP(B142,#REF!,$Z$2,0),0)</f>
        <v>0</v>
      </c>
      <c r="AA142" s="9">
        <f>IFERROR(VLOOKUP(B142,cubo!$A$6:$BE$37,28,0)-VLOOKUP(B142,#REF!,$AA$2,0),0)</f>
        <v>0</v>
      </c>
      <c r="AB142" s="9">
        <f>IFERROR(VLOOKUP(B142,cubo!$A$6:$BE$37,29,0)-VLOOKUP(B142,#REF!,$AB$2,0),0)</f>
        <v>0</v>
      </c>
      <c r="AC142" s="9">
        <f>IFERROR(VLOOKUP(B142,cubo!$A$6:$BE$37,30,0)-VLOOKUP(B142,#REF!,$AC$2,0),0)</f>
        <v>0</v>
      </c>
      <c r="AD142" s="9">
        <f>IFERROR(VLOOKUP(B142,cubo!$A$6:$BE$37,31,0)-VLOOKUP(B142,#REF!,$AD$2,0),0)</f>
        <v>0</v>
      </c>
      <c r="AE142" s="9">
        <f>IFERROR(VLOOKUP(B142,cubo!$A$6:$BE$37,35,0)-VLOOKUP(B142,#REF!,$AE$2,0),0)</f>
        <v>0</v>
      </c>
      <c r="AF142" s="9" cm="1">
        <f t="array" aca="1" ref="AF142" ca="1">IFERROR(rrPROCV(B142,cubo!$A$6:$BE$37,48,0)-VLOOKUP(B142,#REF!,$AF$2,0),0)</f>
        <v>0</v>
      </c>
      <c r="AG142" s="9">
        <f>IFERROR(VLOOKUP(B142,cubo!$A$6:$BE$37,49,0)-VLOOKUP(B142,#REF!,$AG$2,0),0)</f>
        <v>0</v>
      </c>
      <c r="AH142" s="9">
        <f>IFERROR(VLOOKUP(B142,cubo!$A$6:$BE$37,50,0)-VLOOKUP(B142,#REF!,$AH$2,0),0)</f>
        <v>0</v>
      </c>
      <c r="AI142" s="9">
        <f>IFERROR(VLOOKUP(B142,cubo!$A$6:$BE$37,51,0)-VLOOKUP(B142,#REF!,$AI$2,0),0)</f>
        <v>0</v>
      </c>
      <c r="AJ142" s="9">
        <f>IFERROR(VLOOKUP(B142,cubo!$A$6:$BI$116,62,0)-VLOOKUP(B142,#REF!,$AJ$2,0),0)</f>
        <v>0</v>
      </c>
      <c r="AK142" s="9">
        <f>IFERROR(VLOOKUP(B142,cubo!$A$6:$BJ$37,63,0)-VLOOKUP(B142,#REF!,$AK$2,0),0)</f>
        <v>0</v>
      </c>
      <c r="AL142" s="9">
        <f>IFERROR(VLOOKUP(B142,cubo!$A$6:$BE$37,58,0)-VLOOKUP(B142,#REF!,$AL$2,0),0)</f>
        <v>0</v>
      </c>
      <c r="AM142" s="9">
        <f>IFERROR(VLOOKUP(B142,cubo!$A$6:$BK$37,64,0)-VLOOKUP(B142,#REF!,$AM$2,0),0)</f>
        <v>0</v>
      </c>
      <c r="AN142" s="9">
        <f>IFERROR(VLOOKUP(B142,cubo!$A$6:$AN$37,41,0)-VLOOKUP(B142,#REF!,$AN$2,0),0)</f>
        <v>0</v>
      </c>
    </row>
    <row r="143" spans="2:40" x14ac:dyDescent="0.25">
      <c r="B143" s="7">
        <f>[1]salario!A142</f>
        <v>0</v>
      </c>
      <c r="C143" s="8">
        <f>[1]salario!C142</f>
        <v>0</v>
      </c>
      <c r="D143" s="9">
        <f>IFERROR(VLOOKUP(B143,cubo!$A$6:$BE$37,3,0)-VLOOKUP(B143,#REF!,$D$2,0),0)</f>
        <v>0</v>
      </c>
      <c r="E143" s="10">
        <f>IFERROR(VLOOKUP(B143,cubo!$A$6:$BE$37,5,0)-VLOOKUP(B143,#REF!,$E$2,0),0)</f>
        <v>0</v>
      </c>
      <c r="F143" s="10">
        <f>IFERROR(VLOOKUP(B143,cubo!$A$6:$BE$37,8,0)-VLOOKUP(B143,#REF!,$F$2,0),0)</f>
        <v>0</v>
      </c>
      <c r="G143" s="9">
        <f>IFERROR(VLOOKUP(B143,cubo!$A$6:$BE$37,11,0)-VLOOKUP(B143,#REF!,$G$2,0),0)</f>
        <v>0</v>
      </c>
      <c r="H143" s="9">
        <f>IFERROR(VLOOKUP(B143,cubo!$A$6:$BE$37,53,0)-VLOOKUP(B143,#REF!,$H$2,0),0)</f>
        <v>0</v>
      </c>
      <c r="I143" s="10">
        <f>IFERROR(VLOOKUP(B143,cubo!$A$6:$BE$37,14,0)-VLOOKUP(B143,#REF!,$I$2,0),0)</f>
        <v>0</v>
      </c>
      <c r="J143" s="9">
        <f>IFERROR(VLOOKUP(B143,cubo!$A$6:$BE$37,16,0)-VLOOKUP(B143,#REF!,$J$2,0),0)</f>
        <v>0</v>
      </c>
      <c r="K143" s="9">
        <f>IFERROR(VLOOKUP(B143,cubo!$A$6:$BE$37,17,0)-VLOOKUP(B143,#REF!,$K$2,0),0)</f>
        <v>0</v>
      </c>
      <c r="L143" s="9">
        <f>IFERROR(VLOOKUP(B143,cubo!$A$6:$BE$37,19,0)-VLOOKUP(B143,#REF!,$L$2,0),0)</f>
        <v>0</v>
      </c>
      <c r="M143" s="9">
        <f>IFERROR(VLOOKUP(B143,cubo!$A$6:$BE$37,23,0)-VLOOKUP(B143,#REF!,$M$2,0),0)</f>
        <v>0</v>
      </c>
      <c r="N143" s="9">
        <f>IFERROR(VLOOKUP(B143,cubo!$A$6:$BE$37,25,0)-VLOOKUP(B143,#REF!,$N$2,0),0)</f>
        <v>0</v>
      </c>
      <c r="O143" s="9">
        <f>IFERROR(VLOOKUP(B143,cubo!$A$6:$BE$37,33,0)-VLOOKUP(B143,#REF!,$O$2,0),0)</f>
        <v>0</v>
      </c>
      <c r="P143" s="8">
        <f>IFERROR(VLOOKUP(B143,cubo!$A$6:$BE$37,37,0)-VLOOKUP(B143,#REF!,$P$2,0),0)</f>
        <v>0</v>
      </c>
      <c r="Q143" s="8">
        <f>IFERROR(VLOOKUP(B143,cubo!$A$6:$BE$37,56,0)-VLOOKUP(B143,#REF!,$Q$2,0),0)</f>
        <v>0</v>
      </c>
      <c r="R143" s="9">
        <f>IFERROR(VLOOKUP(B143,cubo!$A$6:$BE$37,40,0)-VLOOKUP(B143,#REF!,$R$2,0),0)</f>
        <v>0</v>
      </c>
      <c r="S143" s="9">
        <f>IFERROR(VLOOKUP(B143,cubo!$A$6:$BE$37,43,0)-VLOOKUP(B143,#REF!,$S$2,0),0)</f>
        <v>0</v>
      </c>
      <c r="T143" s="9">
        <f>IFERROR(VLOOKUP(B143,cubo!$A$6:$BE$37,46,0)-VLOOKUP(B143,#REF!,$T$2,0),0)</f>
        <v>0</v>
      </c>
      <c r="U143" s="9">
        <f>IFERROR(VLOOKUP(B143,cubo!$A$6:$BE$37,51,0)-VLOOKUP(B143,#REF!,$U$2,0),0)</f>
        <v>0</v>
      </c>
      <c r="V143" s="9">
        <f>IFERROR(VLOOKUP(B143,cubo!$A$6:$BJ$37,60,0)-VLOOKUP(B143,#REF!,$V$2,0),0)</f>
        <v>0</v>
      </c>
      <c r="W143" s="9">
        <f>IFERROR(VLOOKUP(B143,cubo!$A$6:$BE$37,26,0)-VLOOKUP(B143,#REF!,$W$2,0),0)</f>
        <v>0</v>
      </c>
      <c r="X143" s="9">
        <f>IFERROR(VLOOKUP(B143,cubo!$A$6:$BE$37,20,0)-VLOOKUP(B143,#REF!,$X$2,0),0)</f>
        <v>0</v>
      </c>
      <c r="Y143" s="9">
        <f>IFERROR(VLOOKUP(B143,cubo!$A$6:$BE$37,21,0)-VLOOKUP(B143,#REF!,$Y$2,0),0)</f>
        <v>0</v>
      </c>
      <c r="Z143" s="9">
        <f>IFERROR(VLOOKUP(B143,cubo!$A$6:$BE$37,27,0)-VLOOKUP(B143,#REF!,$Z$2,0),0)</f>
        <v>0</v>
      </c>
      <c r="AA143" s="9">
        <f>IFERROR(VLOOKUP(B143,cubo!$A$6:$BE$37,28,0)-VLOOKUP(B143,#REF!,$AA$2,0),0)</f>
        <v>0</v>
      </c>
      <c r="AB143" s="9">
        <f>IFERROR(VLOOKUP(B143,cubo!$A$6:$BE$37,29,0)-VLOOKUP(B143,#REF!,$AB$2,0),0)</f>
        <v>0</v>
      </c>
      <c r="AC143" s="9">
        <f>IFERROR(VLOOKUP(B143,cubo!$A$6:$BE$37,30,0)-VLOOKUP(B143,#REF!,$AC$2,0),0)</f>
        <v>0</v>
      </c>
      <c r="AD143" s="9">
        <f>IFERROR(VLOOKUP(B143,cubo!$A$6:$BE$37,31,0)-VLOOKUP(B143,#REF!,$AD$2,0),0)</f>
        <v>0</v>
      </c>
      <c r="AE143" s="9">
        <f>IFERROR(VLOOKUP(B143,cubo!$A$6:$BE$37,35,0)-VLOOKUP(B143,#REF!,$AE$2,0),0)</f>
        <v>0</v>
      </c>
      <c r="AF143" s="9" cm="1">
        <f t="array" aca="1" ref="AF143" ca="1">IFERROR(rrPROCV(B143,cubo!$A$6:$BE$37,48,0)-VLOOKUP(B143,#REF!,$AF$2,0),0)</f>
        <v>0</v>
      </c>
      <c r="AG143" s="9">
        <f>IFERROR(VLOOKUP(B143,cubo!$A$6:$BE$37,49,0)-VLOOKUP(B143,#REF!,$AG$2,0),0)</f>
        <v>0</v>
      </c>
      <c r="AH143" s="9">
        <f>IFERROR(VLOOKUP(B143,cubo!$A$6:$BE$37,50,0)-VLOOKUP(B143,#REF!,$AH$2,0),0)</f>
        <v>0</v>
      </c>
      <c r="AI143" s="9">
        <f>IFERROR(VLOOKUP(B143,cubo!$A$6:$BE$37,51,0)-VLOOKUP(B143,#REF!,$AI$2,0),0)</f>
        <v>0</v>
      </c>
      <c r="AJ143" s="9">
        <f>IFERROR(VLOOKUP(B143,cubo!$A$6:$BI$116,62,0)-VLOOKUP(B143,#REF!,$AJ$2,0),0)</f>
        <v>0</v>
      </c>
      <c r="AK143" s="9">
        <f>IFERROR(VLOOKUP(B143,cubo!$A$6:$BJ$37,63,0)-VLOOKUP(B143,#REF!,$AK$2,0),0)</f>
        <v>0</v>
      </c>
      <c r="AL143" s="9">
        <f>IFERROR(VLOOKUP(B143,cubo!$A$6:$BE$37,58,0)-VLOOKUP(B143,#REF!,$AL$2,0),0)</f>
        <v>0</v>
      </c>
      <c r="AM143" s="9">
        <f>IFERROR(VLOOKUP(B143,cubo!$A$6:$BK$37,64,0)-VLOOKUP(B143,#REF!,$AM$2,0),0)</f>
        <v>0</v>
      </c>
      <c r="AN143" s="9">
        <f>IFERROR(VLOOKUP(B143,cubo!$A$6:$AN$37,41,0)-VLOOKUP(B143,#REF!,$AN$2,0),0)</f>
        <v>0</v>
      </c>
    </row>
    <row r="144" spans="2:40" x14ac:dyDescent="0.25">
      <c r="B144" s="7">
        <f>[1]salario!A143</f>
        <v>0</v>
      </c>
      <c r="C144" s="8">
        <f>[1]salario!C143</f>
        <v>0</v>
      </c>
      <c r="D144" s="9">
        <f>IFERROR(VLOOKUP(B144,cubo!$A$6:$BE$37,3,0)-VLOOKUP(B144,#REF!,$D$2,0),0)</f>
        <v>0</v>
      </c>
      <c r="E144" s="10">
        <f>IFERROR(VLOOKUP(B144,cubo!$A$6:$BE$37,5,0)-VLOOKUP(B144,#REF!,$E$2,0),0)</f>
        <v>0</v>
      </c>
      <c r="F144" s="10">
        <f>IFERROR(VLOOKUP(B144,cubo!$A$6:$BE$37,8,0)-VLOOKUP(B144,#REF!,$F$2,0),0)</f>
        <v>0</v>
      </c>
      <c r="G144" s="9">
        <f>IFERROR(VLOOKUP(B144,cubo!$A$6:$BE$37,11,0)-VLOOKUP(B144,#REF!,$G$2,0),0)</f>
        <v>0</v>
      </c>
      <c r="H144" s="9">
        <f>IFERROR(VLOOKUP(B144,cubo!$A$6:$BE$37,53,0)-VLOOKUP(B144,#REF!,$H$2,0),0)</f>
        <v>0</v>
      </c>
      <c r="I144" s="10">
        <f>IFERROR(VLOOKUP(B144,cubo!$A$6:$BE$37,14,0)-VLOOKUP(B144,#REF!,$I$2,0),0)</f>
        <v>0</v>
      </c>
      <c r="J144" s="9">
        <f>IFERROR(VLOOKUP(B144,cubo!$A$6:$BE$37,16,0)-VLOOKUP(B144,#REF!,$J$2,0),0)</f>
        <v>0</v>
      </c>
      <c r="K144" s="9">
        <f>IFERROR(VLOOKUP(B144,cubo!$A$6:$BE$37,17,0)-VLOOKUP(B144,#REF!,$K$2,0),0)</f>
        <v>0</v>
      </c>
      <c r="L144" s="9">
        <f>IFERROR(VLOOKUP(B144,cubo!$A$6:$BE$37,19,0)-VLOOKUP(B144,#REF!,$L$2,0),0)</f>
        <v>0</v>
      </c>
      <c r="M144" s="9">
        <f>IFERROR(VLOOKUP(B144,cubo!$A$6:$BE$37,23,0)-VLOOKUP(B144,#REF!,$M$2,0),0)</f>
        <v>0</v>
      </c>
      <c r="N144" s="9">
        <f>IFERROR(VLOOKUP(B144,cubo!$A$6:$BE$37,25,0)-VLOOKUP(B144,#REF!,$N$2,0),0)</f>
        <v>0</v>
      </c>
      <c r="O144" s="9">
        <f>IFERROR(VLOOKUP(B144,cubo!$A$6:$BE$37,33,0)-VLOOKUP(B144,#REF!,$O$2,0),0)</f>
        <v>0</v>
      </c>
      <c r="P144" s="8">
        <f>IFERROR(VLOOKUP(B144,cubo!$A$6:$BE$37,37,0)-VLOOKUP(B144,#REF!,$P$2,0),0)</f>
        <v>0</v>
      </c>
      <c r="Q144" s="8">
        <f>IFERROR(VLOOKUP(B144,cubo!$A$6:$BE$37,56,0)-VLOOKUP(B144,#REF!,$Q$2,0),0)</f>
        <v>0</v>
      </c>
      <c r="R144" s="9">
        <f>IFERROR(VLOOKUP(B144,cubo!$A$6:$BE$37,40,0)-VLOOKUP(B144,#REF!,$R$2,0),0)</f>
        <v>0</v>
      </c>
      <c r="S144" s="9">
        <f>IFERROR(VLOOKUP(B144,cubo!$A$6:$BE$37,43,0)-VLOOKUP(B144,#REF!,$S$2,0),0)</f>
        <v>0</v>
      </c>
      <c r="T144" s="9">
        <f>IFERROR(VLOOKUP(B144,cubo!$A$6:$BE$37,46,0)-VLOOKUP(B144,#REF!,$T$2,0),0)</f>
        <v>0</v>
      </c>
      <c r="U144" s="9">
        <f>IFERROR(VLOOKUP(B144,cubo!$A$6:$BE$37,51,0)-VLOOKUP(B144,#REF!,$U$2,0),0)</f>
        <v>0</v>
      </c>
      <c r="V144" s="9">
        <f>IFERROR(VLOOKUP(B144,cubo!$A$6:$BJ$37,60,0)-VLOOKUP(B144,#REF!,$V$2,0),0)</f>
        <v>0</v>
      </c>
      <c r="W144" s="9">
        <f>IFERROR(VLOOKUP(B144,cubo!$A$6:$BE$37,26,0)-VLOOKUP(B144,#REF!,$W$2,0),0)</f>
        <v>0</v>
      </c>
      <c r="X144" s="9">
        <f>IFERROR(VLOOKUP(B144,cubo!$A$6:$BE$37,20,0)-VLOOKUP(B144,#REF!,$X$2,0),0)</f>
        <v>0</v>
      </c>
      <c r="Y144" s="9">
        <f>IFERROR(VLOOKUP(B144,cubo!$A$6:$BE$37,21,0)-VLOOKUP(B144,#REF!,$Y$2,0),0)</f>
        <v>0</v>
      </c>
      <c r="Z144" s="9">
        <f>IFERROR(VLOOKUP(B144,cubo!$A$6:$BE$37,27,0)-VLOOKUP(B144,#REF!,$Z$2,0),0)</f>
        <v>0</v>
      </c>
      <c r="AA144" s="9">
        <f>IFERROR(VLOOKUP(B144,cubo!$A$6:$BE$37,28,0)-VLOOKUP(B144,#REF!,$AA$2,0),0)</f>
        <v>0</v>
      </c>
      <c r="AB144" s="9">
        <f>IFERROR(VLOOKUP(B144,cubo!$A$6:$BE$37,29,0)-VLOOKUP(B144,#REF!,$AB$2,0),0)</f>
        <v>0</v>
      </c>
      <c r="AC144" s="9">
        <f>IFERROR(VLOOKUP(B144,cubo!$A$6:$BE$37,30,0)-VLOOKUP(B144,#REF!,$AC$2,0),0)</f>
        <v>0</v>
      </c>
      <c r="AD144" s="9">
        <f>IFERROR(VLOOKUP(B144,cubo!$A$6:$BE$37,31,0)-VLOOKUP(B144,#REF!,$AD$2,0),0)</f>
        <v>0</v>
      </c>
      <c r="AE144" s="9">
        <f>IFERROR(VLOOKUP(B144,cubo!$A$6:$BE$37,35,0)-VLOOKUP(B144,#REF!,$AE$2,0),0)</f>
        <v>0</v>
      </c>
      <c r="AF144" s="9" cm="1">
        <f t="array" aca="1" ref="AF144" ca="1">IFERROR(rrPROCV(B144,cubo!$A$6:$BE$37,48,0)-VLOOKUP(B144,#REF!,$AF$2,0),0)</f>
        <v>0</v>
      </c>
      <c r="AG144" s="9">
        <f>IFERROR(VLOOKUP(B144,cubo!$A$6:$BE$37,49,0)-VLOOKUP(B144,#REF!,$AG$2,0),0)</f>
        <v>0</v>
      </c>
      <c r="AH144" s="9">
        <f>IFERROR(VLOOKUP(B144,cubo!$A$6:$BE$37,50,0)-VLOOKUP(B144,#REF!,$AH$2,0),0)</f>
        <v>0</v>
      </c>
      <c r="AI144" s="9">
        <f>IFERROR(VLOOKUP(B144,cubo!$A$6:$BE$37,51,0)-VLOOKUP(B144,#REF!,$AI$2,0),0)</f>
        <v>0</v>
      </c>
      <c r="AJ144" s="9">
        <f>IFERROR(VLOOKUP(B144,cubo!$A$6:$BI$116,62,0)-VLOOKUP(B144,#REF!,$AJ$2,0),0)</f>
        <v>0</v>
      </c>
      <c r="AK144" s="9">
        <f>IFERROR(VLOOKUP(B144,cubo!$A$6:$BJ$37,63,0)-VLOOKUP(B144,#REF!,$AK$2,0),0)</f>
        <v>0</v>
      </c>
      <c r="AL144" s="9">
        <f>IFERROR(VLOOKUP(B144,cubo!$A$6:$BE$37,58,0)-VLOOKUP(B144,#REF!,$AL$2,0),0)</f>
        <v>0</v>
      </c>
      <c r="AM144" s="9">
        <f>IFERROR(VLOOKUP(B144,cubo!$A$6:$BK$37,64,0)-VLOOKUP(B144,#REF!,$AM$2,0),0)</f>
        <v>0</v>
      </c>
      <c r="AN144" s="9">
        <f>IFERROR(VLOOKUP(B144,cubo!$A$6:$AN$37,41,0)-VLOOKUP(B144,#REF!,$AN$2,0),0)</f>
        <v>0</v>
      </c>
    </row>
    <row r="145" spans="2:40" x14ac:dyDescent="0.25">
      <c r="B145" s="7">
        <f>[1]salario!A144</f>
        <v>0</v>
      </c>
      <c r="C145" s="8">
        <f>[1]salario!C144</f>
        <v>0</v>
      </c>
      <c r="D145" s="9">
        <f>IFERROR(VLOOKUP(B145,cubo!$A$6:$BE$37,3,0)-VLOOKUP(B145,#REF!,$D$2,0),0)</f>
        <v>0</v>
      </c>
      <c r="E145" s="10">
        <f>IFERROR(VLOOKUP(B145,cubo!$A$6:$BE$37,5,0)-VLOOKUP(B145,#REF!,$E$2,0),0)</f>
        <v>0</v>
      </c>
      <c r="F145" s="10">
        <f>IFERROR(VLOOKUP(B145,cubo!$A$6:$BE$37,8,0)-VLOOKUP(B145,#REF!,$F$2,0),0)</f>
        <v>0</v>
      </c>
      <c r="G145" s="9">
        <f>IFERROR(VLOOKUP(B145,cubo!$A$6:$BE$37,11,0)-VLOOKUP(B145,#REF!,$G$2,0),0)</f>
        <v>0</v>
      </c>
      <c r="H145" s="9">
        <f>IFERROR(VLOOKUP(B145,cubo!$A$6:$BE$37,53,0)-VLOOKUP(B145,#REF!,$H$2,0),0)</f>
        <v>0</v>
      </c>
      <c r="I145" s="10">
        <f>IFERROR(VLOOKUP(B145,cubo!$A$6:$BE$37,14,0)-VLOOKUP(B145,#REF!,$I$2,0),0)</f>
        <v>0</v>
      </c>
      <c r="J145" s="9">
        <f>IFERROR(VLOOKUP(B145,cubo!$A$6:$BE$37,16,0)-VLOOKUP(B145,#REF!,$J$2,0),0)</f>
        <v>0</v>
      </c>
      <c r="K145" s="9">
        <f>IFERROR(VLOOKUP(B145,cubo!$A$6:$BE$37,17,0)-VLOOKUP(B145,#REF!,$K$2,0),0)</f>
        <v>0</v>
      </c>
      <c r="L145" s="9">
        <f>IFERROR(VLOOKUP(B145,cubo!$A$6:$BE$37,19,0)-VLOOKUP(B145,#REF!,$L$2,0),0)</f>
        <v>0</v>
      </c>
      <c r="M145" s="9">
        <f>IFERROR(VLOOKUP(B145,cubo!$A$6:$BE$37,23,0)-VLOOKUP(B145,#REF!,$M$2,0),0)</f>
        <v>0</v>
      </c>
      <c r="N145" s="9">
        <f>IFERROR(VLOOKUP(B145,cubo!$A$6:$BE$37,25,0)-VLOOKUP(B145,#REF!,$N$2,0),0)</f>
        <v>0</v>
      </c>
      <c r="O145" s="9">
        <f>IFERROR(VLOOKUP(B145,cubo!$A$6:$BE$37,33,0)-VLOOKUP(B145,#REF!,$O$2,0),0)</f>
        <v>0</v>
      </c>
      <c r="P145" s="8">
        <f>IFERROR(VLOOKUP(B145,cubo!$A$6:$BE$37,37,0)-VLOOKUP(B145,#REF!,$P$2,0),0)</f>
        <v>0</v>
      </c>
      <c r="Q145" s="8">
        <f>IFERROR(VLOOKUP(B145,cubo!$A$6:$BE$37,56,0)-VLOOKUP(B145,#REF!,$Q$2,0),0)</f>
        <v>0</v>
      </c>
      <c r="R145" s="9">
        <f>IFERROR(VLOOKUP(B145,cubo!$A$6:$BE$37,40,0)-VLOOKUP(B145,#REF!,$R$2,0),0)</f>
        <v>0</v>
      </c>
      <c r="S145" s="9">
        <f>IFERROR(VLOOKUP(B145,cubo!$A$6:$BE$37,43,0)-VLOOKUP(B145,#REF!,$S$2,0),0)</f>
        <v>0</v>
      </c>
      <c r="T145" s="9">
        <f>IFERROR(VLOOKUP(B145,cubo!$A$6:$BE$37,46,0)-VLOOKUP(B145,#REF!,$T$2,0),0)</f>
        <v>0</v>
      </c>
      <c r="U145" s="9">
        <f>IFERROR(VLOOKUP(B145,cubo!$A$6:$BE$37,51,0)-VLOOKUP(B145,#REF!,$U$2,0),0)</f>
        <v>0</v>
      </c>
      <c r="V145" s="9">
        <f>IFERROR(VLOOKUP(B145,cubo!$A$6:$BJ$37,60,0)-VLOOKUP(B145,#REF!,$V$2,0),0)</f>
        <v>0</v>
      </c>
      <c r="W145" s="9">
        <f>IFERROR(VLOOKUP(B145,cubo!$A$6:$BE$37,26,0)-VLOOKUP(B145,#REF!,$W$2,0),0)</f>
        <v>0</v>
      </c>
      <c r="X145" s="9">
        <f>IFERROR(VLOOKUP(B145,cubo!$A$6:$BE$37,20,0)-VLOOKUP(B145,#REF!,$X$2,0),0)</f>
        <v>0</v>
      </c>
      <c r="Y145" s="9">
        <f>IFERROR(VLOOKUP(B145,cubo!$A$6:$BE$37,21,0)-VLOOKUP(B145,#REF!,$Y$2,0),0)</f>
        <v>0</v>
      </c>
      <c r="Z145" s="9">
        <f>IFERROR(VLOOKUP(B145,cubo!$A$6:$BE$37,27,0)-VLOOKUP(B145,#REF!,$Z$2,0),0)</f>
        <v>0</v>
      </c>
      <c r="AA145" s="9">
        <f>IFERROR(VLOOKUP(B145,cubo!$A$6:$BE$37,28,0)-VLOOKUP(B145,#REF!,$AA$2,0),0)</f>
        <v>0</v>
      </c>
      <c r="AB145" s="9">
        <f>IFERROR(VLOOKUP(B145,cubo!$A$6:$BE$37,29,0)-VLOOKUP(B145,#REF!,$AB$2,0),0)</f>
        <v>0</v>
      </c>
      <c r="AC145" s="9">
        <f>IFERROR(VLOOKUP(B145,cubo!$A$6:$BE$37,30,0)-VLOOKUP(B145,#REF!,$AC$2,0),0)</f>
        <v>0</v>
      </c>
      <c r="AD145" s="9">
        <f>IFERROR(VLOOKUP(B145,cubo!$A$6:$BE$37,31,0)-VLOOKUP(B145,#REF!,$AD$2,0),0)</f>
        <v>0</v>
      </c>
      <c r="AE145" s="9">
        <f>IFERROR(VLOOKUP(B145,cubo!$A$6:$BE$37,35,0)-VLOOKUP(B145,#REF!,$AE$2,0),0)</f>
        <v>0</v>
      </c>
      <c r="AF145" s="9" cm="1">
        <f t="array" aca="1" ref="AF145" ca="1">IFERROR(rrPROCV(B145,cubo!$A$6:$BE$37,48,0)-VLOOKUP(B145,#REF!,$AF$2,0),0)</f>
        <v>0</v>
      </c>
      <c r="AG145" s="9">
        <f>IFERROR(VLOOKUP(B145,cubo!$A$6:$BE$37,49,0)-VLOOKUP(B145,#REF!,$AG$2,0),0)</f>
        <v>0</v>
      </c>
      <c r="AH145" s="9">
        <f>IFERROR(VLOOKUP(B145,cubo!$A$6:$BE$37,50,0)-VLOOKUP(B145,#REF!,$AH$2,0),0)</f>
        <v>0</v>
      </c>
      <c r="AI145" s="9">
        <f>IFERROR(VLOOKUP(B145,cubo!$A$6:$BE$37,51,0)-VLOOKUP(B145,#REF!,$AI$2,0),0)</f>
        <v>0</v>
      </c>
      <c r="AJ145" s="9">
        <f>IFERROR(VLOOKUP(B145,cubo!$A$6:$BI$116,62,0)-VLOOKUP(B145,#REF!,$AJ$2,0),0)</f>
        <v>0</v>
      </c>
      <c r="AK145" s="9">
        <f>IFERROR(VLOOKUP(B145,cubo!$A$6:$BJ$37,63,0)-VLOOKUP(B145,#REF!,$AK$2,0),0)</f>
        <v>0</v>
      </c>
      <c r="AL145" s="9">
        <f>IFERROR(VLOOKUP(B145,cubo!$A$6:$BE$37,58,0)-VLOOKUP(B145,#REF!,$AL$2,0),0)</f>
        <v>0</v>
      </c>
      <c r="AM145" s="9">
        <f>IFERROR(VLOOKUP(B145,cubo!$A$6:$BK$37,64,0)-VLOOKUP(B145,#REF!,$AM$2,0),0)</f>
        <v>0</v>
      </c>
      <c r="AN145" s="9">
        <f>IFERROR(VLOOKUP(B145,cubo!$A$6:$AN$37,41,0)-VLOOKUP(B145,#REF!,$AN$2,0),0)</f>
        <v>0</v>
      </c>
    </row>
    <row r="146" spans="2:40" x14ac:dyDescent="0.25">
      <c r="B146" s="7">
        <f>[1]salario!A145</f>
        <v>0</v>
      </c>
      <c r="C146" s="8">
        <f>[1]salario!C145</f>
        <v>0</v>
      </c>
      <c r="D146" s="9">
        <f>IFERROR(VLOOKUP(B146,cubo!$A$6:$BE$37,3,0)-VLOOKUP(B146,#REF!,$D$2,0),0)</f>
        <v>0</v>
      </c>
      <c r="E146" s="10">
        <f>IFERROR(VLOOKUP(B146,cubo!$A$6:$BE$37,5,0)-VLOOKUP(B146,#REF!,$E$2,0),0)</f>
        <v>0</v>
      </c>
      <c r="F146" s="10">
        <f>IFERROR(VLOOKUP(B146,cubo!$A$6:$BE$37,8,0)-VLOOKUP(B146,#REF!,$F$2,0),0)</f>
        <v>0</v>
      </c>
      <c r="G146" s="9">
        <f>IFERROR(VLOOKUP(B146,cubo!$A$6:$BE$37,11,0)-VLOOKUP(B146,#REF!,$G$2,0),0)</f>
        <v>0</v>
      </c>
      <c r="H146" s="9">
        <f>IFERROR(VLOOKUP(B146,cubo!$A$6:$BE$37,53,0)-VLOOKUP(B146,#REF!,$H$2,0),0)</f>
        <v>0</v>
      </c>
      <c r="I146" s="10">
        <f>IFERROR(VLOOKUP(B146,cubo!$A$6:$BE$37,14,0)-VLOOKUP(B146,#REF!,$I$2,0),0)</f>
        <v>0</v>
      </c>
      <c r="J146" s="9">
        <f>IFERROR(VLOOKUP(B146,cubo!$A$6:$BE$37,16,0)-VLOOKUP(B146,#REF!,$J$2,0),0)</f>
        <v>0</v>
      </c>
      <c r="K146" s="9">
        <f>IFERROR(VLOOKUP(B146,cubo!$A$6:$BE$37,17,0)-VLOOKUP(B146,#REF!,$K$2,0),0)</f>
        <v>0</v>
      </c>
      <c r="L146" s="9">
        <f>IFERROR(VLOOKUP(B146,cubo!$A$6:$BE$37,19,0)-VLOOKUP(B146,#REF!,$L$2,0),0)</f>
        <v>0</v>
      </c>
      <c r="M146" s="9">
        <f>IFERROR(VLOOKUP(B146,cubo!$A$6:$BE$37,23,0)-VLOOKUP(B146,#REF!,$M$2,0),0)</f>
        <v>0</v>
      </c>
      <c r="N146" s="9">
        <f>IFERROR(VLOOKUP(B146,cubo!$A$6:$BE$37,25,0)-VLOOKUP(B146,#REF!,$N$2,0),0)</f>
        <v>0</v>
      </c>
      <c r="O146" s="9">
        <f>IFERROR(VLOOKUP(B146,cubo!$A$6:$BE$37,33,0)-VLOOKUP(B146,#REF!,$O$2,0),0)</f>
        <v>0</v>
      </c>
      <c r="P146" s="8">
        <f>IFERROR(VLOOKUP(B146,cubo!$A$6:$BE$37,37,0)-VLOOKUP(B146,#REF!,$P$2,0),0)</f>
        <v>0</v>
      </c>
      <c r="Q146" s="8">
        <f>IFERROR(VLOOKUP(B146,cubo!$A$6:$BE$37,56,0)-VLOOKUP(B146,#REF!,$Q$2,0),0)</f>
        <v>0</v>
      </c>
      <c r="R146" s="9">
        <f>IFERROR(VLOOKUP(B146,cubo!$A$6:$BE$37,40,0)-VLOOKUP(B146,#REF!,$R$2,0),0)</f>
        <v>0</v>
      </c>
      <c r="S146" s="9">
        <f>IFERROR(VLOOKUP(B146,cubo!$A$6:$BE$37,43,0)-VLOOKUP(B146,#REF!,$S$2,0),0)</f>
        <v>0</v>
      </c>
      <c r="T146" s="9">
        <f>IFERROR(VLOOKUP(B146,cubo!$A$6:$BE$37,46,0)-VLOOKUP(B146,#REF!,$T$2,0),0)</f>
        <v>0</v>
      </c>
      <c r="U146" s="9">
        <f>IFERROR(VLOOKUP(B146,cubo!$A$6:$BE$37,51,0)-VLOOKUP(B146,#REF!,$U$2,0),0)</f>
        <v>0</v>
      </c>
      <c r="V146" s="9">
        <f>IFERROR(VLOOKUP(B146,cubo!$A$6:$BJ$37,60,0)-VLOOKUP(B146,#REF!,$V$2,0),0)</f>
        <v>0</v>
      </c>
      <c r="W146" s="9">
        <f>IFERROR(VLOOKUP(B146,cubo!$A$6:$BE$37,26,0)-VLOOKUP(B146,#REF!,$W$2,0),0)</f>
        <v>0</v>
      </c>
      <c r="X146" s="9">
        <f>IFERROR(VLOOKUP(B146,cubo!$A$6:$BE$37,20,0)-VLOOKUP(B146,#REF!,$X$2,0),0)</f>
        <v>0</v>
      </c>
      <c r="Y146" s="9">
        <f>IFERROR(VLOOKUP(B146,cubo!$A$6:$BE$37,21,0)-VLOOKUP(B146,#REF!,$Y$2,0),0)</f>
        <v>0</v>
      </c>
      <c r="Z146" s="9">
        <f>IFERROR(VLOOKUP(B146,cubo!$A$6:$BE$37,27,0)-VLOOKUP(B146,#REF!,$Z$2,0),0)</f>
        <v>0</v>
      </c>
      <c r="AA146" s="9">
        <f>IFERROR(VLOOKUP(B146,cubo!$A$6:$BE$37,28,0)-VLOOKUP(B146,#REF!,$AA$2,0),0)</f>
        <v>0</v>
      </c>
      <c r="AB146" s="9">
        <f>IFERROR(VLOOKUP(B146,cubo!$A$6:$BE$37,29,0)-VLOOKUP(B146,#REF!,$AB$2,0),0)</f>
        <v>0</v>
      </c>
      <c r="AC146" s="9">
        <f>IFERROR(VLOOKUP(B146,cubo!$A$6:$BE$37,30,0)-VLOOKUP(B146,#REF!,$AC$2,0),0)</f>
        <v>0</v>
      </c>
      <c r="AD146" s="9">
        <f>IFERROR(VLOOKUP(B146,cubo!$A$6:$BE$37,31,0)-VLOOKUP(B146,#REF!,$AD$2,0),0)</f>
        <v>0</v>
      </c>
      <c r="AE146" s="9">
        <f>IFERROR(VLOOKUP(B146,cubo!$A$6:$BE$37,35,0)-VLOOKUP(B146,#REF!,$AE$2,0),0)</f>
        <v>0</v>
      </c>
      <c r="AF146" s="9" cm="1">
        <f t="array" aca="1" ref="AF146" ca="1">IFERROR(rrPROCV(B146,cubo!$A$6:$BE$37,48,0)-VLOOKUP(B146,#REF!,$AF$2,0),0)</f>
        <v>0</v>
      </c>
      <c r="AG146" s="9">
        <f>IFERROR(VLOOKUP(B146,cubo!$A$6:$BE$37,49,0)-VLOOKUP(B146,#REF!,$AG$2,0),0)</f>
        <v>0</v>
      </c>
      <c r="AH146" s="9">
        <f>IFERROR(VLOOKUP(B146,cubo!$A$6:$BE$37,50,0)-VLOOKUP(B146,#REF!,$AH$2,0),0)</f>
        <v>0</v>
      </c>
      <c r="AI146" s="9">
        <f>IFERROR(VLOOKUP(B146,cubo!$A$6:$BE$37,51,0)-VLOOKUP(B146,#REF!,$AI$2,0),0)</f>
        <v>0</v>
      </c>
      <c r="AJ146" s="9">
        <f>IFERROR(VLOOKUP(B146,cubo!$A$6:$BI$116,62,0)-VLOOKUP(B146,#REF!,$AJ$2,0),0)</f>
        <v>0</v>
      </c>
      <c r="AK146" s="9">
        <f>IFERROR(VLOOKUP(B146,cubo!$A$6:$BJ$37,63,0)-VLOOKUP(B146,#REF!,$AK$2,0),0)</f>
        <v>0</v>
      </c>
      <c r="AL146" s="9">
        <f>IFERROR(VLOOKUP(B146,cubo!$A$6:$BE$37,58,0)-VLOOKUP(B146,#REF!,$AL$2,0),0)</f>
        <v>0</v>
      </c>
      <c r="AM146" s="9">
        <f>IFERROR(VLOOKUP(B146,cubo!$A$6:$BK$37,64,0)-VLOOKUP(B146,#REF!,$AM$2,0),0)</f>
        <v>0</v>
      </c>
      <c r="AN146" s="9">
        <f>IFERROR(VLOOKUP(B146,cubo!$A$6:$AN$37,41,0)-VLOOKUP(B146,#REF!,$AN$2,0),0)</f>
        <v>0</v>
      </c>
    </row>
    <row r="147" spans="2:40" x14ac:dyDescent="0.25">
      <c r="B147" s="7">
        <f>[1]salario!A146</f>
        <v>0</v>
      </c>
      <c r="C147" s="8">
        <f>[1]salario!C146</f>
        <v>0</v>
      </c>
      <c r="D147" s="9">
        <f>IFERROR(VLOOKUP(B147,cubo!$A$6:$BE$37,3,0)-VLOOKUP(B147,#REF!,$D$2,0),0)</f>
        <v>0</v>
      </c>
      <c r="E147" s="10">
        <f>IFERROR(VLOOKUP(B147,cubo!$A$6:$BE$37,5,0)-VLOOKUP(B147,#REF!,$E$2,0),0)</f>
        <v>0</v>
      </c>
      <c r="F147" s="10">
        <f>IFERROR(VLOOKUP(B147,cubo!$A$6:$BE$37,8,0)-VLOOKUP(B147,#REF!,$F$2,0),0)</f>
        <v>0</v>
      </c>
      <c r="G147" s="9">
        <f>IFERROR(VLOOKUP(B147,cubo!$A$6:$BE$37,11,0)-VLOOKUP(B147,#REF!,$G$2,0),0)</f>
        <v>0</v>
      </c>
      <c r="H147" s="9">
        <f>IFERROR(VLOOKUP(B147,cubo!$A$6:$BE$37,53,0)-VLOOKUP(B147,#REF!,$H$2,0),0)</f>
        <v>0</v>
      </c>
      <c r="I147" s="10">
        <f>IFERROR(VLOOKUP(B147,cubo!$A$6:$BE$37,14,0)-VLOOKUP(B147,#REF!,$I$2,0),0)</f>
        <v>0</v>
      </c>
      <c r="J147" s="9">
        <f>IFERROR(VLOOKUP(B147,cubo!$A$6:$BE$37,16,0)-VLOOKUP(B147,#REF!,$J$2,0),0)</f>
        <v>0</v>
      </c>
      <c r="K147" s="9">
        <f>IFERROR(VLOOKUP(B147,cubo!$A$6:$BE$37,17,0)-VLOOKUP(B147,#REF!,$K$2,0),0)</f>
        <v>0</v>
      </c>
      <c r="L147" s="9">
        <f>IFERROR(VLOOKUP(B147,cubo!$A$6:$BE$37,19,0)-VLOOKUP(B147,#REF!,$L$2,0),0)</f>
        <v>0</v>
      </c>
      <c r="M147" s="9">
        <f>IFERROR(VLOOKUP(B147,cubo!$A$6:$BE$37,23,0)-VLOOKUP(B147,#REF!,$M$2,0),0)</f>
        <v>0</v>
      </c>
      <c r="N147" s="9">
        <f>IFERROR(VLOOKUP(B147,cubo!$A$6:$BE$37,25,0)-VLOOKUP(B147,#REF!,$N$2,0),0)</f>
        <v>0</v>
      </c>
      <c r="O147" s="9">
        <f>IFERROR(VLOOKUP(B147,cubo!$A$6:$BE$37,33,0)-VLOOKUP(B147,#REF!,$O$2,0),0)</f>
        <v>0</v>
      </c>
      <c r="P147" s="8">
        <f>IFERROR(VLOOKUP(B147,cubo!$A$6:$BE$37,37,0)-VLOOKUP(B147,#REF!,$P$2,0),0)</f>
        <v>0</v>
      </c>
      <c r="Q147" s="8">
        <f>IFERROR(VLOOKUP(B147,cubo!$A$6:$BE$37,56,0)-VLOOKUP(B147,#REF!,$Q$2,0),0)</f>
        <v>0</v>
      </c>
      <c r="R147" s="9">
        <f>IFERROR(VLOOKUP(B147,cubo!$A$6:$BE$37,40,0)-VLOOKUP(B147,#REF!,$R$2,0),0)</f>
        <v>0</v>
      </c>
      <c r="S147" s="9">
        <f>IFERROR(VLOOKUP(B147,cubo!$A$6:$BE$37,43,0)-VLOOKUP(B147,#REF!,$S$2,0),0)</f>
        <v>0</v>
      </c>
      <c r="T147" s="9">
        <f>IFERROR(VLOOKUP(B147,cubo!$A$6:$BE$37,46,0)-VLOOKUP(B147,#REF!,$T$2,0),0)</f>
        <v>0</v>
      </c>
      <c r="U147" s="9">
        <f>IFERROR(VLOOKUP(B147,cubo!$A$6:$BE$37,51,0)-VLOOKUP(B147,#REF!,$U$2,0),0)</f>
        <v>0</v>
      </c>
      <c r="V147" s="9">
        <f>IFERROR(VLOOKUP(B147,cubo!$A$6:$BJ$37,60,0)-VLOOKUP(B147,#REF!,$V$2,0),0)</f>
        <v>0</v>
      </c>
      <c r="W147" s="9">
        <f>IFERROR(VLOOKUP(B147,cubo!$A$6:$BE$37,26,0)-VLOOKUP(B147,#REF!,$W$2,0),0)</f>
        <v>0</v>
      </c>
      <c r="X147" s="9">
        <f>IFERROR(VLOOKUP(B147,cubo!$A$6:$BE$37,20,0)-VLOOKUP(B147,#REF!,$X$2,0),0)</f>
        <v>0</v>
      </c>
      <c r="Y147" s="9">
        <f>IFERROR(VLOOKUP(B147,cubo!$A$6:$BE$37,21,0)-VLOOKUP(B147,#REF!,$Y$2,0),0)</f>
        <v>0</v>
      </c>
      <c r="Z147" s="9">
        <f>IFERROR(VLOOKUP(B147,cubo!$A$6:$BE$37,27,0)-VLOOKUP(B147,#REF!,$Z$2,0),0)</f>
        <v>0</v>
      </c>
      <c r="AA147" s="9">
        <f>IFERROR(VLOOKUP(B147,cubo!$A$6:$BE$37,28,0)-VLOOKUP(B147,#REF!,$AA$2,0),0)</f>
        <v>0</v>
      </c>
      <c r="AB147" s="9">
        <f>IFERROR(VLOOKUP(B147,cubo!$A$6:$BE$37,29,0)-VLOOKUP(B147,#REF!,$AB$2,0),0)</f>
        <v>0</v>
      </c>
      <c r="AC147" s="9">
        <f>IFERROR(VLOOKUP(B147,cubo!$A$6:$BE$37,30,0)-VLOOKUP(B147,#REF!,$AC$2,0),0)</f>
        <v>0</v>
      </c>
      <c r="AD147" s="9">
        <f>IFERROR(VLOOKUP(B147,cubo!$A$6:$BE$37,31,0)-VLOOKUP(B147,#REF!,$AD$2,0),0)</f>
        <v>0</v>
      </c>
      <c r="AE147" s="9">
        <f>IFERROR(VLOOKUP(B147,cubo!$A$6:$BE$37,35,0)-VLOOKUP(B147,#REF!,$AE$2,0),0)</f>
        <v>0</v>
      </c>
      <c r="AF147" s="9" cm="1">
        <f t="array" aca="1" ref="AF147" ca="1">IFERROR(rrPROCV(B147,cubo!$A$6:$BE$37,48,0)-VLOOKUP(B147,#REF!,$AF$2,0),0)</f>
        <v>0</v>
      </c>
      <c r="AG147" s="9">
        <f>IFERROR(VLOOKUP(B147,cubo!$A$6:$BE$37,49,0)-VLOOKUP(B147,#REF!,$AG$2,0),0)</f>
        <v>0</v>
      </c>
      <c r="AH147" s="9">
        <f>IFERROR(VLOOKUP(B147,cubo!$A$6:$BE$37,50,0)-VLOOKUP(B147,#REF!,$AH$2,0),0)</f>
        <v>0</v>
      </c>
      <c r="AI147" s="9">
        <f>IFERROR(VLOOKUP(B147,cubo!$A$6:$BE$37,51,0)-VLOOKUP(B147,#REF!,$AI$2,0),0)</f>
        <v>0</v>
      </c>
      <c r="AJ147" s="9">
        <f>IFERROR(VLOOKUP(B147,cubo!$A$6:$BI$116,62,0)-VLOOKUP(B147,#REF!,$AJ$2,0),0)</f>
        <v>0</v>
      </c>
      <c r="AK147" s="9">
        <f>IFERROR(VLOOKUP(B147,cubo!$A$6:$BJ$37,63,0)-VLOOKUP(B147,#REF!,$AK$2,0),0)</f>
        <v>0</v>
      </c>
      <c r="AL147" s="9">
        <f>IFERROR(VLOOKUP(B147,cubo!$A$6:$BE$37,58,0)-VLOOKUP(B147,#REF!,$AL$2,0),0)</f>
        <v>0</v>
      </c>
      <c r="AM147" s="9">
        <f>IFERROR(VLOOKUP(B147,cubo!$A$6:$BK$37,64,0)-VLOOKUP(B147,#REF!,$AM$2,0),0)</f>
        <v>0</v>
      </c>
      <c r="AN147" s="9">
        <f>IFERROR(VLOOKUP(B147,cubo!$A$6:$AN$37,41,0)-VLOOKUP(B147,#REF!,$AN$2,0),0)</f>
        <v>0</v>
      </c>
    </row>
    <row r="148" spans="2:40" x14ac:dyDescent="0.25">
      <c r="B148" s="7">
        <f>[1]salario!A147</f>
        <v>0</v>
      </c>
      <c r="C148" s="8">
        <f>[1]salario!C147</f>
        <v>0</v>
      </c>
      <c r="D148" s="9">
        <f>IFERROR(VLOOKUP(B148,cubo!$A$6:$BE$37,3,0)-VLOOKUP(B148,#REF!,$D$2,0),0)</f>
        <v>0</v>
      </c>
      <c r="E148" s="10">
        <f>IFERROR(VLOOKUP(B148,cubo!$A$6:$BE$37,5,0)-VLOOKUP(B148,#REF!,$E$2,0),0)</f>
        <v>0</v>
      </c>
      <c r="F148" s="10">
        <f>IFERROR(VLOOKUP(B148,cubo!$A$6:$BE$37,8,0)-VLOOKUP(B148,#REF!,$F$2,0),0)</f>
        <v>0</v>
      </c>
      <c r="G148" s="9">
        <f>IFERROR(VLOOKUP(B148,cubo!$A$6:$BE$37,11,0)-VLOOKUP(B148,#REF!,$G$2,0),0)</f>
        <v>0</v>
      </c>
      <c r="H148" s="9">
        <f>IFERROR(VLOOKUP(B148,cubo!$A$6:$BE$37,53,0)-VLOOKUP(B148,#REF!,$H$2,0),0)</f>
        <v>0</v>
      </c>
      <c r="I148" s="10">
        <f>IFERROR(VLOOKUP(B148,cubo!$A$6:$BE$37,14,0)-VLOOKUP(B148,#REF!,$I$2,0),0)</f>
        <v>0</v>
      </c>
      <c r="J148" s="9">
        <f>IFERROR(VLOOKUP(B148,cubo!$A$6:$BE$37,16,0)-VLOOKUP(B148,#REF!,$J$2,0),0)</f>
        <v>0</v>
      </c>
      <c r="K148" s="9">
        <f>IFERROR(VLOOKUP(B148,cubo!$A$6:$BE$37,17,0)-VLOOKUP(B148,#REF!,$K$2,0),0)</f>
        <v>0</v>
      </c>
      <c r="L148" s="9">
        <f>IFERROR(VLOOKUP(B148,cubo!$A$6:$BE$37,19,0)-VLOOKUP(B148,#REF!,$L$2,0),0)</f>
        <v>0</v>
      </c>
      <c r="M148" s="9">
        <f>IFERROR(VLOOKUP(B148,cubo!$A$6:$BE$37,23,0)-VLOOKUP(B148,#REF!,$M$2,0),0)</f>
        <v>0</v>
      </c>
      <c r="N148" s="9">
        <f>IFERROR(VLOOKUP(B148,cubo!$A$6:$BE$37,25,0)-VLOOKUP(B148,#REF!,$N$2,0),0)</f>
        <v>0</v>
      </c>
      <c r="O148" s="9">
        <f>IFERROR(VLOOKUP(B148,cubo!$A$6:$BE$37,33,0)-VLOOKUP(B148,#REF!,$O$2,0),0)</f>
        <v>0</v>
      </c>
      <c r="P148" s="8">
        <f>IFERROR(VLOOKUP(B148,cubo!$A$6:$BE$37,37,0)-VLOOKUP(B148,#REF!,$P$2,0),0)</f>
        <v>0</v>
      </c>
      <c r="Q148" s="8">
        <f>IFERROR(VLOOKUP(B148,cubo!$A$6:$BE$37,56,0)-VLOOKUP(B148,#REF!,$Q$2,0),0)</f>
        <v>0</v>
      </c>
      <c r="R148" s="9">
        <f>IFERROR(VLOOKUP(B148,cubo!$A$6:$BE$37,40,0)-VLOOKUP(B148,#REF!,$R$2,0),0)</f>
        <v>0</v>
      </c>
      <c r="S148" s="9">
        <f>IFERROR(VLOOKUP(B148,cubo!$A$6:$BE$37,43,0)-VLOOKUP(B148,#REF!,$S$2,0),0)</f>
        <v>0</v>
      </c>
      <c r="T148" s="9">
        <f>IFERROR(VLOOKUP(B148,cubo!$A$6:$BE$37,46,0)-VLOOKUP(B148,#REF!,$T$2,0),0)</f>
        <v>0</v>
      </c>
      <c r="U148" s="9">
        <f>IFERROR(VLOOKUP(B148,cubo!$A$6:$BE$37,51,0)-VLOOKUP(B148,#REF!,$U$2,0),0)</f>
        <v>0</v>
      </c>
      <c r="V148" s="9">
        <f>IFERROR(VLOOKUP(B148,cubo!$A$6:$BJ$37,60,0)-VLOOKUP(B148,#REF!,$V$2,0),0)</f>
        <v>0</v>
      </c>
      <c r="W148" s="9">
        <f>IFERROR(VLOOKUP(B148,cubo!$A$6:$BE$37,26,0)-VLOOKUP(B148,#REF!,$W$2,0),0)</f>
        <v>0</v>
      </c>
      <c r="X148" s="9">
        <f>IFERROR(VLOOKUP(B148,cubo!$A$6:$BE$37,20,0)-VLOOKUP(B148,#REF!,$X$2,0),0)</f>
        <v>0</v>
      </c>
      <c r="Y148" s="9">
        <f>IFERROR(VLOOKUP(B148,cubo!$A$6:$BE$37,21,0)-VLOOKUP(B148,#REF!,$Y$2,0),0)</f>
        <v>0</v>
      </c>
      <c r="Z148" s="9">
        <f>IFERROR(VLOOKUP(B148,cubo!$A$6:$BE$37,27,0)-VLOOKUP(B148,#REF!,$Z$2,0),0)</f>
        <v>0</v>
      </c>
      <c r="AA148" s="9">
        <f>IFERROR(VLOOKUP(B148,cubo!$A$6:$BE$37,28,0)-VLOOKUP(B148,#REF!,$AA$2,0),0)</f>
        <v>0</v>
      </c>
      <c r="AB148" s="9">
        <f>IFERROR(VLOOKUP(B148,cubo!$A$6:$BE$37,29,0)-VLOOKUP(B148,#REF!,$AB$2,0),0)</f>
        <v>0</v>
      </c>
      <c r="AC148" s="9">
        <f>IFERROR(VLOOKUP(B148,cubo!$A$6:$BE$37,30,0)-VLOOKUP(B148,#REF!,$AC$2,0),0)</f>
        <v>0</v>
      </c>
      <c r="AD148" s="9">
        <f>IFERROR(VLOOKUP(B148,cubo!$A$6:$BE$37,31,0)-VLOOKUP(B148,#REF!,$AD$2,0),0)</f>
        <v>0</v>
      </c>
      <c r="AE148" s="9">
        <f>IFERROR(VLOOKUP(B148,cubo!$A$6:$BE$37,35,0)-VLOOKUP(B148,#REF!,$AE$2,0),0)</f>
        <v>0</v>
      </c>
      <c r="AF148" s="9" cm="1">
        <f t="array" aca="1" ref="AF148" ca="1">IFERROR(rrPROCV(B148,cubo!$A$6:$BE$37,48,0)-VLOOKUP(B148,#REF!,$AF$2,0),0)</f>
        <v>0</v>
      </c>
      <c r="AG148" s="9">
        <f>IFERROR(VLOOKUP(B148,cubo!$A$6:$BE$37,49,0)-VLOOKUP(B148,#REF!,$AG$2,0),0)</f>
        <v>0</v>
      </c>
      <c r="AH148" s="9">
        <f>IFERROR(VLOOKUP(B148,cubo!$A$6:$BE$37,50,0)-VLOOKUP(B148,#REF!,$AH$2,0),0)</f>
        <v>0</v>
      </c>
      <c r="AI148" s="9">
        <f>IFERROR(VLOOKUP(B148,cubo!$A$6:$BE$37,51,0)-VLOOKUP(B148,#REF!,$AI$2,0),0)</f>
        <v>0</v>
      </c>
      <c r="AJ148" s="9">
        <f>IFERROR(VLOOKUP(B148,cubo!$A$6:$BI$116,62,0)-VLOOKUP(B148,#REF!,$AJ$2,0),0)</f>
        <v>0</v>
      </c>
      <c r="AK148" s="9">
        <f>IFERROR(VLOOKUP(B148,cubo!$A$6:$BJ$37,63,0)-VLOOKUP(B148,#REF!,$AK$2,0),0)</f>
        <v>0</v>
      </c>
      <c r="AL148" s="9">
        <f>IFERROR(VLOOKUP(B148,cubo!$A$6:$BE$37,58,0)-VLOOKUP(B148,#REF!,$AL$2,0),0)</f>
        <v>0</v>
      </c>
      <c r="AM148" s="9">
        <f>IFERROR(VLOOKUP(B148,cubo!$A$6:$BK$37,64,0)-VLOOKUP(B148,#REF!,$AM$2,0),0)</f>
        <v>0</v>
      </c>
      <c r="AN148" s="9">
        <f>IFERROR(VLOOKUP(B148,cubo!$A$6:$AN$37,41,0)-VLOOKUP(B148,#REF!,$AN$2,0),0)</f>
        <v>0</v>
      </c>
    </row>
    <row r="149" spans="2:40" x14ac:dyDescent="0.25">
      <c r="B149" s="7">
        <f>[1]salario!A148</f>
        <v>0</v>
      </c>
      <c r="C149" s="8">
        <f>[1]salario!C148</f>
        <v>0</v>
      </c>
      <c r="D149" s="9">
        <f>IFERROR(VLOOKUP(B149,cubo!$A$6:$BE$37,3,0)-VLOOKUP(B149,#REF!,$D$2,0),0)</f>
        <v>0</v>
      </c>
      <c r="E149" s="10">
        <f>IFERROR(VLOOKUP(B149,cubo!$A$6:$BE$37,5,0)-VLOOKUP(B149,#REF!,$E$2,0),0)</f>
        <v>0</v>
      </c>
      <c r="F149" s="10">
        <f>IFERROR(VLOOKUP(B149,cubo!$A$6:$BE$37,8,0)-VLOOKUP(B149,#REF!,$F$2,0),0)</f>
        <v>0</v>
      </c>
      <c r="G149" s="9">
        <f>IFERROR(VLOOKUP(B149,cubo!$A$6:$BE$37,11,0)-VLOOKUP(B149,#REF!,$G$2,0),0)</f>
        <v>0</v>
      </c>
      <c r="H149" s="9">
        <f>IFERROR(VLOOKUP(B149,cubo!$A$6:$BE$37,53,0)-VLOOKUP(B149,#REF!,$H$2,0),0)</f>
        <v>0</v>
      </c>
      <c r="I149" s="10">
        <f>IFERROR(VLOOKUP(B149,cubo!$A$6:$BE$37,14,0)-VLOOKUP(B149,#REF!,$I$2,0),0)</f>
        <v>0</v>
      </c>
      <c r="J149" s="9">
        <f>IFERROR(VLOOKUP(B149,cubo!$A$6:$BE$37,16,0)-VLOOKUP(B149,#REF!,$J$2,0),0)</f>
        <v>0</v>
      </c>
      <c r="K149" s="9">
        <f>IFERROR(VLOOKUP(B149,cubo!$A$6:$BE$37,17,0)-VLOOKUP(B149,#REF!,$K$2,0),0)</f>
        <v>0</v>
      </c>
      <c r="L149" s="9">
        <f>IFERROR(VLOOKUP(B149,cubo!$A$6:$BE$37,19,0)-VLOOKUP(B149,#REF!,$L$2,0),0)</f>
        <v>0</v>
      </c>
      <c r="M149" s="9">
        <f>IFERROR(VLOOKUP(B149,cubo!$A$6:$BE$37,23,0)-VLOOKUP(B149,#REF!,$M$2,0),0)</f>
        <v>0</v>
      </c>
      <c r="N149" s="9">
        <f>IFERROR(VLOOKUP(B149,cubo!$A$6:$BE$37,25,0)-VLOOKUP(B149,#REF!,$N$2,0),0)</f>
        <v>0</v>
      </c>
      <c r="O149" s="9">
        <f>IFERROR(VLOOKUP(B149,cubo!$A$6:$BE$37,33,0)-VLOOKUP(B149,#REF!,$O$2,0),0)</f>
        <v>0</v>
      </c>
      <c r="P149" s="8">
        <f>IFERROR(VLOOKUP(B149,cubo!$A$6:$BE$37,37,0)-VLOOKUP(B149,#REF!,$P$2,0),0)</f>
        <v>0</v>
      </c>
      <c r="Q149" s="8">
        <f>IFERROR(VLOOKUP(B149,cubo!$A$6:$BE$37,56,0)-VLOOKUP(B149,#REF!,$Q$2,0),0)</f>
        <v>0</v>
      </c>
      <c r="R149" s="9">
        <f>IFERROR(VLOOKUP(B149,cubo!$A$6:$BE$37,40,0)-VLOOKUP(B149,#REF!,$R$2,0),0)</f>
        <v>0</v>
      </c>
      <c r="S149" s="9">
        <f>IFERROR(VLOOKUP(B149,cubo!$A$6:$BE$37,43,0)-VLOOKUP(B149,#REF!,$S$2,0),0)</f>
        <v>0</v>
      </c>
      <c r="T149" s="9">
        <f>IFERROR(VLOOKUP(B149,cubo!$A$6:$BE$37,46,0)-VLOOKUP(B149,#REF!,$T$2,0),0)</f>
        <v>0</v>
      </c>
      <c r="U149" s="9">
        <f>IFERROR(VLOOKUP(B149,cubo!$A$6:$BE$37,51,0)-VLOOKUP(B149,#REF!,$U$2,0),0)</f>
        <v>0</v>
      </c>
      <c r="V149" s="9">
        <f>IFERROR(VLOOKUP(B149,cubo!$A$6:$BJ$37,60,0)-VLOOKUP(B149,#REF!,$V$2,0),0)</f>
        <v>0</v>
      </c>
      <c r="W149" s="9">
        <f>IFERROR(VLOOKUP(B149,cubo!$A$6:$BE$37,26,0)-VLOOKUP(B149,#REF!,$W$2,0),0)</f>
        <v>0</v>
      </c>
      <c r="X149" s="9">
        <f>IFERROR(VLOOKUP(B149,cubo!$A$6:$BE$37,20,0)-VLOOKUP(B149,#REF!,$X$2,0),0)</f>
        <v>0</v>
      </c>
      <c r="Y149" s="9">
        <f>IFERROR(VLOOKUP(B149,cubo!$A$6:$BE$37,21,0)-VLOOKUP(B149,#REF!,$Y$2,0),0)</f>
        <v>0</v>
      </c>
      <c r="Z149" s="9">
        <f>IFERROR(VLOOKUP(B149,cubo!$A$6:$BE$37,27,0)-VLOOKUP(B149,#REF!,$Z$2,0),0)</f>
        <v>0</v>
      </c>
      <c r="AA149" s="9">
        <f>IFERROR(VLOOKUP(B149,cubo!$A$6:$BE$37,28,0)-VLOOKUP(B149,#REF!,$AA$2,0),0)</f>
        <v>0</v>
      </c>
      <c r="AB149" s="9">
        <f>IFERROR(VLOOKUP(B149,cubo!$A$6:$BE$37,29,0)-VLOOKUP(B149,#REF!,$AB$2,0),0)</f>
        <v>0</v>
      </c>
      <c r="AC149" s="9">
        <f>IFERROR(VLOOKUP(B149,cubo!$A$6:$BE$37,30,0)-VLOOKUP(B149,#REF!,$AC$2,0),0)</f>
        <v>0</v>
      </c>
      <c r="AD149" s="9">
        <f>IFERROR(VLOOKUP(B149,cubo!$A$6:$BE$37,31,0)-VLOOKUP(B149,#REF!,$AD$2,0),0)</f>
        <v>0</v>
      </c>
      <c r="AE149" s="9">
        <f>IFERROR(VLOOKUP(B149,cubo!$A$6:$BE$37,35,0)-VLOOKUP(B149,#REF!,$AE$2,0),0)</f>
        <v>0</v>
      </c>
      <c r="AF149" s="9" cm="1">
        <f t="array" aca="1" ref="AF149" ca="1">IFERROR(rrPROCV(B149,cubo!$A$6:$BE$37,48,0)-VLOOKUP(B149,#REF!,$AF$2,0),0)</f>
        <v>0</v>
      </c>
      <c r="AG149" s="9">
        <f>IFERROR(VLOOKUP(B149,cubo!$A$6:$BE$37,49,0)-VLOOKUP(B149,#REF!,$AG$2,0),0)</f>
        <v>0</v>
      </c>
      <c r="AH149" s="9">
        <f>IFERROR(VLOOKUP(B149,cubo!$A$6:$BE$37,50,0)-VLOOKUP(B149,#REF!,$AH$2,0),0)</f>
        <v>0</v>
      </c>
      <c r="AI149" s="9">
        <f>IFERROR(VLOOKUP(B149,cubo!$A$6:$BE$37,51,0)-VLOOKUP(B149,#REF!,$AI$2,0),0)</f>
        <v>0</v>
      </c>
      <c r="AJ149" s="9">
        <f>IFERROR(VLOOKUP(B149,cubo!$A$6:$BI$116,62,0)-VLOOKUP(B149,#REF!,$AJ$2,0),0)</f>
        <v>0</v>
      </c>
      <c r="AK149" s="9">
        <f>IFERROR(VLOOKUP(B149,cubo!$A$6:$BJ$37,63,0)-VLOOKUP(B149,#REF!,$AK$2,0),0)</f>
        <v>0</v>
      </c>
      <c r="AL149" s="9">
        <f>IFERROR(VLOOKUP(B149,cubo!$A$6:$BE$37,58,0)-VLOOKUP(B149,#REF!,$AL$2,0),0)</f>
        <v>0</v>
      </c>
      <c r="AM149" s="9">
        <f>IFERROR(VLOOKUP(B149,cubo!$A$6:$BK$37,64,0)-VLOOKUP(B149,#REF!,$AM$2,0),0)</f>
        <v>0</v>
      </c>
      <c r="AN149" s="9">
        <f>IFERROR(VLOOKUP(B149,cubo!$A$6:$AN$37,41,0)-VLOOKUP(B149,#REF!,$AN$2,0),0)</f>
        <v>0</v>
      </c>
    </row>
    <row r="150" spans="2:40" x14ac:dyDescent="0.25">
      <c r="B150" s="7">
        <f>[1]salario!A149</f>
        <v>0</v>
      </c>
      <c r="C150" s="8">
        <f>[1]salario!C149</f>
        <v>0</v>
      </c>
      <c r="D150" s="9">
        <f>IFERROR(VLOOKUP(B150,cubo!$A$6:$BE$37,3,0)-VLOOKUP(B150,#REF!,$D$2,0),0)</f>
        <v>0</v>
      </c>
      <c r="E150" s="10">
        <f>IFERROR(VLOOKUP(B150,cubo!$A$6:$BE$37,5,0)-VLOOKUP(B150,#REF!,$E$2,0),0)</f>
        <v>0</v>
      </c>
      <c r="F150" s="10">
        <f>IFERROR(VLOOKUP(B150,cubo!$A$6:$BE$37,8,0)-VLOOKUP(B150,#REF!,$F$2,0),0)</f>
        <v>0</v>
      </c>
      <c r="G150" s="9">
        <f>IFERROR(VLOOKUP(B150,cubo!$A$6:$BE$37,11,0)-VLOOKUP(B150,#REF!,$G$2,0),0)</f>
        <v>0</v>
      </c>
      <c r="H150" s="9">
        <f>IFERROR(VLOOKUP(B150,cubo!$A$6:$BE$37,53,0)-VLOOKUP(B150,#REF!,$H$2,0),0)</f>
        <v>0</v>
      </c>
      <c r="I150" s="10">
        <f>IFERROR(VLOOKUP(B150,cubo!$A$6:$BE$37,14,0)-VLOOKUP(B150,#REF!,$I$2,0),0)</f>
        <v>0</v>
      </c>
      <c r="J150" s="9">
        <f>IFERROR(VLOOKUP(B150,cubo!$A$6:$BE$37,16,0)-VLOOKUP(B150,#REF!,$J$2,0),0)</f>
        <v>0</v>
      </c>
      <c r="K150" s="9">
        <f>IFERROR(VLOOKUP(B150,cubo!$A$6:$BE$37,17,0)-VLOOKUP(B150,#REF!,$K$2,0),0)</f>
        <v>0</v>
      </c>
      <c r="L150" s="9">
        <f>IFERROR(VLOOKUP(B150,cubo!$A$6:$BE$37,19,0)-VLOOKUP(B150,#REF!,$L$2,0),0)</f>
        <v>0</v>
      </c>
      <c r="M150" s="9">
        <f>IFERROR(VLOOKUP(B150,cubo!$A$6:$BE$37,23,0)-VLOOKUP(B150,#REF!,$M$2,0),0)</f>
        <v>0</v>
      </c>
      <c r="N150" s="9">
        <f>IFERROR(VLOOKUP(B150,cubo!$A$6:$BE$37,25,0)-VLOOKUP(B150,#REF!,$N$2,0),0)</f>
        <v>0</v>
      </c>
      <c r="O150" s="9">
        <f>IFERROR(VLOOKUP(B150,cubo!$A$6:$BE$37,33,0)-VLOOKUP(B150,#REF!,$O$2,0),0)</f>
        <v>0</v>
      </c>
      <c r="P150" s="8">
        <f>IFERROR(VLOOKUP(B150,cubo!$A$6:$BE$37,37,0)-VLOOKUP(B150,#REF!,$P$2,0),0)</f>
        <v>0</v>
      </c>
      <c r="Q150" s="8">
        <f>IFERROR(VLOOKUP(B150,cubo!$A$6:$BE$37,56,0)-VLOOKUP(B150,#REF!,$Q$2,0),0)</f>
        <v>0</v>
      </c>
      <c r="R150" s="9">
        <f>IFERROR(VLOOKUP(B150,cubo!$A$6:$BE$37,40,0)-VLOOKUP(B150,#REF!,$R$2,0),0)</f>
        <v>0</v>
      </c>
      <c r="S150" s="9">
        <f>IFERROR(VLOOKUP(B150,cubo!$A$6:$BE$37,43,0)-VLOOKUP(B150,#REF!,$S$2,0),0)</f>
        <v>0</v>
      </c>
      <c r="T150" s="9">
        <f>IFERROR(VLOOKUP(B150,cubo!$A$6:$BE$37,46,0)-VLOOKUP(B150,#REF!,$T$2,0),0)</f>
        <v>0</v>
      </c>
      <c r="U150" s="9">
        <f>IFERROR(VLOOKUP(B150,cubo!$A$6:$BE$37,51,0)-VLOOKUP(B150,#REF!,$U$2,0),0)</f>
        <v>0</v>
      </c>
      <c r="V150" s="9">
        <f>IFERROR(VLOOKUP(B150,cubo!$A$6:$BJ$37,60,0)-VLOOKUP(B150,#REF!,$V$2,0),0)</f>
        <v>0</v>
      </c>
      <c r="W150" s="9">
        <f>IFERROR(VLOOKUP(B150,cubo!$A$6:$BE$37,26,0)-VLOOKUP(B150,#REF!,$W$2,0),0)</f>
        <v>0</v>
      </c>
      <c r="X150" s="9">
        <f>IFERROR(VLOOKUP(B150,cubo!$A$6:$BE$37,20,0)-VLOOKUP(B150,#REF!,$X$2,0),0)</f>
        <v>0</v>
      </c>
      <c r="Y150" s="9">
        <f>IFERROR(VLOOKUP(B150,cubo!$A$6:$BE$37,21,0)-VLOOKUP(B150,#REF!,$Y$2,0),0)</f>
        <v>0</v>
      </c>
      <c r="Z150" s="9">
        <f>IFERROR(VLOOKUP(B150,cubo!$A$6:$BE$37,27,0)-VLOOKUP(B150,#REF!,$Z$2,0),0)</f>
        <v>0</v>
      </c>
      <c r="AA150" s="9">
        <f>IFERROR(VLOOKUP(B150,cubo!$A$6:$BE$37,28,0)-VLOOKUP(B150,#REF!,$AA$2,0),0)</f>
        <v>0</v>
      </c>
      <c r="AB150" s="9">
        <f>IFERROR(VLOOKUP(B150,cubo!$A$6:$BE$37,29,0)-VLOOKUP(B150,#REF!,$AB$2,0),0)</f>
        <v>0</v>
      </c>
      <c r="AC150" s="9">
        <f>IFERROR(VLOOKUP(B150,cubo!$A$6:$BE$37,30,0)-VLOOKUP(B150,#REF!,$AC$2,0),0)</f>
        <v>0</v>
      </c>
      <c r="AD150" s="9">
        <f>IFERROR(VLOOKUP(B150,cubo!$A$6:$BE$37,31,0)-VLOOKUP(B150,#REF!,$AD$2,0),0)</f>
        <v>0</v>
      </c>
      <c r="AE150" s="9">
        <f>IFERROR(VLOOKUP(B150,cubo!$A$6:$BE$37,35,0)-VLOOKUP(B150,#REF!,$AE$2,0),0)</f>
        <v>0</v>
      </c>
      <c r="AF150" s="9" cm="1">
        <f t="array" aca="1" ref="AF150" ca="1">IFERROR(rrPROCV(B150,cubo!$A$6:$BE$37,48,0)-VLOOKUP(B150,#REF!,$AF$2,0),0)</f>
        <v>0</v>
      </c>
      <c r="AG150" s="9">
        <f>IFERROR(VLOOKUP(B150,cubo!$A$6:$BE$37,49,0)-VLOOKUP(B150,#REF!,$AG$2,0),0)</f>
        <v>0</v>
      </c>
      <c r="AH150" s="9">
        <f>IFERROR(VLOOKUP(B150,cubo!$A$6:$BE$37,50,0)-VLOOKUP(B150,#REF!,$AH$2,0),0)</f>
        <v>0</v>
      </c>
      <c r="AI150" s="9">
        <f>IFERROR(VLOOKUP(B150,cubo!$A$6:$BE$37,51,0)-VLOOKUP(B150,#REF!,$AI$2,0),0)</f>
        <v>0</v>
      </c>
      <c r="AJ150" s="9">
        <f>IFERROR(VLOOKUP(B150,cubo!$A$6:$BI$116,62,0)-VLOOKUP(B150,#REF!,$AJ$2,0),0)</f>
        <v>0</v>
      </c>
      <c r="AK150" s="9">
        <f>IFERROR(VLOOKUP(B150,cubo!$A$6:$BJ$37,63,0)-VLOOKUP(B150,#REF!,$AK$2,0),0)</f>
        <v>0</v>
      </c>
      <c r="AL150" s="9">
        <f>IFERROR(VLOOKUP(B150,cubo!$A$6:$BE$37,58,0)-VLOOKUP(B150,#REF!,$AL$2,0),0)</f>
        <v>0</v>
      </c>
      <c r="AM150" s="9">
        <f>IFERROR(VLOOKUP(B150,cubo!$A$6:$BK$37,64,0)-VLOOKUP(B150,#REF!,$AM$2,0),0)</f>
        <v>0</v>
      </c>
      <c r="AN150" s="9">
        <f>IFERROR(VLOOKUP(B150,cubo!$A$6:$AN$37,41,0)-VLOOKUP(B150,#REF!,$AN$2,0),0)</f>
        <v>0</v>
      </c>
    </row>
    <row r="151" spans="2:40" x14ac:dyDescent="0.25">
      <c r="B151" s="7">
        <f>[1]salario!A150</f>
        <v>0</v>
      </c>
      <c r="C151" s="8">
        <f>[1]salario!C150</f>
        <v>0</v>
      </c>
      <c r="D151" s="9">
        <f>IFERROR(VLOOKUP(B151,cubo!$A$6:$BE$37,3,0)-VLOOKUP(B151,#REF!,$D$2,0),0)</f>
        <v>0</v>
      </c>
      <c r="E151" s="10">
        <f>IFERROR(VLOOKUP(B151,cubo!$A$6:$BE$37,5,0)-VLOOKUP(B151,#REF!,$E$2,0),0)</f>
        <v>0</v>
      </c>
      <c r="F151" s="10">
        <f>IFERROR(VLOOKUP(B151,cubo!$A$6:$BE$37,8,0)-VLOOKUP(B151,#REF!,$F$2,0),0)</f>
        <v>0</v>
      </c>
      <c r="G151" s="9">
        <f>IFERROR(VLOOKUP(B151,cubo!$A$6:$BE$37,11,0)-VLOOKUP(B151,#REF!,$G$2,0),0)</f>
        <v>0</v>
      </c>
      <c r="H151" s="9">
        <f>IFERROR(VLOOKUP(B151,cubo!$A$6:$BE$37,53,0)-VLOOKUP(B151,#REF!,$H$2,0),0)</f>
        <v>0</v>
      </c>
      <c r="I151" s="10">
        <f>IFERROR(VLOOKUP(B151,cubo!$A$6:$BE$37,14,0)-VLOOKUP(B151,#REF!,$I$2,0),0)</f>
        <v>0</v>
      </c>
      <c r="J151" s="9">
        <f>IFERROR(VLOOKUP(B151,cubo!$A$6:$BE$37,16,0)-VLOOKUP(B151,#REF!,$J$2,0),0)</f>
        <v>0</v>
      </c>
      <c r="K151" s="9">
        <f>IFERROR(VLOOKUP(B151,cubo!$A$6:$BE$37,17,0)-VLOOKUP(B151,#REF!,$K$2,0),0)</f>
        <v>0</v>
      </c>
      <c r="L151" s="9">
        <f>IFERROR(VLOOKUP(B151,cubo!$A$6:$BE$37,19,0)-VLOOKUP(B151,#REF!,$L$2,0),0)</f>
        <v>0</v>
      </c>
      <c r="M151" s="9">
        <f>IFERROR(VLOOKUP(B151,cubo!$A$6:$BE$37,23,0)-VLOOKUP(B151,#REF!,$M$2,0),0)</f>
        <v>0</v>
      </c>
      <c r="N151" s="9">
        <f>IFERROR(VLOOKUP(B151,cubo!$A$6:$BE$37,25,0)-VLOOKUP(B151,#REF!,$N$2,0),0)</f>
        <v>0</v>
      </c>
      <c r="O151" s="9">
        <f>IFERROR(VLOOKUP(B151,cubo!$A$6:$BE$37,33,0)-VLOOKUP(B151,#REF!,$O$2,0),0)</f>
        <v>0</v>
      </c>
      <c r="P151" s="8">
        <f>IFERROR(VLOOKUP(B151,cubo!$A$6:$BE$37,37,0)-VLOOKUP(B151,#REF!,$P$2,0),0)</f>
        <v>0</v>
      </c>
      <c r="Q151" s="8">
        <f>IFERROR(VLOOKUP(B151,cubo!$A$6:$BE$37,56,0)-VLOOKUP(B151,#REF!,$Q$2,0),0)</f>
        <v>0</v>
      </c>
      <c r="R151" s="9">
        <f>IFERROR(VLOOKUP(B151,cubo!$A$6:$BE$37,40,0)-VLOOKUP(B151,#REF!,$R$2,0),0)</f>
        <v>0</v>
      </c>
      <c r="S151" s="9">
        <f>IFERROR(VLOOKUP(B151,cubo!$A$6:$BE$37,43,0)-VLOOKUP(B151,#REF!,$S$2,0),0)</f>
        <v>0</v>
      </c>
      <c r="T151" s="9">
        <f>IFERROR(VLOOKUP(B151,cubo!$A$6:$BE$37,46,0)-VLOOKUP(B151,#REF!,$T$2,0),0)</f>
        <v>0</v>
      </c>
      <c r="U151" s="9">
        <f>IFERROR(VLOOKUP(B151,cubo!$A$6:$BE$37,51,0)-VLOOKUP(B151,#REF!,$U$2,0),0)</f>
        <v>0</v>
      </c>
      <c r="V151" s="9">
        <f>IFERROR(VLOOKUP(B151,cubo!$A$6:$BJ$37,60,0)-VLOOKUP(B151,#REF!,$V$2,0),0)</f>
        <v>0</v>
      </c>
      <c r="W151" s="9">
        <f>IFERROR(VLOOKUP(B151,cubo!$A$6:$BE$37,26,0)-VLOOKUP(B151,#REF!,$W$2,0),0)</f>
        <v>0</v>
      </c>
      <c r="X151" s="9">
        <f>IFERROR(VLOOKUP(B151,cubo!$A$6:$BE$37,20,0)-VLOOKUP(B151,#REF!,$X$2,0),0)</f>
        <v>0</v>
      </c>
      <c r="Y151" s="9">
        <f>IFERROR(VLOOKUP(B151,cubo!$A$6:$BE$37,21,0)-VLOOKUP(B151,#REF!,$Y$2,0),0)</f>
        <v>0</v>
      </c>
      <c r="Z151" s="9">
        <f>IFERROR(VLOOKUP(B151,cubo!$A$6:$BE$37,27,0)-VLOOKUP(B151,#REF!,$Z$2,0),0)</f>
        <v>0</v>
      </c>
      <c r="AA151" s="9">
        <f>IFERROR(VLOOKUP(B151,cubo!$A$6:$BE$37,28,0)-VLOOKUP(B151,#REF!,$AA$2,0),0)</f>
        <v>0</v>
      </c>
      <c r="AB151" s="9">
        <f>IFERROR(VLOOKUP(B151,cubo!$A$6:$BE$37,29,0)-VLOOKUP(B151,#REF!,$AB$2,0),0)</f>
        <v>0</v>
      </c>
      <c r="AC151" s="9">
        <f>IFERROR(VLOOKUP(B151,cubo!$A$6:$BE$37,30,0)-VLOOKUP(B151,#REF!,$AC$2,0),0)</f>
        <v>0</v>
      </c>
      <c r="AD151" s="9">
        <f>IFERROR(VLOOKUP(B151,cubo!$A$6:$BE$37,31,0)-VLOOKUP(B151,#REF!,$AD$2,0),0)</f>
        <v>0</v>
      </c>
      <c r="AE151" s="9">
        <f>IFERROR(VLOOKUP(B151,cubo!$A$6:$BE$37,35,0)-VLOOKUP(B151,#REF!,$AE$2,0),0)</f>
        <v>0</v>
      </c>
      <c r="AF151" s="9" cm="1">
        <f t="array" aca="1" ref="AF151" ca="1">IFERROR(rrPROCV(B151,cubo!$A$6:$BE$37,48,0)-VLOOKUP(B151,#REF!,$AF$2,0),0)</f>
        <v>0</v>
      </c>
      <c r="AG151" s="9">
        <f>IFERROR(VLOOKUP(B151,cubo!$A$6:$BE$37,49,0)-VLOOKUP(B151,#REF!,$AG$2,0),0)</f>
        <v>0</v>
      </c>
      <c r="AH151" s="9">
        <f>IFERROR(VLOOKUP(B151,cubo!$A$6:$BE$37,50,0)-VLOOKUP(B151,#REF!,$AH$2,0),0)</f>
        <v>0</v>
      </c>
      <c r="AI151" s="9">
        <f>IFERROR(VLOOKUP(B151,cubo!$A$6:$BE$37,51,0)-VLOOKUP(B151,#REF!,$AI$2,0),0)</f>
        <v>0</v>
      </c>
      <c r="AJ151" s="9">
        <f>IFERROR(VLOOKUP(B151,cubo!$A$6:$BI$116,62,0)-VLOOKUP(B151,#REF!,$AJ$2,0),0)</f>
        <v>0</v>
      </c>
      <c r="AK151" s="9">
        <f>IFERROR(VLOOKUP(B151,cubo!$A$6:$BJ$37,63,0)-VLOOKUP(B151,#REF!,$AK$2,0),0)</f>
        <v>0</v>
      </c>
      <c r="AL151" s="9">
        <f>IFERROR(VLOOKUP(B151,cubo!$A$6:$BE$37,58,0)-VLOOKUP(B151,#REF!,$AL$2,0),0)</f>
        <v>0</v>
      </c>
      <c r="AM151" s="9">
        <f>IFERROR(VLOOKUP(B151,cubo!$A$6:$BK$37,64,0)-VLOOKUP(B151,#REF!,$AM$2,0),0)</f>
        <v>0</v>
      </c>
      <c r="AN151" s="9">
        <f>IFERROR(VLOOKUP(B151,cubo!$A$6:$AN$37,41,0)-VLOOKUP(B151,#REF!,$AN$2,0),0)</f>
        <v>0</v>
      </c>
    </row>
    <row r="152" spans="2:40" x14ac:dyDescent="0.25">
      <c r="B152" s="7">
        <f>[1]salario!A151</f>
        <v>0</v>
      </c>
      <c r="C152" s="8">
        <f>[1]salario!C151</f>
        <v>0</v>
      </c>
      <c r="D152" s="9">
        <f>IFERROR(VLOOKUP(B152,cubo!$A$6:$BE$37,3,0)-VLOOKUP(B152,#REF!,$D$2,0),0)</f>
        <v>0</v>
      </c>
      <c r="E152" s="10">
        <f>IFERROR(VLOOKUP(B152,cubo!$A$6:$BE$37,5,0)-VLOOKUP(B152,#REF!,$E$2,0),0)</f>
        <v>0</v>
      </c>
      <c r="F152" s="10">
        <f>IFERROR(VLOOKUP(B152,cubo!$A$6:$BE$37,8,0)-VLOOKUP(B152,#REF!,$F$2,0),0)</f>
        <v>0</v>
      </c>
      <c r="G152" s="9">
        <f>IFERROR(VLOOKUP(B152,cubo!$A$6:$BE$37,11,0)-VLOOKUP(B152,#REF!,$G$2,0),0)</f>
        <v>0</v>
      </c>
      <c r="H152" s="9">
        <f>IFERROR(VLOOKUP(B152,cubo!$A$6:$BE$37,53,0)-VLOOKUP(B152,#REF!,$H$2,0),0)</f>
        <v>0</v>
      </c>
      <c r="I152" s="10">
        <f>IFERROR(VLOOKUP(B152,cubo!$A$6:$BE$37,14,0)-VLOOKUP(B152,#REF!,$I$2,0),0)</f>
        <v>0</v>
      </c>
      <c r="J152" s="9">
        <f>IFERROR(VLOOKUP(B152,cubo!$A$6:$BE$37,16,0)-VLOOKUP(B152,#REF!,$J$2,0),0)</f>
        <v>0</v>
      </c>
      <c r="K152" s="9">
        <f>IFERROR(VLOOKUP(B152,cubo!$A$6:$BE$37,17,0)-VLOOKUP(B152,#REF!,$K$2,0),0)</f>
        <v>0</v>
      </c>
      <c r="L152" s="9">
        <f>IFERROR(VLOOKUP(B152,cubo!$A$6:$BE$37,19,0)-VLOOKUP(B152,#REF!,$L$2,0),0)</f>
        <v>0</v>
      </c>
      <c r="M152" s="9">
        <f>IFERROR(VLOOKUP(B152,cubo!$A$6:$BE$37,23,0)-VLOOKUP(B152,#REF!,$M$2,0),0)</f>
        <v>0</v>
      </c>
      <c r="N152" s="9">
        <f>IFERROR(VLOOKUP(B152,cubo!$A$6:$BE$37,25,0)-VLOOKUP(B152,#REF!,$N$2,0),0)</f>
        <v>0</v>
      </c>
      <c r="O152" s="9">
        <f>IFERROR(VLOOKUP(B152,cubo!$A$6:$BE$37,33,0)-VLOOKUP(B152,#REF!,$O$2,0),0)</f>
        <v>0</v>
      </c>
      <c r="P152" s="8">
        <f>IFERROR(VLOOKUP(B152,cubo!$A$6:$BE$37,37,0)-VLOOKUP(B152,#REF!,$P$2,0),0)</f>
        <v>0</v>
      </c>
      <c r="Q152" s="8">
        <f>IFERROR(VLOOKUP(B152,cubo!$A$6:$BE$37,56,0)-VLOOKUP(B152,#REF!,$Q$2,0),0)</f>
        <v>0</v>
      </c>
      <c r="R152" s="9">
        <f>IFERROR(VLOOKUP(B152,cubo!$A$6:$BE$37,40,0)-VLOOKUP(B152,#REF!,$R$2,0),0)</f>
        <v>0</v>
      </c>
      <c r="S152" s="9">
        <f>IFERROR(VLOOKUP(B152,cubo!$A$6:$BE$37,43,0)-VLOOKUP(B152,#REF!,$S$2,0),0)</f>
        <v>0</v>
      </c>
      <c r="T152" s="9">
        <f>IFERROR(VLOOKUP(B152,cubo!$A$6:$BE$37,46,0)-VLOOKUP(B152,#REF!,$T$2,0),0)</f>
        <v>0</v>
      </c>
      <c r="U152" s="9">
        <f>IFERROR(VLOOKUP(B152,cubo!$A$6:$BE$37,51,0)-VLOOKUP(B152,#REF!,$U$2,0),0)</f>
        <v>0</v>
      </c>
      <c r="V152" s="9">
        <f>IFERROR(VLOOKUP(B152,cubo!$A$6:$BJ$37,60,0)-VLOOKUP(B152,#REF!,$V$2,0),0)</f>
        <v>0</v>
      </c>
      <c r="W152" s="9">
        <f>IFERROR(VLOOKUP(B152,cubo!$A$6:$BE$37,26,0)-VLOOKUP(B152,#REF!,$W$2,0),0)</f>
        <v>0</v>
      </c>
      <c r="X152" s="9">
        <f>IFERROR(VLOOKUP(B152,cubo!$A$6:$BE$37,20,0)-VLOOKUP(B152,#REF!,$X$2,0),0)</f>
        <v>0</v>
      </c>
      <c r="Y152" s="9">
        <f>IFERROR(VLOOKUP(B152,cubo!$A$6:$BE$37,21,0)-VLOOKUP(B152,#REF!,$Y$2,0),0)</f>
        <v>0</v>
      </c>
      <c r="Z152" s="9">
        <f>IFERROR(VLOOKUP(B152,cubo!$A$6:$BE$37,27,0)-VLOOKUP(B152,#REF!,$Z$2,0),0)</f>
        <v>0</v>
      </c>
      <c r="AA152" s="9">
        <f>IFERROR(VLOOKUP(B152,cubo!$A$6:$BE$37,28,0)-VLOOKUP(B152,#REF!,$AA$2,0),0)</f>
        <v>0</v>
      </c>
      <c r="AB152" s="9">
        <f>IFERROR(VLOOKUP(B152,cubo!$A$6:$BE$37,29,0)-VLOOKUP(B152,#REF!,$AB$2,0),0)</f>
        <v>0</v>
      </c>
      <c r="AC152" s="9">
        <f>IFERROR(VLOOKUP(B152,cubo!$A$6:$BE$37,30,0)-VLOOKUP(B152,#REF!,$AC$2,0),0)</f>
        <v>0</v>
      </c>
      <c r="AD152" s="9">
        <f>IFERROR(VLOOKUP(B152,cubo!$A$6:$BE$37,31,0)-VLOOKUP(B152,#REF!,$AD$2,0),0)</f>
        <v>0</v>
      </c>
      <c r="AE152" s="9">
        <f>IFERROR(VLOOKUP(B152,cubo!$A$6:$BE$37,35,0)-VLOOKUP(B152,#REF!,$AE$2,0),0)</f>
        <v>0</v>
      </c>
      <c r="AF152" s="9" cm="1">
        <f t="array" aca="1" ref="AF152" ca="1">IFERROR(rrPROCV(B152,cubo!$A$6:$BE$37,48,0)-VLOOKUP(B152,#REF!,$AF$2,0),0)</f>
        <v>0</v>
      </c>
      <c r="AG152" s="9">
        <f>IFERROR(VLOOKUP(B152,cubo!$A$6:$BE$37,49,0)-VLOOKUP(B152,#REF!,$AG$2,0),0)</f>
        <v>0</v>
      </c>
      <c r="AH152" s="9">
        <f>IFERROR(VLOOKUP(B152,cubo!$A$6:$BE$37,50,0)-VLOOKUP(B152,#REF!,$AH$2,0),0)</f>
        <v>0</v>
      </c>
      <c r="AI152" s="9">
        <f>IFERROR(VLOOKUP(B152,cubo!$A$6:$BE$37,51,0)-VLOOKUP(B152,#REF!,$AI$2,0),0)</f>
        <v>0</v>
      </c>
      <c r="AJ152" s="9">
        <f>IFERROR(VLOOKUP(B152,cubo!$A$6:$BI$116,62,0)-VLOOKUP(B152,#REF!,$AJ$2,0),0)</f>
        <v>0</v>
      </c>
      <c r="AK152" s="9">
        <f>IFERROR(VLOOKUP(B152,cubo!$A$6:$BJ$37,63,0)-VLOOKUP(B152,#REF!,$AK$2,0),0)</f>
        <v>0</v>
      </c>
      <c r="AL152" s="9">
        <f>IFERROR(VLOOKUP(B152,cubo!$A$6:$BE$37,58,0)-VLOOKUP(B152,#REF!,$AL$2,0),0)</f>
        <v>0</v>
      </c>
      <c r="AM152" s="9">
        <f>IFERROR(VLOOKUP(B152,cubo!$A$6:$BK$37,64,0)-VLOOKUP(B152,#REF!,$AM$2,0),0)</f>
        <v>0</v>
      </c>
      <c r="AN152" s="9">
        <f>IFERROR(VLOOKUP(B152,cubo!$A$6:$AN$37,41,0)-VLOOKUP(B152,#REF!,$AN$2,0),0)</f>
        <v>0</v>
      </c>
    </row>
    <row r="153" spans="2:40" x14ac:dyDescent="0.25">
      <c r="B153" s="7">
        <f>[1]salario!A152</f>
        <v>0</v>
      </c>
      <c r="C153" s="8">
        <f>[1]salario!C152</f>
        <v>0</v>
      </c>
      <c r="D153" s="9">
        <f>IFERROR(VLOOKUP(B153,cubo!$A$6:$BE$37,3,0)-VLOOKUP(B153,#REF!,$D$2,0),0)</f>
        <v>0</v>
      </c>
      <c r="E153" s="10">
        <f>IFERROR(VLOOKUP(B153,cubo!$A$6:$BE$37,5,0)-VLOOKUP(B153,#REF!,$E$2,0),0)</f>
        <v>0</v>
      </c>
      <c r="F153" s="10">
        <f>IFERROR(VLOOKUP(B153,cubo!$A$6:$BE$37,8,0)-VLOOKUP(B153,#REF!,$F$2,0),0)</f>
        <v>0</v>
      </c>
      <c r="G153" s="9">
        <f>IFERROR(VLOOKUP(B153,cubo!$A$6:$BE$37,11,0)-VLOOKUP(B153,#REF!,$G$2,0),0)</f>
        <v>0</v>
      </c>
      <c r="H153" s="9">
        <f>IFERROR(VLOOKUP(B153,cubo!$A$6:$BE$37,53,0)-VLOOKUP(B153,#REF!,$H$2,0),0)</f>
        <v>0</v>
      </c>
      <c r="I153" s="10">
        <f>IFERROR(VLOOKUP(B153,cubo!$A$6:$BE$37,14,0)-VLOOKUP(B153,#REF!,$I$2,0),0)</f>
        <v>0</v>
      </c>
      <c r="J153" s="9">
        <f>IFERROR(VLOOKUP(B153,cubo!$A$6:$BE$37,16,0)-VLOOKUP(B153,#REF!,$J$2,0),0)</f>
        <v>0</v>
      </c>
      <c r="K153" s="9">
        <f>IFERROR(VLOOKUP(B153,cubo!$A$6:$BE$37,17,0)-VLOOKUP(B153,#REF!,$K$2,0),0)</f>
        <v>0</v>
      </c>
      <c r="L153" s="9">
        <f>IFERROR(VLOOKUP(B153,cubo!$A$6:$BE$37,19,0)-VLOOKUP(B153,#REF!,$L$2,0),0)</f>
        <v>0</v>
      </c>
      <c r="M153" s="9">
        <f>IFERROR(VLOOKUP(B153,cubo!$A$6:$BE$37,23,0)-VLOOKUP(B153,#REF!,$M$2,0),0)</f>
        <v>0</v>
      </c>
      <c r="N153" s="9">
        <f>IFERROR(VLOOKUP(B153,cubo!$A$6:$BE$37,25,0)-VLOOKUP(B153,#REF!,$N$2,0),0)</f>
        <v>0</v>
      </c>
      <c r="O153" s="9">
        <f>IFERROR(VLOOKUP(B153,cubo!$A$6:$BE$37,33,0)-VLOOKUP(B153,#REF!,$O$2,0),0)</f>
        <v>0</v>
      </c>
      <c r="P153" s="8">
        <f>IFERROR(VLOOKUP(B153,cubo!$A$6:$BE$37,37,0)-VLOOKUP(B153,#REF!,$P$2,0),0)</f>
        <v>0</v>
      </c>
      <c r="Q153" s="8">
        <f>IFERROR(VLOOKUP(B153,cubo!$A$6:$BE$37,56,0)-VLOOKUP(B153,#REF!,$Q$2,0),0)</f>
        <v>0</v>
      </c>
      <c r="R153" s="9">
        <f>IFERROR(VLOOKUP(B153,cubo!$A$6:$BE$37,40,0)-VLOOKUP(B153,#REF!,$R$2,0),0)</f>
        <v>0</v>
      </c>
      <c r="S153" s="9">
        <f>IFERROR(VLOOKUP(B153,cubo!$A$6:$BE$37,43,0)-VLOOKUP(B153,#REF!,$S$2,0),0)</f>
        <v>0</v>
      </c>
      <c r="T153" s="9">
        <f>IFERROR(VLOOKUP(B153,cubo!$A$6:$BE$37,46,0)-VLOOKUP(B153,#REF!,$T$2,0),0)</f>
        <v>0</v>
      </c>
      <c r="U153" s="9">
        <f>IFERROR(VLOOKUP(B153,cubo!$A$6:$BE$37,51,0)-VLOOKUP(B153,#REF!,$U$2,0),0)</f>
        <v>0</v>
      </c>
      <c r="V153" s="9">
        <f>IFERROR(VLOOKUP(B153,cubo!$A$6:$BJ$37,60,0)-VLOOKUP(B153,#REF!,$V$2,0),0)</f>
        <v>0</v>
      </c>
      <c r="W153" s="9">
        <f>IFERROR(VLOOKUP(B153,cubo!$A$6:$BE$37,26,0)-VLOOKUP(B153,#REF!,$W$2,0),0)</f>
        <v>0</v>
      </c>
      <c r="X153" s="9">
        <f>IFERROR(VLOOKUP(B153,cubo!$A$6:$BE$37,20,0)-VLOOKUP(B153,#REF!,$X$2,0),0)</f>
        <v>0</v>
      </c>
      <c r="Y153" s="9">
        <f>IFERROR(VLOOKUP(B153,cubo!$A$6:$BE$37,21,0)-VLOOKUP(B153,#REF!,$Y$2,0),0)</f>
        <v>0</v>
      </c>
      <c r="Z153" s="9">
        <f>IFERROR(VLOOKUP(B153,cubo!$A$6:$BE$37,27,0)-VLOOKUP(B153,#REF!,$Z$2,0),0)</f>
        <v>0</v>
      </c>
      <c r="AA153" s="9">
        <f>IFERROR(VLOOKUP(B153,cubo!$A$6:$BE$37,28,0)-VLOOKUP(B153,#REF!,$AA$2,0),0)</f>
        <v>0</v>
      </c>
      <c r="AB153" s="9">
        <f>IFERROR(VLOOKUP(B153,cubo!$A$6:$BE$37,29,0)-VLOOKUP(B153,#REF!,$AB$2,0),0)</f>
        <v>0</v>
      </c>
      <c r="AC153" s="9">
        <f>IFERROR(VLOOKUP(B153,cubo!$A$6:$BE$37,30,0)-VLOOKUP(B153,#REF!,$AC$2,0),0)</f>
        <v>0</v>
      </c>
      <c r="AD153" s="9">
        <f>IFERROR(VLOOKUP(B153,cubo!$A$6:$BE$37,31,0)-VLOOKUP(B153,#REF!,$AD$2,0),0)</f>
        <v>0</v>
      </c>
      <c r="AE153" s="9">
        <f>IFERROR(VLOOKUP(B153,cubo!$A$6:$BE$37,35,0)-VLOOKUP(B153,#REF!,$AE$2,0),0)</f>
        <v>0</v>
      </c>
      <c r="AF153" s="9" cm="1">
        <f t="array" aca="1" ref="AF153" ca="1">IFERROR(rrPROCV(B153,cubo!$A$6:$BE$37,48,0)-VLOOKUP(B153,#REF!,$AF$2,0),0)</f>
        <v>0</v>
      </c>
      <c r="AG153" s="9">
        <f>IFERROR(VLOOKUP(B153,cubo!$A$6:$BE$37,49,0)-VLOOKUP(B153,#REF!,$AG$2,0),0)</f>
        <v>0</v>
      </c>
      <c r="AH153" s="9">
        <f>IFERROR(VLOOKUP(B153,cubo!$A$6:$BE$37,50,0)-VLOOKUP(B153,#REF!,$AH$2,0),0)</f>
        <v>0</v>
      </c>
      <c r="AI153" s="9">
        <f>IFERROR(VLOOKUP(B153,cubo!$A$6:$BE$37,51,0)-VLOOKUP(B153,#REF!,$AI$2,0),0)</f>
        <v>0</v>
      </c>
      <c r="AJ153" s="9">
        <f>IFERROR(VLOOKUP(B153,cubo!$A$6:$BI$116,62,0)-VLOOKUP(B153,#REF!,$AJ$2,0),0)</f>
        <v>0</v>
      </c>
      <c r="AK153" s="9">
        <f>IFERROR(VLOOKUP(B153,cubo!$A$6:$BJ$37,63,0)-VLOOKUP(B153,#REF!,$AK$2,0),0)</f>
        <v>0</v>
      </c>
      <c r="AL153" s="9">
        <f>IFERROR(VLOOKUP(B153,cubo!$A$6:$BE$37,58,0)-VLOOKUP(B153,#REF!,$AL$2,0),0)</f>
        <v>0</v>
      </c>
      <c r="AM153" s="9">
        <f>IFERROR(VLOOKUP(B153,cubo!$A$6:$BK$37,64,0)-VLOOKUP(B153,#REF!,$AM$2,0),0)</f>
        <v>0</v>
      </c>
      <c r="AN153" s="9">
        <f>IFERROR(VLOOKUP(B153,cubo!$A$6:$AN$37,41,0)-VLOOKUP(B153,#REF!,$AN$2,0),0)</f>
        <v>0</v>
      </c>
    </row>
    <row r="154" spans="2:40" x14ac:dyDescent="0.25">
      <c r="B154" s="7">
        <f>[1]salario!A153</f>
        <v>0</v>
      </c>
      <c r="C154" s="8">
        <f>[1]salario!C153</f>
        <v>0</v>
      </c>
      <c r="D154" s="9">
        <f>IFERROR(VLOOKUP(B154,cubo!$A$6:$BE$37,3,0)-VLOOKUP(B154,#REF!,$D$2,0),0)</f>
        <v>0</v>
      </c>
      <c r="E154" s="10">
        <f>IFERROR(VLOOKUP(B154,cubo!$A$6:$BE$37,5,0)-VLOOKUP(B154,#REF!,$E$2,0),0)</f>
        <v>0</v>
      </c>
      <c r="F154" s="10">
        <f>IFERROR(VLOOKUP(B154,cubo!$A$6:$BE$37,8,0)-VLOOKUP(B154,#REF!,$F$2,0),0)</f>
        <v>0</v>
      </c>
      <c r="G154" s="9">
        <f>IFERROR(VLOOKUP(B154,cubo!$A$6:$BE$37,11,0)-VLOOKUP(B154,#REF!,$G$2,0),0)</f>
        <v>0</v>
      </c>
      <c r="H154" s="9">
        <f>IFERROR(VLOOKUP(B154,cubo!$A$6:$BE$37,53,0)-VLOOKUP(B154,#REF!,$H$2,0),0)</f>
        <v>0</v>
      </c>
      <c r="I154" s="10">
        <f>IFERROR(VLOOKUP(B154,cubo!$A$6:$BE$37,14,0)-VLOOKUP(B154,#REF!,$I$2,0),0)</f>
        <v>0</v>
      </c>
      <c r="J154" s="9">
        <f>IFERROR(VLOOKUP(B154,cubo!$A$6:$BE$37,16,0)-VLOOKUP(B154,#REF!,$J$2,0),0)</f>
        <v>0</v>
      </c>
      <c r="K154" s="9">
        <f>IFERROR(VLOOKUP(B154,cubo!$A$6:$BE$37,17,0)-VLOOKUP(B154,#REF!,$K$2,0),0)</f>
        <v>0</v>
      </c>
      <c r="L154" s="9">
        <f>IFERROR(VLOOKUP(B154,cubo!$A$6:$BE$37,19,0)-VLOOKUP(B154,#REF!,$L$2,0),0)</f>
        <v>0</v>
      </c>
      <c r="M154" s="9">
        <f>IFERROR(VLOOKUP(B154,cubo!$A$6:$BE$37,23,0)-VLOOKUP(B154,#REF!,$M$2,0),0)</f>
        <v>0</v>
      </c>
      <c r="N154" s="9">
        <f>IFERROR(VLOOKUP(B154,cubo!$A$6:$BE$37,25,0)-VLOOKUP(B154,#REF!,$N$2,0),0)</f>
        <v>0</v>
      </c>
      <c r="O154" s="9">
        <f>IFERROR(VLOOKUP(B154,cubo!$A$6:$BE$37,33,0)-VLOOKUP(B154,#REF!,$O$2,0),0)</f>
        <v>0</v>
      </c>
      <c r="P154" s="8">
        <f>IFERROR(VLOOKUP(B154,cubo!$A$6:$BE$37,37,0)-VLOOKUP(B154,#REF!,$P$2,0),0)</f>
        <v>0</v>
      </c>
      <c r="Q154" s="8">
        <f>IFERROR(VLOOKUP(B154,cubo!$A$6:$BE$37,56,0)-VLOOKUP(B154,#REF!,$Q$2,0),0)</f>
        <v>0</v>
      </c>
      <c r="R154" s="9">
        <f>IFERROR(VLOOKUP(B154,cubo!$A$6:$BE$37,40,0)-VLOOKUP(B154,#REF!,$R$2,0),0)</f>
        <v>0</v>
      </c>
      <c r="S154" s="9">
        <f>IFERROR(VLOOKUP(B154,cubo!$A$6:$BE$37,43,0)-VLOOKUP(B154,#REF!,$S$2,0),0)</f>
        <v>0</v>
      </c>
      <c r="T154" s="9">
        <f>IFERROR(VLOOKUP(B154,cubo!$A$6:$BE$37,46,0)-VLOOKUP(B154,#REF!,$T$2,0),0)</f>
        <v>0</v>
      </c>
      <c r="U154" s="9">
        <f>IFERROR(VLOOKUP(B154,cubo!$A$6:$BE$37,51,0)-VLOOKUP(B154,#REF!,$U$2,0),0)</f>
        <v>0</v>
      </c>
      <c r="V154" s="9">
        <f>IFERROR(VLOOKUP(B154,cubo!$A$6:$BJ$37,60,0)-VLOOKUP(B154,#REF!,$V$2,0),0)</f>
        <v>0</v>
      </c>
      <c r="W154" s="9">
        <f>IFERROR(VLOOKUP(B154,cubo!$A$6:$BE$37,26,0)-VLOOKUP(B154,#REF!,$W$2,0),0)</f>
        <v>0</v>
      </c>
      <c r="X154" s="9">
        <f>IFERROR(VLOOKUP(B154,cubo!$A$6:$BE$37,20,0)-VLOOKUP(B154,#REF!,$X$2,0),0)</f>
        <v>0</v>
      </c>
      <c r="Y154" s="9">
        <f>IFERROR(VLOOKUP(B154,cubo!$A$6:$BE$37,21,0)-VLOOKUP(B154,#REF!,$Y$2,0),0)</f>
        <v>0</v>
      </c>
      <c r="Z154" s="9">
        <f>IFERROR(VLOOKUP(B154,cubo!$A$6:$BE$37,27,0)-VLOOKUP(B154,#REF!,$Z$2,0),0)</f>
        <v>0</v>
      </c>
      <c r="AA154" s="9">
        <f>IFERROR(VLOOKUP(B154,cubo!$A$6:$BE$37,28,0)-VLOOKUP(B154,#REF!,$AA$2,0),0)</f>
        <v>0</v>
      </c>
      <c r="AB154" s="9">
        <f>IFERROR(VLOOKUP(B154,cubo!$A$6:$BE$37,29,0)-VLOOKUP(B154,#REF!,$AB$2,0),0)</f>
        <v>0</v>
      </c>
      <c r="AC154" s="9">
        <f>IFERROR(VLOOKUP(B154,cubo!$A$6:$BE$37,30,0)-VLOOKUP(B154,#REF!,$AC$2,0),0)</f>
        <v>0</v>
      </c>
      <c r="AD154" s="9">
        <f>IFERROR(VLOOKUP(B154,cubo!$A$6:$BE$37,31,0)-VLOOKUP(B154,#REF!,$AD$2,0),0)</f>
        <v>0</v>
      </c>
      <c r="AE154" s="9">
        <f>IFERROR(VLOOKUP(B154,cubo!$A$6:$BE$37,35,0)-VLOOKUP(B154,#REF!,$AE$2,0),0)</f>
        <v>0</v>
      </c>
      <c r="AF154" s="9" cm="1">
        <f t="array" aca="1" ref="AF154" ca="1">IFERROR(rrPROCV(B154,cubo!$A$6:$BE$37,48,0)-VLOOKUP(B154,#REF!,$AF$2,0),0)</f>
        <v>0</v>
      </c>
      <c r="AG154" s="9">
        <f>IFERROR(VLOOKUP(B154,cubo!$A$6:$BE$37,49,0)-VLOOKUP(B154,#REF!,$AG$2,0),0)</f>
        <v>0</v>
      </c>
      <c r="AH154" s="9">
        <f>IFERROR(VLOOKUP(B154,cubo!$A$6:$BE$37,50,0)-VLOOKUP(B154,#REF!,$AH$2,0),0)</f>
        <v>0</v>
      </c>
      <c r="AI154" s="9">
        <f>IFERROR(VLOOKUP(B154,cubo!$A$6:$BE$37,51,0)-VLOOKUP(B154,#REF!,$AI$2,0),0)</f>
        <v>0</v>
      </c>
      <c r="AJ154" s="9">
        <f>IFERROR(VLOOKUP(B154,cubo!$A$6:$BI$116,62,0)-VLOOKUP(B154,#REF!,$AJ$2,0),0)</f>
        <v>0</v>
      </c>
      <c r="AK154" s="9">
        <f>IFERROR(VLOOKUP(B154,cubo!$A$6:$BJ$37,63,0)-VLOOKUP(B154,#REF!,$AK$2,0),0)</f>
        <v>0</v>
      </c>
      <c r="AL154" s="9">
        <f>IFERROR(VLOOKUP(B154,cubo!$A$6:$BE$37,58,0)-VLOOKUP(B154,#REF!,$AL$2,0),0)</f>
        <v>0</v>
      </c>
      <c r="AM154" s="9">
        <f>IFERROR(VLOOKUP(B154,cubo!$A$6:$BK$37,64,0)-VLOOKUP(B154,#REF!,$AM$2,0),0)</f>
        <v>0</v>
      </c>
      <c r="AN154" s="9">
        <f>IFERROR(VLOOKUP(B154,cubo!$A$6:$AN$37,41,0)-VLOOKUP(B154,#REF!,$AN$2,0),0)</f>
        <v>0</v>
      </c>
    </row>
    <row r="155" spans="2:40" x14ac:dyDescent="0.25">
      <c r="B155" s="7">
        <f>[1]salario!A154</f>
        <v>0</v>
      </c>
      <c r="C155" s="8">
        <f>[1]salario!C154</f>
        <v>0</v>
      </c>
      <c r="D155" s="9">
        <f>IFERROR(VLOOKUP(B155,cubo!$A$6:$BE$37,3,0)-VLOOKUP(B155,#REF!,$D$2,0),0)</f>
        <v>0</v>
      </c>
      <c r="E155" s="10">
        <f>IFERROR(VLOOKUP(B155,cubo!$A$6:$BE$37,5,0)-VLOOKUP(B155,#REF!,$E$2,0),0)</f>
        <v>0</v>
      </c>
      <c r="F155" s="10">
        <f>IFERROR(VLOOKUP(B155,cubo!$A$6:$BE$37,8,0)-VLOOKUP(B155,#REF!,$F$2,0),0)</f>
        <v>0</v>
      </c>
      <c r="G155" s="9">
        <f>IFERROR(VLOOKUP(B155,cubo!$A$6:$BE$37,11,0)-VLOOKUP(B155,#REF!,$G$2,0),0)</f>
        <v>0</v>
      </c>
      <c r="H155" s="9">
        <f>IFERROR(VLOOKUP(B155,cubo!$A$6:$BE$37,53,0)-VLOOKUP(B155,#REF!,$H$2,0),0)</f>
        <v>0</v>
      </c>
      <c r="I155" s="10">
        <f>IFERROR(VLOOKUP(B155,cubo!$A$6:$BE$37,14,0)-VLOOKUP(B155,#REF!,$I$2,0),0)</f>
        <v>0</v>
      </c>
      <c r="J155" s="9">
        <f>IFERROR(VLOOKUP(B155,cubo!$A$6:$BE$37,16,0)-VLOOKUP(B155,#REF!,$J$2,0),0)</f>
        <v>0</v>
      </c>
      <c r="K155" s="9">
        <f>IFERROR(VLOOKUP(B155,cubo!$A$6:$BE$37,17,0)-VLOOKUP(B155,#REF!,$K$2,0),0)</f>
        <v>0</v>
      </c>
      <c r="L155" s="9">
        <f>IFERROR(VLOOKUP(B155,cubo!$A$6:$BE$37,19,0)-VLOOKUP(B155,#REF!,$L$2,0),0)</f>
        <v>0</v>
      </c>
      <c r="M155" s="9">
        <f>IFERROR(VLOOKUP(B155,cubo!$A$6:$BE$37,23,0)-VLOOKUP(B155,#REF!,$M$2,0),0)</f>
        <v>0</v>
      </c>
      <c r="N155" s="9">
        <f>IFERROR(VLOOKUP(B155,cubo!$A$6:$BE$37,25,0)-VLOOKUP(B155,#REF!,$N$2,0),0)</f>
        <v>0</v>
      </c>
      <c r="O155" s="9">
        <f>IFERROR(VLOOKUP(B155,cubo!$A$6:$BE$37,33,0)-VLOOKUP(B155,#REF!,$O$2,0),0)</f>
        <v>0</v>
      </c>
      <c r="P155" s="8">
        <f>IFERROR(VLOOKUP(B155,cubo!$A$6:$BE$37,37,0)-VLOOKUP(B155,#REF!,$P$2,0),0)</f>
        <v>0</v>
      </c>
      <c r="Q155" s="8">
        <f>IFERROR(VLOOKUP(B155,cubo!$A$6:$BE$37,56,0)-VLOOKUP(B155,#REF!,$Q$2,0),0)</f>
        <v>0</v>
      </c>
      <c r="R155" s="9">
        <f>IFERROR(VLOOKUP(B155,cubo!$A$6:$BE$37,40,0)-VLOOKUP(B155,#REF!,$R$2,0),0)</f>
        <v>0</v>
      </c>
      <c r="S155" s="9">
        <f>IFERROR(VLOOKUP(B155,cubo!$A$6:$BE$37,43,0)-VLOOKUP(B155,#REF!,$S$2,0),0)</f>
        <v>0</v>
      </c>
      <c r="T155" s="9">
        <f>IFERROR(VLOOKUP(B155,cubo!$A$6:$BE$37,46,0)-VLOOKUP(B155,#REF!,$T$2,0),0)</f>
        <v>0</v>
      </c>
      <c r="U155" s="9">
        <f>IFERROR(VLOOKUP(B155,cubo!$A$6:$BE$37,51,0)-VLOOKUP(B155,#REF!,$U$2,0),0)</f>
        <v>0</v>
      </c>
      <c r="V155" s="9">
        <f>IFERROR(VLOOKUP(B155,cubo!$A$6:$BJ$37,60,0)-VLOOKUP(B155,#REF!,$V$2,0),0)</f>
        <v>0</v>
      </c>
      <c r="W155" s="9">
        <f>IFERROR(VLOOKUP(B155,cubo!$A$6:$BE$37,26,0)-VLOOKUP(B155,#REF!,$W$2,0),0)</f>
        <v>0</v>
      </c>
      <c r="X155" s="9">
        <f>IFERROR(VLOOKUP(B155,cubo!$A$6:$BE$37,20,0)-VLOOKUP(B155,#REF!,$X$2,0),0)</f>
        <v>0</v>
      </c>
      <c r="Y155" s="9">
        <f>IFERROR(VLOOKUP(B155,cubo!$A$6:$BE$37,21,0)-VLOOKUP(B155,#REF!,$Y$2,0),0)</f>
        <v>0</v>
      </c>
      <c r="Z155" s="9">
        <f>IFERROR(VLOOKUP(B155,cubo!$A$6:$BE$37,27,0)-VLOOKUP(B155,#REF!,$Z$2,0),0)</f>
        <v>0</v>
      </c>
      <c r="AA155" s="9">
        <f>IFERROR(VLOOKUP(B155,cubo!$A$6:$BE$37,28,0)-VLOOKUP(B155,#REF!,$AA$2,0),0)</f>
        <v>0</v>
      </c>
      <c r="AB155" s="9">
        <f>IFERROR(VLOOKUP(B155,cubo!$A$6:$BE$37,29,0)-VLOOKUP(B155,#REF!,$AB$2,0),0)</f>
        <v>0</v>
      </c>
      <c r="AC155" s="9">
        <f>IFERROR(VLOOKUP(B155,cubo!$A$6:$BE$37,30,0)-VLOOKUP(B155,#REF!,$AC$2,0),0)</f>
        <v>0</v>
      </c>
      <c r="AD155" s="9">
        <f>IFERROR(VLOOKUP(B155,cubo!$A$6:$BE$37,31,0)-VLOOKUP(B155,#REF!,$AD$2,0),0)</f>
        <v>0</v>
      </c>
      <c r="AE155" s="9">
        <f>IFERROR(VLOOKUP(B155,cubo!$A$6:$BE$37,35,0)-VLOOKUP(B155,#REF!,$AE$2,0),0)</f>
        <v>0</v>
      </c>
      <c r="AF155" s="9" cm="1">
        <f t="array" aca="1" ref="AF155" ca="1">IFERROR(rrPROCV(B155,cubo!$A$6:$BE$37,48,0)-VLOOKUP(B155,#REF!,$AF$2,0),0)</f>
        <v>0</v>
      </c>
      <c r="AG155" s="9">
        <f>IFERROR(VLOOKUP(B155,cubo!$A$6:$BE$37,49,0)-VLOOKUP(B155,#REF!,$AG$2,0),0)</f>
        <v>0</v>
      </c>
      <c r="AH155" s="9">
        <f>IFERROR(VLOOKUP(B155,cubo!$A$6:$BE$37,50,0)-VLOOKUP(B155,#REF!,$AH$2,0),0)</f>
        <v>0</v>
      </c>
      <c r="AI155" s="9">
        <f>IFERROR(VLOOKUP(B155,cubo!$A$6:$BE$37,51,0)-VLOOKUP(B155,#REF!,$AI$2,0),0)</f>
        <v>0</v>
      </c>
      <c r="AJ155" s="9">
        <f>IFERROR(VLOOKUP(B155,cubo!$A$6:$BI$116,62,0)-VLOOKUP(B155,#REF!,$AJ$2,0),0)</f>
        <v>0</v>
      </c>
      <c r="AK155" s="9">
        <f>IFERROR(VLOOKUP(B155,cubo!$A$6:$BJ$37,63,0)-VLOOKUP(B155,#REF!,$AK$2,0),0)</f>
        <v>0</v>
      </c>
      <c r="AL155" s="9">
        <f>IFERROR(VLOOKUP(B155,cubo!$A$6:$BE$37,58,0)-VLOOKUP(B155,#REF!,$AL$2,0),0)</f>
        <v>0</v>
      </c>
      <c r="AM155" s="9">
        <f>IFERROR(VLOOKUP(B155,cubo!$A$6:$BK$37,64,0)-VLOOKUP(B155,#REF!,$AM$2,0),0)</f>
        <v>0</v>
      </c>
      <c r="AN155" s="9">
        <f>IFERROR(VLOOKUP(B155,cubo!$A$6:$AN$37,41,0)-VLOOKUP(B155,#REF!,$AN$2,0),0)</f>
        <v>0</v>
      </c>
    </row>
    <row r="156" spans="2:40" x14ac:dyDescent="0.25">
      <c r="B156" s="7">
        <f>[1]salario!A155</f>
        <v>0</v>
      </c>
      <c r="C156" s="8">
        <f>[1]salario!C155</f>
        <v>0</v>
      </c>
      <c r="D156" s="9">
        <f>IFERROR(VLOOKUP(B156,cubo!$A$6:$BE$37,3,0)-VLOOKUP(B156,#REF!,$D$2,0),0)</f>
        <v>0</v>
      </c>
      <c r="E156" s="10">
        <f>IFERROR(VLOOKUP(B156,cubo!$A$6:$BE$37,5,0)-VLOOKUP(B156,#REF!,$E$2,0),0)</f>
        <v>0</v>
      </c>
      <c r="F156" s="10">
        <f>IFERROR(VLOOKUP(B156,cubo!$A$6:$BE$37,8,0)-VLOOKUP(B156,#REF!,$F$2,0),0)</f>
        <v>0</v>
      </c>
      <c r="G156" s="9">
        <f>IFERROR(VLOOKUP(B156,cubo!$A$6:$BE$37,11,0)-VLOOKUP(B156,#REF!,$G$2,0),0)</f>
        <v>0</v>
      </c>
      <c r="H156" s="9">
        <f>IFERROR(VLOOKUP(B156,cubo!$A$6:$BE$37,53,0)-VLOOKUP(B156,#REF!,$H$2,0),0)</f>
        <v>0</v>
      </c>
      <c r="I156" s="10">
        <f>IFERROR(VLOOKUP(B156,cubo!$A$6:$BE$37,14,0)-VLOOKUP(B156,#REF!,$I$2,0),0)</f>
        <v>0</v>
      </c>
      <c r="J156" s="9">
        <f>IFERROR(VLOOKUP(B156,cubo!$A$6:$BE$37,16,0)-VLOOKUP(B156,#REF!,$J$2,0),0)</f>
        <v>0</v>
      </c>
      <c r="K156" s="9">
        <f>IFERROR(VLOOKUP(B156,cubo!$A$6:$BE$37,17,0)-VLOOKUP(B156,#REF!,$K$2,0),0)</f>
        <v>0</v>
      </c>
      <c r="L156" s="9">
        <f>IFERROR(VLOOKUP(B156,cubo!$A$6:$BE$37,19,0)-VLOOKUP(B156,#REF!,$L$2,0),0)</f>
        <v>0</v>
      </c>
      <c r="M156" s="9">
        <f>IFERROR(VLOOKUP(B156,cubo!$A$6:$BE$37,23,0)-VLOOKUP(B156,#REF!,$M$2,0),0)</f>
        <v>0</v>
      </c>
      <c r="N156" s="9">
        <f>IFERROR(VLOOKUP(B156,cubo!$A$6:$BE$37,25,0)-VLOOKUP(B156,#REF!,$N$2,0),0)</f>
        <v>0</v>
      </c>
      <c r="O156" s="9">
        <f>IFERROR(VLOOKUP(B156,cubo!$A$6:$BE$37,33,0)-VLOOKUP(B156,#REF!,$O$2,0),0)</f>
        <v>0</v>
      </c>
      <c r="P156" s="8">
        <f>IFERROR(VLOOKUP(B156,cubo!$A$6:$BE$37,37,0)-VLOOKUP(B156,#REF!,$P$2,0),0)</f>
        <v>0</v>
      </c>
      <c r="Q156" s="8">
        <f>IFERROR(VLOOKUP(B156,cubo!$A$6:$BE$37,56,0)-VLOOKUP(B156,#REF!,$Q$2,0),0)</f>
        <v>0</v>
      </c>
      <c r="R156" s="9">
        <f>IFERROR(VLOOKUP(B156,cubo!$A$6:$BE$37,40,0)-VLOOKUP(B156,#REF!,$R$2,0),0)</f>
        <v>0</v>
      </c>
      <c r="S156" s="9">
        <f>IFERROR(VLOOKUP(B156,cubo!$A$6:$BE$37,43,0)-VLOOKUP(B156,#REF!,$S$2,0),0)</f>
        <v>0</v>
      </c>
      <c r="T156" s="9">
        <f>IFERROR(VLOOKUP(B156,cubo!$A$6:$BE$37,46,0)-VLOOKUP(B156,#REF!,$T$2,0),0)</f>
        <v>0</v>
      </c>
      <c r="U156" s="9">
        <f>IFERROR(VLOOKUP(B156,cubo!$A$6:$BE$37,51,0)-VLOOKUP(B156,#REF!,$U$2,0),0)</f>
        <v>0</v>
      </c>
      <c r="V156" s="9">
        <f>IFERROR(VLOOKUP(B156,cubo!$A$6:$BJ$37,60,0)-VLOOKUP(B156,#REF!,$V$2,0),0)</f>
        <v>0</v>
      </c>
      <c r="W156" s="9">
        <f>IFERROR(VLOOKUP(B156,cubo!$A$6:$BE$37,26,0)-VLOOKUP(B156,#REF!,$W$2,0),0)</f>
        <v>0</v>
      </c>
      <c r="X156" s="9">
        <f>IFERROR(VLOOKUP(B156,cubo!$A$6:$BE$37,20,0)-VLOOKUP(B156,#REF!,$X$2,0),0)</f>
        <v>0</v>
      </c>
      <c r="Y156" s="9">
        <f>IFERROR(VLOOKUP(B156,cubo!$A$6:$BE$37,21,0)-VLOOKUP(B156,#REF!,$Y$2,0),0)</f>
        <v>0</v>
      </c>
      <c r="Z156" s="9">
        <f>IFERROR(VLOOKUP(B156,cubo!$A$6:$BE$37,27,0)-VLOOKUP(B156,#REF!,$Z$2,0),0)</f>
        <v>0</v>
      </c>
      <c r="AA156" s="9">
        <f>IFERROR(VLOOKUP(B156,cubo!$A$6:$BE$37,28,0)-VLOOKUP(B156,#REF!,$AA$2,0),0)</f>
        <v>0</v>
      </c>
      <c r="AB156" s="9">
        <f>IFERROR(VLOOKUP(B156,cubo!$A$6:$BE$37,29,0)-VLOOKUP(B156,#REF!,$AB$2,0),0)</f>
        <v>0</v>
      </c>
      <c r="AC156" s="9">
        <f>IFERROR(VLOOKUP(B156,cubo!$A$6:$BE$37,30,0)-VLOOKUP(B156,#REF!,$AC$2,0),0)</f>
        <v>0</v>
      </c>
      <c r="AD156" s="9">
        <f>IFERROR(VLOOKUP(B156,cubo!$A$6:$BE$37,31,0)-VLOOKUP(B156,#REF!,$AD$2,0),0)</f>
        <v>0</v>
      </c>
      <c r="AE156" s="9">
        <f>IFERROR(VLOOKUP(B156,cubo!$A$6:$BE$37,35,0)-VLOOKUP(B156,#REF!,$AE$2,0),0)</f>
        <v>0</v>
      </c>
      <c r="AF156" s="9" cm="1">
        <f t="array" aca="1" ref="AF156" ca="1">IFERROR(rrPROCV(B156,cubo!$A$6:$BE$37,48,0)-VLOOKUP(B156,#REF!,$AF$2,0),0)</f>
        <v>0</v>
      </c>
      <c r="AG156" s="9">
        <f>IFERROR(VLOOKUP(B156,cubo!$A$6:$BE$37,49,0)-VLOOKUP(B156,#REF!,$AG$2,0),0)</f>
        <v>0</v>
      </c>
      <c r="AH156" s="9">
        <f>IFERROR(VLOOKUP(B156,cubo!$A$6:$BE$37,50,0)-VLOOKUP(B156,#REF!,$AH$2,0),0)</f>
        <v>0</v>
      </c>
      <c r="AI156" s="9">
        <f>IFERROR(VLOOKUP(B156,cubo!$A$6:$BE$37,51,0)-VLOOKUP(B156,#REF!,$AI$2,0),0)</f>
        <v>0</v>
      </c>
      <c r="AJ156" s="9">
        <f>IFERROR(VLOOKUP(B156,cubo!$A$6:$BI$116,62,0)-VLOOKUP(B156,#REF!,$AJ$2,0),0)</f>
        <v>0</v>
      </c>
      <c r="AK156" s="9">
        <f>IFERROR(VLOOKUP(B156,cubo!$A$6:$BJ$37,63,0)-VLOOKUP(B156,#REF!,$AK$2,0),0)</f>
        <v>0</v>
      </c>
      <c r="AL156" s="9">
        <f>IFERROR(VLOOKUP(B156,cubo!$A$6:$BE$37,58,0)-VLOOKUP(B156,#REF!,$AL$2,0),0)</f>
        <v>0</v>
      </c>
      <c r="AM156" s="9">
        <f>IFERROR(VLOOKUP(B156,cubo!$A$6:$BK$37,64,0)-VLOOKUP(B156,#REF!,$AM$2,0),0)</f>
        <v>0</v>
      </c>
      <c r="AN156" s="9">
        <f>IFERROR(VLOOKUP(B156,cubo!$A$6:$AN$37,41,0)-VLOOKUP(B156,#REF!,$AN$2,0),0)</f>
        <v>0</v>
      </c>
    </row>
    <row r="157" spans="2:40" x14ac:dyDescent="0.25">
      <c r="B157" s="7">
        <f>[1]salario!A156</f>
        <v>0</v>
      </c>
      <c r="C157" s="8">
        <f>[1]salario!C156</f>
        <v>0</v>
      </c>
      <c r="D157" s="9">
        <f>IFERROR(VLOOKUP(B157,cubo!$A$6:$BE$37,3,0)-VLOOKUP(B157,#REF!,$D$2,0),0)</f>
        <v>0</v>
      </c>
      <c r="E157" s="10">
        <f>IFERROR(VLOOKUP(B157,cubo!$A$6:$BE$37,5,0)-VLOOKUP(B157,#REF!,$E$2,0),0)</f>
        <v>0</v>
      </c>
      <c r="F157" s="10">
        <f>IFERROR(VLOOKUP(B157,cubo!$A$6:$BE$37,8,0)-VLOOKUP(B157,#REF!,$F$2,0),0)</f>
        <v>0</v>
      </c>
      <c r="G157" s="9">
        <f>IFERROR(VLOOKUP(B157,cubo!$A$6:$BE$37,11,0)-VLOOKUP(B157,#REF!,$G$2,0),0)</f>
        <v>0</v>
      </c>
      <c r="H157" s="9">
        <f>IFERROR(VLOOKUP(B157,cubo!$A$6:$BE$37,53,0)-VLOOKUP(B157,#REF!,$H$2,0),0)</f>
        <v>0</v>
      </c>
      <c r="I157" s="10">
        <f>IFERROR(VLOOKUP(B157,cubo!$A$6:$BE$37,14,0)-VLOOKUP(B157,#REF!,$I$2,0),0)</f>
        <v>0</v>
      </c>
      <c r="J157" s="9">
        <f>IFERROR(VLOOKUP(B157,cubo!$A$6:$BE$37,16,0)-VLOOKUP(B157,#REF!,$J$2,0),0)</f>
        <v>0</v>
      </c>
      <c r="K157" s="9">
        <f>IFERROR(VLOOKUP(B157,cubo!$A$6:$BE$37,17,0)-VLOOKUP(B157,#REF!,$K$2,0),0)</f>
        <v>0</v>
      </c>
      <c r="L157" s="9">
        <f>IFERROR(VLOOKUP(B157,cubo!$A$6:$BE$37,19,0)-VLOOKUP(B157,#REF!,$L$2,0),0)</f>
        <v>0</v>
      </c>
      <c r="M157" s="9">
        <f>IFERROR(VLOOKUP(B157,cubo!$A$6:$BE$37,23,0)-VLOOKUP(B157,#REF!,$M$2,0),0)</f>
        <v>0</v>
      </c>
      <c r="N157" s="9">
        <f>IFERROR(VLOOKUP(B157,cubo!$A$6:$BE$37,25,0)-VLOOKUP(B157,#REF!,$N$2,0),0)</f>
        <v>0</v>
      </c>
      <c r="O157" s="9">
        <f>IFERROR(VLOOKUP(B157,cubo!$A$6:$BE$37,33,0)-VLOOKUP(B157,#REF!,$O$2,0),0)</f>
        <v>0</v>
      </c>
      <c r="P157" s="8">
        <f>IFERROR(VLOOKUP(B157,cubo!$A$6:$BE$37,37,0)-VLOOKUP(B157,#REF!,$P$2,0),0)</f>
        <v>0</v>
      </c>
      <c r="Q157" s="8">
        <f>IFERROR(VLOOKUP(B157,cubo!$A$6:$BE$37,56,0)-VLOOKUP(B157,#REF!,$Q$2,0),0)</f>
        <v>0</v>
      </c>
      <c r="R157" s="9">
        <f>IFERROR(VLOOKUP(B157,cubo!$A$6:$BE$37,40,0)-VLOOKUP(B157,#REF!,$R$2,0),0)</f>
        <v>0</v>
      </c>
      <c r="S157" s="9">
        <f>IFERROR(VLOOKUP(B157,cubo!$A$6:$BE$37,43,0)-VLOOKUP(B157,#REF!,$S$2,0),0)</f>
        <v>0</v>
      </c>
      <c r="T157" s="9">
        <f>IFERROR(VLOOKUP(B157,cubo!$A$6:$BE$37,46,0)-VLOOKUP(B157,#REF!,$T$2,0),0)</f>
        <v>0</v>
      </c>
      <c r="U157" s="9">
        <f>IFERROR(VLOOKUP(B157,cubo!$A$6:$BE$37,51,0)-VLOOKUP(B157,#REF!,$U$2,0),0)</f>
        <v>0</v>
      </c>
      <c r="V157" s="9">
        <f>IFERROR(VLOOKUP(B157,cubo!$A$6:$BJ$37,60,0)-VLOOKUP(B157,#REF!,$V$2,0),0)</f>
        <v>0</v>
      </c>
      <c r="W157" s="9">
        <f>IFERROR(VLOOKUP(B157,cubo!$A$6:$BE$37,26,0)-VLOOKUP(B157,#REF!,$W$2,0),0)</f>
        <v>0</v>
      </c>
      <c r="X157" s="9">
        <f>IFERROR(VLOOKUP(B157,cubo!$A$6:$BE$37,20,0)-VLOOKUP(B157,#REF!,$X$2,0),0)</f>
        <v>0</v>
      </c>
      <c r="Y157" s="9">
        <f>IFERROR(VLOOKUP(B157,cubo!$A$6:$BE$37,21,0)-VLOOKUP(B157,#REF!,$Y$2,0),0)</f>
        <v>0</v>
      </c>
      <c r="Z157" s="9">
        <f>IFERROR(VLOOKUP(B157,cubo!$A$6:$BE$37,27,0)-VLOOKUP(B157,#REF!,$Z$2,0),0)</f>
        <v>0</v>
      </c>
      <c r="AA157" s="9">
        <f>IFERROR(VLOOKUP(B157,cubo!$A$6:$BE$37,28,0)-VLOOKUP(B157,#REF!,$AA$2,0),0)</f>
        <v>0</v>
      </c>
      <c r="AB157" s="9">
        <f>IFERROR(VLOOKUP(B157,cubo!$A$6:$BE$37,29,0)-VLOOKUP(B157,#REF!,$AB$2,0),0)</f>
        <v>0</v>
      </c>
      <c r="AC157" s="9">
        <f>IFERROR(VLOOKUP(B157,cubo!$A$6:$BE$37,30,0)-VLOOKUP(B157,#REF!,$AC$2,0),0)</f>
        <v>0</v>
      </c>
      <c r="AD157" s="9">
        <f>IFERROR(VLOOKUP(B157,cubo!$A$6:$BE$37,31,0)-VLOOKUP(B157,#REF!,$AD$2,0),0)</f>
        <v>0</v>
      </c>
      <c r="AE157" s="9">
        <f>IFERROR(VLOOKUP(B157,cubo!$A$6:$BE$37,35,0)-VLOOKUP(B157,#REF!,$AE$2,0),0)</f>
        <v>0</v>
      </c>
      <c r="AF157" s="9" cm="1">
        <f t="array" aca="1" ref="AF157" ca="1">IFERROR(rrPROCV(B157,cubo!$A$6:$BE$37,48,0)-VLOOKUP(B157,#REF!,$AF$2,0),0)</f>
        <v>0</v>
      </c>
      <c r="AG157" s="9">
        <f>IFERROR(VLOOKUP(B157,cubo!$A$6:$BE$37,49,0)-VLOOKUP(B157,#REF!,$AG$2,0),0)</f>
        <v>0</v>
      </c>
      <c r="AH157" s="9">
        <f>IFERROR(VLOOKUP(B157,cubo!$A$6:$BE$37,50,0)-VLOOKUP(B157,#REF!,$AH$2,0),0)</f>
        <v>0</v>
      </c>
      <c r="AI157" s="9">
        <f>IFERROR(VLOOKUP(B157,cubo!$A$6:$BE$37,51,0)-VLOOKUP(B157,#REF!,$AI$2,0),0)</f>
        <v>0</v>
      </c>
      <c r="AJ157" s="9">
        <f>IFERROR(VLOOKUP(B157,cubo!$A$6:$BI$116,62,0)-VLOOKUP(B157,#REF!,$AJ$2,0),0)</f>
        <v>0</v>
      </c>
      <c r="AK157" s="9">
        <f>IFERROR(VLOOKUP(B157,cubo!$A$6:$BJ$37,63,0)-VLOOKUP(B157,#REF!,$AK$2,0),0)</f>
        <v>0</v>
      </c>
      <c r="AL157" s="9">
        <f>IFERROR(VLOOKUP(B157,cubo!$A$6:$BE$37,58,0)-VLOOKUP(B157,#REF!,$AL$2,0),0)</f>
        <v>0</v>
      </c>
      <c r="AM157" s="9">
        <f>IFERROR(VLOOKUP(B157,cubo!$A$6:$BK$37,64,0)-VLOOKUP(B157,#REF!,$AM$2,0),0)</f>
        <v>0</v>
      </c>
      <c r="AN157" s="9">
        <f>IFERROR(VLOOKUP(B157,cubo!$A$6:$AN$37,41,0)-VLOOKUP(B157,#REF!,$AN$2,0),0)</f>
        <v>0</v>
      </c>
    </row>
    <row r="158" spans="2:40" x14ac:dyDescent="0.25">
      <c r="B158" s="7">
        <f>[1]salario!A157</f>
        <v>0</v>
      </c>
      <c r="C158" s="8">
        <f>[1]salario!C157</f>
        <v>0</v>
      </c>
      <c r="D158" s="9">
        <f>IFERROR(VLOOKUP(B158,cubo!$A$6:$BE$37,3,0)-VLOOKUP(B158,#REF!,$D$2,0),0)</f>
        <v>0</v>
      </c>
      <c r="E158" s="10">
        <f>IFERROR(VLOOKUP(B158,cubo!$A$6:$BE$37,5,0)-VLOOKUP(B158,#REF!,$E$2,0),0)</f>
        <v>0</v>
      </c>
      <c r="F158" s="10">
        <f>IFERROR(VLOOKUP(B158,cubo!$A$6:$BE$37,8,0)-VLOOKUP(B158,#REF!,$F$2,0),0)</f>
        <v>0</v>
      </c>
      <c r="G158" s="9">
        <f>IFERROR(VLOOKUP(B158,cubo!$A$6:$BE$37,11,0)-VLOOKUP(B158,#REF!,$G$2,0),0)</f>
        <v>0</v>
      </c>
      <c r="H158" s="9">
        <f>IFERROR(VLOOKUP(B158,cubo!$A$6:$BE$37,53,0)-VLOOKUP(B158,#REF!,$H$2,0),0)</f>
        <v>0</v>
      </c>
      <c r="I158" s="10">
        <f>IFERROR(VLOOKUP(B158,cubo!$A$6:$BE$37,14,0)-VLOOKUP(B158,#REF!,$I$2,0),0)</f>
        <v>0</v>
      </c>
      <c r="J158" s="9">
        <f>IFERROR(VLOOKUP(B158,cubo!$A$6:$BE$37,16,0)-VLOOKUP(B158,#REF!,$J$2,0),0)</f>
        <v>0</v>
      </c>
      <c r="K158" s="9">
        <f>IFERROR(VLOOKUP(B158,cubo!$A$6:$BE$37,17,0)-VLOOKUP(B158,#REF!,$K$2,0),0)</f>
        <v>0</v>
      </c>
      <c r="L158" s="9">
        <f>IFERROR(VLOOKUP(B158,cubo!$A$6:$BE$37,19,0)-VLOOKUP(B158,#REF!,$L$2,0),0)</f>
        <v>0</v>
      </c>
      <c r="M158" s="9">
        <f>IFERROR(VLOOKUP(B158,cubo!$A$6:$BE$37,23,0)-VLOOKUP(B158,#REF!,$M$2,0),0)</f>
        <v>0</v>
      </c>
      <c r="N158" s="9">
        <f>IFERROR(VLOOKUP(B158,cubo!$A$6:$BE$37,25,0)-VLOOKUP(B158,#REF!,$N$2,0),0)</f>
        <v>0</v>
      </c>
      <c r="O158" s="9">
        <f>IFERROR(VLOOKUP(B158,cubo!$A$6:$BE$37,33,0)-VLOOKUP(B158,#REF!,$O$2,0),0)</f>
        <v>0</v>
      </c>
      <c r="P158" s="8">
        <f>IFERROR(VLOOKUP(B158,cubo!$A$6:$BE$37,37,0)-VLOOKUP(B158,#REF!,$P$2,0),0)</f>
        <v>0</v>
      </c>
      <c r="Q158" s="8">
        <f>IFERROR(VLOOKUP(B158,cubo!$A$6:$BE$37,56,0)-VLOOKUP(B158,#REF!,$Q$2,0),0)</f>
        <v>0</v>
      </c>
      <c r="R158" s="9">
        <f>IFERROR(VLOOKUP(B158,cubo!$A$6:$BE$37,40,0)-VLOOKUP(B158,#REF!,$R$2,0),0)</f>
        <v>0</v>
      </c>
      <c r="S158" s="9">
        <f>IFERROR(VLOOKUP(B158,cubo!$A$6:$BE$37,43,0)-VLOOKUP(B158,#REF!,$S$2,0),0)</f>
        <v>0</v>
      </c>
      <c r="T158" s="9">
        <f>IFERROR(VLOOKUP(B158,cubo!$A$6:$BE$37,46,0)-VLOOKUP(B158,#REF!,$T$2,0),0)</f>
        <v>0</v>
      </c>
      <c r="U158" s="9">
        <f>IFERROR(VLOOKUP(B158,cubo!$A$6:$BE$37,51,0)-VLOOKUP(B158,#REF!,$U$2,0),0)</f>
        <v>0</v>
      </c>
      <c r="V158" s="9">
        <f>IFERROR(VLOOKUP(B158,cubo!$A$6:$BJ$37,60,0)-VLOOKUP(B158,#REF!,$V$2,0),0)</f>
        <v>0</v>
      </c>
      <c r="W158" s="9">
        <f>IFERROR(VLOOKUP(B158,cubo!$A$6:$BE$37,26,0)-VLOOKUP(B158,#REF!,$W$2,0),0)</f>
        <v>0</v>
      </c>
      <c r="X158" s="9">
        <f>IFERROR(VLOOKUP(B158,cubo!$A$6:$BE$37,20,0)-VLOOKUP(B158,#REF!,$X$2,0),0)</f>
        <v>0</v>
      </c>
      <c r="Y158" s="9">
        <f>IFERROR(VLOOKUP(B158,cubo!$A$6:$BE$37,21,0)-VLOOKUP(B158,#REF!,$Y$2,0),0)</f>
        <v>0</v>
      </c>
      <c r="Z158" s="9">
        <f>IFERROR(VLOOKUP(B158,cubo!$A$6:$BE$37,27,0)-VLOOKUP(B158,#REF!,$Z$2,0),0)</f>
        <v>0</v>
      </c>
      <c r="AA158" s="9">
        <f>IFERROR(VLOOKUP(B158,cubo!$A$6:$BE$37,28,0)-VLOOKUP(B158,#REF!,$AA$2,0),0)</f>
        <v>0</v>
      </c>
      <c r="AB158" s="9">
        <f>IFERROR(VLOOKUP(B158,cubo!$A$6:$BE$37,29,0)-VLOOKUP(B158,#REF!,$AB$2,0),0)</f>
        <v>0</v>
      </c>
      <c r="AC158" s="9">
        <f>IFERROR(VLOOKUP(B158,cubo!$A$6:$BE$37,30,0)-VLOOKUP(B158,#REF!,$AC$2,0),0)</f>
        <v>0</v>
      </c>
      <c r="AD158" s="9">
        <f>IFERROR(VLOOKUP(B158,cubo!$A$6:$BE$37,31,0)-VLOOKUP(B158,#REF!,$AD$2,0),0)</f>
        <v>0</v>
      </c>
      <c r="AE158" s="9">
        <f>IFERROR(VLOOKUP(B158,cubo!$A$6:$BE$37,35,0)-VLOOKUP(B158,#REF!,$AE$2,0),0)</f>
        <v>0</v>
      </c>
      <c r="AF158" s="9" cm="1">
        <f t="array" aca="1" ref="AF158" ca="1">IFERROR(rrPROCV(B158,cubo!$A$6:$BE$37,48,0)-VLOOKUP(B158,#REF!,$AF$2,0),0)</f>
        <v>0</v>
      </c>
      <c r="AG158" s="9">
        <f>IFERROR(VLOOKUP(B158,cubo!$A$6:$BE$37,49,0)-VLOOKUP(B158,#REF!,$AG$2,0),0)</f>
        <v>0</v>
      </c>
      <c r="AH158" s="9">
        <f>IFERROR(VLOOKUP(B158,cubo!$A$6:$BE$37,50,0)-VLOOKUP(B158,#REF!,$AH$2,0),0)</f>
        <v>0</v>
      </c>
      <c r="AI158" s="9">
        <f>IFERROR(VLOOKUP(B158,cubo!$A$6:$BE$37,51,0)-VLOOKUP(B158,#REF!,$AI$2,0),0)</f>
        <v>0</v>
      </c>
      <c r="AJ158" s="9">
        <f>IFERROR(VLOOKUP(B158,cubo!$A$6:$BI$116,62,0)-VLOOKUP(B158,#REF!,$AJ$2,0),0)</f>
        <v>0</v>
      </c>
      <c r="AK158" s="9">
        <f>IFERROR(VLOOKUP(B158,cubo!$A$6:$BJ$37,63,0)-VLOOKUP(B158,#REF!,$AK$2,0),0)</f>
        <v>0</v>
      </c>
      <c r="AL158" s="9">
        <f>IFERROR(VLOOKUP(B158,cubo!$A$6:$BE$37,58,0)-VLOOKUP(B158,#REF!,$AL$2,0),0)</f>
        <v>0</v>
      </c>
      <c r="AM158" s="9">
        <f>IFERROR(VLOOKUP(B158,cubo!$A$6:$BK$37,64,0)-VLOOKUP(B158,#REF!,$AM$2,0),0)</f>
        <v>0</v>
      </c>
      <c r="AN158" s="9">
        <f>IFERROR(VLOOKUP(B158,cubo!$A$6:$AN$37,41,0)-VLOOKUP(B158,#REF!,$AN$2,0),0)</f>
        <v>0</v>
      </c>
    </row>
    <row r="159" spans="2:40" x14ac:dyDescent="0.25">
      <c r="B159" s="7">
        <f>[1]salario!A158</f>
        <v>0</v>
      </c>
      <c r="C159" s="8">
        <f>[1]salario!C158</f>
        <v>0</v>
      </c>
      <c r="D159" s="9">
        <f>IFERROR(VLOOKUP(B159,cubo!$A$6:$BE$37,3,0)-VLOOKUP(B159,#REF!,$D$2,0),0)</f>
        <v>0</v>
      </c>
      <c r="E159" s="10">
        <f>IFERROR(VLOOKUP(B159,cubo!$A$6:$BE$37,5,0)-VLOOKUP(B159,#REF!,$E$2,0),0)</f>
        <v>0</v>
      </c>
      <c r="F159" s="10">
        <f>IFERROR(VLOOKUP(B159,cubo!$A$6:$BE$37,8,0)-VLOOKUP(B159,#REF!,$F$2,0),0)</f>
        <v>0</v>
      </c>
      <c r="G159" s="9">
        <f>IFERROR(VLOOKUP(B159,cubo!$A$6:$BE$37,11,0)-VLOOKUP(B159,#REF!,$G$2,0),0)</f>
        <v>0</v>
      </c>
      <c r="H159" s="9">
        <f>IFERROR(VLOOKUP(B159,cubo!$A$6:$BE$37,53,0)-VLOOKUP(B159,#REF!,$H$2,0),0)</f>
        <v>0</v>
      </c>
      <c r="I159" s="10">
        <f>IFERROR(VLOOKUP(B159,cubo!$A$6:$BE$37,14,0)-VLOOKUP(B159,#REF!,$I$2,0),0)</f>
        <v>0</v>
      </c>
      <c r="J159" s="9">
        <f>IFERROR(VLOOKUP(B159,cubo!$A$6:$BE$37,16,0)-VLOOKUP(B159,#REF!,$J$2,0),0)</f>
        <v>0</v>
      </c>
      <c r="K159" s="9">
        <f>IFERROR(VLOOKUP(B159,cubo!$A$6:$BE$37,17,0)-VLOOKUP(B159,#REF!,$K$2,0),0)</f>
        <v>0</v>
      </c>
      <c r="L159" s="9">
        <f>IFERROR(VLOOKUP(B159,cubo!$A$6:$BE$37,19,0)-VLOOKUP(B159,#REF!,$L$2,0),0)</f>
        <v>0</v>
      </c>
      <c r="M159" s="9">
        <f>IFERROR(VLOOKUP(B159,cubo!$A$6:$BE$37,23,0)-VLOOKUP(B159,#REF!,$M$2,0),0)</f>
        <v>0</v>
      </c>
      <c r="N159" s="9">
        <f>IFERROR(VLOOKUP(B159,cubo!$A$6:$BE$37,25,0)-VLOOKUP(B159,#REF!,$N$2,0),0)</f>
        <v>0</v>
      </c>
      <c r="O159" s="9">
        <f>IFERROR(VLOOKUP(B159,cubo!$A$6:$BE$37,33,0)-VLOOKUP(B159,#REF!,$O$2,0),0)</f>
        <v>0</v>
      </c>
      <c r="P159" s="8">
        <f>IFERROR(VLOOKUP(B159,cubo!$A$6:$BE$37,37,0)-VLOOKUP(B159,#REF!,$P$2,0),0)</f>
        <v>0</v>
      </c>
      <c r="Q159" s="8">
        <f>IFERROR(VLOOKUP(B159,cubo!$A$6:$BE$37,56,0)-VLOOKUP(B159,#REF!,$Q$2,0),0)</f>
        <v>0</v>
      </c>
      <c r="R159" s="9">
        <f>IFERROR(VLOOKUP(B159,cubo!$A$6:$BE$37,40,0)-VLOOKUP(B159,#REF!,$R$2,0),0)</f>
        <v>0</v>
      </c>
      <c r="S159" s="9">
        <f>IFERROR(VLOOKUP(B159,cubo!$A$6:$BE$37,43,0)-VLOOKUP(B159,#REF!,$S$2,0),0)</f>
        <v>0</v>
      </c>
      <c r="T159" s="9">
        <f>IFERROR(VLOOKUP(B159,cubo!$A$6:$BE$37,46,0)-VLOOKUP(B159,#REF!,$T$2,0),0)</f>
        <v>0</v>
      </c>
      <c r="U159" s="9">
        <f>IFERROR(VLOOKUP(B159,cubo!$A$6:$BE$37,51,0)-VLOOKUP(B159,#REF!,$U$2,0),0)</f>
        <v>0</v>
      </c>
      <c r="V159" s="9">
        <f>IFERROR(VLOOKUP(B159,cubo!$A$6:$BJ$37,60,0)-VLOOKUP(B159,#REF!,$V$2,0),0)</f>
        <v>0</v>
      </c>
      <c r="W159" s="9">
        <f>IFERROR(VLOOKUP(B159,cubo!$A$6:$BE$37,26,0)-VLOOKUP(B159,#REF!,$W$2,0),0)</f>
        <v>0</v>
      </c>
      <c r="X159" s="9">
        <f>IFERROR(VLOOKUP(B159,cubo!$A$6:$BE$37,20,0)-VLOOKUP(B159,#REF!,$X$2,0),0)</f>
        <v>0</v>
      </c>
      <c r="Y159" s="9">
        <f>IFERROR(VLOOKUP(B159,cubo!$A$6:$BE$37,21,0)-VLOOKUP(B159,#REF!,$Y$2,0),0)</f>
        <v>0</v>
      </c>
      <c r="Z159" s="9">
        <f>IFERROR(VLOOKUP(B159,cubo!$A$6:$BE$37,27,0)-VLOOKUP(B159,#REF!,$Z$2,0),0)</f>
        <v>0</v>
      </c>
      <c r="AA159" s="9">
        <f>IFERROR(VLOOKUP(B159,cubo!$A$6:$BE$37,28,0)-VLOOKUP(B159,#REF!,$AA$2,0),0)</f>
        <v>0</v>
      </c>
      <c r="AB159" s="9">
        <f>IFERROR(VLOOKUP(B159,cubo!$A$6:$BE$37,29,0)-VLOOKUP(B159,#REF!,$AB$2,0),0)</f>
        <v>0</v>
      </c>
      <c r="AC159" s="9">
        <f>IFERROR(VLOOKUP(B159,cubo!$A$6:$BE$37,30,0)-VLOOKUP(B159,#REF!,$AC$2,0),0)</f>
        <v>0</v>
      </c>
      <c r="AD159" s="9">
        <f>IFERROR(VLOOKUP(B159,cubo!$A$6:$BE$37,31,0)-VLOOKUP(B159,#REF!,$AD$2,0),0)</f>
        <v>0</v>
      </c>
      <c r="AE159" s="9">
        <f>IFERROR(VLOOKUP(B159,cubo!$A$6:$BE$37,35,0)-VLOOKUP(B159,#REF!,$AE$2,0),0)</f>
        <v>0</v>
      </c>
      <c r="AF159" s="9" cm="1">
        <f t="array" aca="1" ref="AF159" ca="1">IFERROR(rrPROCV(B159,cubo!$A$6:$BE$37,48,0)-VLOOKUP(B159,#REF!,$AF$2,0),0)</f>
        <v>0</v>
      </c>
      <c r="AG159" s="9">
        <f>IFERROR(VLOOKUP(B159,cubo!$A$6:$BE$37,49,0)-VLOOKUP(B159,#REF!,$AG$2,0),0)</f>
        <v>0</v>
      </c>
      <c r="AH159" s="9">
        <f>IFERROR(VLOOKUP(B159,cubo!$A$6:$BE$37,50,0)-VLOOKUP(B159,#REF!,$AH$2,0),0)</f>
        <v>0</v>
      </c>
      <c r="AI159" s="9">
        <f>IFERROR(VLOOKUP(B159,cubo!$A$6:$BE$37,51,0)-VLOOKUP(B159,#REF!,$AI$2,0),0)</f>
        <v>0</v>
      </c>
      <c r="AJ159" s="9">
        <f>IFERROR(VLOOKUP(B159,cubo!$A$6:$BI$116,62,0)-VLOOKUP(B159,#REF!,$AJ$2,0),0)</f>
        <v>0</v>
      </c>
      <c r="AK159" s="9">
        <f>IFERROR(VLOOKUP(B159,cubo!$A$6:$BJ$37,63,0)-VLOOKUP(B159,#REF!,$AK$2,0),0)</f>
        <v>0</v>
      </c>
      <c r="AL159" s="9">
        <f>IFERROR(VLOOKUP(B159,cubo!$A$6:$BE$37,58,0)-VLOOKUP(B159,#REF!,$AL$2,0),0)</f>
        <v>0</v>
      </c>
      <c r="AM159" s="9">
        <f>IFERROR(VLOOKUP(B159,cubo!$A$6:$BK$37,64,0)-VLOOKUP(B159,#REF!,$AM$2,0),0)</f>
        <v>0</v>
      </c>
      <c r="AN159" s="9">
        <f>IFERROR(VLOOKUP(B159,cubo!$A$6:$AN$37,41,0)-VLOOKUP(B159,#REF!,$AN$2,0),0)</f>
        <v>0</v>
      </c>
    </row>
    <row r="160" spans="2:40" x14ac:dyDescent="0.25">
      <c r="B160" s="7">
        <f>[1]salario!A159</f>
        <v>0</v>
      </c>
      <c r="C160" s="8">
        <f>[1]salario!C159</f>
        <v>0</v>
      </c>
      <c r="D160" s="9">
        <f>IFERROR(VLOOKUP(B160,cubo!$A$6:$BE$37,3,0)-VLOOKUP(B160,#REF!,$D$2,0),0)</f>
        <v>0</v>
      </c>
      <c r="E160" s="10">
        <f>IFERROR(VLOOKUP(B160,cubo!$A$6:$BE$37,5,0)-VLOOKUP(B160,#REF!,$E$2,0),0)</f>
        <v>0</v>
      </c>
      <c r="F160" s="10">
        <f>IFERROR(VLOOKUP(B160,cubo!$A$6:$BE$37,8,0)-VLOOKUP(B160,#REF!,$F$2,0),0)</f>
        <v>0</v>
      </c>
      <c r="G160" s="9">
        <f>IFERROR(VLOOKUP(B160,cubo!$A$6:$BE$37,11,0)-VLOOKUP(B160,#REF!,$G$2,0),0)</f>
        <v>0</v>
      </c>
      <c r="H160" s="9">
        <f>IFERROR(VLOOKUP(B160,cubo!$A$6:$BE$37,53,0)-VLOOKUP(B160,#REF!,$H$2,0),0)</f>
        <v>0</v>
      </c>
      <c r="I160" s="10">
        <f>IFERROR(VLOOKUP(B160,cubo!$A$6:$BE$37,14,0)-VLOOKUP(B160,#REF!,$I$2,0),0)</f>
        <v>0</v>
      </c>
      <c r="J160" s="9">
        <f>IFERROR(VLOOKUP(B160,cubo!$A$6:$BE$37,16,0)-VLOOKUP(B160,#REF!,$J$2,0),0)</f>
        <v>0</v>
      </c>
      <c r="K160" s="9">
        <f>IFERROR(VLOOKUP(B160,cubo!$A$6:$BE$37,17,0)-VLOOKUP(B160,#REF!,$K$2,0),0)</f>
        <v>0</v>
      </c>
      <c r="L160" s="9">
        <f>IFERROR(VLOOKUP(B160,cubo!$A$6:$BE$37,19,0)-VLOOKUP(B160,#REF!,$L$2,0),0)</f>
        <v>0</v>
      </c>
      <c r="M160" s="9">
        <f>IFERROR(VLOOKUP(B160,cubo!$A$6:$BE$37,23,0)-VLOOKUP(B160,#REF!,$M$2,0),0)</f>
        <v>0</v>
      </c>
      <c r="N160" s="9">
        <f>IFERROR(VLOOKUP(B160,cubo!$A$6:$BE$37,25,0)-VLOOKUP(B160,#REF!,$N$2,0),0)</f>
        <v>0</v>
      </c>
      <c r="O160" s="9">
        <f>IFERROR(VLOOKUP(B160,cubo!$A$6:$BE$37,33,0)-VLOOKUP(B160,#REF!,$O$2,0),0)</f>
        <v>0</v>
      </c>
      <c r="P160" s="8">
        <f>IFERROR(VLOOKUP(B160,cubo!$A$6:$BE$37,37,0)-VLOOKUP(B160,#REF!,$P$2,0),0)</f>
        <v>0</v>
      </c>
      <c r="Q160" s="8">
        <f>IFERROR(VLOOKUP(B160,cubo!$A$6:$BE$37,56,0)-VLOOKUP(B160,#REF!,$Q$2,0),0)</f>
        <v>0</v>
      </c>
      <c r="R160" s="9">
        <f>IFERROR(VLOOKUP(B160,cubo!$A$6:$BE$37,40,0)-VLOOKUP(B160,#REF!,$R$2,0),0)</f>
        <v>0</v>
      </c>
      <c r="S160" s="9">
        <f>IFERROR(VLOOKUP(B160,cubo!$A$6:$BE$37,43,0)-VLOOKUP(B160,#REF!,$S$2,0),0)</f>
        <v>0</v>
      </c>
      <c r="T160" s="9">
        <f>IFERROR(VLOOKUP(B160,cubo!$A$6:$BE$37,46,0)-VLOOKUP(B160,#REF!,$T$2,0),0)</f>
        <v>0</v>
      </c>
      <c r="U160" s="9">
        <f>IFERROR(VLOOKUP(B160,cubo!$A$6:$BE$37,51,0)-VLOOKUP(B160,#REF!,$U$2,0),0)</f>
        <v>0</v>
      </c>
      <c r="V160" s="9">
        <f>IFERROR(VLOOKUP(B160,cubo!$A$6:$BJ$37,60,0)-VLOOKUP(B160,#REF!,$V$2,0),0)</f>
        <v>0</v>
      </c>
      <c r="W160" s="9">
        <f>IFERROR(VLOOKUP(B160,cubo!$A$6:$BE$37,26,0)-VLOOKUP(B160,#REF!,$W$2,0),0)</f>
        <v>0</v>
      </c>
      <c r="X160" s="9">
        <f>IFERROR(VLOOKUP(B160,cubo!$A$6:$BE$37,20,0)-VLOOKUP(B160,#REF!,$X$2,0),0)</f>
        <v>0</v>
      </c>
      <c r="Y160" s="9">
        <f>IFERROR(VLOOKUP(B160,cubo!$A$6:$BE$37,21,0)-VLOOKUP(B160,#REF!,$Y$2,0),0)</f>
        <v>0</v>
      </c>
      <c r="Z160" s="9">
        <f>IFERROR(VLOOKUP(B160,cubo!$A$6:$BE$37,27,0)-VLOOKUP(B160,#REF!,$Z$2,0),0)</f>
        <v>0</v>
      </c>
      <c r="AA160" s="9">
        <f>IFERROR(VLOOKUP(B160,cubo!$A$6:$BE$37,28,0)-VLOOKUP(B160,#REF!,$AA$2,0),0)</f>
        <v>0</v>
      </c>
      <c r="AB160" s="9">
        <f>IFERROR(VLOOKUP(B160,cubo!$A$6:$BE$37,29,0)-VLOOKUP(B160,#REF!,$AB$2,0),0)</f>
        <v>0</v>
      </c>
      <c r="AC160" s="9">
        <f>IFERROR(VLOOKUP(B160,cubo!$A$6:$BE$37,30,0)-VLOOKUP(B160,#REF!,$AC$2,0),0)</f>
        <v>0</v>
      </c>
      <c r="AD160" s="9">
        <f>IFERROR(VLOOKUP(B160,cubo!$A$6:$BE$37,31,0)-VLOOKUP(B160,#REF!,$AD$2,0),0)</f>
        <v>0</v>
      </c>
      <c r="AE160" s="9">
        <f>IFERROR(VLOOKUP(B160,cubo!$A$6:$BE$37,35,0)-VLOOKUP(B160,#REF!,$AE$2,0),0)</f>
        <v>0</v>
      </c>
      <c r="AF160" s="9" cm="1">
        <f t="array" aca="1" ref="AF160" ca="1">IFERROR(rrPROCV(B160,cubo!$A$6:$BE$37,48,0)-VLOOKUP(B160,#REF!,$AF$2,0),0)</f>
        <v>0</v>
      </c>
      <c r="AG160" s="9">
        <f>IFERROR(VLOOKUP(B160,cubo!$A$6:$BE$37,49,0)-VLOOKUP(B160,#REF!,$AG$2,0),0)</f>
        <v>0</v>
      </c>
      <c r="AH160" s="9">
        <f>IFERROR(VLOOKUP(B160,cubo!$A$6:$BE$37,50,0)-VLOOKUP(B160,#REF!,$AH$2,0),0)</f>
        <v>0</v>
      </c>
      <c r="AI160" s="9">
        <f>IFERROR(VLOOKUP(B160,cubo!$A$6:$BE$37,51,0)-VLOOKUP(B160,#REF!,$AI$2,0),0)</f>
        <v>0</v>
      </c>
      <c r="AJ160" s="9">
        <f>IFERROR(VLOOKUP(B160,cubo!$A$6:$BI$116,62,0)-VLOOKUP(B160,#REF!,$AJ$2,0),0)</f>
        <v>0</v>
      </c>
      <c r="AK160" s="9">
        <f>IFERROR(VLOOKUP(B160,cubo!$A$6:$BJ$37,63,0)-VLOOKUP(B160,#REF!,$AK$2,0),0)</f>
        <v>0</v>
      </c>
      <c r="AL160" s="9">
        <f>IFERROR(VLOOKUP(B160,cubo!$A$6:$BE$37,58,0)-VLOOKUP(B160,#REF!,$AL$2,0),0)</f>
        <v>0</v>
      </c>
      <c r="AM160" s="9">
        <f>IFERROR(VLOOKUP(B160,cubo!$A$6:$BK$37,64,0)-VLOOKUP(B160,#REF!,$AM$2,0),0)</f>
        <v>0</v>
      </c>
      <c r="AN160" s="9">
        <f>IFERROR(VLOOKUP(B160,cubo!$A$6:$AN$37,41,0)-VLOOKUP(B160,#REF!,$AN$2,0),0)</f>
        <v>0</v>
      </c>
    </row>
    <row r="161" spans="2:40" x14ac:dyDescent="0.25">
      <c r="B161" s="7">
        <f>[1]salario!A160</f>
        <v>0</v>
      </c>
      <c r="C161" s="8">
        <f>[1]salario!C160</f>
        <v>0</v>
      </c>
      <c r="D161" s="9">
        <f>IFERROR(VLOOKUP(B161,cubo!$A$6:$BE$37,3,0)-VLOOKUP(B161,#REF!,$D$2,0),0)</f>
        <v>0</v>
      </c>
      <c r="E161" s="10">
        <f>IFERROR(VLOOKUP(B161,cubo!$A$6:$BE$37,5,0)-VLOOKUP(B161,#REF!,$E$2,0),0)</f>
        <v>0</v>
      </c>
      <c r="F161" s="10">
        <f>IFERROR(VLOOKUP(B161,cubo!$A$6:$BE$37,8,0)-VLOOKUP(B161,#REF!,$F$2,0),0)</f>
        <v>0</v>
      </c>
      <c r="G161" s="9">
        <f>IFERROR(VLOOKUP(B161,cubo!$A$6:$BE$37,11,0)-VLOOKUP(B161,#REF!,$G$2,0),0)</f>
        <v>0</v>
      </c>
      <c r="H161" s="9">
        <f>IFERROR(VLOOKUP(B161,cubo!$A$6:$BE$37,53,0)-VLOOKUP(B161,#REF!,$H$2,0),0)</f>
        <v>0</v>
      </c>
      <c r="I161" s="10">
        <f>IFERROR(VLOOKUP(B161,cubo!$A$6:$BE$37,14,0)-VLOOKUP(B161,#REF!,$I$2,0),0)</f>
        <v>0</v>
      </c>
      <c r="J161" s="9">
        <f>IFERROR(VLOOKUP(B161,cubo!$A$6:$BE$37,16,0)-VLOOKUP(B161,#REF!,$J$2,0),0)</f>
        <v>0</v>
      </c>
      <c r="K161" s="9">
        <f>IFERROR(VLOOKUP(B161,cubo!$A$6:$BE$37,17,0)-VLOOKUP(B161,#REF!,$K$2,0),0)</f>
        <v>0</v>
      </c>
      <c r="L161" s="9">
        <f>IFERROR(VLOOKUP(B161,cubo!$A$6:$BE$37,19,0)-VLOOKUP(B161,#REF!,$L$2,0),0)</f>
        <v>0</v>
      </c>
      <c r="M161" s="9">
        <f>IFERROR(VLOOKUP(B161,cubo!$A$6:$BE$37,23,0)-VLOOKUP(B161,#REF!,$M$2,0),0)</f>
        <v>0</v>
      </c>
      <c r="N161" s="9">
        <f>IFERROR(VLOOKUP(B161,cubo!$A$6:$BE$37,25,0)-VLOOKUP(B161,#REF!,$N$2,0),0)</f>
        <v>0</v>
      </c>
      <c r="O161" s="9">
        <f>IFERROR(VLOOKUP(B161,cubo!$A$6:$BE$37,33,0)-VLOOKUP(B161,#REF!,$O$2,0),0)</f>
        <v>0</v>
      </c>
      <c r="P161" s="8">
        <f>IFERROR(VLOOKUP(B161,cubo!$A$6:$BE$37,37,0)-VLOOKUP(B161,#REF!,$P$2,0),0)</f>
        <v>0</v>
      </c>
      <c r="Q161" s="8">
        <f>IFERROR(VLOOKUP(B161,cubo!$A$6:$BE$37,56,0)-VLOOKUP(B161,#REF!,$Q$2,0),0)</f>
        <v>0</v>
      </c>
      <c r="R161" s="9">
        <f>IFERROR(VLOOKUP(B161,cubo!$A$6:$BE$37,40,0)-VLOOKUP(B161,#REF!,$R$2,0),0)</f>
        <v>0</v>
      </c>
      <c r="S161" s="9">
        <f>IFERROR(VLOOKUP(B161,cubo!$A$6:$BE$37,43,0)-VLOOKUP(B161,#REF!,$S$2,0),0)</f>
        <v>0</v>
      </c>
      <c r="T161" s="9">
        <f>IFERROR(VLOOKUP(B161,cubo!$A$6:$BE$37,46,0)-VLOOKUP(B161,#REF!,$T$2,0),0)</f>
        <v>0</v>
      </c>
      <c r="U161" s="9">
        <f>IFERROR(VLOOKUP(B161,cubo!$A$6:$BE$37,51,0)-VLOOKUP(B161,#REF!,$U$2,0),0)</f>
        <v>0</v>
      </c>
      <c r="V161" s="9">
        <f>IFERROR(VLOOKUP(B161,cubo!$A$6:$BJ$37,60,0)-VLOOKUP(B161,#REF!,$V$2,0),0)</f>
        <v>0</v>
      </c>
      <c r="W161" s="9">
        <f>IFERROR(VLOOKUP(B161,cubo!$A$6:$BE$37,26,0)-VLOOKUP(B161,#REF!,$W$2,0),0)</f>
        <v>0</v>
      </c>
      <c r="X161" s="9">
        <f>IFERROR(VLOOKUP(B161,cubo!$A$6:$BE$37,20,0)-VLOOKUP(B161,#REF!,$X$2,0),0)</f>
        <v>0</v>
      </c>
      <c r="Y161" s="9">
        <f>IFERROR(VLOOKUP(B161,cubo!$A$6:$BE$37,21,0)-VLOOKUP(B161,#REF!,$Y$2,0),0)</f>
        <v>0</v>
      </c>
      <c r="Z161" s="9">
        <f>IFERROR(VLOOKUP(B161,cubo!$A$6:$BE$37,27,0)-VLOOKUP(B161,#REF!,$Z$2,0),0)</f>
        <v>0</v>
      </c>
      <c r="AA161" s="9">
        <f>IFERROR(VLOOKUP(B161,cubo!$A$6:$BE$37,28,0)-VLOOKUP(B161,#REF!,$AA$2,0),0)</f>
        <v>0</v>
      </c>
      <c r="AB161" s="9">
        <f>IFERROR(VLOOKUP(B161,cubo!$A$6:$BE$37,29,0)-VLOOKUP(B161,#REF!,$AB$2,0),0)</f>
        <v>0</v>
      </c>
      <c r="AC161" s="9">
        <f>IFERROR(VLOOKUP(B161,cubo!$A$6:$BE$37,30,0)-VLOOKUP(B161,#REF!,$AC$2,0),0)</f>
        <v>0</v>
      </c>
      <c r="AD161" s="9">
        <f>IFERROR(VLOOKUP(B161,cubo!$A$6:$BE$37,31,0)-VLOOKUP(B161,#REF!,$AD$2,0),0)</f>
        <v>0</v>
      </c>
      <c r="AE161" s="9">
        <f>IFERROR(VLOOKUP(B161,cubo!$A$6:$BE$37,35,0)-VLOOKUP(B161,#REF!,$AE$2,0),0)</f>
        <v>0</v>
      </c>
      <c r="AF161" s="9" cm="1">
        <f t="array" aca="1" ref="AF161" ca="1">IFERROR(rrPROCV(B161,cubo!$A$6:$BE$37,48,0)-VLOOKUP(B161,#REF!,$AF$2,0),0)</f>
        <v>0</v>
      </c>
      <c r="AG161" s="9">
        <f>IFERROR(VLOOKUP(B161,cubo!$A$6:$BE$37,49,0)-VLOOKUP(B161,#REF!,$AG$2,0),0)</f>
        <v>0</v>
      </c>
      <c r="AH161" s="9">
        <f>IFERROR(VLOOKUP(B161,cubo!$A$6:$BE$37,50,0)-VLOOKUP(B161,#REF!,$AH$2,0),0)</f>
        <v>0</v>
      </c>
      <c r="AI161" s="9">
        <f>IFERROR(VLOOKUP(B161,cubo!$A$6:$BE$37,51,0)-VLOOKUP(B161,#REF!,$AI$2,0),0)</f>
        <v>0</v>
      </c>
      <c r="AJ161" s="9">
        <f>IFERROR(VLOOKUP(B161,cubo!$A$6:$BI$116,62,0)-VLOOKUP(B161,#REF!,$AJ$2,0),0)</f>
        <v>0</v>
      </c>
      <c r="AK161" s="9">
        <f>IFERROR(VLOOKUP(B161,cubo!$A$6:$BJ$37,63,0)-VLOOKUP(B161,#REF!,$AK$2,0),0)</f>
        <v>0</v>
      </c>
      <c r="AL161" s="9">
        <f>IFERROR(VLOOKUP(B161,cubo!$A$6:$BE$37,58,0)-VLOOKUP(B161,#REF!,$AL$2,0),0)</f>
        <v>0</v>
      </c>
      <c r="AM161" s="9">
        <f>IFERROR(VLOOKUP(B161,cubo!$A$6:$BK$37,64,0)-VLOOKUP(B161,#REF!,$AM$2,0),0)</f>
        <v>0</v>
      </c>
      <c r="AN161" s="9">
        <f>IFERROR(VLOOKUP(B161,cubo!$A$6:$AN$37,41,0)-VLOOKUP(B161,#REF!,$AN$2,0),0)</f>
        <v>0</v>
      </c>
    </row>
    <row r="162" spans="2:40" x14ac:dyDescent="0.25">
      <c r="B162" s="7">
        <f>[1]salario!A161</f>
        <v>0</v>
      </c>
      <c r="C162" s="8">
        <f>[1]salario!C161</f>
        <v>0</v>
      </c>
      <c r="D162" s="9">
        <f>IFERROR(VLOOKUP(B162,cubo!$A$6:$BE$37,3,0)-VLOOKUP(B162,#REF!,$D$2,0),0)</f>
        <v>0</v>
      </c>
      <c r="E162" s="10">
        <f>IFERROR(VLOOKUP(B162,cubo!$A$6:$BE$37,5,0)-VLOOKUP(B162,#REF!,$E$2,0),0)</f>
        <v>0</v>
      </c>
      <c r="F162" s="10">
        <f>IFERROR(VLOOKUP(B162,cubo!$A$6:$BE$37,8,0)-VLOOKUP(B162,#REF!,$F$2,0),0)</f>
        <v>0</v>
      </c>
      <c r="G162" s="9">
        <f>IFERROR(VLOOKUP(B162,cubo!$A$6:$BE$37,11,0)-VLOOKUP(B162,#REF!,$G$2,0),0)</f>
        <v>0</v>
      </c>
      <c r="H162" s="9">
        <f>IFERROR(VLOOKUP(B162,cubo!$A$6:$BE$37,53,0)-VLOOKUP(B162,#REF!,$H$2,0),0)</f>
        <v>0</v>
      </c>
      <c r="I162" s="10">
        <f>IFERROR(VLOOKUP(B162,cubo!$A$6:$BE$37,14,0)-VLOOKUP(B162,#REF!,$I$2,0),0)</f>
        <v>0</v>
      </c>
      <c r="J162" s="9">
        <f>IFERROR(VLOOKUP(B162,cubo!$A$6:$BE$37,16,0)-VLOOKUP(B162,#REF!,$J$2,0),0)</f>
        <v>0</v>
      </c>
      <c r="K162" s="9">
        <f>IFERROR(VLOOKUP(B162,cubo!$A$6:$BE$37,17,0)-VLOOKUP(B162,#REF!,$K$2,0),0)</f>
        <v>0</v>
      </c>
      <c r="L162" s="9">
        <f>IFERROR(VLOOKUP(B162,cubo!$A$6:$BE$37,19,0)-VLOOKUP(B162,#REF!,$L$2,0),0)</f>
        <v>0</v>
      </c>
      <c r="M162" s="9">
        <f>IFERROR(VLOOKUP(B162,cubo!$A$6:$BE$37,23,0)-VLOOKUP(B162,#REF!,$M$2,0),0)</f>
        <v>0</v>
      </c>
      <c r="N162" s="9">
        <f>IFERROR(VLOOKUP(B162,cubo!$A$6:$BE$37,25,0)-VLOOKUP(B162,#REF!,$N$2,0),0)</f>
        <v>0</v>
      </c>
      <c r="O162" s="9">
        <f>IFERROR(VLOOKUP(B162,cubo!$A$6:$BE$37,33,0)-VLOOKUP(B162,#REF!,$O$2,0),0)</f>
        <v>0</v>
      </c>
      <c r="P162" s="8">
        <f>IFERROR(VLOOKUP(B162,cubo!$A$6:$BE$37,37,0)-VLOOKUP(B162,#REF!,$P$2,0),0)</f>
        <v>0</v>
      </c>
      <c r="Q162" s="8">
        <f>IFERROR(VLOOKUP(B162,cubo!$A$6:$BE$37,56,0)-VLOOKUP(B162,#REF!,$Q$2,0),0)</f>
        <v>0</v>
      </c>
      <c r="R162" s="9">
        <f>IFERROR(VLOOKUP(B162,cubo!$A$6:$BE$37,40,0)-VLOOKUP(B162,#REF!,$R$2,0),0)</f>
        <v>0</v>
      </c>
      <c r="S162" s="9">
        <f>IFERROR(VLOOKUP(B162,cubo!$A$6:$BE$37,43,0)-VLOOKUP(B162,#REF!,$S$2,0),0)</f>
        <v>0</v>
      </c>
      <c r="T162" s="9">
        <f>IFERROR(VLOOKUP(B162,cubo!$A$6:$BE$37,46,0)-VLOOKUP(B162,#REF!,$T$2,0),0)</f>
        <v>0</v>
      </c>
      <c r="U162" s="9">
        <f>IFERROR(VLOOKUP(B162,cubo!$A$6:$BE$37,51,0)-VLOOKUP(B162,#REF!,$U$2,0),0)</f>
        <v>0</v>
      </c>
      <c r="V162" s="9">
        <f>IFERROR(VLOOKUP(B162,cubo!$A$6:$BJ$37,60,0)-VLOOKUP(B162,#REF!,$V$2,0),0)</f>
        <v>0</v>
      </c>
      <c r="W162" s="9">
        <f>IFERROR(VLOOKUP(B162,cubo!$A$6:$BE$37,26,0)-VLOOKUP(B162,#REF!,$W$2,0),0)</f>
        <v>0</v>
      </c>
      <c r="X162" s="9">
        <f>IFERROR(VLOOKUP(B162,cubo!$A$6:$BE$37,20,0)-VLOOKUP(B162,#REF!,$X$2,0),0)</f>
        <v>0</v>
      </c>
      <c r="Y162" s="9">
        <f>IFERROR(VLOOKUP(B162,cubo!$A$6:$BE$37,21,0)-VLOOKUP(B162,#REF!,$Y$2,0),0)</f>
        <v>0</v>
      </c>
      <c r="Z162" s="9">
        <f>IFERROR(VLOOKUP(B162,cubo!$A$6:$BE$37,27,0)-VLOOKUP(B162,#REF!,$Z$2,0),0)</f>
        <v>0</v>
      </c>
      <c r="AA162" s="9">
        <f>IFERROR(VLOOKUP(B162,cubo!$A$6:$BE$37,28,0)-VLOOKUP(B162,#REF!,$AA$2,0),0)</f>
        <v>0</v>
      </c>
      <c r="AB162" s="9">
        <f>IFERROR(VLOOKUP(B162,cubo!$A$6:$BE$37,29,0)-VLOOKUP(B162,#REF!,$AB$2,0),0)</f>
        <v>0</v>
      </c>
      <c r="AC162" s="9">
        <f>IFERROR(VLOOKUP(B162,cubo!$A$6:$BE$37,30,0)-VLOOKUP(B162,#REF!,$AC$2,0),0)</f>
        <v>0</v>
      </c>
      <c r="AD162" s="9">
        <f>IFERROR(VLOOKUP(B162,cubo!$A$6:$BE$37,31,0)-VLOOKUP(B162,#REF!,$AD$2,0),0)</f>
        <v>0</v>
      </c>
      <c r="AE162" s="9">
        <f>IFERROR(VLOOKUP(B162,cubo!$A$6:$BE$37,35,0)-VLOOKUP(B162,#REF!,$AE$2,0),0)</f>
        <v>0</v>
      </c>
      <c r="AF162" s="9" cm="1">
        <f t="array" aca="1" ref="AF162" ca="1">IFERROR(rrPROCV(B162,cubo!$A$6:$BE$37,48,0)-VLOOKUP(B162,#REF!,$AF$2,0),0)</f>
        <v>0</v>
      </c>
      <c r="AG162" s="9">
        <f>IFERROR(VLOOKUP(B162,cubo!$A$6:$BE$37,49,0)-VLOOKUP(B162,#REF!,$AG$2,0),0)</f>
        <v>0</v>
      </c>
      <c r="AH162" s="9">
        <f>IFERROR(VLOOKUP(B162,cubo!$A$6:$BE$37,50,0)-VLOOKUP(B162,#REF!,$AH$2,0),0)</f>
        <v>0</v>
      </c>
      <c r="AI162" s="9">
        <f>IFERROR(VLOOKUP(B162,cubo!$A$6:$BE$37,51,0)-VLOOKUP(B162,#REF!,$AI$2,0),0)</f>
        <v>0</v>
      </c>
      <c r="AJ162" s="9">
        <f>IFERROR(VLOOKUP(B162,cubo!$A$6:$BI$116,62,0)-VLOOKUP(B162,#REF!,$AJ$2,0),0)</f>
        <v>0</v>
      </c>
      <c r="AK162" s="9">
        <f>IFERROR(VLOOKUP(B162,cubo!$A$6:$BJ$37,63,0)-VLOOKUP(B162,#REF!,$AK$2,0),0)</f>
        <v>0</v>
      </c>
      <c r="AL162" s="9">
        <f>IFERROR(VLOOKUP(B162,cubo!$A$6:$BE$37,58,0)-VLOOKUP(B162,#REF!,$AL$2,0),0)</f>
        <v>0</v>
      </c>
      <c r="AM162" s="9">
        <f>IFERROR(VLOOKUP(B162,cubo!$A$6:$BK$37,64,0)-VLOOKUP(B162,#REF!,$AM$2,0),0)</f>
        <v>0</v>
      </c>
      <c r="AN162" s="9">
        <f>IFERROR(VLOOKUP(B162,cubo!$A$6:$AN$37,41,0)-VLOOKUP(B162,#REF!,$AN$2,0),0)</f>
        <v>0</v>
      </c>
    </row>
    <row r="163" spans="2:40" x14ac:dyDescent="0.25">
      <c r="B163" s="7">
        <f>[1]salario!A162</f>
        <v>0</v>
      </c>
      <c r="C163" s="8">
        <f>[1]salario!C162</f>
        <v>0</v>
      </c>
      <c r="D163" s="9">
        <f>IFERROR(VLOOKUP(B163,cubo!$A$6:$BE$37,3,0)-VLOOKUP(B163,#REF!,$D$2,0),0)</f>
        <v>0</v>
      </c>
      <c r="E163" s="10">
        <f>IFERROR(VLOOKUP(B163,cubo!$A$6:$BE$37,5,0)-VLOOKUP(B163,#REF!,$E$2,0),0)</f>
        <v>0</v>
      </c>
      <c r="F163" s="10">
        <f>IFERROR(VLOOKUP(B163,cubo!$A$6:$BE$37,8,0)-VLOOKUP(B163,#REF!,$F$2,0),0)</f>
        <v>0</v>
      </c>
      <c r="G163" s="9">
        <f>IFERROR(VLOOKUP(B163,cubo!$A$6:$BE$37,11,0)-VLOOKUP(B163,#REF!,$G$2,0),0)</f>
        <v>0</v>
      </c>
      <c r="H163" s="9">
        <f>IFERROR(VLOOKUP(B163,cubo!$A$6:$BE$37,53,0)-VLOOKUP(B163,#REF!,$H$2,0),0)</f>
        <v>0</v>
      </c>
      <c r="I163" s="10">
        <f>IFERROR(VLOOKUP(B163,cubo!$A$6:$BE$37,14,0)-VLOOKUP(B163,#REF!,$I$2,0),0)</f>
        <v>0</v>
      </c>
      <c r="J163" s="9">
        <f>IFERROR(VLOOKUP(B163,cubo!$A$6:$BE$37,16,0)-VLOOKUP(B163,#REF!,$J$2,0),0)</f>
        <v>0</v>
      </c>
      <c r="K163" s="9">
        <f>IFERROR(VLOOKUP(B163,cubo!$A$6:$BE$37,17,0)-VLOOKUP(B163,#REF!,$K$2,0),0)</f>
        <v>0</v>
      </c>
      <c r="L163" s="9">
        <f>IFERROR(VLOOKUP(B163,cubo!$A$6:$BE$37,19,0)-VLOOKUP(B163,#REF!,$L$2,0),0)</f>
        <v>0</v>
      </c>
      <c r="M163" s="9">
        <f>IFERROR(VLOOKUP(B163,cubo!$A$6:$BE$37,23,0)-VLOOKUP(B163,#REF!,$M$2,0),0)</f>
        <v>0</v>
      </c>
      <c r="N163" s="9">
        <f>IFERROR(VLOOKUP(B163,cubo!$A$6:$BE$37,25,0)-VLOOKUP(B163,#REF!,$N$2,0),0)</f>
        <v>0</v>
      </c>
      <c r="O163" s="9">
        <f>IFERROR(VLOOKUP(B163,cubo!$A$6:$BE$37,33,0)-VLOOKUP(B163,#REF!,$O$2,0),0)</f>
        <v>0</v>
      </c>
      <c r="P163" s="8">
        <f>IFERROR(VLOOKUP(B163,cubo!$A$6:$BE$37,37,0)-VLOOKUP(B163,#REF!,$P$2,0),0)</f>
        <v>0</v>
      </c>
      <c r="Q163" s="8">
        <f>IFERROR(VLOOKUP(B163,cubo!$A$6:$BE$37,56,0)-VLOOKUP(B163,#REF!,$Q$2,0),0)</f>
        <v>0</v>
      </c>
      <c r="R163" s="9">
        <f>IFERROR(VLOOKUP(B163,cubo!$A$6:$BE$37,40,0)-VLOOKUP(B163,#REF!,$R$2,0),0)</f>
        <v>0</v>
      </c>
      <c r="S163" s="9">
        <f>IFERROR(VLOOKUP(B163,cubo!$A$6:$BE$37,43,0)-VLOOKUP(B163,#REF!,$S$2,0),0)</f>
        <v>0</v>
      </c>
      <c r="T163" s="9">
        <f>IFERROR(VLOOKUP(B163,cubo!$A$6:$BE$37,46,0)-VLOOKUP(B163,#REF!,$T$2,0),0)</f>
        <v>0</v>
      </c>
      <c r="U163" s="9">
        <f>IFERROR(VLOOKUP(B163,cubo!$A$6:$BE$37,51,0)-VLOOKUP(B163,#REF!,$U$2,0),0)</f>
        <v>0</v>
      </c>
      <c r="V163" s="9">
        <f>IFERROR(VLOOKUP(B163,cubo!$A$6:$BJ$37,60,0)-VLOOKUP(B163,#REF!,$V$2,0),0)</f>
        <v>0</v>
      </c>
      <c r="W163" s="9">
        <f>IFERROR(VLOOKUP(B163,cubo!$A$6:$BE$37,26,0)-VLOOKUP(B163,#REF!,$W$2,0),0)</f>
        <v>0</v>
      </c>
      <c r="X163" s="9">
        <f>IFERROR(VLOOKUP(B163,cubo!$A$6:$BE$37,20,0)-VLOOKUP(B163,#REF!,$X$2,0),0)</f>
        <v>0</v>
      </c>
      <c r="Y163" s="9">
        <f>IFERROR(VLOOKUP(B163,cubo!$A$6:$BE$37,21,0)-VLOOKUP(B163,#REF!,$Y$2,0),0)</f>
        <v>0</v>
      </c>
      <c r="Z163" s="9">
        <f>IFERROR(VLOOKUP(B163,cubo!$A$6:$BE$37,27,0)-VLOOKUP(B163,#REF!,$Z$2,0),0)</f>
        <v>0</v>
      </c>
      <c r="AA163" s="9">
        <f>IFERROR(VLOOKUP(B163,cubo!$A$6:$BE$37,28,0)-VLOOKUP(B163,#REF!,$AA$2,0),0)</f>
        <v>0</v>
      </c>
      <c r="AB163" s="9">
        <f>IFERROR(VLOOKUP(B163,cubo!$A$6:$BE$37,29,0)-VLOOKUP(B163,#REF!,$AB$2,0),0)</f>
        <v>0</v>
      </c>
      <c r="AC163" s="9">
        <f>IFERROR(VLOOKUP(B163,cubo!$A$6:$BE$37,30,0)-VLOOKUP(B163,#REF!,$AC$2,0),0)</f>
        <v>0</v>
      </c>
      <c r="AD163" s="9">
        <f>IFERROR(VLOOKUP(B163,cubo!$A$6:$BE$37,31,0)-VLOOKUP(B163,#REF!,$AD$2,0),0)</f>
        <v>0</v>
      </c>
      <c r="AE163" s="9">
        <f>IFERROR(VLOOKUP(B163,cubo!$A$6:$BE$37,35,0)-VLOOKUP(B163,#REF!,$AE$2,0),0)</f>
        <v>0</v>
      </c>
      <c r="AF163" s="9" cm="1">
        <f t="array" aca="1" ref="AF163" ca="1">IFERROR(rrPROCV(B163,cubo!$A$6:$BE$37,48,0)-VLOOKUP(B163,#REF!,$AF$2,0),0)</f>
        <v>0</v>
      </c>
      <c r="AG163" s="9">
        <f>IFERROR(VLOOKUP(B163,cubo!$A$6:$BE$37,49,0)-VLOOKUP(B163,#REF!,$AG$2,0),0)</f>
        <v>0</v>
      </c>
      <c r="AH163" s="9">
        <f>IFERROR(VLOOKUP(B163,cubo!$A$6:$BE$37,50,0)-VLOOKUP(B163,#REF!,$AH$2,0),0)</f>
        <v>0</v>
      </c>
      <c r="AI163" s="9">
        <f>IFERROR(VLOOKUP(B163,cubo!$A$6:$BE$37,51,0)-VLOOKUP(B163,#REF!,$AI$2,0),0)</f>
        <v>0</v>
      </c>
      <c r="AJ163" s="9">
        <f>IFERROR(VLOOKUP(B163,cubo!$A$6:$BI$116,62,0)-VLOOKUP(B163,#REF!,$AJ$2,0),0)</f>
        <v>0</v>
      </c>
      <c r="AK163" s="9">
        <f>IFERROR(VLOOKUP(B163,cubo!$A$6:$BJ$37,63,0)-VLOOKUP(B163,#REF!,$AK$2,0),0)</f>
        <v>0</v>
      </c>
      <c r="AL163" s="9">
        <f>IFERROR(VLOOKUP(B163,cubo!$A$6:$BE$37,58,0)-VLOOKUP(B163,#REF!,$AL$2,0),0)</f>
        <v>0</v>
      </c>
      <c r="AM163" s="9">
        <f>IFERROR(VLOOKUP(B163,cubo!$A$6:$BK$37,64,0)-VLOOKUP(B163,#REF!,$AM$2,0),0)</f>
        <v>0</v>
      </c>
      <c r="AN163" s="9">
        <f>IFERROR(VLOOKUP(B163,cubo!$A$6:$AN$37,41,0)-VLOOKUP(B163,#REF!,$AN$2,0),0)</f>
        <v>0</v>
      </c>
    </row>
    <row r="164" spans="2:40" x14ac:dyDescent="0.25">
      <c r="B164" s="7">
        <f>[1]salario!A163</f>
        <v>0</v>
      </c>
      <c r="C164" s="8">
        <f>[1]salario!C163</f>
        <v>0</v>
      </c>
      <c r="D164" s="9">
        <f>IFERROR(VLOOKUP(B164,cubo!$A$6:$BE$37,3,0)-VLOOKUP(B164,#REF!,$D$2,0),0)</f>
        <v>0</v>
      </c>
      <c r="E164" s="10">
        <f>IFERROR(VLOOKUP(B164,cubo!$A$6:$BE$37,5,0)-VLOOKUP(B164,#REF!,$E$2,0),0)</f>
        <v>0</v>
      </c>
      <c r="F164" s="10">
        <f>IFERROR(VLOOKUP(B164,cubo!$A$6:$BE$37,8,0)-VLOOKUP(B164,#REF!,$F$2,0),0)</f>
        <v>0</v>
      </c>
      <c r="G164" s="9">
        <f>IFERROR(VLOOKUP(B164,cubo!$A$6:$BE$37,11,0)-VLOOKUP(B164,#REF!,$G$2,0),0)</f>
        <v>0</v>
      </c>
      <c r="H164" s="9">
        <f>IFERROR(VLOOKUP(B164,cubo!$A$6:$BE$37,53,0)-VLOOKUP(B164,#REF!,$H$2,0),0)</f>
        <v>0</v>
      </c>
      <c r="I164" s="10">
        <f>IFERROR(VLOOKUP(B164,cubo!$A$6:$BE$37,14,0)-VLOOKUP(B164,#REF!,$I$2,0),0)</f>
        <v>0</v>
      </c>
      <c r="J164" s="9">
        <f>IFERROR(VLOOKUP(B164,cubo!$A$6:$BE$37,16,0)-VLOOKUP(B164,#REF!,$J$2,0),0)</f>
        <v>0</v>
      </c>
      <c r="K164" s="9">
        <f>IFERROR(VLOOKUP(B164,cubo!$A$6:$BE$37,17,0)-VLOOKUP(B164,#REF!,$K$2,0),0)</f>
        <v>0</v>
      </c>
      <c r="L164" s="9">
        <f>IFERROR(VLOOKUP(B164,cubo!$A$6:$BE$37,19,0)-VLOOKUP(B164,#REF!,$L$2,0),0)</f>
        <v>0</v>
      </c>
      <c r="M164" s="9">
        <f>IFERROR(VLOOKUP(B164,cubo!$A$6:$BE$37,23,0)-VLOOKUP(B164,#REF!,$M$2,0),0)</f>
        <v>0</v>
      </c>
      <c r="N164" s="9">
        <f>IFERROR(VLOOKUP(B164,cubo!$A$6:$BE$37,25,0)-VLOOKUP(B164,#REF!,$N$2,0),0)</f>
        <v>0</v>
      </c>
      <c r="O164" s="9">
        <f>IFERROR(VLOOKUP(B164,cubo!$A$6:$BE$37,33,0)-VLOOKUP(B164,#REF!,$O$2,0),0)</f>
        <v>0</v>
      </c>
      <c r="P164" s="8">
        <f>IFERROR(VLOOKUP(B164,cubo!$A$6:$BE$37,37,0)-VLOOKUP(B164,#REF!,$P$2,0),0)</f>
        <v>0</v>
      </c>
      <c r="Q164" s="8">
        <f>IFERROR(VLOOKUP(B164,cubo!$A$6:$BE$37,56,0)-VLOOKUP(B164,#REF!,$Q$2,0),0)</f>
        <v>0</v>
      </c>
      <c r="R164" s="9">
        <f>IFERROR(VLOOKUP(B164,cubo!$A$6:$BE$37,40,0)-VLOOKUP(B164,#REF!,$R$2,0),0)</f>
        <v>0</v>
      </c>
      <c r="S164" s="9">
        <f>IFERROR(VLOOKUP(B164,cubo!$A$6:$BE$37,43,0)-VLOOKUP(B164,#REF!,$S$2,0),0)</f>
        <v>0</v>
      </c>
      <c r="T164" s="9">
        <f>IFERROR(VLOOKUP(B164,cubo!$A$6:$BE$37,46,0)-VLOOKUP(B164,#REF!,$T$2,0),0)</f>
        <v>0</v>
      </c>
      <c r="U164" s="9">
        <f>IFERROR(VLOOKUP(B164,cubo!$A$6:$BE$37,51,0)-VLOOKUP(B164,#REF!,$U$2,0),0)</f>
        <v>0</v>
      </c>
      <c r="V164" s="9">
        <f>IFERROR(VLOOKUP(B164,cubo!$A$6:$BJ$37,60,0)-VLOOKUP(B164,#REF!,$V$2,0),0)</f>
        <v>0</v>
      </c>
      <c r="W164" s="9">
        <f>IFERROR(VLOOKUP(B164,cubo!$A$6:$BE$37,26,0)-VLOOKUP(B164,#REF!,$W$2,0),0)</f>
        <v>0</v>
      </c>
      <c r="X164" s="9">
        <f>IFERROR(VLOOKUP(B164,cubo!$A$6:$BE$37,20,0)-VLOOKUP(B164,#REF!,$X$2,0),0)</f>
        <v>0</v>
      </c>
      <c r="Y164" s="9">
        <f>IFERROR(VLOOKUP(B164,cubo!$A$6:$BE$37,21,0)-VLOOKUP(B164,#REF!,$Y$2,0),0)</f>
        <v>0</v>
      </c>
      <c r="Z164" s="9">
        <f>IFERROR(VLOOKUP(B164,cubo!$A$6:$BE$37,27,0)-VLOOKUP(B164,#REF!,$Z$2,0),0)</f>
        <v>0</v>
      </c>
      <c r="AA164" s="9">
        <f>IFERROR(VLOOKUP(B164,cubo!$A$6:$BE$37,28,0)-VLOOKUP(B164,#REF!,$AA$2,0),0)</f>
        <v>0</v>
      </c>
      <c r="AB164" s="9">
        <f>IFERROR(VLOOKUP(B164,cubo!$A$6:$BE$37,29,0)-VLOOKUP(B164,#REF!,$AB$2,0),0)</f>
        <v>0</v>
      </c>
      <c r="AC164" s="9">
        <f>IFERROR(VLOOKUP(B164,cubo!$A$6:$BE$37,30,0)-VLOOKUP(B164,#REF!,$AC$2,0),0)</f>
        <v>0</v>
      </c>
      <c r="AD164" s="9">
        <f>IFERROR(VLOOKUP(B164,cubo!$A$6:$BE$37,31,0)-VLOOKUP(B164,#REF!,$AD$2,0),0)</f>
        <v>0</v>
      </c>
      <c r="AE164" s="9">
        <f>IFERROR(VLOOKUP(B164,cubo!$A$6:$BE$37,35,0)-VLOOKUP(B164,#REF!,$AE$2,0),0)</f>
        <v>0</v>
      </c>
      <c r="AF164" s="9" cm="1">
        <f t="array" aca="1" ref="AF164" ca="1">IFERROR(rrPROCV(B164,cubo!$A$6:$BE$37,48,0)-VLOOKUP(B164,#REF!,$AF$2,0),0)</f>
        <v>0</v>
      </c>
      <c r="AG164" s="9">
        <f>IFERROR(VLOOKUP(B164,cubo!$A$6:$BE$37,49,0)-VLOOKUP(B164,#REF!,$AG$2,0),0)</f>
        <v>0</v>
      </c>
      <c r="AH164" s="9">
        <f>IFERROR(VLOOKUP(B164,cubo!$A$6:$BE$37,50,0)-VLOOKUP(B164,#REF!,$AH$2,0),0)</f>
        <v>0</v>
      </c>
      <c r="AI164" s="9">
        <f>IFERROR(VLOOKUP(B164,cubo!$A$6:$BE$37,51,0)-VLOOKUP(B164,#REF!,$AI$2,0),0)</f>
        <v>0</v>
      </c>
      <c r="AJ164" s="9">
        <f>IFERROR(VLOOKUP(B164,cubo!$A$6:$BI$116,62,0)-VLOOKUP(B164,#REF!,$AJ$2,0),0)</f>
        <v>0</v>
      </c>
      <c r="AK164" s="9">
        <f>IFERROR(VLOOKUP(B164,cubo!$A$6:$BJ$37,63,0)-VLOOKUP(B164,#REF!,$AK$2,0),0)</f>
        <v>0</v>
      </c>
      <c r="AL164" s="9">
        <f>IFERROR(VLOOKUP(B164,cubo!$A$6:$BE$37,58,0)-VLOOKUP(B164,#REF!,$AL$2,0),0)</f>
        <v>0</v>
      </c>
      <c r="AM164" s="9">
        <f>IFERROR(VLOOKUP(B164,cubo!$A$6:$BK$37,64,0)-VLOOKUP(B164,#REF!,$AM$2,0),0)</f>
        <v>0</v>
      </c>
      <c r="AN164" s="9">
        <f>IFERROR(VLOOKUP(B164,cubo!$A$6:$AN$37,41,0)-VLOOKUP(B164,#REF!,$AN$2,0),0)</f>
        <v>0</v>
      </c>
    </row>
    <row r="165" spans="2:40" x14ac:dyDescent="0.25">
      <c r="B165" s="7">
        <f>[1]salario!A164</f>
        <v>0</v>
      </c>
      <c r="C165" s="8">
        <f>[1]salario!C164</f>
        <v>0</v>
      </c>
      <c r="D165" s="9">
        <f>IFERROR(VLOOKUP(B165,cubo!$A$6:$BE$37,3,0)-VLOOKUP(B165,#REF!,$D$2,0),0)</f>
        <v>0</v>
      </c>
      <c r="E165" s="10">
        <f>IFERROR(VLOOKUP(B165,cubo!$A$6:$BE$37,5,0)-VLOOKUP(B165,#REF!,$E$2,0),0)</f>
        <v>0</v>
      </c>
      <c r="F165" s="10">
        <f>IFERROR(VLOOKUP(B165,cubo!$A$6:$BE$37,8,0)-VLOOKUP(B165,#REF!,$F$2,0),0)</f>
        <v>0</v>
      </c>
      <c r="G165" s="9">
        <f>IFERROR(VLOOKUP(B165,cubo!$A$6:$BE$37,11,0)-VLOOKUP(B165,#REF!,$G$2,0),0)</f>
        <v>0</v>
      </c>
      <c r="H165" s="9">
        <f>IFERROR(VLOOKUP(B165,cubo!$A$6:$BE$37,53,0)-VLOOKUP(B165,#REF!,$H$2,0),0)</f>
        <v>0</v>
      </c>
      <c r="I165" s="10">
        <f>IFERROR(VLOOKUP(B165,cubo!$A$6:$BE$37,14,0)-VLOOKUP(B165,#REF!,$I$2,0),0)</f>
        <v>0</v>
      </c>
      <c r="J165" s="9">
        <f>IFERROR(VLOOKUP(B165,cubo!$A$6:$BE$37,16,0)-VLOOKUP(B165,#REF!,$J$2,0),0)</f>
        <v>0</v>
      </c>
      <c r="K165" s="9">
        <f>IFERROR(VLOOKUP(B165,cubo!$A$6:$BE$37,17,0)-VLOOKUP(B165,#REF!,$K$2,0),0)</f>
        <v>0</v>
      </c>
      <c r="L165" s="9">
        <f>IFERROR(VLOOKUP(B165,cubo!$A$6:$BE$37,19,0)-VLOOKUP(B165,#REF!,$L$2,0),0)</f>
        <v>0</v>
      </c>
      <c r="M165" s="9">
        <f>IFERROR(VLOOKUP(B165,cubo!$A$6:$BE$37,23,0)-VLOOKUP(B165,#REF!,$M$2,0),0)</f>
        <v>0</v>
      </c>
      <c r="N165" s="9">
        <f>IFERROR(VLOOKUP(B165,cubo!$A$6:$BE$37,25,0)-VLOOKUP(B165,#REF!,$N$2,0),0)</f>
        <v>0</v>
      </c>
      <c r="O165" s="9">
        <f>IFERROR(VLOOKUP(B165,cubo!$A$6:$BE$37,33,0)-VLOOKUP(B165,#REF!,$O$2,0),0)</f>
        <v>0</v>
      </c>
      <c r="P165" s="8">
        <f>IFERROR(VLOOKUP(B165,cubo!$A$6:$BE$37,37,0)-VLOOKUP(B165,#REF!,$P$2,0),0)</f>
        <v>0</v>
      </c>
      <c r="Q165" s="8">
        <f>IFERROR(VLOOKUP(B165,cubo!$A$6:$BE$37,56,0)-VLOOKUP(B165,#REF!,$Q$2,0),0)</f>
        <v>0</v>
      </c>
      <c r="R165" s="9">
        <f>IFERROR(VLOOKUP(B165,cubo!$A$6:$BE$37,40,0)-VLOOKUP(B165,#REF!,$R$2,0),0)</f>
        <v>0</v>
      </c>
      <c r="S165" s="9">
        <f>IFERROR(VLOOKUP(B165,cubo!$A$6:$BE$37,43,0)-VLOOKUP(B165,#REF!,$S$2,0),0)</f>
        <v>0</v>
      </c>
      <c r="T165" s="9">
        <f>IFERROR(VLOOKUP(B165,cubo!$A$6:$BE$37,46,0)-VLOOKUP(B165,#REF!,$T$2,0),0)</f>
        <v>0</v>
      </c>
      <c r="U165" s="9">
        <f>IFERROR(VLOOKUP(B165,cubo!$A$6:$BE$37,51,0)-VLOOKUP(B165,#REF!,$U$2,0),0)</f>
        <v>0</v>
      </c>
      <c r="V165" s="9">
        <f>IFERROR(VLOOKUP(B165,cubo!$A$6:$BJ$37,60,0)-VLOOKUP(B165,#REF!,$V$2,0),0)</f>
        <v>0</v>
      </c>
      <c r="W165" s="9">
        <f>IFERROR(VLOOKUP(B165,cubo!$A$6:$BE$37,26,0)-VLOOKUP(B165,#REF!,$W$2,0),0)</f>
        <v>0</v>
      </c>
      <c r="X165" s="9">
        <f>IFERROR(VLOOKUP(B165,cubo!$A$6:$BE$37,20,0)-VLOOKUP(B165,#REF!,$X$2,0),0)</f>
        <v>0</v>
      </c>
      <c r="Y165" s="9">
        <f>IFERROR(VLOOKUP(B165,cubo!$A$6:$BE$37,21,0)-VLOOKUP(B165,#REF!,$Y$2,0),0)</f>
        <v>0</v>
      </c>
      <c r="Z165" s="9">
        <f>IFERROR(VLOOKUP(B165,cubo!$A$6:$BE$37,27,0)-VLOOKUP(B165,#REF!,$Z$2,0),0)</f>
        <v>0</v>
      </c>
      <c r="AA165" s="9">
        <f>IFERROR(VLOOKUP(B165,cubo!$A$6:$BE$37,28,0)-VLOOKUP(B165,#REF!,$AA$2,0),0)</f>
        <v>0</v>
      </c>
      <c r="AB165" s="9">
        <f>IFERROR(VLOOKUP(B165,cubo!$A$6:$BE$37,29,0)-VLOOKUP(B165,#REF!,$AB$2,0),0)</f>
        <v>0</v>
      </c>
      <c r="AC165" s="9">
        <f>IFERROR(VLOOKUP(B165,cubo!$A$6:$BE$37,30,0)-VLOOKUP(B165,#REF!,$AC$2,0),0)</f>
        <v>0</v>
      </c>
      <c r="AD165" s="9">
        <f>IFERROR(VLOOKUP(B165,cubo!$A$6:$BE$37,31,0)-VLOOKUP(B165,#REF!,$AD$2,0),0)</f>
        <v>0</v>
      </c>
      <c r="AE165" s="9">
        <f>IFERROR(VLOOKUP(B165,cubo!$A$6:$BE$37,35,0)-VLOOKUP(B165,#REF!,$AE$2,0),0)</f>
        <v>0</v>
      </c>
      <c r="AF165" s="9" cm="1">
        <f t="array" aca="1" ref="AF165" ca="1">IFERROR(rrPROCV(B165,cubo!$A$6:$BE$37,48,0)-VLOOKUP(B165,#REF!,$AF$2,0),0)</f>
        <v>0</v>
      </c>
      <c r="AG165" s="9">
        <f>IFERROR(VLOOKUP(B165,cubo!$A$6:$BE$37,49,0)-VLOOKUP(B165,#REF!,$AG$2,0),0)</f>
        <v>0</v>
      </c>
      <c r="AH165" s="9">
        <f>IFERROR(VLOOKUP(B165,cubo!$A$6:$BE$37,50,0)-VLOOKUP(B165,#REF!,$AH$2,0),0)</f>
        <v>0</v>
      </c>
      <c r="AI165" s="9">
        <f>IFERROR(VLOOKUP(B165,cubo!$A$6:$BE$37,51,0)-VLOOKUP(B165,#REF!,$AI$2,0),0)</f>
        <v>0</v>
      </c>
      <c r="AJ165" s="9">
        <f>IFERROR(VLOOKUP(B165,cubo!$A$6:$BI$116,62,0)-VLOOKUP(B165,#REF!,$AJ$2,0),0)</f>
        <v>0</v>
      </c>
      <c r="AK165" s="9">
        <f>IFERROR(VLOOKUP(B165,cubo!$A$6:$BJ$37,63,0)-VLOOKUP(B165,#REF!,$AK$2,0),0)</f>
        <v>0</v>
      </c>
      <c r="AL165" s="9">
        <f>IFERROR(VLOOKUP(B165,cubo!$A$6:$BE$37,58,0)-VLOOKUP(B165,#REF!,$AL$2,0),0)</f>
        <v>0</v>
      </c>
      <c r="AM165" s="9">
        <f>IFERROR(VLOOKUP(B165,cubo!$A$6:$BK$37,64,0)-VLOOKUP(B165,#REF!,$AM$2,0),0)</f>
        <v>0</v>
      </c>
      <c r="AN165" s="9">
        <f>IFERROR(VLOOKUP(B165,cubo!$A$6:$AN$37,41,0)-VLOOKUP(B165,#REF!,$AN$2,0),0)</f>
        <v>0</v>
      </c>
    </row>
    <row r="166" spans="2:40" x14ac:dyDescent="0.25">
      <c r="B166" s="7">
        <f>[1]salario!A165</f>
        <v>0</v>
      </c>
      <c r="C166" s="8">
        <f>[1]salario!C165</f>
        <v>0</v>
      </c>
      <c r="D166" s="9">
        <f>IFERROR(VLOOKUP(B166,cubo!$A$6:$BE$37,3,0)-VLOOKUP(B166,#REF!,$D$2,0),0)</f>
        <v>0</v>
      </c>
      <c r="E166" s="10">
        <f>IFERROR(VLOOKUP(B166,cubo!$A$6:$BE$37,5,0)-VLOOKUP(B166,#REF!,$E$2,0),0)</f>
        <v>0</v>
      </c>
      <c r="F166" s="10">
        <f>IFERROR(VLOOKUP(B166,cubo!$A$6:$BE$37,8,0)-VLOOKUP(B166,#REF!,$F$2,0),0)</f>
        <v>0</v>
      </c>
      <c r="G166" s="9">
        <f>IFERROR(VLOOKUP(B166,cubo!$A$6:$BE$37,11,0)-VLOOKUP(B166,#REF!,$G$2,0),0)</f>
        <v>0</v>
      </c>
      <c r="H166" s="9">
        <f>IFERROR(VLOOKUP(B166,cubo!$A$6:$BE$37,53,0)-VLOOKUP(B166,#REF!,$H$2,0),0)</f>
        <v>0</v>
      </c>
      <c r="I166" s="10">
        <f>IFERROR(VLOOKUP(B166,cubo!$A$6:$BE$37,14,0)-VLOOKUP(B166,#REF!,$I$2,0),0)</f>
        <v>0</v>
      </c>
      <c r="J166" s="9">
        <f>IFERROR(VLOOKUP(B166,cubo!$A$6:$BE$37,16,0)-VLOOKUP(B166,#REF!,$J$2,0),0)</f>
        <v>0</v>
      </c>
      <c r="K166" s="9">
        <f>IFERROR(VLOOKUP(B166,cubo!$A$6:$BE$37,17,0)-VLOOKUP(B166,#REF!,$K$2,0),0)</f>
        <v>0</v>
      </c>
      <c r="L166" s="9">
        <f>IFERROR(VLOOKUP(B166,cubo!$A$6:$BE$37,19,0)-VLOOKUP(B166,#REF!,$L$2,0),0)</f>
        <v>0</v>
      </c>
      <c r="M166" s="9">
        <f>IFERROR(VLOOKUP(B166,cubo!$A$6:$BE$37,23,0)-VLOOKUP(B166,#REF!,$M$2,0),0)</f>
        <v>0</v>
      </c>
      <c r="N166" s="9">
        <f>IFERROR(VLOOKUP(B166,cubo!$A$6:$BE$37,25,0)-VLOOKUP(B166,#REF!,$N$2,0),0)</f>
        <v>0</v>
      </c>
      <c r="O166" s="9">
        <f>IFERROR(VLOOKUP(B166,cubo!$A$6:$BE$37,33,0)-VLOOKUP(B166,#REF!,$O$2,0),0)</f>
        <v>0</v>
      </c>
      <c r="P166" s="8">
        <f>IFERROR(VLOOKUP(B166,cubo!$A$6:$BE$37,37,0)-VLOOKUP(B166,#REF!,$P$2,0),0)</f>
        <v>0</v>
      </c>
      <c r="Q166" s="8">
        <f>IFERROR(VLOOKUP(B166,cubo!$A$6:$BE$37,56,0)-VLOOKUP(B166,#REF!,$Q$2,0),0)</f>
        <v>0</v>
      </c>
      <c r="R166" s="9">
        <f>IFERROR(VLOOKUP(B166,cubo!$A$6:$BE$37,40,0)-VLOOKUP(B166,#REF!,$R$2,0),0)</f>
        <v>0</v>
      </c>
      <c r="S166" s="9">
        <f>IFERROR(VLOOKUP(B166,cubo!$A$6:$BE$37,43,0)-VLOOKUP(B166,#REF!,$S$2,0),0)</f>
        <v>0</v>
      </c>
      <c r="T166" s="9">
        <f>IFERROR(VLOOKUP(B166,cubo!$A$6:$BE$37,46,0)-VLOOKUP(B166,#REF!,$T$2,0),0)</f>
        <v>0</v>
      </c>
      <c r="U166" s="9">
        <f>IFERROR(VLOOKUP(B166,cubo!$A$6:$BE$37,51,0)-VLOOKUP(B166,#REF!,$U$2,0),0)</f>
        <v>0</v>
      </c>
      <c r="V166" s="9">
        <f>IFERROR(VLOOKUP(B166,cubo!$A$6:$BJ$37,60,0)-VLOOKUP(B166,#REF!,$V$2,0),0)</f>
        <v>0</v>
      </c>
      <c r="W166" s="9">
        <f>IFERROR(VLOOKUP(B166,cubo!$A$6:$BE$37,26,0)-VLOOKUP(B166,#REF!,$W$2,0),0)</f>
        <v>0</v>
      </c>
      <c r="X166" s="9">
        <f>IFERROR(VLOOKUP(B166,cubo!$A$6:$BE$37,20,0)-VLOOKUP(B166,#REF!,$X$2,0),0)</f>
        <v>0</v>
      </c>
      <c r="Y166" s="9">
        <f>IFERROR(VLOOKUP(B166,cubo!$A$6:$BE$37,21,0)-VLOOKUP(B166,#REF!,$Y$2,0),0)</f>
        <v>0</v>
      </c>
      <c r="Z166" s="9">
        <f>IFERROR(VLOOKUP(B166,cubo!$A$6:$BE$37,27,0)-VLOOKUP(B166,#REF!,$Z$2,0),0)</f>
        <v>0</v>
      </c>
      <c r="AA166" s="9">
        <f>IFERROR(VLOOKUP(B166,cubo!$A$6:$BE$37,28,0)-VLOOKUP(B166,#REF!,$AA$2,0),0)</f>
        <v>0</v>
      </c>
      <c r="AB166" s="9">
        <f>IFERROR(VLOOKUP(B166,cubo!$A$6:$BE$37,29,0)-VLOOKUP(B166,#REF!,$AB$2,0),0)</f>
        <v>0</v>
      </c>
      <c r="AC166" s="9">
        <f>IFERROR(VLOOKUP(B166,cubo!$A$6:$BE$37,30,0)-VLOOKUP(B166,#REF!,$AC$2,0),0)</f>
        <v>0</v>
      </c>
      <c r="AD166" s="9">
        <f>IFERROR(VLOOKUP(B166,cubo!$A$6:$BE$37,31,0)-VLOOKUP(B166,#REF!,$AD$2,0),0)</f>
        <v>0</v>
      </c>
      <c r="AE166" s="9">
        <f>IFERROR(VLOOKUP(B166,cubo!$A$6:$BE$37,35,0)-VLOOKUP(B166,#REF!,$AE$2,0),0)</f>
        <v>0</v>
      </c>
      <c r="AF166" s="9" cm="1">
        <f t="array" aca="1" ref="AF166" ca="1">IFERROR(rrPROCV(B166,cubo!$A$6:$BE$37,48,0)-VLOOKUP(B166,#REF!,$AF$2,0),0)</f>
        <v>0</v>
      </c>
      <c r="AG166" s="9">
        <f>IFERROR(VLOOKUP(B166,cubo!$A$6:$BE$37,49,0)-VLOOKUP(B166,#REF!,$AG$2,0),0)</f>
        <v>0</v>
      </c>
      <c r="AH166" s="9">
        <f>IFERROR(VLOOKUP(B166,cubo!$A$6:$BE$37,50,0)-VLOOKUP(B166,#REF!,$AH$2,0),0)</f>
        <v>0</v>
      </c>
      <c r="AI166" s="9">
        <f>IFERROR(VLOOKUP(B166,cubo!$A$6:$BE$37,51,0)-VLOOKUP(B166,#REF!,$AI$2,0),0)</f>
        <v>0</v>
      </c>
      <c r="AJ166" s="9">
        <f>IFERROR(VLOOKUP(B166,cubo!$A$6:$BI$116,62,0)-VLOOKUP(B166,#REF!,$AJ$2,0),0)</f>
        <v>0</v>
      </c>
      <c r="AK166" s="9">
        <f>IFERROR(VLOOKUP(B166,cubo!$A$6:$BJ$37,63,0)-VLOOKUP(B166,#REF!,$AK$2,0),0)</f>
        <v>0</v>
      </c>
      <c r="AL166" s="9">
        <f>IFERROR(VLOOKUP(B166,cubo!$A$6:$BE$37,58,0)-VLOOKUP(B166,#REF!,$AL$2,0),0)</f>
        <v>0</v>
      </c>
      <c r="AM166" s="9">
        <f>IFERROR(VLOOKUP(B166,cubo!$A$6:$BK$37,64,0)-VLOOKUP(B166,#REF!,$AM$2,0),0)</f>
        <v>0</v>
      </c>
      <c r="AN166" s="9">
        <f>IFERROR(VLOOKUP(B166,cubo!$A$6:$AN$37,41,0)-VLOOKUP(B166,#REF!,$AN$2,0),0)</f>
        <v>0</v>
      </c>
    </row>
    <row r="167" spans="2:40" x14ac:dyDescent="0.25">
      <c r="B167" s="7">
        <f>[1]salario!A166</f>
        <v>0</v>
      </c>
      <c r="C167" s="8">
        <f>[1]salario!C166</f>
        <v>0</v>
      </c>
      <c r="D167" s="9">
        <f>IFERROR(VLOOKUP(B167,cubo!$A$6:$BE$37,3,0)-VLOOKUP(B167,#REF!,$D$2,0),0)</f>
        <v>0</v>
      </c>
      <c r="E167" s="10">
        <f>IFERROR(VLOOKUP(B167,cubo!$A$6:$BE$37,5,0)-VLOOKUP(B167,#REF!,$E$2,0),0)</f>
        <v>0</v>
      </c>
      <c r="F167" s="10">
        <f>IFERROR(VLOOKUP(B167,cubo!$A$6:$BE$37,8,0)-VLOOKUP(B167,#REF!,$F$2,0),0)</f>
        <v>0</v>
      </c>
      <c r="G167" s="9">
        <f>IFERROR(VLOOKUP(B167,cubo!$A$6:$BE$37,11,0)-VLOOKUP(B167,#REF!,$G$2,0),0)</f>
        <v>0</v>
      </c>
      <c r="H167" s="9">
        <f>IFERROR(VLOOKUP(B167,cubo!$A$6:$BE$37,53,0)-VLOOKUP(B167,#REF!,$H$2,0),0)</f>
        <v>0</v>
      </c>
      <c r="I167" s="10">
        <f>IFERROR(VLOOKUP(B167,cubo!$A$6:$BE$37,14,0)-VLOOKUP(B167,#REF!,$I$2,0),0)</f>
        <v>0</v>
      </c>
      <c r="J167" s="9">
        <f>IFERROR(VLOOKUP(B167,cubo!$A$6:$BE$37,16,0)-VLOOKUP(B167,#REF!,$J$2,0),0)</f>
        <v>0</v>
      </c>
      <c r="K167" s="9">
        <f>IFERROR(VLOOKUP(B167,cubo!$A$6:$BE$37,17,0)-VLOOKUP(B167,#REF!,$K$2,0),0)</f>
        <v>0</v>
      </c>
      <c r="L167" s="9">
        <f>IFERROR(VLOOKUP(B167,cubo!$A$6:$BE$37,19,0)-VLOOKUP(B167,#REF!,$L$2,0),0)</f>
        <v>0</v>
      </c>
      <c r="M167" s="9">
        <f>IFERROR(VLOOKUP(B167,cubo!$A$6:$BE$37,23,0)-VLOOKUP(B167,#REF!,$M$2,0),0)</f>
        <v>0</v>
      </c>
      <c r="N167" s="9">
        <f>IFERROR(VLOOKUP(B167,cubo!$A$6:$BE$37,25,0)-VLOOKUP(B167,#REF!,$N$2,0),0)</f>
        <v>0</v>
      </c>
      <c r="O167" s="9">
        <f>IFERROR(VLOOKUP(B167,cubo!$A$6:$BE$37,33,0)-VLOOKUP(B167,#REF!,$O$2,0),0)</f>
        <v>0</v>
      </c>
      <c r="P167" s="8">
        <f>IFERROR(VLOOKUP(B167,cubo!$A$6:$BE$37,37,0)-VLOOKUP(B167,#REF!,$P$2,0),0)</f>
        <v>0</v>
      </c>
      <c r="Q167" s="8">
        <f>IFERROR(VLOOKUP(B167,cubo!$A$6:$BE$37,56,0)-VLOOKUP(B167,#REF!,$Q$2,0),0)</f>
        <v>0</v>
      </c>
      <c r="R167" s="9">
        <f>IFERROR(VLOOKUP(B167,cubo!$A$6:$BE$37,40,0)-VLOOKUP(B167,#REF!,$R$2,0),0)</f>
        <v>0</v>
      </c>
      <c r="S167" s="9">
        <f>IFERROR(VLOOKUP(B167,cubo!$A$6:$BE$37,43,0)-VLOOKUP(B167,#REF!,$S$2,0),0)</f>
        <v>0</v>
      </c>
      <c r="T167" s="9">
        <f>IFERROR(VLOOKUP(B167,cubo!$A$6:$BE$37,46,0)-VLOOKUP(B167,#REF!,$T$2,0),0)</f>
        <v>0</v>
      </c>
      <c r="U167" s="9">
        <f>IFERROR(VLOOKUP(B167,cubo!$A$6:$BE$37,51,0)-VLOOKUP(B167,#REF!,$U$2,0),0)</f>
        <v>0</v>
      </c>
      <c r="V167" s="9">
        <f>IFERROR(VLOOKUP(B167,cubo!$A$6:$BJ$37,60,0)-VLOOKUP(B167,#REF!,$V$2,0),0)</f>
        <v>0</v>
      </c>
      <c r="W167" s="9">
        <f>IFERROR(VLOOKUP(B167,cubo!$A$6:$BE$37,26,0)-VLOOKUP(B167,#REF!,$W$2,0),0)</f>
        <v>0</v>
      </c>
      <c r="X167" s="9">
        <f>IFERROR(VLOOKUP(B167,cubo!$A$6:$BE$37,20,0)-VLOOKUP(B167,#REF!,$X$2,0),0)</f>
        <v>0</v>
      </c>
      <c r="Y167" s="9">
        <f>IFERROR(VLOOKUP(B167,cubo!$A$6:$BE$37,21,0)-VLOOKUP(B167,#REF!,$Y$2,0),0)</f>
        <v>0</v>
      </c>
      <c r="Z167" s="9">
        <f>IFERROR(VLOOKUP(B167,cubo!$A$6:$BE$37,27,0)-VLOOKUP(B167,#REF!,$Z$2,0),0)</f>
        <v>0</v>
      </c>
      <c r="AA167" s="9">
        <f>IFERROR(VLOOKUP(B167,cubo!$A$6:$BE$37,28,0)-VLOOKUP(B167,#REF!,$AA$2,0),0)</f>
        <v>0</v>
      </c>
      <c r="AB167" s="9">
        <f>IFERROR(VLOOKUP(B167,cubo!$A$6:$BE$37,29,0)-VLOOKUP(B167,#REF!,$AB$2,0),0)</f>
        <v>0</v>
      </c>
      <c r="AC167" s="9">
        <f>IFERROR(VLOOKUP(B167,cubo!$A$6:$BE$37,30,0)-VLOOKUP(B167,#REF!,$AC$2,0),0)</f>
        <v>0</v>
      </c>
      <c r="AD167" s="9">
        <f>IFERROR(VLOOKUP(B167,cubo!$A$6:$BE$37,31,0)-VLOOKUP(B167,#REF!,$AD$2,0),0)</f>
        <v>0</v>
      </c>
      <c r="AE167" s="9">
        <f>IFERROR(VLOOKUP(B167,cubo!$A$6:$BE$37,35,0)-VLOOKUP(B167,#REF!,$AE$2,0),0)</f>
        <v>0</v>
      </c>
      <c r="AF167" s="9" cm="1">
        <f t="array" aca="1" ref="AF167" ca="1">IFERROR(rrPROCV(B167,cubo!$A$6:$BE$37,48,0)-VLOOKUP(B167,#REF!,$AF$2,0),0)</f>
        <v>0</v>
      </c>
      <c r="AG167" s="9">
        <f>IFERROR(VLOOKUP(B167,cubo!$A$6:$BE$37,49,0)-VLOOKUP(B167,#REF!,$AG$2,0),0)</f>
        <v>0</v>
      </c>
      <c r="AH167" s="9">
        <f>IFERROR(VLOOKUP(B167,cubo!$A$6:$BE$37,50,0)-VLOOKUP(B167,#REF!,$AH$2,0),0)</f>
        <v>0</v>
      </c>
      <c r="AI167" s="9">
        <f>IFERROR(VLOOKUP(B167,cubo!$A$6:$BE$37,51,0)-VLOOKUP(B167,#REF!,$AI$2,0),0)</f>
        <v>0</v>
      </c>
      <c r="AJ167" s="9">
        <f>IFERROR(VLOOKUP(B167,cubo!$A$6:$BI$116,62,0)-VLOOKUP(B167,#REF!,$AJ$2,0),0)</f>
        <v>0</v>
      </c>
      <c r="AK167" s="9">
        <f>IFERROR(VLOOKUP(B167,cubo!$A$6:$BJ$37,63,0)-VLOOKUP(B167,#REF!,$AK$2,0),0)</f>
        <v>0</v>
      </c>
      <c r="AL167" s="9">
        <f>IFERROR(VLOOKUP(B167,cubo!$A$6:$BE$37,58,0)-VLOOKUP(B167,#REF!,$AL$2,0),0)</f>
        <v>0</v>
      </c>
      <c r="AM167" s="9">
        <f>IFERROR(VLOOKUP(B167,cubo!$A$6:$BK$37,64,0)-VLOOKUP(B167,#REF!,$AM$2,0),0)</f>
        <v>0</v>
      </c>
      <c r="AN167" s="9">
        <f>IFERROR(VLOOKUP(B167,cubo!$A$6:$AN$37,41,0)-VLOOKUP(B167,#REF!,$AN$2,0),0)</f>
        <v>0</v>
      </c>
    </row>
    <row r="168" spans="2:40" x14ac:dyDescent="0.25">
      <c r="B168" s="7">
        <f>[1]salario!A167</f>
        <v>0</v>
      </c>
      <c r="C168" s="8">
        <f>[1]salario!C167</f>
        <v>0</v>
      </c>
      <c r="D168" s="9">
        <f>IFERROR(VLOOKUP(B168,cubo!$A$6:$BE$37,3,0)-VLOOKUP(B168,#REF!,$D$2,0),0)</f>
        <v>0</v>
      </c>
      <c r="E168" s="10">
        <f>IFERROR(VLOOKUP(B168,cubo!$A$6:$BE$37,5,0)-VLOOKUP(B168,#REF!,$E$2,0),0)</f>
        <v>0</v>
      </c>
      <c r="F168" s="10">
        <f>IFERROR(VLOOKUP(B168,cubo!$A$6:$BE$37,8,0)-VLOOKUP(B168,#REF!,$F$2,0),0)</f>
        <v>0</v>
      </c>
      <c r="G168" s="9">
        <f>IFERROR(VLOOKUP(B168,cubo!$A$6:$BE$37,11,0)-VLOOKUP(B168,#REF!,$G$2,0),0)</f>
        <v>0</v>
      </c>
      <c r="H168" s="9">
        <f>IFERROR(VLOOKUP(B168,cubo!$A$6:$BE$37,53,0)-VLOOKUP(B168,#REF!,$H$2,0),0)</f>
        <v>0</v>
      </c>
      <c r="I168" s="10">
        <f>IFERROR(VLOOKUP(B168,cubo!$A$6:$BE$37,14,0)-VLOOKUP(B168,#REF!,$I$2,0),0)</f>
        <v>0</v>
      </c>
      <c r="J168" s="9">
        <f>IFERROR(VLOOKUP(B168,cubo!$A$6:$BE$37,16,0)-VLOOKUP(B168,#REF!,$J$2,0),0)</f>
        <v>0</v>
      </c>
      <c r="K168" s="9">
        <f>IFERROR(VLOOKUP(B168,cubo!$A$6:$BE$37,17,0)-VLOOKUP(B168,#REF!,$K$2,0),0)</f>
        <v>0</v>
      </c>
      <c r="L168" s="9">
        <f>IFERROR(VLOOKUP(B168,cubo!$A$6:$BE$37,19,0)-VLOOKUP(B168,#REF!,$L$2,0),0)</f>
        <v>0</v>
      </c>
      <c r="M168" s="9">
        <f>IFERROR(VLOOKUP(B168,cubo!$A$6:$BE$37,23,0)-VLOOKUP(B168,#REF!,$M$2,0),0)</f>
        <v>0</v>
      </c>
      <c r="N168" s="9">
        <f>IFERROR(VLOOKUP(B168,cubo!$A$6:$BE$37,25,0)-VLOOKUP(B168,#REF!,$N$2,0),0)</f>
        <v>0</v>
      </c>
      <c r="O168" s="9">
        <f>IFERROR(VLOOKUP(B168,cubo!$A$6:$BE$37,33,0)-VLOOKUP(B168,#REF!,$O$2,0),0)</f>
        <v>0</v>
      </c>
      <c r="P168" s="8">
        <f>IFERROR(VLOOKUP(B168,cubo!$A$6:$BE$37,37,0)-VLOOKUP(B168,#REF!,$P$2,0),0)</f>
        <v>0</v>
      </c>
      <c r="Q168" s="8">
        <f>IFERROR(VLOOKUP(B168,cubo!$A$6:$BE$37,56,0)-VLOOKUP(B168,#REF!,$Q$2,0),0)</f>
        <v>0</v>
      </c>
      <c r="R168" s="9">
        <f>IFERROR(VLOOKUP(B168,cubo!$A$6:$BE$37,40,0)-VLOOKUP(B168,#REF!,$R$2,0),0)</f>
        <v>0</v>
      </c>
      <c r="S168" s="9">
        <f>IFERROR(VLOOKUP(B168,cubo!$A$6:$BE$37,43,0)-VLOOKUP(B168,#REF!,$S$2,0),0)</f>
        <v>0</v>
      </c>
      <c r="T168" s="9">
        <f>IFERROR(VLOOKUP(B168,cubo!$A$6:$BE$37,46,0)-VLOOKUP(B168,#REF!,$T$2,0),0)</f>
        <v>0</v>
      </c>
      <c r="U168" s="9">
        <f>IFERROR(VLOOKUP(B168,cubo!$A$6:$BE$37,51,0)-VLOOKUP(B168,#REF!,$U$2,0),0)</f>
        <v>0</v>
      </c>
      <c r="V168" s="9">
        <f>IFERROR(VLOOKUP(B168,cubo!$A$6:$BJ$37,60,0)-VLOOKUP(B168,#REF!,$V$2,0),0)</f>
        <v>0</v>
      </c>
      <c r="W168" s="9">
        <f>IFERROR(VLOOKUP(B168,cubo!$A$6:$BE$37,26,0)-VLOOKUP(B168,#REF!,$W$2,0),0)</f>
        <v>0</v>
      </c>
      <c r="X168" s="9">
        <f>IFERROR(VLOOKUP(B168,cubo!$A$6:$BE$37,20,0)-VLOOKUP(B168,#REF!,$X$2,0),0)</f>
        <v>0</v>
      </c>
      <c r="Y168" s="9">
        <f>IFERROR(VLOOKUP(B168,cubo!$A$6:$BE$37,21,0)-VLOOKUP(B168,#REF!,$Y$2,0),0)</f>
        <v>0</v>
      </c>
      <c r="Z168" s="9">
        <f>IFERROR(VLOOKUP(B168,cubo!$A$6:$BE$37,27,0)-VLOOKUP(B168,#REF!,$Z$2,0),0)</f>
        <v>0</v>
      </c>
      <c r="AA168" s="9">
        <f>IFERROR(VLOOKUP(B168,cubo!$A$6:$BE$37,28,0)-VLOOKUP(B168,#REF!,$AA$2,0),0)</f>
        <v>0</v>
      </c>
      <c r="AB168" s="9">
        <f>IFERROR(VLOOKUP(B168,cubo!$A$6:$BE$37,29,0)-VLOOKUP(B168,#REF!,$AB$2,0),0)</f>
        <v>0</v>
      </c>
      <c r="AC168" s="9">
        <f>IFERROR(VLOOKUP(B168,cubo!$A$6:$BE$37,30,0)-VLOOKUP(B168,#REF!,$AC$2,0),0)</f>
        <v>0</v>
      </c>
      <c r="AD168" s="9">
        <f>IFERROR(VLOOKUP(B168,cubo!$A$6:$BE$37,31,0)-VLOOKUP(B168,#REF!,$AD$2,0),0)</f>
        <v>0</v>
      </c>
      <c r="AE168" s="9">
        <f>IFERROR(VLOOKUP(B168,cubo!$A$6:$BE$37,35,0)-VLOOKUP(B168,#REF!,$AE$2,0),0)</f>
        <v>0</v>
      </c>
      <c r="AF168" s="9" cm="1">
        <f t="array" aca="1" ref="AF168" ca="1">IFERROR(rrPROCV(B168,cubo!$A$6:$BE$37,48,0)-VLOOKUP(B168,#REF!,$AF$2,0),0)</f>
        <v>0</v>
      </c>
      <c r="AG168" s="9">
        <f>IFERROR(VLOOKUP(B168,cubo!$A$6:$BE$37,49,0)-VLOOKUP(B168,#REF!,$AG$2,0),0)</f>
        <v>0</v>
      </c>
      <c r="AH168" s="9">
        <f>IFERROR(VLOOKUP(B168,cubo!$A$6:$BE$37,50,0)-VLOOKUP(B168,#REF!,$AH$2,0),0)</f>
        <v>0</v>
      </c>
      <c r="AI168" s="9">
        <f>IFERROR(VLOOKUP(B168,cubo!$A$6:$BE$37,51,0)-VLOOKUP(B168,#REF!,$AI$2,0),0)</f>
        <v>0</v>
      </c>
      <c r="AJ168" s="9">
        <f>IFERROR(VLOOKUP(B168,cubo!$A$6:$BI$116,62,0)-VLOOKUP(B168,#REF!,$AJ$2,0),0)</f>
        <v>0</v>
      </c>
      <c r="AK168" s="9">
        <f>IFERROR(VLOOKUP(B168,cubo!$A$6:$BJ$37,63,0)-VLOOKUP(B168,#REF!,$AK$2,0),0)</f>
        <v>0</v>
      </c>
      <c r="AL168" s="9">
        <f>IFERROR(VLOOKUP(B168,cubo!$A$6:$BE$37,58,0)-VLOOKUP(B168,#REF!,$AL$2,0),0)</f>
        <v>0</v>
      </c>
      <c r="AM168" s="9">
        <f>IFERROR(VLOOKUP(B168,cubo!$A$6:$BK$37,64,0)-VLOOKUP(B168,#REF!,$AM$2,0),0)</f>
        <v>0</v>
      </c>
      <c r="AN168" s="9">
        <f>IFERROR(VLOOKUP(B168,cubo!$A$6:$AN$37,41,0)-VLOOKUP(B168,#REF!,$AN$2,0),0)</f>
        <v>0</v>
      </c>
    </row>
    <row r="169" spans="2:40" x14ac:dyDescent="0.25">
      <c r="B169" s="7">
        <f>[1]salario!A168</f>
        <v>0</v>
      </c>
      <c r="C169" s="8">
        <f>[1]salario!C168</f>
        <v>0</v>
      </c>
      <c r="D169" s="9">
        <f>IFERROR(VLOOKUP(B169,cubo!$A$6:$BE$37,3,0)-VLOOKUP(B169,#REF!,$D$2,0),0)</f>
        <v>0</v>
      </c>
      <c r="E169" s="10">
        <f>IFERROR(VLOOKUP(B169,cubo!$A$6:$BE$37,5,0)-VLOOKUP(B169,#REF!,$E$2,0),0)</f>
        <v>0</v>
      </c>
      <c r="F169" s="10">
        <f>IFERROR(VLOOKUP(B169,cubo!$A$6:$BE$37,8,0)-VLOOKUP(B169,#REF!,$F$2,0),0)</f>
        <v>0</v>
      </c>
      <c r="G169" s="9">
        <f>IFERROR(VLOOKUP(B169,cubo!$A$6:$BE$37,11,0)-VLOOKUP(B169,#REF!,$G$2,0),0)</f>
        <v>0</v>
      </c>
      <c r="H169" s="9">
        <f>IFERROR(VLOOKUP(B169,cubo!$A$6:$BE$37,53,0)-VLOOKUP(B169,#REF!,$H$2,0),0)</f>
        <v>0</v>
      </c>
      <c r="I169" s="10">
        <f>IFERROR(VLOOKUP(B169,cubo!$A$6:$BE$37,14,0)-VLOOKUP(B169,#REF!,$I$2,0),0)</f>
        <v>0</v>
      </c>
      <c r="J169" s="9">
        <f>IFERROR(VLOOKUP(B169,cubo!$A$6:$BE$37,16,0)-VLOOKUP(B169,#REF!,$J$2,0),0)</f>
        <v>0</v>
      </c>
      <c r="K169" s="9">
        <f>IFERROR(VLOOKUP(B169,cubo!$A$6:$BE$37,17,0)-VLOOKUP(B169,#REF!,$K$2,0),0)</f>
        <v>0</v>
      </c>
      <c r="L169" s="9">
        <f>IFERROR(VLOOKUP(B169,cubo!$A$6:$BE$37,19,0)-VLOOKUP(B169,#REF!,$L$2,0),0)</f>
        <v>0</v>
      </c>
      <c r="M169" s="9">
        <f>IFERROR(VLOOKUP(B169,cubo!$A$6:$BE$37,23,0)-VLOOKUP(B169,#REF!,$M$2,0),0)</f>
        <v>0</v>
      </c>
      <c r="N169" s="9">
        <f>IFERROR(VLOOKUP(B169,cubo!$A$6:$BE$37,25,0)-VLOOKUP(B169,#REF!,$N$2,0),0)</f>
        <v>0</v>
      </c>
      <c r="O169" s="9">
        <f>IFERROR(VLOOKUP(B169,cubo!$A$6:$BE$37,33,0)-VLOOKUP(B169,#REF!,$O$2,0),0)</f>
        <v>0</v>
      </c>
      <c r="P169" s="8">
        <f>IFERROR(VLOOKUP(B169,cubo!$A$6:$BE$37,37,0)-VLOOKUP(B169,#REF!,$P$2,0),0)</f>
        <v>0</v>
      </c>
      <c r="Q169" s="8">
        <f>IFERROR(VLOOKUP(B169,cubo!$A$6:$BE$37,56,0)-VLOOKUP(B169,#REF!,$Q$2,0),0)</f>
        <v>0</v>
      </c>
      <c r="R169" s="9">
        <f>IFERROR(VLOOKUP(B169,cubo!$A$6:$BE$37,40,0)-VLOOKUP(B169,#REF!,$R$2,0),0)</f>
        <v>0</v>
      </c>
      <c r="S169" s="9">
        <f>IFERROR(VLOOKUP(B169,cubo!$A$6:$BE$37,43,0)-VLOOKUP(B169,#REF!,$S$2,0),0)</f>
        <v>0</v>
      </c>
      <c r="T169" s="9">
        <f>IFERROR(VLOOKUP(B169,cubo!$A$6:$BE$37,46,0)-VLOOKUP(B169,#REF!,$T$2,0),0)</f>
        <v>0</v>
      </c>
      <c r="U169" s="9">
        <f>IFERROR(VLOOKUP(B169,cubo!$A$6:$BE$37,51,0)-VLOOKUP(B169,#REF!,$U$2,0),0)</f>
        <v>0</v>
      </c>
      <c r="V169" s="9">
        <f>IFERROR(VLOOKUP(B169,cubo!$A$6:$BJ$37,60,0)-VLOOKUP(B169,#REF!,$V$2,0),0)</f>
        <v>0</v>
      </c>
      <c r="W169" s="9">
        <f>IFERROR(VLOOKUP(B169,cubo!$A$6:$BE$37,26,0)-VLOOKUP(B169,#REF!,$W$2,0),0)</f>
        <v>0</v>
      </c>
      <c r="X169" s="9">
        <f>IFERROR(VLOOKUP(B169,cubo!$A$6:$BE$37,20,0)-VLOOKUP(B169,#REF!,$X$2,0),0)</f>
        <v>0</v>
      </c>
      <c r="Y169" s="9">
        <f>IFERROR(VLOOKUP(B169,cubo!$A$6:$BE$37,21,0)-VLOOKUP(B169,#REF!,$Y$2,0),0)</f>
        <v>0</v>
      </c>
      <c r="Z169" s="9">
        <f>IFERROR(VLOOKUP(B169,cubo!$A$6:$BE$37,27,0)-VLOOKUP(B169,#REF!,$Z$2,0),0)</f>
        <v>0</v>
      </c>
      <c r="AA169" s="9">
        <f>IFERROR(VLOOKUP(B169,cubo!$A$6:$BE$37,28,0)-VLOOKUP(B169,#REF!,$AA$2,0),0)</f>
        <v>0</v>
      </c>
      <c r="AB169" s="9">
        <f>IFERROR(VLOOKUP(B169,cubo!$A$6:$BE$37,29,0)-VLOOKUP(B169,#REF!,$AB$2,0),0)</f>
        <v>0</v>
      </c>
      <c r="AC169" s="9">
        <f>IFERROR(VLOOKUP(B169,cubo!$A$6:$BE$37,30,0)-VLOOKUP(B169,#REF!,$AC$2,0),0)</f>
        <v>0</v>
      </c>
      <c r="AD169" s="9">
        <f>IFERROR(VLOOKUP(B169,cubo!$A$6:$BE$37,31,0)-VLOOKUP(B169,#REF!,$AD$2,0),0)</f>
        <v>0</v>
      </c>
      <c r="AE169" s="9">
        <f>IFERROR(VLOOKUP(B169,cubo!$A$6:$BE$37,35,0)-VLOOKUP(B169,#REF!,$AE$2,0),0)</f>
        <v>0</v>
      </c>
      <c r="AF169" s="9" cm="1">
        <f t="array" aca="1" ref="AF169" ca="1">IFERROR(rrPROCV(B169,cubo!$A$6:$BE$37,48,0)-VLOOKUP(B169,#REF!,$AF$2,0),0)</f>
        <v>0</v>
      </c>
      <c r="AG169" s="9">
        <f>IFERROR(VLOOKUP(B169,cubo!$A$6:$BE$37,49,0)-VLOOKUP(B169,#REF!,$AG$2,0),0)</f>
        <v>0</v>
      </c>
      <c r="AH169" s="9">
        <f>IFERROR(VLOOKUP(B169,cubo!$A$6:$BE$37,50,0)-VLOOKUP(B169,#REF!,$AH$2,0),0)</f>
        <v>0</v>
      </c>
      <c r="AI169" s="9">
        <f>IFERROR(VLOOKUP(B169,cubo!$A$6:$BE$37,51,0)-VLOOKUP(B169,#REF!,$AI$2,0),0)</f>
        <v>0</v>
      </c>
      <c r="AJ169" s="9">
        <f>IFERROR(VLOOKUP(B169,cubo!$A$6:$BI$116,62,0)-VLOOKUP(B169,#REF!,$AJ$2,0),0)</f>
        <v>0</v>
      </c>
      <c r="AK169" s="9">
        <f>IFERROR(VLOOKUP(B169,cubo!$A$6:$BJ$37,63,0)-VLOOKUP(B169,#REF!,$AK$2,0),0)</f>
        <v>0</v>
      </c>
      <c r="AL169" s="9">
        <f>IFERROR(VLOOKUP(B169,cubo!$A$6:$BE$37,58,0)-VLOOKUP(B169,#REF!,$AL$2,0),0)</f>
        <v>0</v>
      </c>
      <c r="AM169" s="9">
        <f>IFERROR(VLOOKUP(B169,cubo!$A$6:$BK$37,64,0)-VLOOKUP(B169,#REF!,$AM$2,0),0)</f>
        <v>0</v>
      </c>
      <c r="AN169" s="9">
        <f>IFERROR(VLOOKUP(B169,cubo!$A$6:$AN$37,41,0)-VLOOKUP(B169,#REF!,$AN$2,0),0)</f>
        <v>0</v>
      </c>
    </row>
    <row r="170" spans="2:40" x14ac:dyDescent="0.25">
      <c r="B170" s="7">
        <f>[1]salario!A169</f>
        <v>0</v>
      </c>
      <c r="C170" s="8">
        <f>[1]salario!C169</f>
        <v>0</v>
      </c>
      <c r="D170" s="9">
        <f>IFERROR(VLOOKUP(B170,cubo!$A$6:$BE$37,3,0)-VLOOKUP(B170,#REF!,$D$2,0),0)</f>
        <v>0</v>
      </c>
      <c r="E170" s="10">
        <f>IFERROR(VLOOKUP(B170,cubo!$A$6:$BE$37,5,0)-VLOOKUP(B170,#REF!,$E$2,0),0)</f>
        <v>0</v>
      </c>
      <c r="F170" s="10">
        <f>IFERROR(VLOOKUP(B170,cubo!$A$6:$BE$37,8,0)-VLOOKUP(B170,#REF!,$F$2,0),0)</f>
        <v>0</v>
      </c>
      <c r="G170" s="9">
        <f>IFERROR(VLOOKUP(B170,cubo!$A$6:$BE$37,11,0)-VLOOKUP(B170,#REF!,$G$2,0),0)</f>
        <v>0</v>
      </c>
      <c r="H170" s="9">
        <f>IFERROR(VLOOKUP(B170,cubo!$A$6:$BE$37,53,0)-VLOOKUP(B170,#REF!,$H$2,0),0)</f>
        <v>0</v>
      </c>
      <c r="I170" s="10">
        <f>IFERROR(VLOOKUP(B170,cubo!$A$6:$BE$37,14,0)-VLOOKUP(B170,#REF!,$I$2,0),0)</f>
        <v>0</v>
      </c>
      <c r="J170" s="9">
        <f>IFERROR(VLOOKUP(B170,cubo!$A$6:$BE$37,16,0)-VLOOKUP(B170,#REF!,$J$2,0),0)</f>
        <v>0</v>
      </c>
      <c r="K170" s="9">
        <f>IFERROR(VLOOKUP(B170,cubo!$A$6:$BE$37,17,0)-VLOOKUP(B170,#REF!,$K$2,0),0)</f>
        <v>0</v>
      </c>
      <c r="L170" s="9">
        <f>IFERROR(VLOOKUP(B170,cubo!$A$6:$BE$37,19,0)-VLOOKUP(B170,#REF!,$L$2,0),0)</f>
        <v>0</v>
      </c>
      <c r="M170" s="9">
        <f>IFERROR(VLOOKUP(B170,cubo!$A$6:$BE$37,23,0)-VLOOKUP(B170,#REF!,$M$2,0),0)</f>
        <v>0</v>
      </c>
      <c r="N170" s="9">
        <f>IFERROR(VLOOKUP(B170,cubo!$A$6:$BE$37,25,0)-VLOOKUP(B170,#REF!,$N$2,0),0)</f>
        <v>0</v>
      </c>
      <c r="O170" s="9">
        <f>IFERROR(VLOOKUP(B170,cubo!$A$6:$BE$37,33,0)-VLOOKUP(B170,#REF!,$O$2,0),0)</f>
        <v>0</v>
      </c>
      <c r="P170" s="8">
        <f>IFERROR(VLOOKUP(B170,cubo!$A$6:$BE$37,37,0)-VLOOKUP(B170,#REF!,$P$2,0),0)</f>
        <v>0</v>
      </c>
      <c r="Q170" s="8">
        <f>IFERROR(VLOOKUP(B170,cubo!$A$6:$BE$37,56,0)-VLOOKUP(B170,#REF!,$Q$2,0),0)</f>
        <v>0</v>
      </c>
      <c r="R170" s="9">
        <f>IFERROR(VLOOKUP(B170,cubo!$A$6:$BE$37,40,0)-VLOOKUP(B170,#REF!,$R$2,0),0)</f>
        <v>0</v>
      </c>
      <c r="S170" s="9">
        <f>IFERROR(VLOOKUP(B170,cubo!$A$6:$BE$37,43,0)-VLOOKUP(B170,#REF!,$S$2,0),0)</f>
        <v>0</v>
      </c>
      <c r="T170" s="9">
        <f>IFERROR(VLOOKUP(B170,cubo!$A$6:$BE$37,46,0)-VLOOKUP(B170,#REF!,$T$2,0),0)</f>
        <v>0</v>
      </c>
      <c r="U170" s="9">
        <f>IFERROR(VLOOKUP(B170,cubo!$A$6:$BE$37,51,0)-VLOOKUP(B170,#REF!,$U$2,0),0)</f>
        <v>0</v>
      </c>
      <c r="V170" s="9">
        <f>IFERROR(VLOOKUP(B170,cubo!$A$6:$BJ$37,60,0)-VLOOKUP(B170,#REF!,$V$2,0),0)</f>
        <v>0</v>
      </c>
      <c r="W170" s="9">
        <f>IFERROR(VLOOKUP(B170,cubo!$A$6:$BE$37,26,0)-VLOOKUP(B170,#REF!,$W$2,0),0)</f>
        <v>0</v>
      </c>
      <c r="X170" s="9">
        <f>IFERROR(VLOOKUP(B170,cubo!$A$6:$BE$37,20,0)-VLOOKUP(B170,#REF!,$X$2,0),0)</f>
        <v>0</v>
      </c>
      <c r="Y170" s="9">
        <f>IFERROR(VLOOKUP(B170,cubo!$A$6:$BE$37,21,0)-VLOOKUP(B170,#REF!,$Y$2,0),0)</f>
        <v>0</v>
      </c>
      <c r="Z170" s="9">
        <f>IFERROR(VLOOKUP(B170,cubo!$A$6:$BE$37,27,0)-VLOOKUP(B170,#REF!,$Z$2,0),0)</f>
        <v>0</v>
      </c>
      <c r="AA170" s="9">
        <f>IFERROR(VLOOKUP(B170,cubo!$A$6:$BE$37,28,0)-VLOOKUP(B170,#REF!,$AA$2,0),0)</f>
        <v>0</v>
      </c>
      <c r="AB170" s="9">
        <f>IFERROR(VLOOKUP(B170,cubo!$A$6:$BE$37,29,0)-VLOOKUP(B170,#REF!,$AB$2,0),0)</f>
        <v>0</v>
      </c>
      <c r="AC170" s="9">
        <f>IFERROR(VLOOKUP(B170,cubo!$A$6:$BE$37,30,0)-VLOOKUP(B170,#REF!,$AC$2,0),0)</f>
        <v>0</v>
      </c>
      <c r="AD170" s="9">
        <f>IFERROR(VLOOKUP(B170,cubo!$A$6:$BE$37,31,0)-VLOOKUP(B170,#REF!,$AD$2,0),0)</f>
        <v>0</v>
      </c>
      <c r="AE170" s="9">
        <f>IFERROR(VLOOKUP(B170,cubo!$A$6:$BE$37,35,0)-VLOOKUP(B170,#REF!,$AE$2,0),0)</f>
        <v>0</v>
      </c>
      <c r="AF170" s="9" cm="1">
        <f t="array" aca="1" ref="AF170" ca="1">IFERROR(rrPROCV(B170,cubo!$A$6:$BE$37,48,0)-VLOOKUP(B170,#REF!,$AF$2,0),0)</f>
        <v>0</v>
      </c>
      <c r="AG170" s="9">
        <f>IFERROR(VLOOKUP(B170,cubo!$A$6:$BE$37,49,0)-VLOOKUP(B170,#REF!,$AG$2,0),0)</f>
        <v>0</v>
      </c>
      <c r="AH170" s="9">
        <f>IFERROR(VLOOKUP(B170,cubo!$A$6:$BE$37,50,0)-VLOOKUP(B170,#REF!,$AH$2,0),0)</f>
        <v>0</v>
      </c>
      <c r="AI170" s="9">
        <f>IFERROR(VLOOKUP(B170,cubo!$A$6:$BE$37,51,0)-VLOOKUP(B170,#REF!,$AI$2,0),0)</f>
        <v>0</v>
      </c>
      <c r="AJ170" s="9">
        <f>IFERROR(VLOOKUP(B170,cubo!$A$6:$BI$116,62,0)-VLOOKUP(B170,#REF!,$AJ$2,0),0)</f>
        <v>0</v>
      </c>
      <c r="AK170" s="9">
        <f>IFERROR(VLOOKUP(B170,cubo!$A$6:$BJ$37,63,0)-VLOOKUP(B170,#REF!,$AK$2,0),0)</f>
        <v>0</v>
      </c>
      <c r="AL170" s="9">
        <f>IFERROR(VLOOKUP(B170,cubo!$A$6:$BE$37,58,0)-VLOOKUP(B170,#REF!,$AL$2,0),0)</f>
        <v>0</v>
      </c>
      <c r="AM170" s="9">
        <f>IFERROR(VLOOKUP(B170,cubo!$A$6:$BK$37,64,0)-VLOOKUP(B170,#REF!,$AM$2,0),0)</f>
        <v>0</v>
      </c>
      <c r="AN170" s="9">
        <f>IFERROR(VLOOKUP(B170,cubo!$A$6:$AN$37,41,0)-VLOOKUP(B170,#REF!,$AN$2,0),0)</f>
        <v>0</v>
      </c>
    </row>
    <row r="171" spans="2:40" x14ac:dyDescent="0.25">
      <c r="B171" s="7">
        <f>[1]salario!A170</f>
        <v>0</v>
      </c>
      <c r="C171" s="8">
        <f>[1]salario!C170</f>
        <v>0</v>
      </c>
      <c r="D171" s="9">
        <f>IFERROR(VLOOKUP(B171,cubo!$A$6:$BE$37,3,0)-VLOOKUP(B171,#REF!,$D$2,0),0)</f>
        <v>0</v>
      </c>
      <c r="E171" s="10">
        <f>IFERROR(VLOOKUP(B171,cubo!$A$6:$BE$37,5,0)-VLOOKUP(B171,#REF!,$E$2,0),0)</f>
        <v>0</v>
      </c>
      <c r="F171" s="10">
        <f>IFERROR(VLOOKUP(B171,cubo!$A$6:$BE$37,8,0)-VLOOKUP(B171,#REF!,$F$2,0),0)</f>
        <v>0</v>
      </c>
      <c r="G171" s="9">
        <f>IFERROR(VLOOKUP(B171,cubo!$A$6:$BE$37,11,0)-VLOOKUP(B171,#REF!,$G$2,0),0)</f>
        <v>0</v>
      </c>
      <c r="H171" s="9">
        <f>IFERROR(VLOOKUP(B171,cubo!$A$6:$BE$37,53,0)-VLOOKUP(B171,#REF!,$H$2,0),0)</f>
        <v>0</v>
      </c>
      <c r="I171" s="10">
        <f>IFERROR(VLOOKUP(B171,cubo!$A$6:$BE$37,14,0)-VLOOKUP(B171,#REF!,$I$2,0),0)</f>
        <v>0</v>
      </c>
      <c r="J171" s="9">
        <f>IFERROR(VLOOKUP(B171,cubo!$A$6:$BE$37,16,0)-VLOOKUP(B171,#REF!,$J$2,0),0)</f>
        <v>0</v>
      </c>
      <c r="K171" s="9">
        <f>IFERROR(VLOOKUP(B171,cubo!$A$6:$BE$37,17,0)-VLOOKUP(B171,#REF!,$K$2,0),0)</f>
        <v>0</v>
      </c>
      <c r="L171" s="9">
        <f>IFERROR(VLOOKUP(B171,cubo!$A$6:$BE$37,19,0)-VLOOKUP(B171,#REF!,$L$2,0),0)</f>
        <v>0</v>
      </c>
      <c r="M171" s="9">
        <f>IFERROR(VLOOKUP(B171,cubo!$A$6:$BE$37,23,0)-VLOOKUP(B171,#REF!,$M$2,0),0)</f>
        <v>0</v>
      </c>
      <c r="N171" s="9">
        <f>IFERROR(VLOOKUP(B171,cubo!$A$6:$BE$37,25,0)-VLOOKUP(B171,#REF!,$N$2,0),0)</f>
        <v>0</v>
      </c>
      <c r="O171" s="9">
        <f>IFERROR(VLOOKUP(B171,cubo!$A$6:$BE$37,33,0)-VLOOKUP(B171,#REF!,$O$2,0),0)</f>
        <v>0</v>
      </c>
      <c r="P171" s="8">
        <f>IFERROR(VLOOKUP(B171,cubo!$A$6:$BE$37,37,0)-VLOOKUP(B171,#REF!,$P$2,0),0)</f>
        <v>0</v>
      </c>
      <c r="Q171" s="8">
        <f>IFERROR(VLOOKUP(B171,cubo!$A$6:$BE$37,56,0)-VLOOKUP(B171,#REF!,$Q$2,0),0)</f>
        <v>0</v>
      </c>
      <c r="R171" s="9">
        <f>IFERROR(VLOOKUP(B171,cubo!$A$6:$BE$37,40,0)-VLOOKUP(B171,#REF!,$R$2,0),0)</f>
        <v>0</v>
      </c>
      <c r="S171" s="9">
        <f>IFERROR(VLOOKUP(B171,cubo!$A$6:$BE$37,43,0)-VLOOKUP(B171,#REF!,$S$2,0),0)</f>
        <v>0</v>
      </c>
      <c r="T171" s="9">
        <f>IFERROR(VLOOKUP(B171,cubo!$A$6:$BE$37,46,0)-VLOOKUP(B171,#REF!,$T$2,0),0)</f>
        <v>0</v>
      </c>
      <c r="U171" s="9">
        <f>IFERROR(VLOOKUP(B171,cubo!$A$6:$BE$37,51,0)-VLOOKUP(B171,#REF!,$U$2,0),0)</f>
        <v>0</v>
      </c>
      <c r="V171" s="9">
        <f>IFERROR(VLOOKUP(B171,cubo!$A$6:$BJ$37,60,0)-VLOOKUP(B171,#REF!,$V$2,0),0)</f>
        <v>0</v>
      </c>
      <c r="W171" s="9">
        <f>IFERROR(VLOOKUP(B171,cubo!$A$6:$BE$37,26,0)-VLOOKUP(B171,#REF!,$W$2,0),0)</f>
        <v>0</v>
      </c>
      <c r="X171" s="9">
        <f>IFERROR(VLOOKUP(B171,cubo!$A$6:$BE$37,20,0)-VLOOKUP(B171,#REF!,$X$2,0),0)</f>
        <v>0</v>
      </c>
      <c r="Y171" s="9">
        <f>IFERROR(VLOOKUP(B171,cubo!$A$6:$BE$37,21,0)-VLOOKUP(B171,#REF!,$Y$2,0),0)</f>
        <v>0</v>
      </c>
      <c r="Z171" s="9">
        <f>IFERROR(VLOOKUP(B171,cubo!$A$6:$BE$37,27,0)-VLOOKUP(B171,#REF!,$Z$2,0),0)</f>
        <v>0</v>
      </c>
      <c r="AA171" s="9">
        <f>IFERROR(VLOOKUP(B171,cubo!$A$6:$BE$37,28,0)-VLOOKUP(B171,#REF!,$AA$2,0),0)</f>
        <v>0</v>
      </c>
      <c r="AB171" s="9">
        <f>IFERROR(VLOOKUP(B171,cubo!$A$6:$BE$37,29,0)-VLOOKUP(B171,#REF!,$AB$2,0),0)</f>
        <v>0</v>
      </c>
      <c r="AC171" s="9">
        <f>IFERROR(VLOOKUP(B171,cubo!$A$6:$BE$37,30,0)-VLOOKUP(B171,#REF!,$AC$2,0),0)</f>
        <v>0</v>
      </c>
      <c r="AD171" s="9">
        <f>IFERROR(VLOOKUP(B171,cubo!$A$6:$BE$37,31,0)-VLOOKUP(B171,#REF!,$AD$2,0),0)</f>
        <v>0</v>
      </c>
      <c r="AE171" s="9">
        <f>IFERROR(VLOOKUP(B171,cubo!$A$6:$BE$37,35,0)-VLOOKUP(B171,#REF!,$AE$2,0),0)</f>
        <v>0</v>
      </c>
      <c r="AF171" s="9" cm="1">
        <f t="array" aca="1" ref="AF171" ca="1">IFERROR(rrPROCV(B171,cubo!$A$6:$BE$37,48,0)-VLOOKUP(B171,#REF!,$AF$2,0),0)</f>
        <v>0</v>
      </c>
      <c r="AG171" s="9">
        <f>IFERROR(VLOOKUP(B171,cubo!$A$6:$BE$37,49,0)-VLOOKUP(B171,#REF!,$AG$2,0),0)</f>
        <v>0</v>
      </c>
      <c r="AH171" s="9">
        <f>IFERROR(VLOOKUP(B171,cubo!$A$6:$BE$37,50,0)-VLOOKUP(B171,#REF!,$AH$2,0),0)</f>
        <v>0</v>
      </c>
      <c r="AI171" s="9">
        <f>IFERROR(VLOOKUP(B171,cubo!$A$6:$BE$37,51,0)-VLOOKUP(B171,#REF!,$AI$2,0),0)</f>
        <v>0</v>
      </c>
      <c r="AJ171" s="9">
        <f>IFERROR(VLOOKUP(B171,cubo!$A$6:$BI$116,62,0)-VLOOKUP(B171,#REF!,$AJ$2,0),0)</f>
        <v>0</v>
      </c>
      <c r="AK171" s="9">
        <f>IFERROR(VLOOKUP(B171,cubo!$A$6:$BJ$37,63,0)-VLOOKUP(B171,#REF!,$AK$2,0),0)</f>
        <v>0</v>
      </c>
      <c r="AL171" s="9">
        <f>IFERROR(VLOOKUP(B171,cubo!$A$6:$BE$37,58,0)-VLOOKUP(B171,#REF!,$AL$2,0),0)</f>
        <v>0</v>
      </c>
      <c r="AM171" s="9">
        <f>IFERROR(VLOOKUP(B171,cubo!$A$6:$BK$37,64,0)-VLOOKUP(B171,#REF!,$AM$2,0),0)</f>
        <v>0</v>
      </c>
      <c r="AN171" s="9">
        <f>IFERROR(VLOOKUP(B171,cubo!$A$6:$AN$37,41,0)-VLOOKUP(B171,#REF!,$AN$2,0),0)</f>
        <v>0</v>
      </c>
    </row>
    <row r="172" spans="2:40" x14ac:dyDescent="0.25">
      <c r="B172" s="7">
        <f>[1]salario!A171</f>
        <v>0</v>
      </c>
      <c r="C172" s="8">
        <f>[1]salario!C171</f>
        <v>0</v>
      </c>
      <c r="D172" s="9">
        <f>IFERROR(VLOOKUP(B172,cubo!$A$6:$BE$37,3,0)-VLOOKUP(B172,#REF!,$D$2,0),0)</f>
        <v>0</v>
      </c>
      <c r="E172" s="10">
        <f>IFERROR(VLOOKUP(B172,cubo!$A$6:$BE$37,5,0)-VLOOKUP(B172,#REF!,$E$2,0),0)</f>
        <v>0</v>
      </c>
      <c r="F172" s="10">
        <f>IFERROR(VLOOKUP(B172,cubo!$A$6:$BE$37,8,0)-VLOOKUP(B172,#REF!,$F$2,0),0)</f>
        <v>0</v>
      </c>
      <c r="G172" s="9">
        <f>IFERROR(VLOOKUP(B172,cubo!$A$6:$BE$37,11,0)-VLOOKUP(B172,#REF!,$G$2,0),0)</f>
        <v>0</v>
      </c>
      <c r="H172" s="9">
        <f>IFERROR(VLOOKUP(B172,cubo!$A$6:$BE$37,53,0)-VLOOKUP(B172,#REF!,$H$2,0),0)</f>
        <v>0</v>
      </c>
      <c r="I172" s="10">
        <f>IFERROR(VLOOKUP(B172,cubo!$A$6:$BE$37,14,0)-VLOOKUP(B172,#REF!,$I$2,0),0)</f>
        <v>0</v>
      </c>
      <c r="J172" s="9">
        <f>IFERROR(VLOOKUP(B172,cubo!$A$6:$BE$37,16,0)-VLOOKUP(B172,#REF!,$J$2,0),0)</f>
        <v>0</v>
      </c>
      <c r="K172" s="9">
        <f>IFERROR(VLOOKUP(B172,cubo!$A$6:$BE$37,17,0)-VLOOKUP(B172,#REF!,$K$2,0),0)</f>
        <v>0</v>
      </c>
      <c r="L172" s="9">
        <f>IFERROR(VLOOKUP(B172,cubo!$A$6:$BE$37,19,0)-VLOOKUP(B172,#REF!,$L$2,0),0)</f>
        <v>0</v>
      </c>
      <c r="M172" s="9">
        <f>IFERROR(VLOOKUP(B172,cubo!$A$6:$BE$37,23,0)-VLOOKUP(B172,#REF!,$M$2,0),0)</f>
        <v>0</v>
      </c>
      <c r="N172" s="9">
        <f>IFERROR(VLOOKUP(B172,cubo!$A$6:$BE$37,25,0)-VLOOKUP(B172,#REF!,$N$2,0),0)</f>
        <v>0</v>
      </c>
      <c r="O172" s="9">
        <f>IFERROR(VLOOKUP(B172,cubo!$A$6:$BE$37,33,0)-VLOOKUP(B172,#REF!,$O$2,0),0)</f>
        <v>0</v>
      </c>
      <c r="P172" s="8">
        <f>IFERROR(VLOOKUP(B172,cubo!$A$6:$BE$37,37,0)-VLOOKUP(B172,#REF!,$P$2,0),0)</f>
        <v>0</v>
      </c>
      <c r="Q172" s="8">
        <f>IFERROR(VLOOKUP(B172,cubo!$A$6:$BE$37,56,0)-VLOOKUP(B172,#REF!,$Q$2,0),0)</f>
        <v>0</v>
      </c>
      <c r="R172" s="9">
        <f>IFERROR(VLOOKUP(B172,cubo!$A$6:$BE$37,40,0)-VLOOKUP(B172,#REF!,$R$2,0),0)</f>
        <v>0</v>
      </c>
      <c r="S172" s="9">
        <f>IFERROR(VLOOKUP(B172,cubo!$A$6:$BE$37,43,0)-VLOOKUP(B172,#REF!,$S$2,0),0)</f>
        <v>0</v>
      </c>
      <c r="T172" s="9">
        <f>IFERROR(VLOOKUP(B172,cubo!$A$6:$BE$37,46,0)-VLOOKUP(B172,#REF!,$T$2,0),0)</f>
        <v>0</v>
      </c>
      <c r="U172" s="9">
        <f>IFERROR(VLOOKUP(B172,cubo!$A$6:$BE$37,51,0)-VLOOKUP(B172,#REF!,$U$2,0),0)</f>
        <v>0</v>
      </c>
      <c r="V172" s="9">
        <f>IFERROR(VLOOKUP(B172,cubo!$A$6:$BJ$37,60,0)-VLOOKUP(B172,#REF!,$V$2,0),0)</f>
        <v>0</v>
      </c>
      <c r="W172" s="9">
        <f>IFERROR(VLOOKUP(B172,cubo!$A$6:$BE$37,26,0)-VLOOKUP(B172,#REF!,$W$2,0),0)</f>
        <v>0</v>
      </c>
      <c r="X172" s="9">
        <f>IFERROR(VLOOKUP(B172,cubo!$A$6:$BE$37,20,0)-VLOOKUP(B172,#REF!,$X$2,0),0)</f>
        <v>0</v>
      </c>
      <c r="Y172" s="9">
        <f>IFERROR(VLOOKUP(B172,cubo!$A$6:$BE$37,21,0)-VLOOKUP(B172,#REF!,$Y$2,0),0)</f>
        <v>0</v>
      </c>
      <c r="Z172" s="9">
        <f>IFERROR(VLOOKUP(B172,cubo!$A$6:$BE$37,27,0)-VLOOKUP(B172,#REF!,$Z$2,0),0)</f>
        <v>0</v>
      </c>
      <c r="AA172" s="9">
        <f>IFERROR(VLOOKUP(B172,cubo!$A$6:$BE$37,28,0)-VLOOKUP(B172,#REF!,$AA$2,0),0)</f>
        <v>0</v>
      </c>
      <c r="AB172" s="9">
        <f>IFERROR(VLOOKUP(B172,cubo!$A$6:$BE$37,29,0)-VLOOKUP(B172,#REF!,$AB$2,0),0)</f>
        <v>0</v>
      </c>
      <c r="AC172" s="9">
        <f>IFERROR(VLOOKUP(B172,cubo!$A$6:$BE$37,30,0)-VLOOKUP(B172,#REF!,$AC$2,0),0)</f>
        <v>0</v>
      </c>
      <c r="AD172" s="9">
        <f>IFERROR(VLOOKUP(B172,cubo!$A$6:$BE$37,31,0)-VLOOKUP(B172,#REF!,$AD$2,0),0)</f>
        <v>0</v>
      </c>
      <c r="AE172" s="9">
        <f>IFERROR(VLOOKUP(B172,cubo!$A$6:$BE$37,35,0)-VLOOKUP(B172,#REF!,$AE$2,0),0)</f>
        <v>0</v>
      </c>
      <c r="AF172" s="9" cm="1">
        <f t="array" aca="1" ref="AF172" ca="1">IFERROR(rrPROCV(B172,cubo!$A$6:$BE$37,48,0)-VLOOKUP(B172,#REF!,$AF$2,0),0)</f>
        <v>0</v>
      </c>
      <c r="AG172" s="9">
        <f>IFERROR(VLOOKUP(B172,cubo!$A$6:$BE$37,49,0)-VLOOKUP(B172,#REF!,$AG$2,0),0)</f>
        <v>0</v>
      </c>
      <c r="AH172" s="9">
        <f>IFERROR(VLOOKUP(B172,cubo!$A$6:$BE$37,50,0)-VLOOKUP(B172,#REF!,$AH$2,0),0)</f>
        <v>0</v>
      </c>
      <c r="AI172" s="9">
        <f>IFERROR(VLOOKUP(B172,cubo!$A$6:$BE$37,51,0)-VLOOKUP(B172,#REF!,$AI$2,0),0)</f>
        <v>0</v>
      </c>
      <c r="AJ172" s="9">
        <f>IFERROR(VLOOKUP(B172,cubo!$A$6:$BI$116,62,0)-VLOOKUP(B172,#REF!,$AJ$2,0),0)</f>
        <v>0</v>
      </c>
      <c r="AK172" s="9">
        <f>IFERROR(VLOOKUP(B172,cubo!$A$6:$BJ$37,63,0)-VLOOKUP(B172,#REF!,$AK$2,0),0)</f>
        <v>0</v>
      </c>
      <c r="AL172" s="9">
        <f>IFERROR(VLOOKUP(B172,cubo!$A$6:$BE$37,58,0)-VLOOKUP(B172,#REF!,$AL$2,0),0)</f>
        <v>0</v>
      </c>
      <c r="AM172" s="9">
        <f>IFERROR(VLOOKUP(B172,cubo!$A$6:$BK$37,64,0)-VLOOKUP(B172,#REF!,$AM$2,0),0)</f>
        <v>0</v>
      </c>
      <c r="AN172" s="9">
        <f>IFERROR(VLOOKUP(B172,cubo!$A$6:$AN$37,41,0)-VLOOKUP(B172,#REF!,$AN$2,0),0)</f>
        <v>0</v>
      </c>
    </row>
    <row r="173" spans="2:40" x14ac:dyDescent="0.25">
      <c r="B173" s="7">
        <f>[1]salario!A172</f>
        <v>0</v>
      </c>
      <c r="C173" s="8">
        <f>[1]salario!C172</f>
        <v>0</v>
      </c>
      <c r="D173" s="9">
        <f>IFERROR(VLOOKUP(B173,cubo!$A$6:$BE$37,3,0)-VLOOKUP(B173,#REF!,$D$2,0),0)</f>
        <v>0</v>
      </c>
      <c r="E173" s="10">
        <f>IFERROR(VLOOKUP(B173,cubo!$A$6:$BE$37,5,0)-VLOOKUP(B173,#REF!,$E$2,0),0)</f>
        <v>0</v>
      </c>
      <c r="F173" s="10">
        <f>IFERROR(VLOOKUP(B173,cubo!$A$6:$BE$37,8,0)-VLOOKUP(B173,#REF!,$F$2,0),0)</f>
        <v>0</v>
      </c>
      <c r="G173" s="9">
        <f>IFERROR(VLOOKUP(B173,cubo!$A$6:$BE$37,11,0)-VLOOKUP(B173,#REF!,$G$2,0),0)</f>
        <v>0</v>
      </c>
      <c r="H173" s="9">
        <f>IFERROR(VLOOKUP(B173,cubo!$A$6:$BE$37,53,0)-VLOOKUP(B173,#REF!,$H$2,0),0)</f>
        <v>0</v>
      </c>
      <c r="I173" s="10">
        <f>IFERROR(VLOOKUP(B173,cubo!$A$6:$BE$37,14,0)-VLOOKUP(B173,#REF!,$I$2,0),0)</f>
        <v>0</v>
      </c>
      <c r="J173" s="9">
        <f>IFERROR(VLOOKUP(B173,cubo!$A$6:$BE$37,16,0)-VLOOKUP(B173,#REF!,$J$2,0),0)</f>
        <v>0</v>
      </c>
      <c r="K173" s="9">
        <f>IFERROR(VLOOKUP(B173,cubo!$A$6:$BE$37,17,0)-VLOOKUP(B173,#REF!,$K$2,0),0)</f>
        <v>0</v>
      </c>
      <c r="L173" s="9">
        <f>IFERROR(VLOOKUP(B173,cubo!$A$6:$BE$37,19,0)-VLOOKUP(B173,#REF!,$L$2,0),0)</f>
        <v>0</v>
      </c>
      <c r="M173" s="9">
        <f>IFERROR(VLOOKUP(B173,cubo!$A$6:$BE$37,23,0)-VLOOKUP(B173,#REF!,$M$2,0),0)</f>
        <v>0</v>
      </c>
      <c r="N173" s="9">
        <f>IFERROR(VLOOKUP(B173,cubo!$A$6:$BE$37,25,0)-VLOOKUP(B173,#REF!,$N$2,0),0)</f>
        <v>0</v>
      </c>
      <c r="O173" s="9">
        <f>IFERROR(VLOOKUP(B173,cubo!$A$6:$BE$37,33,0)-VLOOKUP(B173,#REF!,$O$2,0),0)</f>
        <v>0</v>
      </c>
      <c r="P173" s="8">
        <f>IFERROR(VLOOKUP(B173,cubo!$A$6:$BE$37,37,0)-VLOOKUP(B173,#REF!,$P$2,0),0)</f>
        <v>0</v>
      </c>
      <c r="Q173" s="8">
        <f>IFERROR(VLOOKUP(B173,cubo!$A$6:$BE$37,56,0)-VLOOKUP(B173,#REF!,$Q$2,0),0)</f>
        <v>0</v>
      </c>
      <c r="R173" s="9">
        <f>IFERROR(VLOOKUP(B173,cubo!$A$6:$BE$37,40,0)-VLOOKUP(B173,#REF!,$R$2,0),0)</f>
        <v>0</v>
      </c>
      <c r="S173" s="9">
        <f>IFERROR(VLOOKUP(B173,cubo!$A$6:$BE$37,43,0)-VLOOKUP(B173,#REF!,$S$2,0),0)</f>
        <v>0</v>
      </c>
      <c r="T173" s="9">
        <f>IFERROR(VLOOKUP(B173,cubo!$A$6:$BE$37,46,0)-VLOOKUP(B173,#REF!,$T$2,0),0)</f>
        <v>0</v>
      </c>
      <c r="U173" s="9">
        <f>IFERROR(VLOOKUP(B173,cubo!$A$6:$BE$37,51,0)-VLOOKUP(B173,#REF!,$U$2,0),0)</f>
        <v>0</v>
      </c>
      <c r="V173" s="9">
        <f>IFERROR(VLOOKUP(B173,cubo!$A$6:$BJ$37,60,0)-VLOOKUP(B173,#REF!,$V$2,0),0)</f>
        <v>0</v>
      </c>
      <c r="W173" s="9">
        <f>IFERROR(VLOOKUP(B173,cubo!$A$6:$BE$37,26,0)-VLOOKUP(B173,#REF!,$W$2,0),0)</f>
        <v>0</v>
      </c>
      <c r="X173" s="9">
        <f>IFERROR(VLOOKUP(B173,cubo!$A$6:$BE$37,20,0)-VLOOKUP(B173,#REF!,$X$2,0),0)</f>
        <v>0</v>
      </c>
      <c r="Y173" s="9">
        <f>IFERROR(VLOOKUP(B173,cubo!$A$6:$BE$37,21,0)-VLOOKUP(B173,#REF!,$Y$2,0),0)</f>
        <v>0</v>
      </c>
      <c r="Z173" s="9">
        <f>IFERROR(VLOOKUP(B173,cubo!$A$6:$BE$37,27,0)-VLOOKUP(B173,#REF!,$Z$2,0),0)</f>
        <v>0</v>
      </c>
      <c r="AA173" s="9">
        <f>IFERROR(VLOOKUP(B173,cubo!$A$6:$BE$37,28,0)-VLOOKUP(B173,#REF!,$AA$2,0),0)</f>
        <v>0</v>
      </c>
      <c r="AB173" s="9">
        <f>IFERROR(VLOOKUP(B173,cubo!$A$6:$BE$37,29,0)-VLOOKUP(B173,#REF!,$AB$2,0),0)</f>
        <v>0</v>
      </c>
      <c r="AC173" s="9">
        <f>IFERROR(VLOOKUP(B173,cubo!$A$6:$BE$37,30,0)-VLOOKUP(B173,#REF!,$AC$2,0),0)</f>
        <v>0</v>
      </c>
      <c r="AD173" s="9">
        <f>IFERROR(VLOOKUP(B173,cubo!$A$6:$BE$37,31,0)-VLOOKUP(B173,#REF!,$AD$2,0),0)</f>
        <v>0</v>
      </c>
      <c r="AE173" s="9">
        <f>IFERROR(VLOOKUP(B173,cubo!$A$6:$BE$37,35,0)-VLOOKUP(B173,#REF!,$AE$2,0),0)</f>
        <v>0</v>
      </c>
      <c r="AF173" s="9" cm="1">
        <f t="array" aca="1" ref="AF173" ca="1">IFERROR(rrPROCV(B173,cubo!$A$6:$BE$37,48,0)-VLOOKUP(B173,#REF!,$AF$2,0),0)</f>
        <v>0</v>
      </c>
      <c r="AG173" s="9">
        <f>IFERROR(VLOOKUP(B173,cubo!$A$6:$BE$37,49,0)-VLOOKUP(B173,#REF!,$AG$2,0),0)</f>
        <v>0</v>
      </c>
      <c r="AH173" s="9">
        <f>IFERROR(VLOOKUP(B173,cubo!$A$6:$BE$37,50,0)-VLOOKUP(B173,#REF!,$AH$2,0),0)</f>
        <v>0</v>
      </c>
      <c r="AI173" s="9">
        <f>IFERROR(VLOOKUP(B173,cubo!$A$6:$BE$37,51,0)-VLOOKUP(B173,#REF!,$AI$2,0),0)</f>
        <v>0</v>
      </c>
      <c r="AJ173" s="9">
        <f>IFERROR(VLOOKUP(B173,cubo!$A$6:$BI$116,62,0)-VLOOKUP(B173,#REF!,$AJ$2,0),0)</f>
        <v>0</v>
      </c>
      <c r="AK173" s="9">
        <f>IFERROR(VLOOKUP(B173,cubo!$A$6:$BJ$37,63,0)-VLOOKUP(B173,#REF!,$AK$2,0),0)</f>
        <v>0</v>
      </c>
      <c r="AL173" s="9">
        <f>IFERROR(VLOOKUP(B173,cubo!$A$6:$BE$37,58,0)-VLOOKUP(B173,#REF!,$AL$2,0),0)</f>
        <v>0</v>
      </c>
      <c r="AM173" s="9">
        <f>IFERROR(VLOOKUP(B173,cubo!$A$6:$BK$37,64,0)-VLOOKUP(B173,#REF!,$AM$2,0),0)</f>
        <v>0</v>
      </c>
      <c r="AN173" s="9">
        <f>IFERROR(VLOOKUP(B173,cubo!$A$6:$AN$37,41,0)-VLOOKUP(B173,#REF!,$AN$2,0),0)</f>
        <v>0</v>
      </c>
    </row>
    <row r="174" spans="2:40" x14ac:dyDescent="0.25">
      <c r="B174" s="7">
        <f>[1]salario!A173</f>
        <v>0</v>
      </c>
      <c r="C174" s="8">
        <f>[1]salario!C173</f>
        <v>0</v>
      </c>
      <c r="D174" s="9">
        <f>IFERROR(VLOOKUP(B174,cubo!$A$6:$BE$37,3,0)-VLOOKUP(B174,#REF!,$D$2,0),0)</f>
        <v>0</v>
      </c>
      <c r="E174" s="10">
        <f>IFERROR(VLOOKUP(B174,cubo!$A$6:$BE$37,5,0)-VLOOKUP(B174,#REF!,$E$2,0),0)</f>
        <v>0</v>
      </c>
      <c r="F174" s="10">
        <f>IFERROR(VLOOKUP(B174,cubo!$A$6:$BE$37,8,0)-VLOOKUP(B174,#REF!,$F$2,0),0)</f>
        <v>0</v>
      </c>
      <c r="G174" s="9">
        <f>IFERROR(VLOOKUP(B174,cubo!$A$6:$BE$37,11,0)-VLOOKUP(B174,#REF!,$G$2,0),0)</f>
        <v>0</v>
      </c>
      <c r="H174" s="9">
        <f>IFERROR(VLOOKUP(B174,cubo!$A$6:$BE$37,53,0)-VLOOKUP(B174,#REF!,$H$2,0),0)</f>
        <v>0</v>
      </c>
      <c r="I174" s="10">
        <f>IFERROR(VLOOKUP(B174,cubo!$A$6:$BE$37,14,0)-VLOOKUP(B174,#REF!,$I$2,0),0)</f>
        <v>0</v>
      </c>
      <c r="J174" s="9">
        <f>IFERROR(VLOOKUP(B174,cubo!$A$6:$BE$37,16,0)-VLOOKUP(B174,#REF!,$J$2,0),0)</f>
        <v>0</v>
      </c>
      <c r="K174" s="9">
        <f>IFERROR(VLOOKUP(B174,cubo!$A$6:$BE$37,17,0)-VLOOKUP(B174,#REF!,$K$2,0),0)</f>
        <v>0</v>
      </c>
      <c r="L174" s="9">
        <f>IFERROR(VLOOKUP(B174,cubo!$A$6:$BE$37,19,0)-VLOOKUP(B174,#REF!,$L$2,0),0)</f>
        <v>0</v>
      </c>
      <c r="M174" s="9">
        <f>IFERROR(VLOOKUP(B174,cubo!$A$6:$BE$37,23,0)-VLOOKUP(B174,#REF!,$M$2,0),0)</f>
        <v>0</v>
      </c>
      <c r="N174" s="9">
        <f>IFERROR(VLOOKUP(B174,cubo!$A$6:$BE$37,25,0)-VLOOKUP(B174,#REF!,$N$2,0),0)</f>
        <v>0</v>
      </c>
      <c r="O174" s="9">
        <f>IFERROR(VLOOKUP(B174,cubo!$A$6:$BE$37,33,0)-VLOOKUP(B174,#REF!,$O$2,0),0)</f>
        <v>0</v>
      </c>
      <c r="P174" s="8">
        <f>IFERROR(VLOOKUP(B174,cubo!$A$6:$BE$37,37,0)-VLOOKUP(B174,#REF!,$P$2,0),0)</f>
        <v>0</v>
      </c>
      <c r="Q174" s="8">
        <f>IFERROR(VLOOKUP(B174,cubo!$A$6:$BE$37,56,0)-VLOOKUP(B174,#REF!,$Q$2,0),0)</f>
        <v>0</v>
      </c>
      <c r="R174" s="9">
        <f>IFERROR(VLOOKUP(B174,cubo!$A$6:$BE$37,40,0)-VLOOKUP(B174,#REF!,$R$2,0),0)</f>
        <v>0</v>
      </c>
      <c r="S174" s="9">
        <f>IFERROR(VLOOKUP(B174,cubo!$A$6:$BE$37,43,0)-VLOOKUP(B174,#REF!,$S$2,0),0)</f>
        <v>0</v>
      </c>
      <c r="T174" s="9">
        <f>IFERROR(VLOOKUP(B174,cubo!$A$6:$BE$37,46,0)-VLOOKUP(B174,#REF!,$T$2,0),0)</f>
        <v>0</v>
      </c>
      <c r="U174" s="9">
        <f>IFERROR(VLOOKUP(B174,cubo!$A$6:$BE$37,51,0)-VLOOKUP(B174,#REF!,$U$2,0),0)</f>
        <v>0</v>
      </c>
      <c r="V174" s="9">
        <f>IFERROR(VLOOKUP(B174,cubo!$A$6:$BJ$37,60,0)-VLOOKUP(B174,#REF!,$V$2,0),0)</f>
        <v>0</v>
      </c>
      <c r="W174" s="9">
        <f>IFERROR(VLOOKUP(B174,cubo!$A$6:$BE$37,26,0)-VLOOKUP(B174,#REF!,$W$2,0),0)</f>
        <v>0</v>
      </c>
      <c r="X174" s="9">
        <f>IFERROR(VLOOKUP(B174,cubo!$A$6:$BE$37,20,0)-VLOOKUP(B174,#REF!,$X$2,0),0)</f>
        <v>0</v>
      </c>
      <c r="Y174" s="9">
        <f>IFERROR(VLOOKUP(B174,cubo!$A$6:$BE$37,21,0)-VLOOKUP(B174,#REF!,$Y$2,0),0)</f>
        <v>0</v>
      </c>
      <c r="Z174" s="9">
        <f>IFERROR(VLOOKUP(B174,cubo!$A$6:$BE$37,27,0)-VLOOKUP(B174,#REF!,$Z$2,0),0)</f>
        <v>0</v>
      </c>
      <c r="AA174" s="9">
        <f>IFERROR(VLOOKUP(B174,cubo!$A$6:$BE$37,28,0)-VLOOKUP(B174,#REF!,$AA$2,0),0)</f>
        <v>0</v>
      </c>
      <c r="AB174" s="9">
        <f>IFERROR(VLOOKUP(B174,cubo!$A$6:$BE$37,29,0)-VLOOKUP(B174,#REF!,$AB$2,0),0)</f>
        <v>0</v>
      </c>
      <c r="AC174" s="9">
        <f>IFERROR(VLOOKUP(B174,cubo!$A$6:$BE$37,30,0)-VLOOKUP(B174,#REF!,$AC$2,0),0)</f>
        <v>0</v>
      </c>
      <c r="AD174" s="9">
        <f>IFERROR(VLOOKUP(B174,cubo!$A$6:$BE$37,31,0)-VLOOKUP(B174,#REF!,$AD$2,0),0)</f>
        <v>0</v>
      </c>
      <c r="AE174" s="9">
        <f>IFERROR(VLOOKUP(B174,cubo!$A$6:$BE$37,35,0)-VLOOKUP(B174,#REF!,$AE$2,0),0)</f>
        <v>0</v>
      </c>
      <c r="AF174" s="9" cm="1">
        <f t="array" aca="1" ref="AF174" ca="1">IFERROR(rrPROCV(B174,cubo!$A$6:$BE$37,48,0)-VLOOKUP(B174,#REF!,$AF$2,0),0)</f>
        <v>0</v>
      </c>
      <c r="AG174" s="9">
        <f>IFERROR(VLOOKUP(B174,cubo!$A$6:$BE$37,49,0)-VLOOKUP(B174,#REF!,$AG$2,0),0)</f>
        <v>0</v>
      </c>
      <c r="AH174" s="9">
        <f>IFERROR(VLOOKUP(B174,cubo!$A$6:$BE$37,50,0)-VLOOKUP(B174,#REF!,$AH$2,0),0)</f>
        <v>0</v>
      </c>
      <c r="AI174" s="9">
        <f>IFERROR(VLOOKUP(B174,cubo!$A$6:$BE$37,51,0)-VLOOKUP(B174,#REF!,$AI$2,0),0)</f>
        <v>0</v>
      </c>
      <c r="AJ174" s="9">
        <f>IFERROR(VLOOKUP(B174,cubo!$A$6:$BI$116,62,0)-VLOOKUP(B174,#REF!,$AJ$2,0),0)</f>
        <v>0</v>
      </c>
      <c r="AK174" s="9">
        <f>IFERROR(VLOOKUP(B174,cubo!$A$6:$BJ$37,63,0)-VLOOKUP(B174,#REF!,$AK$2,0),0)</f>
        <v>0</v>
      </c>
      <c r="AL174" s="9">
        <f>IFERROR(VLOOKUP(B174,cubo!$A$6:$BE$37,58,0)-VLOOKUP(B174,#REF!,$AL$2,0),0)</f>
        <v>0</v>
      </c>
      <c r="AM174" s="9">
        <f>IFERROR(VLOOKUP(B174,cubo!$A$6:$BK$37,64,0)-VLOOKUP(B174,#REF!,$AM$2,0),0)</f>
        <v>0</v>
      </c>
      <c r="AN174" s="9">
        <f>IFERROR(VLOOKUP(B174,cubo!$A$6:$AN$37,41,0)-VLOOKUP(B174,#REF!,$AN$2,0),0)</f>
        <v>0</v>
      </c>
    </row>
    <row r="175" spans="2:40" x14ac:dyDescent="0.25">
      <c r="B175" s="7">
        <f>[1]salario!A174</f>
        <v>0</v>
      </c>
      <c r="C175" s="8">
        <f>[1]salario!C174</f>
        <v>0</v>
      </c>
      <c r="D175" s="9">
        <f>IFERROR(VLOOKUP(B175,cubo!$A$6:$BE$37,3,0)-VLOOKUP(B175,#REF!,$D$2,0),0)</f>
        <v>0</v>
      </c>
      <c r="E175" s="10">
        <f>IFERROR(VLOOKUP(B175,cubo!$A$6:$BE$37,5,0)-VLOOKUP(B175,#REF!,$E$2,0),0)</f>
        <v>0</v>
      </c>
      <c r="F175" s="10">
        <f>IFERROR(VLOOKUP(B175,cubo!$A$6:$BE$37,8,0)-VLOOKUP(B175,#REF!,$F$2,0),0)</f>
        <v>0</v>
      </c>
      <c r="G175" s="9">
        <f>IFERROR(VLOOKUP(B175,cubo!$A$6:$BE$37,11,0)-VLOOKUP(B175,#REF!,$G$2,0),0)</f>
        <v>0</v>
      </c>
      <c r="H175" s="9">
        <f>IFERROR(VLOOKUP(B175,cubo!$A$6:$BE$37,53,0)-VLOOKUP(B175,#REF!,$H$2,0),0)</f>
        <v>0</v>
      </c>
      <c r="I175" s="10">
        <f>IFERROR(VLOOKUP(B175,cubo!$A$6:$BE$37,14,0)-VLOOKUP(B175,#REF!,$I$2,0),0)</f>
        <v>0</v>
      </c>
      <c r="J175" s="9">
        <f>IFERROR(VLOOKUP(B175,cubo!$A$6:$BE$37,16,0)-VLOOKUP(B175,#REF!,$J$2,0),0)</f>
        <v>0</v>
      </c>
      <c r="K175" s="9">
        <f>IFERROR(VLOOKUP(B175,cubo!$A$6:$BE$37,17,0)-VLOOKUP(B175,#REF!,$K$2,0),0)</f>
        <v>0</v>
      </c>
      <c r="L175" s="9">
        <f>IFERROR(VLOOKUP(B175,cubo!$A$6:$BE$37,19,0)-VLOOKUP(B175,#REF!,$L$2,0),0)</f>
        <v>0</v>
      </c>
      <c r="M175" s="9">
        <f>IFERROR(VLOOKUP(B175,cubo!$A$6:$BE$37,23,0)-VLOOKUP(B175,#REF!,$M$2,0),0)</f>
        <v>0</v>
      </c>
      <c r="N175" s="9">
        <f>IFERROR(VLOOKUP(B175,cubo!$A$6:$BE$37,25,0)-VLOOKUP(B175,#REF!,$N$2,0),0)</f>
        <v>0</v>
      </c>
      <c r="O175" s="9">
        <f>IFERROR(VLOOKUP(B175,cubo!$A$6:$BE$37,33,0)-VLOOKUP(B175,#REF!,$O$2,0),0)</f>
        <v>0</v>
      </c>
      <c r="P175" s="8">
        <f>IFERROR(VLOOKUP(B175,cubo!$A$6:$BE$37,37,0)-VLOOKUP(B175,#REF!,$P$2,0),0)</f>
        <v>0</v>
      </c>
      <c r="Q175" s="8">
        <f>IFERROR(VLOOKUP(B175,cubo!$A$6:$BE$37,56,0)-VLOOKUP(B175,#REF!,$Q$2,0),0)</f>
        <v>0</v>
      </c>
      <c r="R175" s="9">
        <f>IFERROR(VLOOKUP(B175,cubo!$A$6:$BE$37,40,0)-VLOOKUP(B175,#REF!,$R$2,0),0)</f>
        <v>0</v>
      </c>
      <c r="S175" s="9">
        <f>IFERROR(VLOOKUP(B175,cubo!$A$6:$BE$37,43,0)-VLOOKUP(B175,#REF!,$S$2,0),0)</f>
        <v>0</v>
      </c>
      <c r="T175" s="9">
        <f>IFERROR(VLOOKUP(B175,cubo!$A$6:$BE$37,46,0)-VLOOKUP(B175,#REF!,$T$2,0),0)</f>
        <v>0</v>
      </c>
      <c r="U175" s="9">
        <f>IFERROR(VLOOKUP(B175,cubo!$A$6:$BE$37,51,0)-VLOOKUP(B175,#REF!,$U$2,0),0)</f>
        <v>0</v>
      </c>
      <c r="V175" s="9">
        <f>IFERROR(VLOOKUP(B175,cubo!$A$6:$BJ$37,60,0)-VLOOKUP(B175,#REF!,$V$2,0),0)</f>
        <v>0</v>
      </c>
      <c r="W175" s="9">
        <f>IFERROR(VLOOKUP(B175,cubo!$A$6:$BE$37,26,0)-VLOOKUP(B175,#REF!,$W$2,0),0)</f>
        <v>0</v>
      </c>
      <c r="X175" s="9">
        <f>IFERROR(VLOOKUP(B175,cubo!$A$6:$BE$37,20,0)-VLOOKUP(B175,#REF!,$X$2,0),0)</f>
        <v>0</v>
      </c>
      <c r="Y175" s="9">
        <f>IFERROR(VLOOKUP(B175,cubo!$A$6:$BE$37,21,0)-VLOOKUP(B175,#REF!,$Y$2,0),0)</f>
        <v>0</v>
      </c>
      <c r="Z175" s="9">
        <f>IFERROR(VLOOKUP(B175,cubo!$A$6:$BE$37,27,0)-VLOOKUP(B175,#REF!,$Z$2,0),0)</f>
        <v>0</v>
      </c>
      <c r="AA175" s="9">
        <f>IFERROR(VLOOKUP(B175,cubo!$A$6:$BE$37,28,0)-VLOOKUP(B175,#REF!,$AA$2,0),0)</f>
        <v>0</v>
      </c>
      <c r="AB175" s="9">
        <f>IFERROR(VLOOKUP(B175,cubo!$A$6:$BE$37,29,0)-VLOOKUP(B175,#REF!,$AB$2,0),0)</f>
        <v>0</v>
      </c>
      <c r="AC175" s="9">
        <f>IFERROR(VLOOKUP(B175,cubo!$A$6:$BE$37,30,0)-VLOOKUP(B175,#REF!,$AC$2,0),0)</f>
        <v>0</v>
      </c>
      <c r="AD175" s="9">
        <f>IFERROR(VLOOKUP(B175,cubo!$A$6:$BE$37,31,0)-VLOOKUP(B175,#REF!,$AD$2,0),0)</f>
        <v>0</v>
      </c>
      <c r="AE175" s="9">
        <f>IFERROR(VLOOKUP(B175,cubo!$A$6:$BE$37,35,0)-VLOOKUP(B175,#REF!,$AE$2,0),0)</f>
        <v>0</v>
      </c>
      <c r="AF175" s="9" cm="1">
        <f t="array" aca="1" ref="AF175" ca="1">IFERROR(rrPROCV(B175,cubo!$A$6:$BE$37,48,0)-VLOOKUP(B175,#REF!,$AF$2,0),0)</f>
        <v>0</v>
      </c>
      <c r="AG175" s="9">
        <f>IFERROR(VLOOKUP(B175,cubo!$A$6:$BE$37,49,0)-VLOOKUP(B175,#REF!,$AG$2,0),0)</f>
        <v>0</v>
      </c>
      <c r="AH175" s="9">
        <f>IFERROR(VLOOKUP(B175,cubo!$A$6:$BE$37,50,0)-VLOOKUP(B175,#REF!,$AH$2,0),0)</f>
        <v>0</v>
      </c>
      <c r="AI175" s="9">
        <f>IFERROR(VLOOKUP(B175,cubo!$A$6:$BE$37,51,0)-VLOOKUP(B175,#REF!,$AI$2,0),0)</f>
        <v>0</v>
      </c>
      <c r="AJ175" s="9">
        <f>IFERROR(VLOOKUP(B175,cubo!$A$6:$BI$116,62,0)-VLOOKUP(B175,#REF!,$AJ$2,0),0)</f>
        <v>0</v>
      </c>
      <c r="AK175" s="9">
        <f>IFERROR(VLOOKUP(B175,cubo!$A$6:$BJ$37,63,0)-VLOOKUP(B175,#REF!,$AK$2,0),0)</f>
        <v>0</v>
      </c>
      <c r="AL175" s="9">
        <f>IFERROR(VLOOKUP(B175,cubo!$A$6:$BE$37,58,0)-VLOOKUP(B175,#REF!,$AL$2,0),0)</f>
        <v>0</v>
      </c>
      <c r="AM175" s="9">
        <f>IFERROR(VLOOKUP(B175,cubo!$A$6:$BK$37,64,0)-VLOOKUP(B175,#REF!,$AM$2,0),0)</f>
        <v>0</v>
      </c>
      <c r="AN175" s="9">
        <f>IFERROR(VLOOKUP(B175,cubo!$A$6:$AN$37,41,0)-VLOOKUP(B175,#REF!,$AN$2,0),0)</f>
        <v>0</v>
      </c>
    </row>
    <row r="176" spans="2:40" x14ac:dyDescent="0.25">
      <c r="B176" s="7">
        <f>[1]salario!A175</f>
        <v>0</v>
      </c>
      <c r="C176" s="8">
        <f>[1]salario!C175</f>
        <v>0</v>
      </c>
      <c r="D176" s="9">
        <f>IFERROR(VLOOKUP(B176,cubo!$A$6:$BE$37,3,0)-VLOOKUP(B176,#REF!,$D$2,0),0)</f>
        <v>0</v>
      </c>
      <c r="E176" s="10">
        <f>IFERROR(VLOOKUP(B176,cubo!$A$6:$BE$37,5,0)-VLOOKUP(B176,#REF!,$E$2,0),0)</f>
        <v>0</v>
      </c>
      <c r="F176" s="10">
        <f>IFERROR(VLOOKUP(B176,cubo!$A$6:$BE$37,8,0)-VLOOKUP(B176,#REF!,$F$2,0),0)</f>
        <v>0</v>
      </c>
      <c r="G176" s="9">
        <f>IFERROR(VLOOKUP(B176,cubo!$A$6:$BE$37,11,0)-VLOOKUP(B176,#REF!,$G$2,0),0)</f>
        <v>0</v>
      </c>
      <c r="H176" s="9">
        <f>IFERROR(VLOOKUP(B176,cubo!$A$6:$BE$37,53,0)-VLOOKUP(B176,#REF!,$H$2,0),0)</f>
        <v>0</v>
      </c>
      <c r="I176" s="10">
        <f>IFERROR(VLOOKUP(B176,cubo!$A$6:$BE$37,14,0)-VLOOKUP(B176,#REF!,$I$2,0),0)</f>
        <v>0</v>
      </c>
      <c r="J176" s="9">
        <f>IFERROR(VLOOKUP(B176,cubo!$A$6:$BE$37,16,0)-VLOOKUP(B176,#REF!,$J$2,0),0)</f>
        <v>0</v>
      </c>
      <c r="K176" s="9">
        <f>IFERROR(VLOOKUP(B176,cubo!$A$6:$BE$37,17,0)-VLOOKUP(B176,#REF!,$K$2,0),0)</f>
        <v>0</v>
      </c>
      <c r="L176" s="9">
        <f>IFERROR(VLOOKUP(B176,cubo!$A$6:$BE$37,19,0)-VLOOKUP(B176,#REF!,$L$2,0),0)</f>
        <v>0</v>
      </c>
      <c r="M176" s="9">
        <f>IFERROR(VLOOKUP(B176,cubo!$A$6:$BE$37,23,0)-VLOOKUP(B176,#REF!,$M$2,0),0)</f>
        <v>0</v>
      </c>
      <c r="N176" s="9">
        <f>IFERROR(VLOOKUP(B176,cubo!$A$6:$BE$37,25,0)-VLOOKUP(B176,#REF!,$N$2,0),0)</f>
        <v>0</v>
      </c>
      <c r="O176" s="9">
        <f>IFERROR(VLOOKUP(B176,cubo!$A$6:$BE$37,33,0)-VLOOKUP(B176,#REF!,$O$2,0),0)</f>
        <v>0</v>
      </c>
      <c r="P176" s="8">
        <f>IFERROR(VLOOKUP(B176,cubo!$A$6:$BE$37,37,0)-VLOOKUP(B176,#REF!,$P$2,0),0)</f>
        <v>0</v>
      </c>
      <c r="Q176" s="8">
        <f>IFERROR(VLOOKUP(B176,cubo!$A$6:$BE$37,56,0)-VLOOKUP(B176,#REF!,$Q$2,0),0)</f>
        <v>0</v>
      </c>
      <c r="R176" s="9">
        <f>IFERROR(VLOOKUP(B176,cubo!$A$6:$BE$37,40,0)-VLOOKUP(B176,#REF!,$R$2,0),0)</f>
        <v>0</v>
      </c>
      <c r="S176" s="9">
        <f>IFERROR(VLOOKUP(B176,cubo!$A$6:$BE$37,43,0)-VLOOKUP(B176,#REF!,$S$2,0),0)</f>
        <v>0</v>
      </c>
      <c r="T176" s="9">
        <f>IFERROR(VLOOKUP(B176,cubo!$A$6:$BE$37,46,0)-VLOOKUP(B176,#REF!,$T$2,0),0)</f>
        <v>0</v>
      </c>
      <c r="U176" s="9">
        <f>IFERROR(VLOOKUP(B176,cubo!$A$6:$BE$37,51,0)-VLOOKUP(B176,#REF!,$U$2,0),0)</f>
        <v>0</v>
      </c>
      <c r="V176" s="9">
        <f>IFERROR(VLOOKUP(B176,cubo!$A$6:$BJ$37,60,0)-VLOOKUP(B176,#REF!,$V$2,0),0)</f>
        <v>0</v>
      </c>
      <c r="W176" s="9">
        <f>IFERROR(VLOOKUP(B176,cubo!$A$6:$BE$37,26,0)-VLOOKUP(B176,#REF!,$W$2,0),0)</f>
        <v>0</v>
      </c>
      <c r="X176" s="9">
        <f>IFERROR(VLOOKUP(B176,cubo!$A$6:$BE$37,20,0)-VLOOKUP(B176,#REF!,$X$2,0),0)</f>
        <v>0</v>
      </c>
      <c r="Y176" s="9">
        <f>IFERROR(VLOOKUP(B176,cubo!$A$6:$BE$37,21,0)-VLOOKUP(B176,#REF!,$Y$2,0),0)</f>
        <v>0</v>
      </c>
      <c r="Z176" s="9">
        <f>IFERROR(VLOOKUP(B176,cubo!$A$6:$BE$37,27,0)-VLOOKUP(B176,#REF!,$Z$2,0),0)</f>
        <v>0</v>
      </c>
      <c r="AA176" s="9">
        <f>IFERROR(VLOOKUP(B176,cubo!$A$6:$BE$37,28,0)-VLOOKUP(B176,#REF!,$AA$2,0),0)</f>
        <v>0</v>
      </c>
      <c r="AB176" s="9">
        <f>IFERROR(VLOOKUP(B176,cubo!$A$6:$BE$37,29,0)-VLOOKUP(B176,#REF!,$AB$2,0),0)</f>
        <v>0</v>
      </c>
      <c r="AC176" s="9">
        <f>IFERROR(VLOOKUP(B176,cubo!$A$6:$BE$37,30,0)-VLOOKUP(B176,#REF!,$AC$2,0),0)</f>
        <v>0</v>
      </c>
      <c r="AD176" s="9">
        <f>IFERROR(VLOOKUP(B176,cubo!$A$6:$BE$37,31,0)-VLOOKUP(B176,#REF!,$AD$2,0),0)</f>
        <v>0</v>
      </c>
      <c r="AE176" s="9">
        <f>IFERROR(VLOOKUP(B176,cubo!$A$6:$BE$37,35,0)-VLOOKUP(B176,#REF!,$AE$2,0),0)</f>
        <v>0</v>
      </c>
      <c r="AF176" s="9" cm="1">
        <f t="array" aca="1" ref="AF176" ca="1">IFERROR(rrPROCV(B176,cubo!$A$6:$BE$37,48,0)-VLOOKUP(B176,#REF!,$AF$2,0),0)</f>
        <v>0</v>
      </c>
      <c r="AG176" s="9">
        <f>IFERROR(VLOOKUP(B176,cubo!$A$6:$BE$37,49,0)-VLOOKUP(B176,#REF!,$AG$2,0),0)</f>
        <v>0</v>
      </c>
      <c r="AH176" s="9">
        <f>IFERROR(VLOOKUP(B176,cubo!$A$6:$BE$37,50,0)-VLOOKUP(B176,#REF!,$AH$2,0),0)</f>
        <v>0</v>
      </c>
      <c r="AI176" s="9">
        <f>IFERROR(VLOOKUP(B176,cubo!$A$6:$BE$37,51,0)-VLOOKUP(B176,#REF!,$AI$2,0),0)</f>
        <v>0</v>
      </c>
      <c r="AJ176" s="9">
        <f>IFERROR(VLOOKUP(B176,cubo!$A$6:$BI$116,62,0)-VLOOKUP(B176,#REF!,$AJ$2,0),0)</f>
        <v>0</v>
      </c>
      <c r="AK176" s="9">
        <f>IFERROR(VLOOKUP(B176,cubo!$A$6:$BJ$37,63,0)-VLOOKUP(B176,#REF!,$AK$2,0),0)</f>
        <v>0</v>
      </c>
      <c r="AL176" s="9">
        <f>IFERROR(VLOOKUP(B176,cubo!$A$6:$BE$37,58,0)-VLOOKUP(B176,#REF!,$AL$2,0),0)</f>
        <v>0</v>
      </c>
      <c r="AM176" s="9">
        <f>IFERROR(VLOOKUP(B176,cubo!$A$6:$BK$37,64,0)-VLOOKUP(B176,#REF!,$AM$2,0),0)</f>
        <v>0</v>
      </c>
      <c r="AN176" s="9">
        <f>IFERROR(VLOOKUP(B176,cubo!$A$6:$AN$37,41,0)-VLOOKUP(B176,#REF!,$AN$2,0),0)</f>
        <v>0</v>
      </c>
    </row>
    <row r="177" spans="2:40" x14ac:dyDescent="0.25">
      <c r="B177" s="7">
        <f>[1]salario!A176</f>
        <v>0</v>
      </c>
      <c r="C177" s="8">
        <f>[1]salario!C176</f>
        <v>0</v>
      </c>
      <c r="D177" s="9">
        <f>IFERROR(VLOOKUP(B177,cubo!$A$6:$BE$37,3,0)-VLOOKUP(B177,#REF!,$D$2,0),0)</f>
        <v>0</v>
      </c>
      <c r="E177" s="10">
        <f>IFERROR(VLOOKUP(B177,cubo!$A$6:$BE$37,5,0)-VLOOKUP(B177,#REF!,$E$2,0),0)</f>
        <v>0</v>
      </c>
      <c r="F177" s="10">
        <f>IFERROR(VLOOKUP(B177,cubo!$A$6:$BE$37,8,0)-VLOOKUP(B177,#REF!,$F$2,0),0)</f>
        <v>0</v>
      </c>
      <c r="G177" s="9">
        <f>IFERROR(VLOOKUP(B177,cubo!$A$6:$BE$37,11,0)-VLOOKUP(B177,#REF!,$G$2,0),0)</f>
        <v>0</v>
      </c>
      <c r="H177" s="9">
        <f>IFERROR(VLOOKUP(B177,cubo!$A$6:$BE$37,53,0)-VLOOKUP(B177,#REF!,$H$2,0),0)</f>
        <v>0</v>
      </c>
      <c r="I177" s="10">
        <f>IFERROR(VLOOKUP(B177,cubo!$A$6:$BE$37,14,0)-VLOOKUP(B177,#REF!,$I$2,0),0)</f>
        <v>0</v>
      </c>
      <c r="J177" s="9">
        <f>IFERROR(VLOOKUP(B177,cubo!$A$6:$BE$37,16,0)-VLOOKUP(B177,#REF!,$J$2,0),0)</f>
        <v>0</v>
      </c>
      <c r="K177" s="9">
        <f>IFERROR(VLOOKUP(B177,cubo!$A$6:$BE$37,17,0)-VLOOKUP(B177,#REF!,$K$2,0),0)</f>
        <v>0</v>
      </c>
      <c r="L177" s="9">
        <f>IFERROR(VLOOKUP(B177,cubo!$A$6:$BE$37,19,0)-VLOOKUP(B177,#REF!,$L$2,0),0)</f>
        <v>0</v>
      </c>
      <c r="M177" s="9">
        <f>IFERROR(VLOOKUP(B177,cubo!$A$6:$BE$37,23,0)-VLOOKUP(B177,#REF!,$M$2,0),0)</f>
        <v>0</v>
      </c>
      <c r="N177" s="9">
        <f>IFERROR(VLOOKUP(B177,cubo!$A$6:$BE$37,25,0)-VLOOKUP(B177,#REF!,$N$2,0),0)</f>
        <v>0</v>
      </c>
      <c r="O177" s="9">
        <f>IFERROR(VLOOKUP(B177,cubo!$A$6:$BE$37,33,0)-VLOOKUP(B177,#REF!,$O$2,0),0)</f>
        <v>0</v>
      </c>
      <c r="P177" s="8">
        <f>IFERROR(VLOOKUP(B177,cubo!$A$6:$BE$37,37,0)-VLOOKUP(B177,#REF!,$P$2,0),0)</f>
        <v>0</v>
      </c>
      <c r="Q177" s="8">
        <f>IFERROR(VLOOKUP(B177,cubo!$A$6:$BE$37,56,0)-VLOOKUP(B177,#REF!,$Q$2,0),0)</f>
        <v>0</v>
      </c>
      <c r="R177" s="9">
        <f>IFERROR(VLOOKUP(B177,cubo!$A$6:$BE$37,40,0)-VLOOKUP(B177,#REF!,$R$2,0),0)</f>
        <v>0</v>
      </c>
      <c r="S177" s="9">
        <f>IFERROR(VLOOKUP(B177,cubo!$A$6:$BE$37,43,0)-VLOOKUP(B177,#REF!,$S$2,0),0)</f>
        <v>0</v>
      </c>
      <c r="T177" s="9">
        <f>IFERROR(VLOOKUP(B177,cubo!$A$6:$BE$37,46,0)-VLOOKUP(B177,#REF!,$T$2,0),0)</f>
        <v>0</v>
      </c>
      <c r="U177" s="9">
        <f>IFERROR(VLOOKUP(B177,cubo!$A$6:$BE$37,51,0)-VLOOKUP(B177,#REF!,$U$2,0),0)</f>
        <v>0</v>
      </c>
      <c r="V177" s="9">
        <f>IFERROR(VLOOKUP(B177,cubo!$A$6:$BJ$37,60,0)-VLOOKUP(B177,#REF!,$V$2,0),0)</f>
        <v>0</v>
      </c>
      <c r="W177" s="9">
        <f>IFERROR(VLOOKUP(B177,cubo!$A$6:$BE$37,26,0)-VLOOKUP(B177,#REF!,$W$2,0),0)</f>
        <v>0</v>
      </c>
      <c r="X177" s="9">
        <f>IFERROR(VLOOKUP(B177,cubo!$A$6:$BE$37,20,0)-VLOOKUP(B177,#REF!,$X$2,0),0)</f>
        <v>0</v>
      </c>
      <c r="Y177" s="9">
        <f>IFERROR(VLOOKUP(B177,cubo!$A$6:$BE$37,21,0)-VLOOKUP(B177,#REF!,$Y$2,0),0)</f>
        <v>0</v>
      </c>
      <c r="Z177" s="9">
        <f>IFERROR(VLOOKUP(B177,cubo!$A$6:$BE$37,27,0)-VLOOKUP(B177,#REF!,$Z$2,0),0)</f>
        <v>0</v>
      </c>
      <c r="AA177" s="9">
        <f>IFERROR(VLOOKUP(B177,cubo!$A$6:$BE$37,28,0)-VLOOKUP(B177,#REF!,$AA$2,0),0)</f>
        <v>0</v>
      </c>
      <c r="AB177" s="9">
        <f>IFERROR(VLOOKUP(B177,cubo!$A$6:$BE$37,29,0)-VLOOKUP(B177,#REF!,$AB$2,0),0)</f>
        <v>0</v>
      </c>
      <c r="AC177" s="9">
        <f>IFERROR(VLOOKUP(B177,cubo!$A$6:$BE$37,30,0)-VLOOKUP(B177,#REF!,$AC$2,0),0)</f>
        <v>0</v>
      </c>
      <c r="AD177" s="9">
        <f>IFERROR(VLOOKUP(B177,cubo!$A$6:$BE$37,31,0)-VLOOKUP(B177,#REF!,$AD$2,0),0)</f>
        <v>0</v>
      </c>
      <c r="AE177" s="9">
        <f>IFERROR(VLOOKUP(B177,cubo!$A$6:$BE$37,35,0)-VLOOKUP(B177,#REF!,$AE$2,0),0)</f>
        <v>0</v>
      </c>
      <c r="AF177" s="9" cm="1">
        <f t="array" aca="1" ref="AF177" ca="1">IFERROR(rrPROCV(B177,cubo!$A$6:$BE$37,48,0)-VLOOKUP(B177,#REF!,$AF$2,0),0)</f>
        <v>0</v>
      </c>
      <c r="AG177" s="9">
        <f>IFERROR(VLOOKUP(B177,cubo!$A$6:$BE$37,49,0)-VLOOKUP(B177,#REF!,$AG$2,0),0)</f>
        <v>0</v>
      </c>
      <c r="AH177" s="9">
        <f>IFERROR(VLOOKUP(B177,cubo!$A$6:$BE$37,50,0)-VLOOKUP(B177,#REF!,$AH$2,0),0)</f>
        <v>0</v>
      </c>
      <c r="AI177" s="9">
        <f>IFERROR(VLOOKUP(B177,cubo!$A$6:$BE$37,51,0)-VLOOKUP(B177,#REF!,$AI$2,0),0)</f>
        <v>0</v>
      </c>
      <c r="AJ177" s="9">
        <f>IFERROR(VLOOKUP(B177,cubo!$A$6:$BI$116,62,0)-VLOOKUP(B177,#REF!,$AJ$2,0),0)</f>
        <v>0</v>
      </c>
      <c r="AK177" s="9">
        <f>IFERROR(VLOOKUP(B177,cubo!$A$6:$BJ$37,63,0)-VLOOKUP(B177,#REF!,$AK$2,0),0)</f>
        <v>0</v>
      </c>
      <c r="AL177" s="9">
        <f>IFERROR(VLOOKUP(B177,cubo!$A$6:$BE$37,58,0)-VLOOKUP(B177,#REF!,$AL$2,0),0)</f>
        <v>0</v>
      </c>
      <c r="AM177" s="9">
        <f>IFERROR(VLOOKUP(B177,cubo!$A$6:$BK$37,64,0)-VLOOKUP(B177,#REF!,$AM$2,0),0)</f>
        <v>0</v>
      </c>
      <c r="AN177" s="9">
        <f>IFERROR(VLOOKUP(B177,cubo!$A$6:$AN$37,41,0)-VLOOKUP(B177,#REF!,$AN$2,0),0)</f>
        <v>0</v>
      </c>
    </row>
    <row r="178" spans="2:40" x14ac:dyDescent="0.25">
      <c r="B178" s="7">
        <f>[1]salario!A177</f>
        <v>0</v>
      </c>
      <c r="C178" s="8">
        <f>[1]salario!C177</f>
        <v>0</v>
      </c>
      <c r="D178" s="9">
        <f>IFERROR(VLOOKUP(B178,cubo!$A$6:$BE$37,3,0)-VLOOKUP(B178,#REF!,$D$2,0),0)</f>
        <v>0</v>
      </c>
      <c r="E178" s="10">
        <f>IFERROR(VLOOKUP(B178,cubo!$A$6:$BE$37,5,0)-VLOOKUP(B178,#REF!,$E$2,0),0)</f>
        <v>0</v>
      </c>
      <c r="F178" s="10">
        <f>IFERROR(VLOOKUP(B178,cubo!$A$6:$BE$37,8,0)-VLOOKUP(B178,#REF!,$F$2,0),0)</f>
        <v>0</v>
      </c>
      <c r="G178" s="9">
        <f>IFERROR(VLOOKUP(B178,cubo!$A$6:$BE$37,11,0)-VLOOKUP(B178,#REF!,$G$2,0),0)</f>
        <v>0</v>
      </c>
      <c r="H178" s="9">
        <f>IFERROR(VLOOKUP(B178,cubo!$A$6:$BE$37,53,0)-VLOOKUP(B178,#REF!,$H$2,0),0)</f>
        <v>0</v>
      </c>
      <c r="I178" s="10">
        <f>IFERROR(VLOOKUP(B178,cubo!$A$6:$BE$37,14,0)-VLOOKUP(B178,#REF!,$I$2,0),0)</f>
        <v>0</v>
      </c>
      <c r="J178" s="9">
        <f>IFERROR(VLOOKUP(B178,cubo!$A$6:$BE$37,16,0)-VLOOKUP(B178,#REF!,$J$2,0),0)</f>
        <v>0</v>
      </c>
      <c r="K178" s="9">
        <f>IFERROR(VLOOKUP(B178,cubo!$A$6:$BE$37,17,0)-VLOOKUP(B178,#REF!,$K$2,0),0)</f>
        <v>0</v>
      </c>
      <c r="L178" s="9">
        <f>IFERROR(VLOOKUP(B178,cubo!$A$6:$BE$37,19,0)-VLOOKUP(B178,#REF!,$L$2,0),0)</f>
        <v>0</v>
      </c>
      <c r="M178" s="9">
        <f>IFERROR(VLOOKUP(B178,cubo!$A$6:$BE$37,23,0)-VLOOKUP(B178,#REF!,$M$2,0),0)</f>
        <v>0</v>
      </c>
      <c r="N178" s="9">
        <f>IFERROR(VLOOKUP(B178,cubo!$A$6:$BE$37,25,0)-VLOOKUP(B178,#REF!,$N$2,0),0)</f>
        <v>0</v>
      </c>
      <c r="O178" s="9">
        <f>IFERROR(VLOOKUP(B178,cubo!$A$6:$BE$37,33,0)-VLOOKUP(B178,#REF!,$O$2,0),0)</f>
        <v>0</v>
      </c>
      <c r="P178" s="8">
        <f>IFERROR(VLOOKUP(B178,cubo!$A$6:$BE$37,37,0)-VLOOKUP(B178,#REF!,$P$2,0),0)</f>
        <v>0</v>
      </c>
      <c r="Q178" s="8">
        <f>IFERROR(VLOOKUP(B178,cubo!$A$6:$BE$37,56,0)-VLOOKUP(B178,#REF!,$Q$2,0),0)</f>
        <v>0</v>
      </c>
      <c r="R178" s="9">
        <f>IFERROR(VLOOKUP(B178,cubo!$A$6:$BE$37,40,0)-VLOOKUP(B178,#REF!,$R$2,0),0)</f>
        <v>0</v>
      </c>
      <c r="S178" s="9">
        <f>IFERROR(VLOOKUP(B178,cubo!$A$6:$BE$37,43,0)-VLOOKUP(B178,#REF!,$S$2,0),0)</f>
        <v>0</v>
      </c>
      <c r="T178" s="9">
        <f>IFERROR(VLOOKUP(B178,cubo!$A$6:$BE$37,46,0)-VLOOKUP(B178,#REF!,$T$2,0),0)</f>
        <v>0</v>
      </c>
      <c r="U178" s="9">
        <f>IFERROR(VLOOKUP(B178,cubo!$A$6:$BE$37,51,0)-VLOOKUP(B178,#REF!,$U$2,0),0)</f>
        <v>0</v>
      </c>
      <c r="V178" s="9">
        <f>IFERROR(VLOOKUP(B178,cubo!$A$6:$BJ$37,60,0)-VLOOKUP(B178,#REF!,$V$2,0),0)</f>
        <v>0</v>
      </c>
      <c r="W178" s="9">
        <f>IFERROR(VLOOKUP(B178,cubo!$A$6:$BE$37,26,0)-VLOOKUP(B178,#REF!,$W$2,0),0)</f>
        <v>0</v>
      </c>
      <c r="X178" s="9">
        <f>IFERROR(VLOOKUP(B178,cubo!$A$6:$BE$37,20,0)-VLOOKUP(B178,#REF!,$X$2,0),0)</f>
        <v>0</v>
      </c>
      <c r="Y178" s="9">
        <f>IFERROR(VLOOKUP(B178,cubo!$A$6:$BE$37,21,0)-VLOOKUP(B178,#REF!,$Y$2,0),0)</f>
        <v>0</v>
      </c>
      <c r="Z178" s="9">
        <f>IFERROR(VLOOKUP(B178,cubo!$A$6:$BE$37,27,0)-VLOOKUP(B178,#REF!,$Z$2,0),0)</f>
        <v>0</v>
      </c>
      <c r="AA178" s="9">
        <f>IFERROR(VLOOKUP(B178,cubo!$A$6:$BE$37,28,0)-VLOOKUP(B178,#REF!,$AA$2,0),0)</f>
        <v>0</v>
      </c>
      <c r="AB178" s="9">
        <f>IFERROR(VLOOKUP(B178,cubo!$A$6:$BE$37,29,0)-VLOOKUP(B178,#REF!,$AB$2,0),0)</f>
        <v>0</v>
      </c>
      <c r="AC178" s="9">
        <f>IFERROR(VLOOKUP(B178,cubo!$A$6:$BE$37,30,0)-VLOOKUP(B178,#REF!,$AC$2,0),0)</f>
        <v>0</v>
      </c>
      <c r="AD178" s="9">
        <f>IFERROR(VLOOKUP(B178,cubo!$A$6:$BE$37,31,0)-VLOOKUP(B178,#REF!,$AD$2,0),0)</f>
        <v>0</v>
      </c>
      <c r="AE178" s="9">
        <f>IFERROR(VLOOKUP(B178,cubo!$A$6:$BE$37,35,0)-VLOOKUP(B178,#REF!,$AE$2,0),0)</f>
        <v>0</v>
      </c>
      <c r="AF178" s="9" cm="1">
        <f t="array" aca="1" ref="AF178" ca="1">IFERROR(rrPROCV(B178,cubo!$A$6:$BE$37,48,0)-VLOOKUP(B178,#REF!,$AF$2,0),0)</f>
        <v>0</v>
      </c>
      <c r="AG178" s="9">
        <f>IFERROR(VLOOKUP(B178,cubo!$A$6:$BE$37,49,0)-VLOOKUP(B178,#REF!,$AG$2,0),0)</f>
        <v>0</v>
      </c>
      <c r="AH178" s="9">
        <f>IFERROR(VLOOKUP(B178,cubo!$A$6:$BE$37,50,0)-VLOOKUP(B178,#REF!,$AH$2,0),0)</f>
        <v>0</v>
      </c>
      <c r="AI178" s="9">
        <f>IFERROR(VLOOKUP(B178,cubo!$A$6:$BE$37,51,0)-VLOOKUP(B178,#REF!,$AI$2,0),0)</f>
        <v>0</v>
      </c>
      <c r="AJ178" s="9">
        <f>IFERROR(VLOOKUP(B178,cubo!$A$6:$BI$116,62,0)-VLOOKUP(B178,#REF!,$AJ$2,0),0)</f>
        <v>0</v>
      </c>
      <c r="AK178" s="9">
        <f>IFERROR(VLOOKUP(B178,cubo!$A$6:$BJ$37,63,0)-VLOOKUP(B178,#REF!,$AK$2,0),0)</f>
        <v>0</v>
      </c>
      <c r="AL178" s="9">
        <f>IFERROR(VLOOKUP(B178,cubo!$A$6:$BE$37,58,0)-VLOOKUP(B178,#REF!,$AL$2,0),0)</f>
        <v>0</v>
      </c>
      <c r="AM178" s="9">
        <f>IFERROR(VLOOKUP(B178,cubo!$A$6:$BK$37,64,0)-VLOOKUP(B178,#REF!,$AM$2,0),0)</f>
        <v>0</v>
      </c>
      <c r="AN178" s="9">
        <f>IFERROR(VLOOKUP(B178,cubo!$A$6:$AN$37,41,0)-VLOOKUP(B178,#REF!,$AN$2,0),0)</f>
        <v>0</v>
      </c>
    </row>
    <row r="179" spans="2:40" x14ac:dyDescent="0.25">
      <c r="B179" s="7">
        <f>[1]salario!A178</f>
        <v>0</v>
      </c>
      <c r="C179" s="8">
        <f>[1]salario!C178</f>
        <v>0</v>
      </c>
      <c r="D179" s="9">
        <f>IFERROR(VLOOKUP(B179,cubo!$A$6:$BE$37,3,0)-VLOOKUP(B179,#REF!,$D$2,0),0)</f>
        <v>0</v>
      </c>
      <c r="E179" s="10">
        <f>IFERROR(VLOOKUP(B179,cubo!$A$6:$BE$37,5,0)-VLOOKUP(B179,#REF!,$E$2,0),0)</f>
        <v>0</v>
      </c>
      <c r="F179" s="10">
        <f>IFERROR(VLOOKUP(B179,cubo!$A$6:$BE$37,8,0)-VLOOKUP(B179,#REF!,$F$2,0),0)</f>
        <v>0</v>
      </c>
      <c r="G179" s="9">
        <f>IFERROR(VLOOKUP(B179,cubo!$A$6:$BE$37,11,0)-VLOOKUP(B179,#REF!,$G$2,0),0)</f>
        <v>0</v>
      </c>
      <c r="H179" s="9">
        <f>IFERROR(VLOOKUP(B179,cubo!$A$6:$BE$37,53,0)-VLOOKUP(B179,#REF!,$H$2,0),0)</f>
        <v>0</v>
      </c>
      <c r="I179" s="10">
        <f>IFERROR(VLOOKUP(B179,cubo!$A$6:$BE$37,14,0)-VLOOKUP(B179,#REF!,$I$2,0),0)</f>
        <v>0</v>
      </c>
      <c r="J179" s="9">
        <f>IFERROR(VLOOKUP(B179,cubo!$A$6:$BE$37,16,0)-VLOOKUP(B179,#REF!,$J$2,0),0)</f>
        <v>0</v>
      </c>
      <c r="K179" s="9">
        <f>IFERROR(VLOOKUP(B179,cubo!$A$6:$BE$37,17,0)-VLOOKUP(B179,#REF!,$K$2,0),0)</f>
        <v>0</v>
      </c>
      <c r="L179" s="9">
        <f>IFERROR(VLOOKUP(B179,cubo!$A$6:$BE$37,19,0)-VLOOKUP(B179,#REF!,$L$2,0),0)</f>
        <v>0</v>
      </c>
      <c r="M179" s="9">
        <f>IFERROR(VLOOKUP(B179,cubo!$A$6:$BE$37,23,0)-VLOOKUP(B179,#REF!,$M$2,0),0)</f>
        <v>0</v>
      </c>
      <c r="N179" s="9">
        <f>IFERROR(VLOOKUP(B179,cubo!$A$6:$BE$37,25,0)-VLOOKUP(B179,#REF!,$N$2,0),0)</f>
        <v>0</v>
      </c>
      <c r="O179" s="9">
        <f>IFERROR(VLOOKUP(B179,cubo!$A$6:$BE$37,33,0)-VLOOKUP(B179,#REF!,$O$2,0),0)</f>
        <v>0</v>
      </c>
      <c r="P179" s="8">
        <f>IFERROR(VLOOKUP(B179,cubo!$A$6:$BE$37,37,0)-VLOOKUP(B179,#REF!,$P$2,0),0)</f>
        <v>0</v>
      </c>
      <c r="Q179" s="8">
        <f>IFERROR(VLOOKUP(B179,cubo!$A$6:$BE$37,56,0)-VLOOKUP(B179,#REF!,$Q$2,0),0)</f>
        <v>0</v>
      </c>
      <c r="R179" s="9">
        <f>IFERROR(VLOOKUP(B179,cubo!$A$6:$BE$37,40,0)-VLOOKUP(B179,#REF!,$R$2,0),0)</f>
        <v>0</v>
      </c>
      <c r="S179" s="9">
        <f>IFERROR(VLOOKUP(B179,cubo!$A$6:$BE$37,43,0)-VLOOKUP(B179,#REF!,$S$2,0),0)</f>
        <v>0</v>
      </c>
      <c r="T179" s="9">
        <f>IFERROR(VLOOKUP(B179,cubo!$A$6:$BE$37,46,0)-VLOOKUP(B179,#REF!,$T$2,0),0)</f>
        <v>0</v>
      </c>
      <c r="U179" s="9">
        <f>IFERROR(VLOOKUP(B179,cubo!$A$6:$BE$37,51,0)-VLOOKUP(B179,#REF!,$U$2,0),0)</f>
        <v>0</v>
      </c>
      <c r="V179" s="9">
        <f>IFERROR(VLOOKUP(B179,cubo!$A$6:$BJ$37,60,0)-VLOOKUP(B179,#REF!,$V$2,0),0)</f>
        <v>0</v>
      </c>
      <c r="W179" s="9">
        <f>IFERROR(VLOOKUP(B179,cubo!$A$6:$BE$37,26,0)-VLOOKUP(B179,#REF!,$W$2,0),0)</f>
        <v>0</v>
      </c>
      <c r="X179" s="9">
        <f>IFERROR(VLOOKUP(B179,cubo!$A$6:$BE$37,20,0)-VLOOKUP(B179,#REF!,$X$2,0),0)</f>
        <v>0</v>
      </c>
      <c r="Y179" s="9">
        <f>IFERROR(VLOOKUP(B179,cubo!$A$6:$BE$37,21,0)-VLOOKUP(B179,#REF!,$Y$2,0),0)</f>
        <v>0</v>
      </c>
      <c r="Z179" s="9">
        <f>IFERROR(VLOOKUP(B179,cubo!$A$6:$BE$37,27,0)-VLOOKUP(B179,#REF!,$Z$2,0),0)</f>
        <v>0</v>
      </c>
      <c r="AA179" s="9">
        <f>IFERROR(VLOOKUP(B179,cubo!$A$6:$BE$37,28,0)-VLOOKUP(B179,#REF!,$AA$2,0),0)</f>
        <v>0</v>
      </c>
      <c r="AB179" s="9">
        <f>IFERROR(VLOOKUP(B179,cubo!$A$6:$BE$37,29,0)-VLOOKUP(B179,#REF!,$AB$2,0),0)</f>
        <v>0</v>
      </c>
      <c r="AC179" s="9">
        <f>IFERROR(VLOOKUP(B179,cubo!$A$6:$BE$37,30,0)-VLOOKUP(B179,#REF!,$AC$2,0),0)</f>
        <v>0</v>
      </c>
      <c r="AD179" s="9">
        <f>IFERROR(VLOOKUP(B179,cubo!$A$6:$BE$37,31,0)-VLOOKUP(B179,#REF!,$AD$2,0),0)</f>
        <v>0</v>
      </c>
      <c r="AE179" s="9">
        <f>IFERROR(VLOOKUP(B179,cubo!$A$6:$BE$37,35,0)-VLOOKUP(B179,#REF!,$AE$2,0),0)</f>
        <v>0</v>
      </c>
      <c r="AF179" s="9" cm="1">
        <f t="array" aca="1" ref="AF179" ca="1">IFERROR(rrPROCV(B179,cubo!$A$6:$BE$37,48,0)-VLOOKUP(B179,#REF!,$AF$2,0),0)</f>
        <v>0</v>
      </c>
      <c r="AG179" s="9">
        <f>IFERROR(VLOOKUP(B179,cubo!$A$6:$BE$37,49,0)-VLOOKUP(B179,#REF!,$AG$2,0),0)</f>
        <v>0</v>
      </c>
      <c r="AH179" s="9">
        <f>IFERROR(VLOOKUP(B179,cubo!$A$6:$BE$37,50,0)-VLOOKUP(B179,#REF!,$AH$2,0),0)</f>
        <v>0</v>
      </c>
      <c r="AI179" s="9">
        <f>IFERROR(VLOOKUP(B179,cubo!$A$6:$BE$37,51,0)-VLOOKUP(B179,#REF!,$AI$2,0),0)</f>
        <v>0</v>
      </c>
      <c r="AJ179" s="9">
        <f>IFERROR(VLOOKUP(B179,cubo!$A$6:$BI$116,62,0)-VLOOKUP(B179,#REF!,$AJ$2,0),0)</f>
        <v>0</v>
      </c>
      <c r="AK179" s="9">
        <f>IFERROR(VLOOKUP(B179,cubo!$A$6:$BJ$37,63,0)-VLOOKUP(B179,#REF!,$AK$2,0),0)</f>
        <v>0</v>
      </c>
      <c r="AL179" s="9">
        <f>IFERROR(VLOOKUP(B179,cubo!$A$6:$BE$37,58,0)-VLOOKUP(B179,#REF!,$AL$2,0),0)</f>
        <v>0</v>
      </c>
      <c r="AM179" s="9">
        <f>IFERROR(VLOOKUP(B179,cubo!$A$6:$BK$37,64,0)-VLOOKUP(B179,#REF!,$AM$2,0),0)</f>
        <v>0</v>
      </c>
      <c r="AN179" s="9">
        <f>IFERROR(VLOOKUP(B179,cubo!$A$6:$AN$37,41,0)-VLOOKUP(B179,#REF!,$AN$2,0),0)</f>
        <v>0</v>
      </c>
    </row>
    <row r="180" spans="2:40" x14ac:dyDescent="0.25">
      <c r="B180" s="7">
        <f>[1]salario!A179</f>
        <v>0</v>
      </c>
      <c r="C180" s="8">
        <f>[1]salario!C179</f>
        <v>0</v>
      </c>
      <c r="D180" s="9">
        <f>IFERROR(VLOOKUP(B180,cubo!$A$6:$BE$37,3,0)-VLOOKUP(B180,#REF!,$D$2,0),0)</f>
        <v>0</v>
      </c>
      <c r="E180" s="10">
        <f>IFERROR(VLOOKUP(B180,cubo!$A$6:$BE$37,5,0)-VLOOKUP(B180,#REF!,$E$2,0),0)</f>
        <v>0</v>
      </c>
      <c r="F180" s="10">
        <f>IFERROR(VLOOKUP(B180,cubo!$A$6:$BE$37,8,0)-VLOOKUP(B180,#REF!,$F$2,0),0)</f>
        <v>0</v>
      </c>
      <c r="G180" s="9">
        <f>IFERROR(VLOOKUP(B180,cubo!$A$6:$BE$37,11,0)-VLOOKUP(B180,#REF!,$G$2,0),0)</f>
        <v>0</v>
      </c>
      <c r="H180" s="9">
        <f>IFERROR(VLOOKUP(B180,cubo!$A$6:$BE$37,53,0)-VLOOKUP(B180,#REF!,$H$2,0),0)</f>
        <v>0</v>
      </c>
      <c r="I180" s="10">
        <f>IFERROR(VLOOKUP(B180,cubo!$A$6:$BE$37,14,0)-VLOOKUP(B180,#REF!,$I$2,0),0)</f>
        <v>0</v>
      </c>
      <c r="J180" s="9">
        <f>IFERROR(VLOOKUP(B180,cubo!$A$6:$BE$37,16,0)-VLOOKUP(B180,#REF!,$J$2,0),0)</f>
        <v>0</v>
      </c>
      <c r="K180" s="9">
        <f>IFERROR(VLOOKUP(B180,cubo!$A$6:$BE$37,17,0)-VLOOKUP(B180,#REF!,$K$2,0),0)</f>
        <v>0</v>
      </c>
      <c r="L180" s="9">
        <f>IFERROR(VLOOKUP(B180,cubo!$A$6:$BE$37,19,0)-VLOOKUP(B180,#REF!,$L$2,0),0)</f>
        <v>0</v>
      </c>
      <c r="M180" s="9">
        <f>IFERROR(VLOOKUP(B180,cubo!$A$6:$BE$37,23,0)-VLOOKUP(B180,#REF!,$M$2,0),0)</f>
        <v>0</v>
      </c>
      <c r="N180" s="9">
        <f>IFERROR(VLOOKUP(B180,cubo!$A$6:$BE$37,25,0)-VLOOKUP(B180,#REF!,$N$2,0),0)</f>
        <v>0</v>
      </c>
      <c r="O180" s="9">
        <f>IFERROR(VLOOKUP(B180,cubo!$A$6:$BE$37,33,0)-VLOOKUP(B180,#REF!,$O$2,0),0)</f>
        <v>0</v>
      </c>
      <c r="P180" s="8">
        <f>IFERROR(VLOOKUP(B180,cubo!$A$6:$BE$37,37,0)-VLOOKUP(B180,#REF!,$P$2,0),0)</f>
        <v>0</v>
      </c>
      <c r="Q180" s="8">
        <f>IFERROR(VLOOKUP(B180,cubo!$A$6:$BE$37,56,0)-VLOOKUP(B180,#REF!,$Q$2,0),0)</f>
        <v>0</v>
      </c>
      <c r="R180" s="9">
        <f>IFERROR(VLOOKUP(B180,cubo!$A$6:$BE$37,40,0)-VLOOKUP(B180,#REF!,$R$2,0),0)</f>
        <v>0</v>
      </c>
      <c r="S180" s="9">
        <f>IFERROR(VLOOKUP(B180,cubo!$A$6:$BE$37,43,0)-VLOOKUP(B180,#REF!,$S$2,0),0)</f>
        <v>0</v>
      </c>
      <c r="T180" s="9">
        <f>IFERROR(VLOOKUP(B180,cubo!$A$6:$BE$37,46,0)-VLOOKUP(B180,#REF!,$T$2,0),0)</f>
        <v>0</v>
      </c>
      <c r="U180" s="9">
        <f>IFERROR(VLOOKUP(B180,cubo!$A$6:$BE$37,51,0)-VLOOKUP(B180,#REF!,$U$2,0),0)</f>
        <v>0</v>
      </c>
      <c r="V180" s="9">
        <f>IFERROR(VLOOKUP(B180,cubo!$A$6:$BJ$37,60,0)-VLOOKUP(B180,#REF!,$V$2,0),0)</f>
        <v>0</v>
      </c>
      <c r="W180" s="9">
        <f>IFERROR(VLOOKUP(B180,cubo!$A$6:$BE$37,26,0)-VLOOKUP(B180,#REF!,$W$2,0),0)</f>
        <v>0</v>
      </c>
      <c r="X180" s="9">
        <f>IFERROR(VLOOKUP(B180,cubo!$A$6:$BE$37,20,0)-VLOOKUP(B180,#REF!,$X$2,0),0)</f>
        <v>0</v>
      </c>
      <c r="Y180" s="9">
        <f>IFERROR(VLOOKUP(B180,cubo!$A$6:$BE$37,21,0)-VLOOKUP(B180,#REF!,$Y$2,0),0)</f>
        <v>0</v>
      </c>
      <c r="Z180" s="9">
        <f>IFERROR(VLOOKUP(B180,cubo!$A$6:$BE$37,27,0)-VLOOKUP(B180,#REF!,$Z$2,0),0)</f>
        <v>0</v>
      </c>
      <c r="AA180" s="9">
        <f>IFERROR(VLOOKUP(B180,cubo!$A$6:$BE$37,28,0)-VLOOKUP(B180,#REF!,$AA$2,0),0)</f>
        <v>0</v>
      </c>
      <c r="AB180" s="9">
        <f>IFERROR(VLOOKUP(B180,cubo!$A$6:$BE$37,29,0)-VLOOKUP(B180,#REF!,$AB$2,0),0)</f>
        <v>0</v>
      </c>
      <c r="AC180" s="9">
        <f>IFERROR(VLOOKUP(B180,cubo!$A$6:$BE$37,30,0)-VLOOKUP(B180,#REF!,$AC$2,0),0)</f>
        <v>0</v>
      </c>
      <c r="AD180" s="9">
        <f>IFERROR(VLOOKUP(B180,cubo!$A$6:$BE$37,31,0)-VLOOKUP(B180,#REF!,$AD$2,0),0)</f>
        <v>0</v>
      </c>
      <c r="AE180" s="9">
        <f>IFERROR(VLOOKUP(B180,cubo!$A$6:$BE$37,35,0)-VLOOKUP(B180,#REF!,$AE$2,0),0)</f>
        <v>0</v>
      </c>
      <c r="AF180" s="9" cm="1">
        <f t="array" aca="1" ref="AF180" ca="1">IFERROR(rrPROCV(B180,cubo!$A$6:$BE$37,48,0)-VLOOKUP(B180,#REF!,$AF$2,0),0)</f>
        <v>0</v>
      </c>
      <c r="AG180" s="9">
        <f>IFERROR(VLOOKUP(B180,cubo!$A$6:$BE$37,49,0)-VLOOKUP(B180,#REF!,$AG$2,0),0)</f>
        <v>0</v>
      </c>
      <c r="AH180" s="9">
        <f>IFERROR(VLOOKUP(B180,cubo!$A$6:$BE$37,50,0)-VLOOKUP(B180,#REF!,$AH$2,0),0)</f>
        <v>0</v>
      </c>
      <c r="AI180" s="9">
        <f>IFERROR(VLOOKUP(B180,cubo!$A$6:$BE$37,51,0)-VLOOKUP(B180,#REF!,$AI$2,0),0)</f>
        <v>0</v>
      </c>
      <c r="AJ180" s="9">
        <f>IFERROR(VLOOKUP(B180,cubo!$A$6:$BI$116,62,0)-VLOOKUP(B180,#REF!,$AJ$2,0),0)</f>
        <v>0</v>
      </c>
      <c r="AK180" s="9">
        <f>IFERROR(VLOOKUP(B180,cubo!$A$6:$BJ$37,63,0)-VLOOKUP(B180,#REF!,$AK$2,0),0)</f>
        <v>0</v>
      </c>
      <c r="AL180" s="9">
        <f>IFERROR(VLOOKUP(B180,cubo!$A$6:$BE$37,58,0)-VLOOKUP(B180,#REF!,$AL$2,0),0)</f>
        <v>0</v>
      </c>
      <c r="AM180" s="9">
        <f>IFERROR(VLOOKUP(B180,cubo!$A$6:$BK$37,64,0)-VLOOKUP(B180,#REF!,$AM$2,0),0)</f>
        <v>0</v>
      </c>
      <c r="AN180" s="9">
        <f>IFERROR(VLOOKUP(B180,cubo!$A$6:$AN$37,41,0)-VLOOKUP(B180,#REF!,$AN$2,0),0)</f>
        <v>0</v>
      </c>
    </row>
    <row r="181" spans="2:40" x14ac:dyDescent="0.25">
      <c r="B181" s="7">
        <f>[1]salario!A180</f>
        <v>0</v>
      </c>
      <c r="C181" s="8">
        <f>[1]salario!C180</f>
        <v>0</v>
      </c>
      <c r="D181" s="9">
        <f>IFERROR(VLOOKUP(B181,cubo!$A$6:$BE$37,3,0)-VLOOKUP(B181,#REF!,$D$2,0),0)</f>
        <v>0</v>
      </c>
      <c r="E181" s="10">
        <f>IFERROR(VLOOKUP(B181,cubo!$A$6:$BE$37,5,0)-VLOOKUP(B181,#REF!,$E$2,0),0)</f>
        <v>0</v>
      </c>
      <c r="F181" s="10">
        <f>IFERROR(VLOOKUP(B181,cubo!$A$6:$BE$37,8,0)-VLOOKUP(B181,#REF!,$F$2,0),0)</f>
        <v>0</v>
      </c>
      <c r="G181" s="9">
        <f>IFERROR(VLOOKUP(B181,cubo!$A$6:$BE$37,11,0)-VLOOKUP(B181,#REF!,$G$2,0),0)</f>
        <v>0</v>
      </c>
      <c r="H181" s="9">
        <f>IFERROR(VLOOKUP(B181,cubo!$A$6:$BE$37,53,0)-VLOOKUP(B181,#REF!,$H$2,0),0)</f>
        <v>0</v>
      </c>
      <c r="I181" s="10">
        <f>IFERROR(VLOOKUP(B181,cubo!$A$6:$BE$37,14,0)-VLOOKUP(B181,#REF!,$I$2,0),0)</f>
        <v>0</v>
      </c>
      <c r="J181" s="9">
        <f>IFERROR(VLOOKUP(B181,cubo!$A$6:$BE$37,16,0)-VLOOKUP(B181,#REF!,$J$2,0),0)</f>
        <v>0</v>
      </c>
      <c r="K181" s="9">
        <f>IFERROR(VLOOKUP(B181,cubo!$A$6:$BE$37,17,0)-VLOOKUP(B181,#REF!,$K$2,0),0)</f>
        <v>0</v>
      </c>
      <c r="L181" s="9">
        <f>IFERROR(VLOOKUP(B181,cubo!$A$6:$BE$37,19,0)-VLOOKUP(B181,#REF!,$L$2,0),0)</f>
        <v>0</v>
      </c>
      <c r="M181" s="9">
        <f>IFERROR(VLOOKUP(B181,cubo!$A$6:$BE$37,23,0)-VLOOKUP(B181,#REF!,$M$2,0),0)</f>
        <v>0</v>
      </c>
      <c r="N181" s="9">
        <f>IFERROR(VLOOKUP(B181,cubo!$A$6:$BE$37,25,0)-VLOOKUP(B181,#REF!,$N$2,0),0)</f>
        <v>0</v>
      </c>
      <c r="O181" s="9">
        <f>IFERROR(VLOOKUP(B181,cubo!$A$6:$BE$37,33,0)-VLOOKUP(B181,#REF!,$O$2,0),0)</f>
        <v>0</v>
      </c>
      <c r="P181" s="8">
        <f>IFERROR(VLOOKUP(B181,cubo!$A$6:$BE$37,37,0)-VLOOKUP(B181,#REF!,$P$2,0),0)</f>
        <v>0</v>
      </c>
      <c r="Q181" s="8">
        <f>IFERROR(VLOOKUP(B181,cubo!$A$6:$BE$37,56,0)-VLOOKUP(B181,#REF!,$Q$2,0),0)</f>
        <v>0</v>
      </c>
      <c r="R181" s="9">
        <f>IFERROR(VLOOKUP(B181,cubo!$A$6:$BE$37,40,0)-VLOOKUP(B181,#REF!,$R$2,0),0)</f>
        <v>0</v>
      </c>
      <c r="S181" s="9">
        <f>IFERROR(VLOOKUP(B181,cubo!$A$6:$BE$37,43,0)-VLOOKUP(B181,#REF!,$S$2,0),0)</f>
        <v>0</v>
      </c>
      <c r="T181" s="9">
        <f>IFERROR(VLOOKUP(B181,cubo!$A$6:$BE$37,46,0)-VLOOKUP(B181,#REF!,$T$2,0),0)</f>
        <v>0</v>
      </c>
      <c r="U181" s="9">
        <f>IFERROR(VLOOKUP(B181,cubo!$A$6:$BE$37,51,0)-VLOOKUP(B181,#REF!,$U$2,0),0)</f>
        <v>0</v>
      </c>
      <c r="V181" s="9">
        <f>IFERROR(VLOOKUP(B181,cubo!$A$6:$BJ$37,60,0)-VLOOKUP(B181,#REF!,$V$2,0),0)</f>
        <v>0</v>
      </c>
      <c r="W181" s="9">
        <f>IFERROR(VLOOKUP(B181,cubo!$A$6:$BE$37,26,0)-VLOOKUP(B181,#REF!,$W$2,0),0)</f>
        <v>0</v>
      </c>
      <c r="X181" s="9">
        <f>IFERROR(VLOOKUP(B181,cubo!$A$6:$BE$37,20,0)-VLOOKUP(B181,#REF!,$X$2,0),0)</f>
        <v>0</v>
      </c>
      <c r="Y181" s="9">
        <f>IFERROR(VLOOKUP(B181,cubo!$A$6:$BE$37,21,0)-VLOOKUP(B181,#REF!,$Y$2,0),0)</f>
        <v>0</v>
      </c>
      <c r="Z181" s="9">
        <f>IFERROR(VLOOKUP(B181,cubo!$A$6:$BE$37,27,0)-VLOOKUP(B181,#REF!,$Z$2,0),0)</f>
        <v>0</v>
      </c>
      <c r="AA181" s="9">
        <f>IFERROR(VLOOKUP(B181,cubo!$A$6:$BE$37,28,0)-VLOOKUP(B181,#REF!,$AA$2,0),0)</f>
        <v>0</v>
      </c>
      <c r="AB181" s="9">
        <f>IFERROR(VLOOKUP(B181,cubo!$A$6:$BE$37,29,0)-VLOOKUP(B181,#REF!,$AB$2,0),0)</f>
        <v>0</v>
      </c>
      <c r="AC181" s="9">
        <f>IFERROR(VLOOKUP(B181,cubo!$A$6:$BE$37,30,0)-VLOOKUP(B181,#REF!,$AC$2,0),0)</f>
        <v>0</v>
      </c>
      <c r="AD181" s="9">
        <f>IFERROR(VLOOKUP(B181,cubo!$A$6:$BE$37,31,0)-VLOOKUP(B181,#REF!,$AD$2,0),0)</f>
        <v>0</v>
      </c>
      <c r="AE181" s="9">
        <f>IFERROR(VLOOKUP(B181,cubo!$A$6:$BE$37,35,0)-VLOOKUP(B181,#REF!,$AE$2,0),0)</f>
        <v>0</v>
      </c>
      <c r="AF181" s="9" cm="1">
        <f t="array" aca="1" ref="AF181" ca="1">IFERROR(rrPROCV(B181,cubo!$A$6:$BE$37,48,0)-VLOOKUP(B181,#REF!,$AF$2,0),0)</f>
        <v>0</v>
      </c>
      <c r="AG181" s="9">
        <f>IFERROR(VLOOKUP(B181,cubo!$A$6:$BE$37,49,0)-VLOOKUP(B181,#REF!,$AG$2,0),0)</f>
        <v>0</v>
      </c>
      <c r="AH181" s="9">
        <f>IFERROR(VLOOKUP(B181,cubo!$A$6:$BE$37,50,0)-VLOOKUP(B181,#REF!,$AH$2,0),0)</f>
        <v>0</v>
      </c>
      <c r="AI181" s="9">
        <f>IFERROR(VLOOKUP(B181,cubo!$A$6:$BE$37,51,0)-VLOOKUP(B181,#REF!,$AI$2,0),0)</f>
        <v>0</v>
      </c>
      <c r="AJ181" s="9">
        <f>IFERROR(VLOOKUP(B181,cubo!$A$6:$BI$116,62,0)-VLOOKUP(B181,#REF!,$AJ$2,0),0)</f>
        <v>0</v>
      </c>
      <c r="AK181" s="9">
        <f>IFERROR(VLOOKUP(B181,cubo!$A$6:$BJ$37,63,0)-VLOOKUP(B181,#REF!,$AK$2,0),0)</f>
        <v>0</v>
      </c>
      <c r="AL181" s="9">
        <f>IFERROR(VLOOKUP(B181,cubo!$A$6:$BE$37,58,0)-VLOOKUP(B181,#REF!,$AL$2,0),0)</f>
        <v>0</v>
      </c>
      <c r="AM181" s="9">
        <f>IFERROR(VLOOKUP(B181,cubo!$A$6:$BK$37,64,0)-VLOOKUP(B181,#REF!,$AM$2,0),0)</f>
        <v>0</v>
      </c>
      <c r="AN181" s="9">
        <f>IFERROR(VLOOKUP(B181,cubo!$A$6:$AN$37,41,0)-VLOOKUP(B181,#REF!,$AN$2,0),0)</f>
        <v>0</v>
      </c>
    </row>
    <row r="182" spans="2:40" x14ac:dyDescent="0.25">
      <c r="B182" s="7">
        <f>[1]salario!A181</f>
        <v>0</v>
      </c>
      <c r="C182" s="8">
        <f>[1]salario!C181</f>
        <v>0</v>
      </c>
      <c r="D182" s="9">
        <f>IFERROR(VLOOKUP(B182,cubo!$A$6:$BE$37,3,0)-VLOOKUP(B182,#REF!,$D$2,0),0)</f>
        <v>0</v>
      </c>
      <c r="E182" s="10">
        <f>IFERROR(VLOOKUP(B182,cubo!$A$6:$BE$37,5,0)-VLOOKUP(B182,#REF!,$E$2,0),0)</f>
        <v>0</v>
      </c>
      <c r="F182" s="10">
        <f>IFERROR(VLOOKUP(B182,cubo!$A$6:$BE$37,8,0)-VLOOKUP(B182,#REF!,$F$2,0),0)</f>
        <v>0</v>
      </c>
      <c r="G182" s="9">
        <f>IFERROR(VLOOKUP(B182,cubo!$A$6:$BE$37,11,0)-VLOOKUP(B182,#REF!,$G$2,0),0)</f>
        <v>0</v>
      </c>
      <c r="H182" s="9">
        <f>IFERROR(VLOOKUP(B182,cubo!$A$6:$BE$37,53,0)-VLOOKUP(B182,#REF!,$H$2,0),0)</f>
        <v>0</v>
      </c>
      <c r="I182" s="10">
        <f>IFERROR(VLOOKUP(B182,cubo!$A$6:$BE$37,14,0)-VLOOKUP(B182,#REF!,$I$2,0),0)</f>
        <v>0</v>
      </c>
      <c r="J182" s="9">
        <f>IFERROR(VLOOKUP(B182,cubo!$A$6:$BE$37,16,0)-VLOOKUP(B182,#REF!,$J$2,0),0)</f>
        <v>0</v>
      </c>
      <c r="K182" s="9">
        <f>IFERROR(VLOOKUP(B182,cubo!$A$6:$BE$37,17,0)-VLOOKUP(B182,#REF!,$K$2,0),0)</f>
        <v>0</v>
      </c>
      <c r="L182" s="9">
        <f>IFERROR(VLOOKUP(B182,cubo!$A$6:$BE$37,19,0)-VLOOKUP(B182,#REF!,$L$2,0),0)</f>
        <v>0</v>
      </c>
      <c r="M182" s="9">
        <f>IFERROR(VLOOKUP(B182,cubo!$A$6:$BE$37,23,0)-VLOOKUP(B182,#REF!,$M$2,0),0)</f>
        <v>0</v>
      </c>
      <c r="N182" s="9">
        <f>IFERROR(VLOOKUP(B182,cubo!$A$6:$BE$37,25,0)-VLOOKUP(B182,#REF!,$N$2,0),0)</f>
        <v>0</v>
      </c>
      <c r="O182" s="9">
        <f>IFERROR(VLOOKUP(B182,cubo!$A$6:$BE$37,33,0)-VLOOKUP(B182,#REF!,$O$2,0),0)</f>
        <v>0</v>
      </c>
      <c r="P182" s="8">
        <f>IFERROR(VLOOKUP(B182,cubo!$A$6:$BE$37,37,0)-VLOOKUP(B182,#REF!,$P$2,0),0)</f>
        <v>0</v>
      </c>
      <c r="Q182" s="8">
        <f>IFERROR(VLOOKUP(B182,cubo!$A$6:$BE$37,56,0)-VLOOKUP(B182,#REF!,$Q$2,0),0)</f>
        <v>0</v>
      </c>
      <c r="R182" s="9">
        <f>IFERROR(VLOOKUP(B182,cubo!$A$6:$BE$37,40,0)-VLOOKUP(B182,#REF!,$R$2,0),0)</f>
        <v>0</v>
      </c>
      <c r="S182" s="9">
        <f>IFERROR(VLOOKUP(B182,cubo!$A$6:$BE$37,43,0)-VLOOKUP(B182,#REF!,$S$2,0),0)</f>
        <v>0</v>
      </c>
      <c r="T182" s="9">
        <f>IFERROR(VLOOKUP(B182,cubo!$A$6:$BE$37,46,0)-VLOOKUP(B182,#REF!,$T$2,0),0)</f>
        <v>0</v>
      </c>
      <c r="U182" s="9">
        <f>IFERROR(VLOOKUP(B182,cubo!$A$6:$BE$37,51,0)-VLOOKUP(B182,#REF!,$U$2,0),0)</f>
        <v>0</v>
      </c>
      <c r="V182" s="9">
        <f>IFERROR(VLOOKUP(B182,cubo!$A$6:$BJ$37,60,0)-VLOOKUP(B182,#REF!,$V$2,0),0)</f>
        <v>0</v>
      </c>
      <c r="W182" s="9">
        <f>IFERROR(VLOOKUP(B182,cubo!$A$6:$BE$37,26,0)-VLOOKUP(B182,#REF!,$W$2,0),0)</f>
        <v>0</v>
      </c>
      <c r="X182" s="9">
        <f>IFERROR(VLOOKUP(B182,cubo!$A$6:$BE$37,20,0)-VLOOKUP(B182,#REF!,$X$2,0),0)</f>
        <v>0</v>
      </c>
      <c r="Y182" s="9">
        <f>IFERROR(VLOOKUP(B182,cubo!$A$6:$BE$37,21,0)-VLOOKUP(B182,#REF!,$Y$2,0),0)</f>
        <v>0</v>
      </c>
      <c r="Z182" s="9">
        <f>IFERROR(VLOOKUP(B182,cubo!$A$6:$BE$37,27,0)-VLOOKUP(B182,#REF!,$Z$2,0),0)</f>
        <v>0</v>
      </c>
      <c r="AA182" s="9">
        <f>IFERROR(VLOOKUP(B182,cubo!$A$6:$BE$37,28,0)-VLOOKUP(B182,#REF!,$AA$2,0),0)</f>
        <v>0</v>
      </c>
      <c r="AB182" s="9">
        <f>IFERROR(VLOOKUP(B182,cubo!$A$6:$BE$37,29,0)-VLOOKUP(B182,#REF!,$AB$2,0),0)</f>
        <v>0</v>
      </c>
      <c r="AC182" s="9">
        <f>IFERROR(VLOOKUP(B182,cubo!$A$6:$BE$37,30,0)-VLOOKUP(B182,#REF!,$AC$2,0),0)</f>
        <v>0</v>
      </c>
      <c r="AD182" s="9">
        <f>IFERROR(VLOOKUP(B182,cubo!$A$6:$BE$37,31,0)-VLOOKUP(B182,#REF!,$AD$2,0),0)</f>
        <v>0</v>
      </c>
      <c r="AE182" s="9">
        <f>IFERROR(VLOOKUP(B182,cubo!$A$6:$BE$37,35,0)-VLOOKUP(B182,#REF!,$AE$2,0),0)</f>
        <v>0</v>
      </c>
      <c r="AF182" s="9" cm="1">
        <f t="array" aca="1" ref="AF182" ca="1">IFERROR(rrPROCV(B182,cubo!$A$6:$BE$37,48,0)-VLOOKUP(B182,#REF!,$AF$2,0),0)</f>
        <v>0</v>
      </c>
      <c r="AG182" s="9">
        <f>IFERROR(VLOOKUP(B182,cubo!$A$6:$BE$37,49,0)-VLOOKUP(B182,#REF!,$AG$2,0),0)</f>
        <v>0</v>
      </c>
      <c r="AH182" s="9">
        <f>IFERROR(VLOOKUP(B182,cubo!$A$6:$BE$37,50,0)-VLOOKUP(B182,#REF!,$AH$2,0),0)</f>
        <v>0</v>
      </c>
      <c r="AI182" s="9">
        <f>IFERROR(VLOOKUP(B182,cubo!$A$6:$BE$37,51,0)-VLOOKUP(B182,#REF!,$AI$2,0),0)</f>
        <v>0</v>
      </c>
      <c r="AJ182" s="9">
        <f>IFERROR(VLOOKUP(B182,cubo!$A$6:$BI$116,62,0)-VLOOKUP(B182,#REF!,$AJ$2,0),0)</f>
        <v>0</v>
      </c>
      <c r="AK182" s="9">
        <f>IFERROR(VLOOKUP(B182,cubo!$A$6:$BJ$37,63,0)-VLOOKUP(B182,#REF!,$AK$2,0),0)</f>
        <v>0</v>
      </c>
      <c r="AL182" s="9">
        <f>IFERROR(VLOOKUP(B182,cubo!$A$6:$BE$37,58,0)-VLOOKUP(B182,#REF!,$AL$2,0),0)</f>
        <v>0</v>
      </c>
      <c r="AM182" s="9">
        <f>IFERROR(VLOOKUP(B182,cubo!$A$6:$BK$37,64,0)-VLOOKUP(B182,#REF!,$AM$2,0),0)</f>
        <v>0</v>
      </c>
      <c r="AN182" s="9">
        <f>IFERROR(VLOOKUP(B182,cubo!$A$6:$AN$37,41,0)-VLOOKUP(B182,#REF!,$AN$2,0),0)</f>
        <v>0</v>
      </c>
    </row>
    <row r="183" spans="2:40" x14ac:dyDescent="0.25">
      <c r="B183" s="7">
        <f>[1]salario!A182</f>
        <v>0</v>
      </c>
      <c r="C183" s="8">
        <f>[1]salario!C182</f>
        <v>0</v>
      </c>
      <c r="D183" s="9">
        <f>IFERROR(VLOOKUP(B183,cubo!$A$6:$BE$37,3,0)-VLOOKUP(B183,#REF!,$D$2,0),0)</f>
        <v>0</v>
      </c>
      <c r="E183" s="10">
        <f>IFERROR(VLOOKUP(B183,cubo!$A$6:$BE$37,5,0)-VLOOKUP(B183,#REF!,$E$2,0),0)</f>
        <v>0</v>
      </c>
      <c r="F183" s="10">
        <f>IFERROR(VLOOKUP(B183,cubo!$A$6:$BE$37,8,0)-VLOOKUP(B183,#REF!,$F$2,0),0)</f>
        <v>0</v>
      </c>
      <c r="G183" s="9">
        <f>IFERROR(VLOOKUP(B183,cubo!$A$6:$BE$37,11,0)-VLOOKUP(B183,#REF!,$G$2,0),0)</f>
        <v>0</v>
      </c>
      <c r="H183" s="9">
        <f>IFERROR(VLOOKUP(B183,cubo!$A$6:$BE$37,53,0)-VLOOKUP(B183,#REF!,$H$2,0),0)</f>
        <v>0</v>
      </c>
      <c r="I183" s="10">
        <f>IFERROR(VLOOKUP(B183,cubo!$A$6:$BE$37,14,0)-VLOOKUP(B183,#REF!,$I$2,0),0)</f>
        <v>0</v>
      </c>
      <c r="J183" s="9">
        <f>IFERROR(VLOOKUP(B183,cubo!$A$6:$BE$37,16,0)-VLOOKUP(B183,#REF!,$J$2,0),0)</f>
        <v>0</v>
      </c>
      <c r="K183" s="9">
        <f>IFERROR(VLOOKUP(B183,cubo!$A$6:$BE$37,17,0)-VLOOKUP(B183,#REF!,$K$2,0),0)</f>
        <v>0</v>
      </c>
      <c r="L183" s="9">
        <f>IFERROR(VLOOKUP(B183,cubo!$A$6:$BE$37,19,0)-VLOOKUP(B183,#REF!,$L$2,0),0)</f>
        <v>0</v>
      </c>
      <c r="M183" s="9">
        <f>IFERROR(VLOOKUP(B183,cubo!$A$6:$BE$37,23,0)-VLOOKUP(B183,#REF!,$M$2,0),0)</f>
        <v>0</v>
      </c>
      <c r="N183" s="9">
        <f>IFERROR(VLOOKUP(B183,cubo!$A$6:$BE$37,25,0)-VLOOKUP(B183,#REF!,$N$2,0),0)</f>
        <v>0</v>
      </c>
      <c r="O183" s="9">
        <f>IFERROR(VLOOKUP(B183,cubo!$A$6:$BE$37,33,0)-VLOOKUP(B183,#REF!,$O$2,0),0)</f>
        <v>0</v>
      </c>
      <c r="P183" s="8">
        <f>IFERROR(VLOOKUP(B183,cubo!$A$6:$BE$37,37,0)-VLOOKUP(B183,#REF!,$P$2,0),0)</f>
        <v>0</v>
      </c>
      <c r="Q183" s="8">
        <f>IFERROR(VLOOKUP(B183,cubo!$A$6:$BE$37,56,0)-VLOOKUP(B183,#REF!,$Q$2,0),0)</f>
        <v>0</v>
      </c>
      <c r="R183" s="9">
        <f>IFERROR(VLOOKUP(B183,cubo!$A$6:$BE$37,40,0)-VLOOKUP(B183,#REF!,$R$2,0),0)</f>
        <v>0</v>
      </c>
      <c r="S183" s="9">
        <f>IFERROR(VLOOKUP(B183,cubo!$A$6:$BE$37,43,0)-VLOOKUP(B183,#REF!,$S$2,0),0)</f>
        <v>0</v>
      </c>
      <c r="T183" s="9">
        <f>IFERROR(VLOOKUP(B183,cubo!$A$6:$BE$37,46,0)-VLOOKUP(B183,#REF!,$T$2,0),0)</f>
        <v>0</v>
      </c>
      <c r="U183" s="9">
        <f>IFERROR(VLOOKUP(B183,cubo!$A$6:$BE$37,51,0)-VLOOKUP(B183,#REF!,$U$2,0),0)</f>
        <v>0</v>
      </c>
      <c r="V183" s="9">
        <f>IFERROR(VLOOKUP(B183,cubo!$A$6:$BJ$37,60,0)-VLOOKUP(B183,#REF!,$V$2,0),0)</f>
        <v>0</v>
      </c>
      <c r="W183" s="9">
        <f>IFERROR(VLOOKUP(B183,cubo!$A$6:$BE$37,26,0)-VLOOKUP(B183,#REF!,$W$2,0),0)</f>
        <v>0</v>
      </c>
      <c r="X183" s="9">
        <f>IFERROR(VLOOKUP(B183,cubo!$A$6:$BE$37,20,0)-VLOOKUP(B183,#REF!,$X$2,0),0)</f>
        <v>0</v>
      </c>
      <c r="Y183" s="9">
        <f>IFERROR(VLOOKUP(B183,cubo!$A$6:$BE$37,21,0)-VLOOKUP(B183,#REF!,$Y$2,0),0)</f>
        <v>0</v>
      </c>
      <c r="Z183" s="9">
        <f>IFERROR(VLOOKUP(B183,cubo!$A$6:$BE$37,27,0)-VLOOKUP(B183,#REF!,$Z$2,0),0)</f>
        <v>0</v>
      </c>
      <c r="AA183" s="9">
        <f>IFERROR(VLOOKUP(B183,cubo!$A$6:$BE$37,28,0)-VLOOKUP(B183,#REF!,$AA$2,0),0)</f>
        <v>0</v>
      </c>
      <c r="AB183" s="9">
        <f>IFERROR(VLOOKUP(B183,cubo!$A$6:$BE$37,29,0)-VLOOKUP(B183,#REF!,$AB$2,0),0)</f>
        <v>0</v>
      </c>
      <c r="AC183" s="9">
        <f>IFERROR(VLOOKUP(B183,cubo!$A$6:$BE$37,30,0)-VLOOKUP(B183,#REF!,$AC$2,0),0)</f>
        <v>0</v>
      </c>
      <c r="AD183" s="9">
        <f>IFERROR(VLOOKUP(B183,cubo!$A$6:$BE$37,31,0)-VLOOKUP(B183,#REF!,$AD$2,0),0)</f>
        <v>0</v>
      </c>
      <c r="AE183" s="9">
        <f>IFERROR(VLOOKUP(B183,cubo!$A$6:$BE$37,35,0)-VLOOKUP(B183,#REF!,$AE$2,0),0)</f>
        <v>0</v>
      </c>
      <c r="AF183" s="9" cm="1">
        <f t="array" aca="1" ref="AF183" ca="1">IFERROR(rrPROCV(B183,cubo!$A$6:$BE$37,48,0)-VLOOKUP(B183,#REF!,$AF$2,0),0)</f>
        <v>0</v>
      </c>
      <c r="AG183" s="9">
        <f>IFERROR(VLOOKUP(B183,cubo!$A$6:$BE$37,49,0)-VLOOKUP(B183,#REF!,$AG$2,0),0)</f>
        <v>0</v>
      </c>
      <c r="AH183" s="9">
        <f>IFERROR(VLOOKUP(B183,cubo!$A$6:$BE$37,50,0)-VLOOKUP(B183,#REF!,$AH$2,0),0)</f>
        <v>0</v>
      </c>
      <c r="AI183" s="9">
        <f>IFERROR(VLOOKUP(B183,cubo!$A$6:$BE$37,51,0)-VLOOKUP(B183,#REF!,$AI$2,0),0)</f>
        <v>0</v>
      </c>
      <c r="AJ183" s="9">
        <f>IFERROR(VLOOKUP(B183,cubo!$A$6:$BI$116,62,0)-VLOOKUP(B183,#REF!,$AJ$2,0),0)</f>
        <v>0</v>
      </c>
      <c r="AK183" s="9">
        <f>IFERROR(VLOOKUP(B183,cubo!$A$6:$BJ$37,63,0)-VLOOKUP(B183,#REF!,$AK$2,0),0)</f>
        <v>0</v>
      </c>
      <c r="AL183" s="9">
        <f>IFERROR(VLOOKUP(B183,cubo!$A$6:$BE$37,58,0)-VLOOKUP(B183,#REF!,$AL$2,0),0)</f>
        <v>0</v>
      </c>
      <c r="AM183" s="9">
        <f>IFERROR(VLOOKUP(B183,cubo!$A$6:$BK$37,64,0)-VLOOKUP(B183,#REF!,$AM$2,0),0)</f>
        <v>0</v>
      </c>
      <c r="AN183" s="9">
        <f>IFERROR(VLOOKUP(B183,cubo!$A$6:$AN$37,41,0)-VLOOKUP(B183,#REF!,$AN$2,0),0)</f>
        <v>0</v>
      </c>
    </row>
    <row r="184" spans="2:40" x14ac:dyDescent="0.25">
      <c r="B184" s="7">
        <f>[1]salario!A183</f>
        <v>0</v>
      </c>
      <c r="C184" s="8">
        <f>[1]salario!C183</f>
        <v>0</v>
      </c>
      <c r="D184" s="9">
        <f>IFERROR(VLOOKUP(B184,cubo!$A$6:$BE$37,3,0)-VLOOKUP(B184,#REF!,$D$2,0),0)</f>
        <v>0</v>
      </c>
      <c r="E184" s="10">
        <f>IFERROR(VLOOKUP(B184,cubo!$A$6:$BE$37,5,0)-VLOOKUP(B184,#REF!,$E$2,0),0)</f>
        <v>0</v>
      </c>
      <c r="F184" s="10">
        <f>IFERROR(VLOOKUP(B184,cubo!$A$6:$BE$37,8,0)-VLOOKUP(B184,#REF!,$F$2,0),0)</f>
        <v>0</v>
      </c>
      <c r="G184" s="9">
        <f>IFERROR(VLOOKUP(B184,cubo!$A$6:$BE$37,11,0)-VLOOKUP(B184,#REF!,$G$2,0),0)</f>
        <v>0</v>
      </c>
      <c r="H184" s="9">
        <f>IFERROR(VLOOKUP(B184,cubo!$A$6:$BE$37,53,0)-VLOOKUP(B184,#REF!,$H$2,0),0)</f>
        <v>0</v>
      </c>
      <c r="I184" s="10">
        <f>IFERROR(VLOOKUP(B184,cubo!$A$6:$BE$37,14,0)-VLOOKUP(B184,#REF!,$I$2,0),0)</f>
        <v>0</v>
      </c>
      <c r="J184" s="9">
        <f>IFERROR(VLOOKUP(B184,cubo!$A$6:$BE$37,16,0)-VLOOKUP(B184,#REF!,$J$2,0),0)</f>
        <v>0</v>
      </c>
      <c r="K184" s="9">
        <f>IFERROR(VLOOKUP(B184,cubo!$A$6:$BE$37,17,0)-VLOOKUP(B184,#REF!,$K$2,0),0)</f>
        <v>0</v>
      </c>
      <c r="L184" s="9">
        <f>IFERROR(VLOOKUP(B184,cubo!$A$6:$BE$37,19,0)-VLOOKUP(B184,#REF!,$L$2,0),0)</f>
        <v>0</v>
      </c>
      <c r="M184" s="9">
        <f>IFERROR(VLOOKUP(B184,cubo!$A$6:$BE$37,23,0)-VLOOKUP(B184,#REF!,$M$2,0),0)</f>
        <v>0</v>
      </c>
      <c r="N184" s="9">
        <f>IFERROR(VLOOKUP(B184,cubo!$A$6:$BE$37,25,0)-VLOOKUP(B184,#REF!,$N$2,0),0)</f>
        <v>0</v>
      </c>
      <c r="O184" s="9">
        <f>IFERROR(VLOOKUP(B184,cubo!$A$6:$BE$37,33,0)-VLOOKUP(B184,#REF!,$O$2,0),0)</f>
        <v>0</v>
      </c>
      <c r="P184" s="8">
        <f>IFERROR(VLOOKUP(B184,cubo!$A$6:$BE$37,37,0)-VLOOKUP(B184,#REF!,$P$2,0),0)</f>
        <v>0</v>
      </c>
      <c r="Q184" s="8">
        <f>IFERROR(VLOOKUP(B184,cubo!$A$6:$BE$37,56,0)-VLOOKUP(B184,#REF!,$Q$2,0),0)</f>
        <v>0</v>
      </c>
      <c r="R184" s="9">
        <f>IFERROR(VLOOKUP(B184,cubo!$A$6:$BE$37,40,0)-VLOOKUP(B184,#REF!,$R$2,0),0)</f>
        <v>0</v>
      </c>
      <c r="S184" s="9">
        <f>IFERROR(VLOOKUP(B184,cubo!$A$6:$BE$37,43,0)-VLOOKUP(B184,#REF!,$S$2,0),0)</f>
        <v>0</v>
      </c>
      <c r="T184" s="9">
        <f>IFERROR(VLOOKUP(B184,cubo!$A$6:$BE$37,46,0)-VLOOKUP(B184,#REF!,$T$2,0),0)</f>
        <v>0</v>
      </c>
      <c r="U184" s="9">
        <f>IFERROR(VLOOKUP(B184,cubo!$A$6:$BE$37,51,0)-VLOOKUP(B184,#REF!,$U$2,0),0)</f>
        <v>0</v>
      </c>
      <c r="V184" s="9">
        <f>IFERROR(VLOOKUP(B184,cubo!$A$6:$BJ$37,60,0)-VLOOKUP(B184,#REF!,$V$2,0),0)</f>
        <v>0</v>
      </c>
      <c r="W184" s="9">
        <f>IFERROR(VLOOKUP(B184,cubo!$A$6:$BE$37,26,0)-VLOOKUP(B184,#REF!,$W$2,0),0)</f>
        <v>0</v>
      </c>
      <c r="X184" s="9">
        <f>IFERROR(VLOOKUP(B184,cubo!$A$6:$BE$37,20,0)-VLOOKUP(B184,#REF!,$X$2,0),0)</f>
        <v>0</v>
      </c>
      <c r="Y184" s="9">
        <f>IFERROR(VLOOKUP(B184,cubo!$A$6:$BE$37,21,0)-VLOOKUP(B184,#REF!,$Y$2,0),0)</f>
        <v>0</v>
      </c>
      <c r="Z184" s="9">
        <f>IFERROR(VLOOKUP(B184,cubo!$A$6:$BE$37,27,0)-VLOOKUP(B184,#REF!,$Z$2,0),0)</f>
        <v>0</v>
      </c>
      <c r="AA184" s="9">
        <f>IFERROR(VLOOKUP(B184,cubo!$A$6:$BE$37,28,0)-VLOOKUP(B184,#REF!,$AA$2,0),0)</f>
        <v>0</v>
      </c>
      <c r="AB184" s="9">
        <f>IFERROR(VLOOKUP(B184,cubo!$A$6:$BE$37,29,0)-VLOOKUP(B184,#REF!,$AB$2,0),0)</f>
        <v>0</v>
      </c>
      <c r="AC184" s="9">
        <f>IFERROR(VLOOKUP(B184,cubo!$A$6:$BE$37,30,0)-VLOOKUP(B184,#REF!,$AC$2,0),0)</f>
        <v>0</v>
      </c>
      <c r="AD184" s="9">
        <f>IFERROR(VLOOKUP(B184,cubo!$A$6:$BE$37,31,0)-VLOOKUP(B184,#REF!,$AD$2,0),0)</f>
        <v>0</v>
      </c>
      <c r="AE184" s="9">
        <f>IFERROR(VLOOKUP(B184,cubo!$A$6:$BE$37,35,0)-VLOOKUP(B184,#REF!,$AE$2,0),0)</f>
        <v>0</v>
      </c>
      <c r="AF184" s="9" cm="1">
        <f t="array" aca="1" ref="AF184" ca="1">IFERROR(rrPROCV(B184,cubo!$A$6:$BE$37,48,0)-VLOOKUP(B184,#REF!,$AF$2,0),0)</f>
        <v>0</v>
      </c>
      <c r="AG184" s="9">
        <f>IFERROR(VLOOKUP(B184,cubo!$A$6:$BE$37,49,0)-VLOOKUP(B184,#REF!,$AG$2,0),0)</f>
        <v>0</v>
      </c>
      <c r="AH184" s="9">
        <f>IFERROR(VLOOKUP(B184,cubo!$A$6:$BE$37,50,0)-VLOOKUP(B184,#REF!,$AH$2,0),0)</f>
        <v>0</v>
      </c>
      <c r="AI184" s="9">
        <f>IFERROR(VLOOKUP(B184,cubo!$A$6:$BE$37,51,0)-VLOOKUP(B184,#REF!,$AI$2,0),0)</f>
        <v>0</v>
      </c>
      <c r="AJ184" s="9">
        <f>IFERROR(VLOOKUP(B184,cubo!$A$6:$BI$116,62,0)-VLOOKUP(B184,#REF!,$AJ$2,0),0)</f>
        <v>0</v>
      </c>
      <c r="AK184" s="9">
        <f>IFERROR(VLOOKUP(B184,cubo!$A$6:$BJ$37,63,0)-VLOOKUP(B184,#REF!,$AK$2,0),0)</f>
        <v>0</v>
      </c>
      <c r="AL184" s="9">
        <f>IFERROR(VLOOKUP(B184,cubo!$A$6:$BE$37,58,0)-VLOOKUP(B184,#REF!,$AL$2,0),0)</f>
        <v>0</v>
      </c>
      <c r="AM184" s="9">
        <f>IFERROR(VLOOKUP(B184,cubo!$A$6:$BK$37,64,0)-VLOOKUP(B184,#REF!,$AM$2,0),0)</f>
        <v>0</v>
      </c>
      <c r="AN184" s="9">
        <f>IFERROR(VLOOKUP(B184,cubo!$A$6:$AN$37,41,0)-VLOOKUP(B184,#REF!,$AN$2,0),0)</f>
        <v>0</v>
      </c>
    </row>
    <row r="185" spans="2:40" x14ac:dyDescent="0.25">
      <c r="B185" s="7">
        <f>[1]salario!A184</f>
        <v>0</v>
      </c>
      <c r="C185" s="14">
        <f>[1]salario!C184</f>
        <v>0</v>
      </c>
      <c r="D185" s="9">
        <f>IFERROR(VLOOKUP(B185,cubo!$A$6:$BE$37,3,0)-VLOOKUP(B185,#REF!,$D$2,0),0)</f>
        <v>0</v>
      </c>
      <c r="E185" s="10">
        <f>IFERROR(VLOOKUP(B185,cubo!$A$6:$BE$37,5,0)-VLOOKUP(B185,#REF!,$E$2,0),0)</f>
        <v>0</v>
      </c>
      <c r="F185" s="10">
        <f>IFERROR(VLOOKUP(B185,cubo!$A$6:$BE$37,8,0)-VLOOKUP(B185,#REF!,$F$2,0),0)</f>
        <v>0</v>
      </c>
      <c r="G185" s="9">
        <f>IFERROR(VLOOKUP(B185,cubo!$A$6:$BE$37,11,0)-VLOOKUP(B185,#REF!,$G$2,0),0)</f>
        <v>0</v>
      </c>
      <c r="H185" s="9">
        <f>IFERROR(VLOOKUP(B185,cubo!$A$6:$BE$37,53,0)-VLOOKUP(B185,#REF!,$H$2,0),0)</f>
        <v>0</v>
      </c>
      <c r="I185" s="10">
        <f>IFERROR(VLOOKUP(B185,cubo!$A$6:$BE$37,14,0)-VLOOKUP(B185,#REF!,$I$2,0),0)</f>
        <v>0</v>
      </c>
      <c r="J185" s="9">
        <f>IFERROR(VLOOKUP(B185,cubo!$A$6:$BE$37,16,0)-VLOOKUP(B185,#REF!,$J$2,0),0)</f>
        <v>0</v>
      </c>
      <c r="K185" s="9">
        <f>IFERROR(VLOOKUP(B185,cubo!$A$6:$BE$37,17,0)-VLOOKUP(B185,#REF!,$K$2,0),0)</f>
        <v>0</v>
      </c>
      <c r="L185" s="9">
        <f>IFERROR(VLOOKUP(B185,cubo!$A$6:$BE$37,19,0)-VLOOKUP(B185,#REF!,$L$2,0),0)</f>
        <v>0</v>
      </c>
      <c r="M185" s="9">
        <f>IFERROR(VLOOKUP(B185,cubo!$A$6:$BE$37,23,0)-VLOOKUP(B185,#REF!,$M$2,0),0)</f>
        <v>0</v>
      </c>
      <c r="N185" s="9">
        <f>IFERROR(VLOOKUP(B185,cubo!$A$6:$BE$37,25,0)-VLOOKUP(B185,#REF!,$N$2,0),0)</f>
        <v>0</v>
      </c>
      <c r="O185" s="9">
        <f>IFERROR(VLOOKUP(B185,cubo!$A$6:$BE$37,33,0)-VLOOKUP(B185,#REF!,$O$2,0),0)</f>
        <v>0</v>
      </c>
      <c r="P185" s="8">
        <f>IFERROR(VLOOKUP(B185,cubo!$A$6:$BE$37,37,0)-VLOOKUP(B185,#REF!,$P$2,0),0)</f>
        <v>0</v>
      </c>
      <c r="Q185" s="8">
        <f>IFERROR(VLOOKUP(B185,cubo!$A$6:$BE$37,56,0)-VLOOKUP(B185,#REF!,$Q$2,0),0)</f>
        <v>0</v>
      </c>
      <c r="R185" s="9">
        <f>IFERROR(VLOOKUP(B185,cubo!$A$6:$BE$37,40,0)-VLOOKUP(B185,#REF!,$R$2,0),0)</f>
        <v>0</v>
      </c>
      <c r="S185" s="9">
        <f>IFERROR(VLOOKUP(B185,cubo!$A$6:$BE$37,43,0)-VLOOKUP(B185,#REF!,$S$2,0),0)</f>
        <v>0</v>
      </c>
      <c r="T185" s="9">
        <f>IFERROR(VLOOKUP(B185,cubo!$A$6:$BE$37,46,0)-VLOOKUP(B185,#REF!,$T$2,0),0)</f>
        <v>0</v>
      </c>
      <c r="U185" s="9">
        <f>IFERROR(VLOOKUP(B185,cubo!$A$6:$BE$37,51,0)-VLOOKUP(B185,#REF!,$U$2,0),0)</f>
        <v>0</v>
      </c>
      <c r="V185" s="9">
        <f>IFERROR(VLOOKUP(B185,cubo!$A$6:$BJ$37,60,0)-VLOOKUP(B185,#REF!,$V$2,0),0)</f>
        <v>0</v>
      </c>
      <c r="W185" s="9">
        <f>IFERROR(VLOOKUP(B185,cubo!$A$6:$BE$37,26,0)-VLOOKUP(B185,#REF!,$W$2,0),0)</f>
        <v>0</v>
      </c>
      <c r="X185" s="9">
        <f>IFERROR(VLOOKUP(B185,cubo!$A$6:$BE$37,20,0)-VLOOKUP(B185,#REF!,$X$2,0),0)</f>
        <v>0</v>
      </c>
      <c r="Y185" s="9">
        <f>IFERROR(VLOOKUP(B185,cubo!$A$6:$BE$37,21,0)-VLOOKUP(B185,#REF!,$Y$2,0),0)</f>
        <v>0</v>
      </c>
      <c r="Z185" s="9">
        <f>IFERROR(VLOOKUP(B185,cubo!$A$6:$BE$37,27,0)-VLOOKUP(B185,#REF!,$Z$2,0),0)</f>
        <v>0</v>
      </c>
      <c r="AA185" s="9">
        <f>IFERROR(VLOOKUP(B185,cubo!$A$6:$BE$37,28,0)-VLOOKUP(B185,#REF!,$AA$2,0),0)</f>
        <v>0</v>
      </c>
      <c r="AB185" s="9">
        <f>IFERROR(VLOOKUP(B185,cubo!$A$6:$BE$37,29,0)-VLOOKUP(B185,#REF!,$AB$2,0),0)</f>
        <v>0</v>
      </c>
      <c r="AC185" s="9">
        <f>IFERROR(VLOOKUP(B185,cubo!$A$6:$BE$37,30,0)-VLOOKUP(B185,#REF!,$AC$2,0),0)</f>
        <v>0</v>
      </c>
      <c r="AD185" s="9">
        <f>IFERROR(VLOOKUP(B185,cubo!$A$6:$BE$37,31,0)-VLOOKUP(B185,#REF!,$AD$2,0),0)</f>
        <v>0</v>
      </c>
      <c r="AE185" s="9">
        <f>IFERROR(VLOOKUP(B185,cubo!$A$6:$BE$37,35,0)-VLOOKUP(B185,#REF!,$AE$2,0),0)</f>
        <v>0</v>
      </c>
      <c r="AF185" s="9" cm="1">
        <f t="array" aca="1" ref="AF185" ca="1">IFERROR(rrPROCV(B185,cubo!$A$6:$BE$37,48,0)-VLOOKUP(B185,#REF!,$AF$2,0),0)</f>
        <v>0</v>
      </c>
      <c r="AG185" s="9">
        <f>IFERROR(VLOOKUP(B185,cubo!$A$6:$BE$37,49,0)-VLOOKUP(B185,#REF!,$AG$2,0),0)</f>
        <v>0</v>
      </c>
      <c r="AH185" s="9">
        <f>IFERROR(VLOOKUP(B185,cubo!$A$6:$BE$37,50,0)-VLOOKUP(B185,#REF!,$AH$2,0),0)</f>
        <v>0</v>
      </c>
      <c r="AI185" s="9">
        <f>IFERROR(VLOOKUP(B185,cubo!$A$6:$BE$37,51,0)-VLOOKUP(B185,#REF!,$AI$2,0),0)</f>
        <v>0</v>
      </c>
      <c r="AJ185" s="9">
        <f>IFERROR(VLOOKUP(B185,cubo!$A$6:$BI$116,62,0)-VLOOKUP(B185,#REF!,$AJ$2,0),0)</f>
        <v>0</v>
      </c>
      <c r="AK185" s="9">
        <f>IFERROR(VLOOKUP(B185,cubo!$A$6:$BJ$37,63,0)-VLOOKUP(B185,#REF!,$AK$2,0),0)</f>
        <v>0</v>
      </c>
      <c r="AL185" s="9">
        <f>IFERROR(VLOOKUP(B185,cubo!$A$6:$BE$37,58,0)-VLOOKUP(B185,#REF!,$AL$2,0),0)</f>
        <v>0</v>
      </c>
      <c r="AM185" s="9">
        <f>IFERROR(VLOOKUP(B185,cubo!$A$6:$BK$37,64,0)-VLOOKUP(B185,#REF!,$AM$2,0),0)</f>
        <v>0</v>
      </c>
      <c r="AN185" s="9">
        <f>IFERROR(VLOOKUP(B185,cubo!$A$6:$AN$37,41,0)-VLOOKUP(B185,#REF!,$AN$2,0),0)</f>
        <v>0</v>
      </c>
    </row>
    <row r="186" spans="2:40" x14ac:dyDescent="0.25">
      <c r="B186" s="7">
        <f>[1]salario!A185</f>
        <v>0</v>
      </c>
      <c r="C186" s="14">
        <f>[1]salario!C185</f>
        <v>0</v>
      </c>
      <c r="D186" s="9">
        <f>IFERROR(VLOOKUP(B186,cubo!$A$6:$BE$37,3,0)-VLOOKUP(B186,#REF!,$D$2,0),0)</f>
        <v>0</v>
      </c>
      <c r="E186" s="10">
        <f>IFERROR(VLOOKUP(B186,cubo!$A$6:$BE$37,5,0)-VLOOKUP(B186,#REF!,$E$2,0),0)</f>
        <v>0</v>
      </c>
      <c r="F186" s="10">
        <f>IFERROR(VLOOKUP(B186,cubo!$A$6:$BE$37,8,0)-VLOOKUP(B186,#REF!,$F$2,0),0)</f>
        <v>0</v>
      </c>
      <c r="G186" s="9">
        <f>IFERROR(VLOOKUP(B186,cubo!$A$6:$BE$37,11,0)-VLOOKUP(B186,#REF!,$G$2,0),0)</f>
        <v>0</v>
      </c>
      <c r="H186" s="9">
        <f>IFERROR(VLOOKUP(B186,cubo!$A$6:$BE$37,53,0)-VLOOKUP(B186,#REF!,$H$2,0),0)</f>
        <v>0</v>
      </c>
      <c r="I186" s="10">
        <f>IFERROR(VLOOKUP(B186,cubo!$A$6:$BE$37,14,0)-VLOOKUP(B186,#REF!,$I$2,0),0)</f>
        <v>0</v>
      </c>
      <c r="J186" s="9">
        <f>IFERROR(VLOOKUP(B186,cubo!$A$6:$BE$37,16,0)-VLOOKUP(B186,#REF!,$J$2,0),0)</f>
        <v>0</v>
      </c>
      <c r="K186" s="9">
        <f>IFERROR(VLOOKUP(B186,cubo!$A$6:$BE$37,17,0)-VLOOKUP(B186,#REF!,$K$2,0),0)</f>
        <v>0</v>
      </c>
      <c r="L186" s="9">
        <f>IFERROR(VLOOKUP(B186,cubo!$A$6:$BE$37,19,0)-VLOOKUP(B186,#REF!,$L$2,0),0)</f>
        <v>0</v>
      </c>
      <c r="M186" s="9">
        <f>IFERROR(VLOOKUP(B186,cubo!$A$6:$BE$37,23,0)-VLOOKUP(B186,#REF!,$M$2,0),0)</f>
        <v>0</v>
      </c>
      <c r="N186" s="9">
        <f>IFERROR(VLOOKUP(B186,cubo!$A$6:$BE$37,25,0)-VLOOKUP(B186,#REF!,$N$2,0),0)</f>
        <v>0</v>
      </c>
      <c r="O186" s="9">
        <f>IFERROR(VLOOKUP(B186,cubo!$A$6:$BE$37,33,0)-VLOOKUP(B186,#REF!,$O$2,0),0)</f>
        <v>0</v>
      </c>
      <c r="P186" s="8">
        <f>IFERROR(VLOOKUP(B186,cubo!$A$6:$BE$37,37,0)-VLOOKUP(B186,#REF!,$P$2,0),0)</f>
        <v>0</v>
      </c>
      <c r="Q186" s="8">
        <f>IFERROR(VLOOKUP(B186,cubo!$A$6:$BE$37,56,0)-VLOOKUP(B186,#REF!,$Q$2,0),0)</f>
        <v>0</v>
      </c>
      <c r="R186" s="9">
        <f>IFERROR(VLOOKUP(B186,cubo!$A$6:$BE$37,40,0)-VLOOKUP(B186,#REF!,$R$2,0),0)</f>
        <v>0</v>
      </c>
      <c r="S186" s="9">
        <f>IFERROR(VLOOKUP(B186,cubo!$A$6:$BE$37,43,0)-VLOOKUP(B186,#REF!,$S$2,0),0)</f>
        <v>0</v>
      </c>
      <c r="T186" s="9">
        <f>IFERROR(VLOOKUP(B186,cubo!$A$6:$BE$37,46,0)-VLOOKUP(B186,#REF!,$T$2,0),0)</f>
        <v>0</v>
      </c>
      <c r="U186" s="9">
        <f>IFERROR(VLOOKUP(B186,cubo!$A$6:$BE$37,51,0)-VLOOKUP(B186,#REF!,$U$2,0),0)</f>
        <v>0</v>
      </c>
      <c r="V186" s="9">
        <f>IFERROR(VLOOKUP(B186,cubo!$A$6:$BJ$37,60,0)-VLOOKUP(B186,#REF!,$V$2,0),0)</f>
        <v>0</v>
      </c>
      <c r="W186" s="9">
        <f>IFERROR(VLOOKUP(B186,cubo!$A$6:$BE$37,26,0)-VLOOKUP(B186,#REF!,$W$2,0),0)</f>
        <v>0</v>
      </c>
      <c r="X186" s="9">
        <f>IFERROR(VLOOKUP(B186,cubo!$A$6:$BE$37,20,0)-VLOOKUP(B186,#REF!,$X$2,0),0)</f>
        <v>0</v>
      </c>
      <c r="Y186" s="9">
        <f>IFERROR(VLOOKUP(B186,cubo!$A$6:$BE$37,21,0)-VLOOKUP(B186,#REF!,$Y$2,0),0)</f>
        <v>0</v>
      </c>
      <c r="Z186" s="9">
        <f>IFERROR(VLOOKUP(B186,cubo!$A$6:$BE$37,27,0)-VLOOKUP(B186,#REF!,$Z$2,0),0)</f>
        <v>0</v>
      </c>
      <c r="AA186" s="9">
        <f>IFERROR(VLOOKUP(B186,cubo!$A$6:$BE$37,28,0)-VLOOKUP(B186,#REF!,$AA$2,0),0)</f>
        <v>0</v>
      </c>
      <c r="AB186" s="9">
        <f>IFERROR(VLOOKUP(B186,cubo!$A$6:$BE$37,29,0)-VLOOKUP(B186,#REF!,$AB$2,0),0)</f>
        <v>0</v>
      </c>
      <c r="AC186" s="9">
        <f>IFERROR(VLOOKUP(B186,cubo!$A$6:$BE$37,30,0)-VLOOKUP(B186,#REF!,$AC$2,0),0)</f>
        <v>0</v>
      </c>
      <c r="AD186" s="9">
        <f>IFERROR(VLOOKUP(B186,cubo!$A$6:$BE$37,31,0)-VLOOKUP(B186,#REF!,$AD$2,0),0)</f>
        <v>0</v>
      </c>
      <c r="AE186" s="9">
        <f>IFERROR(VLOOKUP(B186,cubo!$A$6:$BE$37,35,0)-VLOOKUP(B186,#REF!,$AE$2,0),0)</f>
        <v>0</v>
      </c>
      <c r="AF186" s="9" cm="1">
        <f t="array" aca="1" ref="AF186" ca="1">IFERROR(rrPROCV(B186,cubo!$A$6:$BE$37,48,0)-VLOOKUP(B186,#REF!,$AF$2,0),0)</f>
        <v>0</v>
      </c>
      <c r="AG186" s="9">
        <f>IFERROR(VLOOKUP(B186,cubo!$A$6:$BE$37,49,0)-VLOOKUP(B186,#REF!,$AG$2,0),0)</f>
        <v>0</v>
      </c>
      <c r="AH186" s="9">
        <f>IFERROR(VLOOKUP(B186,cubo!$A$6:$BE$37,50,0)-VLOOKUP(B186,#REF!,$AH$2,0),0)</f>
        <v>0</v>
      </c>
      <c r="AI186" s="9">
        <f>IFERROR(VLOOKUP(B186,cubo!$A$6:$BE$37,51,0)-VLOOKUP(B186,#REF!,$AI$2,0),0)</f>
        <v>0</v>
      </c>
      <c r="AJ186" s="9">
        <f>IFERROR(VLOOKUP(B186,cubo!$A$6:$BI$116,62,0)-VLOOKUP(B186,#REF!,$AJ$2,0),0)</f>
        <v>0</v>
      </c>
      <c r="AK186" s="9">
        <f>IFERROR(VLOOKUP(B186,cubo!$A$6:$BJ$37,63,0)-VLOOKUP(B186,#REF!,$AK$2,0),0)</f>
        <v>0</v>
      </c>
      <c r="AL186" s="9">
        <f>IFERROR(VLOOKUP(B186,cubo!$A$6:$BE$37,58,0)-VLOOKUP(B186,#REF!,$AL$2,0),0)</f>
        <v>0</v>
      </c>
      <c r="AM186" s="9">
        <f>IFERROR(VLOOKUP(B186,cubo!$A$6:$BK$37,64,0)-VLOOKUP(B186,#REF!,$AM$2,0),0)</f>
        <v>0</v>
      </c>
      <c r="AN186" s="9">
        <f>IFERROR(VLOOKUP(B186,cubo!$A$6:$AN$37,41,0)-VLOOKUP(B186,#REF!,$AN$2,0),0)</f>
        <v>0</v>
      </c>
    </row>
    <row r="187" spans="2:40" x14ac:dyDescent="0.25">
      <c r="B187" s="7">
        <f>[1]salario!A186</f>
        <v>0</v>
      </c>
      <c r="C187" s="14">
        <f>[1]salario!C186</f>
        <v>0</v>
      </c>
      <c r="D187" s="9">
        <f>IFERROR(VLOOKUP(B187,cubo!$A$6:$BE$37,3,0)-VLOOKUP(B187,#REF!,$D$2,0),0)</f>
        <v>0</v>
      </c>
      <c r="E187" s="10">
        <f>IFERROR(VLOOKUP(B187,cubo!$A$6:$BE$37,5,0)-VLOOKUP(B187,#REF!,$E$2,0),0)</f>
        <v>0</v>
      </c>
      <c r="F187" s="10">
        <f>IFERROR(VLOOKUP(B187,cubo!$A$6:$BE$37,8,0)-VLOOKUP(B187,#REF!,$F$2,0),0)</f>
        <v>0</v>
      </c>
      <c r="G187" s="9">
        <f>IFERROR(VLOOKUP(B187,cubo!$A$6:$BE$37,11,0)-VLOOKUP(B187,#REF!,$G$2,0),0)</f>
        <v>0</v>
      </c>
      <c r="H187" s="9">
        <f>IFERROR(VLOOKUP(B187,cubo!$A$6:$BE$37,53,0)-VLOOKUP(B187,#REF!,$H$2,0),0)</f>
        <v>0</v>
      </c>
      <c r="I187" s="10">
        <f>IFERROR(VLOOKUP(B187,cubo!$A$6:$BE$37,14,0)-VLOOKUP(B187,#REF!,$I$2,0),0)</f>
        <v>0</v>
      </c>
      <c r="J187" s="9">
        <f>IFERROR(VLOOKUP(B187,cubo!$A$6:$BE$37,16,0)-VLOOKUP(B187,#REF!,$J$2,0),0)</f>
        <v>0</v>
      </c>
      <c r="K187" s="9">
        <f>IFERROR(VLOOKUP(B187,cubo!$A$6:$BE$37,17,0)-VLOOKUP(B187,#REF!,$K$2,0),0)</f>
        <v>0</v>
      </c>
      <c r="L187" s="9">
        <f>IFERROR(VLOOKUP(B187,cubo!$A$6:$BE$37,19,0)-VLOOKUP(B187,#REF!,$L$2,0),0)</f>
        <v>0</v>
      </c>
      <c r="M187" s="9">
        <f>IFERROR(VLOOKUP(B187,cubo!$A$6:$BE$37,23,0)-VLOOKUP(B187,#REF!,$M$2,0),0)</f>
        <v>0</v>
      </c>
      <c r="N187" s="9">
        <f>IFERROR(VLOOKUP(B187,cubo!$A$6:$BE$37,25,0)-VLOOKUP(B187,#REF!,$N$2,0),0)</f>
        <v>0</v>
      </c>
      <c r="O187" s="9">
        <f>IFERROR(VLOOKUP(B187,cubo!$A$6:$BE$37,33,0)-VLOOKUP(B187,#REF!,$O$2,0),0)</f>
        <v>0</v>
      </c>
      <c r="P187" s="8">
        <f>IFERROR(VLOOKUP(B187,cubo!$A$6:$BE$37,37,0)-VLOOKUP(B187,#REF!,$P$2,0),0)</f>
        <v>0</v>
      </c>
      <c r="Q187" s="8">
        <f>IFERROR(VLOOKUP(B187,cubo!$A$6:$BE$37,56,0)-VLOOKUP(B187,#REF!,$Q$2,0),0)</f>
        <v>0</v>
      </c>
      <c r="R187" s="9">
        <f>IFERROR(VLOOKUP(B187,cubo!$A$6:$BE$37,40,0)-VLOOKUP(B187,#REF!,$R$2,0),0)</f>
        <v>0</v>
      </c>
      <c r="S187" s="9">
        <f>IFERROR(VLOOKUP(B187,cubo!$A$6:$BE$37,43,0)-VLOOKUP(B187,#REF!,$S$2,0),0)</f>
        <v>0</v>
      </c>
      <c r="T187" s="9">
        <f>IFERROR(VLOOKUP(B187,cubo!$A$6:$BE$37,46,0)-VLOOKUP(B187,#REF!,$T$2,0),0)</f>
        <v>0</v>
      </c>
      <c r="U187" s="9">
        <f>IFERROR(VLOOKUP(B187,cubo!$A$6:$BE$37,51,0)-VLOOKUP(B187,#REF!,$U$2,0),0)</f>
        <v>0</v>
      </c>
      <c r="V187" s="9">
        <f>IFERROR(VLOOKUP(B187,cubo!$A$6:$BJ$37,60,0)-VLOOKUP(B187,#REF!,$V$2,0),0)</f>
        <v>0</v>
      </c>
      <c r="W187" s="9">
        <f>IFERROR(VLOOKUP(B187,cubo!$A$6:$BE$37,26,0)-VLOOKUP(B187,#REF!,$W$2,0),0)</f>
        <v>0</v>
      </c>
      <c r="X187" s="9">
        <f>IFERROR(VLOOKUP(B187,cubo!$A$6:$BE$37,20,0)-VLOOKUP(B187,#REF!,$X$2,0),0)</f>
        <v>0</v>
      </c>
      <c r="Y187" s="9">
        <f>IFERROR(VLOOKUP(B187,cubo!$A$6:$BE$37,21,0)-VLOOKUP(B187,#REF!,$Y$2,0),0)</f>
        <v>0</v>
      </c>
      <c r="Z187" s="9">
        <f>IFERROR(VLOOKUP(B187,cubo!$A$6:$BE$37,27,0)-VLOOKUP(B187,#REF!,$Z$2,0),0)</f>
        <v>0</v>
      </c>
      <c r="AA187" s="9">
        <f>IFERROR(VLOOKUP(B187,cubo!$A$6:$BE$37,28,0)-VLOOKUP(B187,#REF!,$AA$2,0),0)</f>
        <v>0</v>
      </c>
      <c r="AB187" s="9">
        <f>IFERROR(VLOOKUP(B187,cubo!$A$6:$BE$37,29,0)-VLOOKUP(B187,#REF!,$AB$2,0),0)</f>
        <v>0</v>
      </c>
      <c r="AC187" s="9">
        <f>IFERROR(VLOOKUP(B187,cubo!$A$6:$BE$37,30,0)-VLOOKUP(B187,#REF!,$AC$2,0),0)</f>
        <v>0</v>
      </c>
      <c r="AD187" s="9">
        <f>IFERROR(VLOOKUP(B187,cubo!$A$6:$BE$37,31,0)-VLOOKUP(B187,#REF!,$AD$2,0),0)</f>
        <v>0</v>
      </c>
      <c r="AE187" s="9">
        <f>IFERROR(VLOOKUP(B187,cubo!$A$6:$BE$37,35,0)-VLOOKUP(B187,#REF!,$AE$2,0),0)</f>
        <v>0</v>
      </c>
      <c r="AF187" s="9" cm="1">
        <f t="array" aca="1" ref="AF187" ca="1">IFERROR(rrPROCV(B187,cubo!$A$6:$BE$37,48,0)-VLOOKUP(B187,#REF!,$AF$2,0),0)</f>
        <v>0</v>
      </c>
      <c r="AG187" s="9">
        <f>IFERROR(VLOOKUP(B187,cubo!$A$6:$BE$37,49,0)-VLOOKUP(B187,#REF!,$AG$2,0),0)</f>
        <v>0</v>
      </c>
      <c r="AH187" s="9">
        <f>IFERROR(VLOOKUP(B187,cubo!$A$6:$BE$37,50,0)-VLOOKUP(B187,#REF!,$AH$2,0),0)</f>
        <v>0</v>
      </c>
      <c r="AI187" s="9">
        <f>IFERROR(VLOOKUP(B187,cubo!$A$6:$BE$37,51,0)-VLOOKUP(B187,#REF!,$AI$2,0),0)</f>
        <v>0</v>
      </c>
      <c r="AJ187" s="9">
        <f>IFERROR(VLOOKUP(B187,cubo!$A$6:$BI$116,62,0)-VLOOKUP(B187,#REF!,$AJ$2,0),0)</f>
        <v>0</v>
      </c>
      <c r="AK187" s="9">
        <f>IFERROR(VLOOKUP(B187,cubo!$A$6:$BJ$37,63,0)-VLOOKUP(B187,#REF!,$AK$2,0),0)</f>
        <v>0</v>
      </c>
      <c r="AL187" s="9">
        <f>IFERROR(VLOOKUP(B187,cubo!$A$6:$BE$37,58,0)-VLOOKUP(B187,#REF!,$AL$2,0),0)</f>
        <v>0</v>
      </c>
      <c r="AM187" s="9">
        <f>IFERROR(VLOOKUP(B187,cubo!$A$6:$BK$37,64,0)-VLOOKUP(B187,#REF!,$AM$2,0),0)</f>
        <v>0</v>
      </c>
      <c r="AN187" s="9">
        <f>IFERROR(VLOOKUP(B187,cubo!$A$6:$AN$37,41,0)-VLOOKUP(B187,#REF!,$AN$2,0),0)</f>
        <v>0</v>
      </c>
    </row>
    <row r="188" spans="2:40" x14ac:dyDescent="0.25">
      <c r="B188" s="7">
        <f>[1]salario!A187</f>
        <v>0</v>
      </c>
      <c r="C188" s="14">
        <f>[1]salario!C187</f>
        <v>0</v>
      </c>
      <c r="D188" s="9">
        <f>IFERROR(VLOOKUP(B188,cubo!$A$6:$BE$37,3,0)-VLOOKUP(B188,#REF!,$D$2,0),0)</f>
        <v>0</v>
      </c>
      <c r="E188" s="10">
        <f>IFERROR(VLOOKUP(B188,cubo!$A$6:$BE$37,5,0)-VLOOKUP(B188,#REF!,$E$2,0),0)</f>
        <v>0</v>
      </c>
      <c r="F188" s="10">
        <f>IFERROR(VLOOKUP(B188,cubo!$A$6:$BE$37,8,0)-VLOOKUP(B188,#REF!,$F$2,0),0)</f>
        <v>0</v>
      </c>
      <c r="G188" s="9">
        <f>IFERROR(VLOOKUP(B188,cubo!$A$6:$BE$37,11,0)-VLOOKUP(B188,#REF!,$G$2,0),0)</f>
        <v>0</v>
      </c>
      <c r="H188" s="9">
        <f>IFERROR(VLOOKUP(B188,cubo!$A$6:$BE$37,53,0)-VLOOKUP(B188,#REF!,$H$2,0),0)</f>
        <v>0</v>
      </c>
      <c r="I188" s="10">
        <f>IFERROR(VLOOKUP(B188,cubo!$A$6:$BE$37,14,0)-VLOOKUP(B188,#REF!,$I$2,0),0)</f>
        <v>0</v>
      </c>
      <c r="J188" s="9">
        <f>IFERROR(VLOOKUP(B188,cubo!$A$6:$BE$37,16,0)-VLOOKUP(B188,#REF!,$J$2,0),0)</f>
        <v>0</v>
      </c>
      <c r="K188" s="9">
        <f>IFERROR(VLOOKUP(B188,cubo!$A$6:$BE$37,17,0)-VLOOKUP(B188,#REF!,$K$2,0),0)</f>
        <v>0</v>
      </c>
      <c r="L188" s="9">
        <f>IFERROR(VLOOKUP(B188,cubo!$A$6:$BE$37,19,0)-VLOOKUP(B188,#REF!,$L$2,0),0)</f>
        <v>0</v>
      </c>
      <c r="M188" s="9">
        <f>IFERROR(VLOOKUP(B188,cubo!$A$6:$BE$37,23,0)-VLOOKUP(B188,#REF!,$M$2,0),0)</f>
        <v>0</v>
      </c>
      <c r="N188" s="9">
        <f>IFERROR(VLOOKUP(B188,cubo!$A$6:$BE$37,25,0)-VLOOKUP(B188,#REF!,$N$2,0),0)</f>
        <v>0</v>
      </c>
      <c r="O188" s="9">
        <f>IFERROR(VLOOKUP(B188,cubo!$A$6:$BE$37,33,0)-VLOOKUP(B188,#REF!,$O$2,0),0)</f>
        <v>0</v>
      </c>
      <c r="P188" s="8">
        <f>IFERROR(VLOOKUP(B188,cubo!$A$6:$BE$37,37,0)-VLOOKUP(B188,#REF!,$P$2,0),0)</f>
        <v>0</v>
      </c>
      <c r="Q188" s="8">
        <f>IFERROR(VLOOKUP(B188,cubo!$A$6:$BE$37,56,0)-VLOOKUP(B188,#REF!,$Q$2,0),0)</f>
        <v>0</v>
      </c>
      <c r="R188" s="9">
        <f>IFERROR(VLOOKUP(B188,cubo!$A$6:$BE$37,40,0)-VLOOKUP(B188,#REF!,$R$2,0),0)</f>
        <v>0</v>
      </c>
      <c r="S188" s="9">
        <f>IFERROR(VLOOKUP(B188,cubo!$A$6:$BE$37,43,0)-VLOOKUP(B188,#REF!,$S$2,0),0)</f>
        <v>0</v>
      </c>
      <c r="T188" s="9">
        <f>IFERROR(VLOOKUP(B188,cubo!$A$6:$BE$37,46,0)-VLOOKUP(B188,#REF!,$T$2,0),0)</f>
        <v>0</v>
      </c>
      <c r="U188" s="9">
        <f>IFERROR(VLOOKUP(B188,cubo!$A$6:$BE$37,51,0)-VLOOKUP(B188,#REF!,$U$2,0),0)</f>
        <v>0</v>
      </c>
      <c r="V188" s="9">
        <f>IFERROR(VLOOKUP(B188,cubo!$A$6:$BJ$37,60,0)-VLOOKUP(B188,#REF!,$V$2,0),0)</f>
        <v>0</v>
      </c>
      <c r="W188" s="9">
        <f>IFERROR(VLOOKUP(B188,cubo!$A$6:$BE$37,26,0)-VLOOKUP(B188,#REF!,$W$2,0),0)</f>
        <v>0</v>
      </c>
      <c r="X188" s="9">
        <f>IFERROR(VLOOKUP(B188,cubo!$A$6:$BE$37,20,0)-VLOOKUP(B188,#REF!,$X$2,0),0)</f>
        <v>0</v>
      </c>
      <c r="Y188" s="9">
        <f>IFERROR(VLOOKUP(B188,cubo!$A$6:$BE$37,21,0)-VLOOKUP(B188,#REF!,$Y$2,0),0)</f>
        <v>0</v>
      </c>
      <c r="Z188" s="9">
        <f>IFERROR(VLOOKUP(B188,cubo!$A$6:$BE$37,27,0)-VLOOKUP(B188,#REF!,$Z$2,0),0)</f>
        <v>0</v>
      </c>
      <c r="AA188" s="9">
        <f>IFERROR(VLOOKUP(B188,cubo!$A$6:$BE$37,28,0)-VLOOKUP(B188,#REF!,$AA$2,0),0)</f>
        <v>0</v>
      </c>
      <c r="AB188" s="9">
        <f>IFERROR(VLOOKUP(B188,cubo!$A$6:$BE$37,29,0)-VLOOKUP(B188,#REF!,$AB$2,0),0)</f>
        <v>0</v>
      </c>
      <c r="AC188" s="9">
        <f>IFERROR(VLOOKUP(B188,cubo!$A$6:$BE$37,30,0)-VLOOKUP(B188,#REF!,$AC$2,0),0)</f>
        <v>0</v>
      </c>
      <c r="AD188" s="9">
        <f>IFERROR(VLOOKUP(B188,cubo!$A$6:$BE$37,31,0)-VLOOKUP(B188,#REF!,$AD$2,0),0)</f>
        <v>0</v>
      </c>
      <c r="AE188" s="9">
        <f>IFERROR(VLOOKUP(B188,cubo!$A$6:$BE$37,35,0)-VLOOKUP(B188,#REF!,$AE$2,0),0)</f>
        <v>0</v>
      </c>
      <c r="AF188" s="9" cm="1">
        <f t="array" aca="1" ref="AF188" ca="1">IFERROR(rrPROCV(B188,cubo!$A$6:$BE$37,48,0)-VLOOKUP(B188,#REF!,$AF$2,0),0)</f>
        <v>0</v>
      </c>
      <c r="AG188" s="9">
        <f>IFERROR(VLOOKUP(B188,cubo!$A$6:$BE$37,49,0)-VLOOKUP(B188,#REF!,$AG$2,0),0)</f>
        <v>0</v>
      </c>
      <c r="AH188" s="9">
        <f>IFERROR(VLOOKUP(B188,cubo!$A$6:$BE$37,50,0)-VLOOKUP(B188,#REF!,$AH$2,0),0)</f>
        <v>0</v>
      </c>
      <c r="AI188" s="9">
        <f>IFERROR(VLOOKUP(B188,cubo!$A$6:$BE$37,51,0)-VLOOKUP(B188,#REF!,$AI$2,0),0)</f>
        <v>0</v>
      </c>
      <c r="AJ188" s="9">
        <f>IFERROR(VLOOKUP(B188,cubo!$A$6:$BI$116,62,0)-VLOOKUP(B188,#REF!,$AJ$2,0),0)</f>
        <v>0</v>
      </c>
      <c r="AK188" s="9">
        <f>IFERROR(VLOOKUP(B188,cubo!$A$6:$BJ$37,63,0)-VLOOKUP(B188,#REF!,$AK$2,0),0)</f>
        <v>0</v>
      </c>
      <c r="AL188" s="9">
        <f>IFERROR(VLOOKUP(B188,cubo!$A$6:$BE$37,58,0)-VLOOKUP(B188,#REF!,$AL$2,0),0)</f>
        <v>0</v>
      </c>
      <c r="AM188" s="9">
        <f>IFERROR(VLOOKUP(B188,cubo!$A$6:$BK$37,64,0)-VLOOKUP(B188,#REF!,$AM$2,0),0)</f>
        <v>0</v>
      </c>
      <c r="AN188" s="9">
        <f>IFERROR(VLOOKUP(B188,cubo!$A$6:$AN$37,41,0)-VLOOKUP(B188,#REF!,$AN$2,0),0)</f>
        <v>0</v>
      </c>
    </row>
    <row r="189" spans="2:40" x14ac:dyDescent="0.25">
      <c r="B189" s="7">
        <f>[1]salario!A188</f>
        <v>0</v>
      </c>
      <c r="C189" s="14">
        <f>[1]salario!C188</f>
        <v>0</v>
      </c>
      <c r="D189" s="9">
        <f>IFERROR(VLOOKUP(B189,cubo!$A$6:$BE$37,3,0)-VLOOKUP(B189,#REF!,$D$2,0),0)</f>
        <v>0</v>
      </c>
      <c r="E189" s="10">
        <f>IFERROR(VLOOKUP(B189,cubo!$A$6:$BE$37,5,0)-VLOOKUP(B189,#REF!,$E$2,0),0)</f>
        <v>0</v>
      </c>
      <c r="F189" s="10">
        <f>IFERROR(VLOOKUP(B189,cubo!$A$6:$BE$37,8,0)-VLOOKUP(B189,#REF!,$F$2,0),0)</f>
        <v>0</v>
      </c>
      <c r="G189" s="9">
        <f>IFERROR(VLOOKUP(B189,cubo!$A$6:$BE$37,11,0)-VLOOKUP(B189,#REF!,$G$2,0),0)</f>
        <v>0</v>
      </c>
      <c r="H189" s="9">
        <f>IFERROR(VLOOKUP(B189,cubo!$A$6:$BE$37,53,0)-VLOOKUP(B189,#REF!,$H$2,0),0)</f>
        <v>0</v>
      </c>
      <c r="I189" s="10">
        <f>IFERROR(VLOOKUP(B189,cubo!$A$6:$BE$37,14,0)-VLOOKUP(B189,#REF!,$I$2,0),0)</f>
        <v>0</v>
      </c>
      <c r="J189" s="9">
        <f>IFERROR(VLOOKUP(B189,cubo!$A$6:$BE$37,16,0)-VLOOKUP(B189,#REF!,$J$2,0),0)</f>
        <v>0</v>
      </c>
      <c r="K189" s="9">
        <f>IFERROR(VLOOKUP(B189,cubo!$A$6:$BE$37,17,0)-VLOOKUP(B189,#REF!,$K$2,0),0)</f>
        <v>0</v>
      </c>
      <c r="L189" s="9">
        <f>IFERROR(VLOOKUP(B189,cubo!$A$6:$BE$37,19,0)-VLOOKUP(B189,#REF!,$L$2,0),0)</f>
        <v>0</v>
      </c>
      <c r="M189" s="9">
        <f>IFERROR(VLOOKUP(B189,cubo!$A$6:$BE$37,23,0)-VLOOKUP(B189,#REF!,$M$2,0),0)</f>
        <v>0</v>
      </c>
      <c r="N189" s="9">
        <f>IFERROR(VLOOKUP(B189,cubo!$A$6:$BE$37,25,0)-VLOOKUP(B189,#REF!,$N$2,0),0)</f>
        <v>0</v>
      </c>
      <c r="O189" s="9">
        <f>IFERROR(VLOOKUP(B189,cubo!$A$6:$BE$37,33,0)-VLOOKUP(B189,#REF!,$O$2,0),0)</f>
        <v>0</v>
      </c>
      <c r="P189" s="8">
        <f>IFERROR(VLOOKUP(B189,cubo!$A$6:$BE$37,37,0)-VLOOKUP(B189,#REF!,$P$2,0),0)</f>
        <v>0</v>
      </c>
      <c r="Q189" s="8">
        <f>IFERROR(VLOOKUP(B189,cubo!$A$6:$BE$37,56,0)-VLOOKUP(B189,#REF!,$Q$2,0),0)</f>
        <v>0</v>
      </c>
      <c r="R189" s="9">
        <f>IFERROR(VLOOKUP(B189,cubo!$A$6:$BE$37,40,0)-VLOOKUP(B189,#REF!,$R$2,0),0)</f>
        <v>0</v>
      </c>
      <c r="S189" s="9">
        <f>IFERROR(VLOOKUP(B189,cubo!$A$6:$BE$37,43,0)-VLOOKUP(B189,#REF!,$S$2,0),0)</f>
        <v>0</v>
      </c>
      <c r="T189" s="9">
        <f>IFERROR(VLOOKUP(B189,cubo!$A$6:$BE$37,46,0)-VLOOKUP(B189,#REF!,$T$2,0),0)</f>
        <v>0</v>
      </c>
      <c r="U189" s="9">
        <f>IFERROR(VLOOKUP(B189,cubo!$A$6:$BE$37,51,0)-VLOOKUP(B189,#REF!,$U$2,0),0)</f>
        <v>0</v>
      </c>
      <c r="V189" s="9">
        <f>IFERROR(VLOOKUP(B189,cubo!$A$6:$BJ$37,60,0)-VLOOKUP(B189,#REF!,$V$2,0),0)</f>
        <v>0</v>
      </c>
      <c r="W189" s="9">
        <f>IFERROR(VLOOKUP(B189,cubo!$A$6:$BE$37,26,0)-VLOOKUP(B189,#REF!,$W$2,0),0)</f>
        <v>0</v>
      </c>
      <c r="X189" s="9">
        <f>IFERROR(VLOOKUP(B189,cubo!$A$6:$BE$37,20,0)-VLOOKUP(B189,#REF!,$X$2,0),0)</f>
        <v>0</v>
      </c>
      <c r="Y189" s="9">
        <f>IFERROR(VLOOKUP(B189,cubo!$A$6:$BE$37,21,0)-VLOOKUP(B189,#REF!,$Y$2,0),0)</f>
        <v>0</v>
      </c>
      <c r="Z189" s="9">
        <f>IFERROR(VLOOKUP(B189,cubo!$A$6:$BE$37,27,0)-VLOOKUP(B189,#REF!,$Z$2,0),0)</f>
        <v>0</v>
      </c>
      <c r="AA189" s="9">
        <f>IFERROR(VLOOKUP(B189,cubo!$A$6:$BE$37,28,0)-VLOOKUP(B189,#REF!,$AA$2,0),0)</f>
        <v>0</v>
      </c>
      <c r="AB189" s="9">
        <f>IFERROR(VLOOKUP(B189,cubo!$A$6:$BE$37,29,0)-VLOOKUP(B189,#REF!,$AB$2,0),0)</f>
        <v>0</v>
      </c>
      <c r="AC189" s="9">
        <f>IFERROR(VLOOKUP(B189,cubo!$A$6:$BE$37,30,0)-VLOOKUP(B189,#REF!,$AC$2,0),0)</f>
        <v>0</v>
      </c>
      <c r="AD189" s="9">
        <f>IFERROR(VLOOKUP(B189,cubo!$A$6:$BE$37,31,0)-VLOOKUP(B189,#REF!,$AD$2,0),0)</f>
        <v>0</v>
      </c>
      <c r="AE189" s="9">
        <f>IFERROR(VLOOKUP(B189,cubo!$A$6:$BE$37,35,0)-VLOOKUP(B189,#REF!,$AE$2,0),0)</f>
        <v>0</v>
      </c>
      <c r="AF189" s="9" cm="1">
        <f t="array" aca="1" ref="AF189" ca="1">IFERROR(rrPROCV(B189,cubo!$A$6:$BE$37,48,0)-VLOOKUP(B189,#REF!,$AF$2,0),0)</f>
        <v>0</v>
      </c>
      <c r="AG189" s="9">
        <f>IFERROR(VLOOKUP(B189,cubo!$A$6:$BE$37,49,0)-VLOOKUP(B189,#REF!,$AG$2,0),0)</f>
        <v>0</v>
      </c>
      <c r="AH189" s="9">
        <f>IFERROR(VLOOKUP(B189,cubo!$A$6:$BE$37,50,0)-VLOOKUP(B189,#REF!,$AH$2,0),0)</f>
        <v>0</v>
      </c>
      <c r="AI189" s="9">
        <f>IFERROR(VLOOKUP(B189,cubo!$A$6:$BE$37,51,0)-VLOOKUP(B189,#REF!,$AI$2,0),0)</f>
        <v>0</v>
      </c>
      <c r="AJ189" s="9">
        <f>IFERROR(VLOOKUP(B189,cubo!$A$6:$BI$116,62,0)-VLOOKUP(B189,#REF!,$AJ$2,0),0)</f>
        <v>0</v>
      </c>
      <c r="AK189" s="9">
        <f>IFERROR(VLOOKUP(B189,cubo!$A$6:$BJ$37,63,0)-VLOOKUP(B189,#REF!,$AK$2,0),0)</f>
        <v>0</v>
      </c>
      <c r="AL189" s="9">
        <f>IFERROR(VLOOKUP(B189,cubo!$A$6:$BE$37,58,0)-VLOOKUP(B189,#REF!,$AL$2,0),0)</f>
        <v>0</v>
      </c>
      <c r="AM189" s="9">
        <f>IFERROR(VLOOKUP(B189,cubo!$A$6:$BK$37,64,0)-VLOOKUP(B189,#REF!,$AM$2,0),0)</f>
        <v>0</v>
      </c>
      <c r="AN189" s="9">
        <f>IFERROR(VLOOKUP(B189,cubo!$A$6:$AN$37,41,0)-VLOOKUP(B189,#REF!,$AN$2,0),0)</f>
        <v>0</v>
      </c>
    </row>
    <row r="190" spans="2:40" x14ac:dyDescent="0.25">
      <c r="B190" s="7">
        <f>[1]salario!A189</f>
        <v>0</v>
      </c>
      <c r="C190" s="14">
        <f>[1]salario!C189</f>
        <v>0</v>
      </c>
      <c r="D190" s="9">
        <f>IFERROR(VLOOKUP(B190,cubo!$A$6:$BE$37,3,0)-VLOOKUP(B190,#REF!,$D$2,0),0)</f>
        <v>0</v>
      </c>
      <c r="E190" s="10">
        <f>IFERROR(VLOOKUP(B190,cubo!$A$6:$BE$37,5,0)-VLOOKUP(B190,#REF!,$E$2,0),0)</f>
        <v>0</v>
      </c>
      <c r="F190" s="10">
        <f>IFERROR(VLOOKUP(B190,cubo!$A$6:$BE$37,8,0)-VLOOKUP(B190,#REF!,$F$2,0),0)</f>
        <v>0</v>
      </c>
      <c r="G190" s="9">
        <f>IFERROR(VLOOKUP(B190,cubo!$A$6:$BE$37,11,0)-VLOOKUP(B190,#REF!,$G$2,0),0)</f>
        <v>0</v>
      </c>
      <c r="H190" s="9">
        <f>IFERROR(VLOOKUP(B190,cubo!$A$6:$BE$37,53,0)-VLOOKUP(B190,#REF!,$H$2,0),0)</f>
        <v>0</v>
      </c>
      <c r="I190" s="10">
        <f>IFERROR(VLOOKUP(B190,cubo!$A$6:$BE$37,14,0)-VLOOKUP(B190,#REF!,$I$2,0),0)</f>
        <v>0</v>
      </c>
      <c r="J190" s="9">
        <f>IFERROR(VLOOKUP(B190,cubo!$A$6:$BE$37,16,0)-VLOOKUP(B190,#REF!,$J$2,0),0)</f>
        <v>0</v>
      </c>
      <c r="K190" s="9">
        <f>IFERROR(VLOOKUP(B190,cubo!$A$6:$BE$37,17,0)-VLOOKUP(B190,#REF!,$K$2,0),0)</f>
        <v>0</v>
      </c>
      <c r="L190" s="9">
        <f>IFERROR(VLOOKUP(B190,cubo!$A$6:$BE$37,19,0)-VLOOKUP(B190,#REF!,$L$2,0),0)</f>
        <v>0</v>
      </c>
      <c r="M190" s="9">
        <f>IFERROR(VLOOKUP(B190,cubo!$A$6:$BE$37,23,0)-VLOOKUP(B190,#REF!,$M$2,0),0)</f>
        <v>0</v>
      </c>
      <c r="N190" s="9">
        <f>IFERROR(VLOOKUP(B190,cubo!$A$6:$BE$37,25,0)-VLOOKUP(B190,#REF!,$N$2,0),0)</f>
        <v>0</v>
      </c>
      <c r="O190" s="9">
        <f>IFERROR(VLOOKUP(B190,cubo!$A$6:$BE$37,33,0)-VLOOKUP(B190,#REF!,$O$2,0),0)</f>
        <v>0</v>
      </c>
      <c r="P190" s="8">
        <f>IFERROR(VLOOKUP(B190,cubo!$A$6:$BE$37,37,0)-VLOOKUP(B190,#REF!,$P$2,0),0)</f>
        <v>0</v>
      </c>
      <c r="Q190" s="8">
        <f>IFERROR(VLOOKUP(B190,cubo!$A$6:$BE$37,56,0)-VLOOKUP(B190,#REF!,$Q$2,0),0)</f>
        <v>0</v>
      </c>
      <c r="R190" s="9">
        <f>IFERROR(VLOOKUP(B190,cubo!$A$6:$BE$37,40,0)-VLOOKUP(B190,#REF!,$R$2,0),0)</f>
        <v>0</v>
      </c>
      <c r="S190" s="9">
        <f>IFERROR(VLOOKUP(B190,cubo!$A$6:$BE$37,43,0)-VLOOKUP(B190,#REF!,$S$2,0),0)</f>
        <v>0</v>
      </c>
      <c r="T190" s="9">
        <f>IFERROR(VLOOKUP(B190,cubo!$A$6:$BE$37,46,0)-VLOOKUP(B190,#REF!,$T$2,0),0)</f>
        <v>0</v>
      </c>
      <c r="U190" s="9">
        <f>IFERROR(VLOOKUP(B190,cubo!$A$6:$BE$37,51,0)-VLOOKUP(B190,#REF!,$U$2,0),0)</f>
        <v>0</v>
      </c>
      <c r="V190" s="9">
        <f>IFERROR(VLOOKUP(B190,cubo!$A$6:$BJ$37,60,0)-VLOOKUP(B190,#REF!,$V$2,0),0)</f>
        <v>0</v>
      </c>
      <c r="W190" s="9">
        <f>IFERROR(VLOOKUP(B190,cubo!$A$6:$BE$37,26,0)-VLOOKUP(B190,#REF!,$W$2,0),0)</f>
        <v>0</v>
      </c>
      <c r="X190" s="9">
        <f>IFERROR(VLOOKUP(B190,cubo!$A$6:$BE$37,20,0)-VLOOKUP(B190,#REF!,$X$2,0),0)</f>
        <v>0</v>
      </c>
      <c r="Y190" s="9">
        <f>IFERROR(VLOOKUP(B190,cubo!$A$6:$BE$37,21,0)-VLOOKUP(B190,#REF!,$Y$2,0),0)</f>
        <v>0</v>
      </c>
      <c r="Z190" s="9">
        <f>IFERROR(VLOOKUP(B190,cubo!$A$6:$BE$37,27,0)-VLOOKUP(B190,#REF!,$Z$2,0),0)</f>
        <v>0</v>
      </c>
      <c r="AA190" s="9">
        <f>IFERROR(VLOOKUP(B190,cubo!$A$6:$BE$37,28,0)-VLOOKUP(B190,#REF!,$AA$2,0),0)</f>
        <v>0</v>
      </c>
      <c r="AB190" s="9">
        <f>IFERROR(VLOOKUP(B190,cubo!$A$6:$BE$37,29,0)-VLOOKUP(B190,#REF!,$AB$2,0),0)</f>
        <v>0</v>
      </c>
      <c r="AC190" s="9">
        <f>IFERROR(VLOOKUP(B190,cubo!$A$6:$BE$37,30,0)-VLOOKUP(B190,#REF!,$AC$2,0),0)</f>
        <v>0</v>
      </c>
      <c r="AD190" s="9">
        <f>IFERROR(VLOOKUP(B190,cubo!$A$6:$BE$37,31,0)-VLOOKUP(B190,#REF!,$AD$2,0),0)</f>
        <v>0</v>
      </c>
      <c r="AE190" s="9">
        <f>IFERROR(VLOOKUP(B190,cubo!$A$6:$BE$37,35,0)-VLOOKUP(B190,#REF!,$AE$2,0),0)</f>
        <v>0</v>
      </c>
      <c r="AF190" s="9" cm="1">
        <f t="array" aca="1" ref="AF190" ca="1">IFERROR(rrPROCV(B190,cubo!$A$6:$BE$37,48,0)-VLOOKUP(B190,#REF!,$AF$2,0),0)</f>
        <v>0</v>
      </c>
      <c r="AG190" s="9">
        <f>IFERROR(VLOOKUP(B190,cubo!$A$6:$BE$37,49,0)-VLOOKUP(B190,#REF!,$AG$2,0),0)</f>
        <v>0</v>
      </c>
      <c r="AH190" s="9">
        <f>IFERROR(VLOOKUP(B190,cubo!$A$6:$BE$37,50,0)-VLOOKUP(B190,#REF!,$AH$2,0),0)</f>
        <v>0</v>
      </c>
      <c r="AI190" s="9">
        <f>IFERROR(VLOOKUP(B190,cubo!$A$6:$BE$37,51,0)-VLOOKUP(B190,#REF!,$AI$2,0),0)</f>
        <v>0</v>
      </c>
      <c r="AJ190" s="9">
        <f>IFERROR(VLOOKUP(B190,cubo!$A$6:$BI$116,62,0)-VLOOKUP(B190,#REF!,$AJ$2,0),0)</f>
        <v>0</v>
      </c>
      <c r="AK190" s="9">
        <f>IFERROR(VLOOKUP(B190,cubo!$A$6:$BJ$37,63,0)-VLOOKUP(B190,#REF!,$AK$2,0),0)</f>
        <v>0</v>
      </c>
      <c r="AL190" s="9">
        <f>IFERROR(VLOOKUP(B190,cubo!$A$6:$BE$37,58,0)-VLOOKUP(B190,#REF!,$AL$2,0),0)</f>
        <v>0</v>
      </c>
      <c r="AM190" s="9">
        <f>IFERROR(VLOOKUP(B190,cubo!$A$6:$BK$37,64,0)-VLOOKUP(B190,#REF!,$AM$2,0),0)</f>
        <v>0</v>
      </c>
      <c r="AN190" s="9">
        <f>IFERROR(VLOOKUP(B190,cubo!$A$6:$AN$37,41,0)-VLOOKUP(B190,#REF!,$AN$2,0),0)</f>
        <v>0</v>
      </c>
    </row>
    <row r="191" spans="2:40" x14ac:dyDescent="0.25">
      <c r="B191" s="7">
        <f>[1]salario!A190</f>
        <v>0</v>
      </c>
      <c r="C191" s="14">
        <f>[1]salario!C190</f>
        <v>0</v>
      </c>
      <c r="D191" s="9">
        <f>IFERROR(VLOOKUP(B191,cubo!$A$6:$BE$37,3,0)-VLOOKUP(B191,#REF!,$D$2,0),0)</f>
        <v>0</v>
      </c>
      <c r="E191" s="10">
        <f>IFERROR(VLOOKUP(B191,cubo!$A$6:$BE$37,5,0)-VLOOKUP(B191,#REF!,$E$2,0),0)</f>
        <v>0</v>
      </c>
      <c r="F191" s="10">
        <f>IFERROR(VLOOKUP(B191,cubo!$A$6:$BE$37,8,0)-VLOOKUP(B191,#REF!,$F$2,0),0)</f>
        <v>0</v>
      </c>
      <c r="G191" s="9">
        <f>IFERROR(VLOOKUP(B191,cubo!$A$6:$BE$37,11,0)-VLOOKUP(B191,#REF!,$G$2,0),0)</f>
        <v>0</v>
      </c>
      <c r="H191" s="9">
        <f>IFERROR(VLOOKUP(B191,cubo!$A$6:$BE$37,53,0)-VLOOKUP(B191,#REF!,$H$2,0),0)</f>
        <v>0</v>
      </c>
      <c r="I191" s="10">
        <f>IFERROR(VLOOKUP(B191,cubo!$A$6:$BE$37,14,0)-VLOOKUP(B191,#REF!,$I$2,0),0)</f>
        <v>0</v>
      </c>
      <c r="J191" s="9">
        <f>IFERROR(VLOOKUP(B191,cubo!$A$6:$BE$37,16,0)-VLOOKUP(B191,#REF!,$J$2,0),0)</f>
        <v>0</v>
      </c>
      <c r="K191" s="9">
        <f>IFERROR(VLOOKUP(B191,cubo!$A$6:$BE$37,17,0)-VLOOKUP(B191,#REF!,$K$2,0),0)</f>
        <v>0</v>
      </c>
      <c r="L191" s="9">
        <f>IFERROR(VLOOKUP(B191,cubo!$A$6:$BE$37,19,0)-VLOOKUP(B191,#REF!,$L$2,0),0)</f>
        <v>0</v>
      </c>
      <c r="M191" s="9">
        <f>IFERROR(VLOOKUP(B191,cubo!$A$6:$BE$37,23,0)-VLOOKUP(B191,#REF!,$M$2,0),0)</f>
        <v>0</v>
      </c>
      <c r="N191" s="9">
        <f>IFERROR(VLOOKUP(B191,cubo!$A$6:$BE$37,25,0)-VLOOKUP(B191,#REF!,$N$2,0),0)</f>
        <v>0</v>
      </c>
      <c r="O191" s="9">
        <f>IFERROR(VLOOKUP(B191,cubo!$A$6:$BE$37,33,0)-VLOOKUP(B191,#REF!,$O$2,0),0)</f>
        <v>0</v>
      </c>
      <c r="P191" s="8">
        <f>IFERROR(VLOOKUP(B191,cubo!$A$6:$BE$37,37,0)-VLOOKUP(B191,#REF!,$P$2,0),0)</f>
        <v>0</v>
      </c>
      <c r="Q191" s="8">
        <f>IFERROR(VLOOKUP(B191,cubo!$A$6:$BE$37,56,0)-VLOOKUP(B191,#REF!,$Q$2,0),0)</f>
        <v>0</v>
      </c>
      <c r="R191" s="9">
        <f>IFERROR(VLOOKUP(B191,cubo!$A$6:$BE$37,40,0)-VLOOKUP(B191,#REF!,$R$2,0),0)</f>
        <v>0</v>
      </c>
      <c r="S191" s="9">
        <f>IFERROR(VLOOKUP(B191,cubo!$A$6:$BE$37,43,0)-VLOOKUP(B191,#REF!,$S$2,0),0)</f>
        <v>0</v>
      </c>
      <c r="T191" s="9">
        <f>IFERROR(VLOOKUP(B191,cubo!$A$6:$BE$37,46,0)-VLOOKUP(B191,#REF!,$T$2,0),0)</f>
        <v>0</v>
      </c>
      <c r="U191" s="9">
        <f>IFERROR(VLOOKUP(B191,cubo!$A$6:$BE$37,51,0)-VLOOKUP(B191,#REF!,$U$2,0),0)</f>
        <v>0</v>
      </c>
      <c r="V191" s="9">
        <f>IFERROR(VLOOKUP(B191,cubo!$A$6:$BJ$37,60,0)-VLOOKUP(B191,#REF!,$V$2,0),0)</f>
        <v>0</v>
      </c>
      <c r="W191" s="9">
        <f>IFERROR(VLOOKUP(B191,cubo!$A$6:$BE$37,26,0)-VLOOKUP(B191,#REF!,$W$2,0),0)</f>
        <v>0</v>
      </c>
      <c r="X191" s="9">
        <f>IFERROR(VLOOKUP(B191,cubo!$A$6:$BE$37,20,0)-VLOOKUP(B191,#REF!,$X$2,0),0)</f>
        <v>0</v>
      </c>
      <c r="Y191" s="9">
        <f>IFERROR(VLOOKUP(B191,cubo!$A$6:$BE$37,21,0)-VLOOKUP(B191,#REF!,$Y$2,0),0)</f>
        <v>0</v>
      </c>
      <c r="Z191" s="9">
        <f>IFERROR(VLOOKUP(B191,cubo!$A$6:$BE$37,27,0)-VLOOKUP(B191,#REF!,$Z$2,0),0)</f>
        <v>0</v>
      </c>
      <c r="AA191" s="9">
        <f>IFERROR(VLOOKUP(B191,cubo!$A$6:$BE$37,28,0)-VLOOKUP(B191,#REF!,$AA$2,0),0)</f>
        <v>0</v>
      </c>
      <c r="AB191" s="9">
        <f>IFERROR(VLOOKUP(B191,cubo!$A$6:$BE$37,29,0)-VLOOKUP(B191,#REF!,$AB$2,0),0)</f>
        <v>0</v>
      </c>
      <c r="AC191" s="9">
        <f>IFERROR(VLOOKUP(B191,cubo!$A$6:$BE$37,30,0)-VLOOKUP(B191,#REF!,$AC$2,0),0)</f>
        <v>0</v>
      </c>
      <c r="AD191" s="9">
        <f>IFERROR(VLOOKUP(B191,cubo!$A$6:$BE$37,31,0)-VLOOKUP(B191,#REF!,$AD$2,0),0)</f>
        <v>0</v>
      </c>
      <c r="AE191" s="9">
        <f>IFERROR(VLOOKUP(B191,cubo!$A$6:$BE$37,35,0)-VLOOKUP(B191,#REF!,$AE$2,0),0)</f>
        <v>0</v>
      </c>
      <c r="AF191" s="9" cm="1">
        <f t="array" aca="1" ref="AF191" ca="1">IFERROR(rrPROCV(B191,cubo!$A$6:$BE$37,48,0)-VLOOKUP(B191,#REF!,$AF$2,0),0)</f>
        <v>0</v>
      </c>
      <c r="AG191" s="9">
        <f>IFERROR(VLOOKUP(B191,cubo!$A$6:$BE$37,49,0)-VLOOKUP(B191,#REF!,$AG$2,0),0)</f>
        <v>0</v>
      </c>
      <c r="AH191" s="9">
        <f>IFERROR(VLOOKUP(B191,cubo!$A$6:$BE$37,50,0)-VLOOKUP(B191,#REF!,$AH$2,0),0)</f>
        <v>0</v>
      </c>
      <c r="AI191" s="9">
        <f>IFERROR(VLOOKUP(B191,cubo!$A$6:$BE$37,51,0)-VLOOKUP(B191,#REF!,$AI$2,0),0)</f>
        <v>0</v>
      </c>
      <c r="AJ191" s="9">
        <f>IFERROR(VLOOKUP(B191,cubo!$A$6:$BI$116,62,0)-VLOOKUP(B191,#REF!,$AJ$2,0),0)</f>
        <v>0</v>
      </c>
      <c r="AK191" s="9">
        <f>IFERROR(VLOOKUP(B191,cubo!$A$6:$BJ$37,63,0)-VLOOKUP(B191,#REF!,$AK$2,0),0)</f>
        <v>0</v>
      </c>
      <c r="AL191" s="9">
        <f>IFERROR(VLOOKUP(B191,cubo!$A$6:$BE$37,58,0)-VLOOKUP(B191,#REF!,$AL$2,0),0)</f>
        <v>0</v>
      </c>
      <c r="AM191" s="9">
        <f>IFERROR(VLOOKUP(B191,cubo!$A$6:$BK$37,64,0)-VLOOKUP(B191,#REF!,$AM$2,0),0)</f>
        <v>0</v>
      </c>
      <c r="AN191" s="9">
        <f>IFERROR(VLOOKUP(B191,cubo!$A$6:$AN$37,41,0)-VLOOKUP(B191,#REF!,$AN$2,0),0)</f>
        <v>0</v>
      </c>
    </row>
    <row r="192" spans="2:40" x14ac:dyDescent="0.25">
      <c r="B192" s="7">
        <f>[1]salario!A191</f>
        <v>0</v>
      </c>
      <c r="C192" s="14">
        <f>[1]salario!C191</f>
        <v>0</v>
      </c>
      <c r="D192" s="9">
        <f>IFERROR(VLOOKUP(B192,cubo!$A$6:$BE$37,3,0)-VLOOKUP(B192,#REF!,$D$2,0),0)</f>
        <v>0</v>
      </c>
      <c r="E192" s="10">
        <f>IFERROR(VLOOKUP(B192,cubo!$A$6:$BE$37,5,0)-VLOOKUP(B192,#REF!,$E$2,0),0)</f>
        <v>0</v>
      </c>
      <c r="F192" s="10">
        <f>IFERROR(VLOOKUP(B192,cubo!$A$6:$BE$37,8,0)-VLOOKUP(B192,#REF!,$F$2,0),0)</f>
        <v>0</v>
      </c>
      <c r="G192" s="9">
        <f>IFERROR(VLOOKUP(B192,cubo!$A$6:$BE$37,11,0)-VLOOKUP(B192,#REF!,$G$2,0),0)</f>
        <v>0</v>
      </c>
      <c r="H192" s="9">
        <f>IFERROR(VLOOKUP(B192,cubo!$A$6:$BE$37,53,0)-VLOOKUP(B192,#REF!,$H$2,0),0)</f>
        <v>0</v>
      </c>
      <c r="I192" s="10">
        <f>IFERROR(VLOOKUP(B192,cubo!$A$6:$BE$37,14,0)-VLOOKUP(B192,#REF!,$I$2,0),0)</f>
        <v>0</v>
      </c>
      <c r="J192" s="9">
        <f>IFERROR(VLOOKUP(B192,cubo!$A$6:$BE$37,16,0)-VLOOKUP(B192,#REF!,$J$2,0),0)</f>
        <v>0</v>
      </c>
      <c r="K192" s="9">
        <f>IFERROR(VLOOKUP(B192,cubo!$A$6:$BE$37,17,0)-VLOOKUP(B192,#REF!,$K$2,0),0)</f>
        <v>0</v>
      </c>
      <c r="L192" s="9">
        <f>IFERROR(VLOOKUP(B192,cubo!$A$6:$BE$37,19,0)-VLOOKUP(B192,#REF!,$L$2,0),0)</f>
        <v>0</v>
      </c>
      <c r="M192" s="9">
        <f>IFERROR(VLOOKUP(B192,cubo!$A$6:$BE$37,23,0)-VLOOKUP(B192,#REF!,$M$2,0),0)</f>
        <v>0</v>
      </c>
      <c r="N192" s="9">
        <f>IFERROR(VLOOKUP(B192,cubo!$A$6:$BE$37,25,0)-VLOOKUP(B192,#REF!,$N$2,0),0)</f>
        <v>0</v>
      </c>
      <c r="O192" s="9">
        <f>IFERROR(VLOOKUP(B192,cubo!$A$6:$BE$37,33,0)-VLOOKUP(B192,#REF!,$O$2,0),0)</f>
        <v>0</v>
      </c>
      <c r="P192" s="8">
        <f>IFERROR(VLOOKUP(B192,cubo!$A$6:$BE$37,37,0)-VLOOKUP(B192,#REF!,$P$2,0),0)</f>
        <v>0</v>
      </c>
      <c r="Q192" s="8">
        <f>IFERROR(VLOOKUP(B192,cubo!$A$6:$BE$37,56,0)-VLOOKUP(B192,#REF!,$Q$2,0),0)</f>
        <v>0</v>
      </c>
      <c r="R192" s="9">
        <f>IFERROR(VLOOKUP(B192,cubo!$A$6:$BE$37,40,0)-VLOOKUP(B192,#REF!,$R$2,0),0)</f>
        <v>0</v>
      </c>
      <c r="S192" s="9">
        <f>IFERROR(VLOOKUP(B192,cubo!$A$6:$BE$37,43,0)-VLOOKUP(B192,#REF!,$S$2,0),0)</f>
        <v>0</v>
      </c>
      <c r="T192" s="9">
        <f>IFERROR(VLOOKUP(B192,cubo!$A$6:$BE$37,46,0)-VLOOKUP(B192,#REF!,$T$2,0),0)</f>
        <v>0</v>
      </c>
      <c r="U192" s="9">
        <f>IFERROR(VLOOKUP(B192,cubo!$A$6:$BE$37,51,0)-VLOOKUP(B192,#REF!,$U$2,0),0)</f>
        <v>0</v>
      </c>
      <c r="V192" s="9">
        <f>IFERROR(VLOOKUP(B192,cubo!$A$6:$BJ$37,60,0)-VLOOKUP(B192,#REF!,$V$2,0),0)</f>
        <v>0</v>
      </c>
      <c r="W192" s="9">
        <f>IFERROR(VLOOKUP(B192,cubo!$A$6:$BE$37,26,0)-VLOOKUP(B192,#REF!,$W$2,0),0)</f>
        <v>0</v>
      </c>
      <c r="X192" s="9">
        <f>IFERROR(VLOOKUP(B192,cubo!$A$6:$BE$37,20,0)-VLOOKUP(B192,#REF!,$X$2,0),0)</f>
        <v>0</v>
      </c>
      <c r="Y192" s="9">
        <f>IFERROR(VLOOKUP(B192,cubo!$A$6:$BE$37,21,0)-VLOOKUP(B192,#REF!,$Y$2,0),0)</f>
        <v>0</v>
      </c>
      <c r="Z192" s="9">
        <f>IFERROR(VLOOKUP(B192,cubo!$A$6:$BE$37,27,0)-VLOOKUP(B192,#REF!,$Z$2,0),0)</f>
        <v>0</v>
      </c>
      <c r="AA192" s="9">
        <f>IFERROR(VLOOKUP(B192,cubo!$A$6:$BE$37,28,0)-VLOOKUP(B192,#REF!,$AA$2,0),0)</f>
        <v>0</v>
      </c>
      <c r="AB192" s="9">
        <f>IFERROR(VLOOKUP(B192,cubo!$A$6:$BE$37,29,0)-VLOOKUP(B192,#REF!,$AB$2,0),0)</f>
        <v>0</v>
      </c>
      <c r="AC192" s="9">
        <f>IFERROR(VLOOKUP(B192,cubo!$A$6:$BE$37,30,0)-VLOOKUP(B192,#REF!,$AC$2,0),0)</f>
        <v>0</v>
      </c>
      <c r="AD192" s="9">
        <f>IFERROR(VLOOKUP(B192,cubo!$A$6:$BE$37,31,0)-VLOOKUP(B192,#REF!,$AD$2,0),0)</f>
        <v>0</v>
      </c>
      <c r="AE192" s="9">
        <f>IFERROR(VLOOKUP(B192,cubo!$A$6:$BE$37,35,0)-VLOOKUP(B192,#REF!,$AE$2,0),0)</f>
        <v>0</v>
      </c>
      <c r="AF192" s="9" cm="1">
        <f t="array" aca="1" ref="AF192" ca="1">IFERROR(rrPROCV(B192,cubo!$A$6:$BE$37,48,0)-VLOOKUP(B192,#REF!,$AF$2,0),0)</f>
        <v>0</v>
      </c>
      <c r="AG192" s="9">
        <f>IFERROR(VLOOKUP(B192,cubo!$A$6:$BE$37,49,0)-VLOOKUP(B192,#REF!,$AG$2,0),0)</f>
        <v>0</v>
      </c>
      <c r="AH192" s="9">
        <f>IFERROR(VLOOKUP(B192,cubo!$A$6:$BE$37,50,0)-VLOOKUP(B192,#REF!,$AH$2,0),0)</f>
        <v>0</v>
      </c>
      <c r="AI192" s="9">
        <f>IFERROR(VLOOKUP(B192,cubo!$A$6:$BE$37,51,0)-VLOOKUP(B192,#REF!,$AI$2,0),0)</f>
        <v>0</v>
      </c>
      <c r="AJ192" s="9">
        <f>IFERROR(VLOOKUP(B192,cubo!$A$6:$BI$116,62,0)-VLOOKUP(B192,#REF!,$AJ$2,0),0)</f>
        <v>0</v>
      </c>
      <c r="AK192" s="9">
        <f>IFERROR(VLOOKUP(B192,cubo!$A$6:$BJ$37,63,0)-VLOOKUP(B192,#REF!,$AK$2,0),0)</f>
        <v>0</v>
      </c>
      <c r="AL192" s="9">
        <f>IFERROR(VLOOKUP(B192,cubo!$A$6:$BE$37,58,0)-VLOOKUP(B192,#REF!,$AL$2,0),0)</f>
        <v>0</v>
      </c>
      <c r="AM192" s="9">
        <f>IFERROR(VLOOKUP(B192,cubo!$A$6:$BK$37,64,0)-VLOOKUP(B192,#REF!,$AM$2,0),0)</f>
        <v>0</v>
      </c>
      <c r="AN192" s="9">
        <f>IFERROR(VLOOKUP(B192,cubo!$A$6:$AN$37,41,0)-VLOOKUP(B192,#REF!,$AN$2,0),0)</f>
        <v>0</v>
      </c>
    </row>
    <row r="193" spans="2:40" x14ac:dyDescent="0.25">
      <c r="B193" s="7">
        <f>[1]salario!A192</f>
        <v>0</v>
      </c>
      <c r="C193" s="14">
        <f>[1]salario!C192</f>
        <v>0</v>
      </c>
      <c r="D193" s="9">
        <f>IFERROR(VLOOKUP(B193,cubo!$A$6:$BE$37,3,0)-VLOOKUP(B193,#REF!,$D$2,0),0)</f>
        <v>0</v>
      </c>
      <c r="E193" s="10">
        <f>IFERROR(VLOOKUP(B193,cubo!$A$6:$BE$37,5,0)-VLOOKUP(B193,#REF!,$E$2,0),0)</f>
        <v>0</v>
      </c>
      <c r="F193" s="10">
        <f>IFERROR(VLOOKUP(B193,cubo!$A$6:$BE$37,8,0)-VLOOKUP(B193,#REF!,$F$2,0),0)</f>
        <v>0</v>
      </c>
      <c r="G193" s="9">
        <f>IFERROR(VLOOKUP(B193,cubo!$A$6:$BE$37,11,0)-VLOOKUP(B193,#REF!,$G$2,0),0)</f>
        <v>0</v>
      </c>
      <c r="H193" s="9">
        <f>IFERROR(VLOOKUP(B193,cubo!$A$6:$BE$37,53,0)-VLOOKUP(B193,#REF!,$H$2,0),0)</f>
        <v>0</v>
      </c>
      <c r="I193" s="10">
        <f>IFERROR(VLOOKUP(B193,cubo!$A$6:$BE$37,14,0)-VLOOKUP(B193,#REF!,$I$2,0),0)</f>
        <v>0</v>
      </c>
      <c r="J193" s="9">
        <f>IFERROR(VLOOKUP(B193,cubo!$A$6:$BE$37,16,0)-VLOOKUP(B193,#REF!,$J$2,0),0)</f>
        <v>0</v>
      </c>
      <c r="K193" s="9">
        <f>IFERROR(VLOOKUP(B193,cubo!$A$6:$BE$37,17,0)-VLOOKUP(B193,#REF!,$K$2,0),0)</f>
        <v>0</v>
      </c>
      <c r="L193" s="9">
        <f>IFERROR(VLOOKUP(B193,cubo!$A$6:$BE$37,19,0)-VLOOKUP(B193,#REF!,$L$2,0),0)</f>
        <v>0</v>
      </c>
      <c r="M193" s="9">
        <f>IFERROR(VLOOKUP(B193,cubo!$A$6:$BE$37,23,0)-VLOOKUP(B193,#REF!,$M$2,0),0)</f>
        <v>0</v>
      </c>
      <c r="N193" s="9">
        <f>IFERROR(VLOOKUP(B193,cubo!$A$6:$BE$37,25,0)-VLOOKUP(B193,#REF!,$N$2,0),0)</f>
        <v>0</v>
      </c>
      <c r="O193" s="9">
        <f>IFERROR(VLOOKUP(B193,cubo!$A$6:$BE$37,33,0)-VLOOKUP(B193,#REF!,$O$2,0),0)</f>
        <v>0</v>
      </c>
      <c r="P193" s="8">
        <f>IFERROR(VLOOKUP(B193,cubo!$A$6:$BE$37,37,0)-VLOOKUP(B193,#REF!,$P$2,0),0)</f>
        <v>0</v>
      </c>
      <c r="Q193" s="8">
        <f>IFERROR(VLOOKUP(B193,cubo!$A$6:$BE$37,56,0)-VLOOKUP(B193,#REF!,$Q$2,0),0)</f>
        <v>0</v>
      </c>
      <c r="R193" s="9">
        <f>IFERROR(VLOOKUP(B193,cubo!$A$6:$BE$37,40,0)-VLOOKUP(B193,#REF!,$R$2,0),0)</f>
        <v>0</v>
      </c>
      <c r="S193" s="9">
        <f>IFERROR(VLOOKUP(B193,cubo!$A$6:$BE$37,43,0)-VLOOKUP(B193,#REF!,$S$2,0),0)</f>
        <v>0</v>
      </c>
      <c r="T193" s="9">
        <f>IFERROR(VLOOKUP(B193,cubo!$A$6:$BE$37,46,0)-VLOOKUP(B193,#REF!,$T$2,0),0)</f>
        <v>0</v>
      </c>
      <c r="U193" s="9">
        <f>IFERROR(VLOOKUP(B193,cubo!$A$6:$BE$37,51,0)-VLOOKUP(B193,#REF!,$U$2,0),0)</f>
        <v>0</v>
      </c>
      <c r="V193" s="9">
        <f>IFERROR(VLOOKUP(B193,cubo!$A$6:$BJ$37,60,0)-VLOOKUP(B193,#REF!,$V$2,0),0)</f>
        <v>0</v>
      </c>
      <c r="W193" s="9">
        <f>IFERROR(VLOOKUP(B193,cubo!$A$6:$BE$37,26,0)-VLOOKUP(B193,#REF!,$W$2,0),0)</f>
        <v>0</v>
      </c>
      <c r="X193" s="9">
        <f>IFERROR(VLOOKUP(B193,cubo!$A$6:$BE$37,20,0)-VLOOKUP(B193,#REF!,$X$2,0),0)</f>
        <v>0</v>
      </c>
      <c r="Y193" s="9">
        <f>IFERROR(VLOOKUP(B193,cubo!$A$6:$BE$37,21,0)-VLOOKUP(B193,#REF!,$Y$2,0),0)</f>
        <v>0</v>
      </c>
      <c r="Z193" s="9">
        <f>IFERROR(VLOOKUP(B193,cubo!$A$6:$BE$37,27,0)-VLOOKUP(B193,#REF!,$Z$2,0),0)</f>
        <v>0</v>
      </c>
      <c r="AA193" s="9">
        <f>IFERROR(VLOOKUP(B193,cubo!$A$6:$BE$37,28,0)-VLOOKUP(B193,#REF!,$AA$2,0),0)</f>
        <v>0</v>
      </c>
      <c r="AB193" s="9">
        <f>IFERROR(VLOOKUP(B193,cubo!$A$6:$BE$37,29,0)-VLOOKUP(B193,#REF!,$AB$2,0),0)</f>
        <v>0</v>
      </c>
      <c r="AC193" s="9">
        <f>IFERROR(VLOOKUP(B193,cubo!$A$6:$BE$37,30,0)-VLOOKUP(B193,#REF!,$AC$2,0),0)</f>
        <v>0</v>
      </c>
      <c r="AD193" s="9">
        <f>IFERROR(VLOOKUP(B193,cubo!$A$6:$BE$37,31,0)-VLOOKUP(B193,#REF!,$AD$2,0),0)</f>
        <v>0</v>
      </c>
      <c r="AE193" s="9">
        <f>IFERROR(VLOOKUP(B193,cubo!$A$6:$BE$37,35,0)-VLOOKUP(B193,#REF!,$AE$2,0),0)</f>
        <v>0</v>
      </c>
      <c r="AF193" s="9" cm="1">
        <f t="array" aca="1" ref="AF193" ca="1">IFERROR(rrPROCV(B193,cubo!$A$6:$BE$37,48,0)-VLOOKUP(B193,#REF!,$AF$2,0),0)</f>
        <v>0</v>
      </c>
      <c r="AG193" s="9">
        <f>IFERROR(VLOOKUP(B193,cubo!$A$6:$BE$37,49,0)-VLOOKUP(B193,#REF!,$AG$2,0),0)</f>
        <v>0</v>
      </c>
      <c r="AH193" s="9">
        <f>IFERROR(VLOOKUP(B193,cubo!$A$6:$BE$37,50,0)-VLOOKUP(B193,#REF!,$AH$2,0),0)</f>
        <v>0</v>
      </c>
      <c r="AI193" s="9">
        <f>IFERROR(VLOOKUP(B193,cubo!$A$6:$BE$37,51,0)-VLOOKUP(B193,#REF!,$AI$2,0),0)</f>
        <v>0</v>
      </c>
      <c r="AJ193" s="9">
        <f>IFERROR(VLOOKUP(B193,cubo!$A$6:$BI$116,62,0)-VLOOKUP(B193,#REF!,$AJ$2,0),0)</f>
        <v>0</v>
      </c>
      <c r="AK193" s="9">
        <f>IFERROR(VLOOKUP(B193,cubo!$A$6:$BJ$37,63,0)-VLOOKUP(B193,#REF!,$AK$2,0),0)</f>
        <v>0</v>
      </c>
      <c r="AL193" s="9">
        <f>IFERROR(VLOOKUP(B193,cubo!$A$6:$BE$37,58,0)-VLOOKUP(B193,#REF!,$AL$2,0),0)</f>
        <v>0</v>
      </c>
      <c r="AM193" s="9">
        <f>IFERROR(VLOOKUP(B193,cubo!$A$6:$BK$37,64,0)-VLOOKUP(B193,#REF!,$AM$2,0),0)</f>
        <v>0</v>
      </c>
      <c r="AN193" s="9">
        <f>IFERROR(VLOOKUP(B193,cubo!$A$6:$AN$37,41,0)-VLOOKUP(B193,#REF!,$AN$2,0),0)</f>
        <v>0</v>
      </c>
    </row>
    <row r="194" spans="2:40" x14ac:dyDescent="0.25">
      <c r="B194" s="7">
        <f>[1]salario!A193</f>
        <v>0</v>
      </c>
      <c r="C194" s="14">
        <f>[1]salario!C193</f>
        <v>0</v>
      </c>
      <c r="D194" s="9">
        <f>IFERROR(VLOOKUP(B194,cubo!$A$6:$BE$37,3,0)-VLOOKUP(B194,#REF!,$D$2,0),0)</f>
        <v>0</v>
      </c>
      <c r="E194" s="10">
        <f>IFERROR(VLOOKUP(B194,cubo!$A$6:$BE$37,5,0)-VLOOKUP(B194,#REF!,$E$2,0),0)</f>
        <v>0</v>
      </c>
      <c r="F194" s="10">
        <f>IFERROR(VLOOKUP(B194,cubo!$A$6:$BE$37,8,0)-VLOOKUP(B194,#REF!,$F$2,0),0)</f>
        <v>0</v>
      </c>
      <c r="G194" s="9">
        <f>IFERROR(VLOOKUP(B194,cubo!$A$6:$BE$37,11,0)-VLOOKUP(B194,#REF!,$G$2,0),0)</f>
        <v>0</v>
      </c>
      <c r="H194" s="9">
        <f>IFERROR(VLOOKUP(B194,cubo!$A$6:$BE$37,53,0)-VLOOKUP(B194,#REF!,$H$2,0),0)</f>
        <v>0</v>
      </c>
      <c r="I194" s="10">
        <f>IFERROR(VLOOKUP(B194,cubo!$A$6:$BE$37,14,0)-VLOOKUP(B194,#REF!,$I$2,0),0)</f>
        <v>0</v>
      </c>
      <c r="J194" s="9">
        <f>IFERROR(VLOOKUP(B194,cubo!$A$6:$BE$37,16,0)-VLOOKUP(B194,#REF!,$J$2,0),0)</f>
        <v>0</v>
      </c>
      <c r="K194" s="9">
        <f>IFERROR(VLOOKUP(B194,cubo!$A$6:$BE$37,17,0)-VLOOKUP(B194,#REF!,$K$2,0),0)</f>
        <v>0</v>
      </c>
      <c r="L194" s="9">
        <f>IFERROR(VLOOKUP(B194,cubo!$A$6:$BE$37,19,0)-VLOOKUP(B194,#REF!,$L$2,0),0)</f>
        <v>0</v>
      </c>
      <c r="M194" s="9">
        <f>IFERROR(VLOOKUP(B194,cubo!$A$6:$BE$37,23,0)-VLOOKUP(B194,#REF!,$M$2,0),0)</f>
        <v>0</v>
      </c>
      <c r="N194" s="9">
        <f>IFERROR(VLOOKUP(B194,cubo!$A$6:$BE$37,25,0)-VLOOKUP(B194,#REF!,$N$2,0),0)</f>
        <v>0</v>
      </c>
      <c r="O194" s="9">
        <f>IFERROR(VLOOKUP(B194,cubo!$A$6:$BE$37,33,0)-VLOOKUP(B194,#REF!,$O$2,0),0)</f>
        <v>0</v>
      </c>
      <c r="P194" s="8">
        <f>IFERROR(VLOOKUP(B194,cubo!$A$6:$BE$37,37,0)-VLOOKUP(B194,#REF!,$P$2,0),0)</f>
        <v>0</v>
      </c>
      <c r="Q194" s="8">
        <f>IFERROR(VLOOKUP(B194,cubo!$A$6:$BE$37,56,0)-VLOOKUP(B194,#REF!,$Q$2,0),0)</f>
        <v>0</v>
      </c>
      <c r="R194" s="9">
        <f>IFERROR(VLOOKUP(B194,cubo!$A$6:$BE$37,40,0)-VLOOKUP(B194,#REF!,$R$2,0),0)</f>
        <v>0</v>
      </c>
      <c r="S194" s="9">
        <f>IFERROR(VLOOKUP(B194,cubo!$A$6:$BE$37,43,0)-VLOOKUP(B194,#REF!,$S$2,0),0)</f>
        <v>0</v>
      </c>
      <c r="T194" s="9">
        <f>IFERROR(VLOOKUP(B194,cubo!$A$6:$BE$37,46,0)-VLOOKUP(B194,#REF!,$T$2,0),0)</f>
        <v>0</v>
      </c>
      <c r="U194" s="9">
        <f>IFERROR(VLOOKUP(B194,cubo!$A$6:$BE$37,51,0)-VLOOKUP(B194,#REF!,$U$2,0),0)</f>
        <v>0</v>
      </c>
      <c r="V194" s="9">
        <f>IFERROR(VLOOKUP(B194,cubo!$A$6:$BJ$37,60,0)-VLOOKUP(B194,#REF!,$V$2,0),0)</f>
        <v>0</v>
      </c>
      <c r="W194" s="9">
        <f>IFERROR(VLOOKUP(B194,cubo!$A$6:$BE$37,26,0)-VLOOKUP(B194,#REF!,$W$2,0),0)</f>
        <v>0</v>
      </c>
      <c r="X194" s="9">
        <f>IFERROR(VLOOKUP(B194,cubo!$A$6:$BE$37,20,0)-VLOOKUP(B194,#REF!,$X$2,0),0)</f>
        <v>0</v>
      </c>
      <c r="Y194" s="9">
        <f>IFERROR(VLOOKUP(B194,cubo!$A$6:$BE$37,21,0)-VLOOKUP(B194,#REF!,$Y$2,0),0)</f>
        <v>0</v>
      </c>
      <c r="Z194" s="9">
        <f>IFERROR(VLOOKUP(B194,cubo!$A$6:$BE$37,27,0)-VLOOKUP(B194,#REF!,$Z$2,0),0)</f>
        <v>0</v>
      </c>
      <c r="AA194" s="9">
        <f>IFERROR(VLOOKUP(B194,cubo!$A$6:$BE$37,28,0)-VLOOKUP(B194,#REF!,$AA$2,0),0)</f>
        <v>0</v>
      </c>
      <c r="AB194" s="9">
        <f>IFERROR(VLOOKUP(B194,cubo!$A$6:$BE$37,29,0)-VLOOKUP(B194,#REF!,$AB$2,0),0)</f>
        <v>0</v>
      </c>
      <c r="AC194" s="9">
        <f>IFERROR(VLOOKUP(B194,cubo!$A$6:$BE$37,30,0)-VLOOKUP(B194,#REF!,$AC$2,0),0)</f>
        <v>0</v>
      </c>
      <c r="AD194" s="9">
        <f>IFERROR(VLOOKUP(B194,cubo!$A$6:$BE$37,31,0)-VLOOKUP(B194,#REF!,$AD$2,0),0)</f>
        <v>0</v>
      </c>
      <c r="AE194" s="9">
        <f>IFERROR(VLOOKUP(B194,cubo!$A$6:$BE$37,35,0)-VLOOKUP(B194,#REF!,$AE$2,0),0)</f>
        <v>0</v>
      </c>
      <c r="AF194" s="9" cm="1">
        <f t="array" aca="1" ref="AF194" ca="1">IFERROR(rrPROCV(B194,cubo!$A$6:$BE$37,48,0)-VLOOKUP(B194,#REF!,$AF$2,0),0)</f>
        <v>0</v>
      </c>
      <c r="AG194" s="9">
        <f>IFERROR(VLOOKUP(B194,cubo!$A$6:$BE$37,49,0)-VLOOKUP(B194,#REF!,$AG$2,0),0)</f>
        <v>0</v>
      </c>
      <c r="AH194" s="9">
        <f>IFERROR(VLOOKUP(B194,cubo!$A$6:$BE$37,50,0)-VLOOKUP(B194,#REF!,$AH$2,0),0)</f>
        <v>0</v>
      </c>
      <c r="AI194" s="9">
        <f>IFERROR(VLOOKUP(B194,cubo!$A$6:$BE$37,51,0)-VLOOKUP(B194,#REF!,$AI$2,0),0)</f>
        <v>0</v>
      </c>
      <c r="AJ194" s="9">
        <f>IFERROR(VLOOKUP(B194,cubo!$A$6:$BI$116,62,0)-VLOOKUP(B194,#REF!,$AJ$2,0),0)</f>
        <v>0</v>
      </c>
      <c r="AK194" s="9">
        <f>IFERROR(VLOOKUP(B194,cubo!$A$6:$BJ$37,63,0)-VLOOKUP(B194,#REF!,$AK$2,0),0)</f>
        <v>0</v>
      </c>
      <c r="AL194" s="9">
        <f>IFERROR(VLOOKUP(B194,cubo!$A$6:$BE$37,58,0)-VLOOKUP(B194,#REF!,$AL$2,0),0)</f>
        <v>0</v>
      </c>
      <c r="AM194" s="9">
        <f>IFERROR(VLOOKUP(B194,cubo!$A$6:$BK$37,64,0)-VLOOKUP(B194,#REF!,$AM$2,0),0)</f>
        <v>0</v>
      </c>
      <c r="AN194" s="9">
        <f>IFERROR(VLOOKUP(B194,cubo!$A$6:$AN$37,41,0)-VLOOKUP(B194,#REF!,$AN$2,0),0)</f>
        <v>0</v>
      </c>
    </row>
    <row r="195" spans="2:40" x14ac:dyDescent="0.25">
      <c r="B195" s="7">
        <f>[1]salario!A194</f>
        <v>0</v>
      </c>
      <c r="C195" s="14">
        <f>[1]salario!C194</f>
        <v>0</v>
      </c>
      <c r="D195" s="9">
        <f>IFERROR(VLOOKUP(B195,cubo!$A$6:$BE$37,3,0)-VLOOKUP(B195,#REF!,$D$2,0),0)</f>
        <v>0</v>
      </c>
      <c r="E195" s="10">
        <f>IFERROR(VLOOKUP(B195,cubo!$A$6:$BE$37,5,0)-VLOOKUP(B195,#REF!,$E$2,0),0)</f>
        <v>0</v>
      </c>
      <c r="F195" s="10">
        <f>IFERROR(VLOOKUP(B195,cubo!$A$6:$BE$37,8,0)-VLOOKUP(B195,#REF!,$F$2,0),0)</f>
        <v>0</v>
      </c>
      <c r="G195" s="9">
        <f>IFERROR(VLOOKUP(B195,cubo!$A$6:$BE$37,11,0)-VLOOKUP(B195,#REF!,$G$2,0),0)</f>
        <v>0</v>
      </c>
      <c r="H195" s="9">
        <f>IFERROR(VLOOKUP(B195,cubo!$A$6:$BE$37,53,0)-VLOOKUP(B195,#REF!,$H$2,0),0)</f>
        <v>0</v>
      </c>
      <c r="I195" s="10">
        <f>IFERROR(VLOOKUP(B195,cubo!$A$6:$BE$37,14,0)-VLOOKUP(B195,#REF!,$I$2,0),0)</f>
        <v>0</v>
      </c>
      <c r="J195" s="9">
        <f>IFERROR(VLOOKUP(B195,cubo!$A$6:$BE$37,16,0)-VLOOKUP(B195,#REF!,$J$2,0),0)</f>
        <v>0</v>
      </c>
      <c r="K195" s="9">
        <f>IFERROR(VLOOKUP(B195,cubo!$A$6:$BE$37,17,0)-VLOOKUP(B195,#REF!,$K$2,0),0)</f>
        <v>0</v>
      </c>
      <c r="L195" s="9">
        <f>IFERROR(VLOOKUP(B195,cubo!$A$6:$BE$37,19,0)-VLOOKUP(B195,#REF!,$L$2,0),0)</f>
        <v>0</v>
      </c>
      <c r="M195" s="9">
        <f>IFERROR(VLOOKUP(B195,cubo!$A$6:$BE$37,23,0)-VLOOKUP(B195,#REF!,$M$2,0),0)</f>
        <v>0</v>
      </c>
      <c r="N195" s="9">
        <f>IFERROR(VLOOKUP(B195,cubo!$A$6:$BE$37,25,0)-VLOOKUP(B195,#REF!,$N$2,0),0)</f>
        <v>0</v>
      </c>
      <c r="O195" s="9">
        <f>IFERROR(VLOOKUP(B195,cubo!$A$6:$BE$37,33,0)-VLOOKUP(B195,#REF!,$O$2,0),0)</f>
        <v>0</v>
      </c>
      <c r="P195" s="8">
        <f>IFERROR(VLOOKUP(B195,cubo!$A$6:$BE$37,37,0)-VLOOKUP(B195,#REF!,$P$2,0),0)</f>
        <v>0</v>
      </c>
      <c r="Q195" s="8">
        <f>IFERROR(VLOOKUP(B195,cubo!$A$6:$BE$37,56,0)-VLOOKUP(B195,#REF!,$Q$2,0),0)</f>
        <v>0</v>
      </c>
      <c r="R195" s="9">
        <f>IFERROR(VLOOKUP(B195,cubo!$A$6:$BE$37,40,0)-VLOOKUP(B195,#REF!,$R$2,0),0)</f>
        <v>0</v>
      </c>
      <c r="S195" s="9">
        <f>IFERROR(VLOOKUP(B195,cubo!$A$6:$BE$37,43,0)-VLOOKUP(B195,#REF!,$S$2,0),0)</f>
        <v>0</v>
      </c>
      <c r="T195" s="9">
        <f>IFERROR(VLOOKUP(B195,cubo!$A$6:$BE$37,46,0)-VLOOKUP(B195,#REF!,$T$2,0),0)</f>
        <v>0</v>
      </c>
      <c r="U195" s="9">
        <f>IFERROR(VLOOKUP(B195,cubo!$A$6:$BE$37,51,0)-VLOOKUP(B195,#REF!,$U$2,0),0)</f>
        <v>0</v>
      </c>
      <c r="V195" s="9">
        <f>IFERROR(VLOOKUP(B195,cubo!$A$6:$BJ$37,60,0)-VLOOKUP(B195,#REF!,$V$2,0),0)</f>
        <v>0</v>
      </c>
      <c r="W195" s="9">
        <f>IFERROR(VLOOKUP(B195,cubo!$A$6:$BE$37,26,0)-VLOOKUP(B195,#REF!,$W$2,0),0)</f>
        <v>0</v>
      </c>
      <c r="X195" s="9">
        <f>IFERROR(VLOOKUP(B195,cubo!$A$6:$BE$37,20,0)-VLOOKUP(B195,#REF!,$X$2,0),0)</f>
        <v>0</v>
      </c>
      <c r="Y195" s="9">
        <f>IFERROR(VLOOKUP(B195,cubo!$A$6:$BE$37,21,0)-VLOOKUP(B195,#REF!,$Y$2,0),0)</f>
        <v>0</v>
      </c>
      <c r="Z195" s="9">
        <f>IFERROR(VLOOKUP(B195,cubo!$A$6:$BE$37,27,0)-VLOOKUP(B195,#REF!,$Z$2,0),0)</f>
        <v>0</v>
      </c>
      <c r="AA195" s="9">
        <f>IFERROR(VLOOKUP(B195,cubo!$A$6:$BE$37,28,0)-VLOOKUP(B195,#REF!,$AA$2,0),0)</f>
        <v>0</v>
      </c>
      <c r="AB195" s="9">
        <f>IFERROR(VLOOKUP(B195,cubo!$A$6:$BE$37,29,0)-VLOOKUP(B195,#REF!,$AB$2,0),0)</f>
        <v>0</v>
      </c>
      <c r="AC195" s="9">
        <f>IFERROR(VLOOKUP(B195,cubo!$A$6:$BE$37,30,0)-VLOOKUP(B195,#REF!,$AC$2,0),0)</f>
        <v>0</v>
      </c>
      <c r="AD195" s="9">
        <f>IFERROR(VLOOKUP(B195,cubo!$A$6:$BE$37,31,0)-VLOOKUP(B195,#REF!,$AD$2,0),0)</f>
        <v>0</v>
      </c>
      <c r="AE195" s="9">
        <f>IFERROR(VLOOKUP(B195,cubo!$A$6:$BE$37,35,0)-VLOOKUP(B195,#REF!,$AE$2,0),0)</f>
        <v>0</v>
      </c>
      <c r="AF195" s="9" cm="1">
        <f t="array" aca="1" ref="AF195" ca="1">IFERROR(rrPROCV(B195,cubo!$A$6:$BE$37,48,0)-VLOOKUP(B195,#REF!,$AF$2,0),0)</f>
        <v>0</v>
      </c>
      <c r="AG195" s="9">
        <f>IFERROR(VLOOKUP(B195,cubo!$A$6:$BE$37,49,0)-VLOOKUP(B195,#REF!,$AG$2,0),0)</f>
        <v>0</v>
      </c>
      <c r="AH195" s="9">
        <f>IFERROR(VLOOKUP(B195,cubo!$A$6:$BE$37,50,0)-VLOOKUP(B195,#REF!,$AH$2,0),0)</f>
        <v>0</v>
      </c>
      <c r="AI195" s="9">
        <f>IFERROR(VLOOKUP(B195,cubo!$A$6:$BE$37,51,0)-VLOOKUP(B195,#REF!,$AI$2,0),0)</f>
        <v>0</v>
      </c>
      <c r="AJ195" s="9">
        <f>IFERROR(VLOOKUP(B195,cubo!$A$6:$BI$116,62,0)-VLOOKUP(B195,#REF!,$AJ$2,0),0)</f>
        <v>0</v>
      </c>
      <c r="AK195" s="9">
        <f>IFERROR(VLOOKUP(B195,cubo!$A$6:$BJ$37,63,0)-VLOOKUP(B195,#REF!,$AK$2,0),0)</f>
        <v>0</v>
      </c>
      <c r="AL195" s="9">
        <f>IFERROR(VLOOKUP(B195,cubo!$A$6:$BE$37,58,0)-VLOOKUP(B195,#REF!,$AL$2,0),0)</f>
        <v>0</v>
      </c>
      <c r="AM195" s="9">
        <f>IFERROR(VLOOKUP(B195,cubo!$A$6:$BK$37,64,0)-VLOOKUP(B195,#REF!,$AM$2,0),0)</f>
        <v>0</v>
      </c>
      <c r="AN195" s="9">
        <f>IFERROR(VLOOKUP(B195,cubo!$A$6:$AN$37,41,0)-VLOOKUP(B195,#REF!,$AN$2,0),0)</f>
        <v>0</v>
      </c>
    </row>
    <row r="196" spans="2:40" x14ac:dyDescent="0.25">
      <c r="B196" s="7">
        <f>[1]salario!A195</f>
        <v>0</v>
      </c>
      <c r="C196" s="14">
        <f>[1]salario!C195</f>
        <v>0</v>
      </c>
      <c r="D196" s="9">
        <f>IFERROR(VLOOKUP(B196,cubo!$A$6:$BE$37,3,0)-VLOOKUP(B196,#REF!,$D$2,0),0)</f>
        <v>0</v>
      </c>
      <c r="E196" s="10">
        <f>IFERROR(VLOOKUP(B196,cubo!$A$6:$BE$37,5,0)-VLOOKUP(B196,#REF!,$E$2,0),0)</f>
        <v>0</v>
      </c>
      <c r="F196" s="10">
        <f>IFERROR(VLOOKUP(B196,cubo!$A$6:$BE$37,8,0)-VLOOKUP(B196,#REF!,$F$2,0),0)</f>
        <v>0</v>
      </c>
      <c r="G196" s="9">
        <f>IFERROR(VLOOKUP(B196,cubo!$A$6:$BE$37,11,0)-VLOOKUP(B196,#REF!,$G$2,0),0)</f>
        <v>0</v>
      </c>
      <c r="H196" s="9">
        <f>IFERROR(VLOOKUP(B196,cubo!$A$6:$BE$37,53,0)-VLOOKUP(B196,#REF!,$H$2,0),0)</f>
        <v>0</v>
      </c>
      <c r="I196" s="10">
        <f>IFERROR(VLOOKUP(B196,cubo!$A$6:$BE$37,14,0)-VLOOKUP(B196,#REF!,$I$2,0),0)</f>
        <v>0</v>
      </c>
      <c r="J196" s="9">
        <f>IFERROR(VLOOKUP(B196,cubo!$A$6:$BE$37,16,0)-VLOOKUP(B196,#REF!,$J$2,0),0)</f>
        <v>0</v>
      </c>
      <c r="K196" s="9">
        <f>IFERROR(VLOOKUP(B196,cubo!$A$6:$BE$37,17,0)-VLOOKUP(B196,#REF!,$K$2,0),0)</f>
        <v>0</v>
      </c>
      <c r="L196" s="9">
        <f>IFERROR(VLOOKUP(B196,cubo!$A$6:$BE$37,19,0)-VLOOKUP(B196,#REF!,$L$2,0),0)</f>
        <v>0</v>
      </c>
      <c r="M196" s="9">
        <f>IFERROR(VLOOKUP(B196,cubo!$A$6:$BE$37,23,0)-VLOOKUP(B196,#REF!,$M$2,0),0)</f>
        <v>0</v>
      </c>
      <c r="N196" s="9">
        <f>IFERROR(VLOOKUP(B196,cubo!$A$6:$BE$37,25,0)-VLOOKUP(B196,#REF!,$N$2,0),0)</f>
        <v>0</v>
      </c>
      <c r="O196" s="9">
        <f>IFERROR(VLOOKUP(B196,cubo!$A$6:$BE$37,33,0)-VLOOKUP(B196,#REF!,$O$2,0),0)</f>
        <v>0</v>
      </c>
      <c r="P196" s="8">
        <f>IFERROR(VLOOKUP(B196,cubo!$A$6:$BE$37,37,0)-VLOOKUP(B196,#REF!,$P$2,0),0)</f>
        <v>0</v>
      </c>
      <c r="Q196" s="8">
        <f>IFERROR(VLOOKUP(B196,cubo!$A$6:$BE$37,56,0)-VLOOKUP(B196,#REF!,$Q$2,0),0)</f>
        <v>0</v>
      </c>
      <c r="R196" s="9">
        <f>IFERROR(VLOOKUP(B196,cubo!$A$6:$BE$37,40,0)-VLOOKUP(B196,#REF!,$R$2,0),0)</f>
        <v>0</v>
      </c>
      <c r="S196" s="9">
        <f>IFERROR(VLOOKUP(B196,cubo!$A$6:$BE$37,43,0)-VLOOKUP(B196,#REF!,$S$2,0),0)</f>
        <v>0</v>
      </c>
      <c r="T196" s="9">
        <f>IFERROR(VLOOKUP(B196,cubo!$A$6:$BE$37,46,0)-VLOOKUP(B196,#REF!,$T$2,0),0)</f>
        <v>0</v>
      </c>
      <c r="U196" s="9">
        <f>IFERROR(VLOOKUP(B196,cubo!$A$6:$BE$37,51,0)-VLOOKUP(B196,#REF!,$U$2,0),0)</f>
        <v>0</v>
      </c>
      <c r="V196" s="9">
        <f>IFERROR(VLOOKUP(B196,cubo!$A$6:$BJ$37,60,0)-VLOOKUP(B196,#REF!,$V$2,0),0)</f>
        <v>0</v>
      </c>
      <c r="W196" s="9">
        <f>IFERROR(VLOOKUP(B196,cubo!$A$6:$BE$37,26,0)-VLOOKUP(B196,#REF!,$W$2,0),0)</f>
        <v>0</v>
      </c>
      <c r="X196" s="9">
        <f>IFERROR(VLOOKUP(B196,cubo!$A$6:$BE$37,20,0)-VLOOKUP(B196,#REF!,$X$2,0),0)</f>
        <v>0</v>
      </c>
      <c r="Y196" s="9">
        <f>IFERROR(VLOOKUP(B196,cubo!$A$6:$BE$37,21,0)-VLOOKUP(B196,#REF!,$Y$2,0),0)</f>
        <v>0</v>
      </c>
      <c r="Z196" s="9">
        <f>IFERROR(VLOOKUP(B196,cubo!$A$6:$BE$37,27,0)-VLOOKUP(B196,#REF!,$Z$2,0),0)</f>
        <v>0</v>
      </c>
      <c r="AA196" s="9">
        <f>IFERROR(VLOOKUP(B196,cubo!$A$6:$BE$37,28,0)-VLOOKUP(B196,#REF!,$AA$2,0),0)</f>
        <v>0</v>
      </c>
      <c r="AB196" s="9">
        <f>IFERROR(VLOOKUP(B196,cubo!$A$6:$BE$37,29,0)-VLOOKUP(B196,#REF!,$AB$2,0),0)</f>
        <v>0</v>
      </c>
      <c r="AC196" s="9">
        <f>IFERROR(VLOOKUP(B196,cubo!$A$6:$BE$37,30,0)-VLOOKUP(B196,#REF!,$AC$2,0),0)</f>
        <v>0</v>
      </c>
      <c r="AD196" s="9">
        <f>IFERROR(VLOOKUP(B196,cubo!$A$6:$BE$37,31,0)-VLOOKUP(B196,#REF!,$AD$2,0),0)</f>
        <v>0</v>
      </c>
      <c r="AE196" s="9">
        <f>IFERROR(VLOOKUP(B196,cubo!$A$6:$BE$37,35,0)-VLOOKUP(B196,#REF!,$AE$2,0),0)</f>
        <v>0</v>
      </c>
      <c r="AF196" s="9" cm="1">
        <f t="array" aca="1" ref="AF196" ca="1">IFERROR(rrPROCV(B196,cubo!$A$6:$BE$37,48,0)-VLOOKUP(B196,#REF!,$AF$2,0),0)</f>
        <v>0</v>
      </c>
      <c r="AG196" s="9">
        <f>IFERROR(VLOOKUP(B196,cubo!$A$6:$BE$37,49,0)-VLOOKUP(B196,#REF!,$AG$2,0),0)</f>
        <v>0</v>
      </c>
      <c r="AH196" s="9">
        <f>IFERROR(VLOOKUP(B196,cubo!$A$6:$BE$37,50,0)-VLOOKUP(B196,#REF!,$AH$2,0),0)</f>
        <v>0</v>
      </c>
      <c r="AI196" s="9">
        <f>IFERROR(VLOOKUP(B196,cubo!$A$6:$BE$37,51,0)-VLOOKUP(B196,#REF!,$AI$2,0),0)</f>
        <v>0</v>
      </c>
      <c r="AJ196" s="9">
        <f>IFERROR(VLOOKUP(B196,cubo!$A$6:$BI$116,62,0)-VLOOKUP(B196,#REF!,$AJ$2,0),0)</f>
        <v>0</v>
      </c>
      <c r="AK196" s="9">
        <f>IFERROR(VLOOKUP(B196,cubo!$A$6:$BJ$37,63,0)-VLOOKUP(B196,#REF!,$AK$2,0),0)</f>
        <v>0</v>
      </c>
      <c r="AL196" s="9">
        <f>IFERROR(VLOOKUP(B196,cubo!$A$6:$BE$37,58,0)-VLOOKUP(B196,#REF!,$AL$2,0),0)</f>
        <v>0</v>
      </c>
      <c r="AM196" s="9">
        <f>IFERROR(VLOOKUP(B196,cubo!$A$6:$BK$37,64,0)-VLOOKUP(B196,#REF!,$AM$2,0),0)</f>
        <v>0</v>
      </c>
      <c r="AN196" s="9">
        <f>IFERROR(VLOOKUP(B196,cubo!$A$6:$AN$37,41,0)-VLOOKUP(B196,#REF!,$AN$2,0),0)</f>
        <v>0</v>
      </c>
    </row>
    <row r="197" spans="2:40" x14ac:dyDescent="0.25">
      <c r="B197" s="7">
        <f>[1]salario!A196</f>
        <v>0</v>
      </c>
      <c r="C197" s="14">
        <f>[1]salario!C196</f>
        <v>0</v>
      </c>
      <c r="D197" s="9">
        <f>IFERROR(VLOOKUP(B197,cubo!$A$6:$BE$37,3,0)-VLOOKUP(B197,#REF!,$D$2,0),0)</f>
        <v>0</v>
      </c>
      <c r="E197" s="10">
        <f>IFERROR(VLOOKUP(B197,cubo!$A$6:$BE$37,5,0)-VLOOKUP(B197,#REF!,$E$2,0),0)</f>
        <v>0</v>
      </c>
      <c r="F197" s="10">
        <f>IFERROR(VLOOKUP(B197,cubo!$A$6:$BE$37,8,0)-VLOOKUP(B197,#REF!,$F$2,0),0)</f>
        <v>0</v>
      </c>
      <c r="G197" s="9">
        <f>IFERROR(VLOOKUP(B197,cubo!$A$6:$BE$37,11,0)-VLOOKUP(B197,#REF!,$G$2,0),0)</f>
        <v>0</v>
      </c>
      <c r="H197" s="9">
        <f>IFERROR(VLOOKUP(B197,cubo!$A$6:$BE$37,53,0)-VLOOKUP(B197,#REF!,$H$2,0),0)</f>
        <v>0</v>
      </c>
      <c r="I197" s="10">
        <f>IFERROR(VLOOKUP(B197,cubo!$A$6:$BE$37,14,0)-VLOOKUP(B197,#REF!,$I$2,0),0)</f>
        <v>0</v>
      </c>
      <c r="J197" s="9">
        <f>IFERROR(VLOOKUP(B197,cubo!$A$6:$BE$37,16,0)-VLOOKUP(B197,#REF!,$J$2,0),0)</f>
        <v>0</v>
      </c>
      <c r="K197" s="9">
        <f>IFERROR(VLOOKUP(B197,cubo!$A$6:$BE$37,17,0)-VLOOKUP(B197,#REF!,$K$2,0),0)</f>
        <v>0</v>
      </c>
      <c r="L197" s="9">
        <f>IFERROR(VLOOKUP(B197,cubo!$A$6:$BE$37,19,0)-VLOOKUP(B197,#REF!,$L$2,0),0)</f>
        <v>0</v>
      </c>
      <c r="M197" s="9">
        <f>IFERROR(VLOOKUP(B197,cubo!$A$6:$BE$37,23,0)-VLOOKUP(B197,#REF!,$M$2,0),0)</f>
        <v>0</v>
      </c>
      <c r="N197" s="9">
        <f>IFERROR(VLOOKUP(B197,cubo!$A$6:$BE$37,25,0)-VLOOKUP(B197,#REF!,$N$2,0),0)</f>
        <v>0</v>
      </c>
      <c r="O197" s="9">
        <f>IFERROR(VLOOKUP(B197,cubo!$A$6:$BE$37,33,0)-VLOOKUP(B197,#REF!,$O$2,0),0)</f>
        <v>0</v>
      </c>
      <c r="P197" s="8">
        <f>IFERROR(VLOOKUP(B197,cubo!$A$6:$BE$37,37,0)-VLOOKUP(B197,#REF!,$P$2,0),0)</f>
        <v>0</v>
      </c>
      <c r="Q197" s="8">
        <f>IFERROR(VLOOKUP(B197,cubo!$A$6:$BE$37,56,0)-VLOOKUP(B197,#REF!,$Q$2,0),0)</f>
        <v>0</v>
      </c>
      <c r="R197" s="9">
        <f>IFERROR(VLOOKUP(B197,cubo!$A$6:$BE$37,40,0)-VLOOKUP(B197,#REF!,$R$2,0),0)</f>
        <v>0</v>
      </c>
      <c r="S197" s="9">
        <f>IFERROR(VLOOKUP(B197,cubo!$A$6:$BE$37,43,0)-VLOOKUP(B197,#REF!,$S$2,0),0)</f>
        <v>0</v>
      </c>
      <c r="T197" s="9">
        <f>IFERROR(VLOOKUP(B197,cubo!$A$6:$BE$37,46,0)-VLOOKUP(B197,#REF!,$T$2,0),0)</f>
        <v>0</v>
      </c>
      <c r="U197" s="9">
        <f>IFERROR(VLOOKUP(B197,cubo!$A$6:$BE$37,51,0)-VLOOKUP(B197,#REF!,$U$2,0),0)</f>
        <v>0</v>
      </c>
      <c r="V197" s="9">
        <f>IFERROR(VLOOKUP(B197,cubo!$A$6:$BJ$37,60,0)-VLOOKUP(B197,#REF!,$V$2,0),0)</f>
        <v>0</v>
      </c>
      <c r="W197" s="9">
        <f>IFERROR(VLOOKUP(B197,cubo!$A$6:$BE$37,26,0)-VLOOKUP(B197,#REF!,$W$2,0),0)</f>
        <v>0</v>
      </c>
      <c r="X197" s="9">
        <f>IFERROR(VLOOKUP(B197,cubo!$A$6:$BE$37,20,0)-VLOOKUP(B197,#REF!,$X$2,0),0)</f>
        <v>0</v>
      </c>
      <c r="Y197" s="9">
        <f>IFERROR(VLOOKUP(B197,cubo!$A$6:$BE$37,21,0)-VLOOKUP(B197,#REF!,$Y$2,0),0)</f>
        <v>0</v>
      </c>
      <c r="Z197" s="9">
        <f>IFERROR(VLOOKUP(B197,cubo!$A$6:$BE$37,27,0)-VLOOKUP(B197,#REF!,$Z$2,0),0)</f>
        <v>0</v>
      </c>
      <c r="AA197" s="9">
        <f>IFERROR(VLOOKUP(B197,cubo!$A$6:$BE$37,28,0)-VLOOKUP(B197,#REF!,$AA$2,0),0)</f>
        <v>0</v>
      </c>
      <c r="AB197" s="9">
        <f>IFERROR(VLOOKUP(B197,cubo!$A$6:$BE$37,29,0)-VLOOKUP(B197,#REF!,$AB$2,0),0)</f>
        <v>0</v>
      </c>
      <c r="AC197" s="9">
        <f>IFERROR(VLOOKUP(B197,cubo!$A$6:$BE$37,30,0)-VLOOKUP(B197,#REF!,$AC$2,0),0)</f>
        <v>0</v>
      </c>
      <c r="AD197" s="9">
        <f>IFERROR(VLOOKUP(B197,cubo!$A$6:$BE$37,31,0)-VLOOKUP(B197,#REF!,$AD$2,0),0)</f>
        <v>0</v>
      </c>
      <c r="AE197" s="9">
        <f>IFERROR(VLOOKUP(B197,cubo!$A$6:$BE$37,35,0)-VLOOKUP(B197,#REF!,$AE$2,0),0)</f>
        <v>0</v>
      </c>
      <c r="AF197" s="9" cm="1">
        <f t="array" aca="1" ref="AF197" ca="1">IFERROR(rrPROCV(B197,cubo!$A$6:$BE$37,48,0)-VLOOKUP(B197,#REF!,$AF$2,0),0)</f>
        <v>0</v>
      </c>
      <c r="AG197" s="9">
        <f>IFERROR(VLOOKUP(B197,cubo!$A$6:$BE$37,49,0)-VLOOKUP(B197,#REF!,$AG$2,0),0)</f>
        <v>0</v>
      </c>
      <c r="AH197" s="9">
        <f>IFERROR(VLOOKUP(B197,cubo!$A$6:$BE$37,50,0)-VLOOKUP(B197,#REF!,$AH$2,0),0)</f>
        <v>0</v>
      </c>
      <c r="AI197" s="9">
        <f>IFERROR(VLOOKUP(B197,cubo!$A$6:$BE$37,51,0)-VLOOKUP(B197,#REF!,$AI$2,0),0)</f>
        <v>0</v>
      </c>
      <c r="AJ197" s="9">
        <f>IFERROR(VLOOKUP(B197,cubo!$A$6:$BI$116,62,0)-VLOOKUP(B197,#REF!,$AJ$2,0),0)</f>
        <v>0</v>
      </c>
      <c r="AK197" s="9">
        <f>IFERROR(VLOOKUP(B197,cubo!$A$6:$BJ$37,63,0)-VLOOKUP(B197,#REF!,$AK$2,0),0)</f>
        <v>0</v>
      </c>
      <c r="AL197" s="9">
        <f>IFERROR(VLOOKUP(B197,cubo!$A$6:$BE$37,58,0)-VLOOKUP(B197,#REF!,$AL$2,0),0)</f>
        <v>0</v>
      </c>
      <c r="AM197" s="9">
        <f>IFERROR(VLOOKUP(B197,cubo!$A$6:$BK$37,64,0)-VLOOKUP(B197,#REF!,$AM$2,0),0)</f>
        <v>0</v>
      </c>
      <c r="AN197" s="9">
        <f>IFERROR(VLOOKUP(B197,cubo!$A$6:$AN$37,41,0)-VLOOKUP(B197,#REF!,$AN$2,0),0)</f>
        <v>0</v>
      </c>
    </row>
    <row r="198" spans="2:40" x14ac:dyDescent="0.25">
      <c r="B198" s="7">
        <f>[1]salario!A197</f>
        <v>0</v>
      </c>
      <c r="C198" s="14">
        <f>[1]salario!C197</f>
        <v>0</v>
      </c>
      <c r="D198" s="9">
        <f>IFERROR(VLOOKUP(B198,cubo!$A$6:$BE$37,3,0)-VLOOKUP(B198,#REF!,$D$2,0),0)</f>
        <v>0</v>
      </c>
      <c r="E198" s="10">
        <f>IFERROR(VLOOKUP(B198,cubo!$A$6:$BE$37,5,0)-VLOOKUP(B198,#REF!,$E$2,0),0)</f>
        <v>0</v>
      </c>
      <c r="F198" s="10">
        <f>IFERROR(VLOOKUP(B198,cubo!$A$6:$BE$37,8,0)-VLOOKUP(B198,#REF!,$F$2,0),0)</f>
        <v>0</v>
      </c>
      <c r="G198" s="9">
        <f>IFERROR(VLOOKUP(B198,cubo!$A$6:$BE$37,11,0)-VLOOKUP(B198,#REF!,$G$2,0),0)</f>
        <v>0</v>
      </c>
      <c r="H198" s="9">
        <f>IFERROR(VLOOKUP(B198,cubo!$A$6:$BE$37,53,0)-VLOOKUP(B198,#REF!,$H$2,0),0)</f>
        <v>0</v>
      </c>
      <c r="I198" s="10">
        <f>IFERROR(VLOOKUP(B198,cubo!$A$6:$BE$37,14,0)-VLOOKUP(B198,#REF!,$I$2,0),0)</f>
        <v>0</v>
      </c>
      <c r="J198" s="9">
        <f>IFERROR(VLOOKUP(B198,cubo!$A$6:$BE$37,16,0)-VLOOKUP(B198,#REF!,$J$2,0),0)</f>
        <v>0</v>
      </c>
      <c r="K198" s="9">
        <f>IFERROR(VLOOKUP(B198,cubo!$A$6:$BE$37,17,0)-VLOOKUP(B198,#REF!,$K$2,0),0)</f>
        <v>0</v>
      </c>
      <c r="L198" s="9">
        <f>IFERROR(VLOOKUP(B198,cubo!$A$6:$BE$37,19,0)-VLOOKUP(B198,#REF!,$L$2,0),0)</f>
        <v>0</v>
      </c>
      <c r="M198" s="9">
        <f>IFERROR(VLOOKUP(B198,cubo!$A$6:$BE$37,23,0)-VLOOKUP(B198,#REF!,$M$2,0),0)</f>
        <v>0</v>
      </c>
      <c r="N198" s="9">
        <f>IFERROR(VLOOKUP(B198,cubo!$A$6:$BE$37,25,0)-VLOOKUP(B198,#REF!,$N$2,0),0)</f>
        <v>0</v>
      </c>
      <c r="O198" s="9">
        <f>IFERROR(VLOOKUP(B198,cubo!$A$6:$BE$37,33,0)-VLOOKUP(B198,#REF!,$O$2,0),0)</f>
        <v>0</v>
      </c>
      <c r="P198" s="8">
        <f>IFERROR(VLOOKUP(B198,cubo!$A$6:$BE$37,37,0)-VLOOKUP(B198,#REF!,$P$2,0),0)</f>
        <v>0</v>
      </c>
      <c r="Q198" s="8">
        <f>IFERROR(VLOOKUP(B198,cubo!$A$6:$BE$37,56,0)-VLOOKUP(B198,#REF!,$Q$2,0),0)</f>
        <v>0</v>
      </c>
      <c r="R198" s="9">
        <f>IFERROR(VLOOKUP(B198,cubo!$A$6:$BE$37,40,0)-VLOOKUP(B198,#REF!,$R$2,0),0)</f>
        <v>0</v>
      </c>
      <c r="S198" s="9">
        <f>IFERROR(VLOOKUP(B198,cubo!$A$6:$BE$37,43,0)-VLOOKUP(B198,#REF!,$S$2,0),0)</f>
        <v>0</v>
      </c>
      <c r="T198" s="9">
        <f>IFERROR(VLOOKUP(B198,cubo!$A$6:$BE$37,46,0)-VLOOKUP(B198,#REF!,$T$2,0),0)</f>
        <v>0</v>
      </c>
      <c r="U198" s="9">
        <f>IFERROR(VLOOKUP(B198,cubo!$A$6:$BE$37,51,0)-VLOOKUP(B198,#REF!,$U$2,0),0)</f>
        <v>0</v>
      </c>
      <c r="V198" s="9">
        <f>IFERROR(VLOOKUP(B198,cubo!$A$6:$BJ$37,60,0)-VLOOKUP(B198,#REF!,$V$2,0),0)</f>
        <v>0</v>
      </c>
      <c r="W198" s="9">
        <f>IFERROR(VLOOKUP(B198,cubo!$A$6:$BE$37,26,0)-VLOOKUP(B198,#REF!,$W$2,0),0)</f>
        <v>0</v>
      </c>
      <c r="X198" s="9">
        <f>IFERROR(VLOOKUP(B198,cubo!$A$6:$BE$37,20,0)-VLOOKUP(B198,#REF!,$X$2,0),0)</f>
        <v>0</v>
      </c>
      <c r="Y198" s="9">
        <f>IFERROR(VLOOKUP(B198,cubo!$A$6:$BE$37,21,0)-VLOOKUP(B198,#REF!,$Y$2,0),0)</f>
        <v>0</v>
      </c>
      <c r="Z198" s="9">
        <f>IFERROR(VLOOKUP(B198,cubo!$A$6:$BE$37,27,0)-VLOOKUP(B198,#REF!,$Z$2,0),0)</f>
        <v>0</v>
      </c>
      <c r="AA198" s="9">
        <f>IFERROR(VLOOKUP(B198,cubo!$A$6:$BE$37,28,0)-VLOOKUP(B198,#REF!,$AA$2,0),0)</f>
        <v>0</v>
      </c>
      <c r="AB198" s="9">
        <f>IFERROR(VLOOKUP(B198,cubo!$A$6:$BE$37,29,0)-VLOOKUP(B198,#REF!,$AB$2,0),0)</f>
        <v>0</v>
      </c>
      <c r="AC198" s="9">
        <f>IFERROR(VLOOKUP(B198,cubo!$A$6:$BE$37,30,0)-VLOOKUP(B198,#REF!,$AC$2,0),0)</f>
        <v>0</v>
      </c>
      <c r="AD198" s="9">
        <f>IFERROR(VLOOKUP(B198,cubo!$A$6:$BE$37,31,0)-VLOOKUP(B198,#REF!,$AD$2,0),0)</f>
        <v>0</v>
      </c>
      <c r="AE198" s="9">
        <f>IFERROR(VLOOKUP(B198,cubo!$A$6:$BE$37,35,0)-VLOOKUP(B198,#REF!,$AE$2,0),0)</f>
        <v>0</v>
      </c>
      <c r="AF198" s="9" cm="1">
        <f t="array" aca="1" ref="AF198" ca="1">IFERROR(rrPROCV(B198,cubo!$A$6:$BE$37,48,0)-VLOOKUP(B198,#REF!,$AF$2,0),0)</f>
        <v>0</v>
      </c>
      <c r="AG198" s="9">
        <f>IFERROR(VLOOKUP(B198,cubo!$A$6:$BE$37,49,0)-VLOOKUP(B198,#REF!,$AG$2,0),0)</f>
        <v>0</v>
      </c>
      <c r="AH198" s="9">
        <f>IFERROR(VLOOKUP(B198,cubo!$A$6:$BE$37,50,0)-VLOOKUP(B198,#REF!,$AH$2,0),0)</f>
        <v>0</v>
      </c>
      <c r="AI198" s="9">
        <f>IFERROR(VLOOKUP(B198,cubo!$A$6:$BE$37,51,0)-VLOOKUP(B198,#REF!,$AI$2,0),0)</f>
        <v>0</v>
      </c>
      <c r="AJ198" s="9">
        <f>IFERROR(VLOOKUP(B198,cubo!$A$6:$BI$116,62,0)-VLOOKUP(B198,#REF!,$AJ$2,0),0)</f>
        <v>0</v>
      </c>
      <c r="AK198" s="9">
        <f>IFERROR(VLOOKUP(B198,cubo!$A$6:$BJ$37,63,0)-VLOOKUP(B198,#REF!,$AK$2,0),0)</f>
        <v>0</v>
      </c>
      <c r="AL198" s="9">
        <f>IFERROR(VLOOKUP(B198,cubo!$A$6:$BE$37,58,0)-VLOOKUP(B198,#REF!,$AL$2,0),0)</f>
        <v>0</v>
      </c>
      <c r="AM198" s="9">
        <f>IFERROR(VLOOKUP(B198,cubo!$A$6:$BK$37,64,0)-VLOOKUP(B198,#REF!,$AM$2,0),0)</f>
        <v>0</v>
      </c>
      <c r="AN198" s="9">
        <f>IFERROR(VLOOKUP(B198,cubo!$A$6:$AN$37,41,0)-VLOOKUP(B198,#REF!,$AN$2,0),0)</f>
        <v>0</v>
      </c>
    </row>
    <row r="199" spans="2:40" x14ac:dyDescent="0.25">
      <c r="B199" s="7">
        <f>[1]salario!A198</f>
        <v>0</v>
      </c>
      <c r="C199" s="14">
        <f>[1]salario!C198</f>
        <v>0</v>
      </c>
      <c r="D199" s="9">
        <f>IFERROR(VLOOKUP(B199,cubo!$A$6:$BE$37,3,0)-VLOOKUP(B199,#REF!,$D$2,0),0)</f>
        <v>0</v>
      </c>
      <c r="E199" s="10">
        <f>IFERROR(VLOOKUP(B199,cubo!$A$6:$BE$37,5,0)-VLOOKUP(B199,#REF!,$E$2,0),0)</f>
        <v>0</v>
      </c>
      <c r="F199" s="10">
        <f>IFERROR(VLOOKUP(B199,cubo!$A$6:$BE$37,8,0)-VLOOKUP(B199,#REF!,$F$2,0),0)</f>
        <v>0</v>
      </c>
      <c r="G199" s="9">
        <f>IFERROR(VLOOKUP(B199,cubo!$A$6:$BE$37,11,0)-VLOOKUP(B199,#REF!,$G$2,0),0)</f>
        <v>0</v>
      </c>
      <c r="H199" s="9">
        <f>IFERROR(VLOOKUP(B199,cubo!$A$6:$BE$37,53,0)-VLOOKUP(B199,#REF!,$H$2,0),0)</f>
        <v>0</v>
      </c>
      <c r="I199" s="10">
        <f>IFERROR(VLOOKUP(B199,cubo!$A$6:$BE$37,14,0)-VLOOKUP(B199,#REF!,$I$2,0),0)</f>
        <v>0</v>
      </c>
      <c r="J199" s="9">
        <f>IFERROR(VLOOKUP(B199,cubo!$A$6:$BE$37,16,0)-VLOOKUP(B199,#REF!,$J$2,0),0)</f>
        <v>0</v>
      </c>
      <c r="K199" s="9">
        <f>IFERROR(VLOOKUP(B199,cubo!$A$6:$BE$37,17,0)-VLOOKUP(B199,#REF!,$K$2,0),0)</f>
        <v>0</v>
      </c>
      <c r="L199" s="9">
        <f>IFERROR(VLOOKUP(B199,cubo!$A$6:$BE$37,19,0)-VLOOKUP(B199,#REF!,$L$2,0),0)</f>
        <v>0</v>
      </c>
      <c r="M199" s="9">
        <f>IFERROR(VLOOKUP(B199,cubo!$A$6:$BE$37,23,0)-VLOOKUP(B199,#REF!,$M$2,0),0)</f>
        <v>0</v>
      </c>
      <c r="N199" s="9">
        <f>IFERROR(VLOOKUP(B199,cubo!$A$6:$BE$37,25,0)-VLOOKUP(B199,#REF!,$N$2,0),0)</f>
        <v>0</v>
      </c>
      <c r="O199" s="9">
        <f>IFERROR(VLOOKUP(B199,cubo!$A$6:$BE$37,33,0)-VLOOKUP(B199,#REF!,$O$2,0),0)</f>
        <v>0</v>
      </c>
      <c r="P199" s="8">
        <f>IFERROR(VLOOKUP(B199,cubo!$A$6:$BE$37,37,0)-VLOOKUP(B199,#REF!,$P$2,0),0)</f>
        <v>0</v>
      </c>
      <c r="Q199" s="8">
        <f>IFERROR(VLOOKUP(B199,cubo!$A$6:$BE$37,56,0)-VLOOKUP(B199,#REF!,$Q$2,0),0)</f>
        <v>0</v>
      </c>
      <c r="R199" s="9">
        <f>IFERROR(VLOOKUP(B199,cubo!$A$6:$BE$37,40,0)-VLOOKUP(B199,#REF!,$R$2,0),0)</f>
        <v>0</v>
      </c>
      <c r="S199" s="9">
        <f>IFERROR(VLOOKUP(B199,cubo!$A$6:$BE$37,43,0)-VLOOKUP(B199,#REF!,$S$2,0),0)</f>
        <v>0</v>
      </c>
      <c r="T199" s="9">
        <f>IFERROR(VLOOKUP(B199,cubo!$A$6:$BE$37,46,0)-VLOOKUP(B199,#REF!,$T$2,0),0)</f>
        <v>0</v>
      </c>
      <c r="U199" s="9">
        <f>IFERROR(VLOOKUP(B199,cubo!$A$6:$BE$37,51,0)-VLOOKUP(B199,#REF!,$U$2,0),0)</f>
        <v>0</v>
      </c>
      <c r="V199" s="9">
        <f>IFERROR(VLOOKUP(B199,cubo!$A$6:$BJ$37,60,0)-VLOOKUP(B199,#REF!,$V$2,0),0)</f>
        <v>0</v>
      </c>
      <c r="W199" s="9">
        <f>IFERROR(VLOOKUP(B199,cubo!$A$6:$BE$37,26,0)-VLOOKUP(B199,#REF!,$W$2,0),0)</f>
        <v>0</v>
      </c>
      <c r="X199" s="9">
        <f>IFERROR(VLOOKUP(B199,cubo!$A$6:$BE$37,20,0)-VLOOKUP(B199,#REF!,$X$2,0),0)</f>
        <v>0</v>
      </c>
      <c r="Y199" s="9">
        <f>IFERROR(VLOOKUP(B199,cubo!$A$6:$BE$37,21,0)-VLOOKUP(B199,#REF!,$Y$2,0),0)</f>
        <v>0</v>
      </c>
      <c r="Z199" s="9">
        <f>IFERROR(VLOOKUP(B199,cubo!$A$6:$BE$37,27,0)-VLOOKUP(B199,#REF!,$Z$2,0),0)</f>
        <v>0</v>
      </c>
      <c r="AA199" s="9">
        <f>IFERROR(VLOOKUP(B199,cubo!$A$6:$BE$37,28,0)-VLOOKUP(B199,#REF!,$AA$2,0),0)</f>
        <v>0</v>
      </c>
      <c r="AB199" s="9">
        <f>IFERROR(VLOOKUP(B199,cubo!$A$6:$BE$37,29,0)-VLOOKUP(B199,#REF!,$AB$2,0),0)</f>
        <v>0</v>
      </c>
      <c r="AC199" s="9">
        <f>IFERROR(VLOOKUP(B199,cubo!$A$6:$BE$37,30,0)-VLOOKUP(B199,#REF!,$AC$2,0),0)</f>
        <v>0</v>
      </c>
      <c r="AD199" s="9">
        <f>IFERROR(VLOOKUP(B199,cubo!$A$6:$BE$37,31,0)-VLOOKUP(B199,#REF!,$AD$2,0),0)</f>
        <v>0</v>
      </c>
      <c r="AE199" s="9">
        <f>IFERROR(VLOOKUP(B199,cubo!$A$6:$BE$37,35,0)-VLOOKUP(B199,#REF!,$AE$2,0),0)</f>
        <v>0</v>
      </c>
      <c r="AF199" s="9" cm="1">
        <f t="array" aca="1" ref="AF199" ca="1">IFERROR(rrPROCV(B199,cubo!$A$6:$BE$37,48,0)-VLOOKUP(B199,#REF!,$AF$2,0),0)</f>
        <v>0</v>
      </c>
      <c r="AG199" s="9">
        <f>IFERROR(VLOOKUP(B199,cubo!$A$6:$BE$37,49,0)-VLOOKUP(B199,#REF!,$AG$2,0),0)</f>
        <v>0</v>
      </c>
      <c r="AH199" s="9">
        <f>IFERROR(VLOOKUP(B199,cubo!$A$6:$BE$37,50,0)-VLOOKUP(B199,#REF!,$AH$2,0),0)</f>
        <v>0</v>
      </c>
      <c r="AI199" s="9">
        <f>IFERROR(VLOOKUP(B199,cubo!$A$6:$BE$37,51,0)-VLOOKUP(B199,#REF!,$AI$2,0),0)</f>
        <v>0</v>
      </c>
      <c r="AJ199" s="9">
        <f>IFERROR(VLOOKUP(B199,cubo!$A$6:$BI$116,62,0)-VLOOKUP(B199,#REF!,$AJ$2,0),0)</f>
        <v>0</v>
      </c>
      <c r="AK199" s="9">
        <f>IFERROR(VLOOKUP(B199,cubo!$A$6:$BJ$37,63,0)-VLOOKUP(B199,#REF!,$AK$2,0),0)</f>
        <v>0</v>
      </c>
      <c r="AL199" s="9">
        <f>IFERROR(VLOOKUP(B199,cubo!$A$6:$BE$37,58,0)-VLOOKUP(B199,#REF!,$AL$2,0),0)</f>
        <v>0</v>
      </c>
      <c r="AM199" s="9">
        <f>IFERROR(VLOOKUP(B199,cubo!$A$6:$BK$37,64,0)-VLOOKUP(B199,#REF!,$AM$2,0),0)</f>
        <v>0</v>
      </c>
      <c r="AN199" s="9">
        <f>IFERROR(VLOOKUP(B199,cubo!$A$6:$AN$37,41,0)-VLOOKUP(B199,#REF!,$AN$2,0),0)</f>
        <v>0</v>
      </c>
    </row>
    <row r="200" spans="2:40" x14ac:dyDescent="0.25">
      <c r="B200" s="7">
        <f>[1]salario!A199</f>
        <v>0</v>
      </c>
      <c r="C200" s="14">
        <f>[1]salario!C199</f>
        <v>0</v>
      </c>
      <c r="D200" s="9">
        <f>IFERROR(VLOOKUP(B200,cubo!$A$6:$BE$37,3,0)-VLOOKUP(B200,#REF!,$D$2,0),0)</f>
        <v>0</v>
      </c>
      <c r="E200" s="10">
        <f>IFERROR(VLOOKUP(B200,cubo!$A$6:$BE$37,5,0)-VLOOKUP(B200,#REF!,$E$2,0),0)</f>
        <v>0</v>
      </c>
      <c r="F200" s="10">
        <f>IFERROR(VLOOKUP(B200,cubo!$A$6:$BE$37,8,0)-VLOOKUP(B200,#REF!,$F$2,0),0)</f>
        <v>0</v>
      </c>
      <c r="G200" s="9">
        <f>IFERROR(VLOOKUP(B200,cubo!$A$6:$BE$37,11,0)-VLOOKUP(B200,#REF!,$G$2,0),0)</f>
        <v>0</v>
      </c>
      <c r="H200" s="9">
        <f>IFERROR(VLOOKUP(B200,cubo!$A$6:$BE$37,53,0)-VLOOKUP(B200,#REF!,$H$2,0),0)</f>
        <v>0</v>
      </c>
      <c r="I200" s="10">
        <f>IFERROR(VLOOKUP(B200,cubo!$A$6:$BE$37,14,0)-VLOOKUP(B200,#REF!,$I$2,0),0)</f>
        <v>0</v>
      </c>
      <c r="J200" s="9">
        <f>IFERROR(VLOOKUP(B200,cubo!$A$6:$BE$37,16,0)-VLOOKUP(B200,#REF!,$J$2,0),0)</f>
        <v>0</v>
      </c>
      <c r="K200" s="9">
        <f>IFERROR(VLOOKUP(B200,cubo!$A$6:$BE$37,17,0)-VLOOKUP(B200,#REF!,$K$2,0),0)</f>
        <v>0</v>
      </c>
      <c r="L200" s="9">
        <f>IFERROR(VLOOKUP(B200,cubo!$A$6:$BE$37,19,0)-VLOOKUP(B200,#REF!,$L$2,0),0)</f>
        <v>0</v>
      </c>
      <c r="M200" s="9">
        <f>IFERROR(VLOOKUP(B200,cubo!$A$6:$BE$37,23,0)-VLOOKUP(B200,#REF!,$M$2,0),0)</f>
        <v>0</v>
      </c>
      <c r="N200" s="9">
        <f>IFERROR(VLOOKUP(B200,cubo!$A$6:$BE$37,25,0)-VLOOKUP(B200,#REF!,$N$2,0),0)</f>
        <v>0</v>
      </c>
      <c r="O200" s="9">
        <f>IFERROR(VLOOKUP(B200,cubo!$A$6:$BE$37,33,0)-VLOOKUP(B200,#REF!,$O$2,0),0)</f>
        <v>0</v>
      </c>
      <c r="P200" s="8">
        <f>IFERROR(VLOOKUP(B200,cubo!$A$6:$BE$37,37,0)-VLOOKUP(B200,#REF!,$P$2,0),0)</f>
        <v>0</v>
      </c>
      <c r="Q200" s="8">
        <f>IFERROR(VLOOKUP(B200,cubo!$A$6:$BE$37,56,0)-VLOOKUP(B200,#REF!,$Q$2,0),0)</f>
        <v>0</v>
      </c>
      <c r="R200" s="9">
        <f>IFERROR(VLOOKUP(B200,cubo!$A$6:$BE$37,40,0)-VLOOKUP(B200,#REF!,$R$2,0),0)</f>
        <v>0</v>
      </c>
      <c r="S200" s="9">
        <f>IFERROR(VLOOKUP(B200,cubo!$A$6:$BE$37,43,0)-VLOOKUP(B200,#REF!,$S$2,0),0)</f>
        <v>0</v>
      </c>
      <c r="T200" s="9">
        <f>IFERROR(VLOOKUP(B200,cubo!$A$6:$BE$37,46,0)-VLOOKUP(B200,#REF!,$T$2,0),0)</f>
        <v>0</v>
      </c>
      <c r="U200" s="9">
        <f>IFERROR(VLOOKUP(B200,cubo!$A$6:$BE$37,51,0)-VLOOKUP(B200,#REF!,$U$2,0),0)</f>
        <v>0</v>
      </c>
      <c r="V200" s="9">
        <f>IFERROR(VLOOKUP(B200,cubo!$A$6:$BJ$37,60,0)-VLOOKUP(B200,#REF!,$V$2,0),0)</f>
        <v>0</v>
      </c>
      <c r="W200" s="9">
        <f>IFERROR(VLOOKUP(B200,cubo!$A$6:$BE$37,26,0)-VLOOKUP(B200,#REF!,$W$2,0),0)</f>
        <v>0</v>
      </c>
      <c r="X200" s="9">
        <f>IFERROR(VLOOKUP(B200,cubo!$A$6:$BE$37,20,0)-VLOOKUP(B200,#REF!,$X$2,0),0)</f>
        <v>0</v>
      </c>
      <c r="Y200" s="9">
        <f>IFERROR(VLOOKUP(B200,cubo!$A$6:$BE$37,21,0)-VLOOKUP(B200,#REF!,$Y$2,0),0)</f>
        <v>0</v>
      </c>
      <c r="Z200" s="9">
        <f>IFERROR(VLOOKUP(B200,cubo!$A$6:$BE$37,27,0)-VLOOKUP(B200,#REF!,$Z$2,0),0)</f>
        <v>0</v>
      </c>
      <c r="AA200" s="9">
        <f>IFERROR(VLOOKUP(B200,cubo!$A$6:$BE$37,28,0)-VLOOKUP(B200,#REF!,$AA$2,0),0)</f>
        <v>0</v>
      </c>
      <c r="AB200" s="9">
        <f>IFERROR(VLOOKUP(B200,cubo!$A$6:$BE$37,29,0)-VLOOKUP(B200,#REF!,$AB$2,0),0)</f>
        <v>0</v>
      </c>
      <c r="AC200" s="9">
        <f>IFERROR(VLOOKUP(B200,cubo!$A$6:$BE$37,30,0)-VLOOKUP(B200,#REF!,$AC$2,0),0)</f>
        <v>0</v>
      </c>
      <c r="AD200" s="9">
        <f>IFERROR(VLOOKUP(B200,cubo!$A$6:$BE$37,31,0)-VLOOKUP(B200,#REF!,$AD$2,0),0)</f>
        <v>0</v>
      </c>
      <c r="AE200" s="9">
        <f>IFERROR(VLOOKUP(B200,cubo!$A$6:$BE$37,35,0)-VLOOKUP(B200,#REF!,$AE$2,0),0)</f>
        <v>0</v>
      </c>
      <c r="AF200" s="9" cm="1">
        <f t="array" aca="1" ref="AF200" ca="1">IFERROR(rrPROCV(B200,cubo!$A$6:$BE$37,48,0)-VLOOKUP(B200,#REF!,$AF$2,0),0)</f>
        <v>0</v>
      </c>
      <c r="AG200" s="9">
        <f>IFERROR(VLOOKUP(B200,cubo!$A$6:$BE$37,49,0)-VLOOKUP(B200,#REF!,$AG$2,0),0)</f>
        <v>0</v>
      </c>
      <c r="AH200" s="9">
        <f>IFERROR(VLOOKUP(B200,cubo!$A$6:$BE$37,50,0)-VLOOKUP(B200,#REF!,$AH$2,0),0)</f>
        <v>0</v>
      </c>
      <c r="AI200" s="9">
        <f>IFERROR(VLOOKUP(B200,cubo!$A$6:$BE$37,51,0)-VLOOKUP(B200,#REF!,$AI$2,0),0)</f>
        <v>0</v>
      </c>
      <c r="AJ200" s="9">
        <f>IFERROR(VLOOKUP(B200,cubo!$A$6:$BI$116,62,0)-VLOOKUP(B200,#REF!,$AJ$2,0),0)</f>
        <v>0</v>
      </c>
      <c r="AK200" s="9">
        <f>IFERROR(VLOOKUP(B200,cubo!$A$6:$BJ$37,63,0)-VLOOKUP(B200,#REF!,$AK$2,0),0)</f>
        <v>0</v>
      </c>
      <c r="AL200" s="9">
        <f>IFERROR(VLOOKUP(B200,cubo!$A$6:$BE$37,58,0)-VLOOKUP(B200,#REF!,$AL$2,0),0)</f>
        <v>0</v>
      </c>
      <c r="AM200" s="9">
        <f>IFERROR(VLOOKUP(B200,cubo!$A$6:$BK$37,64,0)-VLOOKUP(B200,#REF!,$AM$2,0),0)</f>
        <v>0</v>
      </c>
      <c r="AN200" s="9">
        <f>IFERROR(VLOOKUP(B200,cubo!$A$6:$AN$37,41,0)-VLOOKUP(B200,#REF!,$AN$2,0),0)</f>
        <v>0</v>
      </c>
    </row>
    <row r="201" spans="2:40" x14ac:dyDescent="0.25">
      <c r="B201" s="7">
        <f>[1]salario!A200</f>
        <v>0</v>
      </c>
      <c r="C201" s="14">
        <f>[1]salario!C200</f>
        <v>0</v>
      </c>
      <c r="D201" s="9">
        <f>IFERROR(VLOOKUP(B201,cubo!$A$6:$BE$37,3,0)-VLOOKUP(B201,#REF!,$D$2,0),0)</f>
        <v>0</v>
      </c>
      <c r="E201" s="10">
        <f>IFERROR(VLOOKUP(B201,cubo!$A$6:$BE$37,5,0)-VLOOKUP(B201,#REF!,$E$2,0),0)</f>
        <v>0</v>
      </c>
      <c r="F201" s="10">
        <f>IFERROR(VLOOKUP(B201,cubo!$A$6:$BE$37,8,0)-VLOOKUP(B201,#REF!,$F$2,0),0)</f>
        <v>0</v>
      </c>
      <c r="G201" s="9">
        <f>IFERROR(VLOOKUP(B201,cubo!$A$6:$BE$37,11,0)-VLOOKUP(B201,#REF!,$G$2,0),0)</f>
        <v>0</v>
      </c>
      <c r="H201" s="9">
        <f>IFERROR(VLOOKUP(B201,cubo!$A$6:$BE$37,53,0)-VLOOKUP(B201,#REF!,$H$2,0),0)</f>
        <v>0</v>
      </c>
      <c r="I201" s="10">
        <f>IFERROR(VLOOKUP(B201,cubo!$A$6:$BE$37,14,0)-VLOOKUP(B201,#REF!,$I$2,0),0)</f>
        <v>0</v>
      </c>
      <c r="J201" s="9">
        <f>IFERROR(VLOOKUP(B201,cubo!$A$6:$BE$37,16,0)-VLOOKUP(B201,#REF!,$J$2,0),0)</f>
        <v>0</v>
      </c>
      <c r="K201" s="9">
        <f>IFERROR(VLOOKUP(B201,cubo!$A$6:$BE$37,17,0)-VLOOKUP(B201,#REF!,$K$2,0),0)</f>
        <v>0</v>
      </c>
      <c r="L201" s="9">
        <f>IFERROR(VLOOKUP(B201,cubo!$A$6:$BE$37,19,0)-VLOOKUP(B201,#REF!,$L$2,0),0)</f>
        <v>0</v>
      </c>
      <c r="M201" s="9">
        <f>IFERROR(VLOOKUP(B201,cubo!$A$6:$BE$37,23,0)-VLOOKUP(B201,#REF!,$M$2,0),0)</f>
        <v>0</v>
      </c>
      <c r="N201" s="9">
        <f>IFERROR(VLOOKUP(B201,cubo!$A$6:$BE$37,25,0)-VLOOKUP(B201,#REF!,$N$2,0),0)</f>
        <v>0</v>
      </c>
      <c r="O201" s="9">
        <f>IFERROR(VLOOKUP(B201,cubo!$A$6:$BE$37,33,0)-VLOOKUP(B201,#REF!,$O$2,0),0)</f>
        <v>0</v>
      </c>
      <c r="P201" s="8">
        <f>IFERROR(VLOOKUP(B201,cubo!$A$6:$BE$37,37,0)-VLOOKUP(B201,#REF!,$P$2,0),0)</f>
        <v>0</v>
      </c>
      <c r="Q201" s="8">
        <f>IFERROR(VLOOKUP(B201,cubo!$A$6:$BE$37,56,0)-VLOOKUP(B201,#REF!,$Q$2,0),0)</f>
        <v>0</v>
      </c>
      <c r="R201" s="9">
        <f>IFERROR(VLOOKUP(B201,cubo!$A$6:$BE$37,40,0)-VLOOKUP(B201,#REF!,$R$2,0),0)</f>
        <v>0</v>
      </c>
      <c r="S201" s="9">
        <f>IFERROR(VLOOKUP(B201,cubo!$A$6:$BE$37,43,0)-VLOOKUP(B201,#REF!,$S$2,0),0)</f>
        <v>0</v>
      </c>
      <c r="T201" s="9">
        <f>IFERROR(VLOOKUP(B201,cubo!$A$6:$BE$37,46,0)-VLOOKUP(B201,#REF!,$T$2,0),0)</f>
        <v>0</v>
      </c>
      <c r="U201" s="9">
        <f>IFERROR(VLOOKUP(B201,cubo!$A$6:$BE$37,51,0)-VLOOKUP(B201,#REF!,$U$2,0),0)</f>
        <v>0</v>
      </c>
      <c r="V201" s="9">
        <f>IFERROR(VLOOKUP(B201,cubo!$A$6:$BJ$37,60,0)-VLOOKUP(B201,#REF!,$V$2,0),0)</f>
        <v>0</v>
      </c>
      <c r="W201" s="9">
        <f>IFERROR(VLOOKUP(B201,cubo!$A$6:$BE$37,26,0)-VLOOKUP(B201,#REF!,$W$2,0),0)</f>
        <v>0</v>
      </c>
      <c r="X201" s="9">
        <f>IFERROR(VLOOKUP(B201,cubo!$A$6:$BE$37,20,0)-VLOOKUP(B201,#REF!,$X$2,0),0)</f>
        <v>0</v>
      </c>
      <c r="Y201" s="9">
        <f>IFERROR(VLOOKUP(B201,cubo!$A$6:$BE$37,21,0)-VLOOKUP(B201,#REF!,$Y$2,0),0)</f>
        <v>0</v>
      </c>
      <c r="Z201" s="9">
        <f>IFERROR(VLOOKUP(B201,cubo!$A$6:$BE$37,27,0)-VLOOKUP(B201,#REF!,$Z$2,0),0)</f>
        <v>0</v>
      </c>
      <c r="AA201" s="9">
        <f>IFERROR(VLOOKUP(B201,cubo!$A$6:$BE$37,28,0)-VLOOKUP(B201,#REF!,$AA$2,0),0)</f>
        <v>0</v>
      </c>
      <c r="AB201" s="9">
        <f>IFERROR(VLOOKUP(B201,cubo!$A$6:$BE$37,29,0)-VLOOKUP(B201,#REF!,$AB$2,0),0)</f>
        <v>0</v>
      </c>
      <c r="AC201" s="9">
        <f>IFERROR(VLOOKUP(B201,cubo!$A$6:$BE$37,30,0)-VLOOKUP(B201,#REF!,$AC$2,0),0)</f>
        <v>0</v>
      </c>
      <c r="AD201" s="9">
        <f>IFERROR(VLOOKUP(B201,cubo!$A$6:$BE$37,31,0)-VLOOKUP(B201,#REF!,$AD$2,0),0)</f>
        <v>0</v>
      </c>
      <c r="AE201" s="9">
        <f>IFERROR(VLOOKUP(B201,cubo!$A$6:$BE$37,35,0)-VLOOKUP(B201,#REF!,$AE$2,0),0)</f>
        <v>0</v>
      </c>
      <c r="AF201" s="9" cm="1">
        <f t="array" aca="1" ref="AF201" ca="1">IFERROR(rrPROCV(B201,cubo!$A$6:$BE$37,48,0)-VLOOKUP(B201,#REF!,$AF$2,0),0)</f>
        <v>0</v>
      </c>
      <c r="AG201" s="9">
        <f>IFERROR(VLOOKUP(B201,cubo!$A$6:$BE$37,49,0)-VLOOKUP(B201,#REF!,$AG$2,0),0)</f>
        <v>0</v>
      </c>
      <c r="AH201" s="9">
        <f>IFERROR(VLOOKUP(B201,cubo!$A$6:$BE$37,50,0)-VLOOKUP(B201,#REF!,$AH$2,0),0)</f>
        <v>0</v>
      </c>
      <c r="AI201" s="9">
        <f>IFERROR(VLOOKUP(B201,cubo!$A$6:$BE$37,51,0)-VLOOKUP(B201,#REF!,$AI$2,0),0)</f>
        <v>0</v>
      </c>
      <c r="AJ201" s="9">
        <f>IFERROR(VLOOKUP(B201,cubo!$A$6:$BI$116,62,0)-VLOOKUP(B201,#REF!,$AJ$2,0),0)</f>
        <v>0</v>
      </c>
      <c r="AK201" s="9">
        <f>IFERROR(VLOOKUP(B201,cubo!$A$6:$BJ$37,63,0)-VLOOKUP(B201,#REF!,$AK$2,0),0)</f>
        <v>0</v>
      </c>
      <c r="AL201" s="9">
        <f>IFERROR(VLOOKUP(B201,cubo!$A$6:$BE$37,58,0)-VLOOKUP(B201,#REF!,$AL$2,0),0)</f>
        <v>0</v>
      </c>
      <c r="AM201" s="9">
        <f>IFERROR(VLOOKUP(B201,cubo!$A$6:$BK$37,64,0)-VLOOKUP(B201,#REF!,$AM$2,0),0)</f>
        <v>0</v>
      </c>
      <c r="AN201" s="9">
        <f>IFERROR(VLOOKUP(B201,cubo!$A$6:$AN$37,41,0)-VLOOKUP(B201,#REF!,$AN$2,0),0)</f>
        <v>0</v>
      </c>
    </row>
    <row r="202" spans="2:40" x14ac:dyDescent="0.25">
      <c r="B202" s="7">
        <f>[1]salario!A201</f>
        <v>0</v>
      </c>
      <c r="C202" s="14">
        <f>[1]salario!C201</f>
        <v>0</v>
      </c>
      <c r="D202" s="9">
        <f>IFERROR(VLOOKUP(B202,cubo!$A$6:$BE$37,3,0)-VLOOKUP(B202,#REF!,$D$2,0),0)</f>
        <v>0</v>
      </c>
      <c r="E202" s="10">
        <f>IFERROR(VLOOKUP(B202,cubo!$A$6:$BE$37,5,0)-VLOOKUP(B202,#REF!,$E$2,0),0)</f>
        <v>0</v>
      </c>
      <c r="F202" s="10">
        <f>IFERROR(VLOOKUP(B202,cubo!$A$6:$BE$37,8,0)-VLOOKUP(B202,#REF!,$F$2,0),0)</f>
        <v>0</v>
      </c>
      <c r="G202" s="9">
        <f>IFERROR(VLOOKUP(B202,cubo!$A$6:$BE$37,11,0)-VLOOKUP(B202,#REF!,$G$2,0),0)</f>
        <v>0</v>
      </c>
      <c r="H202" s="9">
        <f>IFERROR(VLOOKUP(B202,cubo!$A$6:$BE$37,53,0)-VLOOKUP(B202,#REF!,$H$2,0),0)</f>
        <v>0</v>
      </c>
      <c r="I202" s="10">
        <f>IFERROR(VLOOKUP(B202,cubo!$A$6:$BE$37,14,0)-VLOOKUP(B202,#REF!,$I$2,0),0)</f>
        <v>0</v>
      </c>
      <c r="J202" s="9">
        <f>IFERROR(VLOOKUP(B202,cubo!$A$6:$BE$37,16,0)-VLOOKUP(B202,#REF!,$J$2,0),0)</f>
        <v>0</v>
      </c>
      <c r="K202" s="9">
        <f>IFERROR(VLOOKUP(B202,cubo!$A$6:$BE$37,17,0)-VLOOKUP(B202,#REF!,$K$2,0),0)</f>
        <v>0</v>
      </c>
      <c r="L202" s="9">
        <f>IFERROR(VLOOKUP(B202,cubo!$A$6:$BE$37,19,0)-VLOOKUP(B202,#REF!,$L$2,0),0)</f>
        <v>0</v>
      </c>
      <c r="M202" s="9">
        <f>IFERROR(VLOOKUP(B202,cubo!$A$6:$BE$37,23,0)-VLOOKUP(B202,#REF!,$M$2,0),0)</f>
        <v>0</v>
      </c>
      <c r="N202" s="9">
        <f>IFERROR(VLOOKUP(B202,cubo!$A$6:$BE$37,25,0)-VLOOKUP(B202,#REF!,$N$2,0),0)</f>
        <v>0</v>
      </c>
      <c r="O202" s="9">
        <f>IFERROR(VLOOKUP(B202,cubo!$A$6:$BE$37,33,0)-VLOOKUP(B202,#REF!,$O$2,0),0)</f>
        <v>0</v>
      </c>
      <c r="P202" s="8">
        <f>IFERROR(VLOOKUP(B202,cubo!$A$6:$BE$37,37,0)-VLOOKUP(B202,#REF!,$P$2,0),0)</f>
        <v>0</v>
      </c>
      <c r="Q202" s="8">
        <f>IFERROR(VLOOKUP(B202,cubo!$A$6:$BE$37,56,0)-VLOOKUP(B202,#REF!,$Q$2,0),0)</f>
        <v>0</v>
      </c>
      <c r="R202" s="9">
        <f>IFERROR(VLOOKUP(B202,cubo!$A$6:$BE$37,40,0)-VLOOKUP(B202,#REF!,$R$2,0),0)</f>
        <v>0</v>
      </c>
      <c r="S202" s="9">
        <f>IFERROR(VLOOKUP(B202,cubo!$A$6:$BE$37,43,0)-VLOOKUP(B202,#REF!,$S$2,0),0)</f>
        <v>0</v>
      </c>
      <c r="T202" s="9">
        <f>IFERROR(VLOOKUP(B202,cubo!$A$6:$BE$37,46,0)-VLOOKUP(B202,#REF!,$T$2,0),0)</f>
        <v>0</v>
      </c>
      <c r="U202" s="9">
        <f>IFERROR(VLOOKUP(B202,cubo!$A$6:$BE$37,51,0)-VLOOKUP(B202,#REF!,$U$2,0),0)</f>
        <v>0</v>
      </c>
      <c r="V202" s="9">
        <f>IFERROR(VLOOKUP(B202,cubo!$A$6:$BJ$37,60,0)-VLOOKUP(B202,#REF!,$V$2,0),0)</f>
        <v>0</v>
      </c>
      <c r="W202" s="9">
        <f>IFERROR(VLOOKUP(B202,cubo!$A$6:$BE$37,26,0)-VLOOKUP(B202,#REF!,$W$2,0),0)</f>
        <v>0</v>
      </c>
      <c r="X202" s="9">
        <f>IFERROR(VLOOKUP(B202,cubo!$A$6:$BE$37,20,0)-VLOOKUP(B202,#REF!,$X$2,0),0)</f>
        <v>0</v>
      </c>
      <c r="Y202" s="9">
        <f>IFERROR(VLOOKUP(B202,cubo!$A$6:$BE$37,21,0)-VLOOKUP(B202,#REF!,$Y$2,0),0)</f>
        <v>0</v>
      </c>
      <c r="Z202" s="9">
        <f>IFERROR(VLOOKUP(B202,cubo!$A$6:$BE$37,27,0)-VLOOKUP(B202,#REF!,$Z$2,0),0)</f>
        <v>0</v>
      </c>
      <c r="AA202" s="9">
        <f>IFERROR(VLOOKUP(B202,cubo!$A$6:$BE$37,28,0)-VLOOKUP(B202,#REF!,$AA$2,0),0)</f>
        <v>0</v>
      </c>
      <c r="AB202" s="9">
        <f>IFERROR(VLOOKUP(B202,cubo!$A$6:$BE$37,29,0)-VLOOKUP(B202,#REF!,$AB$2,0),0)</f>
        <v>0</v>
      </c>
      <c r="AC202" s="9">
        <f>IFERROR(VLOOKUP(B202,cubo!$A$6:$BE$37,30,0)-VLOOKUP(B202,#REF!,$AC$2,0),0)</f>
        <v>0</v>
      </c>
      <c r="AD202" s="9">
        <f>IFERROR(VLOOKUP(B202,cubo!$A$6:$BE$37,31,0)-VLOOKUP(B202,#REF!,$AD$2,0),0)</f>
        <v>0</v>
      </c>
      <c r="AE202" s="9">
        <f>IFERROR(VLOOKUP(B202,cubo!$A$6:$BE$37,35,0)-VLOOKUP(B202,#REF!,$AE$2,0),0)</f>
        <v>0</v>
      </c>
      <c r="AF202" s="9" cm="1">
        <f t="array" aca="1" ref="AF202" ca="1">IFERROR(rrPROCV(B202,cubo!$A$6:$BE$37,48,0)-VLOOKUP(B202,#REF!,$AF$2,0),0)</f>
        <v>0</v>
      </c>
      <c r="AG202" s="9">
        <f>IFERROR(VLOOKUP(B202,cubo!$A$6:$BE$37,49,0)-VLOOKUP(B202,#REF!,$AG$2,0),0)</f>
        <v>0</v>
      </c>
      <c r="AH202" s="9">
        <f>IFERROR(VLOOKUP(B202,cubo!$A$6:$BE$37,50,0)-VLOOKUP(B202,#REF!,$AH$2,0),0)</f>
        <v>0</v>
      </c>
      <c r="AI202" s="9">
        <f>IFERROR(VLOOKUP(B202,cubo!$A$6:$BE$37,51,0)-VLOOKUP(B202,#REF!,$AI$2,0),0)</f>
        <v>0</v>
      </c>
      <c r="AJ202" s="9">
        <f>IFERROR(VLOOKUP(B202,cubo!$A$6:$BI$116,62,0)-VLOOKUP(B202,#REF!,$AJ$2,0),0)</f>
        <v>0</v>
      </c>
      <c r="AK202" s="9">
        <f>IFERROR(VLOOKUP(B202,cubo!$A$6:$BJ$37,63,0)-VLOOKUP(B202,#REF!,$AK$2,0),0)</f>
        <v>0</v>
      </c>
      <c r="AL202" s="9">
        <f>IFERROR(VLOOKUP(B202,cubo!$A$6:$BE$37,58,0)-VLOOKUP(B202,#REF!,$AL$2,0),0)</f>
        <v>0</v>
      </c>
      <c r="AM202" s="9">
        <f>IFERROR(VLOOKUP(B202,cubo!$A$6:$BK$37,64,0)-VLOOKUP(B202,#REF!,$AM$2,0),0)</f>
        <v>0</v>
      </c>
      <c r="AN202" s="9">
        <f>IFERROR(VLOOKUP(B202,cubo!$A$6:$AN$37,41,0)-VLOOKUP(B202,#REF!,$AN$2,0),0)</f>
        <v>0</v>
      </c>
    </row>
    <row r="203" spans="2:40" x14ac:dyDescent="0.25">
      <c r="B203" s="7">
        <f>[1]salario!A202</f>
        <v>0</v>
      </c>
      <c r="C203" s="14">
        <f>[1]salario!C202</f>
        <v>0</v>
      </c>
      <c r="D203" s="9">
        <f>IFERROR(VLOOKUP(B203,cubo!$A$6:$BE$37,3,0)-VLOOKUP(B203,#REF!,$D$2,0),0)</f>
        <v>0</v>
      </c>
      <c r="E203" s="10">
        <f>IFERROR(VLOOKUP(B203,cubo!$A$6:$BE$37,5,0)-VLOOKUP(B203,#REF!,$E$2,0),0)</f>
        <v>0</v>
      </c>
      <c r="F203" s="10">
        <f>IFERROR(VLOOKUP(B203,cubo!$A$6:$BE$37,8,0)-VLOOKUP(B203,#REF!,$F$2,0),0)</f>
        <v>0</v>
      </c>
      <c r="G203" s="9">
        <f>IFERROR(VLOOKUP(B203,cubo!$A$6:$BE$37,11,0)-VLOOKUP(B203,#REF!,$G$2,0),0)</f>
        <v>0</v>
      </c>
      <c r="H203" s="9">
        <f>IFERROR(VLOOKUP(B203,cubo!$A$6:$BE$37,53,0)-VLOOKUP(B203,#REF!,$H$2,0),0)</f>
        <v>0</v>
      </c>
      <c r="I203" s="10">
        <f>IFERROR(VLOOKUP(B203,cubo!$A$6:$BE$37,14,0)-VLOOKUP(B203,#REF!,$I$2,0),0)</f>
        <v>0</v>
      </c>
      <c r="J203" s="9">
        <f>IFERROR(VLOOKUP(B203,cubo!$A$6:$BE$37,16,0)-VLOOKUP(B203,#REF!,$J$2,0),0)</f>
        <v>0</v>
      </c>
      <c r="K203" s="9">
        <f>IFERROR(VLOOKUP(B203,cubo!$A$6:$BE$37,17,0)-VLOOKUP(B203,#REF!,$K$2,0),0)</f>
        <v>0</v>
      </c>
      <c r="L203" s="9">
        <f>IFERROR(VLOOKUP(B203,cubo!$A$6:$BE$37,19,0)-VLOOKUP(B203,#REF!,$L$2,0),0)</f>
        <v>0</v>
      </c>
      <c r="M203" s="9">
        <f>IFERROR(VLOOKUP(B203,cubo!$A$6:$BE$37,23,0)-VLOOKUP(B203,#REF!,$M$2,0),0)</f>
        <v>0</v>
      </c>
      <c r="N203" s="9">
        <f>IFERROR(VLOOKUP(B203,cubo!$A$6:$BE$37,25,0)-VLOOKUP(B203,#REF!,$N$2,0),0)</f>
        <v>0</v>
      </c>
      <c r="O203" s="9">
        <f>IFERROR(VLOOKUP(B203,cubo!$A$6:$BE$37,33,0)-VLOOKUP(B203,#REF!,$O$2,0),0)</f>
        <v>0</v>
      </c>
      <c r="P203" s="8">
        <f>IFERROR(VLOOKUP(B203,cubo!$A$6:$BE$37,37,0)-VLOOKUP(B203,#REF!,$P$2,0),0)</f>
        <v>0</v>
      </c>
      <c r="Q203" s="8">
        <f>IFERROR(VLOOKUP(B203,cubo!$A$6:$BE$37,56,0)-VLOOKUP(B203,#REF!,$Q$2,0),0)</f>
        <v>0</v>
      </c>
      <c r="R203" s="9">
        <f>IFERROR(VLOOKUP(B203,cubo!$A$6:$BE$37,40,0)-VLOOKUP(B203,#REF!,$R$2,0),0)</f>
        <v>0</v>
      </c>
      <c r="S203" s="9">
        <f>IFERROR(VLOOKUP(B203,cubo!$A$6:$BE$37,43,0)-VLOOKUP(B203,#REF!,$S$2,0),0)</f>
        <v>0</v>
      </c>
      <c r="T203" s="9">
        <f>IFERROR(VLOOKUP(B203,cubo!$A$6:$BE$37,46,0)-VLOOKUP(B203,#REF!,$T$2,0),0)</f>
        <v>0</v>
      </c>
      <c r="U203" s="9">
        <f>IFERROR(VLOOKUP(B203,cubo!$A$6:$BE$37,51,0)-VLOOKUP(B203,#REF!,$U$2,0),0)</f>
        <v>0</v>
      </c>
      <c r="V203" s="9">
        <f>IFERROR(VLOOKUP(B203,cubo!$A$6:$BJ$37,60,0)-VLOOKUP(B203,#REF!,$V$2,0),0)</f>
        <v>0</v>
      </c>
      <c r="W203" s="9">
        <f>IFERROR(VLOOKUP(B203,cubo!$A$6:$BE$37,26,0)-VLOOKUP(B203,#REF!,$W$2,0),0)</f>
        <v>0</v>
      </c>
      <c r="X203" s="9">
        <f>IFERROR(VLOOKUP(B203,cubo!$A$6:$BE$37,20,0)-VLOOKUP(B203,#REF!,$X$2,0),0)</f>
        <v>0</v>
      </c>
      <c r="Y203" s="9">
        <f>IFERROR(VLOOKUP(B203,cubo!$A$6:$BE$37,21,0)-VLOOKUP(B203,#REF!,$Y$2,0),0)</f>
        <v>0</v>
      </c>
      <c r="Z203" s="9">
        <f>IFERROR(VLOOKUP(B203,cubo!$A$6:$BE$37,27,0)-VLOOKUP(B203,#REF!,$Z$2,0),0)</f>
        <v>0</v>
      </c>
      <c r="AA203" s="9">
        <f>IFERROR(VLOOKUP(B203,cubo!$A$6:$BE$37,28,0)-VLOOKUP(B203,#REF!,$AA$2,0),0)</f>
        <v>0</v>
      </c>
      <c r="AB203" s="9">
        <f>IFERROR(VLOOKUP(B203,cubo!$A$6:$BE$37,29,0)-VLOOKUP(B203,#REF!,$AB$2,0),0)</f>
        <v>0</v>
      </c>
      <c r="AC203" s="9">
        <f>IFERROR(VLOOKUP(B203,cubo!$A$6:$BE$37,30,0)-VLOOKUP(B203,#REF!,$AC$2,0),0)</f>
        <v>0</v>
      </c>
      <c r="AD203" s="9">
        <f>IFERROR(VLOOKUP(B203,cubo!$A$6:$BE$37,31,0)-VLOOKUP(B203,#REF!,$AD$2,0),0)</f>
        <v>0</v>
      </c>
      <c r="AE203" s="9">
        <f>IFERROR(VLOOKUP(B203,cubo!$A$6:$BE$37,35,0)-VLOOKUP(B203,#REF!,$AE$2,0),0)</f>
        <v>0</v>
      </c>
      <c r="AF203" s="9" cm="1">
        <f t="array" aca="1" ref="AF203" ca="1">IFERROR(rrPROCV(B203,cubo!$A$6:$BE$37,48,0)-VLOOKUP(B203,#REF!,$AF$2,0),0)</f>
        <v>0</v>
      </c>
      <c r="AG203" s="9">
        <f>IFERROR(VLOOKUP(B203,cubo!$A$6:$BE$37,49,0)-VLOOKUP(B203,#REF!,$AG$2,0),0)</f>
        <v>0</v>
      </c>
      <c r="AH203" s="9">
        <f>IFERROR(VLOOKUP(B203,cubo!$A$6:$BE$37,50,0)-VLOOKUP(B203,#REF!,$AH$2,0),0)</f>
        <v>0</v>
      </c>
      <c r="AI203" s="9">
        <f>IFERROR(VLOOKUP(B203,cubo!$A$6:$BE$37,51,0)-VLOOKUP(B203,#REF!,$AI$2,0),0)</f>
        <v>0</v>
      </c>
      <c r="AJ203" s="9">
        <f>IFERROR(VLOOKUP(B203,cubo!$A$6:$BI$116,62,0)-VLOOKUP(B203,#REF!,$AJ$2,0),0)</f>
        <v>0</v>
      </c>
      <c r="AK203" s="9">
        <f>IFERROR(VLOOKUP(B203,cubo!$A$6:$BJ$37,63,0)-VLOOKUP(B203,#REF!,$AK$2,0),0)</f>
        <v>0</v>
      </c>
      <c r="AL203" s="9">
        <f>IFERROR(VLOOKUP(B203,cubo!$A$6:$BE$37,58,0)-VLOOKUP(B203,#REF!,$AL$2,0),0)</f>
        <v>0</v>
      </c>
      <c r="AM203" s="9">
        <f>IFERROR(VLOOKUP(B203,cubo!$A$6:$BK$37,64,0)-VLOOKUP(B203,#REF!,$AM$2,0),0)</f>
        <v>0</v>
      </c>
      <c r="AN203" s="9">
        <f>IFERROR(VLOOKUP(B203,cubo!$A$6:$AN$37,41,0)-VLOOKUP(B203,#REF!,$AN$2,0),0)</f>
        <v>0</v>
      </c>
    </row>
    <row r="204" spans="2:40" x14ac:dyDescent="0.25">
      <c r="B204" s="7">
        <f>[1]salario!A203</f>
        <v>0</v>
      </c>
      <c r="C204" s="14">
        <f>[1]salario!C203</f>
        <v>0</v>
      </c>
      <c r="D204" s="9">
        <f>IFERROR(VLOOKUP(B204,cubo!$A$6:$BE$37,3,0)-VLOOKUP(B204,#REF!,$D$2,0),0)</f>
        <v>0</v>
      </c>
      <c r="E204" s="10">
        <f>IFERROR(VLOOKUP(B204,cubo!$A$6:$BE$37,5,0)-VLOOKUP(B204,#REF!,$E$2,0),0)</f>
        <v>0</v>
      </c>
      <c r="F204" s="10">
        <f>IFERROR(VLOOKUP(B204,cubo!$A$6:$BE$37,8,0)-VLOOKUP(B204,#REF!,$F$2,0),0)</f>
        <v>0</v>
      </c>
      <c r="G204" s="9">
        <f>IFERROR(VLOOKUP(B204,cubo!$A$6:$BE$37,11,0)-VLOOKUP(B204,#REF!,$G$2,0),0)</f>
        <v>0</v>
      </c>
      <c r="H204" s="9">
        <f>IFERROR(VLOOKUP(B204,cubo!$A$6:$BE$37,53,0)-VLOOKUP(B204,#REF!,$H$2,0),0)</f>
        <v>0</v>
      </c>
      <c r="I204" s="10">
        <f>IFERROR(VLOOKUP(B204,cubo!$A$6:$BE$37,14,0)-VLOOKUP(B204,#REF!,$I$2,0),0)</f>
        <v>0</v>
      </c>
      <c r="J204" s="9">
        <f>IFERROR(VLOOKUP(B204,cubo!$A$6:$BE$37,16,0)-VLOOKUP(B204,#REF!,$J$2,0),0)</f>
        <v>0</v>
      </c>
      <c r="K204" s="9">
        <f>IFERROR(VLOOKUP(B204,cubo!$A$6:$BE$37,17,0)-VLOOKUP(B204,#REF!,$K$2,0),0)</f>
        <v>0</v>
      </c>
      <c r="L204" s="9">
        <f>IFERROR(VLOOKUP(B204,cubo!$A$6:$BE$37,19,0)-VLOOKUP(B204,#REF!,$L$2,0),0)</f>
        <v>0</v>
      </c>
      <c r="M204" s="9">
        <f>IFERROR(VLOOKUP(B204,cubo!$A$6:$BE$37,23,0)-VLOOKUP(B204,#REF!,$M$2,0),0)</f>
        <v>0</v>
      </c>
      <c r="N204" s="9">
        <f>IFERROR(VLOOKUP(B204,cubo!$A$6:$BE$37,25,0)-VLOOKUP(B204,#REF!,$N$2,0),0)</f>
        <v>0</v>
      </c>
      <c r="O204" s="9">
        <f>IFERROR(VLOOKUP(B204,cubo!$A$6:$BE$37,33,0)-VLOOKUP(B204,#REF!,$O$2,0),0)</f>
        <v>0</v>
      </c>
      <c r="P204" s="8">
        <f>IFERROR(VLOOKUP(B204,cubo!$A$6:$BE$37,37,0)-VLOOKUP(B204,#REF!,$P$2,0),0)</f>
        <v>0</v>
      </c>
      <c r="Q204" s="8">
        <f>IFERROR(VLOOKUP(B204,cubo!$A$6:$BE$37,56,0)-VLOOKUP(B204,#REF!,$Q$2,0),0)</f>
        <v>0</v>
      </c>
      <c r="R204" s="9">
        <f>IFERROR(VLOOKUP(B204,cubo!$A$6:$BE$37,40,0)-VLOOKUP(B204,#REF!,$R$2,0),0)</f>
        <v>0</v>
      </c>
      <c r="S204" s="9">
        <f>IFERROR(VLOOKUP(B204,cubo!$A$6:$BE$37,43,0)-VLOOKUP(B204,#REF!,$S$2,0),0)</f>
        <v>0</v>
      </c>
      <c r="T204" s="9">
        <f>IFERROR(VLOOKUP(B204,cubo!$A$6:$BE$37,46,0)-VLOOKUP(B204,#REF!,$T$2,0),0)</f>
        <v>0</v>
      </c>
      <c r="U204" s="9">
        <f>IFERROR(VLOOKUP(B204,cubo!$A$6:$BE$37,51,0)-VLOOKUP(B204,#REF!,$U$2,0),0)</f>
        <v>0</v>
      </c>
      <c r="V204" s="9">
        <f>IFERROR(VLOOKUP(B204,cubo!$A$6:$BJ$37,60,0)-VLOOKUP(B204,#REF!,$V$2,0),0)</f>
        <v>0</v>
      </c>
      <c r="W204" s="9">
        <f>IFERROR(VLOOKUP(B204,cubo!$A$6:$BE$37,26,0)-VLOOKUP(B204,#REF!,$W$2,0),0)</f>
        <v>0</v>
      </c>
      <c r="X204" s="9">
        <f>IFERROR(VLOOKUP(B204,cubo!$A$6:$BE$37,20,0)-VLOOKUP(B204,#REF!,$X$2,0),0)</f>
        <v>0</v>
      </c>
      <c r="Y204" s="9">
        <f>IFERROR(VLOOKUP(B204,cubo!$A$6:$BE$37,21,0)-VLOOKUP(B204,#REF!,$Y$2,0),0)</f>
        <v>0</v>
      </c>
      <c r="Z204" s="9">
        <f>IFERROR(VLOOKUP(B204,cubo!$A$6:$BE$37,27,0)-VLOOKUP(B204,#REF!,$Z$2,0),0)</f>
        <v>0</v>
      </c>
      <c r="AA204" s="9">
        <f>IFERROR(VLOOKUP(B204,cubo!$A$6:$BE$37,28,0)-VLOOKUP(B204,#REF!,$AA$2,0),0)</f>
        <v>0</v>
      </c>
      <c r="AB204" s="9">
        <f>IFERROR(VLOOKUP(B204,cubo!$A$6:$BE$37,29,0)-VLOOKUP(B204,#REF!,$AB$2,0),0)</f>
        <v>0</v>
      </c>
      <c r="AC204" s="9">
        <f>IFERROR(VLOOKUP(B204,cubo!$A$6:$BE$37,30,0)-VLOOKUP(B204,#REF!,$AC$2,0),0)</f>
        <v>0</v>
      </c>
      <c r="AD204" s="9">
        <f>IFERROR(VLOOKUP(B204,cubo!$A$6:$BE$37,31,0)-VLOOKUP(B204,#REF!,$AD$2,0),0)</f>
        <v>0</v>
      </c>
      <c r="AE204" s="9">
        <f>IFERROR(VLOOKUP(B204,cubo!$A$6:$BE$37,35,0)-VLOOKUP(B204,#REF!,$AE$2,0),0)</f>
        <v>0</v>
      </c>
      <c r="AF204" s="9" cm="1">
        <f t="array" aca="1" ref="AF204" ca="1">IFERROR(rrPROCV(B204,cubo!$A$6:$BE$37,48,0)-VLOOKUP(B204,#REF!,$AF$2,0),0)</f>
        <v>0</v>
      </c>
      <c r="AG204" s="9">
        <f>IFERROR(VLOOKUP(B204,cubo!$A$6:$BE$37,49,0)-VLOOKUP(B204,#REF!,$AG$2,0),0)</f>
        <v>0</v>
      </c>
      <c r="AH204" s="9">
        <f>IFERROR(VLOOKUP(B204,cubo!$A$6:$BE$37,50,0)-VLOOKUP(B204,#REF!,$AH$2,0),0)</f>
        <v>0</v>
      </c>
      <c r="AI204" s="9">
        <f>IFERROR(VLOOKUP(B204,cubo!$A$6:$BE$37,51,0)-VLOOKUP(B204,#REF!,$AI$2,0),0)</f>
        <v>0</v>
      </c>
      <c r="AJ204" s="9">
        <f>IFERROR(VLOOKUP(B204,cubo!$A$6:$BI$116,62,0)-VLOOKUP(B204,#REF!,$AJ$2,0),0)</f>
        <v>0</v>
      </c>
      <c r="AK204" s="9">
        <f>IFERROR(VLOOKUP(B204,cubo!$A$6:$BJ$37,63,0)-VLOOKUP(B204,#REF!,$AK$2,0),0)</f>
        <v>0</v>
      </c>
      <c r="AL204" s="9">
        <f>IFERROR(VLOOKUP(B204,cubo!$A$6:$BE$37,58,0)-VLOOKUP(B204,#REF!,$AL$2,0),0)</f>
        <v>0</v>
      </c>
      <c r="AM204" s="9">
        <f>IFERROR(VLOOKUP(B204,cubo!$A$6:$BK$37,64,0)-VLOOKUP(B204,#REF!,$AM$2,0),0)</f>
        <v>0</v>
      </c>
      <c r="AN204" s="9">
        <f>IFERROR(VLOOKUP(B204,cubo!$A$6:$AN$37,41,0)-VLOOKUP(B204,#REF!,$AN$2,0),0)</f>
        <v>0</v>
      </c>
    </row>
    <row r="205" spans="2:40" x14ac:dyDescent="0.25">
      <c r="B205" s="7">
        <f>[1]salario!A204</f>
        <v>0</v>
      </c>
      <c r="C205" s="14">
        <f>[1]salario!C204</f>
        <v>0</v>
      </c>
      <c r="D205" s="9">
        <f>IFERROR(VLOOKUP(B205,cubo!$A$6:$BE$37,3,0)-VLOOKUP(B205,#REF!,$D$2,0),0)</f>
        <v>0</v>
      </c>
      <c r="E205" s="10">
        <f>IFERROR(VLOOKUP(B205,cubo!$A$6:$BE$37,5,0)-VLOOKUP(B205,#REF!,$E$2,0),0)</f>
        <v>0</v>
      </c>
      <c r="F205" s="10">
        <f>IFERROR(VLOOKUP(B205,cubo!$A$6:$BE$37,8,0)-VLOOKUP(B205,#REF!,$F$2,0),0)</f>
        <v>0</v>
      </c>
      <c r="G205" s="9">
        <f>IFERROR(VLOOKUP(B205,cubo!$A$6:$BE$37,11,0)-VLOOKUP(B205,#REF!,$G$2,0),0)</f>
        <v>0</v>
      </c>
      <c r="H205" s="9">
        <f>IFERROR(VLOOKUP(B205,cubo!$A$6:$BE$37,53,0)-VLOOKUP(B205,#REF!,$H$2,0),0)</f>
        <v>0</v>
      </c>
      <c r="I205" s="10">
        <f>IFERROR(VLOOKUP(B205,cubo!$A$6:$BE$37,14,0)-VLOOKUP(B205,#REF!,$I$2,0),0)</f>
        <v>0</v>
      </c>
      <c r="J205" s="9">
        <f>IFERROR(VLOOKUP(B205,cubo!$A$6:$BE$37,16,0)-VLOOKUP(B205,#REF!,$J$2,0),0)</f>
        <v>0</v>
      </c>
      <c r="K205" s="9">
        <f>IFERROR(VLOOKUP(B205,cubo!$A$6:$BE$37,17,0)-VLOOKUP(B205,#REF!,$K$2,0),0)</f>
        <v>0</v>
      </c>
      <c r="L205" s="9">
        <f>IFERROR(VLOOKUP(B205,cubo!$A$6:$BE$37,19,0)-VLOOKUP(B205,#REF!,$L$2,0),0)</f>
        <v>0</v>
      </c>
      <c r="M205" s="9">
        <f>IFERROR(VLOOKUP(B205,cubo!$A$6:$BE$37,23,0)-VLOOKUP(B205,#REF!,$M$2,0),0)</f>
        <v>0</v>
      </c>
      <c r="N205" s="9">
        <f>IFERROR(VLOOKUP(B205,cubo!$A$6:$BE$37,25,0)-VLOOKUP(B205,#REF!,$N$2,0),0)</f>
        <v>0</v>
      </c>
      <c r="O205" s="9">
        <f>IFERROR(VLOOKUP(B205,cubo!$A$6:$BE$37,33,0)-VLOOKUP(B205,#REF!,$O$2,0),0)</f>
        <v>0</v>
      </c>
      <c r="P205" s="8">
        <f>IFERROR(VLOOKUP(B205,cubo!$A$6:$BE$37,37,0)-VLOOKUP(B205,#REF!,$P$2,0),0)</f>
        <v>0</v>
      </c>
      <c r="Q205" s="8">
        <f>IFERROR(VLOOKUP(B205,cubo!$A$6:$BE$37,56,0)-VLOOKUP(B205,#REF!,$Q$2,0),0)</f>
        <v>0</v>
      </c>
      <c r="R205" s="9">
        <f>IFERROR(VLOOKUP(B205,cubo!$A$6:$BE$37,40,0)-VLOOKUP(B205,#REF!,$R$2,0),0)</f>
        <v>0</v>
      </c>
      <c r="S205" s="9">
        <f>IFERROR(VLOOKUP(B205,cubo!$A$6:$BE$37,43,0)-VLOOKUP(B205,#REF!,$S$2,0),0)</f>
        <v>0</v>
      </c>
      <c r="T205" s="9">
        <f>IFERROR(VLOOKUP(B205,cubo!$A$6:$BE$37,46,0)-VLOOKUP(B205,#REF!,$T$2,0),0)</f>
        <v>0</v>
      </c>
      <c r="U205" s="9">
        <f>IFERROR(VLOOKUP(B205,cubo!$A$6:$BE$37,51,0)-VLOOKUP(B205,#REF!,$U$2,0),0)</f>
        <v>0</v>
      </c>
      <c r="V205" s="9">
        <f>IFERROR(VLOOKUP(B205,cubo!$A$6:$BJ$37,60,0)-VLOOKUP(B205,#REF!,$V$2,0),0)</f>
        <v>0</v>
      </c>
      <c r="W205" s="9">
        <f>IFERROR(VLOOKUP(B205,cubo!$A$6:$BE$37,26,0)-VLOOKUP(B205,#REF!,$W$2,0),0)</f>
        <v>0</v>
      </c>
      <c r="X205" s="9">
        <f>IFERROR(VLOOKUP(B205,cubo!$A$6:$BE$37,20,0)-VLOOKUP(B205,#REF!,$X$2,0),0)</f>
        <v>0</v>
      </c>
      <c r="Y205" s="9">
        <f>IFERROR(VLOOKUP(B205,cubo!$A$6:$BE$37,21,0)-VLOOKUP(B205,#REF!,$Y$2,0),0)</f>
        <v>0</v>
      </c>
      <c r="Z205" s="9">
        <f>IFERROR(VLOOKUP(B205,cubo!$A$6:$BE$37,27,0)-VLOOKUP(B205,#REF!,$Z$2,0),0)</f>
        <v>0</v>
      </c>
      <c r="AA205" s="9">
        <f>IFERROR(VLOOKUP(B205,cubo!$A$6:$BE$37,28,0)-VLOOKUP(B205,#REF!,$AA$2,0),0)</f>
        <v>0</v>
      </c>
      <c r="AB205" s="9">
        <f>IFERROR(VLOOKUP(B205,cubo!$A$6:$BE$37,29,0)-VLOOKUP(B205,#REF!,$AB$2,0),0)</f>
        <v>0</v>
      </c>
      <c r="AC205" s="9">
        <f>IFERROR(VLOOKUP(B205,cubo!$A$6:$BE$37,30,0)-VLOOKUP(B205,#REF!,$AC$2,0),0)</f>
        <v>0</v>
      </c>
      <c r="AD205" s="9">
        <f>IFERROR(VLOOKUP(B205,cubo!$A$6:$BE$37,31,0)-VLOOKUP(B205,#REF!,$AD$2,0),0)</f>
        <v>0</v>
      </c>
      <c r="AE205" s="9">
        <f>IFERROR(VLOOKUP(B205,cubo!$A$6:$BE$37,35,0)-VLOOKUP(B205,#REF!,$AE$2,0),0)</f>
        <v>0</v>
      </c>
      <c r="AF205" s="9" cm="1">
        <f t="array" aca="1" ref="AF205" ca="1">IFERROR(rrPROCV(B205,cubo!$A$6:$BE$37,48,0)-VLOOKUP(B205,#REF!,$AF$2,0),0)</f>
        <v>0</v>
      </c>
      <c r="AG205" s="9">
        <f>IFERROR(VLOOKUP(B205,cubo!$A$6:$BE$37,49,0)-VLOOKUP(B205,#REF!,$AG$2,0),0)</f>
        <v>0</v>
      </c>
      <c r="AH205" s="9">
        <f>IFERROR(VLOOKUP(B205,cubo!$A$6:$BE$37,50,0)-VLOOKUP(B205,#REF!,$AH$2,0),0)</f>
        <v>0</v>
      </c>
      <c r="AI205" s="9">
        <f>IFERROR(VLOOKUP(B205,cubo!$A$6:$BE$37,51,0)-VLOOKUP(B205,#REF!,$AI$2,0),0)</f>
        <v>0</v>
      </c>
      <c r="AJ205" s="9">
        <f>IFERROR(VLOOKUP(B205,cubo!$A$6:$BI$116,62,0)-VLOOKUP(B205,#REF!,$AJ$2,0),0)</f>
        <v>0</v>
      </c>
      <c r="AK205" s="9">
        <f>IFERROR(VLOOKUP(B205,cubo!$A$6:$BJ$37,63,0)-VLOOKUP(B205,#REF!,$AK$2,0),0)</f>
        <v>0</v>
      </c>
      <c r="AL205" s="9">
        <f>IFERROR(VLOOKUP(B205,cubo!$A$6:$BE$37,58,0)-VLOOKUP(B205,#REF!,$AL$2,0),0)</f>
        <v>0</v>
      </c>
      <c r="AM205" s="9">
        <f>IFERROR(VLOOKUP(B205,cubo!$A$6:$BK$37,64,0)-VLOOKUP(B205,#REF!,$AM$2,0),0)</f>
        <v>0</v>
      </c>
      <c r="AN205" s="9">
        <f>IFERROR(VLOOKUP(B205,cubo!$A$6:$AN$37,41,0)-VLOOKUP(B205,#REF!,$AN$2,0),0)</f>
        <v>0</v>
      </c>
    </row>
    <row r="206" spans="2:40" x14ac:dyDescent="0.25">
      <c r="B206" s="7">
        <f>[1]salario!A205</f>
        <v>0</v>
      </c>
      <c r="C206" s="14">
        <f>[1]salario!C205</f>
        <v>0</v>
      </c>
      <c r="D206" s="9">
        <f>IFERROR(VLOOKUP(B206,cubo!$A$6:$BE$37,3,0)-VLOOKUP(B206,#REF!,$D$2,0),0)</f>
        <v>0</v>
      </c>
      <c r="E206" s="10">
        <f>IFERROR(VLOOKUP(B206,cubo!$A$6:$BE$37,5,0)-VLOOKUP(B206,#REF!,$E$2,0),0)</f>
        <v>0</v>
      </c>
      <c r="F206" s="10">
        <f>IFERROR(VLOOKUP(B206,cubo!$A$6:$BE$37,8,0)-VLOOKUP(B206,#REF!,$F$2,0),0)</f>
        <v>0</v>
      </c>
      <c r="G206" s="9">
        <f>IFERROR(VLOOKUP(B206,cubo!$A$6:$BE$37,11,0)-VLOOKUP(B206,#REF!,$G$2,0),0)</f>
        <v>0</v>
      </c>
      <c r="H206" s="9">
        <f>IFERROR(VLOOKUP(B206,cubo!$A$6:$BE$37,53,0)-VLOOKUP(B206,#REF!,$H$2,0),0)</f>
        <v>0</v>
      </c>
      <c r="I206" s="10">
        <f>IFERROR(VLOOKUP(B206,cubo!$A$6:$BE$37,14,0)-VLOOKUP(B206,#REF!,$I$2,0),0)</f>
        <v>0</v>
      </c>
      <c r="J206" s="9">
        <f>IFERROR(VLOOKUP(B206,cubo!$A$6:$BE$37,16,0)-VLOOKUP(B206,#REF!,$J$2,0),0)</f>
        <v>0</v>
      </c>
      <c r="K206" s="9">
        <f>IFERROR(VLOOKUP(B206,cubo!$A$6:$BE$37,17,0)-VLOOKUP(B206,#REF!,$K$2,0),0)</f>
        <v>0</v>
      </c>
      <c r="L206" s="9">
        <f>IFERROR(VLOOKUP(B206,cubo!$A$6:$BE$37,19,0)-VLOOKUP(B206,#REF!,$L$2,0),0)</f>
        <v>0</v>
      </c>
      <c r="M206" s="9">
        <f>IFERROR(VLOOKUP(B206,cubo!$A$6:$BE$37,23,0)-VLOOKUP(B206,#REF!,$M$2,0),0)</f>
        <v>0</v>
      </c>
      <c r="N206" s="9">
        <f>IFERROR(VLOOKUP(B206,cubo!$A$6:$BE$37,25,0)-VLOOKUP(B206,#REF!,$N$2,0),0)</f>
        <v>0</v>
      </c>
      <c r="O206" s="9">
        <f>IFERROR(VLOOKUP(B206,cubo!$A$6:$BE$37,33,0)-VLOOKUP(B206,#REF!,$O$2,0),0)</f>
        <v>0</v>
      </c>
      <c r="P206" s="8">
        <f>IFERROR(VLOOKUP(B206,cubo!$A$6:$BE$37,37,0)-VLOOKUP(B206,#REF!,$P$2,0),0)</f>
        <v>0</v>
      </c>
      <c r="Q206" s="8">
        <f>IFERROR(VLOOKUP(B206,cubo!$A$6:$BE$37,56,0)-VLOOKUP(B206,#REF!,$Q$2,0),0)</f>
        <v>0</v>
      </c>
      <c r="R206" s="9">
        <f>IFERROR(VLOOKUP(B206,cubo!$A$6:$BE$37,40,0)-VLOOKUP(B206,#REF!,$R$2,0),0)</f>
        <v>0</v>
      </c>
      <c r="S206" s="9">
        <f>IFERROR(VLOOKUP(B206,cubo!$A$6:$BE$37,43,0)-VLOOKUP(B206,#REF!,$S$2,0),0)</f>
        <v>0</v>
      </c>
      <c r="T206" s="9">
        <f>IFERROR(VLOOKUP(B206,cubo!$A$6:$BE$37,46,0)-VLOOKUP(B206,#REF!,$T$2,0),0)</f>
        <v>0</v>
      </c>
      <c r="U206" s="9">
        <f>IFERROR(VLOOKUP(B206,cubo!$A$6:$BE$37,51,0)-VLOOKUP(B206,#REF!,$U$2,0),0)</f>
        <v>0</v>
      </c>
      <c r="V206" s="9">
        <f>IFERROR(VLOOKUP(B206,cubo!$A$6:$BJ$37,60,0)-VLOOKUP(B206,#REF!,$V$2,0),0)</f>
        <v>0</v>
      </c>
      <c r="W206" s="9">
        <f>IFERROR(VLOOKUP(B206,cubo!$A$6:$BE$37,26,0)-VLOOKUP(B206,#REF!,$W$2,0),0)</f>
        <v>0</v>
      </c>
      <c r="X206" s="9">
        <f>IFERROR(VLOOKUP(B206,cubo!$A$6:$BE$37,20,0)-VLOOKUP(B206,#REF!,$X$2,0),0)</f>
        <v>0</v>
      </c>
      <c r="Y206" s="9">
        <f>IFERROR(VLOOKUP(B206,cubo!$A$6:$BE$37,21,0)-VLOOKUP(B206,#REF!,$Y$2,0),0)</f>
        <v>0</v>
      </c>
      <c r="Z206" s="9">
        <f>IFERROR(VLOOKUP(B206,cubo!$A$6:$BE$37,27,0)-VLOOKUP(B206,#REF!,$Z$2,0),0)</f>
        <v>0</v>
      </c>
      <c r="AA206" s="9">
        <f>IFERROR(VLOOKUP(B206,cubo!$A$6:$BE$37,28,0)-VLOOKUP(B206,#REF!,$AA$2,0),0)</f>
        <v>0</v>
      </c>
      <c r="AB206" s="9">
        <f>IFERROR(VLOOKUP(B206,cubo!$A$6:$BE$37,29,0)-VLOOKUP(B206,#REF!,$AB$2,0),0)</f>
        <v>0</v>
      </c>
      <c r="AC206" s="9">
        <f>IFERROR(VLOOKUP(B206,cubo!$A$6:$BE$37,30,0)-VLOOKUP(B206,#REF!,$AC$2,0),0)</f>
        <v>0</v>
      </c>
      <c r="AD206" s="9">
        <f>IFERROR(VLOOKUP(B206,cubo!$A$6:$BE$37,31,0)-VLOOKUP(B206,#REF!,$AD$2,0),0)</f>
        <v>0</v>
      </c>
      <c r="AE206" s="9">
        <f>IFERROR(VLOOKUP(B206,cubo!$A$6:$BE$37,35,0)-VLOOKUP(B206,#REF!,$AE$2,0),0)</f>
        <v>0</v>
      </c>
      <c r="AF206" s="9" cm="1">
        <f t="array" aca="1" ref="AF206" ca="1">IFERROR(rrPROCV(B206,cubo!$A$6:$BE$37,48,0)-VLOOKUP(B206,#REF!,$AF$2,0),0)</f>
        <v>0</v>
      </c>
      <c r="AG206" s="9">
        <f>IFERROR(VLOOKUP(B206,cubo!$A$6:$BE$37,49,0)-VLOOKUP(B206,#REF!,$AG$2,0),0)</f>
        <v>0</v>
      </c>
      <c r="AH206" s="9">
        <f>IFERROR(VLOOKUP(B206,cubo!$A$6:$BE$37,50,0)-VLOOKUP(B206,#REF!,$AH$2,0),0)</f>
        <v>0</v>
      </c>
      <c r="AI206" s="9">
        <f>IFERROR(VLOOKUP(B206,cubo!$A$6:$BE$37,51,0)-VLOOKUP(B206,#REF!,$AI$2,0),0)</f>
        <v>0</v>
      </c>
      <c r="AJ206" s="9">
        <f>IFERROR(VLOOKUP(B206,cubo!$A$6:$BI$116,62,0)-VLOOKUP(B206,#REF!,$AJ$2,0),0)</f>
        <v>0</v>
      </c>
      <c r="AK206" s="9">
        <f>IFERROR(VLOOKUP(B206,cubo!$A$6:$BJ$37,63,0)-VLOOKUP(B206,#REF!,$AK$2,0),0)</f>
        <v>0</v>
      </c>
      <c r="AL206" s="9">
        <f>IFERROR(VLOOKUP(B206,cubo!$A$6:$BE$37,58,0)-VLOOKUP(B206,#REF!,$AL$2,0),0)</f>
        <v>0</v>
      </c>
      <c r="AM206" s="9">
        <f>IFERROR(VLOOKUP(B206,cubo!$A$6:$BK$37,64,0)-VLOOKUP(B206,#REF!,$AM$2,0),0)</f>
        <v>0</v>
      </c>
      <c r="AN206" s="9">
        <f>IFERROR(VLOOKUP(B206,cubo!$A$6:$AN$37,41,0)-VLOOKUP(B206,#REF!,$AN$2,0),0)</f>
        <v>0</v>
      </c>
    </row>
    <row r="207" spans="2:40" x14ac:dyDescent="0.25">
      <c r="B207" s="7">
        <f>[1]salario!A206</f>
        <v>0</v>
      </c>
      <c r="C207" s="14">
        <f>[1]salario!C206</f>
        <v>0</v>
      </c>
      <c r="D207" s="9">
        <f>IFERROR(VLOOKUP(B207,cubo!$A$6:$BE$37,3,0)-VLOOKUP(B207,#REF!,$D$2,0),0)</f>
        <v>0</v>
      </c>
      <c r="E207" s="10">
        <f>IFERROR(VLOOKUP(B207,cubo!$A$6:$BE$37,5,0)-VLOOKUP(B207,#REF!,$E$2,0),0)</f>
        <v>0</v>
      </c>
      <c r="F207" s="10">
        <f>IFERROR(VLOOKUP(B207,cubo!$A$6:$BE$37,8,0)-VLOOKUP(B207,#REF!,$F$2,0),0)</f>
        <v>0</v>
      </c>
      <c r="G207" s="9">
        <f>IFERROR(VLOOKUP(B207,cubo!$A$6:$BE$37,11,0)-VLOOKUP(B207,#REF!,$G$2,0),0)</f>
        <v>0</v>
      </c>
      <c r="H207" s="9">
        <f>IFERROR(VLOOKUP(B207,cubo!$A$6:$BE$37,53,0)-VLOOKUP(B207,#REF!,$H$2,0),0)</f>
        <v>0</v>
      </c>
      <c r="I207" s="10">
        <f>IFERROR(VLOOKUP(B207,cubo!$A$6:$BE$37,14,0)-VLOOKUP(B207,#REF!,$I$2,0),0)</f>
        <v>0</v>
      </c>
      <c r="J207" s="9">
        <f>IFERROR(VLOOKUP(B207,cubo!$A$6:$BE$37,16,0)-VLOOKUP(B207,#REF!,$J$2,0),0)</f>
        <v>0</v>
      </c>
      <c r="K207" s="9">
        <f>IFERROR(VLOOKUP(B207,cubo!$A$6:$BE$37,17,0)-VLOOKUP(B207,#REF!,$K$2,0),0)</f>
        <v>0</v>
      </c>
      <c r="L207" s="9">
        <f>IFERROR(VLOOKUP(B207,cubo!$A$6:$BE$37,19,0)-VLOOKUP(B207,#REF!,$L$2,0),0)</f>
        <v>0</v>
      </c>
      <c r="M207" s="9">
        <f>IFERROR(VLOOKUP(B207,cubo!$A$6:$BE$37,23,0)-VLOOKUP(B207,#REF!,$M$2,0),0)</f>
        <v>0</v>
      </c>
      <c r="N207" s="9">
        <f>IFERROR(VLOOKUP(B207,cubo!$A$6:$BE$37,25,0)-VLOOKUP(B207,#REF!,$N$2,0),0)</f>
        <v>0</v>
      </c>
      <c r="O207" s="9">
        <f>IFERROR(VLOOKUP(B207,cubo!$A$6:$BE$37,33,0)-VLOOKUP(B207,#REF!,$O$2,0),0)</f>
        <v>0</v>
      </c>
      <c r="P207" s="8">
        <f>IFERROR(VLOOKUP(B207,cubo!$A$6:$BE$37,37,0)-VLOOKUP(B207,#REF!,$P$2,0),0)</f>
        <v>0</v>
      </c>
      <c r="Q207" s="8">
        <f>IFERROR(VLOOKUP(B207,cubo!$A$6:$BE$37,56,0)-VLOOKUP(B207,#REF!,$Q$2,0),0)</f>
        <v>0</v>
      </c>
      <c r="R207" s="9">
        <f>IFERROR(VLOOKUP(B207,cubo!$A$6:$BE$37,40,0)-VLOOKUP(B207,#REF!,$R$2,0),0)</f>
        <v>0</v>
      </c>
      <c r="S207" s="9">
        <f>IFERROR(VLOOKUP(B207,cubo!$A$6:$BE$37,43,0)-VLOOKUP(B207,#REF!,$S$2,0),0)</f>
        <v>0</v>
      </c>
      <c r="T207" s="9">
        <f>IFERROR(VLOOKUP(B207,cubo!$A$6:$BE$37,46,0)-VLOOKUP(B207,#REF!,$T$2,0),0)</f>
        <v>0</v>
      </c>
      <c r="U207" s="9">
        <f>IFERROR(VLOOKUP(B207,cubo!$A$6:$BE$37,51,0)-VLOOKUP(B207,#REF!,$U$2,0),0)</f>
        <v>0</v>
      </c>
      <c r="V207" s="9">
        <f>IFERROR(VLOOKUP(B207,cubo!$A$6:$BJ$37,60,0)-VLOOKUP(B207,#REF!,$V$2,0),0)</f>
        <v>0</v>
      </c>
      <c r="W207" s="9">
        <f>IFERROR(VLOOKUP(B207,cubo!$A$6:$BE$37,26,0)-VLOOKUP(B207,#REF!,$W$2,0),0)</f>
        <v>0</v>
      </c>
      <c r="X207" s="9">
        <f>IFERROR(VLOOKUP(B207,cubo!$A$6:$BE$37,20,0)-VLOOKUP(B207,#REF!,$X$2,0),0)</f>
        <v>0</v>
      </c>
      <c r="Y207" s="9">
        <f>IFERROR(VLOOKUP(B207,cubo!$A$6:$BE$37,21,0)-VLOOKUP(B207,#REF!,$Y$2,0),0)</f>
        <v>0</v>
      </c>
      <c r="Z207" s="9">
        <f>IFERROR(VLOOKUP(B207,cubo!$A$6:$BE$37,27,0)-VLOOKUP(B207,#REF!,$Z$2,0),0)</f>
        <v>0</v>
      </c>
      <c r="AA207" s="9">
        <f>IFERROR(VLOOKUP(B207,cubo!$A$6:$BE$37,28,0)-VLOOKUP(B207,#REF!,$AA$2,0),0)</f>
        <v>0</v>
      </c>
      <c r="AB207" s="9">
        <f>IFERROR(VLOOKUP(B207,cubo!$A$6:$BE$37,29,0)-VLOOKUP(B207,#REF!,$AB$2,0),0)</f>
        <v>0</v>
      </c>
      <c r="AC207" s="9">
        <f>IFERROR(VLOOKUP(B207,cubo!$A$6:$BE$37,30,0)-VLOOKUP(B207,#REF!,$AC$2,0),0)</f>
        <v>0</v>
      </c>
      <c r="AD207" s="9">
        <f>IFERROR(VLOOKUP(B207,cubo!$A$6:$BE$37,31,0)-VLOOKUP(B207,#REF!,$AD$2,0),0)</f>
        <v>0</v>
      </c>
      <c r="AE207" s="9">
        <f>IFERROR(VLOOKUP(B207,cubo!$A$6:$BE$37,35,0)-VLOOKUP(B207,#REF!,$AE$2,0),0)</f>
        <v>0</v>
      </c>
      <c r="AF207" s="9" cm="1">
        <f t="array" aca="1" ref="AF207" ca="1">IFERROR(rrPROCV(B207,cubo!$A$6:$BE$37,48,0)-VLOOKUP(B207,#REF!,$AF$2,0),0)</f>
        <v>0</v>
      </c>
      <c r="AG207" s="9">
        <f>IFERROR(VLOOKUP(B207,cubo!$A$6:$BE$37,49,0)-VLOOKUP(B207,#REF!,$AG$2,0),0)</f>
        <v>0</v>
      </c>
      <c r="AH207" s="9">
        <f>IFERROR(VLOOKUP(B207,cubo!$A$6:$BE$37,50,0)-VLOOKUP(B207,#REF!,$AH$2,0),0)</f>
        <v>0</v>
      </c>
      <c r="AI207" s="9">
        <f>IFERROR(VLOOKUP(B207,cubo!$A$6:$BE$37,51,0)-VLOOKUP(B207,#REF!,$AI$2,0),0)</f>
        <v>0</v>
      </c>
      <c r="AJ207" s="9">
        <f>IFERROR(VLOOKUP(B207,cubo!$A$6:$BI$116,62,0)-VLOOKUP(B207,#REF!,$AJ$2,0),0)</f>
        <v>0</v>
      </c>
      <c r="AK207" s="9">
        <f>IFERROR(VLOOKUP(B207,cubo!$A$6:$BJ$37,63,0)-VLOOKUP(B207,#REF!,$AK$2,0),0)</f>
        <v>0</v>
      </c>
      <c r="AL207" s="9">
        <f>IFERROR(VLOOKUP(B207,cubo!$A$6:$BE$37,58,0)-VLOOKUP(B207,#REF!,$AL$2,0),0)</f>
        <v>0</v>
      </c>
      <c r="AM207" s="9">
        <f>IFERROR(VLOOKUP(B207,cubo!$A$6:$BK$37,64,0)-VLOOKUP(B207,#REF!,$AM$2,0),0)</f>
        <v>0</v>
      </c>
      <c r="AN207" s="9">
        <f>IFERROR(VLOOKUP(B207,cubo!$A$6:$AN$37,41,0)-VLOOKUP(B207,#REF!,$AN$2,0),0)</f>
        <v>0</v>
      </c>
    </row>
    <row r="208" spans="2:40" x14ac:dyDescent="0.25">
      <c r="B208" s="7">
        <f>[1]salario!A207</f>
        <v>0</v>
      </c>
      <c r="C208" s="14">
        <f>[1]salario!C207</f>
        <v>0</v>
      </c>
      <c r="D208" s="9">
        <f>IFERROR(VLOOKUP(B208,cubo!$A$6:$BE$37,3,0)-VLOOKUP(B208,#REF!,$D$2,0),0)</f>
        <v>0</v>
      </c>
      <c r="E208" s="10">
        <f>IFERROR(VLOOKUP(B208,cubo!$A$6:$BE$37,5,0)-VLOOKUP(B208,#REF!,$E$2,0),0)</f>
        <v>0</v>
      </c>
      <c r="F208" s="10">
        <f>IFERROR(VLOOKUP(B208,cubo!$A$6:$BE$37,8,0)-VLOOKUP(B208,#REF!,$F$2,0),0)</f>
        <v>0</v>
      </c>
      <c r="G208" s="9">
        <f>IFERROR(VLOOKUP(B208,cubo!$A$6:$BE$37,11,0)-VLOOKUP(B208,#REF!,$G$2,0),0)</f>
        <v>0</v>
      </c>
      <c r="H208" s="9">
        <f>IFERROR(VLOOKUP(B208,cubo!$A$6:$BE$37,53,0)-VLOOKUP(B208,#REF!,$H$2,0),0)</f>
        <v>0</v>
      </c>
      <c r="I208" s="10">
        <f>IFERROR(VLOOKUP(B208,cubo!$A$6:$BE$37,14,0)-VLOOKUP(B208,#REF!,$I$2,0),0)</f>
        <v>0</v>
      </c>
      <c r="J208" s="9">
        <f>IFERROR(VLOOKUP(B208,cubo!$A$6:$BE$37,16,0)-VLOOKUP(B208,#REF!,$J$2,0),0)</f>
        <v>0</v>
      </c>
      <c r="K208" s="9">
        <f>IFERROR(VLOOKUP(B208,cubo!$A$6:$BE$37,17,0)-VLOOKUP(B208,#REF!,$K$2,0),0)</f>
        <v>0</v>
      </c>
      <c r="L208" s="9">
        <f>IFERROR(VLOOKUP(B208,cubo!$A$6:$BE$37,19,0)-VLOOKUP(B208,#REF!,$L$2,0),0)</f>
        <v>0</v>
      </c>
      <c r="M208" s="9">
        <f>IFERROR(VLOOKUP(B208,cubo!$A$6:$BE$37,23,0)-VLOOKUP(B208,#REF!,$M$2,0),0)</f>
        <v>0</v>
      </c>
      <c r="N208" s="9">
        <f>IFERROR(VLOOKUP(B208,cubo!$A$6:$BE$37,25,0)-VLOOKUP(B208,#REF!,$N$2,0),0)</f>
        <v>0</v>
      </c>
      <c r="O208" s="9">
        <f>IFERROR(VLOOKUP(B208,cubo!$A$6:$BE$37,33,0)-VLOOKUP(B208,#REF!,$O$2,0),0)</f>
        <v>0</v>
      </c>
      <c r="P208" s="8">
        <f>IFERROR(VLOOKUP(B208,cubo!$A$6:$BE$37,37,0)-VLOOKUP(B208,#REF!,$P$2,0),0)</f>
        <v>0</v>
      </c>
      <c r="Q208" s="8">
        <f>IFERROR(VLOOKUP(B208,cubo!$A$6:$BE$37,56,0)-VLOOKUP(B208,#REF!,$Q$2,0),0)</f>
        <v>0</v>
      </c>
      <c r="R208" s="9">
        <f>IFERROR(VLOOKUP(B208,cubo!$A$6:$BE$37,40,0)-VLOOKUP(B208,#REF!,$R$2,0),0)</f>
        <v>0</v>
      </c>
      <c r="S208" s="9">
        <f>IFERROR(VLOOKUP(B208,cubo!$A$6:$BE$37,43,0)-VLOOKUP(B208,#REF!,$S$2,0),0)</f>
        <v>0</v>
      </c>
      <c r="T208" s="9">
        <f>IFERROR(VLOOKUP(B208,cubo!$A$6:$BE$37,46,0)-VLOOKUP(B208,#REF!,$T$2,0),0)</f>
        <v>0</v>
      </c>
      <c r="U208" s="9">
        <f>IFERROR(VLOOKUP(B208,cubo!$A$6:$BE$37,51,0)-VLOOKUP(B208,#REF!,$U$2,0),0)</f>
        <v>0</v>
      </c>
      <c r="V208" s="9">
        <f>IFERROR(VLOOKUP(B208,cubo!$A$6:$BJ$37,60,0)-VLOOKUP(B208,#REF!,$V$2,0),0)</f>
        <v>0</v>
      </c>
      <c r="W208" s="9">
        <f>IFERROR(VLOOKUP(B208,cubo!$A$6:$BE$37,26,0)-VLOOKUP(B208,#REF!,$W$2,0),0)</f>
        <v>0</v>
      </c>
      <c r="X208" s="9">
        <f>IFERROR(VLOOKUP(B208,cubo!$A$6:$BE$37,20,0)-VLOOKUP(B208,#REF!,$X$2,0),0)</f>
        <v>0</v>
      </c>
      <c r="Y208" s="9">
        <f>IFERROR(VLOOKUP(B208,cubo!$A$6:$BE$37,21,0)-VLOOKUP(B208,#REF!,$Y$2,0),0)</f>
        <v>0</v>
      </c>
      <c r="Z208" s="9">
        <f>IFERROR(VLOOKUP(B208,cubo!$A$6:$BE$37,27,0)-VLOOKUP(B208,#REF!,$Z$2,0),0)</f>
        <v>0</v>
      </c>
      <c r="AA208" s="9">
        <f>IFERROR(VLOOKUP(B208,cubo!$A$6:$BE$37,28,0)-VLOOKUP(B208,#REF!,$AA$2,0),0)</f>
        <v>0</v>
      </c>
      <c r="AB208" s="9">
        <f>IFERROR(VLOOKUP(B208,cubo!$A$6:$BE$37,29,0)-VLOOKUP(B208,#REF!,$AB$2,0),0)</f>
        <v>0</v>
      </c>
      <c r="AC208" s="9">
        <f>IFERROR(VLOOKUP(B208,cubo!$A$6:$BE$37,30,0)-VLOOKUP(B208,#REF!,$AC$2,0),0)</f>
        <v>0</v>
      </c>
      <c r="AD208" s="9">
        <f>IFERROR(VLOOKUP(B208,cubo!$A$6:$BE$37,31,0)-VLOOKUP(B208,#REF!,$AD$2,0),0)</f>
        <v>0</v>
      </c>
      <c r="AE208" s="9">
        <f>IFERROR(VLOOKUP(B208,cubo!$A$6:$BE$37,35,0)-VLOOKUP(B208,#REF!,$AE$2,0),0)</f>
        <v>0</v>
      </c>
      <c r="AF208" s="9" cm="1">
        <f t="array" aca="1" ref="AF208" ca="1">IFERROR(rrPROCV(B208,cubo!$A$6:$BE$37,48,0)-VLOOKUP(B208,#REF!,$AF$2,0),0)</f>
        <v>0</v>
      </c>
      <c r="AG208" s="9">
        <f>IFERROR(VLOOKUP(B208,cubo!$A$6:$BE$37,49,0)-VLOOKUP(B208,#REF!,$AG$2,0),0)</f>
        <v>0</v>
      </c>
      <c r="AH208" s="9">
        <f>IFERROR(VLOOKUP(B208,cubo!$A$6:$BE$37,50,0)-VLOOKUP(B208,#REF!,$AH$2,0),0)</f>
        <v>0</v>
      </c>
      <c r="AI208" s="9">
        <f>IFERROR(VLOOKUP(B208,cubo!$A$6:$BE$37,51,0)-VLOOKUP(B208,#REF!,$AI$2,0),0)</f>
        <v>0</v>
      </c>
      <c r="AJ208" s="9">
        <f>IFERROR(VLOOKUP(B208,cubo!$A$6:$BI$116,62,0)-VLOOKUP(B208,#REF!,$AJ$2,0),0)</f>
        <v>0</v>
      </c>
      <c r="AK208" s="9">
        <f>IFERROR(VLOOKUP(B208,cubo!$A$6:$BJ$37,63,0)-VLOOKUP(B208,#REF!,$AK$2,0),0)</f>
        <v>0</v>
      </c>
      <c r="AL208" s="9">
        <f>IFERROR(VLOOKUP(B208,cubo!$A$6:$BE$37,58,0)-VLOOKUP(B208,#REF!,$AL$2,0),0)</f>
        <v>0</v>
      </c>
      <c r="AM208" s="9">
        <f>IFERROR(VLOOKUP(B208,cubo!$A$6:$BK$37,64,0)-VLOOKUP(B208,#REF!,$AM$2,0),0)</f>
        <v>0</v>
      </c>
      <c r="AN208" s="9">
        <f>IFERROR(VLOOKUP(B208,cubo!$A$6:$AN$37,41,0)-VLOOKUP(B208,#REF!,$AN$2,0),0)</f>
        <v>0</v>
      </c>
    </row>
    <row r="209" spans="2:40" x14ac:dyDescent="0.25">
      <c r="B209" s="7">
        <f>[1]salario!A208</f>
        <v>0</v>
      </c>
      <c r="C209" s="14">
        <f>[1]salario!C208</f>
        <v>0</v>
      </c>
      <c r="D209" s="9">
        <f>IFERROR(VLOOKUP(B209,cubo!$A$6:$BE$37,3,0)-VLOOKUP(B209,#REF!,$D$2,0),0)</f>
        <v>0</v>
      </c>
      <c r="E209" s="10">
        <f>IFERROR(VLOOKUP(B209,cubo!$A$6:$BE$37,5,0)-VLOOKUP(B209,#REF!,$E$2,0),0)</f>
        <v>0</v>
      </c>
      <c r="F209" s="10">
        <f>IFERROR(VLOOKUP(B209,cubo!$A$6:$BE$37,8,0)-VLOOKUP(B209,#REF!,$F$2,0),0)</f>
        <v>0</v>
      </c>
      <c r="G209" s="9">
        <f>IFERROR(VLOOKUP(B209,cubo!$A$6:$BE$37,11,0)-VLOOKUP(B209,#REF!,$G$2,0),0)</f>
        <v>0</v>
      </c>
      <c r="H209" s="9">
        <f>IFERROR(VLOOKUP(B209,cubo!$A$6:$BE$37,53,0)-VLOOKUP(B209,#REF!,$H$2,0),0)</f>
        <v>0</v>
      </c>
      <c r="I209" s="10">
        <f>IFERROR(VLOOKUP(B209,cubo!$A$6:$BE$37,14,0)-VLOOKUP(B209,#REF!,$I$2,0),0)</f>
        <v>0</v>
      </c>
      <c r="J209" s="9">
        <f>IFERROR(VLOOKUP(B209,cubo!$A$6:$BE$37,16,0)-VLOOKUP(B209,#REF!,$J$2,0),0)</f>
        <v>0</v>
      </c>
      <c r="K209" s="9">
        <f>IFERROR(VLOOKUP(B209,cubo!$A$6:$BE$37,17,0)-VLOOKUP(B209,#REF!,$K$2,0),0)</f>
        <v>0</v>
      </c>
      <c r="L209" s="9">
        <f>IFERROR(VLOOKUP(B209,cubo!$A$6:$BE$37,19,0)-VLOOKUP(B209,#REF!,$L$2,0),0)</f>
        <v>0</v>
      </c>
      <c r="M209" s="9">
        <f>IFERROR(VLOOKUP(B209,cubo!$A$6:$BE$37,23,0)-VLOOKUP(B209,#REF!,$M$2,0),0)</f>
        <v>0</v>
      </c>
      <c r="N209" s="9">
        <f>IFERROR(VLOOKUP(B209,cubo!$A$6:$BE$37,25,0)-VLOOKUP(B209,#REF!,$N$2,0),0)</f>
        <v>0</v>
      </c>
      <c r="O209" s="9">
        <f>IFERROR(VLOOKUP(B209,cubo!$A$6:$BE$37,33,0)-VLOOKUP(B209,#REF!,$O$2,0),0)</f>
        <v>0</v>
      </c>
      <c r="P209" s="8">
        <f>IFERROR(VLOOKUP(B209,cubo!$A$6:$BE$37,37,0)-VLOOKUP(B209,#REF!,$P$2,0),0)</f>
        <v>0</v>
      </c>
      <c r="Q209" s="8">
        <f>IFERROR(VLOOKUP(B209,cubo!$A$6:$BE$37,56,0)-VLOOKUP(B209,#REF!,$Q$2,0),0)</f>
        <v>0</v>
      </c>
      <c r="R209" s="9">
        <f>IFERROR(VLOOKUP(B209,cubo!$A$6:$BE$37,40,0)-VLOOKUP(B209,#REF!,$R$2,0),0)</f>
        <v>0</v>
      </c>
      <c r="S209" s="9">
        <f>IFERROR(VLOOKUP(B209,cubo!$A$6:$BE$37,43,0)-VLOOKUP(B209,#REF!,$S$2,0),0)</f>
        <v>0</v>
      </c>
      <c r="T209" s="9">
        <f>IFERROR(VLOOKUP(B209,cubo!$A$6:$BE$37,46,0)-VLOOKUP(B209,#REF!,$T$2,0),0)</f>
        <v>0</v>
      </c>
      <c r="U209" s="9">
        <f>IFERROR(VLOOKUP(B209,cubo!$A$6:$BE$37,51,0)-VLOOKUP(B209,#REF!,$U$2,0),0)</f>
        <v>0</v>
      </c>
      <c r="V209" s="9">
        <f>IFERROR(VLOOKUP(B209,cubo!$A$6:$BJ$37,60,0)-VLOOKUP(B209,#REF!,$V$2,0),0)</f>
        <v>0</v>
      </c>
      <c r="W209" s="9">
        <f>IFERROR(VLOOKUP(B209,cubo!$A$6:$BE$37,26,0)-VLOOKUP(B209,#REF!,$W$2,0),0)</f>
        <v>0</v>
      </c>
      <c r="X209" s="9">
        <f>IFERROR(VLOOKUP(B209,cubo!$A$6:$BE$37,20,0)-VLOOKUP(B209,#REF!,$X$2,0),0)</f>
        <v>0</v>
      </c>
      <c r="Y209" s="9">
        <f>IFERROR(VLOOKUP(B209,cubo!$A$6:$BE$37,21,0)-VLOOKUP(B209,#REF!,$Y$2,0),0)</f>
        <v>0</v>
      </c>
      <c r="Z209" s="9">
        <f>IFERROR(VLOOKUP(B209,cubo!$A$6:$BE$37,27,0)-VLOOKUP(B209,#REF!,$Z$2,0),0)</f>
        <v>0</v>
      </c>
      <c r="AA209" s="9">
        <f>IFERROR(VLOOKUP(B209,cubo!$A$6:$BE$37,28,0)-VLOOKUP(B209,#REF!,$AA$2,0),0)</f>
        <v>0</v>
      </c>
      <c r="AB209" s="9">
        <f>IFERROR(VLOOKUP(B209,cubo!$A$6:$BE$37,29,0)-VLOOKUP(B209,#REF!,$AB$2,0),0)</f>
        <v>0</v>
      </c>
      <c r="AC209" s="9">
        <f>IFERROR(VLOOKUP(B209,cubo!$A$6:$BE$37,30,0)-VLOOKUP(B209,#REF!,$AC$2,0),0)</f>
        <v>0</v>
      </c>
      <c r="AD209" s="9">
        <f>IFERROR(VLOOKUP(B209,cubo!$A$6:$BE$37,31,0)-VLOOKUP(B209,#REF!,$AD$2,0),0)</f>
        <v>0</v>
      </c>
      <c r="AE209" s="9">
        <f>IFERROR(VLOOKUP(B209,cubo!$A$6:$BE$37,35,0)-VLOOKUP(B209,#REF!,$AE$2,0),0)</f>
        <v>0</v>
      </c>
      <c r="AF209" s="9" cm="1">
        <f t="array" aca="1" ref="AF209" ca="1">IFERROR(rrPROCV(B209,cubo!$A$6:$BE$37,48,0)-VLOOKUP(B209,#REF!,$AF$2,0),0)</f>
        <v>0</v>
      </c>
      <c r="AG209" s="9">
        <f>IFERROR(VLOOKUP(B209,cubo!$A$6:$BE$37,49,0)-VLOOKUP(B209,#REF!,$AG$2,0),0)</f>
        <v>0</v>
      </c>
      <c r="AH209" s="9">
        <f>IFERROR(VLOOKUP(B209,cubo!$A$6:$BE$37,50,0)-VLOOKUP(B209,#REF!,$AH$2,0),0)</f>
        <v>0</v>
      </c>
      <c r="AI209" s="9">
        <f>IFERROR(VLOOKUP(B209,cubo!$A$6:$BE$37,51,0)-VLOOKUP(B209,#REF!,$AI$2,0),0)</f>
        <v>0</v>
      </c>
      <c r="AJ209" s="9">
        <f>IFERROR(VLOOKUP(B209,cubo!$A$6:$BI$116,62,0)-VLOOKUP(B209,#REF!,$AJ$2,0),0)</f>
        <v>0</v>
      </c>
      <c r="AK209" s="9">
        <f>IFERROR(VLOOKUP(B209,cubo!$A$6:$BJ$37,63,0)-VLOOKUP(B209,#REF!,$AK$2,0),0)</f>
        <v>0</v>
      </c>
      <c r="AL209" s="9">
        <f>IFERROR(VLOOKUP(B209,cubo!$A$6:$BE$37,58,0)-VLOOKUP(B209,#REF!,$AL$2,0),0)</f>
        <v>0</v>
      </c>
      <c r="AM209" s="9">
        <f>IFERROR(VLOOKUP(B209,cubo!$A$6:$BK$37,64,0)-VLOOKUP(B209,#REF!,$AM$2,0),0)</f>
        <v>0</v>
      </c>
      <c r="AN209" s="9">
        <f>IFERROR(VLOOKUP(B209,cubo!$A$6:$AN$37,41,0)-VLOOKUP(B209,#REF!,$AN$2,0),0)</f>
        <v>0</v>
      </c>
    </row>
    <row r="210" spans="2:40" x14ac:dyDescent="0.25">
      <c r="B210" s="7">
        <f>[1]salario!A209</f>
        <v>0</v>
      </c>
      <c r="C210" s="14">
        <f>[1]salario!C209</f>
        <v>0</v>
      </c>
      <c r="D210" s="9">
        <f>IFERROR(VLOOKUP(B210,cubo!$A$6:$BE$37,3,0)-VLOOKUP(B210,#REF!,$D$2,0),0)</f>
        <v>0</v>
      </c>
      <c r="E210" s="10">
        <f>IFERROR(VLOOKUP(B210,cubo!$A$6:$BE$37,5,0)-VLOOKUP(B210,#REF!,$E$2,0),0)</f>
        <v>0</v>
      </c>
      <c r="F210" s="10">
        <f>IFERROR(VLOOKUP(B210,cubo!$A$6:$BE$37,8,0)-VLOOKUP(B210,#REF!,$F$2,0),0)</f>
        <v>0</v>
      </c>
      <c r="G210" s="9">
        <f>IFERROR(VLOOKUP(B210,cubo!$A$6:$BE$37,11,0)-VLOOKUP(B210,#REF!,$G$2,0),0)</f>
        <v>0</v>
      </c>
      <c r="H210" s="9">
        <f>IFERROR(VLOOKUP(B210,cubo!$A$6:$BE$37,53,0)-VLOOKUP(B210,#REF!,$H$2,0),0)</f>
        <v>0</v>
      </c>
      <c r="I210" s="10">
        <f>IFERROR(VLOOKUP(B210,cubo!$A$6:$BE$37,14,0)-VLOOKUP(B210,#REF!,$I$2,0),0)</f>
        <v>0</v>
      </c>
      <c r="J210" s="9">
        <f>IFERROR(VLOOKUP(B210,cubo!$A$6:$BE$37,16,0)-VLOOKUP(B210,#REF!,$J$2,0),0)</f>
        <v>0</v>
      </c>
      <c r="K210" s="9">
        <f>IFERROR(VLOOKUP(B210,cubo!$A$6:$BE$37,17,0)-VLOOKUP(B210,#REF!,$K$2,0),0)</f>
        <v>0</v>
      </c>
      <c r="L210" s="9">
        <f>IFERROR(VLOOKUP(B210,cubo!$A$6:$BE$37,19,0)-VLOOKUP(B210,#REF!,$L$2,0),0)</f>
        <v>0</v>
      </c>
      <c r="M210" s="9">
        <f>IFERROR(VLOOKUP(B210,cubo!$A$6:$BE$37,23,0)-VLOOKUP(B210,#REF!,$M$2,0),0)</f>
        <v>0</v>
      </c>
      <c r="N210" s="9">
        <f>IFERROR(VLOOKUP(B210,cubo!$A$6:$BE$37,25,0)-VLOOKUP(B210,#REF!,$N$2,0),0)</f>
        <v>0</v>
      </c>
      <c r="O210" s="9">
        <f>IFERROR(VLOOKUP(B210,cubo!$A$6:$BE$37,33,0)-VLOOKUP(B210,#REF!,$O$2,0),0)</f>
        <v>0</v>
      </c>
      <c r="P210" s="8">
        <f>IFERROR(VLOOKUP(B210,cubo!$A$6:$BE$37,37,0)-VLOOKUP(B210,#REF!,$P$2,0),0)</f>
        <v>0</v>
      </c>
      <c r="Q210" s="8">
        <f>IFERROR(VLOOKUP(B210,cubo!$A$6:$BE$37,56,0)-VLOOKUP(B210,#REF!,$Q$2,0),0)</f>
        <v>0</v>
      </c>
      <c r="R210" s="9">
        <f>IFERROR(VLOOKUP(B210,cubo!$A$6:$BE$37,40,0)-VLOOKUP(B210,#REF!,$R$2,0),0)</f>
        <v>0</v>
      </c>
      <c r="S210" s="9">
        <f>IFERROR(VLOOKUP(B210,cubo!$A$6:$BE$37,43,0)-VLOOKUP(B210,#REF!,$S$2,0),0)</f>
        <v>0</v>
      </c>
      <c r="T210" s="9">
        <f>IFERROR(VLOOKUP(B210,cubo!$A$6:$BE$37,46,0)-VLOOKUP(B210,#REF!,$T$2,0),0)</f>
        <v>0</v>
      </c>
      <c r="U210" s="9">
        <f>IFERROR(VLOOKUP(B210,cubo!$A$6:$BE$37,51,0)-VLOOKUP(B210,#REF!,$U$2,0),0)</f>
        <v>0</v>
      </c>
      <c r="V210" s="9">
        <f>IFERROR(VLOOKUP(B210,cubo!$A$6:$BJ$37,60,0)-VLOOKUP(B210,#REF!,$V$2,0),0)</f>
        <v>0</v>
      </c>
      <c r="W210" s="9">
        <f>IFERROR(VLOOKUP(B210,cubo!$A$6:$BE$37,26,0)-VLOOKUP(B210,#REF!,$W$2,0),0)</f>
        <v>0</v>
      </c>
      <c r="X210" s="9">
        <f>IFERROR(VLOOKUP(B210,cubo!$A$6:$BE$37,20,0)-VLOOKUP(B210,#REF!,$X$2,0),0)</f>
        <v>0</v>
      </c>
      <c r="Y210" s="9">
        <f>IFERROR(VLOOKUP(B210,cubo!$A$6:$BE$37,21,0)-VLOOKUP(B210,#REF!,$Y$2,0),0)</f>
        <v>0</v>
      </c>
      <c r="Z210" s="9">
        <f>IFERROR(VLOOKUP(B210,cubo!$A$6:$BE$37,27,0)-VLOOKUP(B210,#REF!,$Z$2,0),0)</f>
        <v>0</v>
      </c>
      <c r="AA210" s="9">
        <f>IFERROR(VLOOKUP(B210,cubo!$A$6:$BE$37,28,0)-VLOOKUP(B210,#REF!,$AA$2,0),0)</f>
        <v>0</v>
      </c>
      <c r="AB210" s="9">
        <f>IFERROR(VLOOKUP(B210,cubo!$A$6:$BE$37,29,0)-VLOOKUP(B210,#REF!,$AB$2,0),0)</f>
        <v>0</v>
      </c>
      <c r="AC210" s="9">
        <f>IFERROR(VLOOKUP(B210,cubo!$A$6:$BE$37,30,0)-VLOOKUP(B210,#REF!,$AC$2,0),0)</f>
        <v>0</v>
      </c>
      <c r="AD210" s="9">
        <f>IFERROR(VLOOKUP(B210,cubo!$A$6:$BE$37,31,0)-VLOOKUP(B210,#REF!,$AD$2,0),0)</f>
        <v>0</v>
      </c>
      <c r="AE210" s="9">
        <f>IFERROR(VLOOKUP(B210,cubo!$A$6:$BE$37,35,0)-VLOOKUP(B210,#REF!,$AE$2,0),0)</f>
        <v>0</v>
      </c>
      <c r="AF210" s="9" cm="1">
        <f t="array" aca="1" ref="AF210" ca="1">IFERROR(rrPROCV(B210,cubo!$A$6:$BE$37,48,0)-VLOOKUP(B210,#REF!,$AF$2,0),0)</f>
        <v>0</v>
      </c>
      <c r="AG210" s="9">
        <f>IFERROR(VLOOKUP(B210,cubo!$A$6:$BE$37,49,0)-VLOOKUP(B210,#REF!,$AG$2,0),0)</f>
        <v>0</v>
      </c>
      <c r="AH210" s="9">
        <f>IFERROR(VLOOKUP(B210,cubo!$A$6:$BE$37,50,0)-VLOOKUP(B210,#REF!,$AH$2,0),0)</f>
        <v>0</v>
      </c>
      <c r="AI210" s="9">
        <f>IFERROR(VLOOKUP(B210,cubo!$A$6:$BE$37,51,0)-VLOOKUP(B210,#REF!,$AI$2,0),0)</f>
        <v>0</v>
      </c>
      <c r="AJ210" s="9">
        <f>IFERROR(VLOOKUP(B210,cubo!$A$6:$BI$116,62,0)-VLOOKUP(B210,#REF!,$AJ$2,0),0)</f>
        <v>0</v>
      </c>
      <c r="AK210" s="9">
        <f>IFERROR(VLOOKUP(B210,cubo!$A$6:$BJ$37,63,0)-VLOOKUP(B210,#REF!,$AK$2,0),0)</f>
        <v>0</v>
      </c>
      <c r="AL210" s="9">
        <f>IFERROR(VLOOKUP(B210,cubo!$A$6:$BE$37,58,0)-VLOOKUP(B210,#REF!,$AL$2,0),0)</f>
        <v>0</v>
      </c>
      <c r="AM210" s="9">
        <f>IFERROR(VLOOKUP(B210,cubo!$A$6:$BK$37,64,0)-VLOOKUP(B210,#REF!,$AM$2,0),0)</f>
        <v>0</v>
      </c>
      <c r="AN210" s="9">
        <f>IFERROR(VLOOKUP(B210,cubo!$A$6:$AN$37,41,0)-VLOOKUP(B210,#REF!,$AN$2,0),0)</f>
        <v>0</v>
      </c>
    </row>
    <row r="211" spans="2:40" x14ac:dyDescent="0.25">
      <c r="B211" s="7">
        <f>[1]salario!A210</f>
        <v>0</v>
      </c>
      <c r="C211" s="14">
        <f>[1]salario!C210</f>
        <v>0</v>
      </c>
      <c r="D211" s="9">
        <f>IFERROR(VLOOKUP(B211,cubo!$A$6:$BE$37,3,0)-VLOOKUP(B211,#REF!,$D$2,0),0)</f>
        <v>0</v>
      </c>
      <c r="E211" s="10">
        <f>IFERROR(VLOOKUP(B211,cubo!$A$6:$BE$37,5,0)-VLOOKUP(B211,#REF!,$E$2,0),0)</f>
        <v>0</v>
      </c>
      <c r="F211" s="10">
        <f>IFERROR(VLOOKUP(B211,cubo!$A$6:$BE$37,8,0)-VLOOKUP(B211,#REF!,$F$2,0),0)</f>
        <v>0</v>
      </c>
      <c r="G211" s="9">
        <f>IFERROR(VLOOKUP(B211,cubo!$A$6:$BE$37,11,0)-VLOOKUP(B211,#REF!,$G$2,0),0)</f>
        <v>0</v>
      </c>
      <c r="H211" s="9">
        <f>IFERROR(VLOOKUP(B211,cubo!$A$6:$BE$37,53,0)-VLOOKUP(B211,#REF!,$H$2,0),0)</f>
        <v>0</v>
      </c>
      <c r="I211" s="10">
        <f>IFERROR(VLOOKUP(B211,cubo!$A$6:$BE$37,14,0)-VLOOKUP(B211,#REF!,$I$2,0),0)</f>
        <v>0</v>
      </c>
      <c r="J211" s="9">
        <f>IFERROR(VLOOKUP(B211,cubo!$A$6:$BE$37,16,0)-VLOOKUP(B211,#REF!,$J$2,0),0)</f>
        <v>0</v>
      </c>
      <c r="K211" s="9">
        <f>IFERROR(VLOOKUP(B211,cubo!$A$6:$BE$37,17,0)-VLOOKUP(B211,#REF!,$K$2,0),0)</f>
        <v>0</v>
      </c>
      <c r="L211" s="9">
        <f>IFERROR(VLOOKUP(B211,cubo!$A$6:$BE$37,19,0)-VLOOKUP(B211,#REF!,$L$2,0),0)</f>
        <v>0</v>
      </c>
      <c r="M211" s="9">
        <f>IFERROR(VLOOKUP(B211,cubo!$A$6:$BE$37,23,0)-VLOOKUP(B211,#REF!,$M$2,0),0)</f>
        <v>0</v>
      </c>
      <c r="N211" s="9">
        <f>IFERROR(VLOOKUP(B211,cubo!$A$6:$BE$37,25,0)-VLOOKUP(B211,#REF!,$N$2,0),0)</f>
        <v>0</v>
      </c>
      <c r="O211" s="9">
        <f>IFERROR(VLOOKUP(B211,cubo!$A$6:$BE$37,33,0)-VLOOKUP(B211,#REF!,$O$2,0),0)</f>
        <v>0</v>
      </c>
      <c r="P211" s="8">
        <f>IFERROR(VLOOKUP(B211,cubo!$A$6:$BE$37,37,0)-VLOOKUP(B211,#REF!,$P$2,0),0)</f>
        <v>0</v>
      </c>
      <c r="Q211" s="8">
        <f>IFERROR(VLOOKUP(B211,cubo!$A$6:$BE$37,56,0)-VLOOKUP(B211,#REF!,$Q$2,0),0)</f>
        <v>0</v>
      </c>
      <c r="R211" s="9">
        <f>IFERROR(VLOOKUP(B211,cubo!$A$6:$BE$37,40,0)-VLOOKUP(B211,#REF!,$R$2,0),0)</f>
        <v>0</v>
      </c>
      <c r="S211" s="9">
        <f>IFERROR(VLOOKUP(B211,cubo!$A$6:$BE$37,43,0)-VLOOKUP(B211,#REF!,$S$2,0),0)</f>
        <v>0</v>
      </c>
      <c r="T211" s="9">
        <f>IFERROR(VLOOKUP(B211,cubo!$A$6:$BE$37,46,0)-VLOOKUP(B211,#REF!,$T$2,0),0)</f>
        <v>0</v>
      </c>
      <c r="U211" s="9">
        <f>IFERROR(VLOOKUP(B211,cubo!$A$6:$BE$37,51,0)-VLOOKUP(B211,#REF!,$U$2,0),0)</f>
        <v>0</v>
      </c>
      <c r="V211" s="9">
        <f>IFERROR(VLOOKUP(B211,cubo!$A$6:$BJ$37,60,0)-VLOOKUP(B211,#REF!,$V$2,0),0)</f>
        <v>0</v>
      </c>
      <c r="W211" s="9">
        <f>IFERROR(VLOOKUP(B211,cubo!$A$6:$BE$37,26,0)-VLOOKUP(B211,#REF!,$W$2,0),0)</f>
        <v>0</v>
      </c>
      <c r="X211" s="9">
        <f>IFERROR(VLOOKUP(B211,cubo!$A$6:$BE$37,20,0)-VLOOKUP(B211,#REF!,$X$2,0),0)</f>
        <v>0</v>
      </c>
      <c r="Y211" s="9">
        <f>IFERROR(VLOOKUP(B211,cubo!$A$6:$BE$37,21,0)-VLOOKUP(B211,#REF!,$Y$2,0),0)</f>
        <v>0</v>
      </c>
      <c r="Z211" s="9">
        <f>IFERROR(VLOOKUP(B211,cubo!$A$6:$BE$37,27,0)-VLOOKUP(B211,#REF!,$Z$2,0),0)</f>
        <v>0</v>
      </c>
      <c r="AA211" s="9">
        <f>IFERROR(VLOOKUP(B211,cubo!$A$6:$BE$37,28,0)-VLOOKUP(B211,#REF!,$AA$2,0),0)</f>
        <v>0</v>
      </c>
      <c r="AB211" s="9">
        <f>IFERROR(VLOOKUP(B211,cubo!$A$6:$BE$37,29,0)-VLOOKUP(B211,#REF!,$AB$2,0),0)</f>
        <v>0</v>
      </c>
      <c r="AC211" s="9">
        <f>IFERROR(VLOOKUP(B211,cubo!$A$6:$BE$37,30,0)-VLOOKUP(B211,#REF!,$AC$2,0),0)</f>
        <v>0</v>
      </c>
      <c r="AD211" s="9">
        <f>IFERROR(VLOOKUP(B211,cubo!$A$6:$BE$37,31,0)-VLOOKUP(B211,#REF!,$AD$2,0),0)</f>
        <v>0</v>
      </c>
      <c r="AE211" s="9">
        <f>IFERROR(VLOOKUP(B211,cubo!$A$6:$BE$37,35,0)-VLOOKUP(B211,#REF!,$AE$2,0),0)</f>
        <v>0</v>
      </c>
      <c r="AF211" s="9" cm="1">
        <f t="array" aca="1" ref="AF211" ca="1">IFERROR(rrPROCV(B211,cubo!$A$6:$BE$37,48,0)-VLOOKUP(B211,#REF!,$AF$2,0),0)</f>
        <v>0</v>
      </c>
      <c r="AG211" s="9">
        <f>IFERROR(VLOOKUP(B211,cubo!$A$6:$BE$37,49,0)-VLOOKUP(B211,#REF!,$AG$2,0),0)</f>
        <v>0</v>
      </c>
      <c r="AH211" s="9">
        <f>IFERROR(VLOOKUP(B211,cubo!$A$6:$BE$37,50,0)-VLOOKUP(B211,#REF!,$AH$2,0),0)</f>
        <v>0</v>
      </c>
      <c r="AI211" s="9">
        <f>IFERROR(VLOOKUP(B211,cubo!$A$6:$BE$37,51,0)-VLOOKUP(B211,#REF!,$AI$2,0),0)</f>
        <v>0</v>
      </c>
      <c r="AJ211" s="9">
        <f>IFERROR(VLOOKUP(B211,cubo!$A$6:$BI$116,62,0)-VLOOKUP(B211,#REF!,$AJ$2,0),0)</f>
        <v>0</v>
      </c>
      <c r="AK211" s="9">
        <f>IFERROR(VLOOKUP(B211,cubo!$A$6:$BJ$37,63,0)-VLOOKUP(B211,#REF!,$AK$2,0),0)</f>
        <v>0</v>
      </c>
      <c r="AL211" s="9">
        <f>IFERROR(VLOOKUP(B211,cubo!$A$6:$BE$37,58,0)-VLOOKUP(B211,#REF!,$AL$2,0),0)</f>
        <v>0</v>
      </c>
      <c r="AM211" s="9">
        <f>IFERROR(VLOOKUP(B211,cubo!$A$6:$BK$37,64,0)-VLOOKUP(B211,#REF!,$AM$2,0),0)</f>
        <v>0</v>
      </c>
      <c r="AN211" s="9">
        <f>IFERROR(VLOOKUP(B211,cubo!$A$6:$AN$37,41,0)-VLOOKUP(B211,#REF!,$AN$2,0),0)</f>
        <v>0</v>
      </c>
    </row>
    <row r="212" spans="2:40" x14ac:dyDescent="0.25">
      <c r="B212" s="7">
        <f>[1]salario!A211</f>
        <v>0</v>
      </c>
      <c r="C212" s="14">
        <f>[1]salario!C211</f>
        <v>0</v>
      </c>
      <c r="D212" s="9">
        <f>IFERROR(VLOOKUP(B212,cubo!$A$6:$BE$37,3,0)-VLOOKUP(B212,#REF!,$D$2,0),0)</f>
        <v>0</v>
      </c>
      <c r="E212" s="10">
        <f>IFERROR(VLOOKUP(B212,cubo!$A$6:$BE$37,5,0)-VLOOKUP(B212,#REF!,$E$2,0),0)</f>
        <v>0</v>
      </c>
      <c r="F212" s="10">
        <f>IFERROR(VLOOKUP(B212,cubo!$A$6:$BE$37,8,0)-VLOOKUP(B212,#REF!,$F$2,0),0)</f>
        <v>0</v>
      </c>
      <c r="G212" s="9">
        <f>IFERROR(VLOOKUP(B212,cubo!$A$6:$BE$37,11,0)-VLOOKUP(B212,#REF!,$G$2,0),0)</f>
        <v>0</v>
      </c>
      <c r="H212" s="9">
        <f>IFERROR(VLOOKUP(B212,cubo!$A$6:$BE$37,53,0)-VLOOKUP(B212,#REF!,$H$2,0),0)</f>
        <v>0</v>
      </c>
      <c r="I212" s="10">
        <f>IFERROR(VLOOKUP(B212,cubo!$A$6:$BE$37,14,0)-VLOOKUP(B212,#REF!,$I$2,0),0)</f>
        <v>0</v>
      </c>
      <c r="J212" s="9">
        <f>IFERROR(VLOOKUP(B212,cubo!$A$6:$BE$37,16,0)-VLOOKUP(B212,#REF!,$J$2,0),0)</f>
        <v>0</v>
      </c>
      <c r="K212" s="9">
        <f>IFERROR(VLOOKUP(B212,cubo!$A$6:$BE$37,17,0)-VLOOKUP(B212,#REF!,$K$2,0),0)</f>
        <v>0</v>
      </c>
      <c r="L212" s="9">
        <f>IFERROR(VLOOKUP(B212,cubo!$A$6:$BE$37,19,0)-VLOOKUP(B212,#REF!,$L$2,0),0)</f>
        <v>0</v>
      </c>
      <c r="M212" s="9">
        <f>IFERROR(VLOOKUP(B212,cubo!$A$6:$BE$37,23,0)-VLOOKUP(B212,#REF!,$M$2,0),0)</f>
        <v>0</v>
      </c>
      <c r="N212" s="9">
        <f>IFERROR(VLOOKUP(B212,cubo!$A$6:$BE$37,25,0)-VLOOKUP(B212,#REF!,$N$2,0),0)</f>
        <v>0</v>
      </c>
      <c r="O212" s="9">
        <f>IFERROR(VLOOKUP(B212,cubo!$A$6:$BE$37,33,0)-VLOOKUP(B212,#REF!,$O$2,0),0)</f>
        <v>0</v>
      </c>
      <c r="P212" s="8">
        <f>IFERROR(VLOOKUP(B212,cubo!$A$6:$BE$37,37,0)-VLOOKUP(B212,#REF!,$P$2,0),0)</f>
        <v>0</v>
      </c>
      <c r="Q212" s="8">
        <f>IFERROR(VLOOKUP(B212,cubo!$A$6:$BE$37,56,0)-VLOOKUP(B212,#REF!,$Q$2,0),0)</f>
        <v>0</v>
      </c>
      <c r="R212" s="9">
        <f>IFERROR(VLOOKUP(B212,cubo!$A$6:$BE$37,40,0)-VLOOKUP(B212,#REF!,$R$2,0),0)</f>
        <v>0</v>
      </c>
      <c r="S212" s="9">
        <f>IFERROR(VLOOKUP(B212,cubo!$A$6:$BE$37,43,0)-VLOOKUP(B212,#REF!,$S$2,0),0)</f>
        <v>0</v>
      </c>
      <c r="T212" s="9">
        <f>IFERROR(VLOOKUP(B212,cubo!$A$6:$BE$37,46,0)-VLOOKUP(B212,#REF!,$T$2,0),0)</f>
        <v>0</v>
      </c>
      <c r="U212" s="9">
        <f>IFERROR(VLOOKUP(B212,cubo!$A$6:$BE$37,51,0)-VLOOKUP(B212,#REF!,$U$2,0),0)</f>
        <v>0</v>
      </c>
      <c r="V212" s="9">
        <f>IFERROR(VLOOKUP(B212,cubo!$A$6:$BJ$37,60,0)-VLOOKUP(B212,#REF!,$V$2,0),0)</f>
        <v>0</v>
      </c>
      <c r="W212" s="9">
        <f>IFERROR(VLOOKUP(B212,cubo!$A$6:$BE$37,26,0)-VLOOKUP(B212,#REF!,$W$2,0),0)</f>
        <v>0</v>
      </c>
      <c r="X212" s="9">
        <f>IFERROR(VLOOKUP(B212,cubo!$A$6:$BE$37,20,0)-VLOOKUP(B212,#REF!,$X$2,0),0)</f>
        <v>0</v>
      </c>
      <c r="Y212" s="9">
        <f>IFERROR(VLOOKUP(B212,cubo!$A$6:$BE$37,21,0)-VLOOKUP(B212,#REF!,$Y$2,0),0)</f>
        <v>0</v>
      </c>
      <c r="Z212" s="9">
        <f>IFERROR(VLOOKUP(B212,cubo!$A$6:$BE$37,27,0)-VLOOKUP(B212,#REF!,$Z$2,0),0)</f>
        <v>0</v>
      </c>
      <c r="AA212" s="9">
        <f>IFERROR(VLOOKUP(B212,cubo!$A$6:$BE$37,28,0)-VLOOKUP(B212,#REF!,$AA$2,0),0)</f>
        <v>0</v>
      </c>
      <c r="AB212" s="9">
        <f>IFERROR(VLOOKUP(B212,cubo!$A$6:$BE$37,29,0)-VLOOKUP(B212,#REF!,$AB$2,0),0)</f>
        <v>0</v>
      </c>
      <c r="AC212" s="9">
        <f>IFERROR(VLOOKUP(B212,cubo!$A$6:$BE$37,30,0)-VLOOKUP(B212,#REF!,$AC$2,0),0)</f>
        <v>0</v>
      </c>
      <c r="AD212" s="9">
        <f>IFERROR(VLOOKUP(B212,cubo!$A$6:$BE$37,31,0)-VLOOKUP(B212,#REF!,$AD$2,0),0)</f>
        <v>0</v>
      </c>
      <c r="AE212" s="9">
        <f>IFERROR(VLOOKUP(B212,cubo!$A$6:$BE$37,35,0)-VLOOKUP(B212,#REF!,$AE$2,0),0)</f>
        <v>0</v>
      </c>
      <c r="AF212" s="9" cm="1">
        <f t="array" aca="1" ref="AF212" ca="1">IFERROR(rrPROCV(B212,cubo!$A$6:$BE$37,48,0)-VLOOKUP(B212,#REF!,$AF$2,0),0)</f>
        <v>0</v>
      </c>
      <c r="AG212" s="9">
        <f>IFERROR(VLOOKUP(B212,cubo!$A$6:$BE$37,49,0)-VLOOKUP(B212,#REF!,$AG$2,0),0)</f>
        <v>0</v>
      </c>
      <c r="AH212" s="9">
        <f>IFERROR(VLOOKUP(B212,cubo!$A$6:$BE$37,50,0)-VLOOKUP(B212,#REF!,$AH$2,0),0)</f>
        <v>0</v>
      </c>
      <c r="AI212" s="9">
        <f>IFERROR(VLOOKUP(B212,cubo!$A$6:$BE$37,51,0)-VLOOKUP(B212,#REF!,$AI$2,0),0)</f>
        <v>0</v>
      </c>
      <c r="AJ212" s="9">
        <f>IFERROR(VLOOKUP(B212,cubo!$A$6:$BI$116,62,0)-VLOOKUP(B212,#REF!,$AJ$2,0),0)</f>
        <v>0</v>
      </c>
      <c r="AK212" s="9">
        <f>IFERROR(VLOOKUP(B212,cubo!$A$6:$BJ$37,63,0)-VLOOKUP(B212,#REF!,$AK$2,0),0)</f>
        <v>0</v>
      </c>
      <c r="AL212" s="9">
        <f>IFERROR(VLOOKUP(B212,cubo!$A$6:$BE$37,58,0)-VLOOKUP(B212,#REF!,$AL$2,0),0)</f>
        <v>0</v>
      </c>
      <c r="AM212" s="9">
        <f>IFERROR(VLOOKUP(B212,cubo!$A$6:$BK$37,64,0)-VLOOKUP(B212,#REF!,$AM$2,0),0)</f>
        <v>0</v>
      </c>
      <c r="AN212" s="9">
        <f>IFERROR(VLOOKUP(B212,cubo!$A$6:$AN$37,41,0)-VLOOKUP(B212,#REF!,$AN$2,0),0)</f>
        <v>0</v>
      </c>
    </row>
    <row r="213" spans="2:40" x14ac:dyDescent="0.25">
      <c r="B213" s="7">
        <f>[1]salario!A212</f>
        <v>0</v>
      </c>
      <c r="C213" s="14">
        <f>[1]salario!C212</f>
        <v>0</v>
      </c>
      <c r="D213" s="9">
        <f>IFERROR(VLOOKUP(B213,cubo!$A$6:$BE$37,3,0)-VLOOKUP(B213,#REF!,$D$2,0),0)</f>
        <v>0</v>
      </c>
      <c r="E213" s="10">
        <f>IFERROR(VLOOKUP(B213,cubo!$A$6:$BE$37,5,0)-VLOOKUP(B213,#REF!,$E$2,0),0)</f>
        <v>0</v>
      </c>
      <c r="F213" s="10">
        <f>IFERROR(VLOOKUP(B213,cubo!$A$6:$BE$37,8,0)-VLOOKUP(B213,#REF!,$F$2,0),0)</f>
        <v>0</v>
      </c>
      <c r="G213" s="9">
        <f>IFERROR(VLOOKUP(B213,cubo!$A$6:$BE$37,11,0)-VLOOKUP(B213,#REF!,$G$2,0),0)</f>
        <v>0</v>
      </c>
      <c r="H213" s="9">
        <f>IFERROR(VLOOKUP(B213,cubo!$A$6:$BE$37,53,0)-VLOOKUP(B213,#REF!,$H$2,0),0)</f>
        <v>0</v>
      </c>
      <c r="I213" s="10">
        <f>IFERROR(VLOOKUP(B213,cubo!$A$6:$BE$37,14,0)-VLOOKUP(B213,#REF!,$I$2,0),0)</f>
        <v>0</v>
      </c>
      <c r="J213" s="9">
        <f>IFERROR(VLOOKUP(B213,cubo!$A$6:$BE$37,16,0)-VLOOKUP(B213,#REF!,$J$2,0),0)</f>
        <v>0</v>
      </c>
      <c r="K213" s="9">
        <f>IFERROR(VLOOKUP(B213,cubo!$A$6:$BE$37,17,0)-VLOOKUP(B213,#REF!,$K$2,0),0)</f>
        <v>0</v>
      </c>
      <c r="L213" s="9">
        <f>IFERROR(VLOOKUP(B213,cubo!$A$6:$BE$37,19,0)-VLOOKUP(B213,#REF!,$L$2,0),0)</f>
        <v>0</v>
      </c>
      <c r="M213" s="9">
        <f>IFERROR(VLOOKUP(B213,cubo!$A$6:$BE$37,23,0)-VLOOKUP(B213,#REF!,$M$2,0),0)</f>
        <v>0</v>
      </c>
      <c r="N213" s="9">
        <f>IFERROR(VLOOKUP(B213,cubo!$A$6:$BE$37,25,0)-VLOOKUP(B213,#REF!,$N$2,0),0)</f>
        <v>0</v>
      </c>
      <c r="O213" s="9">
        <f>IFERROR(VLOOKUP(B213,cubo!$A$6:$BE$37,33,0)-VLOOKUP(B213,#REF!,$O$2,0),0)</f>
        <v>0</v>
      </c>
      <c r="P213" s="8">
        <f>IFERROR(VLOOKUP(B213,cubo!$A$6:$BE$37,37,0)-VLOOKUP(B213,#REF!,$P$2,0),0)</f>
        <v>0</v>
      </c>
      <c r="Q213" s="8">
        <f>IFERROR(VLOOKUP(B213,cubo!$A$6:$BE$37,56,0)-VLOOKUP(B213,#REF!,$Q$2,0),0)</f>
        <v>0</v>
      </c>
      <c r="R213" s="9">
        <f>IFERROR(VLOOKUP(B213,cubo!$A$6:$BE$37,40,0)-VLOOKUP(B213,#REF!,$R$2,0),0)</f>
        <v>0</v>
      </c>
      <c r="S213" s="9">
        <f>IFERROR(VLOOKUP(B213,cubo!$A$6:$BE$37,43,0)-VLOOKUP(B213,#REF!,$S$2,0),0)</f>
        <v>0</v>
      </c>
      <c r="T213" s="9">
        <f>IFERROR(VLOOKUP(B213,cubo!$A$6:$BE$37,46,0)-VLOOKUP(B213,#REF!,$T$2,0),0)</f>
        <v>0</v>
      </c>
      <c r="U213" s="9">
        <f>IFERROR(VLOOKUP(B213,cubo!$A$6:$BE$37,51,0)-VLOOKUP(B213,#REF!,$U$2,0),0)</f>
        <v>0</v>
      </c>
      <c r="V213" s="9">
        <f>IFERROR(VLOOKUP(B213,cubo!$A$6:$BJ$37,60,0)-VLOOKUP(B213,#REF!,$V$2,0),0)</f>
        <v>0</v>
      </c>
      <c r="W213" s="9">
        <f>IFERROR(VLOOKUP(B213,cubo!$A$6:$BE$37,26,0)-VLOOKUP(B213,#REF!,$W$2,0),0)</f>
        <v>0</v>
      </c>
      <c r="X213" s="9">
        <f>IFERROR(VLOOKUP(B213,cubo!$A$6:$BE$37,20,0)-VLOOKUP(B213,#REF!,$X$2,0),0)</f>
        <v>0</v>
      </c>
      <c r="Y213" s="9">
        <f>IFERROR(VLOOKUP(B213,cubo!$A$6:$BE$37,21,0)-VLOOKUP(B213,#REF!,$Y$2,0),0)</f>
        <v>0</v>
      </c>
      <c r="Z213" s="9">
        <f>IFERROR(VLOOKUP(B213,cubo!$A$6:$BE$37,27,0)-VLOOKUP(B213,#REF!,$Z$2,0),0)</f>
        <v>0</v>
      </c>
      <c r="AA213" s="9">
        <f>IFERROR(VLOOKUP(B213,cubo!$A$6:$BE$37,28,0)-VLOOKUP(B213,#REF!,$AA$2,0),0)</f>
        <v>0</v>
      </c>
      <c r="AB213" s="9">
        <f>IFERROR(VLOOKUP(B213,cubo!$A$6:$BE$37,29,0)-VLOOKUP(B213,#REF!,$AB$2,0),0)</f>
        <v>0</v>
      </c>
      <c r="AC213" s="9">
        <f>IFERROR(VLOOKUP(B213,cubo!$A$6:$BE$37,30,0)-VLOOKUP(B213,#REF!,$AC$2,0),0)</f>
        <v>0</v>
      </c>
      <c r="AD213" s="9">
        <f>IFERROR(VLOOKUP(B213,cubo!$A$6:$BE$37,31,0)-VLOOKUP(B213,#REF!,$AD$2,0),0)</f>
        <v>0</v>
      </c>
      <c r="AE213" s="9">
        <f>IFERROR(VLOOKUP(B213,cubo!$A$6:$BE$37,35,0)-VLOOKUP(B213,#REF!,$AE$2,0),0)</f>
        <v>0</v>
      </c>
      <c r="AF213" s="9" cm="1">
        <f t="array" aca="1" ref="AF213" ca="1">IFERROR(rrPROCV(B213,cubo!$A$6:$BE$37,48,0)-VLOOKUP(B213,#REF!,$AF$2,0),0)</f>
        <v>0</v>
      </c>
      <c r="AG213" s="9">
        <f>IFERROR(VLOOKUP(B213,cubo!$A$6:$BE$37,49,0)-VLOOKUP(B213,#REF!,$AG$2,0),0)</f>
        <v>0</v>
      </c>
      <c r="AH213" s="9">
        <f>IFERROR(VLOOKUP(B213,cubo!$A$6:$BE$37,50,0)-VLOOKUP(B213,#REF!,$AH$2,0),0)</f>
        <v>0</v>
      </c>
      <c r="AI213" s="9">
        <f>IFERROR(VLOOKUP(B213,cubo!$A$6:$BE$37,51,0)-VLOOKUP(B213,#REF!,$AI$2,0),0)</f>
        <v>0</v>
      </c>
      <c r="AJ213" s="9">
        <f>IFERROR(VLOOKUP(B213,cubo!$A$6:$BI$116,62,0)-VLOOKUP(B213,#REF!,$AJ$2,0),0)</f>
        <v>0</v>
      </c>
      <c r="AK213" s="9">
        <f>IFERROR(VLOOKUP(B213,cubo!$A$6:$BJ$37,63,0)-VLOOKUP(B213,#REF!,$AK$2,0),0)</f>
        <v>0</v>
      </c>
      <c r="AL213" s="9">
        <f>IFERROR(VLOOKUP(B213,cubo!$A$6:$BE$37,58,0)-VLOOKUP(B213,#REF!,$AL$2,0),0)</f>
        <v>0</v>
      </c>
      <c r="AM213" s="9">
        <f>IFERROR(VLOOKUP(B213,cubo!$A$6:$BK$37,64,0)-VLOOKUP(B213,#REF!,$AM$2,0),0)</f>
        <v>0</v>
      </c>
      <c r="AN213" s="9">
        <f>IFERROR(VLOOKUP(B213,cubo!$A$6:$AN$37,41,0)-VLOOKUP(B213,#REF!,$AN$2,0),0)</f>
        <v>0</v>
      </c>
    </row>
    <row r="214" spans="2:40" x14ac:dyDescent="0.25">
      <c r="B214" s="7">
        <f>[1]salario!A213</f>
        <v>0</v>
      </c>
      <c r="C214" s="14">
        <f>[1]salario!C213</f>
        <v>0</v>
      </c>
      <c r="D214" s="9">
        <f>IFERROR(VLOOKUP(B214,cubo!$A$6:$BE$37,3,0)-VLOOKUP(B214,#REF!,$D$2,0),0)</f>
        <v>0</v>
      </c>
      <c r="E214" s="10">
        <f>IFERROR(VLOOKUP(B214,cubo!$A$6:$BE$37,5,0)-VLOOKUP(B214,#REF!,$E$2,0),0)</f>
        <v>0</v>
      </c>
      <c r="F214" s="10">
        <f>IFERROR(VLOOKUP(B214,cubo!$A$6:$BE$37,8,0)-VLOOKUP(B214,#REF!,$F$2,0),0)</f>
        <v>0</v>
      </c>
      <c r="G214" s="9">
        <f>IFERROR(VLOOKUP(B214,cubo!$A$6:$BE$37,11,0)-VLOOKUP(B214,#REF!,$G$2,0),0)</f>
        <v>0</v>
      </c>
      <c r="H214" s="9">
        <f>IFERROR(VLOOKUP(B214,cubo!$A$6:$BE$37,53,0)-VLOOKUP(B214,#REF!,$H$2,0),0)</f>
        <v>0</v>
      </c>
      <c r="I214" s="10">
        <f>IFERROR(VLOOKUP(B214,cubo!$A$6:$BE$37,14,0)-VLOOKUP(B214,#REF!,$I$2,0),0)</f>
        <v>0</v>
      </c>
      <c r="J214" s="9">
        <f>IFERROR(VLOOKUP(B214,cubo!$A$6:$BE$37,16,0)-VLOOKUP(B214,#REF!,$J$2,0),0)</f>
        <v>0</v>
      </c>
      <c r="K214" s="9">
        <f>IFERROR(VLOOKUP(B214,cubo!$A$6:$BE$37,17,0)-VLOOKUP(B214,#REF!,$K$2,0),0)</f>
        <v>0</v>
      </c>
      <c r="L214" s="9">
        <f>IFERROR(VLOOKUP(B214,cubo!$A$6:$BE$37,19,0)-VLOOKUP(B214,#REF!,$L$2,0),0)</f>
        <v>0</v>
      </c>
      <c r="M214" s="9">
        <f>IFERROR(VLOOKUP(B214,cubo!$A$6:$BE$37,23,0)-VLOOKUP(B214,#REF!,$M$2,0),0)</f>
        <v>0</v>
      </c>
      <c r="N214" s="9">
        <f>IFERROR(VLOOKUP(B214,cubo!$A$6:$BE$37,25,0)-VLOOKUP(B214,#REF!,$N$2,0),0)</f>
        <v>0</v>
      </c>
      <c r="O214" s="9">
        <f>IFERROR(VLOOKUP(B214,cubo!$A$6:$BE$37,33,0)-VLOOKUP(B214,#REF!,$O$2,0),0)</f>
        <v>0</v>
      </c>
      <c r="P214" s="8">
        <f>IFERROR(VLOOKUP(B214,cubo!$A$6:$BE$37,37,0)-VLOOKUP(B214,#REF!,$P$2,0),0)</f>
        <v>0</v>
      </c>
      <c r="Q214" s="8">
        <f>IFERROR(VLOOKUP(B214,cubo!$A$6:$BE$37,56,0)-VLOOKUP(B214,#REF!,$Q$2,0),0)</f>
        <v>0</v>
      </c>
      <c r="R214" s="9">
        <f>IFERROR(VLOOKUP(B214,cubo!$A$6:$BE$37,40,0)-VLOOKUP(B214,#REF!,$R$2,0),0)</f>
        <v>0</v>
      </c>
      <c r="S214" s="9">
        <f>IFERROR(VLOOKUP(B214,cubo!$A$6:$BE$37,43,0)-VLOOKUP(B214,#REF!,$S$2,0),0)</f>
        <v>0</v>
      </c>
      <c r="T214" s="9">
        <f>IFERROR(VLOOKUP(B214,cubo!$A$6:$BE$37,46,0)-VLOOKUP(B214,#REF!,$T$2,0),0)</f>
        <v>0</v>
      </c>
      <c r="U214" s="9">
        <f>IFERROR(VLOOKUP(B214,cubo!$A$6:$BE$37,51,0)-VLOOKUP(B214,#REF!,$U$2,0),0)</f>
        <v>0</v>
      </c>
      <c r="V214" s="9">
        <f>IFERROR(VLOOKUP(B214,cubo!$A$6:$BJ$37,60,0)-VLOOKUP(B214,#REF!,$V$2,0),0)</f>
        <v>0</v>
      </c>
      <c r="W214" s="9">
        <f>IFERROR(VLOOKUP(B214,cubo!$A$6:$BE$37,26,0)-VLOOKUP(B214,#REF!,$W$2,0),0)</f>
        <v>0</v>
      </c>
      <c r="X214" s="9">
        <f>IFERROR(VLOOKUP(B214,cubo!$A$6:$BE$37,20,0)-VLOOKUP(B214,#REF!,$X$2,0),0)</f>
        <v>0</v>
      </c>
      <c r="Y214" s="9">
        <f>IFERROR(VLOOKUP(B214,cubo!$A$6:$BE$37,21,0)-VLOOKUP(B214,#REF!,$Y$2,0),0)</f>
        <v>0</v>
      </c>
      <c r="Z214" s="9">
        <f>IFERROR(VLOOKUP(B214,cubo!$A$6:$BE$37,27,0)-VLOOKUP(B214,#REF!,$Z$2,0),0)</f>
        <v>0</v>
      </c>
      <c r="AA214" s="9">
        <f>IFERROR(VLOOKUP(B214,cubo!$A$6:$BE$37,28,0)-VLOOKUP(B214,#REF!,$AA$2,0),0)</f>
        <v>0</v>
      </c>
      <c r="AB214" s="9">
        <f>IFERROR(VLOOKUP(B214,cubo!$A$6:$BE$37,29,0)-VLOOKUP(B214,#REF!,$AB$2,0),0)</f>
        <v>0</v>
      </c>
      <c r="AC214" s="9">
        <f>IFERROR(VLOOKUP(B214,cubo!$A$6:$BE$37,30,0)-VLOOKUP(B214,#REF!,$AC$2,0),0)</f>
        <v>0</v>
      </c>
      <c r="AD214" s="9">
        <f>IFERROR(VLOOKUP(B214,cubo!$A$6:$BE$37,31,0)-VLOOKUP(B214,#REF!,$AD$2,0),0)</f>
        <v>0</v>
      </c>
      <c r="AE214" s="9">
        <f>IFERROR(VLOOKUP(B214,cubo!$A$6:$BE$37,35,0)-VLOOKUP(B214,#REF!,$AE$2,0),0)</f>
        <v>0</v>
      </c>
      <c r="AF214" s="9" cm="1">
        <f t="array" aca="1" ref="AF214" ca="1">IFERROR(rrPROCV(B214,cubo!$A$6:$BE$37,48,0)-VLOOKUP(B214,#REF!,$AF$2,0),0)</f>
        <v>0</v>
      </c>
      <c r="AG214" s="9">
        <f>IFERROR(VLOOKUP(B214,cubo!$A$6:$BE$37,49,0)-VLOOKUP(B214,#REF!,$AG$2,0),0)</f>
        <v>0</v>
      </c>
      <c r="AH214" s="9">
        <f>IFERROR(VLOOKUP(B214,cubo!$A$6:$BE$37,50,0)-VLOOKUP(B214,#REF!,$AH$2,0),0)</f>
        <v>0</v>
      </c>
      <c r="AI214" s="9">
        <f>IFERROR(VLOOKUP(B214,cubo!$A$6:$BE$37,51,0)-VLOOKUP(B214,#REF!,$AI$2,0),0)</f>
        <v>0</v>
      </c>
      <c r="AJ214" s="9">
        <f>IFERROR(VLOOKUP(B214,cubo!$A$6:$BI$116,62,0)-VLOOKUP(B214,#REF!,$AJ$2,0),0)</f>
        <v>0</v>
      </c>
      <c r="AK214" s="9">
        <f>IFERROR(VLOOKUP(B214,cubo!$A$6:$BJ$37,63,0)-VLOOKUP(B214,#REF!,$AK$2,0),0)</f>
        <v>0</v>
      </c>
      <c r="AL214" s="9">
        <f>IFERROR(VLOOKUP(B214,cubo!$A$6:$BE$37,58,0)-VLOOKUP(B214,#REF!,$AL$2,0),0)</f>
        <v>0</v>
      </c>
      <c r="AM214" s="9">
        <f>IFERROR(VLOOKUP(B214,cubo!$A$6:$BK$37,64,0)-VLOOKUP(B214,#REF!,$AM$2,0),0)</f>
        <v>0</v>
      </c>
      <c r="AN214" s="9">
        <f>IFERROR(VLOOKUP(B214,cubo!$A$6:$AN$37,41,0)-VLOOKUP(B214,#REF!,$AN$2,0),0)</f>
        <v>0</v>
      </c>
    </row>
    <row r="215" spans="2:40" x14ac:dyDescent="0.25">
      <c r="B215" s="7">
        <f>[1]salario!A214</f>
        <v>0</v>
      </c>
      <c r="C215" s="14">
        <f>[1]salario!C214</f>
        <v>0</v>
      </c>
      <c r="D215" s="9">
        <f>IFERROR(VLOOKUP(B215,cubo!$A$6:$BE$37,3,0)-VLOOKUP(B215,#REF!,$D$2,0),0)</f>
        <v>0</v>
      </c>
      <c r="E215" s="10">
        <f>IFERROR(VLOOKUP(B215,cubo!$A$6:$BE$37,5,0)-VLOOKUP(B215,#REF!,$E$2,0),0)</f>
        <v>0</v>
      </c>
      <c r="F215" s="10">
        <f>IFERROR(VLOOKUP(B215,cubo!$A$6:$BE$37,8,0)-VLOOKUP(B215,#REF!,$F$2,0),0)</f>
        <v>0</v>
      </c>
      <c r="G215" s="9">
        <f>IFERROR(VLOOKUP(B215,cubo!$A$6:$BE$37,11,0)-VLOOKUP(B215,#REF!,$G$2,0),0)</f>
        <v>0</v>
      </c>
      <c r="H215" s="9">
        <f>IFERROR(VLOOKUP(B215,cubo!$A$6:$BE$37,53,0)-VLOOKUP(B215,#REF!,$H$2,0),0)</f>
        <v>0</v>
      </c>
      <c r="I215" s="10">
        <f>IFERROR(VLOOKUP(B215,cubo!$A$6:$BE$37,14,0)-VLOOKUP(B215,#REF!,$I$2,0),0)</f>
        <v>0</v>
      </c>
      <c r="J215" s="9">
        <f>IFERROR(VLOOKUP(B215,cubo!$A$6:$BE$37,16,0)-VLOOKUP(B215,#REF!,$J$2,0),0)</f>
        <v>0</v>
      </c>
      <c r="K215" s="9">
        <f>IFERROR(VLOOKUP(B215,cubo!$A$6:$BE$37,17,0)-VLOOKUP(B215,#REF!,$K$2,0),0)</f>
        <v>0</v>
      </c>
      <c r="L215" s="9">
        <f>IFERROR(VLOOKUP(B215,cubo!$A$6:$BE$37,19,0)-VLOOKUP(B215,#REF!,$L$2,0),0)</f>
        <v>0</v>
      </c>
      <c r="M215" s="9">
        <f>IFERROR(VLOOKUP(B215,cubo!$A$6:$BE$37,23,0)-VLOOKUP(B215,#REF!,$M$2,0),0)</f>
        <v>0</v>
      </c>
      <c r="N215" s="9">
        <f>IFERROR(VLOOKUP(B215,cubo!$A$6:$BE$37,25,0)-VLOOKUP(B215,#REF!,$N$2,0),0)</f>
        <v>0</v>
      </c>
      <c r="O215" s="9">
        <f>IFERROR(VLOOKUP(B215,cubo!$A$6:$BE$37,33,0)-VLOOKUP(B215,#REF!,$O$2,0),0)</f>
        <v>0</v>
      </c>
      <c r="P215" s="8">
        <f>IFERROR(VLOOKUP(B215,cubo!$A$6:$BE$37,37,0)-VLOOKUP(B215,#REF!,$P$2,0),0)</f>
        <v>0</v>
      </c>
      <c r="Q215" s="8">
        <f>IFERROR(VLOOKUP(B215,cubo!$A$6:$BE$37,56,0)-VLOOKUP(B215,#REF!,$Q$2,0),0)</f>
        <v>0</v>
      </c>
      <c r="R215" s="9">
        <f>IFERROR(VLOOKUP(B215,cubo!$A$6:$BE$37,40,0)-VLOOKUP(B215,#REF!,$R$2,0),0)</f>
        <v>0</v>
      </c>
      <c r="S215" s="9">
        <f>IFERROR(VLOOKUP(B215,cubo!$A$6:$BE$37,43,0)-VLOOKUP(B215,#REF!,$S$2,0),0)</f>
        <v>0</v>
      </c>
      <c r="T215" s="9">
        <f>IFERROR(VLOOKUP(B215,cubo!$A$6:$BE$37,46,0)-VLOOKUP(B215,#REF!,$T$2,0),0)</f>
        <v>0</v>
      </c>
      <c r="U215" s="9">
        <f>IFERROR(VLOOKUP(B215,cubo!$A$6:$BE$37,51,0)-VLOOKUP(B215,#REF!,$U$2,0),0)</f>
        <v>0</v>
      </c>
      <c r="V215" s="9">
        <f>IFERROR(VLOOKUP(B215,cubo!$A$6:$BJ$37,60,0)-VLOOKUP(B215,#REF!,$V$2,0),0)</f>
        <v>0</v>
      </c>
      <c r="W215" s="9">
        <f>IFERROR(VLOOKUP(B215,cubo!$A$6:$BE$37,26,0)-VLOOKUP(B215,#REF!,$W$2,0),0)</f>
        <v>0</v>
      </c>
      <c r="X215" s="9">
        <f>IFERROR(VLOOKUP(B215,cubo!$A$6:$BE$37,20,0)-VLOOKUP(B215,#REF!,$X$2,0),0)</f>
        <v>0</v>
      </c>
      <c r="Y215" s="9">
        <f>IFERROR(VLOOKUP(B215,cubo!$A$6:$BE$37,21,0)-VLOOKUP(B215,#REF!,$Y$2,0),0)</f>
        <v>0</v>
      </c>
      <c r="Z215" s="9">
        <f>IFERROR(VLOOKUP(B215,cubo!$A$6:$BE$37,27,0)-VLOOKUP(B215,#REF!,$Z$2,0),0)</f>
        <v>0</v>
      </c>
      <c r="AA215" s="9">
        <f>IFERROR(VLOOKUP(B215,cubo!$A$6:$BE$37,28,0)-VLOOKUP(B215,#REF!,$AA$2,0),0)</f>
        <v>0</v>
      </c>
      <c r="AB215" s="9">
        <f>IFERROR(VLOOKUP(B215,cubo!$A$6:$BE$37,29,0)-VLOOKUP(B215,#REF!,$AB$2,0),0)</f>
        <v>0</v>
      </c>
      <c r="AC215" s="9">
        <f>IFERROR(VLOOKUP(B215,cubo!$A$6:$BE$37,30,0)-VLOOKUP(B215,#REF!,$AC$2,0),0)</f>
        <v>0</v>
      </c>
      <c r="AD215" s="9">
        <f>IFERROR(VLOOKUP(B215,cubo!$A$6:$BE$37,31,0)-VLOOKUP(B215,#REF!,$AD$2,0),0)</f>
        <v>0</v>
      </c>
      <c r="AE215" s="9">
        <f>IFERROR(VLOOKUP(B215,cubo!$A$6:$BE$37,35,0)-VLOOKUP(B215,#REF!,$AE$2,0),0)</f>
        <v>0</v>
      </c>
      <c r="AF215" s="9" cm="1">
        <f t="array" aca="1" ref="AF215" ca="1">IFERROR(rrPROCV(B215,cubo!$A$6:$BE$37,48,0)-VLOOKUP(B215,#REF!,$AF$2,0),0)</f>
        <v>0</v>
      </c>
      <c r="AG215" s="9">
        <f>IFERROR(VLOOKUP(B215,cubo!$A$6:$BE$37,49,0)-VLOOKUP(B215,#REF!,$AG$2,0),0)</f>
        <v>0</v>
      </c>
      <c r="AH215" s="9">
        <f>IFERROR(VLOOKUP(B215,cubo!$A$6:$BE$37,50,0)-VLOOKUP(B215,#REF!,$AH$2,0),0)</f>
        <v>0</v>
      </c>
      <c r="AI215" s="9">
        <f>IFERROR(VLOOKUP(B215,cubo!$A$6:$BE$37,51,0)-VLOOKUP(B215,#REF!,$AI$2,0),0)</f>
        <v>0</v>
      </c>
      <c r="AJ215" s="9">
        <f>IFERROR(VLOOKUP(B215,cubo!$A$6:$BI$116,62,0)-VLOOKUP(B215,#REF!,$AJ$2,0),0)</f>
        <v>0</v>
      </c>
      <c r="AK215" s="9">
        <f>IFERROR(VLOOKUP(B215,cubo!$A$6:$BJ$37,63,0)-VLOOKUP(B215,#REF!,$AK$2,0),0)</f>
        <v>0</v>
      </c>
      <c r="AL215" s="9">
        <f>IFERROR(VLOOKUP(B215,cubo!$A$6:$BE$37,58,0)-VLOOKUP(B215,#REF!,$AL$2,0),0)</f>
        <v>0</v>
      </c>
      <c r="AM215" s="9">
        <f>IFERROR(VLOOKUP(B215,cubo!$A$6:$BK$37,64,0)-VLOOKUP(B215,#REF!,$AM$2,0),0)</f>
        <v>0</v>
      </c>
      <c r="AN215" s="9">
        <f>IFERROR(VLOOKUP(B215,cubo!$A$6:$AN$37,41,0)-VLOOKUP(B215,#REF!,$AN$2,0),0)</f>
        <v>0</v>
      </c>
    </row>
    <row r="216" spans="2:40" x14ac:dyDescent="0.25">
      <c r="B216" s="7">
        <f>[1]salario!A215</f>
        <v>0</v>
      </c>
      <c r="C216" s="14">
        <f>[1]salario!C215</f>
        <v>0</v>
      </c>
      <c r="D216" s="9">
        <f>IFERROR(VLOOKUP(B216,cubo!$A$6:$BE$37,3,0)-VLOOKUP(B216,#REF!,$D$2,0),0)</f>
        <v>0</v>
      </c>
      <c r="E216" s="10">
        <f>IFERROR(VLOOKUP(B216,cubo!$A$6:$BE$37,5,0)-VLOOKUP(B216,#REF!,$E$2,0),0)</f>
        <v>0</v>
      </c>
      <c r="F216" s="10">
        <f>IFERROR(VLOOKUP(B216,cubo!$A$6:$BE$37,8,0)-VLOOKUP(B216,#REF!,$F$2,0),0)</f>
        <v>0</v>
      </c>
      <c r="G216" s="9">
        <f>IFERROR(VLOOKUP(B216,cubo!$A$6:$BE$37,11,0)-VLOOKUP(B216,#REF!,$G$2,0),0)</f>
        <v>0</v>
      </c>
      <c r="H216" s="9">
        <f>IFERROR(VLOOKUP(B216,cubo!$A$6:$BE$37,53,0)-VLOOKUP(B216,#REF!,$H$2,0),0)</f>
        <v>0</v>
      </c>
      <c r="I216" s="10">
        <f>IFERROR(VLOOKUP(B216,cubo!$A$6:$BE$37,14,0)-VLOOKUP(B216,#REF!,$I$2,0),0)</f>
        <v>0</v>
      </c>
      <c r="J216" s="9">
        <f>IFERROR(VLOOKUP(B216,cubo!$A$6:$BE$37,16,0)-VLOOKUP(B216,#REF!,$J$2,0),0)</f>
        <v>0</v>
      </c>
      <c r="K216" s="9">
        <f>IFERROR(VLOOKUP(B216,cubo!$A$6:$BE$37,17,0)-VLOOKUP(B216,#REF!,$K$2,0),0)</f>
        <v>0</v>
      </c>
      <c r="L216" s="9">
        <f>IFERROR(VLOOKUP(B216,cubo!$A$6:$BE$37,19,0)-VLOOKUP(B216,#REF!,$L$2,0),0)</f>
        <v>0</v>
      </c>
      <c r="M216" s="9">
        <f>IFERROR(VLOOKUP(B216,cubo!$A$6:$BE$37,23,0)-VLOOKUP(B216,#REF!,$M$2,0),0)</f>
        <v>0</v>
      </c>
      <c r="N216" s="9">
        <f>IFERROR(VLOOKUP(B216,cubo!$A$6:$BE$37,25,0)-VLOOKUP(B216,#REF!,$N$2,0),0)</f>
        <v>0</v>
      </c>
      <c r="O216" s="9">
        <f>IFERROR(VLOOKUP(B216,cubo!$A$6:$BE$37,33,0)-VLOOKUP(B216,#REF!,$O$2,0),0)</f>
        <v>0</v>
      </c>
      <c r="P216" s="8">
        <f>IFERROR(VLOOKUP(B216,cubo!$A$6:$BE$37,37,0)-VLOOKUP(B216,#REF!,$P$2,0),0)</f>
        <v>0</v>
      </c>
      <c r="Q216" s="8">
        <f>IFERROR(VLOOKUP(B216,cubo!$A$6:$BE$37,56,0)-VLOOKUP(B216,#REF!,$Q$2,0),0)</f>
        <v>0</v>
      </c>
      <c r="R216" s="9">
        <f>IFERROR(VLOOKUP(B216,cubo!$A$6:$BE$37,40,0)-VLOOKUP(B216,#REF!,$R$2,0),0)</f>
        <v>0</v>
      </c>
      <c r="S216" s="9">
        <f>IFERROR(VLOOKUP(B216,cubo!$A$6:$BE$37,43,0)-VLOOKUP(B216,#REF!,$S$2,0),0)</f>
        <v>0</v>
      </c>
      <c r="T216" s="9">
        <f>IFERROR(VLOOKUP(B216,cubo!$A$6:$BE$37,46,0)-VLOOKUP(B216,#REF!,$T$2,0),0)</f>
        <v>0</v>
      </c>
      <c r="U216" s="9">
        <f>IFERROR(VLOOKUP(B216,cubo!$A$6:$BE$37,51,0)-VLOOKUP(B216,#REF!,$U$2,0),0)</f>
        <v>0</v>
      </c>
      <c r="V216" s="9">
        <f>IFERROR(VLOOKUP(B216,cubo!$A$6:$BJ$37,60,0)-VLOOKUP(B216,#REF!,$V$2,0),0)</f>
        <v>0</v>
      </c>
      <c r="W216" s="9">
        <f>IFERROR(VLOOKUP(B216,cubo!$A$6:$BE$37,26,0)-VLOOKUP(B216,#REF!,$W$2,0),0)</f>
        <v>0</v>
      </c>
      <c r="X216" s="9">
        <f>IFERROR(VLOOKUP(B216,cubo!$A$6:$BE$37,20,0)-VLOOKUP(B216,#REF!,$X$2,0),0)</f>
        <v>0</v>
      </c>
      <c r="Y216" s="9">
        <f>IFERROR(VLOOKUP(B216,cubo!$A$6:$BE$37,21,0)-VLOOKUP(B216,#REF!,$Y$2,0),0)</f>
        <v>0</v>
      </c>
      <c r="Z216" s="9">
        <f>IFERROR(VLOOKUP(B216,cubo!$A$6:$BE$37,27,0)-VLOOKUP(B216,#REF!,$Z$2,0),0)</f>
        <v>0</v>
      </c>
      <c r="AA216" s="9">
        <f>IFERROR(VLOOKUP(B216,cubo!$A$6:$BE$37,28,0)-VLOOKUP(B216,#REF!,$AA$2,0),0)</f>
        <v>0</v>
      </c>
      <c r="AB216" s="9">
        <f>IFERROR(VLOOKUP(B216,cubo!$A$6:$BE$37,29,0)-VLOOKUP(B216,#REF!,$AB$2,0),0)</f>
        <v>0</v>
      </c>
      <c r="AC216" s="9">
        <f>IFERROR(VLOOKUP(B216,cubo!$A$6:$BE$37,30,0)-VLOOKUP(B216,#REF!,$AC$2,0),0)</f>
        <v>0</v>
      </c>
      <c r="AD216" s="9">
        <f>IFERROR(VLOOKUP(B216,cubo!$A$6:$BE$37,31,0)-VLOOKUP(B216,#REF!,$AD$2,0),0)</f>
        <v>0</v>
      </c>
      <c r="AE216" s="9">
        <f>IFERROR(VLOOKUP(B216,cubo!$A$6:$BE$37,35,0)-VLOOKUP(B216,#REF!,$AE$2,0),0)</f>
        <v>0</v>
      </c>
      <c r="AF216" s="9" cm="1">
        <f t="array" aca="1" ref="AF216" ca="1">IFERROR(rrPROCV(B216,cubo!$A$6:$BE$37,48,0)-VLOOKUP(B216,#REF!,$AF$2,0),0)</f>
        <v>0</v>
      </c>
      <c r="AG216" s="9">
        <f>IFERROR(VLOOKUP(B216,cubo!$A$6:$BE$37,49,0)-VLOOKUP(B216,#REF!,$AG$2,0),0)</f>
        <v>0</v>
      </c>
      <c r="AH216" s="9">
        <f>IFERROR(VLOOKUP(B216,cubo!$A$6:$BE$37,50,0)-VLOOKUP(B216,#REF!,$AH$2,0),0)</f>
        <v>0</v>
      </c>
      <c r="AI216" s="9">
        <f>IFERROR(VLOOKUP(B216,cubo!$A$6:$BE$37,51,0)-VLOOKUP(B216,#REF!,$AI$2,0),0)</f>
        <v>0</v>
      </c>
      <c r="AJ216" s="9">
        <f>IFERROR(VLOOKUP(B216,cubo!$A$6:$BI$116,62,0)-VLOOKUP(B216,#REF!,$AJ$2,0),0)</f>
        <v>0</v>
      </c>
      <c r="AK216" s="9">
        <f>IFERROR(VLOOKUP(B216,cubo!$A$6:$BJ$37,63,0)-VLOOKUP(B216,#REF!,$AK$2,0),0)</f>
        <v>0</v>
      </c>
      <c r="AL216" s="9">
        <f>IFERROR(VLOOKUP(B216,cubo!$A$6:$BE$37,58,0)-VLOOKUP(B216,#REF!,$AL$2,0),0)</f>
        <v>0</v>
      </c>
      <c r="AM216" s="9">
        <f>IFERROR(VLOOKUP(B216,cubo!$A$6:$BK$37,64,0)-VLOOKUP(B216,#REF!,$AM$2,0),0)</f>
        <v>0</v>
      </c>
      <c r="AN216" s="9">
        <f>IFERROR(VLOOKUP(B216,cubo!$A$6:$AN$37,41,0)-VLOOKUP(B216,#REF!,$AN$2,0),0)</f>
        <v>0</v>
      </c>
    </row>
    <row r="217" spans="2:40" x14ac:dyDescent="0.25">
      <c r="B217" s="7">
        <f>[1]salario!A216</f>
        <v>0</v>
      </c>
      <c r="C217" s="14">
        <f>[1]salario!C216</f>
        <v>0</v>
      </c>
      <c r="D217" s="9">
        <f>IFERROR(VLOOKUP(B217,cubo!$A$6:$BE$37,3,0)-VLOOKUP(B217,#REF!,$D$2,0),0)</f>
        <v>0</v>
      </c>
      <c r="E217" s="10">
        <f>IFERROR(VLOOKUP(B217,cubo!$A$6:$BE$37,5,0)-VLOOKUP(B217,#REF!,$E$2,0),0)</f>
        <v>0</v>
      </c>
      <c r="F217" s="10">
        <f>IFERROR(VLOOKUP(B217,cubo!$A$6:$BE$37,8,0)-VLOOKUP(B217,#REF!,$F$2,0),0)</f>
        <v>0</v>
      </c>
      <c r="G217" s="9">
        <f>IFERROR(VLOOKUP(B217,cubo!$A$6:$BE$37,11,0)-VLOOKUP(B217,#REF!,$G$2,0),0)</f>
        <v>0</v>
      </c>
      <c r="H217" s="9">
        <f>IFERROR(VLOOKUP(B217,cubo!$A$6:$BE$37,53,0)-VLOOKUP(B217,#REF!,$H$2,0),0)</f>
        <v>0</v>
      </c>
      <c r="I217" s="10">
        <f>IFERROR(VLOOKUP(B217,cubo!$A$6:$BE$37,14,0)-VLOOKUP(B217,#REF!,$I$2,0),0)</f>
        <v>0</v>
      </c>
      <c r="J217" s="9">
        <f>IFERROR(VLOOKUP(B217,cubo!$A$6:$BE$37,16,0)-VLOOKUP(B217,#REF!,$J$2,0),0)</f>
        <v>0</v>
      </c>
      <c r="K217" s="9">
        <f>IFERROR(VLOOKUP(B217,cubo!$A$6:$BE$37,17,0)-VLOOKUP(B217,#REF!,$K$2,0),0)</f>
        <v>0</v>
      </c>
      <c r="L217" s="9">
        <f>IFERROR(VLOOKUP(B217,cubo!$A$6:$BE$37,19,0)-VLOOKUP(B217,#REF!,$L$2,0),0)</f>
        <v>0</v>
      </c>
      <c r="M217" s="9">
        <f>IFERROR(VLOOKUP(B217,cubo!$A$6:$BE$37,23,0)-VLOOKUP(B217,#REF!,$M$2,0),0)</f>
        <v>0</v>
      </c>
      <c r="N217" s="9">
        <f>IFERROR(VLOOKUP(B217,cubo!$A$6:$BE$37,25,0)-VLOOKUP(B217,#REF!,$N$2,0),0)</f>
        <v>0</v>
      </c>
      <c r="O217" s="9">
        <f>IFERROR(VLOOKUP(B217,cubo!$A$6:$BE$37,33,0)-VLOOKUP(B217,#REF!,$O$2,0),0)</f>
        <v>0</v>
      </c>
      <c r="P217" s="8">
        <f>IFERROR(VLOOKUP(B217,cubo!$A$6:$BE$37,37,0)-VLOOKUP(B217,#REF!,$P$2,0),0)</f>
        <v>0</v>
      </c>
      <c r="Q217" s="8">
        <f>IFERROR(VLOOKUP(B217,cubo!$A$6:$BE$37,56,0)-VLOOKUP(B217,#REF!,$Q$2,0),0)</f>
        <v>0</v>
      </c>
      <c r="R217" s="9">
        <f>IFERROR(VLOOKUP(B217,cubo!$A$6:$BE$37,40,0)-VLOOKUP(B217,#REF!,$R$2,0),0)</f>
        <v>0</v>
      </c>
      <c r="S217" s="9">
        <f>IFERROR(VLOOKUP(B217,cubo!$A$6:$BE$37,43,0)-VLOOKUP(B217,#REF!,$S$2,0),0)</f>
        <v>0</v>
      </c>
      <c r="T217" s="9">
        <f>IFERROR(VLOOKUP(B217,cubo!$A$6:$BE$37,46,0)-VLOOKUP(B217,#REF!,$T$2,0),0)</f>
        <v>0</v>
      </c>
      <c r="U217" s="9">
        <f>IFERROR(VLOOKUP(B217,cubo!$A$6:$BE$37,51,0)-VLOOKUP(B217,#REF!,$U$2,0),0)</f>
        <v>0</v>
      </c>
      <c r="V217" s="9">
        <f>IFERROR(VLOOKUP(B217,cubo!$A$6:$BJ$37,60,0)-VLOOKUP(B217,#REF!,$V$2,0),0)</f>
        <v>0</v>
      </c>
      <c r="W217" s="9">
        <f>IFERROR(VLOOKUP(B217,cubo!$A$6:$BE$37,26,0)-VLOOKUP(B217,#REF!,$W$2,0),0)</f>
        <v>0</v>
      </c>
      <c r="X217" s="9">
        <f>IFERROR(VLOOKUP(B217,cubo!$A$6:$BE$37,20,0)-VLOOKUP(B217,#REF!,$X$2,0),0)</f>
        <v>0</v>
      </c>
      <c r="Y217" s="9">
        <f>IFERROR(VLOOKUP(B217,cubo!$A$6:$BE$37,21,0)-VLOOKUP(B217,#REF!,$Y$2,0),0)</f>
        <v>0</v>
      </c>
      <c r="Z217" s="9">
        <f>IFERROR(VLOOKUP(B217,cubo!$A$6:$BE$37,27,0)-VLOOKUP(B217,#REF!,$Z$2,0),0)</f>
        <v>0</v>
      </c>
      <c r="AA217" s="9">
        <f>IFERROR(VLOOKUP(B217,cubo!$A$6:$BE$37,28,0)-VLOOKUP(B217,#REF!,$AA$2,0),0)</f>
        <v>0</v>
      </c>
      <c r="AB217" s="9">
        <f>IFERROR(VLOOKUP(B217,cubo!$A$6:$BE$37,29,0)-VLOOKUP(B217,#REF!,$AB$2,0),0)</f>
        <v>0</v>
      </c>
      <c r="AC217" s="9">
        <f>IFERROR(VLOOKUP(B217,cubo!$A$6:$BE$37,30,0)-VLOOKUP(B217,#REF!,$AC$2,0),0)</f>
        <v>0</v>
      </c>
      <c r="AD217" s="9">
        <f>IFERROR(VLOOKUP(B217,cubo!$A$6:$BE$37,31,0)-VLOOKUP(B217,#REF!,$AD$2,0),0)</f>
        <v>0</v>
      </c>
      <c r="AE217" s="9">
        <f>IFERROR(VLOOKUP(B217,cubo!$A$6:$BE$37,35,0)-VLOOKUP(B217,#REF!,$AE$2,0),0)</f>
        <v>0</v>
      </c>
      <c r="AF217" s="9" cm="1">
        <f t="array" aca="1" ref="AF217" ca="1">IFERROR(rrPROCV(B217,cubo!$A$6:$BE$37,48,0)-VLOOKUP(B217,#REF!,$AF$2,0),0)</f>
        <v>0</v>
      </c>
      <c r="AG217" s="9">
        <f>IFERROR(VLOOKUP(B217,cubo!$A$6:$BE$37,49,0)-VLOOKUP(B217,#REF!,$AG$2,0),0)</f>
        <v>0</v>
      </c>
      <c r="AH217" s="9">
        <f>IFERROR(VLOOKUP(B217,cubo!$A$6:$BE$37,50,0)-VLOOKUP(B217,#REF!,$AH$2,0),0)</f>
        <v>0</v>
      </c>
      <c r="AI217" s="9">
        <f>IFERROR(VLOOKUP(B217,cubo!$A$6:$BE$37,51,0)-VLOOKUP(B217,#REF!,$AI$2,0),0)</f>
        <v>0</v>
      </c>
      <c r="AJ217" s="9">
        <f>IFERROR(VLOOKUP(B217,cubo!$A$6:$BI$116,62,0)-VLOOKUP(B217,#REF!,$AJ$2,0),0)</f>
        <v>0</v>
      </c>
      <c r="AK217" s="9">
        <f>IFERROR(VLOOKUP(B217,cubo!$A$6:$BJ$37,63,0)-VLOOKUP(B217,#REF!,$AK$2,0),0)</f>
        <v>0</v>
      </c>
      <c r="AL217" s="9">
        <f>IFERROR(VLOOKUP(B217,cubo!$A$6:$BE$37,58,0)-VLOOKUP(B217,#REF!,$AL$2,0),0)</f>
        <v>0</v>
      </c>
      <c r="AM217" s="9">
        <f>IFERROR(VLOOKUP(B217,cubo!$A$6:$BK$37,64,0)-VLOOKUP(B217,#REF!,$AM$2,0),0)</f>
        <v>0</v>
      </c>
      <c r="AN217" s="9">
        <f>IFERROR(VLOOKUP(B217,cubo!$A$6:$AN$37,41,0)-VLOOKUP(B217,#REF!,$AN$2,0),0)</f>
        <v>0</v>
      </c>
    </row>
    <row r="218" spans="2:40" x14ac:dyDescent="0.25">
      <c r="B218" s="7">
        <f>[1]salario!A217</f>
        <v>0</v>
      </c>
      <c r="C218" s="14">
        <f>[1]salario!C217</f>
        <v>0</v>
      </c>
      <c r="D218" s="9">
        <f>IFERROR(VLOOKUP(B218,cubo!$A$6:$BE$37,3,0)-VLOOKUP(B218,#REF!,$D$2,0),0)</f>
        <v>0</v>
      </c>
      <c r="E218" s="10">
        <f>IFERROR(VLOOKUP(B218,cubo!$A$6:$BE$37,5,0)-VLOOKUP(B218,#REF!,$E$2,0),0)</f>
        <v>0</v>
      </c>
      <c r="F218" s="10">
        <f>IFERROR(VLOOKUP(B218,cubo!$A$6:$BE$37,8,0)-VLOOKUP(B218,#REF!,$F$2,0),0)</f>
        <v>0</v>
      </c>
      <c r="G218" s="9">
        <f>IFERROR(VLOOKUP(B218,cubo!$A$6:$BE$37,11,0)-VLOOKUP(B218,#REF!,$G$2,0),0)</f>
        <v>0</v>
      </c>
      <c r="H218" s="9">
        <f>IFERROR(VLOOKUP(B218,cubo!$A$6:$BE$37,53,0)-VLOOKUP(B218,#REF!,$H$2,0),0)</f>
        <v>0</v>
      </c>
      <c r="I218" s="10">
        <f>IFERROR(VLOOKUP(B218,cubo!$A$6:$BE$37,14,0)-VLOOKUP(B218,#REF!,$I$2,0),0)</f>
        <v>0</v>
      </c>
      <c r="J218" s="9">
        <f>IFERROR(VLOOKUP(B218,cubo!$A$6:$BE$37,16,0)-VLOOKUP(B218,#REF!,$J$2,0),0)</f>
        <v>0</v>
      </c>
      <c r="K218" s="9">
        <f>IFERROR(VLOOKUP(B218,cubo!$A$6:$BE$37,17,0)-VLOOKUP(B218,#REF!,$K$2,0),0)</f>
        <v>0</v>
      </c>
      <c r="L218" s="9">
        <f>IFERROR(VLOOKUP(B218,cubo!$A$6:$BE$37,19,0)-VLOOKUP(B218,#REF!,$L$2,0),0)</f>
        <v>0</v>
      </c>
      <c r="M218" s="9">
        <f>IFERROR(VLOOKUP(B218,cubo!$A$6:$BE$37,23,0)-VLOOKUP(B218,#REF!,$M$2,0),0)</f>
        <v>0</v>
      </c>
      <c r="N218" s="9">
        <f>IFERROR(VLOOKUP(B218,cubo!$A$6:$BE$37,25,0)-VLOOKUP(B218,#REF!,$N$2,0),0)</f>
        <v>0</v>
      </c>
      <c r="O218" s="9">
        <f>IFERROR(VLOOKUP(B218,cubo!$A$6:$BE$37,33,0)-VLOOKUP(B218,#REF!,$O$2,0),0)</f>
        <v>0</v>
      </c>
      <c r="P218" s="8">
        <f>IFERROR(VLOOKUP(B218,cubo!$A$6:$BE$37,37,0)-VLOOKUP(B218,#REF!,$P$2,0),0)</f>
        <v>0</v>
      </c>
      <c r="Q218" s="8">
        <f>IFERROR(VLOOKUP(B218,cubo!$A$6:$BE$37,56,0)-VLOOKUP(B218,#REF!,$Q$2,0),0)</f>
        <v>0</v>
      </c>
      <c r="R218" s="9">
        <f>IFERROR(VLOOKUP(B218,cubo!$A$6:$BE$37,40,0)-VLOOKUP(B218,#REF!,$R$2,0),0)</f>
        <v>0</v>
      </c>
      <c r="S218" s="9">
        <f>IFERROR(VLOOKUP(B218,cubo!$A$6:$BE$37,43,0)-VLOOKUP(B218,#REF!,$S$2,0),0)</f>
        <v>0</v>
      </c>
      <c r="T218" s="9">
        <f>IFERROR(VLOOKUP(B218,cubo!$A$6:$BE$37,46,0)-VLOOKUP(B218,#REF!,$T$2,0),0)</f>
        <v>0</v>
      </c>
      <c r="U218" s="9">
        <f>IFERROR(VLOOKUP(B218,cubo!$A$6:$BE$37,51,0)-VLOOKUP(B218,#REF!,$U$2,0),0)</f>
        <v>0</v>
      </c>
      <c r="V218" s="9">
        <f>IFERROR(VLOOKUP(B218,cubo!$A$6:$BJ$37,60,0)-VLOOKUP(B218,#REF!,$V$2,0),0)</f>
        <v>0</v>
      </c>
      <c r="W218" s="9">
        <f>IFERROR(VLOOKUP(B218,cubo!$A$6:$BE$37,26,0)-VLOOKUP(B218,#REF!,$W$2,0),0)</f>
        <v>0</v>
      </c>
      <c r="X218" s="9">
        <f>IFERROR(VLOOKUP(B218,cubo!$A$6:$BE$37,20,0)-VLOOKUP(B218,#REF!,$X$2,0),0)</f>
        <v>0</v>
      </c>
      <c r="Y218" s="9">
        <f>IFERROR(VLOOKUP(B218,cubo!$A$6:$BE$37,21,0)-VLOOKUP(B218,#REF!,$Y$2,0),0)</f>
        <v>0</v>
      </c>
      <c r="Z218" s="9">
        <f>IFERROR(VLOOKUP(B218,cubo!$A$6:$BE$37,27,0)-VLOOKUP(B218,#REF!,$Z$2,0),0)</f>
        <v>0</v>
      </c>
      <c r="AA218" s="9">
        <f>IFERROR(VLOOKUP(B218,cubo!$A$6:$BE$37,28,0)-VLOOKUP(B218,#REF!,$AA$2,0),0)</f>
        <v>0</v>
      </c>
      <c r="AB218" s="9">
        <f>IFERROR(VLOOKUP(B218,cubo!$A$6:$BE$37,29,0)-VLOOKUP(B218,#REF!,$AB$2,0),0)</f>
        <v>0</v>
      </c>
      <c r="AC218" s="9">
        <f>IFERROR(VLOOKUP(B218,cubo!$A$6:$BE$37,30,0)-VLOOKUP(B218,#REF!,$AC$2,0),0)</f>
        <v>0</v>
      </c>
      <c r="AD218" s="9">
        <f>IFERROR(VLOOKUP(B218,cubo!$A$6:$BE$37,31,0)-VLOOKUP(B218,#REF!,$AD$2,0),0)</f>
        <v>0</v>
      </c>
      <c r="AE218" s="9">
        <f>IFERROR(VLOOKUP(B218,cubo!$A$6:$BE$37,35,0)-VLOOKUP(B218,#REF!,$AE$2,0),0)</f>
        <v>0</v>
      </c>
      <c r="AF218" s="9" cm="1">
        <f t="array" aca="1" ref="AF218" ca="1">IFERROR(rrPROCV(B218,cubo!$A$6:$BE$37,48,0)-VLOOKUP(B218,#REF!,$AF$2,0),0)</f>
        <v>0</v>
      </c>
      <c r="AG218" s="9">
        <f>IFERROR(VLOOKUP(B218,cubo!$A$6:$BE$37,49,0)-VLOOKUP(B218,#REF!,$AG$2,0),0)</f>
        <v>0</v>
      </c>
      <c r="AH218" s="9">
        <f>IFERROR(VLOOKUP(B218,cubo!$A$6:$BE$37,50,0)-VLOOKUP(B218,#REF!,$AH$2,0),0)</f>
        <v>0</v>
      </c>
      <c r="AI218" s="9">
        <f>IFERROR(VLOOKUP(B218,cubo!$A$6:$BE$37,51,0)-VLOOKUP(B218,#REF!,$AI$2,0),0)</f>
        <v>0</v>
      </c>
      <c r="AJ218" s="9">
        <f>IFERROR(VLOOKUP(B218,cubo!$A$6:$BI$116,62,0)-VLOOKUP(B218,#REF!,$AJ$2,0),0)</f>
        <v>0</v>
      </c>
      <c r="AK218" s="9">
        <f>IFERROR(VLOOKUP(B218,cubo!$A$6:$BJ$37,63,0)-VLOOKUP(B218,#REF!,$AK$2,0),0)</f>
        <v>0</v>
      </c>
      <c r="AL218" s="9">
        <f>IFERROR(VLOOKUP(B218,cubo!$A$6:$BE$37,58,0)-VLOOKUP(B218,#REF!,$AL$2,0),0)</f>
        <v>0</v>
      </c>
      <c r="AM218" s="9">
        <f>IFERROR(VLOOKUP(B218,cubo!$A$6:$BK$37,64,0)-VLOOKUP(B218,#REF!,$AM$2,0),0)</f>
        <v>0</v>
      </c>
      <c r="AN218" s="9">
        <f>IFERROR(VLOOKUP(B218,cubo!$A$6:$AN$37,41,0)-VLOOKUP(B218,#REF!,$AN$2,0),0)</f>
        <v>0</v>
      </c>
    </row>
    <row r="219" spans="2:40" x14ac:dyDescent="0.25">
      <c r="B219" s="7">
        <f>[1]salario!A218</f>
        <v>0</v>
      </c>
      <c r="C219" s="14">
        <f>[1]salario!C218</f>
        <v>0</v>
      </c>
      <c r="D219" s="9">
        <f>IFERROR(VLOOKUP(B219,cubo!$A$6:$BE$37,3,0)-VLOOKUP(B219,#REF!,$D$2,0),0)</f>
        <v>0</v>
      </c>
      <c r="E219" s="10">
        <f>IFERROR(VLOOKUP(B219,cubo!$A$6:$BE$37,5,0)-VLOOKUP(B219,#REF!,$E$2,0),0)</f>
        <v>0</v>
      </c>
      <c r="F219" s="10">
        <f>IFERROR(VLOOKUP(B219,cubo!$A$6:$BE$37,8,0)-VLOOKUP(B219,#REF!,$F$2,0),0)</f>
        <v>0</v>
      </c>
      <c r="G219" s="9">
        <f>IFERROR(VLOOKUP(B219,cubo!$A$6:$BE$37,11,0)-VLOOKUP(B219,#REF!,$G$2,0),0)</f>
        <v>0</v>
      </c>
      <c r="H219" s="9">
        <f>IFERROR(VLOOKUP(B219,cubo!$A$6:$BE$37,53,0)-VLOOKUP(B219,#REF!,$H$2,0),0)</f>
        <v>0</v>
      </c>
      <c r="I219" s="10">
        <f>IFERROR(VLOOKUP(B219,cubo!$A$6:$BE$37,14,0)-VLOOKUP(B219,#REF!,$I$2,0),0)</f>
        <v>0</v>
      </c>
      <c r="J219" s="9">
        <f>IFERROR(VLOOKUP(B219,cubo!$A$6:$BE$37,16,0)-VLOOKUP(B219,#REF!,$J$2,0),0)</f>
        <v>0</v>
      </c>
      <c r="K219" s="9">
        <f>IFERROR(VLOOKUP(B219,cubo!$A$6:$BE$37,17,0)-VLOOKUP(B219,#REF!,$K$2,0),0)</f>
        <v>0</v>
      </c>
      <c r="L219" s="9">
        <f>IFERROR(VLOOKUP(B219,cubo!$A$6:$BE$37,19,0)-VLOOKUP(B219,#REF!,$L$2,0),0)</f>
        <v>0</v>
      </c>
      <c r="M219" s="9">
        <f>IFERROR(VLOOKUP(B219,cubo!$A$6:$BE$37,23,0)-VLOOKUP(B219,#REF!,$M$2,0),0)</f>
        <v>0</v>
      </c>
      <c r="N219" s="9">
        <f>IFERROR(VLOOKUP(B219,cubo!$A$6:$BE$37,25,0)-VLOOKUP(B219,#REF!,$N$2,0),0)</f>
        <v>0</v>
      </c>
      <c r="O219" s="9">
        <f>IFERROR(VLOOKUP(B219,cubo!$A$6:$BE$37,33,0)-VLOOKUP(B219,#REF!,$O$2,0),0)</f>
        <v>0</v>
      </c>
      <c r="P219" s="8">
        <f>IFERROR(VLOOKUP(B219,cubo!$A$6:$BE$37,37,0)-VLOOKUP(B219,#REF!,$P$2,0),0)</f>
        <v>0</v>
      </c>
      <c r="Q219" s="8">
        <f>IFERROR(VLOOKUP(B219,cubo!$A$6:$BE$37,56,0)-VLOOKUP(B219,#REF!,$Q$2,0),0)</f>
        <v>0</v>
      </c>
      <c r="R219" s="9">
        <f>IFERROR(VLOOKUP(B219,cubo!$A$6:$BE$37,40,0)-VLOOKUP(B219,#REF!,$R$2,0),0)</f>
        <v>0</v>
      </c>
      <c r="S219" s="9">
        <f>IFERROR(VLOOKUP(B219,cubo!$A$6:$BE$37,43,0)-VLOOKUP(B219,#REF!,$S$2,0),0)</f>
        <v>0</v>
      </c>
      <c r="T219" s="9">
        <f>IFERROR(VLOOKUP(B219,cubo!$A$6:$BE$37,46,0)-VLOOKUP(B219,#REF!,$T$2,0),0)</f>
        <v>0</v>
      </c>
      <c r="U219" s="9">
        <f>IFERROR(VLOOKUP(B219,cubo!$A$6:$BE$37,51,0)-VLOOKUP(B219,#REF!,$U$2,0),0)</f>
        <v>0</v>
      </c>
      <c r="V219" s="9">
        <f>IFERROR(VLOOKUP(B219,cubo!$A$6:$BJ$37,60,0)-VLOOKUP(B219,#REF!,$V$2,0),0)</f>
        <v>0</v>
      </c>
      <c r="W219" s="9">
        <f>IFERROR(VLOOKUP(B219,cubo!$A$6:$BE$37,26,0)-VLOOKUP(B219,#REF!,$W$2,0),0)</f>
        <v>0</v>
      </c>
      <c r="X219" s="9">
        <f>IFERROR(VLOOKUP(B219,cubo!$A$6:$BE$37,20,0)-VLOOKUP(B219,#REF!,$X$2,0),0)</f>
        <v>0</v>
      </c>
      <c r="Y219" s="9">
        <f>IFERROR(VLOOKUP(B219,cubo!$A$6:$BE$37,21,0)-VLOOKUP(B219,#REF!,$Y$2,0),0)</f>
        <v>0</v>
      </c>
      <c r="Z219" s="9">
        <f>IFERROR(VLOOKUP(B219,cubo!$A$6:$BE$37,27,0)-VLOOKUP(B219,#REF!,$Z$2,0),0)</f>
        <v>0</v>
      </c>
      <c r="AA219" s="9">
        <f>IFERROR(VLOOKUP(B219,cubo!$A$6:$BE$37,28,0)-VLOOKUP(B219,#REF!,$AA$2,0),0)</f>
        <v>0</v>
      </c>
      <c r="AB219" s="9">
        <f>IFERROR(VLOOKUP(B219,cubo!$A$6:$BE$37,29,0)-VLOOKUP(B219,#REF!,$AB$2,0),0)</f>
        <v>0</v>
      </c>
      <c r="AC219" s="9">
        <f>IFERROR(VLOOKUP(B219,cubo!$A$6:$BE$37,30,0)-VLOOKUP(B219,#REF!,$AC$2,0),0)</f>
        <v>0</v>
      </c>
      <c r="AD219" s="9">
        <f>IFERROR(VLOOKUP(B219,cubo!$A$6:$BE$37,31,0)-VLOOKUP(B219,#REF!,$AD$2,0),0)</f>
        <v>0</v>
      </c>
      <c r="AE219" s="9">
        <f>IFERROR(VLOOKUP(B219,cubo!$A$6:$BE$37,35,0)-VLOOKUP(B219,#REF!,$AE$2,0),0)</f>
        <v>0</v>
      </c>
      <c r="AF219" s="9" cm="1">
        <f t="array" aca="1" ref="AF219" ca="1">IFERROR(rrPROCV(B219,cubo!$A$6:$BE$37,48,0)-VLOOKUP(B219,#REF!,$AF$2,0),0)</f>
        <v>0</v>
      </c>
      <c r="AG219" s="9">
        <f>IFERROR(VLOOKUP(B219,cubo!$A$6:$BE$37,49,0)-VLOOKUP(B219,#REF!,$AG$2,0),0)</f>
        <v>0</v>
      </c>
      <c r="AH219" s="9">
        <f>IFERROR(VLOOKUP(B219,cubo!$A$6:$BE$37,50,0)-VLOOKUP(B219,#REF!,$AH$2,0),0)</f>
        <v>0</v>
      </c>
      <c r="AI219" s="9">
        <f>IFERROR(VLOOKUP(B219,cubo!$A$6:$BE$37,51,0)-VLOOKUP(B219,#REF!,$AI$2,0),0)</f>
        <v>0</v>
      </c>
      <c r="AJ219" s="9">
        <f>IFERROR(VLOOKUP(B219,cubo!$A$6:$BI$116,62,0)-VLOOKUP(B219,#REF!,$AJ$2,0),0)</f>
        <v>0</v>
      </c>
      <c r="AK219" s="9">
        <f>IFERROR(VLOOKUP(B219,cubo!$A$6:$BJ$37,63,0)-VLOOKUP(B219,#REF!,$AK$2,0),0)</f>
        <v>0</v>
      </c>
      <c r="AL219" s="9">
        <f>IFERROR(VLOOKUP(B219,cubo!$A$6:$BE$37,58,0)-VLOOKUP(B219,#REF!,$AL$2,0),0)</f>
        <v>0</v>
      </c>
      <c r="AM219" s="9">
        <f>IFERROR(VLOOKUP(B219,cubo!$A$6:$BK$37,64,0)-VLOOKUP(B219,#REF!,$AM$2,0),0)</f>
        <v>0</v>
      </c>
      <c r="AN219" s="9">
        <f>IFERROR(VLOOKUP(B219,cubo!$A$6:$AN$37,41,0)-VLOOKUP(B219,#REF!,$AN$2,0),0)</f>
        <v>0</v>
      </c>
    </row>
    <row r="220" spans="2:40" x14ac:dyDescent="0.25">
      <c r="B220" s="7">
        <f>[1]salario!A219</f>
        <v>0</v>
      </c>
      <c r="C220" s="14">
        <f>[1]salario!C219</f>
        <v>0</v>
      </c>
      <c r="D220" s="9">
        <f>IFERROR(VLOOKUP(B220,cubo!$A$6:$BE$37,3,0)-VLOOKUP(B220,#REF!,$D$2,0),0)</f>
        <v>0</v>
      </c>
      <c r="E220" s="10">
        <f>IFERROR(VLOOKUP(B220,cubo!$A$6:$BE$37,5,0)-VLOOKUP(B220,#REF!,$E$2,0),0)</f>
        <v>0</v>
      </c>
      <c r="F220" s="10">
        <f>IFERROR(VLOOKUP(B220,cubo!$A$6:$BE$37,8,0)-VLOOKUP(B220,#REF!,$F$2,0),0)</f>
        <v>0</v>
      </c>
      <c r="G220" s="9">
        <f>IFERROR(VLOOKUP(B220,cubo!$A$6:$BE$37,11,0)-VLOOKUP(B220,#REF!,$G$2,0),0)</f>
        <v>0</v>
      </c>
      <c r="H220" s="9">
        <f>IFERROR(VLOOKUP(B220,cubo!$A$6:$BE$37,53,0)-VLOOKUP(B220,#REF!,$H$2,0),0)</f>
        <v>0</v>
      </c>
      <c r="I220" s="10">
        <f>IFERROR(VLOOKUP(B220,cubo!$A$6:$BE$37,14,0)-VLOOKUP(B220,#REF!,$I$2,0),0)</f>
        <v>0</v>
      </c>
      <c r="J220" s="9">
        <f>IFERROR(VLOOKUP(B220,cubo!$A$6:$BE$37,16,0)-VLOOKUP(B220,#REF!,$J$2,0),0)</f>
        <v>0</v>
      </c>
      <c r="K220" s="9">
        <f>IFERROR(VLOOKUP(B220,cubo!$A$6:$BE$37,17,0)-VLOOKUP(B220,#REF!,$K$2,0),0)</f>
        <v>0</v>
      </c>
      <c r="L220" s="9">
        <f>IFERROR(VLOOKUP(B220,cubo!$A$6:$BE$37,19,0)-VLOOKUP(B220,#REF!,$L$2,0),0)</f>
        <v>0</v>
      </c>
      <c r="M220" s="9">
        <f>IFERROR(VLOOKUP(B220,cubo!$A$6:$BE$37,23,0)-VLOOKUP(B220,#REF!,$M$2,0),0)</f>
        <v>0</v>
      </c>
      <c r="N220" s="9">
        <f>IFERROR(VLOOKUP(B220,cubo!$A$6:$BE$37,25,0)-VLOOKUP(B220,#REF!,$N$2,0),0)</f>
        <v>0</v>
      </c>
      <c r="O220" s="9">
        <f>IFERROR(VLOOKUP(B220,cubo!$A$6:$BE$37,33,0)-VLOOKUP(B220,#REF!,$O$2,0),0)</f>
        <v>0</v>
      </c>
      <c r="P220" s="8">
        <f>IFERROR(VLOOKUP(B220,cubo!$A$6:$BE$37,37,0)-VLOOKUP(B220,#REF!,$P$2,0),0)</f>
        <v>0</v>
      </c>
      <c r="Q220" s="8">
        <f>IFERROR(VLOOKUP(B220,cubo!$A$6:$BE$37,56,0)-VLOOKUP(B220,#REF!,$Q$2,0),0)</f>
        <v>0</v>
      </c>
      <c r="R220" s="9">
        <f>IFERROR(VLOOKUP(B220,cubo!$A$6:$BE$37,40,0)-VLOOKUP(B220,#REF!,$R$2,0),0)</f>
        <v>0</v>
      </c>
      <c r="S220" s="9">
        <f>IFERROR(VLOOKUP(B220,cubo!$A$6:$BE$37,43,0)-VLOOKUP(B220,#REF!,$S$2,0),0)</f>
        <v>0</v>
      </c>
      <c r="T220" s="9">
        <f>IFERROR(VLOOKUP(B220,cubo!$A$6:$BE$37,46,0)-VLOOKUP(B220,#REF!,$T$2,0),0)</f>
        <v>0</v>
      </c>
      <c r="U220" s="9">
        <f>IFERROR(VLOOKUP(B220,cubo!$A$6:$BE$37,51,0)-VLOOKUP(B220,#REF!,$U$2,0),0)</f>
        <v>0</v>
      </c>
      <c r="V220" s="9">
        <f>IFERROR(VLOOKUP(B220,cubo!$A$6:$BJ$37,60,0)-VLOOKUP(B220,#REF!,$V$2,0),0)</f>
        <v>0</v>
      </c>
      <c r="W220" s="9">
        <f>IFERROR(VLOOKUP(B220,cubo!$A$6:$BE$37,26,0)-VLOOKUP(B220,#REF!,$W$2,0),0)</f>
        <v>0</v>
      </c>
      <c r="X220" s="9">
        <f>IFERROR(VLOOKUP(B220,cubo!$A$6:$BE$37,20,0)-VLOOKUP(B220,#REF!,$X$2,0),0)</f>
        <v>0</v>
      </c>
      <c r="Y220" s="9">
        <f>IFERROR(VLOOKUP(B220,cubo!$A$6:$BE$37,21,0)-VLOOKUP(B220,#REF!,$Y$2,0),0)</f>
        <v>0</v>
      </c>
      <c r="Z220" s="9">
        <f>IFERROR(VLOOKUP(B220,cubo!$A$6:$BE$37,27,0)-VLOOKUP(B220,#REF!,$Z$2,0),0)</f>
        <v>0</v>
      </c>
      <c r="AA220" s="9">
        <f>IFERROR(VLOOKUP(B220,cubo!$A$6:$BE$37,28,0)-VLOOKUP(B220,#REF!,$AA$2,0),0)</f>
        <v>0</v>
      </c>
      <c r="AB220" s="9">
        <f>IFERROR(VLOOKUP(B220,cubo!$A$6:$BE$37,29,0)-VLOOKUP(B220,#REF!,$AB$2,0),0)</f>
        <v>0</v>
      </c>
      <c r="AC220" s="9">
        <f>IFERROR(VLOOKUP(B220,cubo!$A$6:$BE$37,30,0)-VLOOKUP(B220,#REF!,$AC$2,0),0)</f>
        <v>0</v>
      </c>
      <c r="AD220" s="9">
        <f>IFERROR(VLOOKUP(B220,cubo!$A$6:$BE$37,31,0)-VLOOKUP(B220,#REF!,$AD$2,0),0)</f>
        <v>0</v>
      </c>
      <c r="AE220" s="9">
        <f>IFERROR(VLOOKUP(B220,cubo!$A$6:$BE$37,35,0)-VLOOKUP(B220,#REF!,$AE$2,0),0)</f>
        <v>0</v>
      </c>
      <c r="AF220" s="9" cm="1">
        <f t="array" aca="1" ref="AF220" ca="1">IFERROR(rrPROCV(B220,cubo!$A$6:$BE$37,48,0)-VLOOKUP(B220,#REF!,$AF$2,0),0)</f>
        <v>0</v>
      </c>
      <c r="AG220" s="9">
        <f>IFERROR(VLOOKUP(B220,cubo!$A$6:$BE$37,49,0)-VLOOKUP(B220,#REF!,$AG$2,0),0)</f>
        <v>0</v>
      </c>
      <c r="AH220" s="9">
        <f>IFERROR(VLOOKUP(B220,cubo!$A$6:$BE$37,50,0)-VLOOKUP(B220,#REF!,$AH$2,0),0)</f>
        <v>0</v>
      </c>
      <c r="AI220" s="9">
        <f>IFERROR(VLOOKUP(B220,cubo!$A$6:$BE$37,51,0)-VLOOKUP(B220,#REF!,$AI$2,0),0)</f>
        <v>0</v>
      </c>
      <c r="AJ220" s="9">
        <f>IFERROR(VLOOKUP(B220,cubo!$A$6:$BI$116,62,0)-VLOOKUP(B220,#REF!,$AJ$2,0),0)</f>
        <v>0</v>
      </c>
      <c r="AK220" s="9">
        <f>IFERROR(VLOOKUP(B220,cubo!$A$6:$BJ$37,63,0)-VLOOKUP(B220,#REF!,$AK$2,0),0)</f>
        <v>0</v>
      </c>
      <c r="AL220" s="9">
        <f>IFERROR(VLOOKUP(B220,cubo!$A$6:$BE$37,58,0)-VLOOKUP(B220,#REF!,$AL$2,0),0)</f>
        <v>0</v>
      </c>
      <c r="AM220" s="9">
        <f>IFERROR(VLOOKUP(B220,cubo!$A$6:$BK$37,64,0)-VLOOKUP(B220,#REF!,$AM$2,0),0)</f>
        <v>0</v>
      </c>
      <c r="AN220" s="9">
        <f>IFERROR(VLOOKUP(B220,cubo!$A$6:$AN$37,41,0)-VLOOKUP(B220,#REF!,$AN$2,0),0)</f>
        <v>0</v>
      </c>
    </row>
    <row r="221" spans="2:40" x14ac:dyDescent="0.25">
      <c r="B221" s="7">
        <f>[1]salario!A220</f>
        <v>0</v>
      </c>
      <c r="C221" s="14">
        <f>[1]salario!C220</f>
        <v>0</v>
      </c>
      <c r="D221" s="9">
        <f>IFERROR(VLOOKUP(B221,cubo!$A$6:$BE$37,3,0)-VLOOKUP(B221,#REF!,$D$2,0),0)</f>
        <v>0</v>
      </c>
      <c r="E221" s="10">
        <f>IFERROR(VLOOKUP(B221,cubo!$A$6:$BE$37,5,0)-VLOOKUP(B221,#REF!,$E$2,0),0)</f>
        <v>0</v>
      </c>
      <c r="F221" s="10">
        <f>IFERROR(VLOOKUP(B221,cubo!$A$6:$BE$37,8,0)-VLOOKUP(B221,#REF!,$F$2,0),0)</f>
        <v>0</v>
      </c>
      <c r="G221" s="9">
        <f>IFERROR(VLOOKUP(B221,cubo!$A$6:$BE$37,11,0)-VLOOKUP(B221,#REF!,$G$2,0),0)</f>
        <v>0</v>
      </c>
      <c r="H221" s="9">
        <f>IFERROR(VLOOKUP(B221,cubo!$A$6:$BE$37,53,0)-VLOOKUP(B221,#REF!,$H$2,0),0)</f>
        <v>0</v>
      </c>
      <c r="I221" s="10">
        <f>IFERROR(VLOOKUP(B221,cubo!$A$6:$BE$37,14,0)-VLOOKUP(B221,#REF!,$I$2,0),0)</f>
        <v>0</v>
      </c>
      <c r="J221" s="9">
        <f>IFERROR(VLOOKUP(B221,cubo!$A$6:$BE$37,16,0)-VLOOKUP(B221,#REF!,$J$2,0),0)</f>
        <v>0</v>
      </c>
      <c r="K221" s="9">
        <f>IFERROR(VLOOKUP(B221,cubo!$A$6:$BE$37,17,0)-VLOOKUP(B221,#REF!,$K$2,0),0)</f>
        <v>0</v>
      </c>
      <c r="L221" s="9">
        <f>IFERROR(VLOOKUP(B221,cubo!$A$6:$BE$37,19,0)-VLOOKUP(B221,#REF!,$L$2,0),0)</f>
        <v>0</v>
      </c>
      <c r="M221" s="9">
        <f>IFERROR(VLOOKUP(B221,cubo!$A$6:$BE$37,23,0)-VLOOKUP(B221,#REF!,$M$2,0),0)</f>
        <v>0</v>
      </c>
      <c r="N221" s="9">
        <f>IFERROR(VLOOKUP(B221,cubo!$A$6:$BE$37,25,0)-VLOOKUP(B221,#REF!,$N$2,0),0)</f>
        <v>0</v>
      </c>
      <c r="O221" s="9">
        <f>IFERROR(VLOOKUP(B221,cubo!$A$6:$BE$37,33,0)-VLOOKUP(B221,#REF!,$O$2,0),0)</f>
        <v>0</v>
      </c>
      <c r="P221" s="8">
        <f>IFERROR(VLOOKUP(B221,cubo!$A$6:$BE$37,37,0)-VLOOKUP(B221,#REF!,$P$2,0),0)</f>
        <v>0</v>
      </c>
      <c r="Q221" s="8">
        <f>IFERROR(VLOOKUP(B221,cubo!$A$6:$BE$37,56,0)-VLOOKUP(B221,#REF!,$Q$2,0),0)</f>
        <v>0</v>
      </c>
      <c r="R221" s="9">
        <f>IFERROR(VLOOKUP(B221,cubo!$A$6:$BE$37,40,0)-VLOOKUP(B221,#REF!,$R$2,0),0)</f>
        <v>0</v>
      </c>
      <c r="S221" s="9">
        <f>IFERROR(VLOOKUP(B221,cubo!$A$6:$BE$37,43,0)-VLOOKUP(B221,#REF!,$S$2,0),0)</f>
        <v>0</v>
      </c>
      <c r="T221" s="9">
        <f>IFERROR(VLOOKUP(B221,cubo!$A$6:$BE$37,46,0)-VLOOKUP(B221,#REF!,$T$2,0),0)</f>
        <v>0</v>
      </c>
      <c r="U221" s="9">
        <f>IFERROR(VLOOKUP(B221,cubo!$A$6:$BE$37,51,0)-VLOOKUP(B221,#REF!,$U$2,0),0)</f>
        <v>0</v>
      </c>
      <c r="V221" s="9">
        <f>IFERROR(VLOOKUP(B221,cubo!$A$6:$BJ$37,60,0)-VLOOKUP(B221,#REF!,$V$2,0),0)</f>
        <v>0</v>
      </c>
      <c r="W221" s="9">
        <f>IFERROR(VLOOKUP(B221,cubo!$A$6:$BE$37,26,0)-VLOOKUP(B221,#REF!,$W$2,0),0)</f>
        <v>0</v>
      </c>
      <c r="X221" s="9">
        <f>IFERROR(VLOOKUP(B221,cubo!$A$6:$BE$37,20,0)-VLOOKUP(B221,#REF!,$X$2,0),0)</f>
        <v>0</v>
      </c>
      <c r="Y221" s="9">
        <f>IFERROR(VLOOKUP(B221,cubo!$A$6:$BE$37,21,0)-VLOOKUP(B221,#REF!,$Y$2,0),0)</f>
        <v>0</v>
      </c>
      <c r="Z221" s="9">
        <f>IFERROR(VLOOKUP(B221,cubo!$A$6:$BE$37,27,0)-VLOOKUP(B221,#REF!,$Z$2,0),0)</f>
        <v>0</v>
      </c>
      <c r="AA221" s="9">
        <f>IFERROR(VLOOKUP(B221,cubo!$A$6:$BE$37,28,0)-VLOOKUP(B221,#REF!,$AA$2,0),0)</f>
        <v>0</v>
      </c>
      <c r="AB221" s="9">
        <f>IFERROR(VLOOKUP(B221,cubo!$A$6:$BE$37,29,0)-VLOOKUP(B221,#REF!,$AB$2,0),0)</f>
        <v>0</v>
      </c>
      <c r="AC221" s="9">
        <f>IFERROR(VLOOKUP(B221,cubo!$A$6:$BE$37,30,0)-VLOOKUP(B221,#REF!,$AC$2,0),0)</f>
        <v>0</v>
      </c>
      <c r="AD221" s="9">
        <f>IFERROR(VLOOKUP(B221,cubo!$A$6:$BE$37,31,0)-VLOOKUP(B221,#REF!,$AD$2,0),0)</f>
        <v>0</v>
      </c>
      <c r="AE221" s="9">
        <f>IFERROR(VLOOKUP(B221,cubo!$A$6:$BE$37,35,0)-VLOOKUP(B221,#REF!,$AE$2,0),0)</f>
        <v>0</v>
      </c>
      <c r="AF221" s="9" cm="1">
        <f t="array" aca="1" ref="AF221" ca="1">IFERROR(rrPROCV(B221,cubo!$A$6:$BE$37,48,0)-VLOOKUP(B221,#REF!,$AF$2,0),0)</f>
        <v>0</v>
      </c>
      <c r="AG221" s="9">
        <f>IFERROR(VLOOKUP(B221,cubo!$A$6:$BE$37,49,0)-VLOOKUP(B221,#REF!,$AG$2,0),0)</f>
        <v>0</v>
      </c>
      <c r="AH221" s="9">
        <f>IFERROR(VLOOKUP(B221,cubo!$A$6:$BE$37,50,0)-VLOOKUP(B221,#REF!,$AH$2,0),0)</f>
        <v>0</v>
      </c>
      <c r="AI221" s="9">
        <f>IFERROR(VLOOKUP(B221,cubo!$A$6:$BE$37,51,0)-VLOOKUP(B221,#REF!,$AI$2,0),0)</f>
        <v>0</v>
      </c>
      <c r="AJ221" s="9">
        <f>IFERROR(VLOOKUP(B221,cubo!$A$6:$BI$116,62,0)-VLOOKUP(B221,#REF!,$AJ$2,0),0)</f>
        <v>0</v>
      </c>
      <c r="AK221" s="9">
        <f>IFERROR(VLOOKUP(B221,cubo!$A$6:$BJ$37,63,0)-VLOOKUP(B221,#REF!,$AK$2,0),0)</f>
        <v>0</v>
      </c>
      <c r="AL221" s="9">
        <f>IFERROR(VLOOKUP(B221,cubo!$A$6:$BE$37,58,0)-VLOOKUP(B221,#REF!,$AL$2,0),0)</f>
        <v>0</v>
      </c>
      <c r="AM221" s="9">
        <f>IFERROR(VLOOKUP(B221,cubo!$A$6:$BK$37,64,0)-VLOOKUP(B221,#REF!,$AM$2,0),0)</f>
        <v>0</v>
      </c>
      <c r="AN221" s="9">
        <f>IFERROR(VLOOKUP(B221,cubo!$A$6:$AN$37,41,0)-VLOOKUP(B221,#REF!,$AN$2,0),0)</f>
        <v>0</v>
      </c>
    </row>
    <row r="222" spans="2:40" x14ac:dyDescent="0.25">
      <c r="B222" s="7">
        <f>[1]salario!A221</f>
        <v>0</v>
      </c>
      <c r="C222" s="14">
        <f>[1]salario!C221</f>
        <v>0</v>
      </c>
      <c r="D222" s="9">
        <f>IFERROR(VLOOKUP(B222,cubo!$A$6:$BE$37,3,0)-VLOOKUP(B222,#REF!,$D$2,0),0)</f>
        <v>0</v>
      </c>
      <c r="E222" s="10">
        <f>IFERROR(VLOOKUP(B222,cubo!$A$6:$BE$37,5,0)-VLOOKUP(B222,#REF!,$E$2,0),0)</f>
        <v>0</v>
      </c>
      <c r="F222" s="10">
        <f>IFERROR(VLOOKUP(B222,cubo!$A$6:$BE$37,8,0)-VLOOKUP(B222,#REF!,$F$2,0),0)</f>
        <v>0</v>
      </c>
      <c r="G222" s="9">
        <f>IFERROR(VLOOKUP(B222,cubo!$A$6:$BE$37,11,0)-VLOOKUP(B222,#REF!,$G$2,0),0)</f>
        <v>0</v>
      </c>
      <c r="H222" s="9">
        <f>IFERROR(VLOOKUP(B222,cubo!$A$6:$BE$37,53,0)-VLOOKUP(B222,#REF!,$H$2,0),0)</f>
        <v>0</v>
      </c>
      <c r="I222" s="10">
        <f>IFERROR(VLOOKUP(B222,cubo!$A$6:$BE$37,14,0)-VLOOKUP(B222,#REF!,$I$2,0),0)</f>
        <v>0</v>
      </c>
      <c r="J222" s="9">
        <f>IFERROR(VLOOKUP(B222,cubo!$A$6:$BE$37,16,0)-VLOOKUP(B222,#REF!,$J$2,0),0)</f>
        <v>0</v>
      </c>
      <c r="K222" s="9">
        <f>IFERROR(VLOOKUP(B222,cubo!$A$6:$BE$37,17,0)-VLOOKUP(B222,#REF!,$K$2,0),0)</f>
        <v>0</v>
      </c>
      <c r="L222" s="9">
        <f>IFERROR(VLOOKUP(B222,cubo!$A$6:$BE$37,19,0)-VLOOKUP(B222,#REF!,$L$2,0),0)</f>
        <v>0</v>
      </c>
      <c r="M222" s="9">
        <f>IFERROR(VLOOKUP(B222,cubo!$A$6:$BE$37,23,0)-VLOOKUP(B222,#REF!,$M$2,0),0)</f>
        <v>0</v>
      </c>
      <c r="N222" s="9">
        <f>IFERROR(VLOOKUP(B222,cubo!$A$6:$BE$37,25,0)-VLOOKUP(B222,#REF!,$N$2,0),0)</f>
        <v>0</v>
      </c>
      <c r="O222" s="9">
        <f>IFERROR(VLOOKUP(B222,cubo!$A$6:$BE$37,33,0)-VLOOKUP(B222,#REF!,$O$2,0),0)</f>
        <v>0</v>
      </c>
      <c r="P222" s="8">
        <f>IFERROR(VLOOKUP(B222,cubo!$A$6:$BE$37,37,0)-VLOOKUP(B222,#REF!,$P$2,0),0)</f>
        <v>0</v>
      </c>
      <c r="Q222" s="8">
        <f>IFERROR(VLOOKUP(B222,cubo!$A$6:$BE$37,56,0)-VLOOKUP(B222,#REF!,$Q$2,0),0)</f>
        <v>0</v>
      </c>
      <c r="R222" s="9">
        <f>IFERROR(VLOOKUP(B222,cubo!$A$6:$BE$37,40,0)-VLOOKUP(B222,#REF!,$R$2,0),0)</f>
        <v>0</v>
      </c>
      <c r="S222" s="9">
        <f>IFERROR(VLOOKUP(B222,cubo!$A$6:$BE$37,43,0)-VLOOKUP(B222,#REF!,$S$2,0),0)</f>
        <v>0</v>
      </c>
      <c r="T222" s="9">
        <f>IFERROR(VLOOKUP(B222,cubo!$A$6:$BE$37,46,0)-VLOOKUP(B222,#REF!,$T$2,0),0)</f>
        <v>0</v>
      </c>
      <c r="U222" s="9">
        <f>IFERROR(VLOOKUP(B222,cubo!$A$6:$BE$37,51,0)-VLOOKUP(B222,#REF!,$U$2,0),0)</f>
        <v>0</v>
      </c>
      <c r="V222" s="9">
        <f>IFERROR(VLOOKUP(B222,cubo!$A$6:$BJ$37,60,0)-VLOOKUP(B222,#REF!,$V$2,0),0)</f>
        <v>0</v>
      </c>
      <c r="W222" s="9">
        <f>IFERROR(VLOOKUP(B222,cubo!$A$6:$BE$37,26,0)-VLOOKUP(B222,#REF!,$W$2,0),0)</f>
        <v>0</v>
      </c>
      <c r="X222" s="9">
        <f>IFERROR(VLOOKUP(B222,cubo!$A$6:$BE$37,20,0)-VLOOKUP(B222,#REF!,$X$2,0),0)</f>
        <v>0</v>
      </c>
      <c r="Y222" s="9">
        <f>IFERROR(VLOOKUP(B222,cubo!$A$6:$BE$37,21,0)-VLOOKUP(B222,#REF!,$Y$2,0),0)</f>
        <v>0</v>
      </c>
      <c r="Z222" s="9">
        <f>IFERROR(VLOOKUP(B222,cubo!$A$6:$BE$37,27,0)-VLOOKUP(B222,#REF!,$Z$2,0),0)</f>
        <v>0</v>
      </c>
      <c r="AA222" s="9">
        <f>IFERROR(VLOOKUP(B222,cubo!$A$6:$BE$37,28,0)-VLOOKUP(B222,#REF!,$AA$2,0),0)</f>
        <v>0</v>
      </c>
      <c r="AB222" s="9">
        <f>IFERROR(VLOOKUP(B222,cubo!$A$6:$BE$37,29,0)-VLOOKUP(B222,#REF!,$AB$2,0),0)</f>
        <v>0</v>
      </c>
      <c r="AC222" s="9">
        <f>IFERROR(VLOOKUP(B222,cubo!$A$6:$BE$37,30,0)-VLOOKUP(B222,#REF!,$AC$2,0),0)</f>
        <v>0</v>
      </c>
      <c r="AD222" s="9">
        <f>IFERROR(VLOOKUP(B222,cubo!$A$6:$BE$37,31,0)-VLOOKUP(B222,#REF!,$AD$2,0),0)</f>
        <v>0</v>
      </c>
      <c r="AE222" s="9">
        <f>IFERROR(VLOOKUP(B222,cubo!$A$6:$BE$37,35,0)-VLOOKUP(B222,#REF!,$AE$2,0),0)</f>
        <v>0</v>
      </c>
      <c r="AF222" s="9" cm="1">
        <f t="array" aca="1" ref="AF222" ca="1">IFERROR(rrPROCV(B222,cubo!$A$6:$BE$37,48,0)-VLOOKUP(B222,#REF!,$AF$2,0),0)</f>
        <v>0</v>
      </c>
      <c r="AG222" s="9">
        <f>IFERROR(VLOOKUP(B222,cubo!$A$6:$BE$37,49,0)-VLOOKUP(B222,#REF!,$AG$2,0),0)</f>
        <v>0</v>
      </c>
      <c r="AH222" s="9">
        <f>IFERROR(VLOOKUP(B222,cubo!$A$6:$BE$37,50,0)-VLOOKUP(B222,#REF!,$AH$2,0),0)</f>
        <v>0</v>
      </c>
      <c r="AI222" s="9">
        <f>IFERROR(VLOOKUP(B222,cubo!$A$6:$BE$37,51,0)-VLOOKUP(B222,#REF!,$AI$2,0),0)</f>
        <v>0</v>
      </c>
      <c r="AJ222" s="9">
        <f>IFERROR(VLOOKUP(B222,cubo!$A$6:$BI$116,62,0)-VLOOKUP(B222,#REF!,$AJ$2,0),0)</f>
        <v>0</v>
      </c>
      <c r="AK222" s="9">
        <f>IFERROR(VLOOKUP(B222,cubo!$A$6:$BJ$37,63,0)-VLOOKUP(B222,#REF!,$AK$2,0),0)</f>
        <v>0</v>
      </c>
      <c r="AL222" s="9">
        <f>IFERROR(VLOOKUP(B222,cubo!$A$6:$BE$37,58,0)-VLOOKUP(B222,#REF!,$AL$2,0),0)</f>
        <v>0</v>
      </c>
      <c r="AM222" s="9">
        <f>IFERROR(VLOOKUP(B222,cubo!$A$6:$BK$37,64,0)-VLOOKUP(B222,#REF!,$AM$2,0),0)</f>
        <v>0</v>
      </c>
      <c r="AN222" s="9">
        <f>IFERROR(VLOOKUP(B222,cubo!$A$6:$AN$37,41,0)-VLOOKUP(B222,#REF!,$AN$2,0),0)</f>
        <v>0</v>
      </c>
    </row>
    <row r="223" spans="2:40" x14ac:dyDescent="0.25">
      <c r="B223" s="7">
        <f>[1]salario!A222</f>
        <v>0</v>
      </c>
      <c r="C223" s="8">
        <f>[1]salario!C222</f>
        <v>0</v>
      </c>
      <c r="D223" s="9">
        <f>IFERROR(VLOOKUP(B223,cubo!$A$6:$BE$37,3,0)-VLOOKUP(B223,#REF!,$D$2,0),0)</f>
        <v>0</v>
      </c>
      <c r="E223" s="10">
        <f>IFERROR(VLOOKUP(B223,cubo!$A$6:$BE$37,5,0)-VLOOKUP(B223,#REF!,$E$2,0),0)</f>
        <v>0</v>
      </c>
      <c r="F223" s="10">
        <f>IFERROR(VLOOKUP(B223,cubo!$A$6:$BE$37,8,0)-VLOOKUP(B223,#REF!,$F$2,0),0)</f>
        <v>0</v>
      </c>
      <c r="G223" s="9">
        <f>IFERROR(VLOOKUP(B223,cubo!$A$6:$BE$37,11,0)-VLOOKUP(B223,#REF!,$G$2,0),0)</f>
        <v>0</v>
      </c>
      <c r="H223" s="9">
        <f>IFERROR(VLOOKUP(B223,cubo!$A$6:$BE$37,53,0)-VLOOKUP(B223,#REF!,$H$2,0),0)</f>
        <v>0</v>
      </c>
      <c r="I223" s="10">
        <f>IFERROR(VLOOKUP(B223,cubo!$A$6:$BE$37,14,0)-VLOOKUP(B223,#REF!,$I$2,0),0)</f>
        <v>0</v>
      </c>
      <c r="J223" s="9">
        <f>IFERROR(VLOOKUP(B223,cubo!$A$6:$BE$37,16,0)-VLOOKUP(B223,#REF!,$J$2,0),0)</f>
        <v>0</v>
      </c>
      <c r="K223" s="9">
        <f>IFERROR(VLOOKUP(B223,cubo!$A$6:$BE$37,17,0)-VLOOKUP(B223,#REF!,$K$2,0),0)</f>
        <v>0</v>
      </c>
      <c r="L223" s="9">
        <f>IFERROR(VLOOKUP(B223,cubo!$A$6:$BE$37,19,0)-VLOOKUP(B223,#REF!,$L$2,0),0)</f>
        <v>0</v>
      </c>
      <c r="M223" s="9">
        <f>IFERROR(VLOOKUP(B223,cubo!$A$6:$BE$37,23,0)-VLOOKUP(B223,#REF!,$M$2,0),0)</f>
        <v>0</v>
      </c>
      <c r="N223" s="9">
        <f>IFERROR(VLOOKUP(B223,cubo!$A$6:$BE$37,25,0)-VLOOKUP(B223,#REF!,$N$2,0),0)</f>
        <v>0</v>
      </c>
      <c r="O223" s="9">
        <f>IFERROR(VLOOKUP(B223,cubo!$A$6:$BE$37,33,0)-VLOOKUP(B223,#REF!,$O$2,0),0)</f>
        <v>0</v>
      </c>
      <c r="P223" s="8">
        <f>IFERROR(VLOOKUP(B223,cubo!$A$6:$BE$37,37,0)-VLOOKUP(B223,#REF!,$P$2,0),0)</f>
        <v>0</v>
      </c>
      <c r="Q223" s="8">
        <f>IFERROR(VLOOKUP(B223,cubo!$A$6:$BE$37,56,0)-VLOOKUP(B223,#REF!,$Q$2,0),0)</f>
        <v>0</v>
      </c>
      <c r="R223" s="9">
        <f>IFERROR(VLOOKUP(B223,cubo!$A$6:$BE$37,40,0)-VLOOKUP(B223,#REF!,$R$2,0),0)</f>
        <v>0</v>
      </c>
      <c r="S223" s="9">
        <f>IFERROR(VLOOKUP(B223,cubo!$A$6:$BE$37,43,0)-VLOOKUP(B223,#REF!,$S$2,0),0)</f>
        <v>0</v>
      </c>
      <c r="T223" s="9">
        <f>IFERROR(VLOOKUP(B223,cubo!$A$6:$BE$37,46,0)-VLOOKUP(B223,#REF!,$T$2,0),0)</f>
        <v>0</v>
      </c>
      <c r="U223" s="9">
        <f>IFERROR(VLOOKUP(B223,cubo!$A$6:$BE$37,51,0)-VLOOKUP(B223,#REF!,$U$2,0),0)</f>
        <v>0</v>
      </c>
      <c r="V223" s="9">
        <f>IFERROR(VLOOKUP(B223,cubo!$A$6:$BJ$37,60,0)-VLOOKUP(B223,#REF!,$V$2,0),0)</f>
        <v>0</v>
      </c>
      <c r="W223" s="9">
        <f>IFERROR(VLOOKUP(B223,cubo!$A$6:$BE$37,26,0)-VLOOKUP(B223,#REF!,$W$2,0),0)</f>
        <v>0</v>
      </c>
      <c r="X223" s="9">
        <f>IFERROR(VLOOKUP(B223,cubo!$A$6:$BE$37,20,0)-VLOOKUP(B223,#REF!,$X$2,0),0)</f>
        <v>0</v>
      </c>
      <c r="Y223" s="9">
        <f>IFERROR(VLOOKUP(B223,cubo!$A$6:$BE$37,21,0)-VLOOKUP(B223,#REF!,$Y$2,0),0)</f>
        <v>0</v>
      </c>
      <c r="Z223" s="9">
        <f>IFERROR(VLOOKUP(B223,cubo!$A$6:$BE$37,27,0)-VLOOKUP(B223,#REF!,$Z$2,0),0)</f>
        <v>0</v>
      </c>
      <c r="AA223" s="9">
        <f>IFERROR(VLOOKUP(B223,cubo!$A$6:$BE$37,28,0)-VLOOKUP(B223,#REF!,$AA$2,0),0)</f>
        <v>0</v>
      </c>
      <c r="AB223" s="9">
        <f>IFERROR(VLOOKUP(B223,cubo!$A$6:$BE$37,29,0)-VLOOKUP(B223,#REF!,$AB$2,0),0)</f>
        <v>0</v>
      </c>
      <c r="AC223" s="9">
        <f>IFERROR(VLOOKUP(B223,cubo!$A$6:$BE$37,30,0)-VLOOKUP(B223,#REF!,$AC$2,0),0)</f>
        <v>0</v>
      </c>
      <c r="AD223" s="9">
        <f>IFERROR(VLOOKUP(B223,cubo!$A$6:$BE$37,31,0)-VLOOKUP(B223,#REF!,$AD$2,0),0)</f>
        <v>0</v>
      </c>
      <c r="AE223" s="9">
        <f>IFERROR(VLOOKUP(B223,cubo!$A$6:$BE$37,35,0)-VLOOKUP(B223,#REF!,$AE$2,0),0)</f>
        <v>0</v>
      </c>
      <c r="AF223" s="9" cm="1">
        <f t="array" aca="1" ref="AF223" ca="1">IFERROR(rrPROCV(B223,cubo!$A$6:$BE$37,48,0)-VLOOKUP(B223,#REF!,$AF$2,0),0)</f>
        <v>0</v>
      </c>
      <c r="AG223" s="9">
        <f>IFERROR(VLOOKUP(B223,cubo!$A$6:$BE$37,49,0)-VLOOKUP(B223,#REF!,$AG$2,0),0)</f>
        <v>0</v>
      </c>
      <c r="AH223" s="9">
        <f>IFERROR(VLOOKUP(B223,cubo!$A$6:$BE$37,50,0)-VLOOKUP(B223,#REF!,$AH$2,0),0)</f>
        <v>0</v>
      </c>
      <c r="AI223" s="9">
        <f>IFERROR(VLOOKUP(B223,cubo!$A$6:$BE$37,51,0)-VLOOKUP(B223,#REF!,$AI$2,0),0)</f>
        <v>0</v>
      </c>
      <c r="AJ223" s="9">
        <f>IFERROR(VLOOKUP(B223,cubo!$A$6:$BI$116,62,0)-VLOOKUP(B223,#REF!,$AJ$2,0),0)</f>
        <v>0</v>
      </c>
      <c r="AK223" s="9">
        <f>IFERROR(VLOOKUP(B223,cubo!$A$6:$BJ$37,63,0)-VLOOKUP(B223,#REF!,$AK$2,0),0)</f>
        <v>0</v>
      </c>
      <c r="AL223" s="9">
        <f>IFERROR(VLOOKUP(B223,cubo!$A$6:$BE$37,58,0)-VLOOKUP(B223,#REF!,$AL$2,0),0)</f>
        <v>0</v>
      </c>
      <c r="AM223" s="9">
        <f>IFERROR(VLOOKUP(B223,cubo!$A$6:$BK$37,64,0)-VLOOKUP(B223,#REF!,$AM$2,0),0)</f>
        <v>0</v>
      </c>
      <c r="AN223" s="9">
        <f>IFERROR(VLOOKUP(B223,cubo!$A$6:$AN$37,41,0)-VLOOKUP(B223,#REF!,$AN$2,0),0)</f>
        <v>0</v>
      </c>
    </row>
    <row r="224" spans="2:40" x14ac:dyDescent="0.25">
      <c r="B224" s="7">
        <f>[1]salario!A223</f>
        <v>0</v>
      </c>
      <c r="C224" s="8">
        <f>[1]salario!C223</f>
        <v>0</v>
      </c>
      <c r="D224" s="9">
        <f>IFERROR(VLOOKUP(B224,cubo!$A$6:$BE$37,3,0)-VLOOKUP(B224,#REF!,$D$2,0),0)</f>
        <v>0</v>
      </c>
      <c r="E224" s="10">
        <f>IFERROR(VLOOKUP(B224,cubo!$A$6:$BE$37,5,0)-VLOOKUP(B224,#REF!,$E$2,0),0)</f>
        <v>0</v>
      </c>
      <c r="F224" s="10">
        <f>IFERROR(VLOOKUP(B224,cubo!$A$6:$BE$37,8,0)-VLOOKUP(B224,#REF!,$F$2,0),0)</f>
        <v>0</v>
      </c>
      <c r="G224" s="9">
        <f>IFERROR(VLOOKUP(B224,cubo!$A$6:$BE$37,11,0)-VLOOKUP(B224,#REF!,$G$2,0),0)</f>
        <v>0</v>
      </c>
      <c r="H224" s="9">
        <f>IFERROR(VLOOKUP(B224,cubo!$A$6:$BE$37,53,0)-VLOOKUP(B224,#REF!,$H$2,0),0)</f>
        <v>0</v>
      </c>
      <c r="I224" s="10">
        <f>IFERROR(VLOOKUP(B224,cubo!$A$6:$BE$37,14,0)-VLOOKUP(B224,#REF!,$I$2,0),0)</f>
        <v>0</v>
      </c>
      <c r="J224" s="9">
        <f>IFERROR(VLOOKUP(B224,cubo!$A$6:$BE$37,16,0)-VLOOKUP(B224,#REF!,$J$2,0),0)</f>
        <v>0</v>
      </c>
      <c r="K224" s="9">
        <f>IFERROR(VLOOKUP(B224,cubo!$A$6:$BE$37,17,0)-VLOOKUP(B224,#REF!,$K$2,0),0)</f>
        <v>0</v>
      </c>
      <c r="L224" s="9">
        <f>IFERROR(VLOOKUP(B224,cubo!$A$6:$BE$37,19,0)-VLOOKUP(B224,#REF!,$L$2,0),0)</f>
        <v>0</v>
      </c>
      <c r="M224" s="9">
        <f>IFERROR(VLOOKUP(B224,cubo!$A$6:$BE$37,23,0)-VLOOKUP(B224,#REF!,$M$2,0),0)</f>
        <v>0</v>
      </c>
      <c r="N224" s="9">
        <f>IFERROR(VLOOKUP(B224,cubo!$A$6:$BE$37,25,0)-VLOOKUP(B224,#REF!,$N$2,0),0)</f>
        <v>0</v>
      </c>
      <c r="O224" s="9">
        <f>IFERROR(VLOOKUP(B224,cubo!$A$6:$BE$37,33,0)-VLOOKUP(B224,#REF!,$O$2,0),0)</f>
        <v>0</v>
      </c>
      <c r="P224" s="8">
        <f>IFERROR(VLOOKUP(B224,cubo!$A$6:$BE$37,37,0)-VLOOKUP(B224,#REF!,$P$2,0),0)</f>
        <v>0</v>
      </c>
      <c r="Q224" s="8">
        <f>IFERROR(VLOOKUP(B224,cubo!$A$6:$BE$37,56,0)-VLOOKUP(B224,#REF!,$Q$2,0),0)</f>
        <v>0</v>
      </c>
      <c r="R224" s="9">
        <f>IFERROR(VLOOKUP(B224,cubo!$A$6:$BE$37,40,0)-VLOOKUP(B224,#REF!,$R$2,0),0)</f>
        <v>0</v>
      </c>
      <c r="S224" s="9">
        <f>IFERROR(VLOOKUP(B224,cubo!$A$6:$BE$37,43,0)-VLOOKUP(B224,#REF!,$S$2,0),0)</f>
        <v>0</v>
      </c>
      <c r="T224" s="9">
        <f>IFERROR(VLOOKUP(B224,cubo!$A$6:$BE$37,46,0)-VLOOKUP(B224,#REF!,$T$2,0),0)</f>
        <v>0</v>
      </c>
      <c r="U224" s="9">
        <f>IFERROR(VLOOKUP(B224,cubo!$A$6:$BE$37,51,0)-VLOOKUP(B224,#REF!,$U$2,0),0)</f>
        <v>0</v>
      </c>
      <c r="V224" s="9">
        <f>IFERROR(VLOOKUP(B224,cubo!$A$6:$BJ$37,60,0)-VLOOKUP(B224,#REF!,$V$2,0),0)</f>
        <v>0</v>
      </c>
      <c r="W224" s="9">
        <f>IFERROR(VLOOKUP(B224,cubo!$A$6:$BE$37,26,0)-VLOOKUP(B224,#REF!,$W$2,0),0)</f>
        <v>0</v>
      </c>
      <c r="X224" s="9">
        <f>IFERROR(VLOOKUP(B224,cubo!$A$6:$BE$37,20,0)-VLOOKUP(B224,#REF!,$X$2,0),0)</f>
        <v>0</v>
      </c>
      <c r="Y224" s="9">
        <f>IFERROR(VLOOKUP(B224,cubo!$A$6:$BE$37,21,0)-VLOOKUP(B224,#REF!,$Y$2,0),0)</f>
        <v>0</v>
      </c>
      <c r="Z224" s="9">
        <f>IFERROR(VLOOKUP(B224,cubo!$A$6:$BE$37,27,0)-VLOOKUP(B224,#REF!,$Z$2,0),0)</f>
        <v>0</v>
      </c>
      <c r="AA224" s="9">
        <f>IFERROR(VLOOKUP(B224,cubo!$A$6:$BE$37,28,0)-VLOOKUP(B224,#REF!,$AA$2,0),0)</f>
        <v>0</v>
      </c>
      <c r="AB224" s="9">
        <f>IFERROR(VLOOKUP(B224,cubo!$A$6:$BE$37,29,0)-VLOOKUP(B224,#REF!,$AB$2,0),0)</f>
        <v>0</v>
      </c>
      <c r="AC224" s="9">
        <f>IFERROR(VLOOKUP(B224,cubo!$A$6:$BE$37,30,0)-VLOOKUP(B224,#REF!,$AC$2,0),0)</f>
        <v>0</v>
      </c>
      <c r="AD224" s="9">
        <f>IFERROR(VLOOKUP(B224,cubo!$A$6:$BE$37,31,0)-VLOOKUP(B224,#REF!,$AD$2,0),0)</f>
        <v>0</v>
      </c>
      <c r="AE224" s="9">
        <f>IFERROR(VLOOKUP(B224,cubo!$A$6:$BE$37,35,0)-VLOOKUP(B224,#REF!,$AE$2,0),0)</f>
        <v>0</v>
      </c>
      <c r="AF224" s="9" cm="1">
        <f t="array" aca="1" ref="AF224" ca="1">IFERROR(rrPROCV(B224,cubo!$A$6:$BE$37,48,0)-VLOOKUP(B224,#REF!,$AF$2,0),0)</f>
        <v>0</v>
      </c>
      <c r="AG224" s="9">
        <f>IFERROR(VLOOKUP(B224,cubo!$A$6:$BE$37,49,0)-VLOOKUP(B224,#REF!,$AG$2,0),0)</f>
        <v>0</v>
      </c>
      <c r="AH224" s="9">
        <f>IFERROR(VLOOKUP(B224,cubo!$A$6:$BE$37,50,0)-VLOOKUP(B224,#REF!,$AH$2,0),0)</f>
        <v>0</v>
      </c>
      <c r="AI224" s="9">
        <f>IFERROR(VLOOKUP(B224,cubo!$A$6:$BE$37,51,0)-VLOOKUP(B224,#REF!,$AI$2,0),0)</f>
        <v>0</v>
      </c>
      <c r="AJ224" s="9">
        <f>IFERROR(VLOOKUP(B224,cubo!$A$6:$BI$116,62,0)-VLOOKUP(B224,#REF!,$AJ$2,0),0)</f>
        <v>0</v>
      </c>
      <c r="AK224" s="9">
        <f>IFERROR(VLOOKUP(B224,cubo!$A$6:$BJ$37,63,0)-VLOOKUP(B224,#REF!,$AK$2,0),0)</f>
        <v>0</v>
      </c>
      <c r="AL224" s="9">
        <f>IFERROR(VLOOKUP(B224,cubo!$A$6:$BE$37,58,0)-VLOOKUP(B224,#REF!,$AL$2,0),0)</f>
        <v>0</v>
      </c>
      <c r="AM224" s="9">
        <f>IFERROR(VLOOKUP(B224,cubo!$A$6:$BK$37,64,0)-VLOOKUP(B224,#REF!,$AM$2,0),0)</f>
        <v>0</v>
      </c>
      <c r="AN224" s="9">
        <f>IFERROR(VLOOKUP(B224,cubo!$A$6:$AN$37,41,0)-VLOOKUP(B224,#REF!,$AN$2,0),0)</f>
        <v>0</v>
      </c>
    </row>
    <row r="225" spans="2:40" x14ac:dyDescent="0.25">
      <c r="B225" s="7">
        <f>[1]salario!A224</f>
        <v>0</v>
      </c>
      <c r="C225" s="8">
        <f>[1]salario!C224</f>
        <v>0</v>
      </c>
      <c r="D225" s="9">
        <f>IFERROR(VLOOKUP(B225,cubo!$A$6:$BE$37,3,0)-VLOOKUP(B225,#REF!,$D$2,0),0)</f>
        <v>0</v>
      </c>
      <c r="E225" s="10">
        <f>IFERROR(VLOOKUP(B225,cubo!$A$6:$BE$37,5,0)-VLOOKUP(B225,#REF!,$E$2,0),0)</f>
        <v>0</v>
      </c>
      <c r="F225" s="10">
        <f>IFERROR(VLOOKUP(B225,cubo!$A$6:$BE$37,8,0)-VLOOKUP(B225,#REF!,$F$2,0),0)</f>
        <v>0</v>
      </c>
      <c r="G225" s="9">
        <f>IFERROR(VLOOKUP(B225,cubo!$A$6:$BE$37,11,0)-VLOOKUP(B225,#REF!,$G$2,0),0)</f>
        <v>0</v>
      </c>
      <c r="H225" s="9">
        <f>IFERROR(VLOOKUP(B225,cubo!$A$6:$BE$37,53,0)-VLOOKUP(B225,#REF!,$H$2,0),0)</f>
        <v>0</v>
      </c>
      <c r="I225" s="10">
        <f>IFERROR(VLOOKUP(B225,cubo!$A$6:$BE$37,14,0)-VLOOKUP(B225,#REF!,$I$2,0),0)</f>
        <v>0</v>
      </c>
      <c r="J225" s="9">
        <f>IFERROR(VLOOKUP(B225,cubo!$A$6:$BE$37,16,0)-VLOOKUP(B225,#REF!,$J$2,0),0)</f>
        <v>0</v>
      </c>
      <c r="K225" s="9">
        <f>IFERROR(VLOOKUP(B225,cubo!$A$6:$BE$37,17,0)-VLOOKUP(B225,#REF!,$K$2,0),0)</f>
        <v>0</v>
      </c>
      <c r="L225" s="9">
        <f>IFERROR(VLOOKUP(B225,cubo!$A$6:$BE$37,19,0)-VLOOKUP(B225,#REF!,$L$2,0),0)</f>
        <v>0</v>
      </c>
      <c r="M225" s="9">
        <f>IFERROR(VLOOKUP(B225,cubo!$A$6:$BE$37,23,0)-VLOOKUP(B225,#REF!,$M$2,0),0)</f>
        <v>0</v>
      </c>
      <c r="N225" s="9">
        <f>IFERROR(VLOOKUP(B225,cubo!$A$6:$BE$37,25,0)-VLOOKUP(B225,#REF!,$N$2,0),0)</f>
        <v>0</v>
      </c>
      <c r="O225" s="9">
        <f>IFERROR(VLOOKUP(B225,cubo!$A$6:$BE$37,33,0)-VLOOKUP(B225,#REF!,$O$2,0),0)</f>
        <v>0</v>
      </c>
      <c r="P225" s="8">
        <f>IFERROR(VLOOKUP(B225,cubo!$A$6:$BE$37,37,0)-VLOOKUP(B225,#REF!,$P$2,0),0)</f>
        <v>0</v>
      </c>
      <c r="Q225" s="8">
        <f>IFERROR(VLOOKUP(B225,cubo!$A$6:$BE$37,56,0)-VLOOKUP(B225,#REF!,$Q$2,0),0)</f>
        <v>0</v>
      </c>
      <c r="R225" s="9">
        <f>IFERROR(VLOOKUP(B225,cubo!$A$6:$BE$37,40,0)-VLOOKUP(B225,#REF!,$R$2,0),0)</f>
        <v>0</v>
      </c>
      <c r="S225" s="9">
        <f>IFERROR(VLOOKUP(B225,cubo!$A$6:$BE$37,43,0)-VLOOKUP(B225,#REF!,$S$2,0),0)</f>
        <v>0</v>
      </c>
      <c r="T225" s="9">
        <f>IFERROR(VLOOKUP(B225,cubo!$A$6:$BE$37,46,0)-VLOOKUP(B225,#REF!,$T$2,0),0)</f>
        <v>0</v>
      </c>
      <c r="U225" s="9">
        <f>IFERROR(VLOOKUP(B225,cubo!$A$6:$BE$37,51,0)-VLOOKUP(B225,#REF!,$U$2,0),0)</f>
        <v>0</v>
      </c>
      <c r="V225" s="9">
        <f>IFERROR(VLOOKUP(B225,cubo!$A$6:$BJ$37,60,0)-VLOOKUP(B225,#REF!,$V$2,0),0)</f>
        <v>0</v>
      </c>
      <c r="W225" s="9">
        <f>IFERROR(VLOOKUP(B225,cubo!$A$6:$BE$37,26,0)-VLOOKUP(B225,#REF!,$W$2,0),0)</f>
        <v>0</v>
      </c>
      <c r="X225" s="9">
        <f>IFERROR(VLOOKUP(B225,cubo!$A$6:$BE$37,20,0)-VLOOKUP(B225,#REF!,$X$2,0),0)</f>
        <v>0</v>
      </c>
      <c r="Y225" s="9">
        <f>IFERROR(VLOOKUP(B225,cubo!$A$6:$BE$37,21,0)-VLOOKUP(B225,#REF!,$Y$2,0),0)</f>
        <v>0</v>
      </c>
      <c r="Z225" s="9">
        <f>IFERROR(VLOOKUP(B225,cubo!$A$6:$BE$37,27,0)-VLOOKUP(B225,#REF!,$Z$2,0),0)</f>
        <v>0</v>
      </c>
      <c r="AA225" s="9">
        <f>IFERROR(VLOOKUP(B225,cubo!$A$6:$BE$37,28,0)-VLOOKUP(B225,#REF!,$AA$2,0),0)</f>
        <v>0</v>
      </c>
      <c r="AB225" s="9">
        <f>IFERROR(VLOOKUP(B225,cubo!$A$6:$BE$37,29,0)-VLOOKUP(B225,#REF!,$AB$2,0),0)</f>
        <v>0</v>
      </c>
      <c r="AC225" s="9">
        <f>IFERROR(VLOOKUP(B225,cubo!$A$6:$BE$37,30,0)-VLOOKUP(B225,#REF!,$AC$2,0),0)</f>
        <v>0</v>
      </c>
      <c r="AD225" s="9">
        <f>IFERROR(VLOOKUP(B225,cubo!$A$6:$BE$37,31,0)-VLOOKUP(B225,#REF!,$AD$2,0),0)</f>
        <v>0</v>
      </c>
      <c r="AE225" s="9">
        <f>IFERROR(VLOOKUP(B225,cubo!$A$6:$BE$37,35,0)-VLOOKUP(B225,#REF!,$AE$2,0),0)</f>
        <v>0</v>
      </c>
      <c r="AF225" s="9" cm="1">
        <f t="array" aca="1" ref="AF225" ca="1">IFERROR(rrPROCV(B225,cubo!$A$6:$BE$37,48,0)-VLOOKUP(B225,#REF!,$AF$2,0),0)</f>
        <v>0</v>
      </c>
      <c r="AG225" s="9">
        <f>IFERROR(VLOOKUP(B225,cubo!$A$6:$BE$37,49,0)-VLOOKUP(B225,#REF!,$AG$2,0),0)</f>
        <v>0</v>
      </c>
      <c r="AH225" s="9">
        <f>IFERROR(VLOOKUP(B225,cubo!$A$6:$BE$37,50,0)-VLOOKUP(B225,#REF!,$AH$2,0),0)</f>
        <v>0</v>
      </c>
      <c r="AI225" s="9">
        <f>IFERROR(VLOOKUP(B225,cubo!$A$6:$BE$37,51,0)-VLOOKUP(B225,#REF!,$AI$2,0),0)</f>
        <v>0</v>
      </c>
      <c r="AJ225" s="9">
        <f>IFERROR(VLOOKUP(B225,cubo!$A$6:$BI$116,62,0)-VLOOKUP(B225,#REF!,$AJ$2,0),0)</f>
        <v>0</v>
      </c>
      <c r="AK225" s="9">
        <f>IFERROR(VLOOKUP(B225,cubo!$A$6:$BJ$37,63,0)-VLOOKUP(B225,#REF!,$AK$2,0),0)</f>
        <v>0</v>
      </c>
      <c r="AL225" s="9">
        <f>IFERROR(VLOOKUP(B225,cubo!$A$6:$BE$37,58,0)-VLOOKUP(B225,#REF!,$AL$2,0),0)</f>
        <v>0</v>
      </c>
      <c r="AM225" s="9">
        <f>IFERROR(VLOOKUP(B225,cubo!$A$6:$BK$37,64,0)-VLOOKUP(B225,#REF!,$AM$2,0),0)</f>
        <v>0</v>
      </c>
      <c r="AN225" s="9">
        <f>IFERROR(VLOOKUP(B225,cubo!$A$6:$AN$37,41,0)-VLOOKUP(B225,#REF!,$AN$2,0),0)</f>
        <v>0</v>
      </c>
    </row>
    <row r="226" spans="2:40" x14ac:dyDescent="0.25">
      <c r="B226" s="7">
        <f>[1]salario!A225</f>
        <v>0</v>
      </c>
      <c r="C226" s="8">
        <f>[1]salario!C225</f>
        <v>0</v>
      </c>
      <c r="D226" s="9">
        <f>IFERROR(VLOOKUP(B226,cubo!$A$6:$BE$37,3,0)-VLOOKUP(B226,#REF!,$D$2,0),0)</f>
        <v>0</v>
      </c>
      <c r="E226" s="10">
        <f>IFERROR(VLOOKUP(B226,cubo!$A$6:$BE$37,5,0)-VLOOKUP(B226,#REF!,$E$2,0),0)</f>
        <v>0</v>
      </c>
      <c r="F226" s="10">
        <f>IFERROR(VLOOKUP(B226,cubo!$A$6:$BE$37,8,0)-VLOOKUP(B226,#REF!,$F$2,0),0)</f>
        <v>0</v>
      </c>
      <c r="G226" s="9">
        <f>IFERROR(VLOOKUP(B226,cubo!$A$6:$BE$37,11,0)-VLOOKUP(B226,#REF!,$G$2,0),0)</f>
        <v>0</v>
      </c>
      <c r="H226" s="9">
        <f>IFERROR(VLOOKUP(B226,cubo!$A$6:$BE$37,53,0)-VLOOKUP(B226,#REF!,$H$2,0),0)</f>
        <v>0</v>
      </c>
      <c r="I226" s="10">
        <f>IFERROR(VLOOKUP(B226,cubo!$A$6:$BE$37,14,0)-VLOOKUP(B226,#REF!,$I$2,0),0)</f>
        <v>0</v>
      </c>
      <c r="J226" s="9">
        <f>IFERROR(VLOOKUP(B226,cubo!$A$6:$BE$37,16,0)-VLOOKUP(B226,#REF!,$J$2,0),0)</f>
        <v>0</v>
      </c>
      <c r="K226" s="9">
        <f>IFERROR(VLOOKUP(B226,cubo!$A$6:$BE$37,17,0)-VLOOKUP(B226,#REF!,$K$2,0),0)</f>
        <v>0</v>
      </c>
      <c r="L226" s="9">
        <f>IFERROR(VLOOKUP(B226,cubo!$A$6:$BE$37,19,0)-VLOOKUP(B226,#REF!,$L$2,0),0)</f>
        <v>0</v>
      </c>
      <c r="M226" s="9">
        <f>IFERROR(VLOOKUP(B226,cubo!$A$6:$BE$37,23,0)-VLOOKUP(B226,#REF!,$M$2,0),0)</f>
        <v>0</v>
      </c>
      <c r="N226" s="9">
        <f>IFERROR(VLOOKUP(B226,cubo!$A$6:$BE$37,25,0)-VLOOKUP(B226,#REF!,$N$2,0),0)</f>
        <v>0</v>
      </c>
      <c r="O226" s="9">
        <f>IFERROR(VLOOKUP(B226,cubo!$A$6:$BE$37,33,0)-VLOOKUP(B226,#REF!,$O$2,0),0)</f>
        <v>0</v>
      </c>
      <c r="P226" s="8">
        <f>IFERROR(VLOOKUP(B226,cubo!$A$6:$BE$37,37,0)-VLOOKUP(B226,#REF!,$P$2,0),0)</f>
        <v>0</v>
      </c>
      <c r="Q226" s="8">
        <f>IFERROR(VLOOKUP(B226,cubo!$A$6:$BE$37,56,0)-VLOOKUP(B226,#REF!,$Q$2,0),0)</f>
        <v>0</v>
      </c>
      <c r="R226" s="9">
        <f>IFERROR(VLOOKUP(B226,cubo!$A$6:$BE$37,40,0)-VLOOKUP(B226,#REF!,$R$2,0),0)</f>
        <v>0</v>
      </c>
      <c r="S226" s="9">
        <f>IFERROR(VLOOKUP(B226,cubo!$A$6:$BE$37,43,0)-VLOOKUP(B226,#REF!,$S$2,0),0)</f>
        <v>0</v>
      </c>
      <c r="T226" s="9">
        <f>IFERROR(VLOOKUP(B226,cubo!$A$6:$BE$37,46,0)-VLOOKUP(B226,#REF!,$T$2,0),0)</f>
        <v>0</v>
      </c>
      <c r="U226" s="9">
        <f>IFERROR(VLOOKUP(B226,cubo!$A$6:$BE$37,51,0)-VLOOKUP(B226,#REF!,$U$2,0),0)</f>
        <v>0</v>
      </c>
      <c r="V226" s="9">
        <f>IFERROR(VLOOKUP(B226,cubo!$A$6:$BJ$37,60,0)-VLOOKUP(B226,#REF!,$V$2,0),0)</f>
        <v>0</v>
      </c>
      <c r="W226" s="9">
        <f>IFERROR(VLOOKUP(B226,cubo!$A$6:$BE$37,26,0)-VLOOKUP(B226,#REF!,$W$2,0),0)</f>
        <v>0</v>
      </c>
      <c r="X226" s="9">
        <f>IFERROR(VLOOKUP(B226,cubo!$A$6:$BE$37,20,0)-VLOOKUP(B226,#REF!,$X$2,0),0)</f>
        <v>0</v>
      </c>
      <c r="Y226" s="9">
        <f>IFERROR(VLOOKUP(B226,cubo!$A$6:$BE$37,21,0)-VLOOKUP(B226,#REF!,$Y$2,0),0)</f>
        <v>0</v>
      </c>
      <c r="Z226" s="9">
        <f>IFERROR(VLOOKUP(B226,cubo!$A$6:$BE$37,27,0)-VLOOKUP(B226,#REF!,$Z$2,0),0)</f>
        <v>0</v>
      </c>
      <c r="AA226" s="9">
        <f>IFERROR(VLOOKUP(B226,cubo!$A$6:$BE$37,28,0)-VLOOKUP(B226,#REF!,$AA$2,0),0)</f>
        <v>0</v>
      </c>
      <c r="AB226" s="9">
        <f>IFERROR(VLOOKUP(B226,cubo!$A$6:$BE$37,29,0)-VLOOKUP(B226,#REF!,$AB$2,0),0)</f>
        <v>0</v>
      </c>
      <c r="AC226" s="9">
        <f>IFERROR(VLOOKUP(B226,cubo!$A$6:$BE$37,30,0)-VLOOKUP(B226,#REF!,$AC$2,0),0)</f>
        <v>0</v>
      </c>
      <c r="AD226" s="9">
        <f>IFERROR(VLOOKUP(B226,cubo!$A$6:$BE$37,31,0)-VLOOKUP(B226,#REF!,$AD$2,0),0)</f>
        <v>0</v>
      </c>
      <c r="AE226" s="9">
        <f>IFERROR(VLOOKUP(B226,cubo!$A$6:$BE$37,35,0)-VLOOKUP(B226,#REF!,$AE$2,0),0)</f>
        <v>0</v>
      </c>
      <c r="AF226" s="9" cm="1">
        <f t="array" aca="1" ref="AF226" ca="1">IFERROR(rrPROCV(B226,cubo!$A$6:$BE$37,48,0)-VLOOKUP(B226,#REF!,$AF$2,0),0)</f>
        <v>0</v>
      </c>
      <c r="AG226" s="9">
        <f>IFERROR(VLOOKUP(B226,cubo!$A$6:$BE$37,49,0)-VLOOKUP(B226,#REF!,$AG$2,0),0)</f>
        <v>0</v>
      </c>
      <c r="AH226" s="9">
        <f>IFERROR(VLOOKUP(B226,cubo!$A$6:$BE$37,50,0)-VLOOKUP(B226,#REF!,$AH$2,0),0)</f>
        <v>0</v>
      </c>
      <c r="AI226" s="9">
        <f>IFERROR(VLOOKUP(B226,cubo!$A$6:$BE$37,51,0)-VLOOKUP(B226,#REF!,$AI$2,0),0)</f>
        <v>0</v>
      </c>
      <c r="AJ226" s="9">
        <f>IFERROR(VLOOKUP(B226,cubo!$A$6:$BI$116,62,0)-VLOOKUP(B226,#REF!,$AJ$2,0),0)</f>
        <v>0</v>
      </c>
      <c r="AK226" s="9">
        <f>IFERROR(VLOOKUP(B226,cubo!$A$6:$BJ$37,63,0)-VLOOKUP(B226,#REF!,$AK$2,0),0)</f>
        <v>0</v>
      </c>
      <c r="AL226" s="9">
        <f>IFERROR(VLOOKUP(B226,cubo!$A$6:$BE$37,58,0)-VLOOKUP(B226,#REF!,$AL$2,0),0)</f>
        <v>0</v>
      </c>
      <c r="AM226" s="9">
        <f>IFERROR(VLOOKUP(B226,cubo!$A$6:$BK$37,64,0)-VLOOKUP(B226,#REF!,$AM$2,0),0)</f>
        <v>0</v>
      </c>
      <c r="AN226" s="9">
        <f>IFERROR(VLOOKUP(B226,cubo!$A$6:$AN$37,41,0)-VLOOKUP(B226,#REF!,$AN$2,0),0)</f>
        <v>0</v>
      </c>
    </row>
    <row r="227" spans="2:40" x14ac:dyDescent="0.25">
      <c r="B227" s="7">
        <f>[1]salario!A226</f>
        <v>0</v>
      </c>
      <c r="C227" s="8">
        <f>[1]salario!C226</f>
        <v>0</v>
      </c>
      <c r="D227" s="9">
        <f>IFERROR(VLOOKUP(B227,cubo!$A$6:$BE$37,3,0)-VLOOKUP(B227,#REF!,$D$2,0),0)</f>
        <v>0</v>
      </c>
      <c r="E227" s="10">
        <f>IFERROR(VLOOKUP(B227,cubo!$A$6:$BE$37,5,0)-VLOOKUP(B227,#REF!,$E$2,0),0)</f>
        <v>0</v>
      </c>
      <c r="F227" s="10">
        <f>IFERROR(VLOOKUP(B227,cubo!$A$6:$BE$37,8,0)-VLOOKUP(B227,#REF!,$F$2,0),0)</f>
        <v>0</v>
      </c>
      <c r="G227" s="9">
        <f>IFERROR(VLOOKUP(B227,cubo!$A$6:$BE$37,11,0)-VLOOKUP(B227,#REF!,$G$2,0),0)</f>
        <v>0</v>
      </c>
      <c r="H227" s="9">
        <f>IFERROR(VLOOKUP(B227,cubo!$A$6:$BE$37,53,0)-VLOOKUP(B227,#REF!,$H$2,0),0)</f>
        <v>0</v>
      </c>
      <c r="I227" s="10">
        <f>IFERROR(VLOOKUP(B227,cubo!$A$6:$BE$37,14,0)-VLOOKUP(B227,#REF!,$I$2,0),0)</f>
        <v>0</v>
      </c>
      <c r="J227" s="9">
        <f>IFERROR(VLOOKUP(B227,cubo!$A$6:$BE$37,16,0)-VLOOKUP(B227,#REF!,$J$2,0),0)</f>
        <v>0</v>
      </c>
      <c r="K227" s="9">
        <f>IFERROR(VLOOKUP(B227,cubo!$A$6:$BE$37,17,0)-VLOOKUP(B227,#REF!,$K$2,0),0)</f>
        <v>0</v>
      </c>
      <c r="L227" s="9">
        <f>IFERROR(VLOOKUP(B227,cubo!$A$6:$BE$37,19,0)-VLOOKUP(B227,#REF!,$L$2,0),0)</f>
        <v>0</v>
      </c>
      <c r="M227" s="9">
        <f>IFERROR(VLOOKUP(B227,cubo!$A$6:$BE$37,23,0)-VLOOKUP(B227,#REF!,$M$2,0),0)</f>
        <v>0</v>
      </c>
      <c r="N227" s="9">
        <f>IFERROR(VLOOKUP(B227,cubo!$A$6:$BE$37,25,0)-VLOOKUP(B227,#REF!,$N$2,0),0)</f>
        <v>0</v>
      </c>
      <c r="O227" s="9">
        <f>IFERROR(VLOOKUP(B227,cubo!$A$6:$BE$37,33,0)-VLOOKUP(B227,#REF!,$O$2,0),0)</f>
        <v>0</v>
      </c>
      <c r="P227" s="8">
        <f>IFERROR(VLOOKUP(B227,cubo!$A$6:$BE$37,37,0)-VLOOKUP(B227,#REF!,$P$2,0),0)</f>
        <v>0</v>
      </c>
      <c r="Q227" s="8">
        <f>IFERROR(VLOOKUP(B227,cubo!$A$6:$BE$37,56,0)-VLOOKUP(B227,#REF!,$Q$2,0),0)</f>
        <v>0</v>
      </c>
      <c r="R227" s="9">
        <f>IFERROR(VLOOKUP(B227,cubo!$A$6:$BE$37,40,0)-VLOOKUP(B227,#REF!,$R$2,0),0)</f>
        <v>0</v>
      </c>
      <c r="S227" s="9">
        <f>IFERROR(VLOOKUP(B227,cubo!$A$6:$BE$37,43,0)-VLOOKUP(B227,#REF!,$S$2,0),0)</f>
        <v>0</v>
      </c>
      <c r="T227" s="9">
        <f>IFERROR(VLOOKUP(B227,cubo!$A$6:$BE$37,46,0)-VLOOKUP(B227,#REF!,$T$2,0),0)</f>
        <v>0</v>
      </c>
      <c r="U227" s="9">
        <f>IFERROR(VLOOKUP(B227,cubo!$A$6:$BE$37,51,0)-VLOOKUP(B227,#REF!,$U$2,0),0)</f>
        <v>0</v>
      </c>
      <c r="V227" s="9">
        <f>IFERROR(VLOOKUP(B227,cubo!$A$6:$BJ$37,60,0)-VLOOKUP(B227,#REF!,$V$2,0),0)</f>
        <v>0</v>
      </c>
      <c r="W227" s="9">
        <f>IFERROR(VLOOKUP(B227,cubo!$A$6:$BE$37,26,0)-VLOOKUP(B227,#REF!,$W$2,0),0)</f>
        <v>0</v>
      </c>
      <c r="X227" s="9">
        <f>IFERROR(VLOOKUP(B227,cubo!$A$6:$BE$37,20,0)-VLOOKUP(B227,#REF!,$X$2,0),0)</f>
        <v>0</v>
      </c>
      <c r="Y227" s="9">
        <f>IFERROR(VLOOKUP(B227,cubo!$A$6:$BE$37,21,0)-VLOOKUP(B227,#REF!,$Y$2,0),0)</f>
        <v>0</v>
      </c>
      <c r="Z227" s="9">
        <f>IFERROR(VLOOKUP(B227,cubo!$A$6:$BE$37,27,0)-VLOOKUP(B227,#REF!,$Z$2,0),0)</f>
        <v>0</v>
      </c>
      <c r="AA227" s="9">
        <f>IFERROR(VLOOKUP(B227,cubo!$A$6:$BE$37,28,0)-VLOOKUP(B227,#REF!,$AA$2,0),0)</f>
        <v>0</v>
      </c>
      <c r="AB227" s="9">
        <f>IFERROR(VLOOKUP(B227,cubo!$A$6:$BE$37,29,0)-VLOOKUP(B227,#REF!,$AB$2,0),0)</f>
        <v>0</v>
      </c>
      <c r="AC227" s="9">
        <f>IFERROR(VLOOKUP(B227,cubo!$A$6:$BE$37,30,0)-VLOOKUP(B227,#REF!,$AC$2,0),0)</f>
        <v>0</v>
      </c>
      <c r="AD227" s="9">
        <f>IFERROR(VLOOKUP(B227,cubo!$A$6:$BE$37,31,0)-VLOOKUP(B227,#REF!,$AD$2,0),0)</f>
        <v>0</v>
      </c>
      <c r="AE227" s="9">
        <f>IFERROR(VLOOKUP(B227,cubo!$A$6:$BE$37,35,0)-VLOOKUP(B227,#REF!,$AE$2,0),0)</f>
        <v>0</v>
      </c>
      <c r="AF227" s="9" cm="1">
        <f t="array" aca="1" ref="AF227" ca="1">IFERROR(rrPROCV(B227,cubo!$A$6:$BE$37,48,0)-VLOOKUP(B227,#REF!,$AF$2,0),0)</f>
        <v>0</v>
      </c>
      <c r="AG227" s="9">
        <f>IFERROR(VLOOKUP(B227,cubo!$A$6:$BE$37,49,0)-VLOOKUP(B227,#REF!,$AG$2,0),0)</f>
        <v>0</v>
      </c>
      <c r="AH227" s="9">
        <f>IFERROR(VLOOKUP(B227,cubo!$A$6:$BE$37,50,0)-VLOOKUP(B227,#REF!,$AH$2,0),0)</f>
        <v>0</v>
      </c>
      <c r="AI227" s="9">
        <f>IFERROR(VLOOKUP(B227,cubo!$A$6:$BE$37,51,0)-VLOOKUP(B227,#REF!,$AI$2,0),0)</f>
        <v>0</v>
      </c>
      <c r="AJ227" s="9">
        <f>IFERROR(VLOOKUP(B227,cubo!$A$6:$BI$116,62,0)-VLOOKUP(B227,#REF!,$AJ$2,0),0)</f>
        <v>0</v>
      </c>
      <c r="AK227" s="9">
        <f>IFERROR(VLOOKUP(B227,cubo!$A$6:$BJ$37,63,0)-VLOOKUP(B227,#REF!,$AK$2,0),0)</f>
        <v>0</v>
      </c>
      <c r="AL227" s="9">
        <f>IFERROR(VLOOKUP(B227,cubo!$A$6:$BE$37,58,0)-VLOOKUP(B227,#REF!,$AL$2,0),0)</f>
        <v>0</v>
      </c>
      <c r="AM227" s="9">
        <f>IFERROR(VLOOKUP(B227,cubo!$A$6:$BK$37,64,0)-VLOOKUP(B227,#REF!,$AM$2,0),0)</f>
        <v>0</v>
      </c>
      <c r="AN227" s="9">
        <f>IFERROR(VLOOKUP(B227,cubo!$A$6:$AN$37,41,0)-VLOOKUP(B227,#REF!,$AN$2,0),0)</f>
        <v>0</v>
      </c>
    </row>
    <row r="228" spans="2:40" x14ac:dyDescent="0.25">
      <c r="B228" s="7">
        <f>[1]salario!A227</f>
        <v>0</v>
      </c>
      <c r="C228" s="8">
        <f>[1]salario!C227</f>
        <v>0</v>
      </c>
      <c r="D228" s="9">
        <f>IFERROR(VLOOKUP(B228,cubo!$A$6:$BE$37,3,0)-VLOOKUP(B228,#REF!,$D$2,0),0)</f>
        <v>0</v>
      </c>
      <c r="E228" s="10">
        <f>IFERROR(VLOOKUP(B228,cubo!$A$6:$BE$37,5,0)-VLOOKUP(B228,#REF!,$E$2,0),0)</f>
        <v>0</v>
      </c>
      <c r="F228" s="10">
        <f>IFERROR(VLOOKUP(B228,cubo!$A$6:$BE$37,8,0)-VLOOKUP(B228,#REF!,$F$2,0),0)</f>
        <v>0</v>
      </c>
      <c r="G228" s="9">
        <f>IFERROR(VLOOKUP(B228,cubo!$A$6:$BE$37,11,0)-VLOOKUP(B228,#REF!,$G$2,0),0)</f>
        <v>0</v>
      </c>
      <c r="H228" s="9">
        <f>IFERROR(VLOOKUP(B228,cubo!$A$6:$BE$37,53,0)-VLOOKUP(B228,#REF!,$H$2,0),0)</f>
        <v>0</v>
      </c>
      <c r="I228" s="10">
        <f>IFERROR(VLOOKUP(B228,cubo!$A$6:$BE$37,14,0)-VLOOKUP(B228,#REF!,$I$2,0),0)</f>
        <v>0</v>
      </c>
      <c r="J228" s="9">
        <f>IFERROR(VLOOKUP(B228,cubo!$A$6:$BE$37,16,0)-VLOOKUP(B228,#REF!,$J$2,0),0)</f>
        <v>0</v>
      </c>
      <c r="K228" s="9">
        <f>IFERROR(VLOOKUP(B228,cubo!$A$6:$BE$37,17,0)-VLOOKUP(B228,#REF!,$K$2,0),0)</f>
        <v>0</v>
      </c>
      <c r="L228" s="9">
        <f>IFERROR(VLOOKUP(B228,cubo!$A$6:$BE$37,19,0)-VLOOKUP(B228,#REF!,$L$2,0),0)</f>
        <v>0</v>
      </c>
      <c r="M228" s="9">
        <f>IFERROR(VLOOKUP(B228,cubo!$A$6:$BE$37,23,0)-VLOOKUP(B228,#REF!,$M$2,0),0)</f>
        <v>0</v>
      </c>
      <c r="N228" s="9">
        <f>IFERROR(VLOOKUP(B228,cubo!$A$6:$BE$37,25,0)-VLOOKUP(B228,#REF!,$N$2,0),0)</f>
        <v>0</v>
      </c>
      <c r="O228" s="9">
        <f>IFERROR(VLOOKUP(B228,cubo!$A$6:$BE$37,33,0)-VLOOKUP(B228,#REF!,$O$2,0),0)</f>
        <v>0</v>
      </c>
      <c r="P228" s="8">
        <f>IFERROR(VLOOKUP(B228,cubo!$A$6:$BE$37,37,0)-VLOOKUP(B228,#REF!,$P$2,0),0)</f>
        <v>0</v>
      </c>
      <c r="Q228" s="8">
        <f>IFERROR(VLOOKUP(B228,cubo!$A$6:$BE$37,56,0)-VLOOKUP(B228,#REF!,$Q$2,0),0)</f>
        <v>0</v>
      </c>
      <c r="R228" s="9">
        <f>IFERROR(VLOOKUP(B228,cubo!$A$6:$BE$37,40,0)-VLOOKUP(B228,#REF!,$R$2,0),0)</f>
        <v>0</v>
      </c>
      <c r="S228" s="9">
        <f>IFERROR(VLOOKUP(B228,cubo!$A$6:$BE$37,43,0)-VLOOKUP(B228,#REF!,$S$2,0),0)</f>
        <v>0</v>
      </c>
      <c r="T228" s="9">
        <f>IFERROR(VLOOKUP(B228,cubo!$A$6:$BE$37,46,0)-VLOOKUP(B228,#REF!,$T$2,0),0)</f>
        <v>0</v>
      </c>
      <c r="U228" s="9">
        <f>IFERROR(VLOOKUP(B228,cubo!$A$6:$BE$37,51,0)-VLOOKUP(B228,#REF!,$U$2,0),0)</f>
        <v>0</v>
      </c>
      <c r="V228" s="9">
        <f>IFERROR(VLOOKUP(B228,cubo!$A$6:$BJ$37,60,0)-VLOOKUP(B228,#REF!,$V$2,0),0)</f>
        <v>0</v>
      </c>
      <c r="W228" s="9">
        <f>IFERROR(VLOOKUP(B228,cubo!$A$6:$BE$37,26,0)-VLOOKUP(B228,#REF!,$W$2,0),0)</f>
        <v>0</v>
      </c>
      <c r="X228" s="9">
        <f>IFERROR(VLOOKUP(B228,cubo!$A$6:$BE$37,20,0)-VLOOKUP(B228,#REF!,$X$2,0),0)</f>
        <v>0</v>
      </c>
      <c r="Y228" s="9">
        <f>IFERROR(VLOOKUP(B228,cubo!$A$6:$BE$37,21,0)-VLOOKUP(B228,#REF!,$Y$2,0),0)</f>
        <v>0</v>
      </c>
      <c r="Z228" s="9">
        <f>IFERROR(VLOOKUP(B228,cubo!$A$6:$BE$37,27,0)-VLOOKUP(B228,#REF!,$Z$2,0),0)</f>
        <v>0</v>
      </c>
      <c r="AA228" s="9">
        <f>IFERROR(VLOOKUP(B228,cubo!$A$6:$BE$37,28,0)-VLOOKUP(B228,#REF!,$AA$2,0),0)</f>
        <v>0</v>
      </c>
      <c r="AB228" s="9">
        <f>IFERROR(VLOOKUP(B228,cubo!$A$6:$BE$37,29,0)-VLOOKUP(B228,#REF!,$AB$2,0),0)</f>
        <v>0</v>
      </c>
      <c r="AC228" s="9">
        <f>IFERROR(VLOOKUP(B228,cubo!$A$6:$BE$37,30,0)-VLOOKUP(B228,#REF!,$AC$2,0),0)</f>
        <v>0</v>
      </c>
      <c r="AD228" s="9">
        <f>IFERROR(VLOOKUP(B228,cubo!$A$6:$BE$37,31,0)-VLOOKUP(B228,#REF!,$AD$2,0),0)</f>
        <v>0</v>
      </c>
      <c r="AE228" s="9">
        <f>IFERROR(VLOOKUP(B228,cubo!$A$6:$BE$37,35,0)-VLOOKUP(B228,#REF!,$AE$2,0),0)</f>
        <v>0</v>
      </c>
      <c r="AF228" s="9" cm="1">
        <f t="array" aca="1" ref="AF228" ca="1">IFERROR(rrPROCV(B228,cubo!$A$6:$BE$37,48,0)-VLOOKUP(B228,#REF!,$AF$2,0),0)</f>
        <v>0</v>
      </c>
      <c r="AG228" s="9">
        <f>IFERROR(VLOOKUP(B228,cubo!$A$6:$BE$37,49,0)-VLOOKUP(B228,#REF!,$AG$2,0),0)</f>
        <v>0</v>
      </c>
      <c r="AH228" s="9">
        <f>IFERROR(VLOOKUP(B228,cubo!$A$6:$BE$37,50,0)-VLOOKUP(B228,#REF!,$AH$2,0),0)</f>
        <v>0</v>
      </c>
      <c r="AI228" s="9">
        <f>IFERROR(VLOOKUP(B228,cubo!$A$6:$BE$37,51,0)-VLOOKUP(B228,#REF!,$AI$2,0),0)</f>
        <v>0</v>
      </c>
      <c r="AJ228" s="9">
        <f>IFERROR(VLOOKUP(B228,cubo!$A$6:$BI$116,62,0)-VLOOKUP(B228,#REF!,$AJ$2,0),0)</f>
        <v>0</v>
      </c>
      <c r="AK228" s="9">
        <f>IFERROR(VLOOKUP(B228,cubo!$A$6:$BJ$37,63,0)-VLOOKUP(B228,#REF!,$AK$2,0),0)</f>
        <v>0</v>
      </c>
      <c r="AL228" s="9">
        <f>IFERROR(VLOOKUP(B228,cubo!$A$6:$BE$37,58,0)-VLOOKUP(B228,#REF!,$AL$2,0),0)</f>
        <v>0</v>
      </c>
      <c r="AM228" s="9">
        <f>IFERROR(VLOOKUP(B228,cubo!$A$6:$BK$37,64,0)-VLOOKUP(B228,#REF!,$AM$2,0),0)</f>
        <v>0</v>
      </c>
      <c r="AN228" s="9">
        <f>IFERROR(VLOOKUP(B228,cubo!$A$6:$AN$37,41,0)-VLOOKUP(B228,#REF!,$AN$2,0),0)</f>
        <v>0</v>
      </c>
    </row>
    <row r="229" spans="2:40" x14ac:dyDescent="0.25">
      <c r="B229" s="7">
        <f>[1]salario!A228</f>
        <v>0</v>
      </c>
      <c r="C229" s="8">
        <f>[1]salario!C228</f>
        <v>0</v>
      </c>
      <c r="D229" s="9">
        <f>IFERROR(VLOOKUP(B229,cubo!$A$6:$BE$37,3,0)-VLOOKUP(B229,#REF!,$D$2,0),0)</f>
        <v>0</v>
      </c>
      <c r="E229" s="10">
        <f>IFERROR(VLOOKUP(B229,cubo!$A$6:$BE$37,5,0)-VLOOKUP(B229,#REF!,$E$2,0),0)</f>
        <v>0</v>
      </c>
      <c r="F229" s="10">
        <f>IFERROR(VLOOKUP(B229,cubo!$A$6:$BE$37,8,0)-VLOOKUP(B229,#REF!,$F$2,0),0)</f>
        <v>0</v>
      </c>
      <c r="G229" s="9">
        <f>IFERROR(VLOOKUP(B229,cubo!$A$6:$BE$37,11,0)-VLOOKUP(B229,#REF!,$G$2,0),0)</f>
        <v>0</v>
      </c>
      <c r="H229" s="9">
        <f>IFERROR(VLOOKUP(B229,cubo!$A$6:$BE$37,53,0)-VLOOKUP(B229,#REF!,$H$2,0),0)</f>
        <v>0</v>
      </c>
      <c r="I229" s="10">
        <f>IFERROR(VLOOKUP(B229,cubo!$A$6:$BE$37,14,0)-VLOOKUP(B229,#REF!,$I$2,0),0)</f>
        <v>0</v>
      </c>
      <c r="J229" s="9">
        <f>IFERROR(VLOOKUP(B229,cubo!$A$6:$BE$37,16,0)-VLOOKUP(B229,#REF!,$J$2,0),0)</f>
        <v>0</v>
      </c>
      <c r="K229" s="9">
        <f>IFERROR(VLOOKUP(B229,cubo!$A$6:$BE$37,17,0)-VLOOKUP(B229,#REF!,$K$2,0),0)</f>
        <v>0</v>
      </c>
      <c r="L229" s="9">
        <f>IFERROR(VLOOKUP(B229,cubo!$A$6:$BE$37,19,0)-VLOOKUP(B229,#REF!,$L$2,0),0)</f>
        <v>0</v>
      </c>
      <c r="M229" s="9">
        <f>IFERROR(VLOOKUP(B229,cubo!$A$6:$BE$37,23,0)-VLOOKUP(B229,#REF!,$M$2,0),0)</f>
        <v>0</v>
      </c>
      <c r="N229" s="9">
        <f>IFERROR(VLOOKUP(B229,cubo!$A$6:$BE$37,25,0)-VLOOKUP(B229,#REF!,$N$2,0),0)</f>
        <v>0</v>
      </c>
      <c r="O229" s="9">
        <f>IFERROR(VLOOKUP(B229,cubo!$A$6:$BE$37,33,0)-VLOOKUP(B229,#REF!,$O$2,0),0)</f>
        <v>0</v>
      </c>
      <c r="P229" s="8">
        <f>IFERROR(VLOOKUP(B229,cubo!$A$6:$BE$37,37,0)-VLOOKUP(B229,#REF!,$P$2,0),0)</f>
        <v>0</v>
      </c>
      <c r="Q229" s="8">
        <f>IFERROR(VLOOKUP(B229,cubo!$A$6:$BE$37,56,0)-VLOOKUP(B229,#REF!,$Q$2,0),0)</f>
        <v>0</v>
      </c>
      <c r="R229" s="9">
        <f>IFERROR(VLOOKUP(B229,cubo!$A$6:$BE$37,40,0)-VLOOKUP(B229,#REF!,$R$2,0),0)</f>
        <v>0</v>
      </c>
      <c r="S229" s="9">
        <f>IFERROR(VLOOKUP(B229,cubo!$A$6:$BE$37,43,0)-VLOOKUP(B229,#REF!,$S$2,0),0)</f>
        <v>0</v>
      </c>
      <c r="T229" s="9">
        <f>IFERROR(VLOOKUP(B229,cubo!$A$6:$BE$37,46,0)-VLOOKUP(B229,#REF!,$T$2,0),0)</f>
        <v>0</v>
      </c>
      <c r="U229" s="9">
        <f>IFERROR(VLOOKUP(B229,cubo!$A$6:$BE$37,51,0)-VLOOKUP(B229,#REF!,$U$2,0),0)</f>
        <v>0</v>
      </c>
      <c r="V229" s="9">
        <f>IFERROR(VLOOKUP(B229,cubo!$A$6:$BJ$37,60,0)-VLOOKUP(B229,#REF!,$V$2,0),0)</f>
        <v>0</v>
      </c>
      <c r="W229" s="9">
        <f>IFERROR(VLOOKUP(B229,cubo!$A$6:$BE$37,26,0)-VLOOKUP(B229,#REF!,$W$2,0),0)</f>
        <v>0</v>
      </c>
      <c r="X229" s="9">
        <f>IFERROR(VLOOKUP(B229,cubo!$A$6:$BE$37,20,0)-VLOOKUP(B229,#REF!,$X$2,0),0)</f>
        <v>0</v>
      </c>
      <c r="Y229" s="9">
        <f>IFERROR(VLOOKUP(B229,cubo!$A$6:$BE$37,21,0)-VLOOKUP(B229,#REF!,$Y$2,0),0)</f>
        <v>0</v>
      </c>
      <c r="Z229" s="9">
        <f>IFERROR(VLOOKUP(B229,cubo!$A$6:$BE$37,27,0)-VLOOKUP(B229,#REF!,$Z$2,0),0)</f>
        <v>0</v>
      </c>
      <c r="AA229" s="9">
        <f>IFERROR(VLOOKUP(B229,cubo!$A$6:$BE$37,28,0)-VLOOKUP(B229,#REF!,$AA$2,0),0)</f>
        <v>0</v>
      </c>
      <c r="AB229" s="9">
        <f>IFERROR(VLOOKUP(B229,cubo!$A$6:$BE$37,29,0)-VLOOKUP(B229,#REF!,$AB$2,0),0)</f>
        <v>0</v>
      </c>
      <c r="AC229" s="9">
        <f>IFERROR(VLOOKUP(B229,cubo!$A$6:$BE$37,30,0)-VLOOKUP(B229,#REF!,$AC$2,0),0)</f>
        <v>0</v>
      </c>
      <c r="AD229" s="9">
        <f>IFERROR(VLOOKUP(B229,cubo!$A$6:$BE$37,31,0)-VLOOKUP(B229,#REF!,$AD$2,0),0)</f>
        <v>0</v>
      </c>
      <c r="AE229" s="9">
        <f>IFERROR(VLOOKUP(B229,cubo!$A$6:$BE$37,35,0)-VLOOKUP(B229,#REF!,$AE$2,0),0)</f>
        <v>0</v>
      </c>
      <c r="AF229" s="9" cm="1">
        <f t="array" aca="1" ref="AF229" ca="1">IFERROR(rrPROCV(B229,cubo!$A$6:$BE$37,48,0)-VLOOKUP(B229,#REF!,$AF$2,0),0)</f>
        <v>0</v>
      </c>
      <c r="AG229" s="9">
        <f>IFERROR(VLOOKUP(B229,cubo!$A$6:$BE$37,49,0)-VLOOKUP(B229,#REF!,$AG$2,0),0)</f>
        <v>0</v>
      </c>
      <c r="AH229" s="9">
        <f>IFERROR(VLOOKUP(B229,cubo!$A$6:$BE$37,50,0)-VLOOKUP(B229,#REF!,$AH$2,0),0)</f>
        <v>0</v>
      </c>
      <c r="AI229" s="9">
        <f>IFERROR(VLOOKUP(B229,cubo!$A$6:$BE$37,51,0)-VLOOKUP(B229,#REF!,$AI$2,0),0)</f>
        <v>0</v>
      </c>
      <c r="AJ229" s="9">
        <f>IFERROR(VLOOKUP(B229,cubo!$A$6:$BI$116,62,0)-VLOOKUP(B229,#REF!,$AJ$2,0),0)</f>
        <v>0</v>
      </c>
      <c r="AK229" s="9">
        <f>IFERROR(VLOOKUP(B229,cubo!$A$6:$BJ$37,63,0)-VLOOKUP(B229,#REF!,$AK$2,0),0)</f>
        <v>0</v>
      </c>
      <c r="AL229" s="9">
        <f>IFERROR(VLOOKUP(B229,cubo!$A$6:$BE$37,58,0)-VLOOKUP(B229,#REF!,$AL$2,0),0)</f>
        <v>0</v>
      </c>
      <c r="AM229" s="9">
        <f>IFERROR(VLOOKUP(B229,cubo!$A$6:$BK$37,64,0)-VLOOKUP(B229,#REF!,$AM$2,0),0)</f>
        <v>0</v>
      </c>
      <c r="AN229" s="9">
        <f>IFERROR(VLOOKUP(B229,cubo!$A$6:$AN$37,41,0)-VLOOKUP(B229,#REF!,$AN$2,0),0)</f>
        <v>0</v>
      </c>
    </row>
    <row r="230" spans="2:40" x14ac:dyDescent="0.25">
      <c r="B230" s="7">
        <f>[1]salario!A229</f>
        <v>0</v>
      </c>
      <c r="C230" s="8">
        <f>[1]salario!C229</f>
        <v>0</v>
      </c>
      <c r="D230" s="9">
        <f>IFERROR(VLOOKUP(B230,cubo!$A$6:$BE$37,3,0)-VLOOKUP(B230,#REF!,$D$2,0),0)</f>
        <v>0</v>
      </c>
      <c r="E230" s="10">
        <f>IFERROR(VLOOKUP(B230,cubo!$A$6:$BE$37,5,0)-VLOOKUP(B230,#REF!,$E$2,0),0)</f>
        <v>0</v>
      </c>
      <c r="F230" s="10">
        <f>IFERROR(VLOOKUP(B230,cubo!$A$6:$BE$37,8,0)-VLOOKUP(B230,#REF!,$F$2,0),0)</f>
        <v>0</v>
      </c>
      <c r="G230" s="9">
        <f>IFERROR(VLOOKUP(B230,cubo!$A$6:$BE$37,11,0)-VLOOKUP(B230,#REF!,$G$2,0),0)</f>
        <v>0</v>
      </c>
      <c r="H230" s="9">
        <f>IFERROR(VLOOKUP(B230,cubo!$A$6:$BE$37,53,0)-VLOOKUP(B230,#REF!,$H$2,0),0)</f>
        <v>0</v>
      </c>
      <c r="I230" s="10">
        <f>IFERROR(VLOOKUP(B230,cubo!$A$6:$BE$37,14,0)-VLOOKUP(B230,#REF!,$I$2,0),0)</f>
        <v>0</v>
      </c>
      <c r="J230" s="9">
        <f>IFERROR(VLOOKUP(B230,cubo!$A$6:$BE$37,16,0)-VLOOKUP(B230,#REF!,$J$2,0),0)</f>
        <v>0</v>
      </c>
      <c r="K230" s="9">
        <f>IFERROR(VLOOKUP(B230,cubo!$A$6:$BE$37,17,0)-VLOOKUP(B230,#REF!,$K$2,0),0)</f>
        <v>0</v>
      </c>
      <c r="L230" s="9">
        <f>IFERROR(VLOOKUP(B230,cubo!$A$6:$BE$37,19,0)-VLOOKUP(B230,#REF!,$L$2,0),0)</f>
        <v>0</v>
      </c>
      <c r="M230" s="9">
        <f>IFERROR(VLOOKUP(B230,cubo!$A$6:$BE$37,23,0)-VLOOKUP(B230,#REF!,$M$2,0),0)</f>
        <v>0</v>
      </c>
      <c r="N230" s="9">
        <f>IFERROR(VLOOKUP(B230,cubo!$A$6:$BE$37,25,0)-VLOOKUP(B230,#REF!,$N$2,0),0)</f>
        <v>0</v>
      </c>
      <c r="O230" s="9">
        <f>IFERROR(VLOOKUP(B230,cubo!$A$6:$BE$37,33,0)-VLOOKUP(B230,#REF!,$O$2,0),0)</f>
        <v>0</v>
      </c>
      <c r="P230" s="8">
        <f>IFERROR(VLOOKUP(B230,cubo!$A$6:$BE$37,37,0)-VLOOKUP(B230,#REF!,$P$2,0),0)</f>
        <v>0</v>
      </c>
      <c r="Q230" s="8">
        <f>IFERROR(VLOOKUP(B230,cubo!$A$6:$BE$37,56,0)-VLOOKUP(B230,#REF!,$Q$2,0),0)</f>
        <v>0</v>
      </c>
      <c r="R230" s="9">
        <f>IFERROR(VLOOKUP(B230,cubo!$A$6:$BE$37,40,0)-VLOOKUP(B230,#REF!,$R$2,0),0)</f>
        <v>0</v>
      </c>
      <c r="S230" s="9">
        <f>IFERROR(VLOOKUP(B230,cubo!$A$6:$BE$37,43,0)-VLOOKUP(B230,#REF!,$S$2,0),0)</f>
        <v>0</v>
      </c>
      <c r="T230" s="9">
        <f>IFERROR(VLOOKUP(B230,cubo!$A$6:$BE$37,46,0)-VLOOKUP(B230,#REF!,$T$2,0),0)</f>
        <v>0</v>
      </c>
      <c r="U230" s="9">
        <f>IFERROR(VLOOKUP(B230,cubo!$A$6:$BE$37,51,0)-VLOOKUP(B230,#REF!,$U$2,0),0)</f>
        <v>0</v>
      </c>
      <c r="V230" s="9">
        <f>IFERROR(VLOOKUP(B230,cubo!$A$6:$BJ$37,60,0)-VLOOKUP(B230,#REF!,$V$2,0),0)</f>
        <v>0</v>
      </c>
      <c r="W230" s="9">
        <f>IFERROR(VLOOKUP(B230,cubo!$A$6:$BE$37,26,0)-VLOOKUP(B230,#REF!,$W$2,0),0)</f>
        <v>0</v>
      </c>
      <c r="X230" s="9">
        <f>IFERROR(VLOOKUP(B230,cubo!$A$6:$BE$37,20,0)-VLOOKUP(B230,#REF!,$X$2,0),0)</f>
        <v>0</v>
      </c>
      <c r="Y230" s="9">
        <f>IFERROR(VLOOKUP(B230,cubo!$A$6:$BE$37,21,0)-VLOOKUP(B230,#REF!,$Y$2,0),0)</f>
        <v>0</v>
      </c>
      <c r="Z230" s="9">
        <f>IFERROR(VLOOKUP(B230,cubo!$A$6:$BE$37,27,0)-VLOOKUP(B230,#REF!,$Z$2,0),0)</f>
        <v>0</v>
      </c>
      <c r="AA230" s="9">
        <f>IFERROR(VLOOKUP(B230,cubo!$A$6:$BE$37,28,0)-VLOOKUP(B230,#REF!,$AA$2,0),0)</f>
        <v>0</v>
      </c>
      <c r="AB230" s="9">
        <f>IFERROR(VLOOKUP(B230,cubo!$A$6:$BE$37,29,0)-VLOOKUP(B230,#REF!,$AB$2,0),0)</f>
        <v>0</v>
      </c>
      <c r="AC230" s="9">
        <f>IFERROR(VLOOKUP(B230,cubo!$A$6:$BE$37,30,0)-VLOOKUP(B230,#REF!,$AC$2,0),0)</f>
        <v>0</v>
      </c>
      <c r="AD230" s="9">
        <f>IFERROR(VLOOKUP(B230,cubo!$A$6:$BE$37,31,0)-VLOOKUP(B230,#REF!,$AD$2,0),0)</f>
        <v>0</v>
      </c>
      <c r="AE230" s="9">
        <f>IFERROR(VLOOKUP(B230,cubo!$A$6:$BE$37,35,0)-VLOOKUP(B230,#REF!,$AE$2,0),0)</f>
        <v>0</v>
      </c>
      <c r="AF230" s="9" cm="1">
        <f t="array" aca="1" ref="AF230" ca="1">IFERROR(rrPROCV(B230,cubo!$A$6:$BE$37,48,0)-VLOOKUP(B230,#REF!,$AF$2,0),0)</f>
        <v>0</v>
      </c>
      <c r="AG230" s="9">
        <f>IFERROR(VLOOKUP(B230,cubo!$A$6:$BE$37,49,0)-VLOOKUP(B230,#REF!,$AG$2,0),0)</f>
        <v>0</v>
      </c>
      <c r="AH230" s="9">
        <f>IFERROR(VLOOKUP(B230,cubo!$A$6:$BE$37,50,0)-VLOOKUP(B230,#REF!,$AH$2,0),0)</f>
        <v>0</v>
      </c>
      <c r="AI230" s="9">
        <f>IFERROR(VLOOKUP(B230,cubo!$A$6:$BE$37,51,0)-VLOOKUP(B230,#REF!,$AI$2,0),0)</f>
        <v>0</v>
      </c>
      <c r="AJ230" s="9">
        <f>IFERROR(VLOOKUP(B230,cubo!$A$6:$BI$116,62,0)-VLOOKUP(B230,#REF!,$AJ$2,0),0)</f>
        <v>0</v>
      </c>
      <c r="AK230" s="9">
        <f>IFERROR(VLOOKUP(B230,cubo!$A$6:$BJ$37,63,0)-VLOOKUP(B230,#REF!,$AK$2,0),0)</f>
        <v>0</v>
      </c>
      <c r="AL230" s="9">
        <f>IFERROR(VLOOKUP(B230,cubo!$A$6:$BE$37,58,0)-VLOOKUP(B230,#REF!,$AL$2,0),0)</f>
        <v>0</v>
      </c>
      <c r="AM230" s="9">
        <f>IFERROR(VLOOKUP(B230,cubo!$A$6:$BK$37,64,0)-VLOOKUP(B230,#REF!,$AM$2,0),0)</f>
        <v>0</v>
      </c>
      <c r="AN230" s="9">
        <f>IFERROR(VLOOKUP(B230,cubo!$A$6:$AN$37,41,0)-VLOOKUP(B230,#REF!,$AN$2,0),0)</f>
        <v>0</v>
      </c>
    </row>
    <row r="231" spans="2:40" x14ac:dyDescent="0.25">
      <c r="B231" s="7">
        <f>[1]salario!A230</f>
        <v>0</v>
      </c>
      <c r="C231" s="8">
        <f>[1]salario!C230</f>
        <v>0</v>
      </c>
      <c r="D231" s="9">
        <f>IFERROR(VLOOKUP(B231,cubo!$A$6:$BE$37,3,0)-VLOOKUP(B231,#REF!,$D$2,0),0)</f>
        <v>0</v>
      </c>
      <c r="E231" s="10">
        <f>IFERROR(VLOOKUP(B231,cubo!$A$6:$BE$37,5,0)-VLOOKUP(B231,#REF!,$E$2,0),0)</f>
        <v>0</v>
      </c>
      <c r="F231" s="10">
        <f>IFERROR(VLOOKUP(B231,cubo!$A$6:$BE$37,8,0)-VLOOKUP(B231,#REF!,$F$2,0),0)</f>
        <v>0</v>
      </c>
      <c r="G231" s="9">
        <f>IFERROR(VLOOKUP(B231,cubo!$A$6:$BE$37,11,0)-VLOOKUP(B231,#REF!,$G$2,0),0)</f>
        <v>0</v>
      </c>
      <c r="H231" s="9">
        <f>IFERROR(VLOOKUP(B231,cubo!$A$6:$BE$37,53,0)-VLOOKUP(B231,#REF!,$H$2,0),0)</f>
        <v>0</v>
      </c>
      <c r="I231" s="10">
        <f>IFERROR(VLOOKUP(B231,cubo!$A$6:$BE$37,14,0)-VLOOKUP(B231,#REF!,$I$2,0),0)</f>
        <v>0</v>
      </c>
      <c r="J231" s="9">
        <f>IFERROR(VLOOKUP(B231,cubo!$A$6:$BE$37,16,0)-VLOOKUP(B231,#REF!,$J$2,0),0)</f>
        <v>0</v>
      </c>
      <c r="K231" s="9">
        <f>IFERROR(VLOOKUP(B231,cubo!$A$6:$BE$37,17,0)-VLOOKUP(B231,#REF!,$K$2,0),0)</f>
        <v>0</v>
      </c>
      <c r="L231" s="9">
        <f>IFERROR(VLOOKUP(B231,cubo!$A$6:$BE$37,19,0)-VLOOKUP(B231,#REF!,$L$2,0),0)</f>
        <v>0</v>
      </c>
      <c r="M231" s="9">
        <f>IFERROR(VLOOKUP(B231,cubo!$A$6:$BE$37,23,0)-VLOOKUP(B231,#REF!,$M$2,0),0)</f>
        <v>0</v>
      </c>
      <c r="N231" s="9">
        <f>IFERROR(VLOOKUP(B231,cubo!$A$6:$BE$37,25,0)-VLOOKUP(B231,#REF!,$N$2,0),0)</f>
        <v>0</v>
      </c>
      <c r="O231" s="9">
        <f>IFERROR(VLOOKUP(B231,cubo!$A$6:$BE$37,33,0)-VLOOKUP(B231,#REF!,$O$2,0),0)</f>
        <v>0</v>
      </c>
      <c r="P231" s="8">
        <f>IFERROR(VLOOKUP(B231,cubo!$A$6:$BE$37,37,0)-VLOOKUP(B231,#REF!,$P$2,0),0)</f>
        <v>0</v>
      </c>
      <c r="Q231" s="8">
        <f>IFERROR(VLOOKUP(B231,cubo!$A$6:$BE$37,56,0)-VLOOKUP(B231,#REF!,$Q$2,0),0)</f>
        <v>0</v>
      </c>
      <c r="R231" s="9">
        <f>IFERROR(VLOOKUP(B231,cubo!$A$6:$BE$37,40,0)-VLOOKUP(B231,#REF!,$R$2,0),0)</f>
        <v>0</v>
      </c>
      <c r="S231" s="9">
        <f>IFERROR(VLOOKUP(B231,cubo!$A$6:$BE$37,43,0)-VLOOKUP(B231,#REF!,$S$2,0),0)</f>
        <v>0</v>
      </c>
      <c r="T231" s="9">
        <f>IFERROR(VLOOKUP(B231,cubo!$A$6:$BE$37,46,0)-VLOOKUP(B231,#REF!,$T$2,0),0)</f>
        <v>0</v>
      </c>
      <c r="U231" s="9">
        <f>IFERROR(VLOOKUP(B231,cubo!$A$6:$BE$37,51,0)-VLOOKUP(B231,#REF!,$U$2,0),0)</f>
        <v>0</v>
      </c>
      <c r="V231" s="9">
        <f>IFERROR(VLOOKUP(B231,cubo!$A$6:$BJ$37,60,0)-VLOOKUP(B231,#REF!,$V$2,0),0)</f>
        <v>0</v>
      </c>
      <c r="W231" s="9">
        <f>IFERROR(VLOOKUP(B231,cubo!$A$6:$BE$37,26,0)-VLOOKUP(B231,#REF!,$W$2,0),0)</f>
        <v>0</v>
      </c>
      <c r="X231" s="9">
        <f>IFERROR(VLOOKUP(B231,cubo!$A$6:$BE$37,20,0)-VLOOKUP(B231,#REF!,$X$2,0),0)</f>
        <v>0</v>
      </c>
      <c r="Y231" s="9">
        <f>IFERROR(VLOOKUP(B231,cubo!$A$6:$BE$37,21,0)-VLOOKUP(B231,#REF!,$Y$2,0),0)</f>
        <v>0</v>
      </c>
      <c r="Z231" s="9">
        <f>IFERROR(VLOOKUP(B231,cubo!$A$6:$BE$37,27,0)-VLOOKUP(B231,#REF!,$Z$2,0),0)</f>
        <v>0</v>
      </c>
      <c r="AA231" s="9">
        <f>IFERROR(VLOOKUP(B231,cubo!$A$6:$BE$37,28,0)-VLOOKUP(B231,#REF!,$AA$2,0),0)</f>
        <v>0</v>
      </c>
      <c r="AB231" s="9">
        <f>IFERROR(VLOOKUP(B231,cubo!$A$6:$BE$37,29,0)-VLOOKUP(B231,#REF!,$AB$2,0),0)</f>
        <v>0</v>
      </c>
      <c r="AC231" s="9">
        <f>IFERROR(VLOOKUP(B231,cubo!$A$6:$BE$37,30,0)-VLOOKUP(B231,#REF!,$AC$2,0),0)</f>
        <v>0</v>
      </c>
      <c r="AD231" s="9">
        <f>IFERROR(VLOOKUP(B231,cubo!$A$6:$BE$37,31,0)-VLOOKUP(B231,#REF!,$AD$2,0),0)</f>
        <v>0</v>
      </c>
      <c r="AE231" s="9">
        <f>IFERROR(VLOOKUP(B231,cubo!$A$6:$BE$37,35,0)-VLOOKUP(B231,#REF!,$AE$2,0),0)</f>
        <v>0</v>
      </c>
      <c r="AF231" s="9" cm="1">
        <f t="array" aca="1" ref="AF231" ca="1">IFERROR(rrPROCV(B231,cubo!$A$6:$BE$37,48,0)-VLOOKUP(B231,#REF!,$AF$2,0),0)</f>
        <v>0</v>
      </c>
      <c r="AG231" s="9">
        <f>IFERROR(VLOOKUP(B231,cubo!$A$6:$BE$37,49,0)-VLOOKUP(B231,#REF!,$AG$2,0),0)</f>
        <v>0</v>
      </c>
      <c r="AH231" s="9">
        <f>IFERROR(VLOOKUP(B231,cubo!$A$6:$BE$37,50,0)-VLOOKUP(B231,#REF!,$AH$2,0),0)</f>
        <v>0</v>
      </c>
      <c r="AI231" s="9">
        <f>IFERROR(VLOOKUP(B231,cubo!$A$6:$BE$37,51,0)-VLOOKUP(B231,#REF!,$AI$2,0),0)</f>
        <v>0</v>
      </c>
      <c r="AJ231" s="9">
        <f>IFERROR(VLOOKUP(B231,cubo!$A$6:$BI$116,62,0)-VLOOKUP(B231,#REF!,$AJ$2,0),0)</f>
        <v>0</v>
      </c>
      <c r="AK231" s="9">
        <f>IFERROR(VLOOKUP(B231,cubo!$A$6:$BJ$37,63,0)-VLOOKUP(B231,#REF!,$AK$2,0),0)</f>
        <v>0</v>
      </c>
      <c r="AL231" s="9">
        <f>IFERROR(VLOOKUP(B231,cubo!$A$6:$BE$37,58,0)-VLOOKUP(B231,#REF!,$AL$2,0),0)</f>
        <v>0</v>
      </c>
      <c r="AM231" s="9">
        <f>IFERROR(VLOOKUP(B231,cubo!$A$6:$BK$37,64,0)-VLOOKUP(B231,#REF!,$AM$2,0),0)</f>
        <v>0</v>
      </c>
      <c r="AN231" s="9">
        <f>IFERROR(VLOOKUP(B231,cubo!$A$6:$AN$37,41,0)-VLOOKUP(B231,#REF!,$AN$2,0),0)</f>
        <v>0</v>
      </c>
    </row>
    <row r="232" spans="2:40" x14ac:dyDescent="0.25">
      <c r="B232" s="7">
        <f>[1]salario!A231</f>
        <v>0</v>
      </c>
      <c r="C232" s="8">
        <f>[1]salario!C231</f>
        <v>0</v>
      </c>
      <c r="D232" s="9">
        <f>IFERROR(VLOOKUP(B232,cubo!$A$6:$BE$37,3,0)-VLOOKUP(B232,#REF!,$D$2,0),0)</f>
        <v>0</v>
      </c>
      <c r="E232" s="10">
        <f>IFERROR(VLOOKUP(B232,cubo!$A$6:$BE$37,5,0)-VLOOKUP(B232,#REF!,$E$2,0),0)</f>
        <v>0</v>
      </c>
      <c r="F232" s="10">
        <f>IFERROR(VLOOKUP(B232,cubo!$A$6:$BE$37,8,0)-VLOOKUP(B232,#REF!,$F$2,0),0)</f>
        <v>0</v>
      </c>
      <c r="G232" s="9">
        <f>IFERROR(VLOOKUP(B232,cubo!$A$6:$BE$37,11,0)-VLOOKUP(B232,#REF!,$G$2,0),0)</f>
        <v>0</v>
      </c>
      <c r="H232" s="9">
        <f>IFERROR(VLOOKUP(B232,cubo!$A$6:$BE$37,53,0)-VLOOKUP(B232,#REF!,$H$2,0),0)</f>
        <v>0</v>
      </c>
      <c r="I232" s="10">
        <f>IFERROR(VLOOKUP(B232,cubo!$A$6:$BE$37,14,0)-VLOOKUP(B232,#REF!,$I$2,0),0)</f>
        <v>0</v>
      </c>
      <c r="J232" s="9">
        <f>IFERROR(VLOOKUP(B232,cubo!$A$6:$BE$37,16,0)-VLOOKUP(B232,#REF!,$J$2,0),0)</f>
        <v>0</v>
      </c>
      <c r="K232" s="9">
        <f>IFERROR(VLOOKUP(B232,cubo!$A$6:$BE$37,17,0)-VLOOKUP(B232,#REF!,$K$2,0),0)</f>
        <v>0</v>
      </c>
      <c r="L232" s="9">
        <f>IFERROR(VLOOKUP(B232,cubo!$A$6:$BE$37,19,0)-VLOOKUP(B232,#REF!,$L$2,0),0)</f>
        <v>0</v>
      </c>
      <c r="M232" s="9">
        <f>IFERROR(VLOOKUP(B232,cubo!$A$6:$BE$37,23,0)-VLOOKUP(B232,#REF!,$M$2,0),0)</f>
        <v>0</v>
      </c>
      <c r="N232" s="9">
        <f>IFERROR(VLOOKUP(B232,cubo!$A$6:$BE$37,25,0)-VLOOKUP(B232,#REF!,$N$2,0),0)</f>
        <v>0</v>
      </c>
      <c r="O232" s="9">
        <f>IFERROR(VLOOKUP(B232,cubo!$A$6:$BE$37,33,0)-VLOOKUP(B232,#REF!,$O$2,0),0)</f>
        <v>0</v>
      </c>
      <c r="P232" s="8">
        <f>IFERROR(VLOOKUP(B232,cubo!$A$6:$BE$37,37,0)-VLOOKUP(B232,#REF!,$P$2,0),0)</f>
        <v>0</v>
      </c>
      <c r="Q232" s="8">
        <f>IFERROR(VLOOKUP(B232,cubo!$A$6:$BE$37,56,0)-VLOOKUP(B232,#REF!,$Q$2,0),0)</f>
        <v>0</v>
      </c>
      <c r="R232" s="9">
        <f>IFERROR(VLOOKUP(B232,cubo!$A$6:$BE$37,40,0)-VLOOKUP(B232,#REF!,$R$2,0),0)</f>
        <v>0</v>
      </c>
      <c r="S232" s="9">
        <f>IFERROR(VLOOKUP(B232,cubo!$A$6:$BE$37,43,0)-VLOOKUP(B232,#REF!,$S$2,0),0)</f>
        <v>0</v>
      </c>
      <c r="T232" s="9">
        <f>IFERROR(VLOOKUP(B232,cubo!$A$6:$BE$37,46,0)-VLOOKUP(B232,#REF!,$T$2,0),0)</f>
        <v>0</v>
      </c>
      <c r="U232" s="9">
        <f>IFERROR(VLOOKUP(B232,cubo!$A$6:$BE$37,51,0)-VLOOKUP(B232,#REF!,$U$2,0),0)</f>
        <v>0</v>
      </c>
      <c r="V232" s="9">
        <f>IFERROR(VLOOKUP(B232,cubo!$A$6:$BJ$37,60,0)-VLOOKUP(B232,#REF!,$V$2,0),0)</f>
        <v>0</v>
      </c>
      <c r="W232" s="9">
        <f>IFERROR(VLOOKUP(B232,cubo!$A$6:$BE$37,26,0)-VLOOKUP(B232,#REF!,$W$2,0),0)</f>
        <v>0</v>
      </c>
      <c r="X232" s="9">
        <f>IFERROR(VLOOKUP(B232,cubo!$A$6:$BE$37,20,0)-VLOOKUP(B232,#REF!,$X$2,0),0)</f>
        <v>0</v>
      </c>
      <c r="Y232" s="9">
        <f>IFERROR(VLOOKUP(B232,cubo!$A$6:$BE$37,21,0)-VLOOKUP(B232,#REF!,$Y$2,0),0)</f>
        <v>0</v>
      </c>
      <c r="Z232" s="9">
        <f>IFERROR(VLOOKUP(B232,cubo!$A$6:$BE$37,27,0)-VLOOKUP(B232,#REF!,$Z$2,0),0)</f>
        <v>0</v>
      </c>
      <c r="AA232" s="9">
        <f>IFERROR(VLOOKUP(B232,cubo!$A$6:$BE$37,28,0)-VLOOKUP(B232,#REF!,$AA$2,0),0)</f>
        <v>0</v>
      </c>
      <c r="AB232" s="9">
        <f>IFERROR(VLOOKUP(B232,cubo!$A$6:$BE$37,29,0)-VLOOKUP(B232,#REF!,$AB$2,0),0)</f>
        <v>0</v>
      </c>
      <c r="AC232" s="9">
        <f>IFERROR(VLOOKUP(B232,cubo!$A$6:$BE$37,30,0)-VLOOKUP(B232,#REF!,$AC$2,0),0)</f>
        <v>0</v>
      </c>
      <c r="AD232" s="9">
        <f>IFERROR(VLOOKUP(B232,cubo!$A$6:$BE$37,31,0)-VLOOKUP(B232,#REF!,$AD$2,0),0)</f>
        <v>0</v>
      </c>
      <c r="AE232" s="9">
        <f>IFERROR(VLOOKUP(B232,cubo!$A$6:$BE$37,35,0)-VLOOKUP(B232,#REF!,$AE$2,0),0)</f>
        <v>0</v>
      </c>
      <c r="AF232" s="9" cm="1">
        <f t="array" aca="1" ref="AF232" ca="1">IFERROR(rrPROCV(B232,cubo!$A$6:$BE$37,48,0)-VLOOKUP(B232,#REF!,$AF$2,0),0)</f>
        <v>0</v>
      </c>
      <c r="AG232" s="9">
        <f>IFERROR(VLOOKUP(B232,cubo!$A$6:$BE$37,49,0)-VLOOKUP(B232,#REF!,$AG$2,0),0)</f>
        <v>0</v>
      </c>
      <c r="AH232" s="9">
        <f>IFERROR(VLOOKUP(B232,cubo!$A$6:$BE$37,50,0)-VLOOKUP(B232,#REF!,$AH$2,0),0)</f>
        <v>0</v>
      </c>
      <c r="AI232" s="9">
        <f>IFERROR(VLOOKUP(B232,cubo!$A$6:$BE$37,51,0)-VLOOKUP(B232,#REF!,$AI$2,0),0)</f>
        <v>0</v>
      </c>
      <c r="AJ232" s="9">
        <f>IFERROR(VLOOKUP(B232,cubo!$A$6:$BI$116,62,0)-VLOOKUP(B232,#REF!,$AJ$2,0),0)</f>
        <v>0</v>
      </c>
      <c r="AK232" s="9">
        <f>IFERROR(VLOOKUP(B232,cubo!$A$6:$BJ$37,63,0)-VLOOKUP(B232,#REF!,$AK$2,0),0)</f>
        <v>0</v>
      </c>
      <c r="AL232" s="9">
        <f>IFERROR(VLOOKUP(B232,cubo!$A$6:$BE$37,58,0)-VLOOKUP(B232,#REF!,$AL$2,0),0)</f>
        <v>0</v>
      </c>
      <c r="AM232" s="9">
        <f>IFERROR(VLOOKUP(B232,cubo!$A$6:$BK$37,64,0)-VLOOKUP(B232,#REF!,$AM$2,0),0)</f>
        <v>0</v>
      </c>
      <c r="AN232" s="9">
        <f>IFERROR(VLOOKUP(B232,cubo!$A$6:$AN$37,41,0)-VLOOKUP(B232,#REF!,$AN$2,0),0)</f>
        <v>0</v>
      </c>
    </row>
    <row r="233" spans="2:40" x14ac:dyDescent="0.25">
      <c r="B233" s="7">
        <f>[1]salario!A232</f>
        <v>0</v>
      </c>
      <c r="C233" s="8">
        <f>[1]salario!C232</f>
        <v>0</v>
      </c>
      <c r="D233" s="9">
        <f>IFERROR(VLOOKUP(B233,cubo!$A$6:$BE$37,3,0)-VLOOKUP(B233,#REF!,$D$2,0),0)</f>
        <v>0</v>
      </c>
      <c r="E233" s="10">
        <f>IFERROR(VLOOKUP(B233,cubo!$A$6:$BE$37,5,0)-VLOOKUP(B233,#REF!,$E$2,0),0)</f>
        <v>0</v>
      </c>
      <c r="F233" s="10">
        <f>IFERROR(VLOOKUP(B233,cubo!$A$6:$BE$37,8,0)-VLOOKUP(B233,#REF!,$F$2,0),0)</f>
        <v>0</v>
      </c>
      <c r="G233" s="9">
        <f>IFERROR(VLOOKUP(B233,cubo!$A$6:$BE$37,11,0)-VLOOKUP(B233,#REF!,$G$2,0),0)</f>
        <v>0</v>
      </c>
      <c r="H233" s="9">
        <f>IFERROR(VLOOKUP(B233,cubo!$A$6:$BE$37,53,0)-VLOOKUP(B233,#REF!,$H$2,0),0)</f>
        <v>0</v>
      </c>
      <c r="I233" s="10">
        <f>IFERROR(VLOOKUP(B233,cubo!$A$6:$BE$37,14,0)-VLOOKUP(B233,#REF!,$I$2,0),0)</f>
        <v>0</v>
      </c>
      <c r="J233" s="9">
        <f>IFERROR(VLOOKUP(B233,cubo!$A$6:$BE$37,16,0)-VLOOKUP(B233,#REF!,$J$2,0),0)</f>
        <v>0</v>
      </c>
      <c r="K233" s="9">
        <f>IFERROR(VLOOKUP(B233,cubo!$A$6:$BE$37,17,0)-VLOOKUP(B233,#REF!,$K$2,0),0)</f>
        <v>0</v>
      </c>
      <c r="L233" s="9">
        <f>IFERROR(VLOOKUP(B233,cubo!$A$6:$BE$37,19,0)-VLOOKUP(B233,#REF!,$L$2,0),0)</f>
        <v>0</v>
      </c>
      <c r="M233" s="9">
        <f>IFERROR(VLOOKUP(B233,cubo!$A$6:$BE$37,23,0)-VLOOKUP(B233,#REF!,$M$2,0),0)</f>
        <v>0</v>
      </c>
      <c r="N233" s="9">
        <f>IFERROR(VLOOKUP(B233,cubo!$A$6:$BE$37,25,0)-VLOOKUP(B233,#REF!,$N$2,0),0)</f>
        <v>0</v>
      </c>
      <c r="O233" s="9">
        <f>IFERROR(VLOOKUP(B233,cubo!$A$6:$BE$37,33,0)-VLOOKUP(B233,#REF!,$O$2,0),0)</f>
        <v>0</v>
      </c>
      <c r="P233" s="8">
        <f>IFERROR(VLOOKUP(B233,cubo!$A$6:$BE$37,37,0)-VLOOKUP(B233,#REF!,$P$2,0),0)</f>
        <v>0</v>
      </c>
      <c r="Q233" s="8">
        <f>IFERROR(VLOOKUP(B233,cubo!$A$6:$BE$37,56,0)-VLOOKUP(B233,#REF!,$Q$2,0),0)</f>
        <v>0</v>
      </c>
      <c r="R233" s="9">
        <f>IFERROR(VLOOKUP(B233,cubo!$A$6:$BE$37,40,0)-VLOOKUP(B233,#REF!,$R$2,0),0)</f>
        <v>0</v>
      </c>
      <c r="S233" s="9">
        <f>IFERROR(VLOOKUP(B233,cubo!$A$6:$BE$37,43,0)-VLOOKUP(B233,#REF!,$S$2,0),0)</f>
        <v>0</v>
      </c>
      <c r="T233" s="9">
        <f>IFERROR(VLOOKUP(B233,cubo!$A$6:$BE$37,46,0)-VLOOKUP(B233,#REF!,$T$2,0),0)</f>
        <v>0</v>
      </c>
      <c r="U233" s="9">
        <f>IFERROR(VLOOKUP(B233,cubo!$A$6:$BE$37,51,0)-VLOOKUP(B233,#REF!,$U$2,0),0)</f>
        <v>0</v>
      </c>
      <c r="V233" s="9">
        <f>IFERROR(VLOOKUP(B233,cubo!$A$6:$BJ$37,60,0)-VLOOKUP(B233,#REF!,$V$2,0),0)</f>
        <v>0</v>
      </c>
      <c r="W233" s="9">
        <f>IFERROR(VLOOKUP(B233,cubo!$A$6:$BE$37,26,0)-VLOOKUP(B233,#REF!,$W$2,0),0)</f>
        <v>0</v>
      </c>
      <c r="X233" s="9">
        <f>IFERROR(VLOOKUP(B233,cubo!$A$6:$BE$37,20,0)-VLOOKUP(B233,#REF!,$X$2,0),0)</f>
        <v>0</v>
      </c>
      <c r="Y233" s="9">
        <f>IFERROR(VLOOKUP(B233,cubo!$A$6:$BE$37,21,0)-VLOOKUP(B233,#REF!,$Y$2,0),0)</f>
        <v>0</v>
      </c>
      <c r="Z233" s="9">
        <f>IFERROR(VLOOKUP(B233,cubo!$A$6:$BE$37,27,0)-VLOOKUP(B233,#REF!,$Z$2,0),0)</f>
        <v>0</v>
      </c>
      <c r="AA233" s="9">
        <f>IFERROR(VLOOKUP(B233,cubo!$A$6:$BE$37,28,0)-VLOOKUP(B233,#REF!,$AA$2,0),0)</f>
        <v>0</v>
      </c>
      <c r="AB233" s="9">
        <f>IFERROR(VLOOKUP(B233,cubo!$A$6:$BE$37,29,0)-VLOOKUP(B233,#REF!,$AB$2,0),0)</f>
        <v>0</v>
      </c>
      <c r="AC233" s="9">
        <f>IFERROR(VLOOKUP(B233,cubo!$A$6:$BE$37,30,0)-VLOOKUP(B233,#REF!,$AC$2,0),0)</f>
        <v>0</v>
      </c>
      <c r="AD233" s="9">
        <f>IFERROR(VLOOKUP(B233,cubo!$A$6:$BE$37,31,0)-VLOOKUP(B233,#REF!,$AD$2,0),0)</f>
        <v>0</v>
      </c>
      <c r="AE233" s="9">
        <f>IFERROR(VLOOKUP(B233,cubo!$A$6:$BE$37,35,0)-VLOOKUP(B233,#REF!,$AE$2,0),0)</f>
        <v>0</v>
      </c>
      <c r="AF233" s="9" cm="1">
        <f t="array" aca="1" ref="AF233" ca="1">IFERROR(rrPROCV(B233,cubo!$A$6:$BE$37,48,0)-VLOOKUP(B233,#REF!,$AF$2,0),0)</f>
        <v>0</v>
      </c>
      <c r="AG233" s="9">
        <f>IFERROR(VLOOKUP(B233,cubo!$A$6:$BE$37,49,0)-VLOOKUP(B233,#REF!,$AG$2,0),0)</f>
        <v>0</v>
      </c>
      <c r="AH233" s="9">
        <f>IFERROR(VLOOKUP(B233,cubo!$A$6:$BE$37,50,0)-VLOOKUP(B233,#REF!,$AH$2,0),0)</f>
        <v>0</v>
      </c>
      <c r="AI233" s="9">
        <f>IFERROR(VLOOKUP(B233,cubo!$A$6:$BE$37,51,0)-VLOOKUP(B233,#REF!,$AI$2,0),0)</f>
        <v>0</v>
      </c>
      <c r="AJ233" s="9">
        <f>IFERROR(VLOOKUP(B233,cubo!$A$6:$BI$116,62,0)-VLOOKUP(B233,#REF!,$AJ$2,0),0)</f>
        <v>0</v>
      </c>
      <c r="AK233" s="9">
        <f>IFERROR(VLOOKUP(B233,cubo!$A$6:$BJ$37,63,0)-VLOOKUP(B233,#REF!,$AK$2,0),0)</f>
        <v>0</v>
      </c>
      <c r="AL233" s="9">
        <f>IFERROR(VLOOKUP(B233,cubo!$A$6:$BE$37,58,0)-VLOOKUP(B233,#REF!,$AL$2,0),0)</f>
        <v>0</v>
      </c>
      <c r="AM233" s="9">
        <f>IFERROR(VLOOKUP(B233,cubo!$A$6:$BK$37,64,0)-VLOOKUP(B233,#REF!,$AM$2,0),0)</f>
        <v>0</v>
      </c>
      <c r="AN233" s="9">
        <f>IFERROR(VLOOKUP(B233,cubo!$A$6:$AN$37,41,0)-VLOOKUP(B233,#REF!,$AN$2,0),0)</f>
        <v>0</v>
      </c>
    </row>
    <row r="234" spans="2:40" x14ac:dyDescent="0.25">
      <c r="B234" s="7">
        <f>[1]salario!A233</f>
        <v>0</v>
      </c>
      <c r="C234" s="8">
        <f>[1]salario!C233</f>
        <v>0</v>
      </c>
      <c r="D234" s="9">
        <f>IFERROR(VLOOKUP(B234,cubo!$A$6:$BE$37,3,0)-VLOOKUP(B234,#REF!,$D$2,0),0)</f>
        <v>0</v>
      </c>
      <c r="E234" s="10">
        <f>IFERROR(VLOOKUP(B234,cubo!$A$6:$BE$37,5,0)-VLOOKUP(B234,#REF!,$E$2,0),0)</f>
        <v>0</v>
      </c>
      <c r="F234" s="10">
        <f>IFERROR(VLOOKUP(B234,cubo!$A$6:$BE$37,8,0)-VLOOKUP(B234,#REF!,$F$2,0),0)</f>
        <v>0</v>
      </c>
      <c r="G234" s="9">
        <f>IFERROR(VLOOKUP(B234,cubo!$A$6:$BE$37,11,0)-VLOOKUP(B234,#REF!,$G$2,0),0)</f>
        <v>0</v>
      </c>
      <c r="H234" s="9">
        <f>IFERROR(VLOOKUP(B234,cubo!$A$6:$BE$37,53,0)-VLOOKUP(B234,#REF!,$H$2,0),0)</f>
        <v>0</v>
      </c>
      <c r="I234" s="10">
        <f>IFERROR(VLOOKUP(B234,cubo!$A$6:$BE$37,14,0)-VLOOKUP(B234,#REF!,$I$2,0),0)</f>
        <v>0</v>
      </c>
      <c r="J234" s="9">
        <f>IFERROR(VLOOKUP(B234,cubo!$A$6:$BE$37,16,0)-VLOOKUP(B234,#REF!,$J$2,0),0)</f>
        <v>0</v>
      </c>
      <c r="K234" s="9">
        <f>IFERROR(VLOOKUP(B234,cubo!$A$6:$BE$37,17,0)-VLOOKUP(B234,#REF!,$K$2,0),0)</f>
        <v>0</v>
      </c>
      <c r="L234" s="9">
        <f>IFERROR(VLOOKUP(B234,cubo!$A$6:$BE$37,19,0)-VLOOKUP(B234,#REF!,$L$2,0),0)</f>
        <v>0</v>
      </c>
      <c r="M234" s="9">
        <f>IFERROR(VLOOKUP(B234,cubo!$A$6:$BE$37,23,0)-VLOOKUP(B234,#REF!,$M$2,0),0)</f>
        <v>0</v>
      </c>
      <c r="N234" s="9">
        <f>IFERROR(VLOOKUP(B234,cubo!$A$6:$BE$37,25,0)-VLOOKUP(B234,#REF!,$N$2,0),0)</f>
        <v>0</v>
      </c>
      <c r="O234" s="9">
        <f>IFERROR(VLOOKUP(B234,cubo!$A$6:$BE$37,33,0)-VLOOKUP(B234,#REF!,$O$2,0),0)</f>
        <v>0</v>
      </c>
      <c r="P234" s="8">
        <f>IFERROR(VLOOKUP(B234,cubo!$A$6:$BE$37,37,0)-VLOOKUP(B234,#REF!,$P$2,0),0)</f>
        <v>0</v>
      </c>
      <c r="Q234" s="8">
        <f>IFERROR(VLOOKUP(B234,cubo!$A$6:$BE$37,56,0)-VLOOKUP(B234,#REF!,$Q$2,0),0)</f>
        <v>0</v>
      </c>
      <c r="R234" s="9">
        <f>IFERROR(VLOOKUP(B234,cubo!$A$6:$BE$37,40,0)-VLOOKUP(B234,#REF!,$R$2,0),0)</f>
        <v>0</v>
      </c>
      <c r="S234" s="9">
        <f>IFERROR(VLOOKUP(B234,cubo!$A$6:$BE$37,43,0)-VLOOKUP(B234,#REF!,$S$2,0),0)</f>
        <v>0</v>
      </c>
      <c r="T234" s="9">
        <f>IFERROR(VLOOKUP(B234,cubo!$A$6:$BE$37,46,0)-VLOOKUP(B234,#REF!,$T$2,0),0)</f>
        <v>0</v>
      </c>
      <c r="U234" s="9">
        <f>IFERROR(VLOOKUP(B234,cubo!$A$6:$BE$37,51,0)-VLOOKUP(B234,#REF!,$U$2,0),0)</f>
        <v>0</v>
      </c>
      <c r="V234" s="9">
        <f>IFERROR(VLOOKUP(B234,cubo!$A$6:$BJ$37,60,0)-VLOOKUP(B234,#REF!,$V$2,0),0)</f>
        <v>0</v>
      </c>
      <c r="W234" s="9">
        <f>IFERROR(VLOOKUP(B234,cubo!$A$6:$BE$37,26,0)-VLOOKUP(B234,#REF!,$W$2,0),0)</f>
        <v>0</v>
      </c>
      <c r="X234" s="9">
        <f>IFERROR(VLOOKUP(B234,cubo!$A$6:$BE$37,20,0)-VLOOKUP(B234,#REF!,$X$2,0),0)</f>
        <v>0</v>
      </c>
      <c r="Y234" s="9">
        <f>IFERROR(VLOOKUP(B234,cubo!$A$6:$BE$37,21,0)-VLOOKUP(B234,#REF!,$Y$2,0),0)</f>
        <v>0</v>
      </c>
      <c r="Z234" s="9">
        <f>IFERROR(VLOOKUP(B234,cubo!$A$6:$BE$37,27,0)-VLOOKUP(B234,#REF!,$Z$2,0),0)</f>
        <v>0</v>
      </c>
      <c r="AA234" s="9">
        <f>IFERROR(VLOOKUP(B234,cubo!$A$6:$BE$37,28,0)-VLOOKUP(B234,#REF!,$AA$2,0),0)</f>
        <v>0</v>
      </c>
      <c r="AB234" s="9">
        <f>IFERROR(VLOOKUP(B234,cubo!$A$6:$BE$37,29,0)-VLOOKUP(B234,#REF!,$AB$2,0),0)</f>
        <v>0</v>
      </c>
      <c r="AC234" s="9">
        <f>IFERROR(VLOOKUP(B234,cubo!$A$6:$BE$37,30,0)-VLOOKUP(B234,#REF!,$AC$2,0),0)</f>
        <v>0</v>
      </c>
      <c r="AD234" s="9">
        <f>IFERROR(VLOOKUP(B234,cubo!$A$6:$BE$37,31,0)-VLOOKUP(B234,#REF!,$AD$2,0),0)</f>
        <v>0</v>
      </c>
      <c r="AE234" s="9">
        <f>IFERROR(VLOOKUP(B234,cubo!$A$6:$BE$37,35,0)-VLOOKUP(B234,#REF!,$AE$2,0),0)</f>
        <v>0</v>
      </c>
      <c r="AF234" s="9" cm="1">
        <f t="array" aca="1" ref="AF234" ca="1">IFERROR(rrPROCV(B234,cubo!$A$6:$BE$37,48,0)-VLOOKUP(B234,#REF!,$AF$2,0),0)</f>
        <v>0</v>
      </c>
      <c r="AG234" s="9">
        <f>IFERROR(VLOOKUP(B234,cubo!$A$6:$BE$37,49,0)-VLOOKUP(B234,#REF!,$AG$2,0),0)</f>
        <v>0</v>
      </c>
      <c r="AH234" s="9">
        <f>IFERROR(VLOOKUP(B234,cubo!$A$6:$BE$37,50,0)-VLOOKUP(B234,#REF!,$AH$2,0),0)</f>
        <v>0</v>
      </c>
      <c r="AI234" s="9">
        <f>IFERROR(VLOOKUP(B234,cubo!$A$6:$BE$37,51,0)-VLOOKUP(B234,#REF!,$AI$2,0),0)</f>
        <v>0</v>
      </c>
      <c r="AJ234" s="9">
        <f>IFERROR(VLOOKUP(B234,cubo!$A$6:$BI$116,62,0)-VLOOKUP(B234,#REF!,$AJ$2,0),0)</f>
        <v>0</v>
      </c>
      <c r="AK234" s="9">
        <f>IFERROR(VLOOKUP(B234,cubo!$A$6:$BJ$37,63,0)-VLOOKUP(B234,#REF!,$AK$2,0),0)</f>
        <v>0</v>
      </c>
      <c r="AL234" s="9">
        <f>IFERROR(VLOOKUP(B234,cubo!$A$6:$BE$37,58,0)-VLOOKUP(B234,#REF!,$AL$2,0),0)</f>
        <v>0</v>
      </c>
      <c r="AM234" s="9">
        <f>IFERROR(VLOOKUP(B234,cubo!$A$6:$BK$37,64,0)-VLOOKUP(B234,#REF!,$AM$2,0),0)</f>
        <v>0</v>
      </c>
      <c r="AN234" s="9">
        <f>IFERROR(VLOOKUP(B234,cubo!$A$6:$AN$37,41,0)-VLOOKUP(B234,#REF!,$AN$2,0),0)</f>
        <v>0</v>
      </c>
    </row>
    <row r="235" spans="2:40" x14ac:dyDescent="0.25">
      <c r="B235" s="7">
        <f>[1]salario!A234</f>
        <v>0</v>
      </c>
      <c r="C235" s="8">
        <f>[1]salario!C234</f>
        <v>0</v>
      </c>
      <c r="D235" s="9">
        <f>IFERROR(VLOOKUP(B235,cubo!$A$6:$BE$37,3,0)-VLOOKUP(B235,#REF!,$D$2,0),0)</f>
        <v>0</v>
      </c>
      <c r="E235" s="10">
        <f>IFERROR(VLOOKUP(B235,cubo!$A$6:$BE$37,5,0)-VLOOKUP(B235,#REF!,$E$2,0),0)</f>
        <v>0</v>
      </c>
      <c r="F235" s="10">
        <f>IFERROR(VLOOKUP(B235,cubo!$A$6:$BE$37,8,0)-VLOOKUP(B235,#REF!,$F$2,0),0)</f>
        <v>0</v>
      </c>
      <c r="G235" s="9">
        <f>IFERROR(VLOOKUP(B235,cubo!$A$6:$BE$37,11,0)-VLOOKUP(B235,#REF!,$G$2,0),0)</f>
        <v>0</v>
      </c>
      <c r="H235" s="9">
        <f>IFERROR(VLOOKUP(B235,cubo!$A$6:$BE$37,53,0)-VLOOKUP(B235,#REF!,$H$2,0),0)</f>
        <v>0</v>
      </c>
      <c r="I235" s="10">
        <f>IFERROR(VLOOKUP(B235,cubo!$A$6:$BE$37,14,0)-VLOOKUP(B235,#REF!,$I$2,0),0)</f>
        <v>0</v>
      </c>
      <c r="J235" s="9">
        <f>IFERROR(VLOOKUP(B235,cubo!$A$6:$BE$37,16,0)-VLOOKUP(B235,#REF!,$J$2,0),0)</f>
        <v>0</v>
      </c>
      <c r="K235" s="9">
        <f>IFERROR(VLOOKUP(B235,cubo!$A$6:$BE$37,17,0)-VLOOKUP(B235,#REF!,$K$2,0),0)</f>
        <v>0</v>
      </c>
      <c r="L235" s="9">
        <f>IFERROR(VLOOKUP(B235,cubo!$A$6:$BE$37,19,0)-VLOOKUP(B235,#REF!,$L$2,0),0)</f>
        <v>0</v>
      </c>
      <c r="M235" s="9">
        <f>IFERROR(VLOOKUP(B235,cubo!$A$6:$BE$37,23,0)-VLOOKUP(B235,#REF!,$M$2,0),0)</f>
        <v>0</v>
      </c>
      <c r="N235" s="9">
        <f>IFERROR(VLOOKUP(B235,cubo!$A$6:$BE$37,25,0)-VLOOKUP(B235,#REF!,$N$2,0),0)</f>
        <v>0</v>
      </c>
      <c r="O235" s="9">
        <f>IFERROR(VLOOKUP(B235,cubo!$A$6:$BE$37,33,0)-VLOOKUP(B235,#REF!,$O$2,0),0)</f>
        <v>0</v>
      </c>
      <c r="P235" s="8">
        <f>IFERROR(VLOOKUP(B235,cubo!$A$6:$BE$37,37,0)-VLOOKUP(B235,#REF!,$P$2,0),0)</f>
        <v>0</v>
      </c>
      <c r="Q235" s="8">
        <f>IFERROR(VLOOKUP(B235,cubo!$A$6:$BE$37,56,0)-VLOOKUP(B235,#REF!,$Q$2,0),0)</f>
        <v>0</v>
      </c>
      <c r="R235" s="9">
        <f>IFERROR(VLOOKUP(B235,cubo!$A$6:$BE$37,40,0)-VLOOKUP(B235,#REF!,$R$2,0),0)</f>
        <v>0</v>
      </c>
      <c r="S235" s="9">
        <f>IFERROR(VLOOKUP(B235,cubo!$A$6:$BE$37,43,0)-VLOOKUP(B235,#REF!,$S$2,0),0)</f>
        <v>0</v>
      </c>
      <c r="T235" s="9">
        <f>IFERROR(VLOOKUP(B235,cubo!$A$6:$BE$37,46,0)-VLOOKUP(B235,#REF!,$T$2,0),0)</f>
        <v>0</v>
      </c>
      <c r="U235" s="9">
        <f>IFERROR(VLOOKUP(B235,cubo!$A$6:$BE$37,51,0)-VLOOKUP(B235,#REF!,$U$2,0),0)</f>
        <v>0</v>
      </c>
      <c r="V235" s="9">
        <f>IFERROR(VLOOKUP(B235,cubo!$A$6:$BJ$37,60,0)-VLOOKUP(B235,#REF!,$V$2,0),0)</f>
        <v>0</v>
      </c>
      <c r="W235" s="9">
        <f>IFERROR(VLOOKUP(B235,cubo!$A$6:$BE$37,26,0)-VLOOKUP(B235,#REF!,$W$2,0),0)</f>
        <v>0</v>
      </c>
      <c r="X235" s="9">
        <f>IFERROR(VLOOKUP(B235,cubo!$A$6:$BE$37,20,0)-VLOOKUP(B235,#REF!,$X$2,0),0)</f>
        <v>0</v>
      </c>
      <c r="Y235" s="9">
        <f>IFERROR(VLOOKUP(B235,cubo!$A$6:$BE$37,21,0)-VLOOKUP(B235,#REF!,$Y$2,0),0)</f>
        <v>0</v>
      </c>
      <c r="Z235" s="9">
        <f>IFERROR(VLOOKUP(B235,cubo!$A$6:$BE$37,27,0)-VLOOKUP(B235,#REF!,$Z$2,0),0)</f>
        <v>0</v>
      </c>
      <c r="AA235" s="9">
        <f>IFERROR(VLOOKUP(B235,cubo!$A$6:$BE$37,28,0)-VLOOKUP(B235,#REF!,$AA$2,0),0)</f>
        <v>0</v>
      </c>
      <c r="AB235" s="9">
        <f>IFERROR(VLOOKUP(B235,cubo!$A$6:$BE$37,29,0)-VLOOKUP(B235,#REF!,$AB$2,0),0)</f>
        <v>0</v>
      </c>
      <c r="AC235" s="9">
        <f>IFERROR(VLOOKUP(B235,cubo!$A$6:$BE$37,30,0)-VLOOKUP(B235,#REF!,$AC$2,0),0)</f>
        <v>0</v>
      </c>
      <c r="AD235" s="9">
        <f>IFERROR(VLOOKUP(B235,cubo!$A$6:$BE$37,31,0)-VLOOKUP(B235,#REF!,$AD$2,0),0)</f>
        <v>0</v>
      </c>
      <c r="AE235" s="9">
        <f>IFERROR(VLOOKUP(B235,cubo!$A$6:$BE$37,35,0)-VLOOKUP(B235,#REF!,$AE$2,0),0)</f>
        <v>0</v>
      </c>
      <c r="AF235" s="9" cm="1">
        <f t="array" aca="1" ref="AF235" ca="1">IFERROR(rrPROCV(B235,cubo!$A$6:$BE$37,48,0)-VLOOKUP(B235,#REF!,$AF$2,0),0)</f>
        <v>0</v>
      </c>
      <c r="AG235" s="9">
        <f>IFERROR(VLOOKUP(B235,cubo!$A$6:$BE$37,49,0)-VLOOKUP(B235,#REF!,$AG$2,0),0)</f>
        <v>0</v>
      </c>
      <c r="AH235" s="9">
        <f>IFERROR(VLOOKUP(B235,cubo!$A$6:$BE$37,50,0)-VLOOKUP(B235,#REF!,$AH$2,0),0)</f>
        <v>0</v>
      </c>
      <c r="AI235" s="9">
        <f>IFERROR(VLOOKUP(B235,cubo!$A$6:$BE$37,51,0)-VLOOKUP(B235,#REF!,$AI$2,0),0)</f>
        <v>0</v>
      </c>
      <c r="AJ235" s="9">
        <f>IFERROR(VLOOKUP(B235,cubo!$A$6:$BI$116,62,0)-VLOOKUP(B235,#REF!,$AJ$2,0),0)</f>
        <v>0</v>
      </c>
      <c r="AK235" s="9">
        <f>IFERROR(VLOOKUP(B235,cubo!$A$6:$BJ$37,63,0)-VLOOKUP(B235,#REF!,$AK$2,0),0)</f>
        <v>0</v>
      </c>
      <c r="AL235" s="9">
        <f>IFERROR(VLOOKUP(B235,cubo!$A$6:$BE$37,58,0)-VLOOKUP(B235,#REF!,$AL$2,0),0)</f>
        <v>0</v>
      </c>
      <c r="AM235" s="9">
        <f>IFERROR(VLOOKUP(B235,cubo!$A$6:$BK$37,64,0)-VLOOKUP(B235,#REF!,$AM$2,0),0)</f>
        <v>0</v>
      </c>
      <c r="AN235" s="9">
        <f>IFERROR(VLOOKUP(B235,cubo!$A$6:$AN$37,41,0)-VLOOKUP(B235,#REF!,$AN$2,0),0)</f>
        <v>0</v>
      </c>
    </row>
    <row r="236" spans="2:40" x14ac:dyDescent="0.25">
      <c r="B236" s="7">
        <f>[1]salario!A235</f>
        <v>0</v>
      </c>
      <c r="C236" s="8">
        <f>[1]salario!C235</f>
        <v>0</v>
      </c>
      <c r="D236" s="9">
        <f>IFERROR(VLOOKUP(B236,cubo!$A$6:$BE$37,3,0)-VLOOKUP(B236,#REF!,$D$2,0),0)</f>
        <v>0</v>
      </c>
      <c r="E236" s="10">
        <f>IFERROR(VLOOKUP(B236,cubo!$A$6:$BE$37,5,0)-VLOOKUP(B236,#REF!,$E$2,0),0)</f>
        <v>0</v>
      </c>
      <c r="F236" s="10">
        <f>IFERROR(VLOOKUP(B236,cubo!$A$6:$BE$37,8,0)-VLOOKUP(B236,#REF!,$F$2,0),0)</f>
        <v>0</v>
      </c>
      <c r="G236" s="9">
        <f>IFERROR(VLOOKUP(B236,cubo!$A$6:$BE$37,11,0)-VLOOKUP(B236,#REF!,$G$2,0),0)</f>
        <v>0</v>
      </c>
      <c r="H236" s="9">
        <f>IFERROR(VLOOKUP(B236,cubo!$A$6:$BE$37,53,0)-VLOOKUP(B236,#REF!,$H$2,0),0)</f>
        <v>0</v>
      </c>
      <c r="I236" s="10">
        <f>IFERROR(VLOOKUP(B236,cubo!$A$6:$BE$37,14,0)-VLOOKUP(B236,#REF!,$I$2,0),0)</f>
        <v>0</v>
      </c>
      <c r="J236" s="9">
        <f>IFERROR(VLOOKUP(B236,cubo!$A$6:$BE$37,16,0)-VLOOKUP(B236,#REF!,$J$2,0),0)</f>
        <v>0</v>
      </c>
      <c r="K236" s="9">
        <f>IFERROR(VLOOKUP(B236,cubo!$A$6:$BE$37,17,0)-VLOOKUP(B236,#REF!,$K$2,0),0)</f>
        <v>0</v>
      </c>
      <c r="L236" s="9">
        <f>IFERROR(VLOOKUP(B236,cubo!$A$6:$BE$37,19,0)-VLOOKUP(B236,#REF!,$L$2,0),0)</f>
        <v>0</v>
      </c>
      <c r="M236" s="9">
        <f>IFERROR(VLOOKUP(B236,cubo!$A$6:$BE$37,23,0)-VLOOKUP(B236,#REF!,$M$2,0),0)</f>
        <v>0</v>
      </c>
      <c r="N236" s="9">
        <f>IFERROR(VLOOKUP(B236,cubo!$A$6:$BE$37,25,0)-VLOOKUP(B236,#REF!,$N$2,0),0)</f>
        <v>0</v>
      </c>
      <c r="O236" s="9">
        <f>IFERROR(VLOOKUP(B236,cubo!$A$6:$BE$37,33,0)-VLOOKUP(B236,#REF!,$O$2,0),0)</f>
        <v>0</v>
      </c>
      <c r="P236" s="8">
        <f>IFERROR(VLOOKUP(B236,cubo!$A$6:$BE$37,37,0)-VLOOKUP(B236,#REF!,$P$2,0),0)</f>
        <v>0</v>
      </c>
      <c r="Q236" s="8">
        <f>IFERROR(VLOOKUP(B236,cubo!$A$6:$BE$37,56,0)-VLOOKUP(B236,#REF!,$Q$2,0),0)</f>
        <v>0</v>
      </c>
      <c r="R236" s="9">
        <f>IFERROR(VLOOKUP(B236,cubo!$A$6:$BE$37,40,0)-VLOOKUP(B236,#REF!,$R$2,0),0)</f>
        <v>0</v>
      </c>
      <c r="S236" s="9">
        <f>IFERROR(VLOOKUP(B236,cubo!$A$6:$BE$37,43,0)-VLOOKUP(B236,#REF!,$S$2,0),0)</f>
        <v>0</v>
      </c>
      <c r="T236" s="9">
        <f>IFERROR(VLOOKUP(B236,cubo!$A$6:$BE$37,46,0)-VLOOKUP(B236,#REF!,$T$2,0),0)</f>
        <v>0</v>
      </c>
      <c r="U236" s="9">
        <f>IFERROR(VLOOKUP(B236,cubo!$A$6:$BE$37,51,0)-VLOOKUP(B236,#REF!,$U$2,0),0)</f>
        <v>0</v>
      </c>
      <c r="V236" s="9">
        <f>IFERROR(VLOOKUP(B236,cubo!$A$6:$BJ$37,60,0)-VLOOKUP(B236,#REF!,$V$2,0),0)</f>
        <v>0</v>
      </c>
      <c r="W236" s="9">
        <f>IFERROR(VLOOKUP(B236,cubo!$A$6:$BE$37,26,0)-VLOOKUP(B236,#REF!,$W$2,0),0)</f>
        <v>0</v>
      </c>
      <c r="X236" s="9">
        <f>IFERROR(VLOOKUP(B236,cubo!$A$6:$BE$37,20,0)-VLOOKUP(B236,#REF!,$X$2,0),0)</f>
        <v>0</v>
      </c>
      <c r="Y236" s="9">
        <f>IFERROR(VLOOKUP(B236,cubo!$A$6:$BE$37,21,0)-VLOOKUP(B236,#REF!,$Y$2,0),0)</f>
        <v>0</v>
      </c>
      <c r="Z236" s="9">
        <f>IFERROR(VLOOKUP(B236,cubo!$A$6:$BE$37,27,0)-VLOOKUP(B236,#REF!,$Z$2,0),0)</f>
        <v>0</v>
      </c>
      <c r="AA236" s="9">
        <f>IFERROR(VLOOKUP(B236,cubo!$A$6:$BE$37,28,0)-VLOOKUP(B236,#REF!,$AA$2,0),0)</f>
        <v>0</v>
      </c>
      <c r="AB236" s="9">
        <f>IFERROR(VLOOKUP(B236,cubo!$A$6:$BE$37,29,0)-VLOOKUP(B236,#REF!,$AB$2,0),0)</f>
        <v>0</v>
      </c>
      <c r="AC236" s="9">
        <f>IFERROR(VLOOKUP(B236,cubo!$A$6:$BE$37,30,0)-VLOOKUP(B236,#REF!,$AC$2,0),0)</f>
        <v>0</v>
      </c>
      <c r="AD236" s="9">
        <f>IFERROR(VLOOKUP(B236,cubo!$A$6:$BE$37,31,0)-VLOOKUP(B236,#REF!,$AD$2,0),0)</f>
        <v>0</v>
      </c>
      <c r="AE236" s="9">
        <f>IFERROR(VLOOKUP(B236,cubo!$A$6:$BE$37,35,0)-VLOOKUP(B236,#REF!,$AE$2,0),0)</f>
        <v>0</v>
      </c>
      <c r="AF236" s="9" cm="1">
        <f t="array" aca="1" ref="AF236" ca="1">IFERROR(rrPROCV(B236,cubo!$A$6:$BE$37,48,0)-VLOOKUP(B236,#REF!,$AF$2,0),0)</f>
        <v>0</v>
      </c>
      <c r="AG236" s="9">
        <f>IFERROR(VLOOKUP(B236,cubo!$A$6:$BE$37,49,0)-VLOOKUP(B236,#REF!,$AG$2,0),0)</f>
        <v>0</v>
      </c>
      <c r="AH236" s="9">
        <f>IFERROR(VLOOKUP(B236,cubo!$A$6:$BE$37,50,0)-VLOOKUP(B236,#REF!,$AH$2,0),0)</f>
        <v>0</v>
      </c>
      <c r="AI236" s="9">
        <f>IFERROR(VLOOKUP(B236,cubo!$A$6:$BE$37,51,0)-VLOOKUP(B236,#REF!,$AI$2,0),0)</f>
        <v>0</v>
      </c>
      <c r="AJ236" s="9">
        <f>IFERROR(VLOOKUP(B236,cubo!$A$6:$BI$116,62,0)-VLOOKUP(B236,#REF!,$AJ$2,0),0)</f>
        <v>0</v>
      </c>
      <c r="AK236" s="9">
        <f>IFERROR(VLOOKUP(B236,cubo!$A$6:$BJ$37,63,0)-VLOOKUP(B236,#REF!,$AK$2,0),0)</f>
        <v>0</v>
      </c>
      <c r="AL236" s="9">
        <f>IFERROR(VLOOKUP(B236,cubo!$A$6:$BE$37,58,0)-VLOOKUP(B236,#REF!,$AL$2,0),0)</f>
        <v>0</v>
      </c>
      <c r="AM236" s="9">
        <f>IFERROR(VLOOKUP(B236,cubo!$A$6:$BK$37,64,0)-VLOOKUP(B236,#REF!,$AM$2,0),0)</f>
        <v>0</v>
      </c>
      <c r="AN236" s="9">
        <f>IFERROR(VLOOKUP(B236,cubo!$A$6:$AN$37,41,0)-VLOOKUP(B236,#REF!,$AN$2,0),0)</f>
        <v>0</v>
      </c>
    </row>
    <row r="237" spans="2:40" x14ac:dyDescent="0.25">
      <c r="B237" s="7">
        <f>[1]salario!A236</f>
        <v>0</v>
      </c>
      <c r="C237" s="8">
        <f>[1]salario!C236</f>
        <v>0</v>
      </c>
      <c r="D237" s="9">
        <f>IFERROR(VLOOKUP(B237,cubo!$A$6:$BE$37,3,0)-VLOOKUP(B237,#REF!,$D$2,0),0)</f>
        <v>0</v>
      </c>
      <c r="E237" s="10">
        <f>IFERROR(VLOOKUP(B237,cubo!$A$6:$BE$37,5,0)-VLOOKUP(B237,#REF!,$E$2,0),0)</f>
        <v>0</v>
      </c>
      <c r="F237" s="10">
        <f>IFERROR(VLOOKUP(B237,cubo!$A$6:$BE$37,8,0)-VLOOKUP(B237,#REF!,$F$2,0),0)</f>
        <v>0</v>
      </c>
      <c r="G237" s="9">
        <f>IFERROR(VLOOKUP(B237,cubo!$A$6:$BE$37,11,0)-VLOOKUP(B237,#REF!,$G$2,0),0)</f>
        <v>0</v>
      </c>
      <c r="H237" s="9">
        <f>IFERROR(VLOOKUP(B237,cubo!$A$6:$BE$37,53,0)-VLOOKUP(B237,#REF!,$H$2,0),0)</f>
        <v>0</v>
      </c>
      <c r="I237" s="10">
        <f>IFERROR(VLOOKUP(B237,cubo!$A$6:$BE$37,14,0)-VLOOKUP(B237,#REF!,$I$2,0),0)</f>
        <v>0</v>
      </c>
      <c r="J237" s="9">
        <f>IFERROR(VLOOKUP(B237,cubo!$A$6:$BE$37,16,0)-VLOOKUP(B237,#REF!,$J$2,0),0)</f>
        <v>0</v>
      </c>
      <c r="K237" s="9">
        <f>IFERROR(VLOOKUP(B237,cubo!$A$6:$BE$37,17,0)-VLOOKUP(B237,#REF!,$K$2,0),0)</f>
        <v>0</v>
      </c>
      <c r="L237" s="9">
        <f>IFERROR(VLOOKUP(B237,cubo!$A$6:$BE$37,19,0)-VLOOKUP(B237,#REF!,$L$2,0),0)</f>
        <v>0</v>
      </c>
      <c r="M237" s="9">
        <f>IFERROR(VLOOKUP(B237,cubo!$A$6:$BE$37,23,0)-VLOOKUP(B237,#REF!,$M$2,0),0)</f>
        <v>0</v>
      </c>
      <c r="N237" s="9">
        <f>IFERROR(VLOOKUP(B237,cubo!$A$6:$BE$37,25,0)-VLOOKUP(B237,#REF!,$N$2,0),0)</f>
        <v>0</v>
      </c>
      <c r="O237" s="9">
        <f>IFERROR(VLOOKUP(B237,cubo!$A$6:$BE$37,33,0)-VLOOKUP(B237,#REF!,$O$2,0),0)</f>
        <v>0</v>
      </c>
      <c r="P237" s="8">
        <f>IFERROR(VLOOKUP(B237,cubo!$A$6:$BE$37,37,0)-VLOOKUP(B237,#REF!,$P$2,0),0)</f>
        <v>0</v>
      </c>
      <c r="Q237" s="8">
        <f>IFERROR(VLOOKUP(B237,cubo!$A$6:$BE$37,56,0)-VLOOKUP(B237,#REF!,$Q$2,0),0)</f>
        <v>0</v>
      </c>
      <c r="R237" s="9">
        <f>IFERROR(VLOOKUP(B237,cubo!$A$6:$BE$37,40,0)-VLOOKUP(B237,#REF!,$R$2,0),0)</f>
        <v>0</v>
      </c>
      <c r="S237" s="9">
        <f>IFERROR(VLOOKUP(B237,cubo!$A$6:$BE$37,43,0)-VLOOKUP(B237,#REF!,$S$2,0),0)</f>
        <v>0</v>
      </c>
      <c r="T237" s="9">
        <f>IFERROR(VLOOKUP(B237,cubo!$A$6:$BE$37,46,0)-VLOOKUP(B237,#REF!,$T$2,0),0)</f>
        <v>0</v>
      </c>
      <c r="U237" s="9">
        <f>IFERROR(VLOOKUP(B237,cubo!$A$6:$BE$37,51,0)-VLOOKUP(B237,#REF!,$U$2,0),0)</f>
        <v>0</v>
      </c>
      <c r="V237" s="9">
        <f>IFERROR(VLOOKUP(B237,cubo!$A$6:$BJ$37,60,0)-VLOOKUP(B237,#REF!,$V$2,0),0)</f>
        <v>0</v>
      </c>
      <c r="W237" s="9">
        <f>IFERROR(VLOOKUP(B237,cubo!$A$6:$BE$37,26,0)-VLOOKUP(B237,#REF!,$W$2,0),0)</f>
        <v>0</v>
      </c>
      <c r="X237" s="9">
        <f>IFERROR(VLOOKUP(B237,cubo!$A$6:$BE$37,20,0)-VLOOKUP(B237,#REF!,$X$2,0),0)</f>
        <v>0</v>
      </c>
      <c r="Y237" s="9">
        <f>IFERROR(VLOOKUP(B237,cubo!$A$6:$BE$37,21,0)-VLOOKUP(B237,#REF!,$Y$2,0),0)</f>
        <v>0</v>
      </c>
      <c r="Z237" s="9">
        <f>IFERROR(VLOOKUP(B237,cubo!$A$6:$BE$37,27,0)-VLOOKUP(B237,#REF!,$Z$2,0),0)</f>
        <v>0</v>
      </c>
      <c r="AA237" s="9">
        <f>IFERROR(VLOOKUP(B237,cubo!$A$6:$BE$37,28,0)-VLOOKUP(B237,#REF!,$AA$2,0),0)</f>
        <v>0</v>
      </c>
      <c r="AB237" s="9">
        <f>IFERROR(VLOOKUP(B237,cubo!$A$6:$BE$37,29,0)-VLOOKUP(B237,#REF!,$AB$2,0),0)</f>
        <v>0</v>
      </c>
      <c r="AC237" s="9">
        <f>IFERROR(VLOOKUP(B237,cubo!$A$6:$BE$37,30,0)-VLOOKUP(B237,#REF!,$AC$2,0),0)</f>
        <v>0</v>
      </c>
      <c r="AD237" s="9">
        <f>IFERROR(VLOOKUP(B237,cubo!$A$6:$BE$37,31,0)-VLOOKUP(B237,#REF!,$AD$2,0),0)</f>
        <v>0</v>
      </c>
      <c r="AE237" s="9">
        <f>IFERROR(VLOOKUP(B237,cubo!$A$6:$BE$37,35,0)-VLOOKUP(B237,#REF!,$AE$2,0),0)</f>
        <v>0</v>
      </c>
      <c r="AF237" s="9" cm="1">
        <f t="array" aca="1" ref="AF237" ca="1">IFERROR(rrPROCV(B237,cubo!$A$6:$BE$37,48,0)-VLOOKUP(B237,#REF!,$AF$2,0),0)</f>
        <v>0</v>
      </c>
      <c r="AG237" s="9">
        <f>IFERROR(VLOOKUP(B237,cubo!$A$6:$BE$37,49,0)-VLOOKUP(B237,#REF!,$AG$2,0),0)</f>
        <v>0</v>
      </c>
      <c r="AH237" s="9">
        <f>IFERROR(VLOOKUP(B237,cubo!$A$6:$BE$37,50,0)-VLOOKUP(B237,#REF!,$AH$2,0),0)</f>
        <v>0</v>
      </c>
      <c r="AI237" s="9">
        <f>IFERROR(VLOOKUP(B237,cubo!$A$6:$BE$37,51,0)-VLOOKUP(B237,#REF!,$AI$2,0),0)</f>
        <v>0</v>
      </c>
      <c r="AJ237" s="9">
        <f>IFERROR(VLOOKUP(B237,cubo!$A$6:$BI$116,62,0)-VLOOKUP(B237,#REF!,$AJ$2,0),0)</f>
        <v>0</v>
      </c>
      <c r="AK237" s="9">
        <f>IFERROR(VLOOKUP(B237,cubo!$A$6:$BJ$37,63,0)-VLOOKUP(B237,#REF!,$AK$2,0),0)</f>
        <v>0</v>
      </c>
      <c r="AL237" s="9">
        <f>IFERROR(VLOOKUP(B237,cubo!$A$6:$BE$37,58,0)-VLOOKUP(B237,#REF!,$AL$2,0),0)</f>
        <v>0</v>
      </c>
      <c r="AM237" s="9">
        <f>IFERROR(VLOOKUP(B237,cubo!$A$6:$BK$37,64,0)-VLOOKUP(B237,#REF!,$AM$2,0),0)</f>
        <v>0</v>
      </c>
      <c r="AN237" s="9">
        <f>IFERROR(VLOOKUP(B237,cubo!$A$6:$AN$37,41,0)-VLOOKUP(B237,#REF!,$AN$2,0),0)</f>
        <v>0</v>
      </c>
    </row>
    <row r="238" spans="2:40" x14ac:dyDescent="0.25">
      <c r="B238" s="7">
        <f>[1]salario!A237</f>
        <v>0</v>
      </c>
      <c r="C238" s="8">
        <f>[1]salario!C237</f>
        <v>0</v>
      </c>
      <c r="D238" s="9">
        <f>IFERROR(VLOOKUP(B238,cubo!$A$6:$BE$37,3,0)-VLOOKUP(B238,#REF!,$D$2,0),0)</f>
        <v>0</v>
      </c>
      <c r="E238" s="10">
        <f>IFERROR(VLOOKUP(B238,cubo!$A$6:$BE$37,5,0)-VLOOKUP(B238,#REF!,$E$2,0),0)</f>
        <v>0</v>
      </c>
      <c r="F238" s="10">
        <f>IFERROR(VLOOKUP(B238,cubo!$A$6:$BE$37,8,0)-VLOOKUP(B238,#REF!,$F$2,0),0)</f>
        <v>0</v>
      </c>
      <c r="G238" s="9">
        <f>IFERROR(VLOOKUP(B238,cubo!$A$6:$BE$37,11,0)-VLOOKUP(B238,#REF!,$G$2,0),0)</f>
        <v>0</v>
      </c>
      <c r="H238" s="9">
        <f>IFERROR(VLOOKUP(B238,cubo!$A$6:$BE$37,53,0)-VLOOKUP(B238,#REF!,$H$2,0),0)</f>
        <v>0</v>
      </c>
      <c r="I238" s="10">
        <f>IFERROR(VLOOKUP(B238,cubo!$A$6:$BE$37,14,0)-VLOOKUP(B238,#REF!,$I$2,0),0)</f>
        <v>0</v>
      </c>
      <c r="J238" s="9">
        <f>IFERROR(VLOOKUP(B238,cubo!$A$6:$BE$37,16,0)-VLOOKUP(B238,#REF!,$J$2,0),0)</f>
        <v>0</v>
      </c>
      <c r="K238" s="9">
        <f>IFERROR(VLOOKUP(B238,cubo!$A$6:$BE$37,17,0)-VLOOKUP(B238,#REF!,$K$2,0),0)</f>
        <v>0</v>
      </c>
      <c r="L238" s="9">
        <f>IFERROR(VLOOKUP(B238,cubo!$A$6:$BE$37,19,0)-VLOOKUP(B238,#REF!,$L$2,0),0)</f>
        <v>0</v>
      </c>
      <c r="M238" s="9">
        <f>IFERROR(VLOOKUP(B238,cubo!$A$6:$BE$37,23,0)-VLOOKUP(B238,#REF!,$M$2,0),0)</f>
        <v>0</v>
      </c>
      <c r="N238" s="9">
        <f>IFERROR(VLOOKUP(B238,cubo!$A$6:$BE$37,25,0)-VLOOKUP(B238,#REF!,$N$2,0),0)</f>
        <v>0</v>
      </c>
      <c r="O238" s="9">
        <f>IFERROR(VLOOKUP(B238,cubo!$A$6:$BE$37,33,0)-VLOOKUP(B238,#REF!,$O$2,0),0)</f>
        <v>0</v>
      </c>
      <c r="P238" s="8">
        <f>IFERROR(VLOOKUP(B238,cubo!$A$6:$BE$37,37,0)-VLOOKUP(B238,#REF!,$P$2,0),0)</f>
        <v>0</v>
      </c>
      <c r="Q238" s="8">
        <f>IFERROR(VLOOKUP(B238,cubo!$A$6:$BE$37,56,0)-VLOOKUP(B238,#REF!,$Q$2,0),0)</f>
        <v>0</v>
      </c>
      <c r="R238" s="9">
        <f>IFERROR(VLOOKUP(B238,cubo!$A$6:$BE$37,40,0)-VLOOKUP(B238,#REF!,$R$2,0),0)</f>
        <v>0</v>
      </c>
      <c r="S238" s="9">
        <f>IFERROR(VLOOKUP(B238,cubo!$A$6:$BE$37,43,0)-VLOOKUP(B238,#REF!,$S$2,0),0)</f>
        <v>0</v>
      </c>
      <c r="T238" s="9">
        <f>IFERROR(VLOOKUP(B238,cubo!$A$6:$BE$37,46,0)-VLOOKUP(B238,#REF!,$T$2,0),0)</f>
        <v>0</v>
      </c>
      <c r="U238" s="9">
        <f>IFERROR(VLOOKUP(B238,cubo!$A$6:$BE$37,51,0)-VLOOKUP(B238,#REF!,$U$2,0),0)</f>
        <v>0</v>
      </c>
      <c r="V238" s="9">
        <f>IFERROR(VLOOKUP(B238,cubo!$A$6:$BJ$37,60,0)-VLOOKUP(B238,#REF!,$V$2,0),0)</f>
        <v>0</v>
      </c>
      <c r="W238" s="9">
        <f>IFERROR(VLOOKUP(B238,cubo!$A$6:$BE$37,26,0)-VLOOKUP(B238,#REF!,$W$2,0),0)</f>
        <v>0</v>
      </c>
      <c r="X238" s="9">
        <f>IFERROR(VLOOKUP(B238,cubo!$A$6:$BE$37,20,0)-VLOOKUP(B238,#REF!,$X$2,0),0)</f>
        <v>0</v>
      </c>
      <c r="Y238" s="9">
        <f>IFERROR(VLOOKUP(B238,cubo!$A$6:$BE$37,21,0)-VLOOKUP(B238,#REF!,$Y$2,0),0)</f>
        <v>0</v>
      </c>
      <c r="Z238" s="9">
        <f>IFERROR(VLOOKUP(B238,cubo!$A$6:$BE$37,27,0)-VLOOKUP(B238,#REF!,$Z$2,0),0)</f>
        <v>0</v>
      </c>
      <c r="AA238" s="9">
        <f>IFERROR(VLOOKUP(B238,cubo!$A$6:$BE$37,28,0)-VLOOKUP(B238,#REF!,$AA$2,0),0)</f>
        <v>0</v>
      </c>
      <c r="AB238" s="9">
        <f>IFERROR(VLOOKUP(B238,cubo!$A$6:$BE$37,29,0)-VLOOKUP(B238,#REF!,$AB$2,0),0)</f>
        <v>0</v>
      </c>
      <c r="AC238" s="9">
        <f>IFERROR(VLOOKUP(B238,cubo!$A$6:$BE$37,30,0)-VLOOKUP(B238,#REF!,$AC$2,0),0)</f>
        <v>0</v>
      </c>
      <c r="AD238" s="9">
        <f>IFERROR(VLOOKUP(B238,cubo!$A$6:$BE$37,31,0)-VLOOKUP(B238,#REF!,$AD$2,0),0)</f>
        <v>0</v>
      </c>
      <c r="AE238" s="9">
        <f>IFERROR(VLOOKUP(B238,cubo!$A$6:$BE$37,35,0)-VLOOKUP(B238,#REF!,$AE$2,0),0)</f>
        <v>0</v>
      </c>
      <c r="AF238" s="9" cm="1">
        <f t="array" aca="1" ref="AF238" ca="1">IFERROR(rrPROCV(B238,cubo!$A$6:$BE$37,48,0)-VLOOKUP(B238,#REF!,$AF$2,0),0)</f>
        <v>0</v>
      </c>
      <c r="AG238" s="9">
        <f>IFERROR(VLOOKUP(B238,cubo!$A$6:$BE$37,49,0)-VLOOKUP(B238,#REF!,$AG$2,0),0)</f>
        <v>0</v>
      </c>
      <c r="AH238" s="9">
        <f>IFERROR(VLOOKUP(B238,cubo!$A$6:$BE$37,50,0)-VLOOKUP(B238,#REF!,$AH$2,0),0)</f>
        <v>0</v>
      </c>
      <c r="AI238" s="9">
        <f>IFERROR(VLOOKUP(B238,cubo!$A$6:$BE$37,51,0)-VLOOKUP(B238,#REF!,$AI$2,0),0)</f>
        <v>0</v>
      </c>
      <c r="AJ238" s="9">
        <f>IFERROR(VLOOKUP(B238,cubo!$A$6:$BI$116,62,0)-VLOOKUP(B238,#REF!,$AJ$2,0),0)</f>
        <v>0</v>
      </c>
      <c r="AK238" s="9">
        <f>IFERROR(VLOOKUP(B238,cubo!$A$6:$BJ$37,63,0)-VLOOKUP(B238,#REF!,$AK$2,0),0)</f>
        <v>0</v>
      </c>
      <c r="AL238" s="9">
        <f>IFERROR(VLOOKUP(B238,cubo!$A$6:$BE$37,58,0)-VLOOKUP(B238,#REF!,$AL$2,0),0)</f>
        <v>0</v>
      </c>
      <c r="AM238" s="9">
        <f>IFERROR(VLOOKUP(B238,cubo!$A$6:$BK$37,64,0)-VLOOKUP(B238,#REF!,$AM$2,0),0)</f>
        <v>0</v>
      </c>
      <c r="AN238" s="9">
        <f>IFERROR(VLOOKUP(B238,cubo!$A$6:$AN$37,41,0)-VLOOKUP(B238,#REF!,$AN$2,0),0)</f>
        <v>0</v>
      </c>
    </row>
    <row r="239" spans="2:40" x14ac:dyDescent="0.25">
      <c r="B239" s="7">
        <f>[1]salario!A238</f>
        <v>0</v>
      </c>
      <c r="C239" s="8">
        <f>[1]salario!C238</f>
        <v>0</v>
      </c>
      <c r="D239" s="9">
        <f>IFERROR(VLOOKUP(B239,cubo!$A$6:$BE$37,3,0)-VLOOKUP(B239,#REF!,$D$2,0),0)</f>
        <v>0</v>
      </c>
      <c r="E239" s="10">
        <f>IFERROR(VLOOKUP(B239,cubo!$A$6:$BE$37,5,0)-VLOOKUP(B239,#REF!,$E$2,0),0)</f>
        <v>0</v>
      </c>
      <c r="F239" s="10">
        <f>IFERROR(VLOOKUP(B239,cubo!$A$6:$BE$37,8,0)-VLOOKUP(B239,#REF!,$F$2,0),0)</f>
        <v>0</v>
      </c>
      <c r="G239" s="9">
        <f>IFERROR(VLOOKUP(B239,cubo!$A$6:$BE$37,11,0)-VLOOKUP(B239,#REF!,$G$2,0),0)</f>
        <v>0</v>
      </c>
      <c r="H239" s="9">
        <f>IFERROR(VLOOKUP(B239,cubo!$A$6:$BE$37,53,0)-VLOOKUP(B239,#REF!,$H$2,0),0)</f>
        <v>0</v>
      </c>
      <c r="I239" s="10">
        <f>IFERROR(VLOOKUP(B239,cubo!$A$6:$BE$37,14,0)-VLOOKUP(B239,#REF!,$I$2,0),0)</f>
        <v>0</v>
      </c>
      <c r="J239" s="9">
        <f>IFERROR(VLOOKUP(B239,cubo!$A$6:$BE$37,16,0)-VLOOKUP(B239,#REF!,$J$2,0),0)</f>
        <v>0</v>
      </c>
      <c r="K239" s="9">
        <f>IFERROR(VLOOKUP(B239,cubo!$A$6:$BE$37,17,0)-VLOOKUP(B239,#REF!,$K$2,0),0)</f>
        <v>0</v>
      </c>
      <c r="L239" s="9">
        <f>IFERROR(VLOOKUP(B239,cubo!$A$6:$BE$37,19,0)-VLOOKUP(B239,#REF!,$L$2,0),0)</f>
        <v>0</v>
      </c>
      <c r="M239" s="9">
        <f>IFERROR(VLOOKUP(B239,cubo!$A$6:$BE$37,23,0)-VLOOKUP(B239,#REF!,$M$2,0),0)</f>
        <v>0</v>
      </c>
      <c r="N239" s="9">
        <f>IFERROR(VLOOKUP(B239,cubo!$A$6:$BE$37,25,0)-VLOOKUP(B239,#REF!,$N$2,0),0)</f>
        <v>0</v>
      </c>
      <c r="O239" s="9">
        <f>IFERROR(VLOOKUP(B239,cubo!$A$6:$BE$37,33,0)-VLOOKUP(B239,#REF!,$O$2,0),0)</f>
        <v>0</v>
      </c>
      <c r="P239" s="8">
        <f>IFERROR(VLOOKUP(B239,cubo!$A$6:$BE$37,37,0)-VLOOKUP(B239,#REF!,$P$2,0),0)</f>
        <v>0</v>
      </c>
      <c r="Q239" s="8">
        <f>IFERROR(VLOOKUP(B239,cubo!$A$6:$BE$37,56,0)-VLOOKUP(B239,#REF!,$Q$2,0),0)</f>
        <v>0</v>
      </c>
      <c r="R239" s="9">
        <f>IFERROR(VLOOKUP(B239,cubo!$A$6:$BE$37,40,0)-VLOOKUP(B239,#REF!,$R$2,0),0)</f>
        <v>0</v>
      </c>
      <c r="S239" s="9">
        <f>IFERROR(VLOOKUP(B239,cubo!$A$6:$BE$37,43,0)-VLOOKUP(B239,#REF!,$S$2,0),0)</f>
        <v>0</v>
      </c>
      <c r="T239" s="9">
        <f>IFERROR(VLOOKUP(B239,cubo!$A$6:$BE$37,46,0)-VLOOKUP(B239,#REF!,$T$2,0),0)</f>
        <v>0</v>
      </c>
      <c r="U239" s="9">
        <f>IFERROR(VLOOKUP(B239,cubo!$A$6:$BE$37,51,0)-VLOOKUP(B239,#REF!,$U$2,0),0)</f>
        <v>0</v>
      </c>
      <c r="V239" s="9">
        <f>IFERROR(VLOOKUP(B239,cubo!$A$6:$BJ$37,60,0)-VLOOKUP(B239,#REF!,$V$2,0),0)</f>
        <v>0</v>
      </c>
      <c r="W239" s="9">
        <f>IFERROR(VLOOKUP(B239,cubo!$A$6:$BE$37,26,0)-VLOOKUP(B239,#REF!,$W$2,0),0)</f>
        <v>0</v>
      </c>
      <c r="X239" s="9">
        <f>IFERROR(VLOOKUP(B239,cubo!$A$6:$BE$37,20,0)-VLOOKUP(B239,#REF!,$X$2,0),0)</f>
        <v>0</v>
      </c>
      <c r="Y239" s="9">
        <f>IFERROR(VLOOKUP(B239,cubo!$A$6:$BE$37,21,0)-VLOOKUP(B239,#REF!,$Y$2,0),0)</f>
        <v>0</v>
      </c>
      <c r="Z239" s="9">
        <f>IFERROR(VLOOKUP(B239,cubo!$A$6:$BE$37,27,0)-VLOOKUP(B239,#REF!,$Z$2,0),0)</f>
        <v>0</v>
      </c>
      <c r="AA239" s="9">
        <f>IFERROR(VLOOKUP(B239,cubo!$A$6:$BE$37,28,0)-VLOOKUP(B239,#REF!,$AA$2,0),0)</f>
        <v>0</v>
      </c>
      <c r="AB239" s="9">
        <f>IFERROR(VLOOKUP(B239,cubo!$A$6:$BE$37,29,0)-VLOOKUP(B239,#REF!,$AB$2,0),0)</f>
        <v>0</v>
      </c>
      <c r="AC239" s="9">
        <f>IFERROR(VLOOKUP(B239,cubo!$A$6:$BE$37,30,0)-VLOOKUP(B239,#REF!,$AC$2,0),0)</f>
        <v>0</v>
      </c>
      <c r="AD239" s="9">
        <f>IFERROR(VLOOKUP(B239,cubo!$A$6:$BE$37,31,0)-VLOOKUP(B239,#REF!,$AD$2,0),0)</f>
        <v>0</v>
      </c>
      <c r="AE239" s="9">
        <f>IFERROR(VLOOKUP(B239,cubo!$A$6:$BE$37,35,0)-VLOOKUP(B239,#REF!,$AE$2,0),0)</f>
        <v>0</v>
      </c>
      <c r="AF239" s="9" cm="1">
        <f t="array" aca="1" ref="AF239" ca="1">IFERROR(rrPROCV(B239,cubo!$A$6:$BE$37,48,0)-VLOOKUP(B239,#REF!,$AF$2,0),0)</f>
        <v>0</v>
      </c>
      <c r="AG239" s="9">
        <f>IFERROR(VLOOKUP(B239,cubo!$A$6:$BE$37,49,0)-VLOOKUP(B239,#REF!,$AG$2,0),0)</f>
        <v>0</v>
      </c>
      <c r="AH239" s="9">
        <f>IFERROR(VLOOKUP(B239,cubo!$A$6:$BE$37,50,0)-VLOOKUP(B239,#REF!,$AH$2,0),0)</f>
        <v>0</v>
      </c>
      <c r="AI239" s="9">
        <f>IFERROR(VLOOKUP(B239,cubo!$A$6:$BE$37,51,0)-VLOOKUP(B239,#REF!,$AI$2,0),0)</f>
        <v>0</v>
      </c>
      <c r="AJ239" s="9">
        <f>IFERROR(VLOOKUP(B239,cubo!$A$6:$BI$116,62,0)-VLOOKUP(B239,#REF!,$AJ$2,0),0)</f>
        <v>0</v>
      </c>
      <c r="AK239" s="9">
        <f>IFERROR(VLOOKUP(B239,cubo!$A$6:$BJ$37,63,0)-VLOOKUP(B239,#REF!,$AK$2,0),0)</f>
        <v>0</v>
      </c>
      <c r="AL239" s="9">
        <f>IFERROR(VLOOKUP(B239,cubo!$A$6:$BE$37,58,0)-VLOOKUP(B239,#REF!,$AL$2,0),0)</f>
        <v>0</v>
      </c>
      <c r="AM239" s="9">
        <f>IFERROR(VLOOKUP(B239,cubo!$A$6:$BK$37,64,0)-VLOOKUP(B239,#REF!,$AM$2,0),0)</f>
        <v>0</v>
      </c>
      <c r="AN239" s="9">
        <f>IFERROR(VLOOKUP(B239,cubo!$A$6:$AN$37,41,0)-VLOOKUP(B239,#REF!,$AN$2,0),0)</f>
        <v>0</v>
      </c>
    </row>
    <row r="240" spans="2:40" x14ac:dyDescent="0.25">
      <c r="B240" s="7">
        <f>[1]salario!A239</f>
        <v>0</v>
      </c>
      <c r="C240" s="8">
        <f>[1]salario!C239</f>
        <v>0</v>
      </c>
      <c r="D240" s="9">
        <f>IFERROR(VLOOKUP(B240,cubo!$A$6:$BE$37,3,0)-VLOOKUP(B240,#REF!,$D$2,0),0)</f>
        <v>0</v>
      </c>
      <c r="E240" s="10">
        <f>IFERROR(VLOOKUP(B240,cubo!$A$6:$BE$37,5,0)-VLOOKUP(B240,#REF!,$E$2,0),0)</f>
        <v>0</v>
      </c>
      <c r="F240" s="10">
        <f>IFERROR(VLOOKUP(B240,cubo!$A$6:$BE$37,8,0)-VLOOKUP(B240,#REF!,$F$2,0),0)</f>
        <v>0</v>
      </c>
      <c r="G240" s="9">
        <f>IFERROR(VLOOKUP(B240,cubo!$A$6:$BE$37,11,0)-VLOOKUP(B240,#REF!,$G$2,0),0)</f>
        <v>0</v>
      </c>
      <c r="H240" s="9">
        <f>IFERROR(VLOOKUP(B240,cubo!$A$6:$BE$37,53,0)-VLOOKUP(B240,#REF!,$H$2,0),0)</f>
        <v>0</v>
      </c>
      <c r="I240" s="10">
        <f>IFERROR(VLOOKUP(B240,cubo!$A$6:$BE$37,14,0)-VLOOKUP(B240,#REF!,$I$2,0),0)</f>
        <v>0</v>
      </c>
      <c r="J240" s="9">
        <f>IFERROR(VLOOKUP(B240,cubo!$A$6:$BE$37,16,0)-VLOOKUP(B240,#REF!,$J$2,0),0)</f>
        <v>0</v>
      </c>
      <c r="K240" s="9">
        <f>IFERROR(VLOOKUP(B240,cubo!$A$6:$BE$37,17,0)-VLOOKUP(B240,#REF!,$K$2,0),0)</f>
        <v>0</v>
      </c>
      <c r="L240" s="9">
        <f>IFERROR(VLOOKUP(B240,cubo!$A$6:$BE$37,19,0)-VLOOKUP(B240,#REF!,$L$2,0),0)</f>
        <v>0</v>
      </c>
      <c r="M240" s="9">
        <f>IFERROR(VLOOKUP(B240,cubo!$A$6:$BE$37,23,0)-VLOOKUP(B240,#REF!,$M$2,0),0)</f>
        <v>0</v>
      </c>
      <c r="N240" s="9">
        <f>IFERROR(VLOOKUP(B240,cubo!$A$6:$BE$37,25,0)-VLOOKUP(B240,#REF!,$N$2,0),0)</f>
        <v>0</v>
      </c>
      <c r="O240" s="9">
        <f>IFERROR(VLOOKUP(B240,cubo!$A$6:$BE$37,33,0)-VLOOKUP(B240,#REF!,$O$2,0),0)</f>
        <v>0</v>
      </c>
      <c r="P240" s="8">
        <f>IFERROR(VLOOKUP(B240,cubo!$A$6:$BE$37,37,0)-VLOOKUP(B240,#REF!,$P$2,0),0)</f>
        <v>0</v>
      </c>
      <c r="Q240" s="8">
        <f>IFERROR(VLOOKUP(B240,cubo!$A$6:$BE$37,56,0)-VLOOKUP(B240,#REF!,$Q$2,0),0)</f>
        <v>0</v>
      </c>
      <c r="R240" s="9">
        <f>IFERROR(VLOOKUP(B240,cubo!$A$6:$BE$37,40,0)-VLOOKUP(B240,#REF!,$R$2,0),0)</f>
        <v>0</v>
      </c>
      <c r="S240" s="9">
        <f>IFERROR(VLOOKUP(B240,cubo!$A$6:$BE$37,43,0)-VLOOKUP(B240,#REF!,$S$2,0),0)</f>
        <v>0</v>
      </c>
      <c r="T240" s="9">
        <f>IFERROR(VLOOKUP(B240,cubo!$A$6:$BE$37,46,0)-VLOOKUP(B240,#REF!,$T$2,0),0)</f>
        <v>0</v>
      </c>
      <c r="U240" s="9">
        <f>IFERROR(VLOOKUP(B240,cubo!$A$6:$BE$37,51,0)-VLOOKUP(B240,#REF!,$U$2,0),0)</f>
        <v>0</v>
      </c>
      <c r="V240" s="9">
        <f>IFERROR(VLOOKUP(B240,cubo!$A$6:$BJ$37,60,0)-VLOOKUP(B240,#REF!,$V$2,0),0)</f>
        <v>0</v>
      </c>
      <c r="W240" s="9">
        <f>IFERROR(VLOOKUP(B240,cubo!$A$6:$BE$37,26,0)-VLOOKUP(B240,#REF!,$W$2,0),0)</f>
        <v>0</v>
      </c>
      <c r="X240" s="9">
        <f>IFERROR(VLOOKUP(B240,cubo!$A$6:$BE$37,20,0)-VLOOKUP(B240,#REF!,$X$2,0),0)</f>
        <v>0</v>
      </c>
      <c r="Y240" s="9">
        <f>IFERROR(VLOOKUP(B240,cubo!$A$6:$BE$37,21,0)-VLOOKUP(B240,#REF!,$Y$2,0),0)</f>
        <v>0</v>
      </c>
      <c r="Z240" s="9">
        <f>IFERROR(VLOOKUP(B240,cubo!$A$6:$BE$37,27,0)-VLOOKUP(B240,#REF!,$Z$2,0),0)</f>
        <v>0</v>
      </c>
      <c r="AA240" s="9">
        <f>IFERROR(VLOOKUP(B240,cubo!$A$6:$BE$37,28,0)-VLOOKUP(B240,#REF!,$AA$2,0),0)</f>
        <v>0</v>
      </c>
      <c r="AB240" s="9">
        <f>IFERROR(VLOOKUP(B240,cubo!$A$6:$BE$37,29,0)-VLOOKUP(B240,#REF!,$AB$2,0),0)</f>
        <v>0</v>
      </c>
      <c r="AC240" s="9">
        <f>IFERROR(VLOOKUP(B240,cubo!$A$6:$BE$37,30,0)-VLOOKUP(B240,#REF!,$AC$2,0),0)</f>
        <v>0</v>
      </c>
      <c r="AD240" s="9">
        <f>IFERROR(VLOOKUP(B240,cubo!$A$6:$BE$37,31,0)-VLOOKUP(B240,#REF!,$AD$2,0),0)</f>
        <v>0</v>
      </c>
      <c r="AE240" s="9">
        <f>IFERROR(VLOOKUP(B240,cubo!$A$6:$BE$37,35,0)-VLOOKUP(B240,#REF!,$AE$2,0),0)</f>
        <v>0</v>
      </c>
      <c r="AF240" s="9" cm="1">
        <f t="array" aca="1" ref="AF240" ca="1">IFERROR(rrPROCV(B240,cubo!$A$6:$BE$37,48,0)-VLOOKUP(B240,#REF!,$AF$2,0),0)</f>
        <v>0</v>
      </c>
      <c r="AG240" s="9">
        <f>IFERROR(VLOOKUP(B240,cubo!$A$6:$BE$37,49,0)-VLOOKUP(B240,#REF!,$AG$2,0),0)</f>
        <v>0</v>
      </c>
      <c r="AH240" s="9">
        <f>IFERROR(VLOOKUP(B240,cubo!$A$6:$BE$37,50,0)-VLOOKUP(B240,#REF!,$AH$2,0),0)</f>
        <v>0</v>
      </c>
      <c r="AI240" s="9">
        <f>IFERROR(VLOOKUP(B240,cubo!$A$6:$BE$37,51,0)-VLOOKUP(B240,#REF!,$AI$2,0),0)</f>
        <v>0</v>
      </c>
      <c r="AJ240" s="9">
        <f>IFERROR(VLOOKUP(B240,cubo!$A$6:$BI$116,62,0)-VLOOKUP(B240,#REF!,$AJ$2,0),0)</f>
        <v>0</v>
      </c>
      <c r="AK240" s="9">
        <f>IFERROR(VLOOKUP(B240,cubo!$A$6:$BJ$37,63,0)-VLOOKUP(B240,#REF!,$AK$2,0),0)</f>
        <v>0</v>
      </c>
      <c r="AL240" s="9">
        <f>IFERROR(VLOOKUP(B240,cubo!$A$6:$BE$37,58,0)-VLOOKUP(B240,#REF!,$AL$2,0),0)</f>
        <v>0</v>
      </c>
      <c r="AM240" s="9">
        <f>IFERROR(VLOOKUP(B240,cubo!$A$6:$BK$37,64,0)-VLOOKUP(B240,#REF!,$AM$2,0),0)</f>
        <v>0</v>
      </c>
      <c r="AN240" s="9">
        <f>IFERROR(VLOOKUP(B240,cubo!$A$6:$AN$37,41,0)-VLOOKUP(B240,#REF!,$AN$2,0),0)</f>
        <v>0</v>
      </c>
    </row>
    <row r="241" spans="2:40" x14ac:dyDescent="0.25">
      <c r="B241" s="7">
        <f>[1]salario!A240</f>
        <v>0</v>
      </c>
      <c r="C241" s="8">
        <f>[1]salario!C240</f>
        <v>0</v>
      </c>
      <c r="D241" s="9">
        <f>IFERROR(VLOOKUP(B241,cubo!$A$6:$BE$37,3,0)-VLOOKUP(B241,#REF!,$D$2,0),0)</f>
        <v>0</v>
      </c>
      <c r="E241" s="10">
        <f>IFERROR(VLOOKUP(B241,cubo!$A$6:$BE$37,5,0)-VLOOKUP(B241,#REF!,$E$2,0),0)</f>
        <v>0</v>
      </c>
      <c r="F241" s="10">
        <f>IFERROR(VLOOKUP(B241,cubo!$A$6:$BE$37,8,0)-VLOOKUP(B241,#REF!,$F$2,0),0)</f>
        <v>0</v>
      </c>
      <c r="G241" s="9">
        <f>IFERROR(VLOOKUP(B241,cubo!$A$6:$BE$37,11,0)-VLOOKUP(B241,#REF!,$G$2,0),0)</f>
        <v>0</v>
      </c>
      <c r="H241" s="9">
        <f>IFERROR(VLOOKUP(B241,cubo!$A$6:$BE$37,53,0)-VLOOKUP(B241,#REF!,$H$2,0),0)</f>
        <v>0</v>
      </c>
      <c r="I241" s="10">
        <f>IFERROR(VLOOKUP(B241,cubo!$A$6:$BE$37,14,0)-VLOOKUP(B241,#REF!,$I$2,0),0)</f>
        <v>0</v>
      </c>
      <c r="J241" s="9">
        <f>IFERROR(VLOOKUP(B241,cubo!$A$6:$BE$37,16,0)-VLOOKUP(B241,#REF!,$J$2,0),0)</f>
        <v>0</v>
      </c>
      <c r="K241" s="9">
        <f>IFERROR(VLOOKUP(B241,cubo!$A$6:$BE$37,17,0)-VLOOKUP(B241,#REF!,$K$2,0),0)</f>
        <v>0</v>
      </c>
      <c r="L241" s="9">
        <f>IFERROR(VLOOKUP(B241,cubo!$A$6:$BE$37,19,0)-VLOOKUP(B241,#REF!,$L$2,0),0)</f>
        <v>0</v>
      </c>
      <c r="M241" s="9">
        <f>IFERROR(VLOOKUP(B241,cubo!$A$6:$BE$37,23,0)-VLOOKUP(B241,#REF!,$M$2,0),0)</f>
        <v>0</v>
      </c>
      <c r="N241" s="9">
        <f>IFERROR(VLOOKUP(B241,cubo!$A$6:$BE$37,25,0)-VLOOKUP(B241,#REF!,$N$2,0),0)</f>
        <v>0</v>
      </c>
      <c r="O241" s="9">
        <f>IFERROR(VLOOKUP(B241,cubo!$A$6:$BE$37,33,0)-VLOOKUP(B241,#REF!,$O$2,0),0)</f>
        <v>0</v>
      </c>
      <c r="P241" s="8">
        <f>IFERROR(VLOOKUP(B241,cubo!$A$6:$BE$37,37,0)-VLOOKUP(B241,#REF!,$P$2,0),0)</f>
        <v>0</v>
      </c>
      <c r="Q241" s="8">
        <f>IFERROR(VLOOKUP(B241,cubo!$A$6:$BE$37,56,0)-VLOOKUP(B241,#REF!,$Q$2,0),0)</f>
        <v>0</v>
      </c>
      <c r="R241" s="9">
        <f>IFERROR(VLOOKUP(B241,cubo!$A$6:$BE$37,40,0)-VLOOKUP(B241,#REF!,$R$2,0),0)</f>
        <v>0</v>
      </c>
      <c r="S241" s="9">
        <f>IFERROR(VLOOKUP(B241,cubo!$A$6:$BE$37,43,0)-VLOOKUP(B241,#REF!,$S$2,0),0)</f>
        <v>0</v>
      </c>
      <c r="T241" s="9">
        <f>IFERROR(VLOOKUP(B241,cubo!$A$6:$BE$37,46,0)-VLOOKUP(B241,#REF!,$T$2,0),0)</f>
        <v>0</v>
      </c>
      <c r="U241" s="9">
        <f>IFERROR(VLOOKUP(B241,cubo!$A$6:$BE$37,51,0)-VLOOKUP(B241,#REF!,$U$2,0),0)</f>
        <v>0</v>
      </c>
      <c r="V241" s="9">
        <f>IFERROR(VLOOKUP(B241,cubo!$A$6:$BJ$37,60,0)-VLOOKUP(B241,#REF!,$V$2,0),0)</f>
        <v>0</v>
      </c>
      <c r="W241" s="9">
        <f>IFERROR(VLOOKUP(B241,cubo!$A$6:$BE$37,26,0)-VLOOKUP(B241,#REF!,$W$2,0),0)</f>
        <v>0</v>
      </c>
      <c r="X241" s="9">
        <f>IFERROR(VLOOKUP(B241,cubo!$A$6:$BE$37,20,0)-VLOOKUP(B241,#REF!,$X$2,0),0)</f>
        <v>0</v>
      </c>
      <c r="Y241" s="9">
        <f>IFERROR(VLOOKUP(B241,cubo!$A$6:$BE$37,21,0)-VLOOKUP(B241,#REF!,$Y$2,0),0)</f>
        <v>0</v>
      </c>
      <c r="Z241" s="9">
        <f>IFERROR(VLOOKUP(B241,cubo!$A$6:$BE$37,27,0)-VLOOKUP(B241,#REF!,$Z$2,0),0)</f>
        <v>0</v>
      </c>
      <c r="AA241" s="9">
        <f>IFERROR(VLOOKUP(B241,cubo!$A$6:$BE$37,28,0)-VLOOKUP(B241,#REF!,$AA$2,0),0)</f>
        <v>0</v>
      </c>
      <c r="AB241" s="9">
        <f>IFERROR(VLOOKUP(B241,cubo!$A$6:$BE$37,29,0)-VLOOKUP(B241,#REF!,$AB$2,0),0)</f>
        <v>0</v>
      </c>
      <c r="AC241" s="9">
        <f>IFERROR(VLOOKUP(B241,cubo!$A$6:$BE$37,30,0)-VLOOKUP(B241,#REF!,$AC$2,0),0)</f>
        <v>0</v>
      </c>
      <c r="AD241" s="9">
        <f>IFERROR(VLOOKUP(B241,cubo!$A$6:$BE$37,31,0)-VLOOKUP(B241,#REF!,$AD$2,0),0)</f>
        <v>0</v>
      </c>
      <c r="AE241" s="9">
        <f>IFERROR(VLOOKUP(B241,cubo!$A$6:$BE$37,35,0)-VLOOKUP(B241,#REF!,$AE$2,0),0)</f>
        <v>0</v>
      </c>
      <c r="AF241" s="9" cm="1">
        <f t="array" aca="1" ref="AF241" ca="1">IFERROR(rrPROCV(B241,cubo!$A$6:$BE$37,48,0)-VLOOKUP(B241,#REF!,$AF$2,0),0)</f>
        <v>0</v>
      </c>
      <c r="AG241" s="9">
        <f>IFERROR(VLOOKUP(B241,cubo!$A$6:$BE$37,49,0)-VLOOKUP(B241,#REF!,$AG$2,0),0)</f>
        <v>0</v>
      </c>
      <c r="AH241" s="9">
        <f>IFERROR(VLOOKUP(B241,cubo!$A$6:$BE$37,50,0)-VLOOKUP(B241,#REF!,$AH$2,0),0)</f>
        <v>0</v>
      </c>
      <c r="AI241" s="9">
        <f>IFERROR(VLOOKUP(B241,cubo!$A$6:$BE$37,51,0)-VLOOKUP(B241,#REF!,$AI$2,0),0)</f>
        <v>0</v>
      </c>
      <c r="AJ241" s="9">
        <f>IFERROR(VLOOKUP(B241,cubo!$A$6:$BI$116,62,0)-VLOOKUP(B241,#REF!,$AJ$2,0),0)</f>
        <v>0</v>
      </c>
      <c r="AK241" s="9">
        <f>IFERROR(VLOOKUP(B241,cubo!$A$6:$BJ$37,63,0)-VLOOKUP(B241,#REF!,$AK$2,0),0)</f>
        <v>0</v>
      </c>
      <c r="AL241" s="9">
        <f>IFERROR(VLOOKUP(B241,cubo!$A$6:$BE$37,58,0)-VLOOKUP(B241,#REF!,$AL$2,0),0)</f>
        <v>0</v>
      </c>
      <c r="AM241" s="9">
        <f>IFERROR(VLOOKUP(B241,cubo!$A$6:$BK$37,64,0)-VLOOKUP(B241,#REF!,$AM$2,0),0)</f>
        <v>0</v>
      </c>
      <c r="AN241" s="9">
        <f>IFERROR(VLOOKUP(B241,cubo!$A$6:$AN$37,41,0)-VLOOKUP(B241,#REF!,$AN$2,0),0)</f>
        <v>0</v>
      </c>
    </row>
    <row r="242" spans="2:40" x14ac:dyDescent="0.25">
      <c r="B242" s="7">
        <f>[1]salario!A241</f>
        <v>0</v>
      </c>
      <c r="C242" s="8">
        <f>[1]salario!C241</f>
        <v>0</v>
      </c>
      <c r="D242" s="9">
        <f>IFERROR(VLOOKUP(B242,cubo!$A$6:$BE$37,3,0)-VLOOKUP(B242,#REF!,$D$2,0),0)</f>
        <v>0</v>
      </c>
      <c r="E242" s="10">
        <f>IFERROR(VLOOKUP(B242,cubo!$A$6:$BE$37,5,0)-VLOOKUP(B242,#REF!,$E$2,0),0)</f>
        <v>0</v>
      </c>
      <c r="F242" s="10">
        <f>IFERROR(VLOOKUP(B242,cubo!$A$6:$BE$37,8,0)-VLOOKUP(B242,#REF!,$F$2,0),0)</f>
        <v>0</v>
      </c>
      <c r="G242" s="9">
        <f>IFERROR(VLOOKUP(B242,cubo!$A$6:$BE$37,11,0)-VLOOKUP(B242,#REF!,$G$2,0),0)</f>
        <v>0</v>
      </c>
      <c r="H242" s="9">
        <f>IFERROR(VLOOKUP(B242,cubo!$A$6:$BE$37,53,0)-VLOOKUP(B242,#REF!,$H$2,0),0)</f>
        <v>0</v>
      </c>
      <c r="I242" s="10">
        <f>IFERROR(VLOOKUP(B242,cubo!$A$6:$BE$37,14,0)-VLOOKUP(B242,#REF!,$I$2,0),0)</f>
        <v>0</v>
      </c>
      <c r="J242" s="9">
        <f>IFERROR(VLOOKUP(B242,cubo!$A$6:$BE$37,16,0)-VLOOKUP(B242,#REF!,$J$2,0),0)</f>
        <v>0</v>
      </c>
      <c r="K242" s="9">
        <f>IFERROR(VLOOKUP(B242,cubo!$A$6:$BE$37,17,0)-VLOOKUP(B242,#REF!,$K$2,0),0)</f>
        <v>0</v>
      </c>
      <c r="L242" s="9">
        <f>IFERROR(VLOOKUP(B242,cubo!$A$6:$BE$37,19,0)-VLOOKUP(B242,#REF!,$L$2,0),0)</f>
        <v>0</v>
      </c>
      <c r="M242" s="9">
        <f>IFERROR(VLOOKUP(B242,cubo!$A$6:$BE$37,23,0)-VLOOKUP(B242,#REF!,$M$2,0),0)</f>
        <v>0</v>
      </c>
      <c r="N242" s="9">
        <f>IFERROR(VLOOKUP(B242,cubo!$A$6:$BE$37,25,0)-VLOOKUP(B242,#REF!,$N$2,0),0)</f>
        <v>0</v>
      </c>
      <c r="O242" s="9">
        <f>IFERROR(VLOOKUP(B242,cubo!$A$6:$BE$37,33,0)-VLOOKUP(B242,#REF!,$O$2,0),0)</f>
        <v>0</v>
      </c>
      <c r="P242" s="8">
        <f>IFERROR(VLOOKUP(B242,cubo!$A$6:$BE$37,37,0)-VLOOKUP(B242,#REF!,$P$2,0),0)</f>
        <v>0</v>
      </c>
      <c r="Q242" s="8">
        <f>IFERROR(VLOOKUP(B242,cubo!$A$6:$BE$37,56,0)-VLOOKUP(B242,#REF!,$Q$2,0),0)</f>
        <v>0</v>
      </c>
      <c r="R242" s="9">
        <f>IFERROR(VLOOKUP(B242,cubo!$A$6:$BE$37,40,0)-VLOOKUP(B242,#REF!,$R$2,0),0)</f>
        <v>0</v>
      </c>
      <c r="S242" s="9">
        <f>IFERROR(VLOOKUP(B242,cubo!$A$6:$BE$37,43,0)-VLOOKUP(B242,#REF!,$S$2,0),0)</f>
        <v>0</v>
      </c>
      <c r="T242" s="9">
        <f>IFERROR(VLOOKUP(B242,cubo!$A$6:$BE$37,46,0)-VLOOKUP(B242,#REF!,$T$2,0),0)</f>
        <v>0</v>
      </c>
      <c r="U242" s="9">
        <f>IFERROR(VLOOKUP(B242,cubo!$A$6:$BE$37,51,0)-VLOOKUP(B242,#REF!,$U$2,0),0)</f>
        <v>0</v>
      </c>
      <c r="V242" s="9">
        <f>IFERROR(VLOOKUP(B242,cubo!$A$6:$BJ$37,60,0)-VLOOKUP(B242,#REF!,$V$2,0),0)</f>
        <v>0</v>
      </c>
      <c r="W242" s="9">
        <f>IFERROR(VLOOKUP(B242,cubo!$A$6:$BE$37,26,0)-VLOOKUP(B242,#REF!,$W$2,0),0)</f>
        <v>0</v>
      </c>
      <c r="X242" s="9">
        <f>IFERROR(VLOOKUP(B242,cubo!$A$6:$BE$37,20,0)-VLOOKUP(B242,#REF!,$X$2,0),0)</f>
        <v>0</v>
      </c>
      <c r="Y242" s="9">
        <f>IFERROR(VLOOKUP(B242,cubo!$A$6:$BE$37,21,0)-VLOOKUP(B242,#REF!,$Y$2,0),0)</f>
        <v>0</v>
      </c>
      <c r="Z242" s="9">
        <f>IFERROR(VLOOKUP(B242,cubo!$A$6:$BE$37,27,0)-VLOOKUP(B242,#REF!,$Z$2,0),0)</f>
        <v>0</v>
      </c>
      <c r="AA242" s="9">
        <f>IFERROR(VLOOKUP(B242,cubo!$A$6:$BE$37,28,0)-VLOOKUP(B242,#REF!,$AA$2,0),0)</f>
        <v>0</v>
      </c>
      <c r="AB242" s="9">
        <f>IFERROR(VLOOKUP(B242,cubo!$A$6:$BE$37,29,0)-VLOOKUP(B242,#REF!,$AB$2,0),0)</f>
        <v>0</v>
      </c>
      <c r="AC242" s="9">
        <f>IFERROR(VLOOKUP(B242,cubo!$A$6:$BE$37,30,0)-VLOOKUP(B242,#REF!,$AC$2,0),0)</f>
        <v>0</v>
      </c>
      <c r="AD242" s="9">
        <f>IFERROR(VLOOKUP(B242,cubo!$A$6:$BE$37,31,0)-VLOOKUP(B242,#REF!,$AD$2,0),0)</f>
        <v>0</v>
      </c>
      <c r="AE242" s="9">
        <f>IFERROR(VLOOKUP(B242,cubo!$A$6:$BE$37,35,0)-VLOOKUP(B242,#REF!,$AE$2,0),0)</f>
        <v>0</v>
      </c>
      <c r="AF242" s="9" cm="1">
        <f t="array" aca="1" ref="AF242" ca="1">IFERROR(rrPROCV(B242,cubo!$A$6:$BE$37,48,0)-VLOOKUP(B242,#REF!,$AF$2,0),0)</f>
        <v>0</v>
      </c>
      <c r="AG242" s="9">
        <f>IFERROR(VLOOKUP(B242,cubo!$A$6:$BE$37,49,0)-VLOOKUP(B242,#REF!,$AG$2,0),0)</f>
        <v>0</v>
      </c>
      <c r="AH242" s="9">
        <f>IFERROR(VLOOKUP(B242,cubo!$A$6:$BE$37,50,0)-VLOOKUP(B242,#REF!,$AH$2,0),0)</f>
        <v>0</v>
      </c>
      <c r="AI242" s="9">
        <f>IFERROR(VLOOKUP(B242,cubo!$A$6:$BE$37,51,0)-VLOOKUP(B242,#REF!,$AI$2,0),0)</f>
        <v>0</v>
      </c>
      <c r="AJ242" s="9">
        <f>IFERROR(VLOOKUP(B242,cubo!$A$6:$BI$116,62,0)-VLOOKUP(B242,#REF!,$AJ$2,0),0)</f>
        <v>0</v>
      </c>
      <c r="AK242" s="9">
        <f>IFERROR(VLOOKUP(B242,cubo!$A$6:$BJ$37,63,0)-VLOOKUP(B242,#REF!,$AK$2,0),0)</f>
        <v>0</v>
      </c>
      <c r="AL242" s="9">
        <f>IFERROR(VLOOKUP(B242,cubo!$A$6:$BE$37,58,0)-VLOOKUP(B242,#REF!,$AL$2,0),0)</f>
        <v>0</v>
      </c>
      <c r="AM242" s="9">
        <f>IFERROR(VLOOKUP(B242,cubo!$A$6:$BK$37,64,0)-VLOOKUP(B242,#REF!,$AM$2,0),0)</f>
        <v>0</v>
      </c>
      <c r="AN242" s="9">
        <f>IFERROR(VLOOKUP(B242,cubo!$A$6:$AN$37,41,0)-VLOOKUP(B242,#REF!,$AN$2,0),0)</f>
        <v>0</v>
      </c>
    </row>
    <row r="243" spans="2:40" x14ac:dyDescent="0.25">
      <c r="B243" s="7">
        <f>[1]salario!A242</f>
        <v>0</v>
      </c>
      <c r="C243" s="8">
        <f>[1]salario!C242</f>
        <v>0</v>
      </c>
      <c r="D243" s="9">
        <f>IFERROR(VLOOKUP(B243,cubo!$A$6:$BE$37,3,0)-VLOOKUP(B243,#REF!,$D$2,0),0)</f>
        <v>0</v>
      </c>
      <c r="E243" s="10">
        <f>IFERROR(VLOOKUP(B243,cubo!$A$6:$BE$37,5,0)-VLOOKUP(B243,#REF!,$E$2,0),0)</f>
        <v>0</v>
      </c>
      <c r="F243" s="10">
        <f>IFERROR(VLOOKUP(B243,cubo!$A$6:$BE$37,8,0)-VLOOKUP(B243,#REF!,$F$2,0),0)</f>
        <v>0</v>
      </c>
      <c r="G243" s="9">
        <f>IFERROR(VLOOKUP(B243,cubo!$A$6:$BE$37,11,0)-VLOOKUP(B243,#REF!,$G$2,0),0)</f>
        <v>0</v>
      </c>
      <c r="H243" s="9">
        <f>IFERROR(VLOOKUP(B243,cubo!$A$6:$BE$37,53,0)-VLOOKUP(B243,#REF!,$H$2,0),0)</f>
        <v>0</v>
      </c>
      <c r="I243" s="10">
        <f>IFERROR(VLOOKUP(B243,cubo!$A$6:$BE$37,14,0)-VLOOKUP(B243,#REF!,$I$2,0),0)</f>
        <v>0</v>
      </c>
      <c r="J243" s="9">
        <f>IFERROR(VLOOKUP(B243,cubo!$A$6:$BE$37,16,0)-VLOOKUP(B243,#REF!,$J$2,0),0)</f>
        <v>0</v>
      </c>
      <c r="K243" s="9">
        <f>IFERROR(VLOOKUP(B243,cubo!$A$6:$BE$37,17,0)-VLOOKUP(B243,#REF!,$K$2,0),0)</f>
        <v>0</v>
      </c>
      <c r="L243" s="9">
        <f>IFERROR(VLOOKUP(B243,cubo!$A$6:$BE$37,19,0)-VLOOKUP(B243,#REF!,$L$2,0),0)</f>
        <v>0</v>
      </c>
      <c r="M243" s="9">
        <f>IFERROR(VLOOKUP(B243,cubo!$A$6:$BE$37,23,0)-VLOOKUP(B243,#REF!,$M$2,0),0)</f>
        <v>0</v>
      </c>
      <c r="N243" s="9">
        <f>IFERROR(VLOOKUP(B243,cubo!$A$6:$BE$37,25,0)-VLOOKUP(B243,#REF!,$N$2,0),0)</f>
        <v>0</v>
      </c>
      <c r="O243" s="9">
        <f>IFERROR(VLOOKUP(B243,cubo!$A$6:$BE$37,33,0)-VLOOKUP(B243,#REF!,$O$2,0),0)</f>
        <v>0</v>
      </c>
      <c r="P243" s="8">
        <f>IFERROR(VLOOKUP(B243,cubo!$A$6:$BE$37,37,0)-VLOOKUP(B243,#REF!,$P$2,0),0)</f>
        <v>0</v>
      </c>
      <c r="Q243" s="8">
        <f>IFERROR(VLOOKUP(B243,cubo!$A$6:$BE$37,56,0)-VLOOKUP(B243,#REF!,$Q$2,0),0)</f>
        <v>0</v>
      </c>
      <c r="R243" s="9">
        <f>IFERROR(VLOOKUP(B243,cubo!$A$6:$BE$37,40,0)-VLOOKUP(B243,#REF!,$R$2,0),0)</f>
        <v>0</v>
      </c>
      <c r="S243" s="9">
        <f>IFERROR(VLOOKUP(B243,cubo!$A$6:$BE$37,43,0)-VLOOKUP(B243,#REF!,$S$2,0),0)</f>
        <v>0</v>
      </c>
      <c r="T243" s="9">
        <f>IFERROR(VLOOKUP(B243,cubo!$A$6:$BE$37,46,0)-VLOOKUP(B243,#REF!,$T$2,0),0)</f>
        <v>0</v>
      </c>
      <c r="U243" s="9">
        <f>IFERROR(VLOOKUP(B243,cubo!$A$6:$BE$37,51,0)-VLOOKUP(B243,#REF!,$U$2,0),0)</f>
        <v>0</v>
      </c>
      <c r="V243" s="9">
        <f>IFERROR(VLOOKUP(B243,cubo!$A$6:$BJ$37,60,0)-VLOOKUP(B243,#REF!,$V$2,0),0)</f>
        <v>0</v>
      </c>
      <c r="W243" s="9">
        <f>IFERROR(VLOOKUP(B243,cubo!$A$6:$BE$37,26,0)-VLOOKUP(B243,#REF!,$W$2,0),0)</f>
        <v>0</v>
      </c>
      <c r="X243" s="9">
        <f>IFERROR(VLOOKUP(B243,cubo!$A$6:$BE$37,20,0)-VLOOKUP(B243,#REF!,$X$2,0),0)</f>
        <v>0</v>
      </c>
      <c r="Y243" s="9">
        <f>IFERROR(VLOOKUP(B243,cubo!$A$6:$BE$37,21,0)-VLOOKUP(B243,#REF!,$Y$2,0),0)</f>
        <v>0</v>
      </c>
      <c r="Z243" s="9">
        <f>IFERROR(VLOOKUP(B243,cubo!$A$6:$BE$37,27,0)-VLOOKUP(B243,#REF!,$Z$2,0),0)</f>
        <v>0</v>
      </c>
      <c r="AA243" s="9">
        <f>IFERROR(VLOOKUP(B243,cubo!$A$6:$BE$37,28,0)-VLOOKUP(B243,#REF!,$AA$2,0),0)</f>
        <v>0</v>
      </c>
      <c r="AB243" s="9">
        <f>IFERROR(VLOOKUP(B243,cubo!$A$6:$BE$37,29,0)-VLOOKUP(B243,#REF!,$AB$2,0),0)</f>
        <v>0</v>
      </c>
      <c r="AC243" s="9">
        <f>IFERROR(VLOOKUP(B243,cubo!$A$6:$BE$37,30,0)-VLOOKUP(B243,#REF!,$AC$2,0),0)</f>
        <v>0</v>
      </c>
      <c r="AD243" s="9">
        <f>IFERROR(VLOOKUP(B243,cubo!$A$6:$BE$37,31,0)-VLOOKUP(B243,#REF!,$AD$2,0),0)</f>
        <v>0</v>
      </c>
      <c r="AE243" s="9">
        <f>IFERROR(VLOOKUP(B243,cubo!$A$6:$BE$37,35,0)-VLOOKUP(B243,#REF!,$AE$2,0),0)</f>
        <v>0</v>
      </c>
      <c r="AF243" s="9" cm="1">
        <f t="array" aca="1" ref="AF243" ca="1">IFERROR(rrPROCV(B243,cubo!$A$6:$BE$37,48,0)-VLOOKUP(B243,#REF!,$AF$2,0),0)</f>
        <v>0</v>
      </c>
      <c r="AG243" s="9">
        <f>IFERROR(VLOOKUP(B243,cubo!$A$6:$BE$37,49,0)-VLOOKUP(B243,#REF!,$AG$2,0),0)</f>
        <v>0</v>
      </c>
      <c r="AH243" s="9">
        <f>IFERROR(VLOOKUP(B243,cubo!$A$6:$BE$37,50,0)-VLOOKUP(B243,#REF!,$AH$2,0),0)</f>
        <v>0</v>
      </c>
      <c r="AI243" s="9">
        <f>IFERROR(VLOOKUP(B243,cubo!$A$6:$BE$37,51,0)-VLOOKUP(B243,#REF!,$AI$2,0),0)</f>
        <v>0</v>
      </c>
      <c r="AJ243" s="9">
        <f>IFERROR(VLOOKUP(B243,cubo!$A$6:$BI$116,62,0)-VLOOKUP(B243,#REF!,$AJ$2,0),0)</f>
        <v>0</v>
      </c>
      <c r="AK243" s="9">
        <f>IFERROR(VLOOKUP(B243,cubo!$A$6:$BJ$37,63,0)-VLOOKUP(B243,#REF!,$AK$2,0),0)</f>
        <v>0</v>
      </c>
      <c r="AL243" s="9">
        <f>IFERROR(VLOOKUP(B243,cubo!$A$6:$BE$37,58,0)-VLOOKUP(B243,#REF!,$AL$2,0),0)</f>
        <v>0</v>
      </c>
      <c r="AM243" s="9">
        <f>IFERROR(VLOOKUP(B243,cubo!$A$6:$BK$37,64,0)-VLOOKUP(B243,#REF!,$AM$2,0),0)</f>
        <v>0</v>
      </c>
      <c r="AN243" s="9">
        <f>IFERROR(VLOOKUP(B243,cubo!$A$6:$AN$37,41,0)-VLOOKUP(B243,#REF!,$AN$2,0),0)</f>
        <v>0</v>
      </c>
    </row>
    <row r="244" spans="2:40" x14ac:dyDescent="0.25">
      <c r="B244" s="7">
        <f>[1]salario!A243</f>
        <v>0</v>
      </c>
      <c r="C244" s="8">
        <f>[1]salario!C243</f>
        <v>0</v>
      </c>
      <c r="D244" s="9">
        <f>IFERROR(VLOOKUP(B244,cubo!$A$6:$BE$37,3,0)-VLOOKUP(B244,#REF!,$D$2,0),0)</f>
        <v>0</v>
      </c>
      <c r="E244" s="10">
        <f>IFERROR(VLOOKUP(B244,cubo!$A$6:$BE$37,5,0)-VLOOKUP(B244,#REF!,$E$2,0),0)</f>
        <v>0</v>
      </c>
      <c r="F244" s="10">
        <f>IFERROR(VLOOKUP(B244,cubo!$A$6:$BE$37,8,0)-VLOOKUP(B244,#REF!,$F$2,0),0)</f>
        <v>0</v>
      </c>
      <c r="G244" s="9">
        <f>IFERROR(VLOOKUP(B244,cubo!$A$6:$BE$37,11,0)-VLOOKUP(B244,#REF!,$G$2,0),0)</f>
        <v>0</v>
      </c>
      <c r="H244" s="9">
        <f>IFERROR(VLOOKUP(B244,cubo!$A$6:$BE$37,53,0)-VLOOKUP(B244,#REF!,$H$2,0),0)</f>
        <v>0</v>
      </c>
      <c r="I244" s="10">
        <f>IFERROR(VLOOKUP(B244,cubo!$A$6:$BE$37,14,0)-VLOOKUP(B244,#REF!,$I$2,0),0)</f>
        <v>0</v>
      </c>
      <c r="J244" s="9">
        <f>IFERROR(VLOOKUP(B244,cubo!$A$6:$BE$37,16,0)-VLOOKUP(B244,#REF!,$J$2,0),0)</f>
        <v>0</v>
      </c>
      <c r="K244" s="9">
        <f>IFERROR(VLOOKUP(B244,cubo!$A$6:$BE$37,17,0)-VLOOKUP(B244,#REF!,$K$2,0),0)</f>
        <v>0</v>
      </c>
      <c r="L244" s="9">
        <f>IFERROR(VLOOKUP(B244,cubo!$A$6:$BE$37,19,0)-VLOOKUP(B244,#REF!,$L$2,0),0)</f>
        <v>0</v>
      </c>
      <c r="M244" s="9">
        <f>IFERROR(VLOOKUP(B244,cubo!$A$6:$BE$37,23,0)-VLOOKUP(B244,#REF!,$M$2,0),0)</f>
        <v>0</v>
      </c>
      <c r="N244" s="9">
        <f>IFERROR(VLOOKUP(B244,cubo!$A$6:$BE$37,25,0)-VLOOKUP(B244,#REF!,$N$2,0),0)</f>
        <v>0</v>
      </c>
      <c r="O244" s="9">
        <f>IFERROR(VLOOKUP(B244,cubo!$A$6:$BE$37,33,0)-VLOOKUP(B244,#REF!,$O$2,0),0)</f>
        <v>0</v>
      </c>
      <c r="P244" s="8">
        <f>IFERROR(VLOOKUP(B244,cubo!$A$6:$BE$37,37,0)-VLOOKUP(B244,#REF!,$P$2,0),0)</f>
        <v>0</v>
      </c>
      <c r="Q244" s="8">
        <f>IFERROR(VLOOKUP(B244,cubo!$A$6:$BE$37,56,0)-VLOOKUP(B244,#REF!,$Q$2,0),0)</f>
        <v>0</v>
      </c>
      <c r="R244" s="9">
        <f>IFERROR(VLOOKUP(B244,cubo!$A$6:$BE$37,40,0)-VLOOKUP(B244,#REF!,$R$2,0),0)</f>
        <v>0</v>
      </c>
      <c r="S244" s="9">
        <f>IFERROR(VLOOKUP(B244,cubo!$A$6:$BE$37,43,0)-VLOOKUP(B244,#REF!,$S$2,0),0)</f>
        <v>0</v>
      </c>
      <c r="T244" s="9">
        <f>IFERROR(VLOOKUP(B244,cubo!$A$6:$BE$37,46,0)-VLOOKUP(B244,#REF!,$T$2,0),0)</f>
        <v>0</v>
      </c>
      <c r="U244" s="9">
        <f>IFERROR(VLOOKUP(B244,cubo!$A$6:$BE$37,51,0)-VLOOKUP(B244,#REF!,$U$2,0),0)</f>
        <v>0</v>
      </c>
      <c r="V244" s="9">
        <f>IFERROR(VLOOKUP(B244,cubo!$A$6:$BJ$37,60,0)-VLOOKUP(B244,#REF!,$V$2,0),0)</f>
        <v>0</v>
      </c>
      <c r="W244" s="9">
        <f>IFERROR(VLOOKUP(B244,cubo!$A$6:$BE$37,26,0)-VLOOKUP(B244,#REF!,$W$2,0),0)</f>
        <v>0</v>
      </c>
      <c r="X244" s="9">
        <f>IFERROR(VLOOKUP(B244,cubo!$A$6:$BE$37,20,0)-VLOOKUP(B244,#REF!,$X$2,0),0)</f>
        <v>0</v>
      </c>
      <c r="Y244" s="9">
        <f>IFERROR(VLOOKUP(B244,cubo!$A$6:$BE$37,21,0)-VLOOKUP(B244,#REF!,$Y$2,0),0)</f>
        <v>0</v>
      </c>
      <c r="Z244" s="9">
        <f>IFERROR(VLOOKUP(B244,cubo!$A$6:$BE$37,27,0)-VLOOKUP(B244,#REF!,$Z$2,0),0)</f>
        <v>0</v>
      </c>
      <c r="AA244" s="9">
        <f>IFERROR(VLOOKUP(B244,cubo!$A$6:$BE$37,28,0)-VLOOKUP(B244,#REF!,$AA$2,0),0)</f>
        <v>0</v>
      </c>
      <c r="AB244" s="9">
        <f>IFERROR(VLOOKUP(B244,cubo!$A$6:$BE$37,29,0)-VLOOKUP(B244,#REF!,$AB$2,0),0)</f>
        <v>0</v>
      </c>
      <c r="AC244" s="9">
        <f>IFERROR(VLOOKUP(B244,cubo!$A$6:$BE$37,30,0)-VLOOKUP(B244,#REF!,$AC$2,0),0)</f>
        <v>0</v>
      </c>
      <c r="AD244" s="9">
        <f>IFERROR(VLOOKUP(B244,cubo!$A$6:$BE$37,31,0)-VLOOKUP(B244,#REF!,$AD$2,0),0)</f>
        <v>0</v>
      </c>
      <c r="AE244" s="9">
        <f>IFERROR(VLOOKUP(B244,cubo!$A$6:$BE$37,35,0)-VLOOKUP(B244,#REF!,$AE$2,0),0)</f>
        <v>0</v>
      </c>
      <c r="AF244" s="9" cm="1">
        <f t="array" aca="1" ref="AF244" ca="1">IFERROR(rrPROCV(B244,cubo!$A$6:$BE$37,48,0)-VLOOKUP(B244,#REF!,$AF$2,0),0)</f>
        <v>0</v>
      </c>
      <c r="AG244" s="9">
        <f>IFERROR(VLOOKUP(B244,cubo!$A$6:$BE$37,49,0)-VLOOKUP(B244,#REF!,$AG$2,0),0)</f>
        <v>0</v>
      </c>
      <c r="AH244" s="9">
        <f>IFERROR(VLOOKUP(B244,cubo!$A$6:$BE$37,50,0)-VLOOKUP(B244,#REF!,$AH$2,0),0)</f>
        <v>0</v>
      </c>
      <c r="AI244" s="9">
        <f>IFERROR(VLOOKUP(B244,cubo!$A$6:$BE$37,51,0)-VLOOKUP(B244,#REF!,$AI$2,0),0)</f>
        <v>0</v>
      </c>
      <c r="AJ244" s="9">
        <f>IFERROR(VLOOKUP(B244,cubo!$A$6:$BI$116,62,0)-VLOOKUP(B244,#REF!,$AJ$2,0),0)</f>
        <v>0</v>
      </c>
      <c r="AK244" s="9">
        <f>IFERROR(VLOOKUP(B244,cubo!$A$6:$BJ$37,63,0)-VLOOKUP(B244,#REF!,$AK$2,0),0)</f>
        <v>0</v>
      </c>
      <c r="AL244" s="9">
        <f>IFERROR(VLOOKUP(B244,cubo!$A$6:$BE$37,58,0)-VLOOKUP(B244,#REF!,$AL$2,0),0)</f>
        <v>0</v>
      </c>
      <c r="AM244" s="9">
        <f>IFERROR(VLOOKUP(B244,cubo!$A$6:$BK$37,64,0)-VLOOKUP(B244,#REF!,$AM$2,0),0)</f>
        <v>0</v>
      </c>
      <c r="AN244" s="9">
        <f>IFERROR(VLOOKUP(B244,cubo!$A$6:$AN$37,41,0)-VLOOKUP(B244,#REF!,$AN$2,0),0)</f>
        <v>0</v>
      </c>
    </row>
    <row r="245" spans="2:40" x14ac:dyDescent="0.25">
      <c r="B245" s="7">
        <f>[1]salario!A244</f>
        <v>0</v>
      </c>
      <c r="C245" s="8">
        <f>[1]salario!C244</f>
        <v>0</v>
      </c>
      <c r="D245" s="9">
        <f>IFERROR(VLOOKUP(B245,cubo!$A$6:$BE$37,3,0)-VLOOKUP(B245,#REF!,$D$2,0),0)</f>
        <v>0</v>
      </c>
      <c r="E245" s="10">
        <f>IFERROR(VLOOKUP(B245,cubo!$A$6:$BE$37,5,0)-VLOOKUP(B245,#REF!,$E$2,0),0)</f>
        <v>0</v>
      </c>
      <c r="F245" s="10">
        <f>IFERROR(VLOOKUP(B245,cubo!$A$6:$BE$37,8,0)-VLOOKUP(B245,#REF!,$F$2,0),0)</f>
        <v>0</v>
      </c>
      <c r="G245" s="9">
        <f>IFERROR(VLOOKUP(B245,cubo!$A$6:$BE$37,11,0)-VLOOKUP(B245,#REF!,$G$2,0),0)</f>
        <v>0</v>
      </c>
      <c r="H245" s="9">
        <f>IFERROR(VLOOKUP(B245,cubo!$A$6:$BE$37,53,0)-VLOOKUP(B245,#REF!,$H$2,0),0)</f>
        <v>0</v>
      </c>
      <c r="I245" s="10">
        <f>IFERROR(VLOOKUP(B245,cubo!$A$6:$BE$37,14,0)-VLOOKUP(B245,#REF!,$I$2,0),0)</f>
        <v>0</v>
      </c>
      <c r="J245" s="9">
        <f>IFERROR(VLOOKUP(B245,cubo!$A$6:$BE$37,16,0)-VLOOKUP(B245,#REF!,$J$2,0),0)</f>
        <v>0</v>
      </c>
      <c r="K245" s="9">
        <f>IFERROR(VLOOKUP(B245,cubo!$A$6:$BE$37,17,0)-VLOOKUP(B245,#REF!,$K$2,0),0)</f>
        <v>0</v>
      </c>
      <c r="L245" s="9">
        <f>IFERROR(VLOOKUP(B245,cubo!$A$6:$BE$37,19,0)-VLOOKUP(B245,#REF!,$L$2,0),0)</f>
        <v>0</v>
      </c>
      <c r="M245" s="9">
        <f>IFERROR(VLOOKUP(B245,cubo!$A$6:$BE$37,23,0)-VLOOKUP(B245,#REF!,$M$2,0),0)</f>
        <v>0</v>
      </c>
      <c r="N245" s="9">
        <f>IFERROR(VLOOKUP(B245,cubo!$A$6:$BE$37,25,0)-VLOOKUP(B245,#REF!,$N$2,0),0)</f>
        <v>0</v>
      </c>
      <c r="O245" s="9">
        <f>IFERROR(VLOOKUP(B245,cubo!$A$6:$BE$37,33,0)-VLOOKUP(B245,#REF!,$O$2,0),0)</f>
        <v>0</v>
      </c>
      <c r="P245" s="8">
        <f>IFERROR(VLOOKUP(B245,cubo!$A$6:$BE$37,37,0)-VLOOKUP(B245,#REF!,$P$2,0),0)</f>
        <v>0</v>
      </c>
      <c r="Q245" s="8">
        <f>IFERROR(VLOOKUP(B245,cubo!$A$6:$BE$37,56,0)-VLOOKUP(B245,#REF!,$Q$2,0),0)</f>
        <v>0</v>
      </c>
      <c r="R245" s="9">
        <f>IFERROR(VLOOKUP(B245,cubo!$A$6:$BE$37,40,0)-VLOOKUP(B245,#REF!,$R$2,0),0)</f>
        <v>0</v>
      </c>
      <c r="S245" s="9">
        <f>IFERROR(VLOOKUP(B245,cubo!$A$6:$BE$37,43,0)-VLOOKUP(B245,#REF!,$S$2,0),0)</f>
        <v>0</v>
      </c>
      <c r="T245" s="9">
        <f>IFERROR(VLOOKUP(B245,cubo!$A$6:$BE$37,46,0)-VLOOKUP(B245,#REF!,$T$2,0),0)</f>
        <v>0</v>
      </c>
      <c r="U245" s="9">
        <f>IFERROR(VLOOKUP(B245,cubo!$A$6:$BE$37,51,0)-VLOOKUP(B245,#REF!,$U$2,0),0)</f>
        <v>0</v>
      </c>
      <c r="V245" s="9">
        <f>IFERROR(VLOOKUP(B245,cubo!$A$6:$BJ$37,60,0)-VLOOKUP(B245,#REF!,$V$2,0),0)</f>
        <v>0</v>
      </c>
      <c r="W245" s="9">
        <f>IFERROR(VLOOKUP(B245,cubo!$A$6:$BE$37,26,0)-VLOOKUP(B245,#REF!,$W$2,0),0)</f>
        <v>0</v>
      </c>
      <c r="X245" s="9">
        <f>IFERROR(VLOOKUP(B245,cubo!$A$6:$BE$37,20,0)-VLOOKUP(B245,#REF!,$X$2,0),0)</f>
        <v>0</v>
      </c>
      <c r="Y245" s="9">
        <f>IFERROR(VLOOKUP(B245,cubo!$A$6:$BE$37,21,0)-VLOOKUP(B245,#REF!,$Y$2,0),0)</f>
        <v>0</v>
      </c>
      <c r="Z245" s="9">
        <f>IFERROR(VLOOKUP(B245,cubo!$A$6:$BE$37,27,0)-VLOOKUP(B245,#REF!,$Z$2,0),0)</f>
        <v>0</v>
      </c>
      <c r="AA245" s="9">
        <f>IFERROR(VLOOKUP(B245,cubo!$A$6:$BE$37,28,0)-VLOOKUP(B245,#REF!,$AA$2,0),0)</f>
        <v>0</v>
      </c>
      <c r="AB245" s="9">
        <f>IFERROR(VLOOKUP(B245,cubo!$A$6:$BE$37,29,0)-VLOOKUP(B245,#REF!,$AB$2,0),0)</f>
        <v>0</v>
      </c>
      <c r="AC245" s="9">
        <f>IFERROR(VLOOKUP(B245,cubo!$A$6:$BE$37,30,0)-VLOOKUP(B245,#REF!,$AC$2,0),0)</f>
        <v>0</v>
      </c>
      <c r="AD245" s="9">
        <f>IFERROR(VLOOKUP(B245,cubo!$A$6:$BE$37,31,0)-VLOOKUP(B245,#REF!,$AD$2,0),0)</f>
        <v>0</v>
      </c>
      <c r="AE245" s="9">
        <f>IFERROR(VLOOKUP(B245,cubo!$A$6:$BE$37,35,0)-VLOOKUP(B245,#REF!,$AE$2,0),0)</f>
        <v>0</v>
      </c>
      <c r="AF245" s="9" cm="1">
        <f t="array" aca="1" ref="AF245" ca="1">IFERROR(rrPROCV(B245,cubo!$A$6:$BE$37,48,0)-VLOOKUP(B245,#REF!,$AF$2,0),0)</f>
        <v>0</v>
      </c>
      <c r="AG245" s="9">
        <f>IFERROR(VLOOKUP(B245,cubo!$A$6:$BE$37,49,0)-VLOOKUP(B245,#REF!,$AG$2,0),0)</f>
        <v>0</v>
      </c>
      <c r="AH245" s="9">
        <f>IFERROR(VLOOKUP(B245,cubo!$A$6:$BE$37,50,0)-VLOOKUP(B245,#REF!,$AH$2,0),0)</f>
        <v>0</v>
      </c>
      <c r="AI245" s="9">
        <f>IFERROR(VLOOKUP(B245,cubo!$A$6:$BE$37,51,0)-VLOOKUP(B245,#REF!,$AI$2,0),0)</f>
        <v>0</v>
      </c>
      <c r="AJ245" s="9">
        <f>IFERROR(VLOOKUP(B245,cubo!$A$6:$BI$116,62,0)-VLOOKUP(B245,#REF!,$AJ$2,0),0)</f>
        <v>0</v>
      </c>
      <c r="AK245" s="9">
        <f>IFERROR(VLOOKUP(B245,cubo!$A$6:$BJ$37,63,0)-VLOOKUP(B245,#REF!,$AK$2,0),0)</f>
        <v>0</v>
      </c>
      <c r="AL245" s="9">
        <f>IFERROR(VLOOKUP(B245,cubo!$A$6:$BE$37,58,0)-VLOOKUP(B245,#REF!,$AL$2,0),0)</f>
        <v>0</v>
      </c>
      <c r="AM245" s="9">
        <f>IFERROR(VLOOKUP(B245,cubo!$A$6:$BK$37,64,0)-VLOOKUP(B245,#REF!,$AM$2,0),0)</f>
        <v>0</v>
      </c>
      <c r="AN245" s="9">
        <f>IFERROR(VLOOKUP(B245,cubo!$A$6:$AN$37,41,0)-VLOOKUP(B245,#REF!,$AN$2,0),0)</f>
        <v>0</v>
      </c>
    </row>
    <row r="246" spans="2:40" x14ac:dyDescent="0.25">
      <c r="B246" s="7">
        <f>[1]salario!A245</f>
        <v>0</v>
      </c>
      <c r="C246" s="8">
        <f>[1]salario!C245</f>
        <v>0</v>
      </c>
      <c r="D246" s="9">
        <f>IFERROR(VLOOKUP(B246,cubo!$A$6:$BE$37,3,0)-VLOOKUP(B246,#REF!,$D$2,0),0)</f>
        <v>0</v>
      </c>
      <c r="E246" s="10">
        <f>IFERROR(VLOOKUP(B246,cubo!$A$6:$BE$37,5,0)-VLOOKUP(B246,#REF!,$E$2,0),0)</f>
        <v>0</v>
      </c>
      <c r="F246" s="10">
        <f>IFERROR(VLOOKUP(B246,cubo!$A$6:$BE$37,8,0)-VLOOKUP(B246,#REF!,$F$2,0),0)</f>
        <v>0</v>
      </c>
      <c r="G246" s="9">
        <f>IFERROR(VLOOKUP(B246,cubo!$A$6:$BE$37,11,0)-VLOOKUP(B246,#REF!,$G$2,0),0)</f>
        <v>0</v>
      </c>
      <c r="H246" s="9">
        <f>IFERROR(VLOOKUP(B246,cubo!$A$6:$BE$37,53,0)-VLOOKUP(B246,#REF!,$H$2,0),0)</f>
        <v>0</v>
      </c>
      <c r="I246" s="10">
        <f>IFERROR(VLOOKUP(B246,cubo!$A$6:$BE$37,14,0)-VLOOKUP(B246,#REF!,$I$2,0),0)</f>
        <v>0</v>
      </c>
      <c r="J246" s="9">
        <f>IFERROR(VLOOKUP(B246,cubo!$A$6:$BE$37,16,0)-VLOOKUP(B246,#REF!,$J$2,0),0)</f>
        <v>0</v>
      </c>
      <c r="K246" s="9">
        <f>IFERROR(VLOOKUP(B246,cubo!$A$6:$BE$37,17,0)-VLOOKUP(B246,#REF!,$K$2,0),0)</f>
        <v>0</v>
      </c>
      <c r="L246" s="9">
        <f>IFERROR(VLOOKUP(B246,cubo!$A$6:$BE$37,19,0)-VLOOKUP(B246,#REF!,$L$2,0),0)</f>
        <v>0</v>
      </c>
      <c r="M246" s="9">
        <f>IFERROR(VLOOKUP(B246,cubo!$A$6:$BE$37,23,0)-VLOOKUP(B246,#REF!,$M$2,0),0)</f>
        <v>0</v>
      </c>
      <c r="N246" s="9">
        <f>IFERROR(VLOOKUP(B246,cubo!$A$6:$BE$37,25,0)-VLOOKUP(B246,#REF!,$N$2,0),0)</f>
        <v>0</v>
      </c>
      <c r="O246" s="9">
        <f>IFERROR(VLOOKUP(B246,cubo!$A$6:$BE$37,33,0)-VLOOKUP(B246,#REF!,$O$2,0),0)</f>
        <v>0</v>
      </c>
      <c r="P246" s="8">
        <f>IFERROR(VLOOKUP(B246,cubo!$A$6:$BE$37,37,0)-VLOOKUP(B246,#REF!,$P$2,0),0)</f>
        <v>0</v>
      </c>
      <c r="Q246" s="8">
        <f>IFERROR(VLOOKUP(B246,cubo!$A$6:$BE$37,56,0)-VLOOKUP(B246,#REF!,$Q$2,0),0)</f>
        <v>0</v>
      </c>
      <c r="R246" s="9">
        <f>IFERROR(VLOOKUP(B246,cubo!$A$6:$BE$37,40,0)-VLOOKUP(B246,#REF!,$R$2,0),0)</f>
        <v>0</v>
      </c>
      <c r="S246" s="9">
        <f>IFERROR(VLOOKUP(B246,cubo!$A$6:$BE$37,43,0)-VLOOKUP(B246,#REF!,$S$2,0),0)</f>
        <v>0</v>
      </c>
      <c r="T246" s="9">
        <f>IFERROR(VLOOKUP(B246,cubo!$A$6:$BE$37,46,0)-VLOOKUP(B246,#REF!,$T$2,0),0)</f>
        <v>0</v>
      </c>
      <c r="U246" s="9">
        <f>IFERROR(VLOOKUP(B246,cubo!$A$6:$BE$37,51,0)-VLOOKUP(B246,#REF!,$U$2,0),0)</f>
        <v>0</v>
      </c>
      <c r="V246" s="9">
        <f>IFERROR(VLOOKUP(B246,cubo!$A$6:$BJ$37,60,0)-VLOOKUP(B246,#REF!,$V$2,0),0)</f>
        <v>0</v>
      </c>
      <c r="W246" s="9">
        <f>IFERROR(VLOOKUP(B246,cubo!$A$6:$BE$37,26,0)-VLOOKUP(B246,#REF!,$W$2,0),0)</f>
        <v>0</v>
      </c>
      <c r="X246" s="9">
        <f>IFERROR(VLOOKUP(B246,cubo!$A$6:$BE$37,20,0)-VLOOKUP(B246,#REF!,$X$2,0),0)</f>
        <v>0</v>
      </c>
      <c r="Y246" s="9">
        <f>IFERROR(VLOOKUP(B246,cubo!$A$6:$BE$37,21,0)-VLOOKUP(B246,#REF!,$Y$2,0),0)</f>
        <v>0</v>
      </c>
      <c r="Z246" s="9">
        <f>IFERROR(VLOOKUP(B246,cubo!$A$6:$BE$37,27,0)-VLOOKUP(B246,#REF!,$Z$2,0),0)</f>
        <v>0</v>
      </c>
      <c r="AA246" s="9">
        <f>IFERROR(VLOOKUP(B246,cubo!$A$6:$BE$37,28,0)-VLOOKUP(B246,#REF!,$AA$2,0),0)</f>
        <v>0</v>
      </c>
      <c r="AB246" s="9">
        <f>IFERROR(VLOOKUP(B246,cubo!$A$6:$BE$37,29,0)-VLOOKUP(B246,#REF!,$AB$2,0),0)</f>
        <v>0</v>
      </c>
      <c r="AC246" s="9">
        <f>IFERROR(VLOOKUP(B246,cubo!$A$6:$BE$37,30,0)-VLOOKUP(B246,#REF!,$AC$2,0),0)</f>
        <v>0</v>
      </c>
      <c r="AD246" s="9">
        <f>IFERROR(VLOOKUP(B246,cubo!$A$6:$BE$37,31,0)-VLOOKUP(B246,#REF!,$AD$2,0),0)</f>
        <v>0</v>
      </c>
      <c r="AE246" s="9">
        <f>IFERROR(VLOOKUP(B246,cubo!$A$6:$BE$37,35,0)-VLOOKUP(B246,#REF!,$AE$2,0),0)</f>
        <v>0</v>
      </c>
      <c r="AF246" s="9" cm="1">
        <f t="array" aca="1" ref="AF246" ca="1">IFERROR(rrPROCV(B246,cubo!$A$6:$BE$37,48,0)-VLOOKUP(B246,#REF!,$AF$2,0),0)</f>
        <v>0</v>
      </c>
      <c r="AG246" s="9">
        <f>IFERROR(VLOOKUP(B246,cubo!$A$6:$BE$37,49,0)-VLOOKUP(B246,#REF!,$AG$2,0),0)</f>
        <v>0</v>
      </c>
      <c r="AH246" s="9">
        <f>IFERROR(VLOOKUP(B246,cubo!$A$6:$BE$37,50,0)-VLOOKUP(B246,#REF!,$AH$2,0),0)</f>
        <v>0</v>
      </c>
      <c r="AI246" s="9">
        <f>IFERROR(VLOOKUP(B246,cubo!$A$6:$BE$37,51,0)-VLOOKUP(B246,#REF!,$AI$2,0),0)</f>
        <v>0</v>
      </c>
      <c r="AJ246" s="9">
        <f>IFERROR(VLOOKUP(B246,cubo!$A$6:$BI$116,62,0)-VLOOKUP(B246,#REF!,$AJ$2,0),0)</f>
        <v>0</v>
      </c>
      <c r="AK246" s="9">
        <f>IFERROR(VLOOKUP(B246,cubo!$A$6:$BJ$37,63,0)-VLOOKUP(B246,#REF!,$AK$2,0),0)</f>
        <v>0</v>
      </c>
      <c r="AL246" s="9">
        <f>IFERROR(VLOOKUP(B246,cubo!$A$6:$BE$37,58,0)-VLOOKUP(B246,#REF!,$AL$2,0),0)</f>
        <v>0</v>
      </c>
      <c r="AM246" s="9">
        <f>IFERROR(VLOOKUP(B246,cubo!$A$6:$BK$37,64,0)-VLOOKUP(B246,#REF!,$AM$2,0),0)</f>
        <v>0</v>
      </c>
      <c r="AN246" s="9">
        <f>IFERROR(VLOOKUP(B246,cubo!$A$6:$AN$37,41,0)-VLOOKUP(B246,#REF!,$AN$2,0),0)</f>
        <v>0</v>
      </c>
    </row>
    <row r="247" spans="2:40" x14ac:dyDescent="0.25">
      <c r="B247" s="7">
        <f>[1]salario!A246</f>
        <v>0</v>
      </c>
      <c r="C247" s="8">
        <f>[1]salario!C246</f>
        <v>0</v>
      </c>
      <c r="D247" s="9">
        <f>IFERROR(VLOOKUP(B247,cubo!$A$6:$BE$37,3,0)-VLOOKUP(B247,#REF!,$D$2,0),0)</f>
        <v>0</v>
      </c>
      <c r="E247" s="10">
        <f>IFERROR(VLOOKUP(B247,cubo!$A$6:$BE$37,5,0)-VLOOKUP(B247,#REF!,$E$2,0),0)</f>
        <v>0</v>
      </c>
      <c r="F247" s="10">
        <f>IFERROR(VLOOKUP(B247,cubo!$A$6:$BE$37,8,0)-VLOOKUP(B247,#REF!,$F$2,0),0)</f>
        <v>0</v>
      </c>
      <c r="G247" s="9">
        <f>IFERROR(VLOOKUP(B247,cubo!$A$6:$BE$37,11,0)-VLOOKUP(B247,#REF!,$G$2,0),0)</f>
        <v>0</v>
      </c>
      <c r="H247" s="9">
        <f>IFERROR(VLOOKUP(B247,cubo!$A$6:$BE$37,53,0)-VLOOKUP(B247,#REF!,$H$2,0),0)</f>
        <v>0</v>
      </c>
      <c r="I247" s="10">
        <f>IFERROR(VLOOKUP(B247,cubo!$A$6:$BE$37,14,0)-VLOOKUP(B247,#REF!,$I$2,0),0)</f>
        <v>0</v>
      </c>
      <c r="J247" s="9">
        <f>IFERROR(VLOOKUP(B247,cubo!$A$6:$BE$37,16,0)-VLOOKUP(B247,#REF!,$J$2,0),0)</f>
        <v>0</v>
      </c>
      <c r="K247" s="9">
        <f>IFERROR(VLOOKUP(B247,cubo!$A$6:$BE$37,17,0)-VLOOKUP(B247,#REF!,$K$2,0),0)</f>
        <v>0</v>
      </c>
      <c r="L247" s="9">
        <f>IFERROR(VLOOKUP(B247,cubo!$A$6:$BE$37,19,0)-VLOOKUP(B247,#REF!,$L$2,0),0)</f>
        <v>0</v>
      </c>
      <c r="M247" s="9">
        <f>IFERROR(VLOOKUP(B247,cubo!$A$6:$BE$37,23,0)-VLOOKUP(B247,#REF!,$M$2,0),0)</f>
        <v>0</v>
      </c>
      <c r="N247" s="9">
        <f>IFERROR(VLOOKUP(B247,cubo!$A$6:$BE$37,25,0)-VLOOKUP(B247,#REF!,$N$2,0),0)</f>
        <v>0</v>
      </c>
      <c r="O247" s="9">
        <f>IFERROR(VLOOKUP(B247,cubo!$A$6:$BE$37,33,0)-VLOOKUP(B247,#REF!,$O$2,0),0)</f>
        <v>0</v>
      </c>
      <c r="P247" s="8">
        <f>IFERROR(VLOOKUP(B247,cubo!$A$6:$BE$37,37,0)-VLOOKUP(B247,#REF!,$P$2,0),0)</f>
        <v>0</v>
      </c>
      <c r="Q247" s="8">
        <f>IFERROR(VLOOKUP(B247,cubo!$A$6:$BE$37,56,0)-VLOOKUP(B247,#REF!,$Q$2,0),0)</f>
        <v>0</v>
      </c>
      <c r="R247" s="9">
        <f>IFERROR(VLOOKUP(B247,cubo!$A$6:$BE$37,40,0)-VLOOKUP(B247,#REF!,$R$2,0),0)</f>
        <v>0</v>
      </c>
      <c r="S247" s="9">
        <f>IFERROR(VLOOKUP(B247,cubo!$A$6:$BE$37,43,0)-VLOOKUP(B247,#REF!,$S$2,0),0)</f>
        <v>0</v>
      </c>
      <c r="T247" s="9">
        <f>IFERROR(VLOOKUP(B247,cubo!$A$6:$BE$37,46,0)-VLOOKUP(B247,#REF!,$T$2,0),0)</f>
        <v>0</v>
      </c>
      <c r="U247" s="9">
        <f>IFERROR(VLOOKUP(B247,cubo!$A$6:$BE$37,51,0)-VLOOKUP(B247,#REF!,$U$2,0),0)</f>
        <v>0</v>
      </c>
      <c r="V247" s="9">
        <f>IFERROR(VLOOKUP(B247,cubo!$A$6:$BJ$37,60,0)-VLOOKUP(B247,#REF!,$V$2,0),0)</f>
        <v>0</v>
      </c>
      <c r="W247" s="9">
        <f>IFERROR(VLOOKUP(B247,cubo!$A$6:$BE$37,26,0)-VLOOKUP(B247,#REF!,$W$2,0),0)</f>
        <v>0</v>
      </c>
      <c r="X247" s="9">
        <f>IFERROR(VLOOKUP(B247,cubo!$A$6:$BE$37,20,0)-VLOOKUP(B247,#REF!,$X$2,0),0)</f>
        <v>0</v>
      </c>
      <c r="Y247" s="9">
        <f>IFERROR(VLOOKUP(B247,cubo!$A$6:$BE$37,21,0)-VLOOKUP(B247,#REF!,$Y$2,0),0)</f>
        <v>0</v>
      </c>
      <c r="Z247" s="9">
        <f>IFERROR(VLOOKUP(B247,cubo!$A$6:$BE$37,27,0)-VLOOKUP(B247,#REF!,$Z$2,0),0)</f>
        <v>0</v>
      </c>
      <c r="AA247" s="9">
        <f>IFERROR(VLOOKUP(B247,cubo!$A$6:$BE$37,28,0)-VLOOKUP(B247,#REF!,$AA$2,0),0)</f>
        <v>0</v>
      </c>
      <c r="AB247" s="9">
        <f>IFERROR(VLOOKUP(B247,cubo!$A$6:$BE$37,29,0)-VLOOKUP(B247,#REF!,$AB$2,0),0)</f>
        <v>0</v>
      </c>
      <c r="AC247" s="9">
        <f>IFERROR(VLOOKUP(B247,cubo!$A$6:$BE$37,30,0)-VLOOKUP(B247,#REF!,$AC$2,0),0)</f>
        <v>0</v>
      </c>
      <c r="AD247" s="9">
        <f>IFERROR(VLOOKUP(B247,cubo!$A$6:$BE$37,31,0)-VLOOKUP(B247,#REF!,$AD$2,0),0)</f>
        <v>0</v>
      </c>
      <c r="AE247" s="9">
        <f>IFERROR(VLOOKUP(B247,cubo!$A$6:$BE$37,35,0)-VLOOKUP(B247,#REF!,$AE$2,0),0)</f>
        <v>0</v>
      </c>
      <c r="AF247" s="9" cm="1">
        <f t="array" aca="1" ref="AF247" ca="1">IFERROR(rrPROCV(B247,cubo!$A$6:$BE$37,48,0)-VLOOKUP(B247,#REF!,$AF$2,0),0)</f>
        <v>0</v>
      </c>
      <c r="AG247" s="9">
        <f>IFERROR(VLOOKUP(B247,cubo!$A$6:$BE$37,49,0)-VLOOKUP(B247,#REF!,$AG$2,0),0)</f>
        <v>0</v>
      </c>
      <c r="AH247" s="9">
        <f>IFERROR(VLOOKUP(B247,cubo!$A$6:$BE$37,50,0)-VLOOKUP(B247,#REF!,$AH$2,0),0)</f>
        <v>0</v>
      </c>
      <c r="AI247" s="9">
        <f>IFERROR(VLOOKUP(B247,cubo!$A$6:$BE$37,51,0)-VLOOKUP(B247,#REF!,$AI$2,0),0)</f>
        <v>0</v>
      </c>
      <c r="AJ247" s="9">
        <f>IFERROR(VLOOKUP(B247,cubo!$A$6:$BI$116,62,0)-VLOOKUP(B247,#REF!,$AJ$2,0),0)</f>
        <v>0</v>
      </c>
      <c r="AK247" s="9">
        <f>IFERROR(VLOOKUP(B247,cubo!$A$6:$BJ$37,63,0)-VLOOKUP(B247,#REF!,$AK$2,0),0)</f>
        <v>0</v>
      </c>
      <c r="AL247" s="9">
        <f>IFERROR(VLOOKUP(B247,cubo!$A$6:$BE$37,58,0)-VLOOKUP(B247,#REF!,$AL$2,0),0)</f>
        <v>0</v>
      </c>
      <c r="AM247" s="9">
        <f>IFERROR(VLOOKUP(B247,cubo!$A$6:$BK$37,64,0)-VLOOKUP(B247,#REF!,$AM$2,0),0)</f>
        <v>0</v>
      </c>
      <c r="AN247" s="9">
        <f>IFERROR(VLOOKUP(B247,cubo!$A$6:$AN$37,41,0)-VLOOKUP(B247,#REF!,$AN$2,0),0)</f>
        <v>0</v>
      </c>
    </row>
    <row r="248" spans="2:40" x14ac:dyDescent="0.25">
      <c r="B248" s="7">
        <f>[1]salario!A247</f>
        <v>0</v>
      </c>
      <c r="C248" s="8">
        <f>[1]salario!C247</f>
        <v>0</v>
      </c>
      <c r="D248" s="9">
        <f>IFERROR(VLOOKUP(B248,cubo!$A$6:$BE$37,3,0)-VLOOKUP(B248,#REF!,$D$2,0),0)</f>
        <v>0</v>
      </c>
      <c r="E248" s="10">
        <f>IFERROR(VLOOKUP(B248,cubo!$A$6:$BE$37,5,0)-VLOOKUP(B248,#REF!,$E$2,0),0)</f>
        <v>0</v>
      </c>
      <c r="F248" s="10">
        <f>IFERROR(VLOOKUP(B248,cubo!$A$6:$BE$37,8,0)-VLOOKUP(B248,#REF!,$F$2,0),0)</f>
        <v>0</v>
      </c>
      <c r="G248" s="9">
        <f>IFERROR(VLOOKUP(B248,cubo!$A$6:$BE$37,11,0)-VLOOKUP(B248,#REF!,$G$2,0),0)</f>
        <v>0</v>
      </c>
      <c r="H248" s="9">
        <f>IFERROR(VLOOKUP(B248,cubo!$A$6:$BE$37,53,0)-VLOOKUP(B248,#REF!,$H$2,0),0)</f>
        <v>0</v>
      </c>
      <c r="I248" s="10">
        <f>IFERROR(VLOOKUP(B248,cubo!$A$6:$BE$37,14,0)-VLOOKUP(B248,#REF!,$I$2,0),0)</f>
        <v>0</v>
      </c>
      <c r="J248" s="9">
        <f>IFERROR(VLOOKUP(B248,cubo!$A$6:$BE$37,16,0)-VLOOKUP(B248,#REF!,$J$2,0),0)</f>
        <v>0</v>
      </c>
      <c r="K248" s="9">
        <f>IFERROR(VLOOKUP(B248,cubo!$A$6:$BE$37,17,0)-VLOOKUP(B248,#REF!,$K$2,0),0)</f>
        <v>0</v>
      </c>
      <c r="L248" s="9">
        <f>IFERROR(VLOOKUP(B248,cubo!$A$6:$BE$37,19,0)-VLOOKUP(B248,#REF!,$L$2,0),0)</f>
        <v>0</v>
      </c>
      <c r="M248" s="9">
        <f>IFERROR(VLOOKUP(B248,cubo!$A$6:$BE$37,23,0)-VLOOKUP(B248,#REF!,$M$2,0),0)</f>
        <v>0</v>
      </c>
      <c r="N248" s="9">
        <f>IFERROR(VLOOKUP(B248,cubo!$A$6:$BE$37,25,0)-VLOOKUP(B248,#REF!,$N$2,0),0)</f>
        <v>0</v>
      </c>
      <c r="O248" s="9">
        <f>IFERROR(VLOOKUP(B248,cubo!$A$6:$BE$37,33,0)-VLOOKUP(B248,#REF!,$O$2,0),0)</f>
        <v>0</v>
      </c>
      <c r="P248" s="8">
        <f>IFERROR(VLOOKUP(B248,cubo!$A$6:$BE$37,37,0)-VLOOKUP(B248,#REF!,$P$2,0),0)</f>
        <v>0</v>
      </c>
      <c r="Q248" s="8">
        <f>IFERROR(VLOOKUP(B248,cubo!$A$6:$BE$37,56,0)-VLOOKUP(B248,#REF!,$Q$2,0),0)</f>
        <v>0</v>
      </c>
      <c r="R248" s="9">
        <f>IFERROR(VLOOKUP(B248,cubo!$A$6:$BE$37,40,0)-VLOOKUP(B248,#REF!,$R$2,0),0)</f>
        <v>0</v>
      </c>
      <c r="S248" s="9">
        <f>IFERROR(VLOOKUP(B248,cubo!$A$6:$BE$37,43,0)-VLOOKUP(B248,#REF!,$S$2,0),0)</f>
        <v>0</v>
      </c>
      <c r="T248" s="9">
        <f>IFERROR(VLOOKUP(B248,cubo!$A$6:$BE$37,46,0)-VLOOKUP(B248,#REF!,$T$2,0),0)</f>
        <v>0</v>
      </c>
      <c r="U248" s="9">
        <f>IFERROR(VLOOKUP(B248,cubo!$A$6:$BE$37,51,0)-VLOOKUP(B248,#REF!,$U$2,0),0)</f>
        <v>0</v>
      </c>
      <c r="V248" s="9">
        <f>IFERROR(VLOOKUP(B248,cubo!$A$6:$BJ$37,60,0)-VLOOKUP(B248,#REF!,$V$2,0),0)</f>
        <v>0</v>
      </c>
      <c r="W248" s="9">
        <f>IFERROR(VLOOKUP(B248,cubo!$A$6:$BE$37,26,0)-VLOOKUP(B248,#REF!,$W$2,0),0)</f>
        <v>0</v>
      </c>
      <c r="X248" s="9">
        <f>IFERROR(VLOOKUP(B248,cubo!$A$6:$BE$37,20,0)-VLOOKUP(B248,#REF!,$X$2,0),0)</f>
        <v>0</v>
      </c>
      <c r="Y248" s="9">
        <f>IFERROR(VLOOKUP(B248,cubo!$A$6:$BE$37,21,0)-VLOOKUP(B248,#REF!,$Y$2,0),0)</f>
        <v>0</v>
      </c>
      <c r="Z248" s="9">
        <f>IFERROR(VLOOKUP(B248,cubo!$A$6:$BE$37,27,0)-VLOOKUP(B248,#REF!,$Z$2,0),0)</f>
        <v>0</v>
      </c>
      <c r="AA248" s="9">
        <f>IFERROR(VLOOKUP(B248,cubo!$A$6:$BE$37,28,0)-VLOOKUP(B248,#REF!,$AA$2,0),0)</f>
        <v>0</v>
      </c>
      <c r="AB248" s="9">
        <f>IFERROR(VLOOKUP(B248,cubo!$A$6:$BE$37,29,0)-VLOOKUP(B248,#REF!,$AB$2,0),0)</f>
        <v>0</v>
      </c>
      <c r="AC248" s="9">
        <f>IFERROR(VLOOKUP(B248,cubo!$A$6:$BE$37,30,0)-VLOOKUP(B248,#REF!,$AC$2,0),0)</f>
        <v>0</v>
      </c>
      <c r="AD248" s="9">
        <f>IFERROR(VLOOKUP(B248,cubo!$A$6:$BE$37,31,0)-VLOOKUP(B248,#REF!,$AD$2,0),0)</f>
        <v>0</v>
      </c>
      <c r="AE248" s="9">
        <f>IFERROR(VLOOKUP(B248,cubo!$A$6:$BE$37,35,0)-VLOOKUP(B248,#REF!,$AE$2,0),0)</f>
        <v>0</v>
      </c>
      <c r="AF248" s="9" cm="1">
        <f t="array" aca="1" ref="AF248" ca="1">IFERROR(rrPROCV(B248,cubo!$A$6:$BE$37,48,0)-VLOOKUP(B248,#REF!,$AF$2,0),0)</f>
        <v>0</v>
      </c>
      <c r="AG248" s="9">
        <f>IFERROR(VLOOKUP(B248,cubo!$A$6:$BE$37,49,0)-VLOOKUP(B248,#REF!,$AG$2,0),0)</f>
        <v>0</v>
      </c>
      <c r="AH248" s="9">
        <f>IFERROR(VLOOKUP(B248,cubo!$A$6:$BE$37,50,0)-VLOOKUP(B248,#REF!,$AH$2,0),0)</f>
        <v>0</v>
      </c>
      <c r="AI248" s="9">
        <f>IFERROR(VLOOKUP(B248,cubo!$A$6:$BE$37,51,0)-VLOOKUP(B248,#REF!,$AI$2,0),0)</f>
        <v>0</v>
      </c>
      <c r="AJ248" s="9">
        <f>IFERROR(VLOOKUP(B248,cubo!$A$6:$BI$116,62,0)-VLOOKUP(B248,#REF!,$AJ$2,0),0)</f>
        <v>0</v>
      </c>
      <c r="AK248" s="9">
        <f>IFERROR(VLOOKUP(B248,cubo!$A$6:$BJ$37,63,0)-VLOOKUP(B248,#REF!,$AK$2,0),0)</f>
        <v>0</v>
      </c>
      <c r="AL248" s="9">
        <f>IFERROR(VLOOKUP(B248,cubo!$A$6:$BE$37,58,0)-VLOOKUP(B248,#REF!,$AL$2,0),0)</f>
        <v>0</v>
      </c>
      <c r="AM248" s="9">
        <f>IFERROR(VLOOKUP(B248,cubo!$A$6:$BK$37,64,0)-VLOOKUP(B248,#REF!,$AM$2,0),0)</f>
        <v>0</v>
      </c>
      <c r="AN248" s="9">
        <f>IFERROR(VLOOKUP(B248,cubo!$A$6:$AN$37,41,0)-VLOOKUP(B248,#REF!,$AN$2,0),0)</f>
        <v>0</v>
      </c>
    </row>
    <row r="249" spans="2:40" x14ac:dyDescent="0.25">
      <c r="B249" s="7">
        <f>[1]salario!A248</f>
        <v>0</v>
      </c>
      <c r="C249" s="8">
        <f>[1]salario!C248</f>
        <v>0</v>
      </c>
      <c r="D249" s="9">
        <f>IFERROR(VLOOKUP(B249,cubo!$A$6:$BE$37,3,0)-VLOOKUP(B249,#REF!,$D$2,0),0)</f>
        <v>0</v>
      </c>
      <c r="E249" s="10">
        <f>IFERROR(VLOOKUP(B249,cubo!$A$6:$BE$37,5,0)-VLOOKUP(B249,#REF!,$E$2,0),0)</f>
        <v>0</v>
      </c>
      <c r="F249" s="10">
        <f>IFERROR(VLOOKUP(B249,cubo!$A$6:$BE$37,8,0)-VLOOKUP(B249,#REF!,$F$2,0),0)</f>
        <v>0</v>
      </c>
      <c r="G249" s="9">
        <f>IFERROR(VLOOKUP(B249,cubo!$A$6:$BE$37,11,0)-VLOOKUP(B249,#REF!,$G$2,0),0)</f>
        <v>0</v>
      </c>
      <c r="H249" s="9">
        <f>IFERROR(VLOOKUP(B249,cubo!$A$6:$BE$37,53,0)-VLOOKUP(B249,#REF!,$H$2,0),0)</f>
        <v>0</v>
      </c>
      <c r="I249" s="10">
        <f>IFERROR(VLOOKUP(B249,cubo!$A$6:$BE$37,14,0)-VLOOKUP(B249,#REF!,$I$2,0),0)</f>
        <v>0</v>
      </c>
      <c r="J249" s="9">
        <f>IFERROR(VLOOKUP(B249,cubo!$A$6:$BE$37,16,0)-VLOOKUP(B249,#REF!,$J$2,0),0)</f>
        <v>0</v>
      </c>
      <c r="K249" s="9">
        <f>IFERROR(VLOOKUP(B249,cubo!$A$6:$BE$37,17,0)-VLOOKUP(B249,#REF!,$K$2,0),0)</f>
        <v>0</v>
      </c>
      <c r="L249" s="9">
        <f>IFERROR(VLOOKUP(B249,cubo!$A$6:$BE$37,19,0)-VLOOKUP(B249,#REF!,$L$2,0),0)</f>
        <v>0</v>
      </c>
      <c r="M249" s="9">
        <f>IFERROR(VLOOKUP(B249,cubo!$A$6:$BE$37,23,0)-VLOOKUP(B249,#REF!,$M$2,0),0)</f>
        <v>0</v>
      </c>
      <c r="N249" s="9">
        <f>IFERROR(VLOOKUP(B249,cubo!$A$6:$BE$37,25,0)-VLOOKUP(B249,#REF!,$N$2,0),0)</f>
        <v>0</v>
      </c>
      <c r="O249" s="9">
        <f>IFERROR(VLOOKUP(B249,cubo!$A$6:$BE$37,33,0)-VLOOKUP(B249,#REF!,$O$2,0),0)</f>
        <v>0</v>
      </c>
      <c r="P249" s="8">
        <f>IFERROR(VLOOKUP(B249,cubo!$A$6:$BE$37,37,0)-VLOOKUP(B249,#REF!,$P$2,0),0)</f>
        <v>0</v>
      </c>
      <c r="Q249" s="8">
        <f>IFERROR(VLOOKUP(B249,cubo!$A$6:$BE$37,56,0)-VLOOKUP(B249,#REF!,$Q$2,0),0)</f>
        <v>0</v>
      </c>
      <c r="R249" s="9">
        <f>IFERROR(VLOOKUP(B249,cubo!$A$6:$BE$37,40,0)-VLOOKUP(B249,#REF!,$R$2,0),0)</f>
        <v>0</v>
      </c>
      <c r="S249" s="9">
        <f>IFERROR(VLOOKUP(B249,cubo!$A$6:$BE$37,43,0)-VLOOKUP(B249,#REF!,$S$2,0),0)</f>
        <v>0</v>
      </c>
      <c r="T249" s="9">
        <f>IFERROR(VLOOKUP(B249,cubo!$A$6:$BE$37,46,0)-VLOOKUP(B249,#REF!,$T$2,0),0)</f>
        <v>0</v>
      </c>
      <c r="U249" s="9">
        <f>IFERROR(VLOOKUP(B249,cubo!$A$6:$BE$37,51,0)-VLOOKUP(B249,#REF!,$U$2,0),0)</f>
        <v>0</v>
      </c>
      <c r="V249" s="9">
        <f>IFERROR(VLOOKUP(B249,cubo!$A$6:$BJ$37,60,0)-VLOOKUP(B249,#REF!,$V$2,0),0)</f>
        <v>0</v>
      </c>
      <c r="W249" s="9">
        <f>IFERROR(VLOOKUP(B249,cubo!$A$6:$BE$37,26,0)-VLOOKUP(B249,#REF!,$W$2,0),0)</f>
        <v>0</v>
      </c>
      <c r="X249" s="9">
        <f>IFERROR(VLOOKUP(B249,cubo!$A$6:$BE$37,20,0)-VLOOKUP(B249,#REF!,$X$2,0),0)</f>
        <v>0</v>
      </c>
      <c r="Y249" s="9">
        <f>IFERROR(VLOOKUP(B249,cubo!$A$6:$BE$37,21,0)-VLOOKUP(B249,#REF!,$Y$2,0),0)</f>
        <v>0</v>
      </c>
      <c r="Z249" s="9">
        <f>IFERROR(VLOOKUP(B249,cubo!$A$6:$BE$37,27,0)-VLOOKUP(B249,#REF!,$Z$2,0),0)</f>
        <v>0</v>
      </c>
      <c r="AA249" s="9">
        <f>IFERROR(VLOOKUP(B249,cubo!$A$6:$BE$37,28,0)-VLOOKUP(B249,#REF!,$AA$2,0),0)</f>
        <v>0</v>
      </c>
      <c r="AB249" s="9">
        <f>IFERROR(VLOOKUP(B249,cubo!$A$6:$BE$37,29,0)-VLOOKUP(B249,#REF!,$AB$2,0),0)</f>
        <v>0</v>
      </c>
      <c r="AC249" s="9">
        <f>IFERROR(VLOOKUP(B249,cubo!$A$6:$BE$37,30,0)-VLOOKUP(B249,#REF!,$AC$2,0),0)</f>
        <v>0</v>
      </c>
      <c r="AD249" s="9">
        <f>IFERROR(VLOOKUP(B249,cubo!$A$6:$BE$37,31,0)-VLOOKUP(B249,#REF!,$AD$2,0),0)</f>
        <v>0</v>
      </c>
      <c r="AE249" s="9">
        <f>IFERROR(VLOOKUP(B249,cubo!$A$6:$BE$37,35,0)-VLOOKUP(B249,#REF!,$AE$2,0),0)</f>
        <v>0</v>
      </c>
      <c r="AF249" s="9" cm="1">
        <f t="array" aca="1" ref="AF249" ca="1">IFERROR(rrPROCV(B249,cubo!$A$6:$BE$37,48,0)-VLOOKUP(B249,#REF!,$AF$2,0),0)</f>
        <v>0</v>
      </c>
      <c r="AG249" s="9">
        <f>IFERROR(VLOOKUP(B249,cubo!$A$6:$BE$37,49,0)-VLOOKUP(B249,#REF!,$AG$2,0),0)</f>
        <v>0</v>
      </c>
      <c r="AH249" s="9">
        <f>IFERROR(VLOOKUP(B249,cubo!$A$6:$BE$37,50,0)-VLOOKUP(B249,#REF!,$AH$2,0),0)</f>
        <v>0</v>
      </c>
      <c r="AI249" s="9">
        <f>IFERROR(VLOOKUP(B249,cubo!$A$6:$BE$37,51,0)-VLOOKUP(B249,#REF!,$AI$2,0),0)</f>
        <v>0</v>
      </c>
      <c r="AJ249" s="9">
        <f>IFERROR(VLOOKUP(B249,cubo!$A$6:$BI$116,62,0)-VLOOKUP(B249,#REF!,$AJ$2,0),0)</f>
        <v>0</v>
      </c>
      <c r="AK249" s="9">
        <f>IFERROR(VLOOKUP(B249,cubo!$A$6:$BJ$37,63,0)-VLOOKUP(B249,#REF!,$AK$2,0),0)</f>
        <v>0</v>
      </c>
      <c r="AL249" s="9">
        <f>IFERROR(VLOOKUP(B249,cubo!$A$6:$BE$37,58,0)-VLOOKUP(B249,#REF!,$AL$2,0),0)</f>
        <v>0</v>
      </c>
      <c r="AM249" s="9">
        <f>IFERROR(VLOOKUP(B249,cubo!$A$6:$BK$37,64,0)-VLOOKUP(B249,#REF!,$AM$2,0),0)</f>
        <v>0</v>
      </c>
      <c r="AN249" s="9">
        <f>IFERROR(VLOOKUP(B249,cubo!$A$6:$AN$37,41,0)-VLOOKUP(B249,#REF!,$AN$2,0),0)</f>
        <v>0</v>
      </c>
    </row>
    <row r="250" spans="2:40" x14ac:dyDescent="0.25">
      <c r="B250" s="7">
        <f>[1]salario!A249</f>
        <v>0</v>
      </c>
      <c r="C250" s="8">
        <f>[1]salario!C249</f>
        <v>0</v>
      </c>
      <c r="D250" s="9">
        <f>IFERROR(VLOOKUP(B250,cubo!$A$6:$BE$37,3,0)-VLOOKUP(B250,#REF!,$D$2,0),0)</f>
        <v>0</v>
      </c>
      <c r="E250" s="10">
        <f>IFERROR(VLOOKUP(B250,cubo!$A$6:$BE$37,5,0)-VLOOKUP(B250,#REF!,$E$2,0),0)</f>
        <v>0</v>
      </c>
      <c r="F250" s="10">
        <f>IFERROR(VLOOKUP(B250,cubo!$A$6:$BE$37,8,0)-VLOOKUP(B250,#REF!,$F$2,0),0)</f>
        <v>0</v>
      </c>
      <c r="G250" s="9">
        <f>IFERROR(VLOOKUP(B250,cubo!$A$6:$BE$37,11,0)-VLOOKUP(B250,#REF!,$G$2,0),0)</f>
        <v>0</v>
      </c>
      <c r="H250" s="9">
        <f>IFERROR(VLOOKUP(B250,cubo!$A$6:$BE$37,53,0)-VLOOKUP(B250,#REF!,$H$2,0),0)</f>
        <v>0</v>
      </c>
      <c r="I250" s="10">
        <f>IFERROR(VLOOKUP(B250,cubo!$A$6:$BE$37,14,0)-VLOOKUP(B250,#REF!,$I$2,0),0)</f>
        <v>0</v>
      </c>
      <c r="J250" s="9">
        <f>IFERROR(VLOOKUP(B250,cubo!$A$6:$BE$37,16,0)-VLOOKUP(B250,#REF!,$J$2,0),0)</f>
        <v>0</v>
      </c>
      <c r="K250" s="9">
        <f>IFERROR(VLOOKUP(B250,cubo!$A$6:$BE$37,17,0)-VLOOKUP(B250,#REF!,$K$2,0),0)</f>
        <v>0</v>
      </c>
      <c r="L250" s="9">
        <f>IFERROR(VLOOKUP(B250,cubo!$A$6:$BE$37,19,0)-VLOOKUP(B250,#REF!,$L$2,0),0)</f>
        <v>0</v>
      </c>
      <c r="M250" s="9">
        <f>IFERROR(VLOOKUP(B250,cubo!$A$6:$BE$37,23,0)-VLOOKUP(B250,#REF!,$M$2,0),0)</f>
        <v>0</v>
      </c>
      <c r="N250" s="9">
        <f>IFERROR(VLOOKUP(B250,cubo!$A$6:$BE$37,25,0)-VLOOKUP(B250,#REF!,$N$2,0),0)</f>
        <v>0</v>
      </c>
      <c r="O250" s="9">
        <f>IFERROR(VLOOKUP(B250,cubo!$A$6:$BE$37,33,0)-VLOOKUP(B250,#REF!,$O$2,0),0)</f>
        <v>0</v>
      </c>
      <c r="P250" s="8">
        <f>IFERROR(VLOOKUP(B250,cubo!$A$6:$BE$37,37,0)-VLOOKUP(B250,#REF!,$P$2,0),0)</f>
        <v>0</v>
      </c>
      <c r="Q250" s="8">
        <f>IFERROR(VLOOKUP(B250,cubo!$A$6:$BE$37,56,0)-VLOOKUP(B250,#REF!,$Q$2,0),0)</f>
        <v>0</v>
      </c>
      <c r="R250" s="9">
        <f>IFERROR(VLOOKUP(B250,cubo!$A$6:$BE$37,40,0)-VLOOKUP(B250,#REF!,$R$2,0),0)</f>
        <v>0</v>
      </c>
      <c r="S250" s="9">
        <f>IFERROR(VLOOKUP(B250,cubo!$A$6:$BE$37,43,0)-VLOOKUP(B250,#REF!,$S$2,0),0)</f>
        <v>0</v>
      </c>
      <c r="T250" s="9">
        <f>IFERROR(VLOOKUP(B250,cubo!$A$6:$BE$37,46,0)-VLOOKUP(B250,#REF!,$T$2,0),0)</f>
        <v>0</v>
      </c>
      <c r="U250" s="9">
        <f>IFERROR(VLOOKUP(B250,cubo!$A$6:$BE$37,51,0)-VLOOKUP(B250,#REF!,$U$2,0),0)</f>
        <v>0</v>
      </c>
      <c r="V250" s="9">
        <f>IFERROR(VLOOKUP(B250,cubo!$A$6:$BJ$37,60,0)-VLOOKUP(B250,#REF!,$V$2,0),0)</f>
        <v>0</v>
      </c>
      <c r="W250" s="9">
        <f>IFERROR(VLOOKUP(B250,cubo!$A$6:$BE$37,26,0)-VLOOKUP(B250,#REF!,$W$2,0),0)</f>
        <v>0</v>
      </c>
      <c r="X250" s="9">
        <f>IFERROR(VLOOKUP(B250,cubo!$A$6:$BE$37,20,0)-VLOOKUP(B250,#REF!,$X$2,0),0)</f>
        <v>0</v>
      </c>
      <c r="Y250" s="9">
        <f>IFERROR(VLOOKUP(B250,cubo!$A$6:$BE$37,21,0)-VLOOKUP(B250,#REF!,$Y$2,0),0)</f>
        <v>0</v>
      </c>
      <c r="Z250" s="9">
        <f>IFERROR(VLOOKUP(B250,cubo!$A$6:$BE$37,27,0)-VLOOKUP(B250,#REF!,$Z$2,0),0)</f>
        <v>0</v>
      </c>
      <c r="AA250" s="9">
        <f>IFERROR(VLOOKUP(B250,cubo!$A$6:$BE$37,28,0)-VLOOKUP(B250,#REF!,$AA$2,0),0)</f>
        <v>0</v>
      </c>
      <c r="AB250" s="9">
        <f>IFERROR(VLOOKUP(B250,cubo!$A$6:$BE$37,29,0)-VLOOKUP(B250,#REF!,$AB$2,0),0)</f>
        <v>0</v>
      </c>
      <c r="AC250" s="9">
        <f>IFERROR(VLOOKUP(B250,cubo!$A$6:$BE$37,30,0)-VLOOKUP(B250,#REF!,$AC$2,0),0)</f>
        <v>0</v>
      </c>
      <c r="AD250" s="9">
        <f>IFERROR(VLOOKUP(B250,cubo!$A$6:$BE$37,31,0)-VLOOKUP(B250,#REF!,$AD$2,0),0)</f>
        <v>0</v>
      </c>
      <c r="AE250" s="9">
        <f>IFERROR(VLOOKUP(B250,cubo!$A$6:$BE$37,35,0)-VLOOKUP(B250,#REF!,$AE$2,0),0)</f>
        <v>0</v>
      </c>
      <c r="AF250" s="9" cm="1">
        <f t="array" aca="1" ref="AF250" ca="1">IFERROR(rrPROCV(B250,cubo!$A$6:$BE$37,48,0)-VLOOKUP(B250,#REF!,$AF$2,0),0)</f>
        <v>0</v>
      </c>
      <c r="AG250" s="9">
        <f>IFERROR(VLOOKUP(B250,cubo!$A$6:$BE$37,49,0)-VLOOKUP(B250,#REF!,$AG$2,0),0)</f>
        <v>0</v>
      </c>
      <c r="AH250" s="9">
        <f>IFERROR(VLOOKUP(B250,cubo!$A$6:$BE$37,50,0)-VLOOKUP(B250,#REF!,$AH$2,0),0)</f>
        <v>0</v>
      </c>
      <c r="AI250" s="9">
        <f>IFERROR(VLOOKUP(B250,cubo!$A$6:$BE$37,51,0)-VLOOKUP(B250,#REF!,$AI$2,0),0)</f>
        <v>0</v>
      </c>
      <c r="AJ250" s="9">
        <f>IFERROR(VLOOKUP(B250,cubo!$A$6:$BI$116,62,0)-VLOOKUP(B250,#REF!,$AJ$2,0),0)</f>
        <v>0</v>
      </c>
      <c r="AK250" s="9">
        <f>IFERROR(VLOOKUP(B250,cubo!$A$6:$BJ$37,63,0)-VLOOKUP(B250,#REF!,$AK$2,0),0)</f>
        <v>0</v>
      </c>
      <c r="AL250" s="9">
        <f>IFERROR(VLOOKUP(B250,cubo!$A$6:$BE$37,58,0)-VLOOKUP(B250,#REF!,$AL$2,0),0)</f>
        <v>0</v>
      </c>
      <c r="AM250" s="9">
        <f>IFERROR(VLOOKUP(B250,cubo!$A$6:$BK$37,64,0)-VLOOKUP(B250,#REF!,$AM$2,0),0)</f>
        <v>0</v>
      </c>
      <c r="AN250" s="9">
        <f>IFERROR(VLOOKUP(B250,cubo!$A$6:$AN$37,41,0)-VLOOKUP(B250,#REF!,$AN$2,0),0)</f>
        <v>0</v>
      </c>
    </row>
    <row r="251" spans="2:40" x14ac:dyDescent="0.25">
      <c r="B251" s="7">
        <f>[1]salario!A250</f>
        <v>0</v>
      </c>
      <c r="C251" s="8">
        <f>[1]salario!C250</f>
        <v>0</v>
      </c>
      <c r="D251" s="9">
        <f>IFERROR(VLOOKUP(B251,cubo!$A$6:$BE$37,3,0)-VLOOKUP(B251,#REF!,$D$2,0),0)</f>
        <v>0</v>
      </c>
      <c r="E251" s="10">
        <f>IFERROR(VLOOKUP(B251,cubo!$A$6:$BE$37,5,0)-VLOOKUP(B251,#REF!,$E$2,0),0)</f>
        <v>0</v>
      </c>
      <c r="F251" s="10">
        <f>IFERROR(VLOOKUP(B251,cubo!$A$6:$BE$37,8,0)-VLOOKUP(B251,#REF!,$F$2,0),0)</f>
        <v>0</v>
      </c>
      <c r="G251" s="9">
        <f>IFERROR(VLOOKUP(B251,cubo!$A$6:$BE$37,11,0)-VLOOKUP(B251,#REF!,$G$2,0),0)</f>
        <v>0</v>
      </c>
      <c r="H251" s="9">
        <f>IFERROR(VLOOKUP(B251,cubo!$A$6:$BE$37,53,0)-VLOOKUP(B251,#REF!,$H$2,0),0)</f>
        <v>0</v>
      </c>
      <c r="I251" s="10">
        <f>IFERROR(VLOOKUP(B251,cubo!$A$6:$BE$37,14,0)-VLOOKUP(B251,#REF!,$I$2,0),0)</f>
        <v>0</v>
      </c>
      <c r="J251" s="9">
        <f>IFERROR(VLOOKUP(B251,cubo!$A$6:$BE$37,16,0)-VLOOKUP(B251,#REF!,$J$2,0),0)</f>
        <v>0</v>
      </c>
      <c r="K251" s="9">
        <f>IFERROR(VLOOKUP(B251,cubo!$A$6:$BE$37,17,0)-VLOOKUP(B251,#REF!,$K$2,0),0)</f>
        <v>0</v>
      </c>
      <c r="L251" s="9">
        <f>IFERROR(VLOOKUP(B251,cubo!$A$6:$BE$37,19,0)-VLOOKUP(B251,#REF!,$L$2,0),0)</f>
        <v>0</v>
      </c>
      <c r="M251" s="9">
        <f>IFERROR(VLOOKUP(B251,cubo!$A$6:$BE$37,23,0)-VLOOKUP(B251,#REF!,$M$2,0),0)</f>
        <v>0</v>
      </c>
      <c r="N251" s="9">
        <f>IFERROR(VLOOKUP(B251,cubo!$A$6:$BE$37,25,0)-VLOOKUP(B251,#REF!,$N$2,0),0)</f>
        <v>0</v>
      </c>
      <c r="O251" s="9">
        <f>IFERROR(VLOOKUP(B251,cubo!$A$6:$BE$37,33,0)-VLOOKUP(B251,#REF!,$O$2,0),0)</f>
        <v>0</v>
      </c>
      <c r="P251" s="8">
        <f>IFERROR(VLOOKUP(B251,cubo!$A$6:$BE$37,37,0)-VLOOKUP(B251,#REF!,$P$2,0),0)</f>
        <v>0</v>
      </c>
      <c r="Q251" s="8">
        <f>IFERROR(VLOOKUP(B251,cubo!$A$6:$BE$37,56,0)-VLOOKUP(B251,#REF!,$Q$2,0),0)</f>
        <v>0</v>
      </c>
      <c r="R251" s="9">
        <f>IFERROR(VLOOKUP(B251,cubo!$A$6:$BE$37,40,0)-VLOOKUP(B251,#REF!,$R$2,0),0)</f>
        <v>0</v>
      </c>
      <c r="S251" s="9">
        <f>IFERROR(VLOOKUP(B251,cubo!$A$6:$BE$37,43,0)-VLOOKUP(B251,#REF!,$S$2,0),0)</f>
        <v>0</v>
      </c>
      <c r="T251" s="9">
        <f>IFERROR(VLOOKUP(B251,cubo!$A$6:$BE$37,46,0)-VLOOKUP(B251,#REF!,$T$2,0),0)</f>
        <v>0</v>
      </c>
      <c r="U251" s="9">
        <f>IFERROR(VLOOKUP(B251,cubo!$A$6:$BE$37,51,0)-VLOOKUP(B251,#REF!,$U$2,0),0)</f>
        <v>0</v>
      </c>
      <c r="V251" s="9">
        <f>IFERROR(VLOOKUP(B251,cubo!$A$6:$BJ$37,60,0)-VLOOKUP(B251,#REF!,$V$2,0),0)</f>
        <v>0</v>
      </c>
      <c r="W251" s="9">
        <f>IFERROR(VLOOKUP(B251,cubo!$A$6:$BE$37,26,0)-VLOOKUP(B251,#REF!,$W$2,0),0)</f>
        <v>0</v>
      </c>
      <c r="X251" s="9">
        <f>IFERROR(VLOOKUP(B251,cubo!$A$6:$BE$37,20,0)-VLOOKUP(B251,#REF!,$X$2,0),0)</f>
        <v>0</v>
      </c>
      <c r="Y251" s="9">
        <f>IFERROR(VLOOKUP(B251,cubo!$A$6:$BE$37,21,0)-VLOOKUP(B251,#REF!,$Y$2,0),0)</f>
        <v>0</v>
      </c>
      <c r="Z251" s="9">
        <f>IFERROR(VLOOKUP(B251,cubo!$A$6:$BE$37,27,0)-VLOOKUP(B251,#REF!,$Z$2,0),0)</f>
        <v>0</v>
      </c>
      <c r="AA251" s="9">
        <f>IFERROR(VLOOKUP(B251,cubo!$A$6:$BE$37,28,0)-VLOOKUP(B251,#REF!,$AA$2,0),0)</f>
        <v>0</v>
      </c>
      <c r="AB251" s="9">
        <f>IFERROR(VLOOKUP(B251,cubo!$A$6:$BE$37,29,0)-VLOOKUP(B251,#REF!,$AB$2,0),0)</f>
        <v>0</v>
      </c>
      <c r="AC251" s="9">
        <f>IFERROR(VLOOKUP(B251,cubo!$A$6:$BE$37,30,0)-VLOOKUP(B251,#REF!,$AC$2,0),0)</f>
        <v>0</v>
      </c>
      <c r="AD251" s="9">
        <f>IFERROR(VLOOKUP(B251,cubo!$A$6:$BE$37,31,0)-VLOOKUP(B251,#REF!,$AD$2,0),0)</f>
        <v>0</v>
      </c>
      <c r="AE251" s="9">
        <f>IFERROR(VLOOKUP(B251,cubo!$A$6:$BE$37,35,0)-VLOOKUP(B251,#REF!,$AE$2,0),0)</f>
        <v>0</v>
      </c>
      <c r="AF251" s="9" cm="1">
        <f t="array" aca="1" ref="AF251" ca="1">IFERROR(rrPROCV(B251,cubo!$A$6:$BE$37,48,0)-VLOOKUP(B251,#REF!,$AF$2,0),0)</f>
        <v>0</v>
      </c>
      <c r="AG251" s="9">
        <f>IFERROR(VLOOKUP(B251,cubo!$A$6:$BE$37,49,0)-VLOOKUP(B251,#REF!,$AG$2,0),0)</f>
        <v>0</v>
      </c>
      <c r="AH251" s="9">
        <f>IFERROR(VLOOKUP(B251,cubo!$A$6:$BE$37,50,0)-VLOOKUP(B251,#REF!,$AH$2,0),0)</f>
        <v>0</v>
      </c>
      <c r="AI251" s="9">
        <f>IFERROR(VLOOKUP(B251,cubo!$A$6:$BE$37,51,0)-VLOOKUP(B251,#REF!,$AI$2,0),0)</f>
        <v>0</v>
      </c>
      <c r="AJ251" s="9">
        <f>IFERROR(VLOOKUP(B251,cubo!$A$6:$BI$116,62,0)-VLOOKUP(B251,#REF!,$AJ$2,0),0)</f>
        <v>0</v>
      </c>
      <c r="AK251" s="9">
        <f>IFERROR(VLOOKUP(B251,cubo!$A$6:$BJ$37,63,0)-VLOOKUP(B251,#REF!,$AK$2,0),0)</f>
        <v>0</v>
      </c>
      <c r="AL251" s="9">
        <f>IFERROR(VLOOKUP(B251,cubo!$A$6:$BE$37,58,0)-VLOOKUP(B251,#REF!,$AL$2,0),0)</f>
        <v>0</v>
      </c>
      <c r="AM251" s="9">
        <f>IFERROR(VLOOKUP(B251,cubo!$A$6:$BK$37,64,0)-VLOOKUP(B251,#REF!,$AM$2,0),0)</f>
        <v>0</v>
      </c>
      <c r="AN251" s="9">
        <f>IFERROR(VLOOKUP(B251,cubo!$A$6:$AN$37,41,0)-VLOOKUP(B251,#REF!,$AN$2,0),0)</f>
        <v>0</v>
      </c>
    </row>
    <row r="252" spans="2:40" x14ac:dyDescent="0.25">
      <c r="B252" s="7">
        <f>[1]salario!A251</f>
        <v>0</v>
      </c>
      <c r="C252" s="8">
        <f>[1]salario!C251</f>
        <v>0</v>
      </c>
      <c r="D252" s="9">
        <f>IFERROR(VLOOKUP(B252,cubo!$A$6:$BE$37,3,0)-VLOOKUP(B252,#REF!,$D$2,0),0)</f>
        <v>0</v>
      </c>
      <c r="E252" s="10">
        <f>IFERROR(VLOOKUP(B252,cubo!$A$6:$BE$37,5,0)-VLOOKUP(B252,#REF!,$E$2,0),0)</f>
        <v>0</v>
      </c>
      <c r="F252" s="10">
        <f>IFERROR(VLOOKUP(B252,cubo!$A$6:$BE$37,8,0)-VLOOKUP(B252,#REF!,$F$2,0),0)</f>
        <v>0</v>
      </c>
      <c r="G252" s="9">
        <f>IFERROR(VLOOKUP(B252,cubo!$A$6:$BE$37,11,0)-VLOOKUP(B252,#REF!,$G$2,0),0)</f>
        <v>0</v>
      </c>
      <c r="H252" s="9">
        <f>IFERROR(VLOOKUP(B252,cubo!$A$6:$BE$37,53,0)-VLOOKUP(B252,#REF!,$H$2,0),0)</f>
        <v>0</v>
      </c>
      <c r="I252" s="10">
        <f>IFERROR(VLOOKUP(B252,cubo!$A$6:$BE$37,14,0)-VLOOKUP(B252,#REF!,$I$2,0),0)</f>
        <v>0</v>
      </c>
      <c r="J252" s="9">
        <f>IFERROR(VLOOKUP(B252,cubo!$A$6:$BE$37,16,0)-VLOOKUP(B252,#REF!,$J$2,0),0)</f>
        <v>0</v>
      </c>
      <c r="K252" s="9">
        <f>IFERROR(VLOOKUP(B252,cubo!$A$6:$BE$37,17,0)-VLOOKUP(B252,#REF!,$K$2,0),0)</f>
        <v>0</v>
      </c>
      <c r="L252" s="9">
        <f>IFERROR(VLOOKUP(B252,cubo!$A$6:$BE$37,19,0)-VLOOKUP(B252,#REF!,$L$2,0),0)</f>
        <v>0</v>
      </c>
      <c r="M252" s="9">
        <f>IFERROR(VLOOKUP(B252,cubo!$A$6:$BE$37,23,0)-VLOOKUP(B252,#REF!,$M$2,0),0)</f>
        <v>0</v>
      </c>
      <c r="N252" s="9">
        <f>IFERROR(VLOOKUP(B252,cubo!$A$6:$BE$37,25,0)-VLOOKUP(B252,#REF!,$N$2,0),0)</f>
        <v>0</v>
      </c>
      <c r="O252" s="9">
        <f>IFERROR(VLOOKUP(B252,cubo!$A$6:$BE$37,33,0)-VLOOKUP(B252,#REF!,$O$2,0),0)</f>
        <v>0</v>
      </c>
      <c r="P252" s="8">
        <f>IFERROR(VLOOKUP(B252,cubo!$A$6:$BE$37,37,0)-VLOOKUP(B252,#REF!,$P$2,0),0)</f>
        <v>0</v>
      </c>
      <c r="Q252" s="8">
        <f>IFERROR(VLOOKUP(B252,cubo!$A$6:$BE$37,56,0)-VLOOKUP(B252,#REF!,$Q$2,0),0)</f>
        <v>0</v>
      </c>
      <c r="R252" s="9">
        <f>IFERROR(VLOOKUP(B252,cubo!$A$6:$BE$37,40,0)-VLOOKUP(B252,#REF!,$R$2,0),0)</f>
        <v>0</v>
      </c>
      <c r="S252" s="9">
        <f>IFERROR(VLOOKUP(B252,cubo!$A$6:$BE$37,43,0)-VLOOKUP(B252,#REF!,$S$2,0),0)</f>
        <v>0</v>
      </c>
      <c r="T252" s="9">
        <f>IFERROR(VLOOKUP(B252,cubo!$A$6:$BE$37,46,0)-VLOOKUP(B252,#REF!,$T$2,0),0)</f>
        <v>0</v>
      </c>
      <c r="U252" s="9">
        <f>IFERROR(VLOOKUP(B252,cubo!$A$6:$BE$37,51,0)-VLOOKUP(B252,#REF!,$U$2,0),0)</f>
        <v>0</v>
      </c>
      <c r="V252" s="9">
        <f>IFERROR(VLOOKUP(B252,cubo!$A$6:$BJ$37,60,0)-VLOOKUP(B252,#REF!,$V$2,0),0)</f>
        <v>0</v>
      </c>
      <c r="W252" s="9">
        <f>IFERROR(VLOOKUP(B252,cubo!$A$6:$BE$37,26,0)-VLOOKUP(B252,#REF!,$W$2,0),0)</f>
        <v>0</v>
      </c>
      <c r="X252" s="9">
        <f>IFERROR(VLOOKUP(B252,cubo!$A$6:$BE$37,20,0)-VLOOKUP(B252,#REF!,$X$2,0),0)</f>
        <v>0</v>
      </c>
      <c r="Y252" s="9">
        <f>IFERROR(VLOOKUP(B252,cubo!$A$6:$BE$37,21,0)-VLOOKUP(B252,#REF!,$Y$2,0),0)</f>
        <v>0</v>
      </c>
      <c r="Z252" s="9">
        <f>IFERROR(VLOOKUP(B252,cubo!$A$6:$BE$37,27,0)-VLOOKUP(B252,#REF!,$Z$2,0),0)</f>
        <v>0</v>
      </c>
      <c r="AA252" s="9">
        <f>IFERROR(VLOOKUP(B252,cubo!$A$6:$BE$37,28,0)-VLOOKUP(B252,#REF!,$AA$2,0),0)</f>
        <v>0</v>
      </c>
      <c r="AB252" s="9">
        <f>IFERROR(VLOOKUP(B252,cubo!$A$6:$BE$37,29,0)-VLOOKUP(B252,#REF!,$AB$2,0),0)</f>
        <v>0</v>
      </c>
      <c r="AC252" s="9">
        <f>IFERROR(VLOOKUP(B252,cubo!$A$6:$BE$37,30,0)-VLOOKUP(B252,#REF!,$AC$2,0),0)</f>
        <v>0</v>
      </c>
      <c r="AD252" s="9">
        <f>IFERROR(VLOOKUP(B252,cubo!$A$6:$BE$37,31,0)-VLOOKUP(B252,#REF!,$AD$2,0),0)</f>
        <v>0</v>
      </c>
      <c r="AE252" s="9">
        <f>IFERROR(VLOOKUP(B252,cubo!$A$6:$BE$37,35,0)-VLOOKUP(B252,#REF!,$AE$2,0),0)</f>
        <v>0</v>
      </c>
      <c r="AF252" s="9" cm="1">
        <f t="array" aca="1" ref="AF252" ca="1">IFERROR(rrPROCV(B252,cubo!$A$6:$BE$37,48,0)-VLOOKUP(B252,#REF!,$AF$2,0),0)</f>
        <v>0</v>
      </c>
      <c r="AG252" s="9">
        <f>IFERROR(VLOOKUP(B252,cubo!$A$6:$BE$37,49,0)-VLOOKUP(B252,#REF!,$AG$2,0),0)</f>
        <v>0</v>
      </c>
      <c r="AH252" s="9">
        <f>IFERROR(VLOOKUP(B252,cubo!$A$6:$BE$37,50,0)-VLOOKUP(B252,#REF!,$AH$2,0),0)</f>
        <v>0</v>
      </c>
      <c r="AI252" s="9">
        <f>IFERROR(VLOOKUP(B252,cubo!$A$6:$BE$37,51,0)-VLOOKUP(B252,#REF!,$AI$2,0),0)</f>
        <v>0</v>
      </c>
      <c r="AJ252" s="9">
        <f>IFERROR(VLOOKUP(B252,cubo!$A$6:$BI$116,62,0)-VLOOKUP(B252,#REF!,$AJ$2,0),0)</f>
        <v>0</v>
      </c>
      <c r="AK252" s="9">
        <f>IFERROR(VLOOKUP(B252,cubo!$A$6:$BJ$37,63,0)-VLOOKUP(B252,#REF!,$AK$2,0),0)</f>
        <v>0</v>
      </c>
      <c r="AL252" s="9">
        <f>IFERROR(VLOOKUP(B252,cubo!$A$6:$BE$37,58,0)-VLOOKUP(B252,#REF!,$AL$2,0),0)</f>
        <v>0</v>
      </c>
      <c r="AM252" s="9">
        <f>IFERROR(VLOOKUP(B252,cubo!$A$6:$BK$37,64,0)-VLOOKUP(B252,#REF!,$AM$2,0),0)</f>
        <v>0</v>
      </c>
      <c r="AN252" s="9">
        <f>IFERROR(VLOOKUP(B252,cubo!$A$6:$AN$37,41,0)-VLOOKUP(B252,#REF!,$AN$2,0),0)</f>
        <v>0</v>
      </c>
    </row>
    <row r="253" spans="2:40" x14ac:dyDescent="0.25">
      <c r="B253" s="7">
        <f>[1]salario!A252</f>
        <v>0</v>
      </c>
      <c r="C253" s="8">
        <f>[1]salario!C252</f>
        <v>0</v>
      </c>
      <c r="D253" s="9">
        <f>IFERROR(VLOOKUP(B253,cubo!$A$6:$BE$37,3,0)-VLOOKUP(B253,#REF!,$D$2,0),0)</f>
        <v>0</v>
      </c>
      <c r="E253" s="10">
        <f>IFERROR(VLOOKUP(B253,cubo!$A$6:$BE$37,5,0)-VLOOKUP(B253,#REF!,$E$2,0),0)</f>
        <v>0</v>
      </c>
      <c r="F253" s="10">
        <f>IFERROR(VLOOKUP(B253,cubo!$A$6:$BE$37,8,0)-VLOOKUP(B253,#REF!,$F$2,0),0)</f>
        <v>0</v>
      </c>
      <c r="G253" s="9">
        <f>IFERROR(VLOOKUP(B253,cubo!$A$6:$BE$37,11,0)-VLOOKUP(B253,#REF!,$G$2,0),0)</f>
        <v>0</v>
      </c>
      <c r="H253" s="9">
        <f>IFERROR(VLOOKUP(B253,cubo!$A$6:$BE$37,53,0)-VLOOKUP(B253,#REF!,$H$2,0),0)</f>
        <v>0</v>
      </c>
      <c r="I253" s="10">
        <f>IFERROR(VLOOKUP(B253,cubo!$A$6:$BE$37,14,0)-VLOOKUP(B253,#REF!,$I$2,0),0)</f>
        <v>0</v>
      </c>
      <c r="J253" s="9">
        <f>IFERROR(VLOOKUP(B253,cubo!$A$6:$BE$37,16,0)-VLOOKUP(B253,#REF!,$J$2,0),0)</f>
        <v>0</v>
      </c>
      <c r="K253" s="9">
        <f>IFERROR(VLOOKUP(B253,cubo!$A$6:$BE$37,17,0)-VLOOKUP(B253,#REF!,$K$2,0),0)</f>
        <v>0</v>
      </c>
      <c r="L253" s="9">
        <f>IFERROR(VLOOKUP(B253,cubo!$A$6:$BE$37,19,0)-VLOOKUP(B253,#REF!,$L$2,0),0)</f>
        <v>0</v>
      </c>
      <c r="M253" s="9">
        <f>IFERROR(VLOOKUP(B253,cubo!$A$6:$BE$37,23,0)-VLOOKUP(B253,#REF!,$M$2,0),0)</f>
        <v>0</v>
      </c>
      <c r="N253" s="9">
        <f>IFERROR(VLOOKUP(B253,cubo!$A$6:$BE$37,25,0)-VLOOKUP(B253,#REF!,$N$2,0),0)</f>
        <v>0</v>
      </c>
      <c r="O253" s="9">
        <f>IFERROR(VLOOKUP(B253,cubo!$A$6:$BE$37,33,0)-VLOOKUP(B253,#REF!,$O$2,0),0)</f>
        <v>0</v>
      </c>
      <c r="P253" s="8">
        <f>IFERROR(VLOOKUP(B253,cubo!$A$6:$BE$37,37,0)-VLOOKUP(B253,#REF!,$P$2,0),0)</f>
        <v>0</v>
      </c>
      <c r="Q253" s="8">
        <f>IFERROR(VLOOKUP(B253,cubo!$A$6:$BE$37,56,0)-VLOOKUP(B253,#REF!,$Q$2,0),0)</f>
        <v>0</v>
      </c>
      <c r="R253" s="9">
        <f>IFERROR(VLOOKUP(B253,cubo!$A$6:$BE$37,40,0)-VLOOKUP(B253,#REF!,$R$2,0),0)</f>
        <v>0</v>
      </c>
      <c r="S253" s="9">
        <f>IFERROR(VLOOKUP(B253,cubo!$A$6:$BE$37,43,0)-VLOOKUP(B253,#REF!,$S$2,0),0)</f>
        <v>0</v>
      </c>
      <c r="T253" s="9">
        <f>IFERROR(VLOOKUP(B253,cubo!$A$6:$BE$37,46,0)-VLOOKUP(B253,#REF!,$T$2,0),0)</f>
        <v>0</v>
      </c>
      <c r="U253" s="9">
        <f>IFERROR(VLOOKUP(B253,cubo!$A$6:$BE$37,51,0)-VLOOKUP(B253,#REF!,$U$2,0),0)</f>
        <v>0</v>
      </c>
      <c r="V253" s="9">
        <f>IFERROR(VLOOKUP(B253,cubo!$A$6:$BJ$37,60,0)-VLOOKUP(B253,#REF!,$V$2,0),0)</f>
        <v>0</v>
      </c>
      <c r="W253" s="9">
        <f>IFERROR(VLOOKUP(B253,cubo!$A$6:$BE$37,26,0)-VLOOKUP(B253,#REF!,$W$2,0),0)</f>
        <v>0</v>
      </c>
      <c r="X253" s="9">
        <f>IFERROR(VLOOKUP(B253,cubo!$A$6:$BE$37,20,0)-VLOOKUP(B253,#REF!,$X$2,0),0)</f>
        <v>0</v>
      </c>
      <c r="Y253" s="9">
        <f>IFERROR(VLOOKUP(B253,cubo!$A$6:$BE$37,21,0)-VLOOKUP(B253,#REF!,$Y$2,0),0)</f>
        <v>0</v>
      </c>
      <c r="Z253" s="9">
        <f>IFERROR(VLOOKUP(B253,cubo!$A$6:$BE$37,27,0)-VLOOKUP(B253,#REF!,$Z$2,0),0)</f>
        <v>0</v>
      </c>
      <c r="AA253" s="9">
        <f>IFERROR(VLOOKUP(B253,cubo!$A$6:$BE$37,28,0)-VLOOKUP(B253,#REF!,$AA$2,0),0)</f>
        <v>0</v>
      </c>
      <c r="AB253" s="9">
        <f>IFERROR(VLOOKUP(B253,cubo!$A$6:$BE$37,29,0)-VLOOKUP(B253,#REF!,$AB$2,0),0)</f>
        <v>0</v>
      </c>
      <c r="AC253" s="9">
        <f>IFERROR(VLOOKUP(B253,cubo!$A$6:$BE$37,30,0)-VLOOKUP(B253,#REF!,$AC$2,0),0)</f>
        <v>0</v>
      </c>
      <c r="AD253" s="9">
        <f>IFERROR(VLOOKUP(B253,cubo!$A$6:$BE$37,31,0)-VLOOKUP(B253,#REF!,$AD$2,0),0)</f>
        <v>0</v>
      </c>
      <c r="AE253" s="9">
        <f>IFERROR(VLOOKUP(B253,cubo!$A$6:$BE$37,35,0)-VLOOKUP(B253,#REF!,$AE$2,0),0)</f>
        <v>0</v>
      </c>
      <c r="AF253" s="9" cm="1">
        <f t="array" aca="1" ref="AF253" ca="1">IFERROR(rrPROCV(B253,cubo!$A$6:$BE$37,48,0)-VLOOKUP(B253,#REF!,$AF$2,0),0)</f>
        <v>0</v>
      </c>
      <c r="AG253" s="9">
        <f>IFERROR(VLOOKUP(B253,cubo!$A$6:$BE$37,49,0)-VLOOKUP(B253,#REF!,$AG$2,0),0)</f>
        <v>0</v>
      </c>
      <c r="AH253" s="9">
        <f>IFERROR(VLOOKUP(B253,cubo!$A$6:$BE$37,50,0)-VLOOKUP(B253,#REF!,$AH$2,0),0)</f>
        <v>0</v>
      </c>
      <c r="AI253" s="9">
        <f>IFERROR(VLOOKUP(B253,cubo!$A$6:$BE$37,51,0)-VLOOKUP(B253,#REF!,$AI$2,0),0)</f>
        <v>0</v>
      </c>
      <c r="AJ253" s="9">
        <f>IFERROR(VLOOKUP(B253,cubo!$A$6:$BI$116,62,0)-VLOOKUP(B253,#REF!,$AJ$2,0),0)</f>
        <v>0</v>
      </c>
      <c r="AK253" s="9">
        <f>IFERROR(VLOOKUP(B253,cubo!$A$6:$BJ$37,63,0)-VLOOKUP(B253,#REF!,$AK$2,0),0)</f>
        <v>0</v>
      </c>
      <c r="AL253" s="9">
        <f>IFERROR(VLOOKUP(B253,cubo!$A$6:$BE$37,58,0)-VLOOKUP(B253,#REF!,$AL$2,0),0)</f>
        <v>0</v>
      </c>
      <c r="AM253" s="9">
        <f>IFERROR(VLOOKUP(B253,cubo!$A$6:$BK$37,64,0)-VLOOKUP(B253,#REF!,$AM$2,0),0)</f>
        <v>0</v>
      </c>
      <c r="AN253" s="9">
        <f>IFERROR(VLOOKUP(B253,cubo!$A$6:$AN$37,41,0)-VLOOKUP(B253,#REF!,$AN$2,0),0)</f>
        <v>0</v>
      </c>
    </row>
    <row r="254" spans="2:40" x14ac:dyDescent="0.25">
      <c r="B254" s="7">
        <f>[1]salario!A253</f>
        <v>0</v>
      </c>
      <c r="C254" s="8">
        <f>[1]salario!C253</f>
        <v>0</v>
      </c>
      <c r="D254" s="9">
        <f>IFERROR(VLOOKUP(B254,cubo!$A$6:$BE$37,3,0)-VLOOKUP(B254,#REF!,$D$2,0),0)</f>
        <v>0</v>
      </c>
      <c r="E254" s="10">
        <f>IFERROR(VLOOKUP(B254,cubo!$A$6:$BE$37,5,0)-VLOOKUP(B254,#REF!,$E$2,0),0)</f>
        <v>0</v>
      </c>
      <c r="F254" s="10">
        <f>IFERROR(VLOOKUP(B254,cubo!$A$6:$BE$37,8,0)-VLOOKUP(B254,#REF!,$F$2,0),0)</f>
        <v>0</v>
      </c>
      <c r="G254" s="9">
        <f>IFERROR(VLOOKUP(B254,cubo!$A$6:$BE$37,11,0)-VLOOKUP(B254,#REF!,$G$2,0),0)</f>
        <v>0</v>
      </c>
      <c r="H254" s="9">
        <f>IFERROR(VLOOKUP(B254,cubo!$A$6:$BE$37,53,0)-VLOOKUP(B254,#REF!,$H$2,0),0)</f>
        <v>0</v>
      </c>
      <c r="I254" s="10">
        <f>IFERROR(VLOOKUP(B254,cubo!$A$6:$BE$37,14,0)-VLOOKUP(B254,#REF!,$I$2,0),0)</f>
        <v>0</v>
      </c>
      <c r="J254" s="9">
        <f>IFERROR(VLOOKUP(B254,cubo!$A$6:$BE$37,16,0)-VLOOKUP(B254,#REF!,$J$2,0),0)</f>
        <v>0</v>
      </c>
      <c r="K254" s="9">
        <f>IFERROR(VLOOKUP(B254,cubo!$A$6:$BE$37,17,0)-VLOOKUP(B254,#REF!,$K$2,0),0)</f>
        <v>0</v>
      </c>
      <c r="L254" s="9">
        <f>IFERROR(VLOOKUP(B254,cubo!$A$6:$BE$37,19,0)-VLOOKUP(B254,#REF!,$L$2,0),0)</f>
        <v>0</v>
      </c>
      <c r="M254" s="9">
        <f>IFERROR(VLOOKUP(B254,cubo!$A$6:$BE$37,23,0)-VLOOKUP(B254,#REF!,$M$2,0),0)</f>
        <v>0</v>
      </c>
      <c r="N254" s="9">
        <f>IFERROR(VLOOKUP(B254,cubo!$A$6:$BE$37,25,0)-VLOOKUP(B254,#REF!,$N$2,0),0)</f>
        <v>0</v>
      </c>
      <c r="O254" s="9">
        <f>IFERROR(VLOOKUP(B254,cubo!$A$6:$BE$37,33,0)-VLOOKUP(B254,#REF!,$O$2,0),0)</f>
        <v>0</v>
      </c>
      <c r="P254" s="8">
        <f>IFERROR(VLOOKUP(B254,cubo!$A$6:$BE$37,37,0)-VLOOKUP(B254,#REF!,$P$2,0),0)</f>
        <v>0</v>
      </c>
      <c r="Q254" s="8">
        <f>IFERROR(VLOOKUP(B254,cubo!$A$6:$BE$37,56,0)-VLOOKUP(B254,#REF!,$Q$2,0),0)</f>
        <v>0</v>
      </c>
      <c r="R254" s="9">
        <f>IFERROR(VLOOKUP(B254,cubo!$A$6:$BE$37,40,0)-VLOOKUP(B254,#REF!,$R$2,0),0)</f>
        <v>0</v>
      </c>
      <c r="S254" s="9">
        <f>IFERROR(VLOOKUP(B254,cubo!$A$6:$BE$37,43,0)-VLOOKUP(B254,#REF!,$S$2,0),0)</f>
        <v>0</v>
      </c>
      <c r="T254" s="9">
        <f>IFERROR(VLOOKUP(B254,cubo!$A$6:$BE$37,46,0)-VLOOKUP(B254,#REF!,$T$2,0),0)</f>
        <v>0</v>
      </c>
      <c r="U254" s="9">
        <f>IFERROR(VLOOKUP(B254,cubo!$A$6:$BE$37,51,0)-VLOOKUP(B254,#REF!,$U$2,0),0)</f>
        <v>0</v>
      </c>
      <c r="V254" s="9">
        <f>IFERROR(VLOOKUP(B254,cubo!$A$6:$BJ$37,60,0)-VLOOKUP(B254,#REF!,$V$2,0),0)</f>
        <v>0</v>
      </c>
      <c r="W254" s="9">
        <f>IFERROR(VLOOKUP(B254,cubo!$A$6:$BE$37,26,0)-VLOOKUP(B254,#REF!,$W$2,0),0)</f>
        <v>0</v>
      </c>
      <c r="X254" s="9">
        <f>IFERROR(VLOOKUP(B254,cubo!$A$6:$BE$37,20,0)-VLOOKUP(B254,#REF!,$X$2,0),0)</f>
        <v>0</v>
      </c>
      <c r="Y254" s="9">
        <f>IFERROR(VLOOKUP(B254,cubo!$A$6:$BE$37,21,0)-VLOOKUP(B254,#REF!,$Y$2,0),0)</f>
        <v>0</v>
      </c>
      <c r="Z254" s="9">
        <f>IFERROR(VLOOKUP(B254,cubo!$A$6:$BE$37,27,0)-VLOOKUP(B254,#REF!,$Z$2,0),0)</f>
        <v>0</v>
      </c>
      <c r="AA254" s="9">
        <f>IFERROR(VLOOKUP(B254,cubo!$A$6:$BE$37,28,0)-VLOOKUP(B254,#REF!,$AA$2,0),0)</f>
        <v>0</v>
      </c>
      <c r="AB254" s="9">
        <f>IFERROR(VLOOKUP(B254,cubo!$A$6:$BE$37,29,0)-VLOOKUP(B254,#REF!,$AB$2,0),0)</f>
        <v>0</v>
      </c>
      <c r="AC254" s="9">
        <f>IFERROR(VLOOKUP(B254,cubo!$A$6:$BE$37,30,0)-VLOOKUP(B254,#REF!,$AC$2,0),0)</f>
        <v>0</v>
      </c>
      <c r="AD254" s="9">
        <f>IFERROR(VLOOKUP(B254,cubo!$A$6:$BE$37,31,0)-VLOOKUP(B254,#REF!,$AD$2,0),0)</f>
        <v>0</v>
      </c>
      <c r="AE254" s="9">
        <f>IFERROR(VLOOKUP(B254,cubo!$A$6:$BE$37,35,0)-VLOOKUP(B254,#REF!,$AE$2,0),0)</f>
        <v>0</v>
      </c>
      <c r="AF254" s="9" cm="1">
        <f t="array" aca="1" ref="AF254" ca="1">IFERROR(rrPROCV(B254,cubo!$A$6:$BE$37,48,0)-VLOOKUP(B254,#REF!,$AF$2,0),0)</f>
        <v>0</v>
      </c>
      <c r="AG254" s="9">
        <f>IFERROR(VLOOKUP(B254,cubo!$A$6:$BE$37,49,0)-VLOOKUP(B254,#REF!,$AG$2,0),0)</f>
        <v>0</v>
      </c>
      <c r="AH254" s="9">
        <f>IFERROR(VLOOKUP(B254,cubo!$A$6:$BE$37,50,0)-VLOOKUP(B254,#REF!,$AH$2,0),0)</f>
        <v>0</v>
      </c>
      <c r="AI254" s="9">
        <f>IFERROR(VLOOKUP(B254,cubo!$A$6:$BE$37,51,0)-VLOOKUP(B254,#REF!,$AI$2,0),0)</f>
        <v>0</v>
      </c>
      <c r="AJ254" s="9">
        <f>IFERROR(VLOOKUP(B254,cubo!$A$6:$BI$116,62,0)-VLOOKUP(B254,#REF!,$AJ$2,0),0)</f>
        <v>0</v>
      </c>
      <c r="AK254" s="9">
        <f>IFERROR(VLOOKUP(B254,cubo!$A$6:$BJ$37,63,0)-VLOOKUP(B254,#REF!,$AK$2,0),0)</f>
        <v>0</v>
      </c>
      <c r="AL254" s="9">
        <f>IFERROR(VLOOKUP(B254,cubo!$A$6:$BE$37,58,0)-VLOOKUP(B254,#REF!,$AL$2,0),0)</f>
        <v>0</v>
      </c>
      <c r="AM254" s="9">
        <f>IFERROR(VLOOKUP(B254,cubo!$A$6:$BK$37,64,0)-VLOOKUP(B254,#REF!,$AM$2,0),0)</f>
        <v>0</v>
      </c>
      <c r="AN254" s="9">
        <f>IFERROR(VLOOKUP(B254,cubo!$A$6:$AN$37,41,0)-VLOOKUP(B254,#REF!,$AN$2,0),0)</f>
        <v>0</v>
      </c>
    </row>
    <row r="255" spans="2:40" x14ac:dyDescent="0.25">
      <c r="B255" s="7">
        <f>[1]salario!A254</f>
        <v>0</v>
      </c>
      <c r="C255" s="8">
        <f>[1]salario!C254</f>
        <v>0</v>
      </c>
      <c r="D255" s="9">
        <f>IFERROR(VLOOKUP(B255,cubo!$A$6:$BE$37,3,0)-VLOOKUP(B255,#REF!,$D$2,0),0)</f>
        <v>0</v>
      </c>
      <c r="E255" s="10">
        <f>IFERROR(VLOOKUP(B255,cubo!$A$6:$BE$37,5,0)-VLOOKUP(B255,#REF!,$E$2,0),0)</f>
        <v>0</v>
      </c>
      <c r="F255" s="10">
        <f>IFERROR(VLOOKUP(B255,cubo!$A$6:$BE$37,8,0)-VLOOKUP(B255,#REF!,$F$2,0),0)</f>
        <v>0</v>
      </c>
      <c r="G255" s="9">
        <f>IFERROR(VLOOKUP(B255,cubo!$A$6:$BE$37,11,0)-VLOOKUP(B255,#REF!,$G$2,0),0)</f>
        <v>0</v>
      </c>
      <c r="H255" s="9">
        <f>IFERROR(VLOOKUP(B255,cubo!$A$6:$BE$37,53,0)-VLOOKUP(B255,#REF!,$H$2,0),0)</f>
        <v>0</v>
      </c>
      <c r="I255" s="10">
        <f>IFERROR(VLOOKUP(B255,cubo!$A$6:$BE$37,14,0)-VLOOKUP(B255,#REF!,$I$2,0),0)</f>
        <v>0</v>
      </c>
      <c r="J255" s="9">
        <f>IFERROR(VLOOKUP(B255,cubo!$A$6:$BE$37,16,0)-VLOOKUP(B255,#REF!,$J$2,0),0)</f>
        <v>0</v>
      </c>
      <c r="K255" s="9">
        <f>IFERROR(VLOOKUP(B255,cubo!$A$6:$BE$37,17,0)-VLOOKUP(B255,#REF!,$K$2,0),0)</f>
        <v>0</v>
      </c>
      <c r="L255" s="9">
        <f>IFERROR(VLOOKUP(B255,cubo!$A$6:$BE$37,19,0)-VLOOKUP(B255,#REF!,$L$2,0),0)</f>
        <v>0</v>
      </c>
      <c r="M255" s="9">
        <f>IFERROR(VLOOKUP(B255,cubo!$A$6:$BE$37,23,0)-VLOOKUP(B255,#REF!,$M$2,0),0)</f>
        <v>0</v>
      </c>
      <c r="N255" s="9">
        <f>IFERROR(VLOOKUP(B255,cubo!$A$6:$BE$37,25,0)-VLOOKUP(B255,#REF!,$N$2,0),0)</f>
        <v>0</v>
      </c>
      <c r="O255" s="9">
        <f>IFERROR(VLOOKUP(B255,cubo!$A$6:$BE$37,33,0)-VLOOKUP(B255,#REF!,$O$2,0),0)</f>
        <v>0</v>
      </c>
      <c r="P255" s="8">
        <f>IFERROR(VLOOKUP(B255,cubo!$A$6:$BE$37,37,0)-VLOOKUP(B255,#REF!,$P$2,0),0)</f>
        <v>0</v>
      </c>
      <c r="Q255" s="8">
        <f>IFERROR(VLOOKUP(B255,cubo!$A$6:$BE$37,56,0)-VLOOKUP(B255,#REF!,$Q$2,0),0)</f>
        <v>0</v>
      </c>
      <c r="R255" s="9">
        <f>IFERROR(VLOOKUP(B255,cubo!$A$6:$BE$37,40,0)-VLOOKUP(B255,#REF!,$R$2,0),0)</f>
        <v>0</v>
      </c>
      <c r="S255" s="9">
        <f>IFERROR(VLOOKUP(B255,cubo!$A$6:$BE$37,43,0)-VLOOKUP(B255,#REF!,$S$2,0),0)</f>
        <v>0</v>
      </c>
      <c r="T255" s="9">
        <f>IFERROR(VLOOKUP(B255,cubo!$A$6:$BE$37,46,0)-VLOOKUP(B255,#REF!,$T$2,0),0)</f>
        <v>0</v>
      </c>
      <c r="U255" s="9">
        <f>IFERROR(VLOOKUP(B255,cubo!$A$6:$BE$37,51,0)-VLOOKUP(B255,#REF!,$U$2,0),0)</f>
        <v>0</v>
      </c>
      <c r="V255" s="9">
        <f>IFERROR(VLOOKUP(B255,cubo!$A$6:$BJ$37,60,0)-VLOOKUP(B255,#REF!,$V$2,0),0)</f>
        <v>0</v>
      </c>
      <c r="W255" s="9">
        <f>IFERROR(VLOOKUP(B255,cubo!$A$6:$BE$37,26,0)-VLOOKUP(B255,#REF!,$W$2,0),0)</f>
        <v>0</v>
      </c>
      <c r="X255" s="9">
        <f>IFERROR(VLOOKUP(B255,cubo!$A$6:$BE$37,20,0)-VLOOKUP(B255,#REF!,$X$2,0),0)</f>
        <v>0</v>
      </c>
      <c r="Y255" s="9">
        <f>IFERROR(VLOOKUP(B255,cubo!$A$6:$BE$37,21,0)-VLOOKUP(B255,#REF!,$Y$2,0),0)</f>
        <v>0</v>
      </c>
      <c r="Z255" s="9">
        <f>IFERROR(VLOOKUP(B255,cubo!$A$6:$BE$37,27,0)-VLOOKUP(B255,#REF!,$Z$2,0),0)</f>
        <v>0</v>
      </c>
      <c r="AA255" s="9">
        <f>IFERROR(VLOOKUP(B255,cubo!$A$6:$BE$37,28,0)-VLOOKUP(B255,#REF!,$AA$2,0),0)</f>
        <v>0</v>
      </c>
      <c r="AB255" s="9">
        <f>IFERROR(VLOOKUP(B255,cubo!$A$6:$BE$37,29,0)-VLOOKUP(B255,#REF!,$AB$2,0),0)</f>
        <v>0</v>
      </c>
      <c r="AC255" s="9">
        <f>IFERROR(VLOOKUP(B255,cubo!$A$6:$BE$37,30,0)-VLOOKUP(B255,#REF!,$AC$2,0),0)</f>
        <v>0</v>
      </c>
      <c r="AD255" s="9">
        <f>IFERROR(VLOOKUP(B255,cubo!$A$6:$BE$37,31,0)-VLOOKUP(B255,#REF!,$AD$2,0),0)</f>
        <v>0</v>
      </c>
      <c r="AE255" s="9">
        <f>IFERROR(VLOOKUP(B255,cubo!$A$6:$BE$37,35,0)-VLOOKUP(B255,#REF!,$AE$2,0),0)</f>
        <v>0</v>
      </c>
      <c r="AF255" s="9" cm="1">
        <f t="array" aca="1" ref="AF255" ca="1">IFERROR(rrPROCV(B255,cubo!$A$6:$BE$37,48,0)-VLOOKUP(B255,#REF!,$AF$2,0),0)</f>
        <v>0</v>
      </c>
      <c r="AG255" s="9">
        <f>IFERROR(VLOOKUP(B255,cubo!$A$6:$BE$37,49,0)-VLOOKUP(B255,#REF!,$AG$2,0),0)</f>
        <v>0</v>
      </c>
      <c r="AH255" s="9">
        <f>IFERROR(VLOOKUP(B255,cubo!$A$6:$BE$37,50,0)-VLOOKUP(B255,#REF!,$AH$2,0),0)</f>
        <v>0</v>
      </c>
      <c r="AI255" s="9">
        <f>IFERROR(VLOOKUP(B255,cubo!$A$6:$BE$37,51,0)-VLOOKUP(B255,#REF!,$AI$2,0),0)</f>
        <v>0</v>
      </c>
      <c r="AJ255" s="9">
        <f>IFERROR(VLOOKUP(B255,cubo!$A$6:$BI$116,62,0)-VLOOKUP(B255,#REF!,$AJ$2,0),0)</f>
        <v>0</v>
      </c>
      <c r="AK255" s="9">
        <f>IFERROR(VLOOKUP(B255,cubo!$A$6:$BJ$37,63,0)-VLOOKUP(B255,#REF!,$AK$2,0),0)</f>
        <v>0</v>
      </c>
      <c r="AL255" s="9">
        <f>IFERROR(VLOOKUP(B255,cubo!$A$6:$BE$37,58,0)-VLOOKUP(B255,#REF!,$AL$2,0),0)</f>
        <v>0</v>
      </c>
      <c r="AM255" s="9">
        <f>IFERROR(VLOOKUP(B255,cubo!$A$6:$BK$37,64,0)-VLOOKUP(B255,#REF!,$AM$2,0),0)</f>
        <v>0</v>
      </c>
      <c r="AN255" s="9">
        <f>IFERROR(VLOOKUP(B255,cubo!$A$6:$AN$37,41,0)-VLOOKUP(B255,#REF!,$AN$2,0),0)</f>
        <v>0</v>
      </c>
    </row>
    <row r="256" spans="2:40" x14ac:dyDescent="0.25">
      <c r="B256" s="7">
        <f>[1]salario!A255</f>
        <v>0</v>
      </c>
      <c r="C256" s="8">
        <f>[1]salario!C255</f>
        <v>0</v>
      </c>
      <c r="D256" s="9">
        <f>IFERROR(VLOOKUP(B256,cubo!$A$6:$BE$37,3,0)-VLOOKUP(B256,#REF!,$D$2,0),0)</f>
        <v>0</v>
      </c>
      <c r="E256" s="10">
        <f>IFERROR(VLOOKUP(B256,cubo!$A$6:$BE$37,5,0)-VLOOKUP(B256,#REF!,$E$2,0),0)</f>
        <v>0</v>
      </c>
      <c r="F256" s="10">
        <f>IFERROR(VLOOKUP(B256,cubo!$A$6:$BE$37,8,0)-VLOOKUP(B256,#REF!,$F$2,0),0)</f>
        <v>0</v>
      </c>
      <c r="G256" s="9">
        <f>IFERROR(VLOOKUP(B256,cubo!$A$6:$BE$37,11,0)-VLOOKUP(B256,#REF!,$G$2,0),0)</f>
        <v>0</v>
      </c>
      <c r="H256" s="9">
        <f>IFERROR(VLOOKUP(B256,cubo!$A$6:$BE$37,53,0)-VLOOKUP(B256,#REF!,$H$2,0),0)</f>
        <v>0</v>
      </c>
      <c r="I256" s="10">
        <f>IFERROR(VLOOKUP(B256,cubo!$A$6:$BE$37,14,0)-VLOOKUP(B256,#REF!,$I$2,0),0)</f>
        <v>0</v>
      </c>
      <c r="J256" s="9">
        <f>IFERROR(VLOOKUP(B256,cubo!$A$6:$BE$37,16,0)-VLOOKUP(B256,#REF!,$J$2,0),0)</f>
        <v>0</v>
      </c>
      <c r="K256" s="9">
        <f>IFERROR(VLOOKUP(B256,cubo!$A$6:$BE$37,17,0)-VLOOKUP(B256,#REF!,$K$2,0),0)</f>
        <v>0</v>
      </c>
      <c r="L256" s="9">
        <f>IFERROR(VLOOKUP(B256,cubo!$A$6:$BE$37,19,0)-VLOOKUP(B256,#REF!,$L$2,0),0)</f>
        <v>0</v>
      </c>
      <c r="M256" s="9">
        <f>IFERROR(VLOOKUP(B256,cubo!$A$6:$BE$37,23,0)-VLOOKUP(B256,#REF!,$M$2,0),0)</f>
        <v>0</v>
      </c>
      <c r="N256" s="9">
        <f>IFERROR(VLOOKUP(B256,cubo!$A$6:$BE$37,25,0)-VLOOKUP(B256,#REF!,$N$2,0),0)</f>
        <v>0</v>
      </c>
      <c r="O256" s="9">
        <f>IFERROR(VLOOKUP(B256,cubo!$A$6:$BE$37,33,0)-VLOOKUP(B256,#REF!,$O$2,0),0)</f>
        <v>0</v>
      </c>
      <c r="P256" s="8">
        <f>IFERROR(VLOOKUP(B256,cubo!$A$6:$BE$37,37,0)-VLOOKUP(B256,#REF!,$P$2,0),0)</f>
        <v>0</v>
      </c>
      <c r="Q256" s="8">
        <f>IFERROR(VLOOKUP(B256,cubo!$A$6:$BE$37,56,0)-VLOOKUP(B256,#REF!,$Q$2,0),0)</f>
        <v>0</v>
      </c>
      <c r="R256" s="9">
        <f>IFERROR(VLOOKUP(B256,cubo!$A$6:$BE$37,40,0)-VLOOKUP(B256,#REF!,$R$2,0),0)</f>
        <v>0</v>
      </c>
      <c r="S256" s="9">
        <f>IFERROR(VLOOKUP(B256,cubo!$A$6:$BE$37,43,0)-VLOOKUP(B256,#REF!,$S$2,0),0)</f>
        <v>0</v>
      </c>
      <c r="T256" s="9">
        <f>IFERROR(VLOOKUP(B256,cubo!$A$6:$BE$37,46,0)-VLOOKUP(B256,#REF!,$T$2,0),0)</f>
        <v>0</v>
      </c>
      <c r="U256" s="9">
        <f>IFERROR(VLOOKUP(B256,cubo!$A$6:$BE$37,51,0)-VLOOKUP(B256,#REF!,$U$2,0),0)</f>
        <v>0</v>
      </c>
      <c r="V256" s="9">
        <f>IFERROR(VLOOKUP(B256,cubo!$A$6:$BJ$37,60,0)-VLOOKUP(B256,#REF!,$V$2,0),0)</f>
        <v>0</v>
      </c>
      <c r="W256" s="9">
        <f>IFERROR(VLOOKUP(B256,cubo!$A$6:$BE$37,26,0)-VLOOKUP(B256,#REF!,$W$2,0),0)</f>
        <v>0</v>
      </c>
      <c r="X256" s="9">
        <f>IFERROR(VLOOKUP(B256,cubo!$A$6:$BE$37,20,0)-VLOOKUP(B256,#REF!,$X$2,0),0)</f>
        <v>0</v>
      </c>
      <c r="Y256" s="9">
        <f>IFERROR(VLOOKUP(B256,cubo!$A$6:$BE$37,21,0)-VLOOKUP(B256,#REF!,$Y$2,0),0)</f>
        <v>0</v>
      </c>
      <c r="Z256" s="9">
        <f>IFERROR(VLOOKUP(B256,cubo!$A$6:$BE$37,27,0)-VLOOKUP(B256,#REF!,$Z$2,0),0)</f>
        <v>0</v>
      </c>
      <c r="AA256" s="9">
        <f>IFERROR(VLOOKUP(B256,cubo!$A$6:$BE$37,28,0)-VLOOKUP(B256,#REF!,$AA$2,0),0)</f>
        <v>0</v>
      </c>
      <c r="AB256" s="9">
        <f>IFERROR(VLOOKUP(B256,cubo!$A$6:$BE$37,29,0)-VLOOKUP(B256,#REF!,$AB$2,0),0)</f>
        <v>0</v>
      </c>
      <c r="AC256" s="9">
        <f>IFERROR(VLOOKUP(B256,cubo!$A$6:$BE$37,30,0)-VLOOKUP(B256,#REF!,$AC$2,0),0)</f>
        <v>0</v>
      </c>
      <c r="AD256" s="9">
        <f>IFERROR(VLOOKUP(B256,cubo!$A$6:$BE$37,31,0)-VLOOKUP(B256,#REF!,$AD$2,0),0)</f>
        <v>0</v>
      </c>
      <c r="AE256" s="9">
        <f>IFERROR(VLOOKUP(B256,cubo!$A$6:$BE$37,35,0)-VLOOKUP(B256,#REF!,$AE$2,0),0)</f>
        <v>0</v>
      </c>
      <c r="AF256" s="9" cm="1">
        <f t="array" aca="1" ref="AF256" ca="1">IFERROR(rrPROCV(B256,cubo!$A$6:$BE$37,48,0)-VLOOKUP(B256,#REF!,$AF$2,0),0)</f>
        <v>0</v>
      </c>
      <c r="AG256" s="9">
        <f>IFERROR(VLOOKUP(B256,cubo!$A$6:$BE$37,49,0)-VLOOKUP(B256,#REF!,$AG$2,0),0)</f>
        <v>0</v>
      </c>
      <c r="AH256" s="9">
        <f>IFERROR(VLOOKUP(B256,cubo!$A$6:$BE$37,50,0)-VLOOKUP(B256,#REF!,$AH$2,0),0)</f>
        <v>0</v>
      </c>
      <c r="AI256" s="9">
        <f>IFERROR(VLOOKUP(B256,cubo!$A$6:$BE$37,51,0)-VLOOKUP(B256,#REF!,$AI$2,0),0)</f>
        <v>0</v>
      </c>
      <c r="AJ256" s="9">
        <f>IFERROR(VLOOKUP(B256,cubo!$A$6:$BI$116,62,0)-VLOOKUP(B256,#REF!,$AJ$2,0),0)</f>
        <v>0</v>
      </c>
      <c r="AK256" s="9">
        <f>IFERROR(VLOOKUP(B256,cubo!$A$6:$BJ$37,63,0)-VLOOKUP(B256,#REF!,$AK$2,0),0)</f>
        <v>0</v>
      </c>
      <c r="AL256" s="9">
        <f>IFERROR(VLOOKUP(B256,cubo!$A$6:$BE$37,58,0)-VLOOKUP(B256,#REF!,$AL$2,0),0)</f>
        <v>0</v>
      </c>
      <c r="AM256" s="9">
        <f>IFERROR(VLOOKUP(B256,cubo!$A$6:$BK$37,64,0)-VLOOKUP(B256,#REF!,$AM$2,0),0)</f>
        <v>0</v>
      </c>
      <c r="AN256" s="9">
        <f>IFERROR(VLOOKUP(B256,cubo!$A$6:$AN$37,41,0)-VLOOKUP(B256,#REF!,$AN$2,0),0)</f>
        <v>0</v>
      </c>
    </row>
    <row r="257" spans="2:40" x14ac:dyDescent="0.25">
      <c r="B257" s="7">
        <f>[1]salario!A256</f>
        <v>0</v>
      </c>
      <c r="C257" s="8">
        <f>[1]salario!C256</f>
        <v>0</v>
      </c>
      <c r="D257" s="9">
        <f>IFERROR(VLOOKUP(B257,cubo!$A$6:$BE$37,3,0)-VLOOKUP(B257,#REF!,$D$2,0),0)</f>
        <v>0</v>
      </c>
      <c r="E257" s="10">
        <f>IFERROR(VLOOKUP(B257,cubo!$A$6:$BE$37,5,0)-VLOOKUP(B257,#REF!,$E$2,0),0)</f>
        <v>0</v>
      </c>
      <c r="F257" s="10">
        <f>IFERROR(VLOOKUP(B257,cubo!$A$6:$BE$37,8,0)-VLOOKUP(B257,#REF!,$F$2,0),0)</f>
        <v>0</v>
      </c>
      <c r="G257" s="9">
        <f>IFERROR(VLOOKUP(B257,cubo!$A$6:$BE$37,11,0)-VLOOKUP(B257,#REF!,$G$2,0),0)</f>
        <v>0</v>
      </c>
      <c r="H257" s="9">
        <f>IFERROR(VLOOKUP(B257,cubo!$A$6:$BE$37,53,0)-VLOOKUP(B257,#REF!,$H$2,0),0)</f>
        <v>0</v>
      </c>
      <c r="I257" s="10">
        <f>IFERROR(VLOOKUP(B257,cubo!$A$6:$BE$37,14,0)-VLOOKUP(B257,#REF!,$I$2,0),0)</f>
        <v>0</v>
      </c>
      <c r="J257" s="9">
        <f>IFERROR(VLOOKUP(B257,cubo!$A$6:$BE$37,16,0)-VLOOKUP(B257,#REF!,$J$2,0),0)</f>
        <v>0</v>
      </c>
      <c r="K257" s="9">
        <f>IFERROR(VLOOKUP(B257,cubo!$A$6:$BE$37,17,0)-VLOOKUP(B257,#REF!,$K$2,0),0)</f>
        <v>0</v>
      </c>
      <c r="L257" s="9">
        <f>IFERROR(VLOOKUP(B257,cubo!$A$6:$BE$37,19,0)-VLOOKUP(B257,#REF!,$L$2,0),0)</f>
        <v>0</v>
      </c>
      <c r="M257" s="9">
        <f>IFERROR(VLOOKUP(B257,cubo!$A$6:$BE$37,23,0)-VLOOKUP(B257,#REF!,$M$2,0),0)</f>
        <v>0</v>
      </c>
      <c r="N257" s="9">
        <f>IFERROR(VLOOKUP(B257,cubo!$A$6:$BE$37,25,0)-VLOOKUP(B257,#REF!,$N$2,0),0)</f>
        <v>0</v>
      </c>
      <c r="O257" s="9">
        <f>IFERROR(VLOOKUP(B257,cubo!$A$6:$BE$37,33,0)-VLOOKUP(B257,#REF!,$O$2,0),0)</f>
        <v>0</v>
      </c>
      <c r="P257" s="8">
        <f>IFERROR(VLOOKUP(B257,cubo!$A$6:$BE$37,37,0)-VLOOKUP(B257,#REF!,$P$2,0),0)</f>
        <v>0</v>
      </c>
      <c r="Q257" s="8">
        <f>IFERROR(VLOOKUP(B257,cubo!$A$6:$BE$37,56,0)-VLOOKUP(B257,#REF!,$Q$2,0),0)</f>
        <v>0</v>
      </c>
      <c r="R257" s="9">
        <f>IFERROR(VLOOKUP(B257,cubo!$A$6:$BE$37,40,0)-VLOOKUP(B257,#REF!,$R$2,0),0)</f>
        <v>0</v>
      </c>
      <c r="S257" s="9">
        <f>IFERROR(VLOOKUP(B257,cubo!$A$6:$BE$37,43,0)-VLOOKUP(B257,#REF!,$S$2,0),0)</f>
        <v>0</v>
      </c>
      <c r="T257" s="9">
        <f>IFERROR(VLOOKUP(B257,cubo!$A$6:$BE$37,46,0)-VLOOKUP(B257,#REF!,$T$2,0),0)</f>
        <v>0</v>
      </c>
      <c r="U257" s="9">
        <f>IFERROR(VLOOKUP(B257,cubo!$A$6:$BE$37,51,0)-VLOOKUP(B257,#REF!,$U$2,0),0)</f>
        <v>0</v>
      </c>
      <c r="V257" s="9">
        <f>IFERROR(VLOOKUP(B257,cubo!$A$6:$BJ$37,60,0)-VLOOKUP(B257,#REF!,$V$2,0),0)</f>
        <v>0</v>
      </c>
      <c r="W257" s="9">
        <f>IFERROR(VLOOKUP(B257,cubo!$A$6:$BE$37,26,0)-VLOOKUP(B257,#REF!,$W$2,0),0)</f>
        <v>0</v>
      </c>
      <c r="X257" s="9">
        <f>IFERROR(VLOOKUP(B257,cubo!$A$6:$BE$37,20,0)-VLOOKUP(B257,#REF!,$X$2,0),0)</f>
        <v>0</v>
      </c>
      <c r="Y257" s="9">
        <f>IFERROR(VLOOKUP(B257,cubo!$A$6:$BE$37,21,0)-VLOOKUP(B257,#REF!,$Y$2,0),0)</f>
        <v>0</v>
      </c>
      <c r="Z257" s="9">
        <f>IFERROR(VLOOKUP(B257,cubo!$A$6:$BE$37,27,0)-VLOOKUP(B257,#REF!,$Z$2,0),0)</f>
        <v>0</v>
      </c>
      <c r="AA257" s="9">
        <f>IFERROR(VLOOKUP(B257,cubo!$A$6:$BE$37,28,0)-VLOOKUP(B257,#REF!,$AA$2,0),0)</f>
        <v>0</v>
      </c>
      <c r="AB257" s="9">
        <f>IFERROR(VLOOKUP(B257,cubo!$A$6:$BE$37,29,0)-VLOOKUP(B257,#REF!,$AB$2,0),0)</f>
        <v>0</v>
      </c>
      <c r="AC257" s="9">
        <f>IFERROR(VLOOKUP(B257,cubo!$A$6:$BE$37,30,0)-VLOOKUP(B257,#REF!,$AC$2,0),0)</f>
        <v>0</v>
      </c>
      <c r="AD257" s="9">
        <f>IFERROR(VLOOKUP(B257,cubo!$A$6:$BE$37,31,0)-VLOOKUP(B257,#REF!,$AD$2,0),0)</f>
        <v>0</v>
      </c>
      <c r="AE257" s="9">
        <f>IFERROR(VLOOKUP(B257,cubo!$A$6:$BE$37,35,0)-VLOOKUP(B257,#REF!,$AE$2,0),0)</f>
        <v>0</v>
      </c>
      <c r="AF257" s="9" cm="1">
        <f t="array" aca="1" ref="AF257" ca="1">IFERROR(rrPROCV(B257,cubo!$A$6:$BE$37,48,0)-VLOOKUP(B257,#REF!,$AF$2,0),0)</f>
        <v>0</v>
      </c>
      <c r="AG257" s="9">
        <f>IFERROR(VLOOKUP(B257,cubo!$A$6:$BE$37,49,0)-VLOOKUP(B257,#REF!,$AG$2,0),0)</f>
        <v>0</v>
      </c>
      <c r="AH257" s="9">
        <f>IFERROR(VLOOKUP(B257,cubo!$A$6:$BE$37,50,0)-VLOOKUP(B257,#REF!,$AH$2,0),0)</f>
        <v>0</v>
      </c>
      <c r="AI257" s="9">
        <f>IFERROR(VLOOKUP(B257,cubo!$A$6:$BE$37,51,0)-VLOOKUP(B257,#REF!,$AI$2,0),0)</f>
        <v>0</v>
      </c>
      <c r="AJ257" s="9">
        <f>IFERROR(VLOOKUP(B257,cubo!$A$6:$BI$116,62,0)-VLOOKUP(B257,#REF!,$AJ$2,0),0)</f>
        <v>0</v>
      </c>
      <c r="AK257" s="9">
        <f>IFERROR(VLOOKUP(B257,cubo!$A$6:$BJ$37,63,0)-VLOOKUP(B257,#REF!,$AK$2,0),0)</f>
        <v>0</v>
      </c>
      <c r="AL257" s="9">
        <f>IFERROR(VLOOKUP(B257,cubo!$A$6:$BE$37,58,0)-VLOOKUP(B257,#REF!,$AL$2,0),0)</f>
        <v>0</v>
      </c>
      <c r="AM257" s="9">
        <f>IFERROR(VLOOKUP(B257,cubo!$A$6:$BK$37,64,0)-VLOOKUP(B257,#REF!,$AM$2,0),0)</f>
        <v>0</v>
      </c>
      <c r="AN257" s="9">
        <f>IFERROR(VLOOKUP(B257,cubo!$A$6:$AN$37,41,0)-VLOOKUP(B257,#REF!,$AN$2,0),0)</f>
        <v>0</v>
      </c>
    </row>
    <row r="258" spans="2:40" x14ac:dyDescent="0.25">
      <c r="B258" s="7">
        <f>[1]salario!A257</f>
        <v>0</v>
      </c>
      <c r="C258" s="8">
        <f>[1]salario!C257</f>
        <v>0</v>
      </c>
      <c r="D258" s="9">
        <f>IFERROR(VLOOKUP(B258,cubo!$A$6:$BE$37,3,0)-VLOOKUP(B258,#REF!,$D$2,0),0)</f>
        <v>0</v>
      </c>
      <c r="E258" s="10">
        <f>IFERROR(VLOOKUP(B258,cubo!$A$6:$BE$37,5,0)-VLOOKUP(B258,#REF!,$E$2,0),0)</f>
        <v>0</v>
      </c>
      <c r="F258" s="10">
        <f>IFERROR(VLOOKUP(B258,cubo!$A$6:$BE$37,8,0)-VLOOKUP(B258,#REF!,$F$2,0),0)</f>
        <v>0</v>
      </c>
      <c r="G258" s="9">
        <f>IFERROR(VLOOKUP(B258,cubo!$A$6:$BE$37,11,0)-VLOOKUP(B258,#REF!,$G$2,0),0)</f>
        <v>0</v>
      </c>
      <c r="H258" s="9">
        <f>IFERROR(VLOOKUP(B258,cubo!$A$6:$BE$37,53,0)-VLOOKUP(B258,#REF!,$H$2,0),0)</f>
        <v>0</v>
      </c>
      <c r="I258" s="10">
        <f>IFERROR(VLOOKUP(B258,cubo!$A$6:$BE$37,14,0)-VLOOKUP(B258,#REF!,$I$2,0),0)</f>
        <v>0</v>
      </c>
      <c r="J258" s="9">
        <f>IFERROR(VLOOKUP(B258,cubo!$A$6:$BE$37,16,0)-VLOOKUP(B258,#REF!,$J$2,0),0)</f>
        <v>0</v>
      </c>
      <c r="K258" s="9">
        <f>IFERROR(VLOOKUP(B258,cubo!$A$6:$BE$37,17,0)-VLOOKUP(B258,#REF!,$K$2,0),0)</f>
        <v>0</v>
      </c>
      <c r="L258" s="9">
        <f>IFERROR(VLOOKUP(B258,cubo!$A$6:$BE$37,19,0)-VLOOKUP(B258,#REF!,$L$2,0),0)</f>
        <v>0</v>
      </c>
      <c r="M258" s="9">
        <f>IFERROR(VLOOKUP(B258,cubo!$A$6:$BE$37,23,0)-VLOOKUP(B258,#REF!,$M$2,0),0)</f>
        <v>0</v>
      </c>
      <c r="N258" s="9">
        <f>IFERROR(VLOOKUP(B258,cubo!$A$6:$BE$37,25,0)-VLOOKUP(B258,#REF!,$N$2,0),0)</f>
        <v>0</v>
      </c>
      <c r="O258" s="9">
        <f>IFERROR(VLOOKUP(B258,cubo!$A$6:$BE$37,33,0)-VLOOKUP(B258,#REF!,$O$2,0),0)</f>
        <v>0</v>
      </c>
      <c r="P258" s="8">
        <f>IFERROR(VLOOKUP(B258,cubo!$A$6:$BE$37,37,0)-VLOOKUP(B258,#REF!,$P$2,0),0)</f>
        <v>0</v>
      </c>
      <c r="Q258" s="8">
        <f>IFERROR(VLOOKUP(B258,cubo!$A$6:$BE$37,56,0)-VLOOKUP(B258,#REF!,$Q$2,0),0)</f>
        <v>0</v>
      </c>
      <c r="R258" s="9">
        <f>IFERROR(VLOOKUP(B258,cubo!$A$6:$BE$37,40,0)-VLOOKUP(B258,#REF!,$R$2,0),0)</f>
        <v>0</v>
      </c>
      <c r="S258" s="9">
        <f>IFERROR(VLOOKUP(B258,cubo!$A$6:$BE$37,43,0)-VLOOKUP(B258,#REF!,$S$2,0),0)</f>
        <v>0</v>
      </c>
      <c r="T258" s="9">
        <f>IFERROR(VLOOKUP(B258,cubo!$A$6:$BE$37,46,0)-VLOOKUP(B258,#REF!,$T$2,0),0)</f>
        <v>0</v>
      </c>
      <c r="U258" s="9">
        <f>IFERROR(VLOOKUP(B258,cubo!$A$6:$BE$37,51,0)-VLOOKUP(B258,#REF!,$U$2,0),0)</f>
        <v>0</v>
      </c>
      <c r="V258" s="9">
        <f>IFERROR(VLOOKUP(B258,cubo!$A$6:$BJ$37,60,0)-VLOOKUP(B258,#REF!,$V$2,0),0)</f>
        <v>0</v>
      </c>
      <c r="W258" s="9">
        <f>IFERROR(VLOOKUP(B258,cubo!$A$6:$BE$37,26,0)-VLOOKUP(B258,#REF!,$W$2,0),0)</f>
        <v>0</v>
      </c>
      <c r="X258" s="9">
        <f>IFERROR(VLOOKUP(B258,cubo!$A$6:$BE$37,20,0)-VLOOKUP(B258,#REF!,$X$2,0),0)</f>
        <v>0</v>
      </c>
      <c r="Y258" s="9">
        <f>IFERROR(VLOOKUP(B258,cubo!$A$6:$BE$37,21,0)-VLOOKUP(B258,#REF!,$Y$2,0),0)</f>
        <v>0</v>
      </c>
      <c r="Z258" s="9">
        <f>IFERROR(VLOOKUP(B258,cubo!$A$6:$BE$37,27,0)-VLOOKUP(B258,#REF!,$Z$2,0),0)</f>
        <v>0</v>
      </c>
      <c r="AA258" s="9">
        <f>IFERROR(VLOOKUP(B258,cubo!$A$6:$BE$37,28,0)-VLOOKUP(B258,#REF!,$AA$2,0),0)</f>
        <v>0</v>
      </c>
      <c r="AB258" s="9">
        <f>IFERROR(VLOOKUP(B258,cubo!$A$6:$BE$37,29,0)-VLOOKUP(B258,#REF!,$AB$2,0),0)</f>
        <v>0</v>
      </c>
      <c r="AC258" s="9">
        <f>IFERROR(VLOOKUP(B258,cubo!$A$6:$BE$37,30,0)-VLOOKUP(B258,#REF!,$AC$2,0),0)</f>
        <v>0</v>
      </c>
      <c r="AD258" s="9">
        <f>IFERROR(VLOOKUP(B258,cubo!$A$6:$BE$37,31,0)-VLOOKUP(B258,#REF!,$AD$2,0),0)</f>
        <v>0</v>
      </c>
      <c r="AE258" s="9">
        <f>IFERROR(VLOOKUP(B258,cubo!$A$6:$BE$37,35,0)-VLOOKUP(B258,#REF!,$AE$2,0),0)</f>
        <v>0</v>
      </c>
      <c r="AF258" s="9" cm="1">
        <f t="array" aca="1" ref="AF258" ca="1">IFERROR(rrPROCV(B258,cubo!$A$6:$BE$37,48,0)-VLOOKUP(B258,#REF!,$AF$2,0),0)</f>
        <v>0</v>
      </c>
      <c r="AG258" s="9">
        <f>IFERROR(VLOOKUP(B258,cubo!$A$6:$BE$37,49,0)-VLOOKUP(B258,#REF!,$AG$2,0),0)</f>
        <v>0</v>
      </c>
      <c r="AH258" s="9">
        <f>IFERROR(VLOOKUP(B258,cubo!$A$6:$BE$37,50,0)-VLOOKUP(B258,#REF!,$AH$2,0),0)</f>
        <v>0</v>
      </c>
      <c r="AI258" s="9">
        <f>IFERROR(VLOOKUP(B258,cubo!$A$6:$BE$37,51,0)-VLOOKUP(B258,#REF!,$AI$2,0),0)</f>
        <v>0</v>
      </c>
      <c r="AJ258" s="9">
        <f>IFERROR(VLOOKUP(B258,cubo!$A$6:$BI$116,62,0)-VLOOKUP(B258,#REF!,$AJ$2,0),0)</f>
        <v>0</v>
      </c>
      <c r="AK258" s="9">
        <f>IFERROR(VLOOKUP(B258,cubo!$A$6:$BJ$37,63,0)-VLOOKUP(B258,#REF!,$AK$2,0),0)</f>
        <v>0</v>
      </c>
      <c r="AL258" s="9">
        <f>IFERROR(VLOOKUP(B258,cubo!$A$6:$BE$37,58,0)-VLOOKUP(B258,#REF!,$AL$2,0),0)</f>
        <v>0</v>
      </c>
      <c r="AM258" s="9">
        <f>IFERROR(VLOOKUP(B258,cubo!$A$6:$BK$37,64,0)-VLOOKUP(B258,#REF!,$AM$2,0),0)</f>
        <v>0</v>
      </c>
      <c r="AN258" s="9">
        <f>IFERROR(VLOOKUP(B258,cubo!$A$6:$AN$37,41,0)-VLOOKUP(B258,#REF!,$AN$2,0),0)</f>
        <v>0</v>
      </c>
    </row>
    <row r="259" spans="2:40" x14ac:dyDescent="0.25">
      <c r="B259" s="7">
        <f>[1]salario!A258</f>
        <v>0</v>
      </c>
      <c r="C259" s="8">
        <f>[1]salario!C258</f>
        <v>0</v>
      </c>
      <c r="D259" s="9">
        <f>IFERROR(VLOOKUP(B259,cubo!$A$6:$BE$37,3,0)-VLOOKUP(B259,#REF!,$D$2,0),0)</f>
        <v>0</v>
      </c>
      <c r="E259" s="10">
        <f>IFERROR(VLOOKUP(B259,cubo!$A$6:$BE$37,5,0)-VLOOKUP(B259,#REF!,$E$2,0),0)</f>
        <v>0</v>
      </c>
      <c r="F259" s="10">
        <f>IFERROR(VLOOKUP(B259,cubo!$A$6:$BE$37,8,0)-VLOOKUP(B259,#REF!,$F$2,0),0)</f>
        <v>0</v>
      </c>
      <c r="G259" s="9">
        <f>IFERROR(VLOOKUP(B259,cubo!$A$6:$BE$37,11,0)-VLOOKUP(B259,#REF!,$G$2,0),0)</f>
        <v>0</v>
      </c>
      <c r="H259" s="9">
        <f>IFERROR(VLOOKUP(B259,cubo!$A$6:$BE$37,53,0)-VLOOKUP(B259,#REF!,$H$2,0),0)</f>
        <v>0</v>
      </c>
      <c r="I259" s="10">
        <f>IFERROR(VLOOKUP(B259,cubo!$A$6:$BE$37,14,0)-VLOOKUP(B259,#REF!,$I$2,0),0)</f>
        <v>0</v>
      </c>
      <c r="J259" s="9">
        <f>IFERROR(VLOOKUP(B259,cubo!$A$6:$BE$37,16,0)-VLOOKUP(B259,#REF!,$J$2,0),0)</f>
        <v>0</v>
      </c>
      <c r="K259" s="9">
        <f>IFERROR(VLOOKUP(B259,cubo!$A$6:$BE$37,17,0)-VLOOKUP(B259,#REF!,$K$2,0),0)</f>
        <v>0</v>
      </c>
      <c r="L259" s="9">
        <f>IFERROR(VLOOKUP(B259,cubo!$A$6:$BE$37,19,0)-VLOOKUP(B259,#REF!,$L$2,0),0)</f>
        <v>0</v>
      </c>
      <c r="M259" s="9">
        <f>IFERROR(VLOOKUP(B259,cubo!$A$6:$BE$37,23,0)-VLOOKUP(B259,#REF!,$M$2,0),0)</f>
        <v>0</v>
      </c>
      <c r="N259" s="9">
        <f>IFERROR(VLOOKUP(B259,cubo!$A$6:$BE$37,25,0)-VLOOKUP(B259,#REF!,$N$2,0),0)</f>
        <v>0</v>
      </c>
      <c r="O259" s="9">
        <f>IFERROR(VLOOKUP(B259,cubo!$A$6:$BE$37,33,0)-VLOOKUP(B259,#REF!,$O$2,0),0)</f>
        <v>0</v>
      </c>
      <c r="P259" s="8">
        <f>IFERROR(VLOOKUP(B259,cubo!$A$6:$BE$37,37,0)-VLOOKUP(B259,#REF!,$P$2,0),0)</f>
        <v>0</v>
      </c>
      <c r="Q259" s="8">
        <f>IFERROR(VLOOKUP(B259,cubo!$A$6:$BE$37,56,0)-VLOOKUP(B259,#REF!,$Q$2,0),0)</f>
        <v>0</v>
      </c>
      <c r="R259" s="9">
        <f>IFERROR(VLOOKUP(B259,cubo!$A$6:$BE$37,40,0)-VLOOKUP(B259,#REF!,$R$2,0),0)</f>
        <v>0</v>
      </c>
      <c r="S259" s="9">
        <f>IFERROR(VLOOKUP(B259,cubo!$A$6:$BE$37,43,0)-VLOOKUP(B259,#REF!,$S$2,0),0)</f>
        <v>0</v>
      </c>
      <c r="T259" s="9">
        <f>IFERROR(VLOOKUP(B259,cubo!$A$6:$BE$37,46,0)-VLOOKUP(B259,#REF!,$T$2,0),0)</f>
        <v>0</v>
      </c>
      <c r="U259" s="9">
        <f>IFERROR(VLOOKUP(B259,cubo!$A$6:$BE$37,51,0)-VLOOKUP(B259,#REF!,$U$2,0),0)</f>
        <v>0</v>
      </c>
      <c r="V259" s="9">
        <f>IFERROR(VLOOKUP(B259,cubo!$A$6:$BJ$37,60,0)-VLOOKUP(B259,#REF!,$V$2,0),0)</f>
        <v>0</v>
      </c>
      <c r="W259" s="9">
        <f>IFERROR(VLOOKUP(B259,cubo!$A$6:$BE$37,26,0)-VLOOKUP(B259,#REF!,$W$2,0),0)</f>
        <v>0</v>
      </c>
      <c r="X259" s="9">
        <f>IFERROR(VLOOKUP(B259,cubo!$A$6:$BE$37,20,0)-VLOOKUP(B259,#REF!,$X$2,0),0)</f>
        <v>0</v>
      </c>
      <c r="Y259" s="9">
        <f>IFERROR(VLOOKUP(B259,cubo!$A$6:$BE$37,21,0)-VLOOKUP(B259,#REF!,$Y$2,0),0)</f>
        <v>0</v>
      </c>
      <c r="Z259" s="9">
        <f>IFERROR(VLOOKUP(B259,cubo!$A$6:$BE$37,27,0)-VLOOKUP(B259,#REF!,$Z$2,0),0)</f>
        <v>0</v>
      </c>
      <c r="AA259" s="9">
        <f>IFERROR(VLOOKUP(B259,cubo!$A$6:$BE$37,28,0)-VLOOKUP(B259,#REF!,$AA$2,0),0)</f>
        <v>0</v>
      </c>
      <c r="AB259" s="9">
        <f>IFERROR(VLOOKUP(B259,cubo!$A$6:$BE$37,29,0)-VLOOKUP(B259,#REF!,$AB$2,0),0)</f>
        <v>0</v>
      </c>
      <c r="AC259" s="9">
        <f>IFERROR(VLOOKUP(B259,cubo!$A$6:$BE$37,30,0)-VLOOKUP(B259,#REF!,$AC$2,0),0)</f>
        <v>0</v>
      </c>
      <c r="AD259" s="9">
        <f>IFERROR(VLOOKUP(B259,cubo!$A$6:$BE$37,31,0)-VLOOKUP(B259,#REF!,$AD$2,0),0)</f>
        <v>0</v>
      </c>
      <c r="AE259" s="9">
        <f>IFERROR(VLOOKUP(B259,cubo!$A$6:$BE$37,35,0)-VLOOKUP(B259,#REF!,$AE$2,0),0)</f>
        <v>0</v>
      </c>
      <c r="AF259" s="9" cm="1">
        <f t="array" aca="1" ref="AF259" ca="1">IFERROR(rrPROCV(B259,cubo!$A$6:$BE$37,48,0)-VLOOKUP(B259,#REF!,$AF$2,0),0)</f>
        <v>0</v>
      </c>
      <c r="AG259" s="9">
        <f>IFERROR(VLOOKUP(B259,cubo!$A$6:$BE$37,49,0)-VLOOKUP(B259,#REF!,$AG$2,0),0)</f>
        <v>0</v>
      </c>
      <c r="AH259" s="9">
        <f>IFERROR(VLOOKUP(B259,cubo!$A$6:$BE$37,50,0)-VLOOKUP(B259,#REF!,$AH$2,0),0)</f>
        <v>0</v>
      </c>
      <c r="AI259" s="9">
        <f>IFERROR(VLOOKUP(B259,cubo!$A$6:$BE$37,51,0)-VLOOKUP(B259,#REF!,$AI$2,0),0)</f>
        <v>0</v>
      </c>
      <c r="AJ259" s="9">
        <f>IFERROR(VLOOKUP(B259,cubo!$A$6:$BI$116,62,0)-VLOOKUP(B259,#REF!,$AJ$2,0),0)</f>
        <v>0</v>
      </c>
      <c r="AK259" s="9">
        <f>IFERROR(VLOOKUP(B259,cubo!$A$6:$BJ$37,63,0)-VLOOKUP(B259,#REF!,$AK$2,0),0)</f>
        <v>0</v>
      </c>
      <c r="AL259" s="9">
        <f>IFERROR(VLOOKUP(B259,cubo!$A$6:$BE$37,58,0)-VLOOKUP(B259,#REF!,$AL$2,0),0)</f>
        <v>0</v>
      </c>
      <c r="AM259" s="9">
        <f>IFERROR(VLOOKUP(B259,cubo!$A$6:$BK$37,64,0)-VLOOKUP(B259,#REF!,$AM$2,0),0)</f>
        <v>0</v>
      </c>
      <c r="AN259" s="9">
        <f>IFERROR(VLOOKUP(B259,cubo!$A$6:$AN$37,41,0)-VLOOKUP(B259,#REF!,$AN$2,0),0)</f>
        <v>0</v>
      </c>
    </row>
    <row r="260" spans="2:40" x14ac:dyDescent="0.25">
      <c r="B260" s="7">
        <f>[1]salario!A259</f>
        <v>0</v>
      </c>
      <c r="C260" s="8">
        <f>[1]salario!C259</f>
        <v>0</v>
      </c>
      <c r="D260" s="9">
        <f>IFERROR(VLOOKUP(B260,cubo!$A$6:$BE$37,3,0)-VLOOKUP(B260,#REF!,$D$2,0),0)</f>
        <v>0</v>
      </c>
      <c r="E260" s="10">
        <f>IFERROR(VLOOKUP(B260,cubo!$A$6:$BE$37,5,0)-VLOOKUP(B260,#REF!,$E$2,0),0)</f>
        <v>0</v>
      </c>
      <c r="F260" s="10">
        <f>IFERROR(VLOOKUP(B260,cubo!$A$6:$BE$37,8,0)-VLOOKUP(B260,#REF!,$F$2,0),0)</f>
        <v>0</v>
      </c>
      <c r="G260" s="9">
        <f>IFERROR(VLOOKUP(B260,cubo!$A$6:$BE$37,11,0)-VLOOKUP(B260,#REF!,$G$2,0),0)</f>
        <v>0</v>
      </c>
      <c r="H260" s="9">
        <f>IFERROR(VLOOKUP(B260,cubo!$A$6:$BE$37,53,0)-VLOOKUP(B260,#REF!,$H$2,0),0)</f>
        <v>0</v>
      </c>
      <c r="I260" s="10">
        <f>IFERROR(VLOOKUP(B260,cubo!$A$6:$BE$37,14,0)-VLOOKUP(B260,#REF!,$I$2,0),0)</f>
        <v>0</v>
      </c>
      <c r="J260" s="9">
        <f>IFERROR(VLOOKUP(B260,cubo!$A$6:$BE$37,16,0)-VLOOKUP(B260,#REF!,$J$2,0),0)</f>
        <v>0</v>
      </c>
      <c r="K260" s="9">
        <f>IFERROR(VLOOKUP(B260,cubo!$A$6:$BE$37,17,0)-VLOOKUP(B260,#REF!,$K$2,0),0)</f>
        <v>0</v>
      </c>
      <c r="L260" s="9">
        <f>IFERROR(VLOOKUP(B260,cubo!$A$6:$BE$37,19,0)-VLOOKUP(B260,#REF!,$L$2,0),0)</f>
        <v>0</v>
      </c>
      <c r="M260" s="9">
        <f>IFERROR(VLOOKUP(B260,cubo!$A$6:$BE$37,23,0)-VLOOKUP(B260,#REF!,$M$2,0),0)</f>
        <v>0</v>
      </c>
      <c r="N260" s="9">
        <f>IFERROR(VLOOKUP(B260,cubo!$A$6:$BE$37,25,0)-VLOOKUP(B260,#REF!,$N$2,0),0)</f>
        <v>0</v>
      </c>
      <c r="O260" s="9">
        <f>IFERROR(VLOOKUP(B260,cubo!$A$6:$BE$37,33,0)-VLOOKUP(B260,#REF!,$O$2,0),0)</f>
        <v>0</v>
      </c>
      <c r="P260" s="8">
        <f>IFERROR(VLOOKUP(B260,cubo!$A$6:$BE$37,37,0)-VLOOKUP(B260,#REF!,$P$2,0),0)</f>
        <v>0</v>
      </c>
      <c r="Q260" s="8">
        <f>IFERROR(VLOOKUP(B260,cubo!$A$6:$BE$37,56,0)-VLOOKUP(B260,#REF!,$Q$2,0),0)</f>
        <v>0</v>
      </c>
      <c r="R260" s="9">
        <f>IFERROR(VLOOKUP(B260,cubo!$A$6:$BE$37,40,0)-VLOOKUP(B260,#REF!,$R$2,0),0)</f>
        <v>0</v>
      </c>
      <c r="S260" s="9">
        <f>IFERROR(VLOOKUP(B260,cubo!$A$6:$BE$37,43,0)-VLOOKUP(B260,#REF!,$S$2,0),0)</f>
        <v>0</v>
      </c>
      <c r="T260" s="9">
        <f>IFERROR(VLOOKUP(B260,cubo!$A$6:$BE$37,46,0)-VLOOKUP(B260,#REF!,$T$2,0),0)</f>
        <v>0</v>
      </c>
      <c r="U260" s="9">
        <f>IFERROR(VLOOKUP(B260,cubo!$A$6:$BE$37,51,0)-VLOOKUP(B260,#REF!,$U$2,0),0)</f>
        <v>0</v>
      </c>
      <c r="V260" s="9">
        <f>IFERROR(VLOOKUP(B260,cubo!$A$6:$BJ$37,60,0)-VLOOKUP(B260,#REF!,$V$2,0),0)</f>
        <v>0</v>
      </c>
      <c r="W260" s="9">
        <f>IFERROR(VLOOKUP(B260,cubo!$A$6:$BE$37,26,0)-VLOOKUP(B260,#REF!,$W$2,0),0)</f>
        <v>0</v>
      </c>
      <c r="X260" s="9">
        <f>IFERROR(VLOOKUP(B260,cubo!$A$6:$BE$37,20,0)-VLOOKUP(B260,#REF!,$X$2,0),0)</f>
        <v>0</v>
      </c>
      <c r="Y260" s="9">
        <f>IFERROR(VLOOKUP(B260,cubo!$A$6:$BE$37,21,0)-VLOOKUP(B260,#REF!,$Y$2,0),0)</f>
        <v>0</v>
      </c>
      <c r="Z260" s="9">
        <f>IFERROR(VLOOKUP(B260,cubo!$A$6:$BE$37,27,0)-VLOOKUP(B260,#REF!,$Z$2,0),0)</f>
        <v>0</v>
      </c>
      <c r="AA260" s="9">
        <f>IFERROR(VLOOKUP(B260,cubo!$A$6:$BE$37,28,0)-VLOOKUP(B260,#REF!,$AA$2,0),0)</f>
        <v>0</v>
      </c>
      <c r="AB260" s="9">
        <f>IFERROR(VLOOKUP(B260,cubo!$A$6:$BE$37,29,0)-VLOOKUP(B260,#REF!,$AB$2,0),0)</f>
        <v>0</v>
      </c>
      <c r="AC260" s="9">
        <f>IFERROR(VLOOKUP(B260,cubo!$A$6:$BE$37,30,0)-VLOOKUP(B260,#REF!,$AC$2,0),0)</f>
        <v>0</v>
      </c>
      <c r="AD260" s="9">
        <f>IFERROR(VLOOKUP(B260,cubo!$A$6:$BE$37,31,0)-VLOOKUP(B260,#REF!,$AD$2,0),0)</f>
        <v>0</v>
      </c>
      <c r="AE260" s="9">
        <f>IFERROR(VLOOKUP(B260,cubo!$A$6:$BE$37,35,0)-VLOOKUP(B260,#REF!,$AE$2,0),0)</f>
        <v>0</v>
      </c>
      <c r="AF260" s="9" cm="1">
        <f t="array" aca="1" ref="AF260" ca="1">IFERROR(rrPROCV(B260,cubo!$A$6:$BE$37,48,0)-VLOOKUP(B260,#REF!,$AF$2,0),0)</f>
        <v>0</v>
      </c>
      <c r="AG260" s="9">
        <f>IFERROR(VLOOKUP(B260,cubo!$A$6:$BE$37,49,0)-VLOOKUP(B260,#REF!,$AG$2,0),0)</f>
        <v>0</v>
      </c>
      <c r="AH260" s="9">
        <f>IFERROR(VLOOKUP(B260,cubo!$A$6:$BE$37,50,0)-VLOOKUP(B260,#REF!,$AH$2,0),0)</f>
        <v>0</v>
      </c>
      <c r="AI260" s="9">
        <f>IFERROR(VLOOKUP(B260,cubo!$A$6:$BE$37,51,0)-VLOOKUP(B260,#REF!,$AI$2,0),0)</f>
        <v>0</v>
      </c>
      <c r="AJ260" s="9">
        <f>IFERROR(VLOOKUP(B260,cubo!$A$6:$BI$116,62,0)-VLOOKUP(B260,#REF!,$AJ$2,0),0)</f>
        <v>0</v>
      </c>
      <c r="AK260" s="9">
        <f>IFERROR(VLOOKUP(B260,cubo!$A$6:$BJ$37,63,0)-VLOOKUP(B260,#REF!,$AK$2,0),0)</f>
        <v>0</v>
      </c>
      <c r="AL260" s="9">
        <f>IFERROR(VLOOKUP(B260,cubo!$A$6:$BE$37,58,0)-VLOOKUP(B260,#REF!,$AL$2,0),0)</f>
        <v>0</v>
      </c>
      <c r="AM260" s="9">
        <f>IFERROR(VLOOKUP(B260,cubo!$A$6:$BK$37,64,0)-VLOOKUP(B260,#REF!,$AM$2,0),0)</f>
        <v>0</v>
      </c>
      <c r="AN260" s="9">
        <f>IFERROR(VLOOKUP(B260,cubo!$A$6:$AN$37,41,0)-VLOOKUP(B260,#REF!,$AN$2,0),0)</f>
        <v>0</v>
      </c>
    </row>
    <row r="261" spans="2:40" x14ac:dyDescent="0.25">
      <c r="B261" s="7">
        <f>[1]salario!A260</f>
        <v>0</v>
      </c>
      <c r="C261" s="8">
        <f>[1]salario!C260</f>
        <v>0</v>
      </c>
      <c r="D261" s="9">
        <f>IFERROR(VLOOKUP(B261,cubo!$A$6:$BE$37,3,0)-VLOOKUP(B261,#REF!,$D$2,0),0)</f>
        <v>0</v>
      </c>
      <c r="E261" s="10">
        <f>IFERROR(VLOOKUP(B261,cubo!$A$6:$BE$37,5,0)-VLOOKUP(B261,#REF!,$E$2,0),0)</f>
        <v>0</v>
      </c>
      <c r="F261" s="10">
        <f>IFERROR(VLOOKUP(B261,cubo!$A$6:$BE$37,8,0)-VLOOKUP(B261,#REF!,$F$2,0),0)</f>
        <v>0</v>
      </c>
      <c r="G261" s="9">
        <f>IFERROR(VLOOKUP(B261,cubo!$A$6:$BE$37,11,0)-VLOOKUP(B261,#REF!,$G$2,0),0)</f>
        <v>0</v>
      </c>
      <c r="H261" s="9">
        <f>IFERROR(VLOOKUP(B261,cubo!$A$6:$BE$37,53,0)-VLOOKUP(B261,#REF!,$H$2,0),0)</f>
        <v>0</v>
      </c>
      <c r="I261" s="10">
        <f>IFERROR(VLOOKUP(B261,cubo!$A$6:$BE$37,14,0)-VLOOKUP(B261,#REF!,$I$2,0),0)</f>
        <v>0</v>
      </c>
      <c r="J261" s="9">
        <f>IFERROR(VLOOKUP(B261,cubo!$A$6:$BE$37,16,0)-VLOOKUP(B261,#REF!,$J$2,0),0)</f>
        <v>0</v>
      </c>
      <c r="K261" s="9">
        <f>IFERROR(VLOOKUP(B261,cubo!$A$6:$BE$37,17,0)-VLOOKUP(B261,#REF!,$K$2,0),0)</f>
        <v>0</v>
      </c>
      <c r="L261" s="9">
        <f>IFERROR(VLOOKUP(B261,cubo!$A$6:$BE$37,19,0)-VLOOKUP(B261,#REF!,$L$2,0),0)</f>
        <v>0</v>
      </c>
      <c r="M261" s="9">
        <f>IFERROR(VLOOKUP(B261,cubo!$A$6:$BE$37,23,0)-VLOOKUP(B261,#REF!,$M$2,0),0)</f>
        <v>0</v>
      </c>
      <c r="N261" s="9">
        <f>IFERROR(VLOOKUP(B261,cubo!$A$6:$BE$37,25,0)-VLOOKUP(B261,#REF!,$N$2,0),0)</f>
        <v>0</v>
      </c>
      <c r="O261" s="9">
        <f>IFERROR(VLOOKUP(B261,cubo!$A$6:$BE$37,33,0)-VLOOKUP(B261,#REF!,$O$2,0),0)</f>
        <v>0</v>
      </c>
      <c r="P261" s="8">
        <f>IFERROR(VLOOKUP(B261,cubo!$A$6:$BE$37,37,0)-VLOOKUP(B261,#REF!,$P$2,0),0)</f>
        <v>0</v>
      </c>
      <c r="Q261" s="8">
        <f>IFERROR(VLOOKUP(B261,cubo!$A$6:$BE$37,56,0)-VLOOKUP(B261,#REF!,$Q$2,0),0)</f>
        <v>0</v>
      </c>
      <c r="R261" s="9">
        <f>IFERROR(VLOOKUP(B261,cubo!$A$6:$BE$37,40,0)-VLOOKUP(B261,#REF!,$R$2,0),0)</f>
        <v>0</v>
      </c>
      <c r="S261" s="9">
        <f>IFERROR(VLOOKUP(B261,cubo!$A$6:$BE$37,43,0)-VLOOKUP(B261,#REF!,$S$2,0),0)</f>
        <v>0</v>
      </c>
      <c r="T261" s="9">
        <f>IFERROR(VLOOKUP(B261,cubo!$A$6:$BE$37,46,0)-VLOOKUP(B261,#REF!,$T$2,0),0)</f>
        <v>0</v>
      </c>
      <c r="U261" s="9">
        <f>IFERROR(VLOOKUP(B261,cubo!$A$6:$BE$37,51,0)-VLOOKUP(B261,#REF!,$U$2,0),0)</f>
        <v>0</v>
      </c>
      <c r="V261" s="9">
        <f>IFERROR(VLOOKUP(B261,cubo!$A$6:$BJ$37,60,0)-VLOOKUP(B261,#REF!,$V$2,0),0)</f>
        <v>0</v>
      </c>
      <c r="W261" s="9">
        <f>IFERROR(VLOOKUP(B261,cubo!$A$6:$BE$37,26,0)-VLOOKUP(B261,#REF!,$W$2,0),0)</f>
        <v>0</v>
      </c>
      <c r="X261" s="9">
        <f>IFERROR(VLOOKUP(B261,cubo!$A$6:$BE$37,20,0)-VLOOKUP(B261,#REF!,$X$2,0),0)</f>
        <v>0</v>
      </c>
      <c r="Y261" s="9">
        <f>IFERROR(VLOOKUP(B261,cubo!$A$6:$BE$37,21,0)-VLOOKUP(B261,#REF!,$Y$2,0),0)</f>
        <v>0</v>
      </c>
      <c r="Z261" s="9">
        <f>IFERROR(VLOOKUP(B261,cubo!$A$6:$BE$37,27,0)-VLOOKUP(B261,#REF!,$Z$2,0),0)</f>
        <v>0</v>
      </c>
      <c r="AA261" s="9">
        <f>IFERROR(VLOOKUP(B261,cubo!$A$6:$BE$37,28,0)-VLOOKUP(B261,#REF!,$AA$2,0),0)</f>
        <v>0</v>
      </c>
      <c r="AB261" s="9">
        <f>IFERROR(VLOOKUP(B261,cubo!$A$6:$BE$37,29,0)-VLOOKUP(B261,#REF!,$AB$2,0),0)</f>
        <v>0</v>
      </c>
      <c r="AC261" s="9">
        <f>IFERROR(VLOOKUP(B261,cubo!$A$6:$BE$37,30,0)-VLOOKUP(B261,#REF!,$AC$2,0),0)</f>
        <v>0</v>
      </c>
      <c r="AD261" s="9">
        <f>IFERROR(VLOOKUP(B261,cubo!$A$6:$BE$37,31,0)-VLOOKUP(B261,#REF!,$AD$2,0),0)</f>
        <v>0</v>
      </c>
      <c r="AE261" s="9">
        <f>IFERROR(VLOOKUP(B261,cubo!$A$6:$BE$37,35,0)-VLOOKUP(B261,#REF!,$AE$2,0),0)</f>
        <v>0</v>
      </c>
      <c r="AF261" s="9" cm="1">
        <f t="array" aca="1" ref="AF261" ca="1">IFERROR(rrPROCV(B261,cubo!$A$6:$BE$37,48,0)-VLOOKUP(B261,#REF!,$AF$2,0),0)</f>
        <v>0</v>
      </c>
      <c r="AG261" s="9">
        <f>IFERROR(VLOOKUP(B261,cubo!$A$6:$BE$37,49,0)-VLOOKUP(B261,#REF!,$AG$2,0),0)</f>
        <v>0</v>
      </c>
      <c r="AH261" s="9">
        <f>IFERROR(VLOOKUP(B261,cubo!$A$6:$BE$37,50,0)-VLOOKUP(B261,#REF!,$AH$2,0),0)</f>
        <v>0</v>
      </c>
      <c r="AI261" s="9">
        <f>IFERROR(VLOOKUP(B261,cubo!$A$6:$BE$37,51,0)-VLOOKUP(B261,#REF!,$AI$2,0),0)</f>
        <v>0</v>
      </c>
      <c r="AJ261" s="9">
        <f>IFERROR(VLOOKUP(B261,cubo!$A$6:$BI$116,62,0)-VLOOKUP(B261,#REF!,$AJ$2,0),0)</f>
        <v>0</v>
      </c>
      <c r="AK261" s="9">
        <f>IFERROR(VLOOKUP(B261,cubo!$A$6:$BJ$37,63,0)-VLOOKUP(B261,#REF!,$AK$2,0),0)</f>
        <v>0</v>
      </c>
      <c r="AL261" s="9">
        <f>IFERROR(VLOOKUP(B261,cubo!$A$6:$BE$37,58,0)-VLOOKUP(B261,#REF!,$AL$2,0),0)</f>
        <v>0</v>
      </c>
      <c r="AM261" s="9">
        <f>IFERROR(VLOOKUP(B261,cubo!$A$6:$BK$37,64,0)-VLOOKUP(B261,#REF!,$AM$2,0),0)</f>
        <v>0</v>
      </c>
      <c r="AN261" s="9">
        <f>IFERROR(VLOOKUP(B261,cubo!$A$6:$AN$37,41,0)-VLOOKUP(B261,#REF!,$AN$2,0),0)</f>
        <v>0</v>
      </c>
    </row>
    <row r="262" spans="2:40" x14ac:dyDescent="0.25">
      <c r="B262" s="7">
        <f>[1]salario!A261</f>
        <v>0</v>
      </c>
      <c r="C262" s="8">
        <f>[1]salario!C261</f>
        <v>0</v>
      </c>
      <c r="D262" s="9">
        <f>IFERROR(VLOOKUP(B262,cubo!$A$6:$BE$37,3,0)-VLOOKUP(B262,#REF!,$D$2,0),0)</f>
        <v>0</v>
      </c>
      <c r="E262" s="10">
        <f>IFERROR(VLOOKUP(B262,cubo!$A$6:$BE$37,5,0)-VLOOKUP(B262,#REF!,$E$2,0),0)</f>
        <v>0</v>
      </c>
      <c r="F262" s="10">
        <f>IFERROR(VLOOKUP(B262,cubo!$A$6:$BE$37,8,0)-VLOOKUP(B262,#REF!,$F$2,0),0)</f>
        <v>0</v>
      </c>
      <c r="G262" s="9">
        <f>IFERROR(VLOOKUP(B262,cubo!$A$6:$BE$37,11,0)-VLOOKUP(B262,#REF!,$G$2,0),0)</f>
        <v>0</v>
      </c>
      <c r="H262" s="9">
        <f>IFERROR(VLOOKUP(B262,cubo!$A$6:$BE$37,53,0)-VLOOKUP(B262,#REF!,$H$2,0),0)</f>
        <v>0</v>
      </c>
      <c r="I262" s="10">
        <f>IFERROR(VLOOKUP(B262,cubo!$A$6:$BE$37,14,0)-VLOOKUP(B262,#REF!,$I$2,0),0)</f>
        <v>0</v>
      </c>
      <c r="J262" s="9">
        <f>IFERROR(VLOOKUP(B262,cubo!$A$6:$BE$37,16,0)-VLOOKUP(B262,#REF!,$J$2,0),0)</f>
        <v>0</v>
      </c>
      <c r="K262" s="9">
        <f>IFERROR(VLOOKUP(B262,cubo!$A$6:$BE$37,17,0)-VLOOKUP(B262,#REF!,$K$2,0),0)</f>
        <v>0</v>
      </c>
      <c r="L262" s="9">
        <f>IFERROR(VLOOKUP(B262,cubo!$A$6:$BE$37,19,0)-VLOOKUP(B262,#REF!,$L$2,0),0)</f>
        <v>0</v>
      </c>
      <c r="M262" s="9">
        <f>IFERROR(VLOOKUP(B262,cubo!$A$6:$BE$37,23,0)-VLOOKUP(B262,#REF!,$M$2,0),0)</f>
        <v>0</v>
      </c>
      <c r="N262" s="9">
        <f>IFERROR(VLOOKUP(B262,cubo!$A$6:$BE$37,25,0)-VLOOKUP(B262,#REF!,$N$2,0),0)</f>
        <v>0</v>
      </c>
      <c r="O262" s="9">
        <f>IFERROR(VLOOKUP(B262,cubo!$A$6:$BE$37,33,0)-VLOOKUP(B262,#REF!,$O$2,0),0)</f>
        <v>0</v>
      </c>
      <c r="P262" s="8">
        <f>IFERROR(VLOOKUP(B262,cubo!$A$6:$BE$37,37,0)-VLOOKUP(B262,#REF!,$P$2,0),0)</f>
        <v>0</v>
      </c>
      <c r="Q262" s="8">
        <f>IFERROR(VLOOKUP(B262,cubo!$A$6:$BE$37,56,0)-VLOOKUP(B262,#REF!,$Q$2,0),0)</f>
        <v>0</v>
      </c>
      <c r="R262" s="9">
        <f>IFERROR(VLOOKUP(B262,cubo!$A$6:$BE$37,40,0)-VLOOKUP(B262,#REF!,$R$2,0),0)</f>
        <v>0</v>
      </c>
      <c r="S262" s="9">
        <f>IFERROR(VLOOKUP(B262,cubo!$A$6:$BE$37,43,0)-VLOOKUP(B262,#REF!,$S$2,0),0)</f>
        <v>0</v>
      </c>
      <c r="T262" s="9">
        <f>IFERROR(VLOOKUP(B262,cubo!$A$6:$BE$37,46,0)-VLOOKUP(B262,#REF!,$T$2,0),0)</f>
        <v>0</v>
      </c>
      <c r="U262" s="9">
        <f>IFERROR(VLOOKUP(B262,cubo!$A$6:$BE$37,51,0)-VLOOKUP(B262,#REF!,$U$2,0),0)</f>
        <v>0</v>
      </c>
      <c r="V262" s="9">
        <f>IFERROR(VLOOKUP(B262,cubo!$A$6:$BJ$37,60,0)-VLOOKUP(B262,#REF!,$V$2,0),0)</f>
        <v>0</v>
      </c>
      <c r="W262" s="9">
        <f>IFERROR(VLOOKUP(B262,cubo!$A$6:$BE$37,26,0)-VLOOKUP(B262,#REF!,$W$2,0),0)</f>
        <v>0</v>
      </c>
      <c r="X262" s="9">
        <f>IFERROR(VLOOKUP(B262,cubo!$A$6:$BE$37,20,0)-VLOOKUP(B262,#REF!,$X$2,0),0)</f>
        <v>0</v>
      </c>
      <c r="Y262" s="9">
        <f>IFERROR(VLOOKUP(B262,cubo!$A$6:$BE$37,21,0)-VLOOKUP(B262,#REF!,$Y$2,0),0)</f>
        <v>0</v>
      </c>
      <c r="Z262" s="9">
        <f>IFERROR(VLOOKUP(B262,cubo!$A$6:$BE$37,27,0)-VLOOKUP(B262,#REF!,$Z$2,0),0)</f>
        <v>0</v>
      </c>
      <c r="AA262" s="9">
        <f>IFERROR(VLOOKUP(B262,cubo!$A$6:$BE$37,28,0)-VLOOKUP(B262,#REF!,$AA$2,0),0)</f>
        <v>0</v>
      </c>
      <c r="AB262" s="9">
        <f>IFERROR(VLOOKUP(B262,cubo!$A$6:$BE$37,29,0)-VLOOKUP(B262,#REF!,$AB$2,0),0)</f>
        <v>0</v>
      </c>
      <c r="AC262" s="9">
        <f>IFERROR(VLOOKUP(B262,cubo!$A$6:$BE$37,30,0)-VLOOKUP(B262,#REF!,$AC$2,0),0)</f>
        <v>0</v>
      </c>
      <c r="AD262" s="9">
        <f>IFERROR(VLOOKUP(B262,cubo!$A$6:$BE$37,31,0)-VLOOKUP(B262,#REF!,$AD$2,0),0)</f>
        <v>0</v>
      </c>
      <c r="AE262" s="9">
        <f>IFERROR(VLOOKUP(B262,cubo!$A$6:$BE$37,35,0)-VLOOKUP(B262,#REF!,$AE$2,0),0)</f>
        <v>0</v>
      </c>
      <c r="AF262" s="9" cm="1">
        <f t="array" aca="1" ref="AF262" ca="1">IFERROR(rrPROCV(B262,cubo!$A$6:$BE$37,48,0)-VLOOKUP(B262,#REF!,$AF$2,0),0)</f>
        <v>0</v>
      </c>
      <c r="AG262" s="9">
        <f>IFERROR(VLOOKUP(B262,cubo!$A$6:$BE$37,49,0)-VLOOKUP(B262,#REF!,$AG$2,0),0)</f>
        <v>0</v>
      </c>
      <c r="AH262" s="9">
        <f>IFERROR(VLOOKUP(B262,cubo!$A$6:$BE$37,50,0)-VLOOKUP(B262,#REF!,$AH$2,0),0)</f>
        <v>0</v>
      </c>
      <c r="AI262" s="9">
        <f>IFERROR(VLOOKUP(B262,cubo!$A$6:$BE$37,51,0)-VLOOKUP(B262,#REF!,$AI$2,0),0)</f>
        <v>0</v>
      </c>
      <c r="AJ262" s="9">
        <f>IFERROR(VLOOKUP(B262,cubo!$A$6:$BI$116,62,0)-VLOOKUP(B262,#REF!,$AJ$2,0),0)</f>
        <v>0</v>
      </c>
      <c r="AK262" s="9">
        <f>IFERROR(VLOOKUP(B262,cubo!$A$6:$BJ$37,63,0)-VLOOKUP(B262,#REF!,$AK$2,0),0)</f>
        <v>0</v>
      </c>
      <c r="AL262" s="9">
        <f>IFERROR(VLOOKUP(B262,cubo!$A$6:$BE$37,58,0)-VLOOKUP(B262,#REF!,$AL$2,0),0)</f>
        <v>0</v>
      </c>
      <c r="AM262" s="9">
        <f>IFERROR(VLOOKUP(B262,cubo!$A$6:$BK$37,64,0)-VLOOKUP(B262,#REF!,$AM$2,0),0)</f>
        <v>0</v>
      </c>
      <c r="AN262" s="9">
        <f>IFERROR(VLOOKUP(B262,cubo!$A$6:$AN$37,41,0)-VLOOKUP(B262,#REF!,$AN$2,0),0)</f>
        <v>0</v>
      </c>
    </row>
    <row r="263" spans="2:40" x14ac:dyDescent="0.25">
      <c r="B263" s="7">
        <f>[1]salario!A262</f>
        <v>0</v>
      </c>
      <c r="C263" s="8">
        <f>[1]salario!C262</f>
        <v>0</v>
      </c>
      <c r="D263" s="9">
        <f>IFERROR(VLOOKUP(B263,cubo!$A$6:$BE$37,3,0)-VLOOKUP(B263,#REF!,$D$2,0),0)</f>
        <v>0</v>
      </c>
      <c r="E263" s="10">
        <f>IFERROR(VLOOKUP(B263,cubo!$A$6:$BE$37,5,0)-VLOOKUP(B263,#REF!,$E$2,0),0)</f>
        <v>0</v>
      </c>
      <c r="F263" s="10">
        <f>IFERROR(VLOOKUP(B263,cubo!$A$6:$BE$37,8,0)-VLOOKUP(B263,#REF!,$F$2,0),0)</f>
        <v>0</v>
      </c>
      <c r="G263" s="9">
        <f>IFERROR(VLOOKUP(B263,cubo!$A$6:$BE$37,11,0)-VLOOKUP(B263,#REF!,$G$2,0),0)</f>
        <v>0</v>
      </c>
      <c r="H263" s="9">
        <f>IFERROR(VLOOKUP(B263,cubo!$A$6:$BE$37,53,0)-VLOOKUP(B263,#REF!,$H$2,0),0)</f>
        <v>0</v>
      </c>
      <c r="I263" s="10">
        <f>IFERROR(VLOOKUP(B263,cubo!$A$6:$BE$37,14,0)-VLOOKUP(B263,#REF!,$I$2,0),0)</f>
        <v>0</v>
      </c>
      <c r="J263" s="9">
        <f>IFERROR(VLOOKUP(B263,cubo!$A$6:$BE$37,16,0)-VLOOKUP(B263,#REF!,$J$2,0),0)</f>
        <v>0</v>
      </c>
      <c r="K263" s="9">
        <f>IFERROR(VLOOKUP(B263,cubo!$A$6:$BE$37,17,0)-VLOOKUP(B263,#REF!,$K$2,0),0)</f>
        <v>0</v>
      </c>
      <c r="L263" s="9">
        <f>IFERROR(VLOOKUP(B263,cubo!$A$6:$BE$37,19,0)-VLOOKUP(B263,#REF!,$L$2,0),0)</f>
        <v>0</v>
      </c>
      <c r="M263" s="9">
        <f>IFERROR(VLOOKUP(B263,cubo!$A$6:$BE$37,23,0)-VLOOKUP(B263,#REF!,$M$2,0),0)</f>
        <v>0</v>
      </c>
      <c r="N263" s="9">
        <f>IFERROR(VLOOKUP(B263,cubo!$A$6:$BE$37,25,0)-VLOOKUP(B263,#REF!,$N$2,0),0)</f>
        <v>0</v>
      </c>
      <c r="O263" s="9">
        <f>IFERROR(VLOOKUP(B263,cubo!$A$6:$BE$37,33,0)-VLOOKUP(B263,#REF!,$O$2,0),0)</f>
        <v>0</v>
      </c>
      <c r="P263" s="8">
        <f>IFERROR(VLOOKUP(B263,cubo!$A$6:$BE$37,37,0)-VLOOKUP(B263,#REF!,$P$2,0),0)</f>
        <v>0</v>
      </c>
      <c r="Q263" s="8">
        <f>IFERROR(VLOOKUP(B263,cubo!$A$6:$BE$37,56,0)-VLOOKUP(B263,#REF!,$Q$2,0),0)</f>
        <v>0</v>
      </c>
      <c r="R263" s="9">
        <f>IFERROR(VLOOKUP(B263,cubo!$A$6:$BE$37,40,0)-VLOOKUP(B263,#REF!,$R$2,0),0)</f>
        <v>0</v>
      </c>
      <c r="S263" s="9">
        <f>IFERROR(VLOOKUP(B263,cubo!$A$6:$BE$37,43,0)-VLOOKUP(B263,#REF!,$S$2,0),0)</f>
        <v>0</v>
      </c>
      <c r="T263" s="9">
        <f>IFERROR(VLOOKUP(B263,cubo!$A$6:$BE$37,46,0)-VLOOKUP(B263,#REF!,$T$2,0),0)</f>
        <v>0</v>
      </c>
      <c r="U263" s="9">
        <f>IFERROR(VLOOKUP(B263,cubo!$A$6:$BE$37,51,0)-VLOOKUP(B263,#REF!,$U$2,0),0)</f>
        <v>0</v>
      </c>
      <c r="V263" s="9">
        <f>IFERROR(VLOOKUP(B263,cubo!$A$6:$BJ$37,60,0)-VLOOKUP(B263,#REF!,$V$2,0),0)</f>
        <v>0</v>
      </c>
      <c r="W263" s="9">
        <f>IFERROR(VLOOKUP(B263,cubo!$A$6:$BE$37,26,0)-VLOOKUP(B263,#REF!,$W$2,0),0)</f>
        <v>0</v>
      </c>
      <c r="X263" s="9">
        <f>IFERROR(VLOOKUP(B263,cubo!$A$6:$BE$37,20,0)-VLOOKUP(B263,#REF!,$X$2,0),0)</f>
        <v>0</v>
      </c>
      <c r="Y263" s="9">
        <f>IFERROR(VLOOKUP(B263,cubo!$A$6:$BE$37,21,0)-VLOOKUP(B263,#REF!,$Y$2,0),0)</f>
        <v>0</v>
      </c>
      <c r="Z263" s="9">
        <f>IFERROR(VLOOKUP(B263,cubo!$A$6:$BE$37,27,0)-VLOOKUP(B263,#REF!,$Z$2,0),0)</f>
        <v>0</v>
      </c>
      <c r="AA263" s="9">
        <f>IFERROR(VLOOKUP(B263,cubo!$A$6:$BE$37,28,0)-VLOOKUP(B263,#REF!,$AA$2,0),0)</f>
        <v>0</v>
      </c>
      <c r="AB263" s="9">
        <f>IFERROR(VLOOKUP(B263,cubo!$A$6:$BE$37,29,0)-VLOOKUP(B263,#REF!,$AB$2,0),0)</f>
        <v>0</v>
      </c>
      <c r="AC263" s="9">
        <f>IFERROR(VLOOKUP(B263,cubo!$A$6:$BE$37,30,0)-VLOOKUP(B263,#REF!,$AC$2,0),0)</f>
        <v>0</v>
      </c>
      <c r="AD263" s="9">
        <f>IFERROR(VLOOKUP(B263,cubo!$A$6:$BE$37,31,0)-VLOOKUP(B263,#REF!,$AD$2,0),0)</f>
        <v>0</v>
      </c>
      <c r="AE263" s="9">
        <f>IFERROR(VLOOKUP(B263,cubo!$A$6:$BE$37,35,0)-VLOOKUP(B263,#REF!,$AE$2,0),0)</f>
        <v>0</v>
      </c>
      <c r="AF263" s="9" cm="1">
        <f t="array" aca="1" ref="AF263" ca="1">IFERROR(rrPROCV(B263,cubo!$A$6:$BE$37,48,0)-VLOOKUP(B263,#REF!,$AF$2,0),0)</f>
        <v>0</v>
      </c>
      <c r="AG263" s="9">
        <f>IFERROR(VLOOKUP(B263,cubo!$A$6:$BE$37,49,0)-VLOOKUP(B263,#REF!,$AG$2,0),0)</f>
        <v>0</v>
      </c>
      <c r="AH263" s="9">
        <f>IFERROR(VLOOKUP(B263,cubo!$A$6:$BE$37,50,0)-VLOOKUP(B263,#REF!,$AH$2,0),0)</f>
        <v>0</v>
      </c>
      <c r="AI263" s="9">
        <f>IFERROR(VLOOKUP(B263,cubo!$A$6:$BE$37,51,0)-VLOOKUP(B263,#REF!,$AI$2,0),0)</f>
        <v>0</v>
      </c>
      <c r="AJ263" s="9">
        <f>IFERROR(VLOOKUP(B263,cubo!$A$6:$BI$116,62,0)-VLOOKUP(B263,#REF!,$AJ$2,0),0)</f>
        <v>0</v>
      </c>
      <c r="AK263" s="9">
        <f>IFERROR(VLOOKUP(B263,cubo!$A$6:$BJ$37,63,0)-VLOOKUP(B263,#REF!,$AK$2,0),0)</f>
        <v>0</v>
      </c>
      <c r="AL263" s="9">
        <f>IFERROR(VLOOKUP(B263,cubo!$A$6:$BE$37,58,0)-VLOOKUP(B263,#REF!,$AL$2,0),0)</f>
        <v>0</v>
      </c>
      <c r="AM263" s="9">
        <f>IFERROR(VLOOKUP(B263,cubo!$A$6:$BK$37,64,0)-VLOOKUP(B263,#REF!,$AM$2,0),0)</f>
        <v>0</v>
      </c>
      <c r="AN263" s="9">
        <f>IFERROR(VLOOKUP(B263,cubo!$A$6:$AN$37,41,0)-VLOOKUP(B263,#REF!,$AN$2,0),0)</f>
        <v>0</v>
      </c>
    </row>
    <row r="264" spans="2:40" x14ac:dyDescent="0.25">
      <c r="B264" s="7">
        <f>[1]salario!A263</f>
        <v>0</v>
      </c>
      <c r="C264" s="8">
        <f>[1]salario!C263</f>
        <v>0</v>
      </c>
      <c r="D264" s="9">
        <f>IFERROR(VLOOKUP(B264,cubo!$A$6:$BE$37,3,0)-VLOOKUP(B264,#REF!,$D$2,0),0)</f>
        <v>0</v>
      </c>
      <c r="E264" s="10">
        <f>IFERROR(VLOOKUP(B264,cubo!$A$6:$BE$37,5,0)-VLOOKUP(B264,#REF!,$E$2,0),0)</f>
        <v>0</v>
      </c>
      <c r="F264" s="10">
        <f>IFERROR(VLOOKUP(B264,cubo!$A$6:$BE$37,8,0)-VLOOKUP(B264,#REF!,$F$2,0),0)</f>
        <v>0</v>
      </c>
      <c r="G264" s="9">
        <f>IFERROR(VLOOKUP(B264,cubo!$A$6:$BE$37,11,0)-VLOOKUP(B264,#REF!,$G$2,0),0)</f>
        <v>0</v>
      </c>
      <c r="H264" s="9">
        <f>IFERROR(VLOOKUP(B264,cubo!$A$6:$BE$37,53,0)-VLOOKUP(B264,#REF!,$H$2,0),0)</f>
        <v>0</v>
      </c>
      <c r="I264" s="10">
        <f>IFERROR(VLOOKUP(B264,cubo!$A$6:$BE$37,14,0)-VLOOKUP(B264,#REF!,$I$2,0),0)</f>
        <v>0</v>
      </c>
      <c r="J264" s="9">
        <f>IFERROR(VLOOKUP(B264,cubo!$A$6:$BE$37,16,0)-VLOOKUP(B264,#REF!,$J$2,0),0)</f>
        <v>0</v>
      </c>
      <c r="K264" s="9">
        <f>IFERROR(VLOOKUP(B264,cubo!$A$6:$BE$37,17,0)-VLOOKUP(B264,#REF!,$K$2,0),0)</f>
        <v>0</v>
      </c>
      <c r="L264" s="9">
        <f>IFERROR(VLOOKUP(B264,cubo!$A$6:$BE$37,19,0)-VLOOKUP(B264,#REF!,$L$2,0),0)</f>
        <v>0</v>
      </c>
      <c r="M264" s="9">
        <f>IFERROR(VLOOKUP(B264,cubo!$A$6:$BE$37,23,0)-VLOOKUP(B264,#REF!,$M$2,0),0)</f>
        <v>0</v>
      </c>
      <c r="N264" s="9">
        <f>IFERROR(VLOOKUP(B264,cubo!$A$6:$BE$37,25,0)-VLOOKUP(B264,#REF!,$N$2,0),0)</f>
        <v>0</v>
      </c>
      <c r="O264" s="9">
        <f>IFERROR(VLOOKUP(B264,cubo!$A$6:$BE$37,33,0)-VLOOKUP(B264,#REF!,$O$2,0),0)</f>
        <v>0</v>
      </c>
      <c r="P264" s="8">
        <f>IFERROR(VLOOKUP(B264,cubo!$A$6:$BE$37,37,0)-VLOOKUP(B264,#REF!,$P$2,0),0)</f>
        <v>0</v>
      </c>
      <c r="Q264" s="8">
        <f>IFERROR(VLOOKUP(B264,cubo!$A$6:$BE$37,56,0)-VLOOKUP(B264,#REF!,$Q$2,0),0)</f>
        <v>0</v>
      </c>
      <c r="R264" s="9">
        <f>IFERROR(VLOOKUP(B264,cubo!$A$6:$BE$37,40,0)-VLOOKUP(B264,#REF!,$R$2,0),0)</f>
        <v>0</v>
      </c>
      <c r="S264" s="9">
        <f>IFERROR(VLOOKUP(B264,cubo!$A$6:$BE$37,43,0)-VLOOKUP(B264,#REF!,$S$2,0),0)</f>
        <v>0</v>
      </c>
      <c r="T264" s="9">
        <f>IFERROR(VLOOKUP(B264,cubo!$A$6:$BE$37,46,0)-VLOOKUP(B264,#REF!,$T$2,0),0)</f>
        <v>0</v>
      </c>
      <c r="U264" s="9">
        <f>IFERROR(VLOOKUP(B264,cubo!$A$6:$BE$37,51,0)-VLOOKUP(B264,#REF!,$U$2,0),0)</f>
        <v>0</v>
      </c>
      <c r="V264" s="9">
        <f>IFERROR(VLOOKUP(B264,cubo!$A$6:$BJ$37,60,0)-VLOOKUP(B264,#REF!,$V$2,0),0)</f>
        <v>0</v>
      </c>
      <c r="W264" s="9">
        <f>IFERROR(VLOOKUP(B264,cubo!$A$6:$BE$37,26,0)-VLOOKUP(B264,#REF!,$W$2,0),0)</f>
        <v>0</v>
      </c>
      <c r="X264" s="9">
        <f>IFERROR(VLOOKUP(B264,cubo!$A$6:$BE$37,20,0)-VLOOKUP(B264,#REF!,$X$2,0),0)</f>
        <v>0</v>
      </c>
      <c r="Y264" s="9">
        <f>IFERROR(VLOOKUP(B264,cubo!$A$6:$BE$37,21,0)-VLOOKUP(B264,#REF!,$Y$2,0),0)</f>
        <v>0</v>
      </c>
      <c r="Z264" s="9">
        <f>IFERROR(VLOOKUP(B264,cubo!$A$6:$BE$37,27,0)-VLOOKUP(B264,#REF!,$Z$2,0),0)</f>
        <v>0</v>
      </c>
      <c r="AA264" s="9">
        <f>IFERROR(VLOOKUP(B264,cubo!$A$6:$BE$37,28,0)-VLOOKUP(B264,#REF!,$AA$2,0),0)</f>
        <v>0</v>
      </c>
      <c r="AB264" s="9">
        <f>IFERROR(VLOOKUP(B264,cubo!$A$6:$BE$37,29,0)-VLOOKUP(B264,#REF!,$AB$2,0),0)</f>
        <v>0</v>
      </c>
      <c r="AC264" s="9">
        <f>IFERROR(VLOOKUP(B264,cubo!$A$6:$BE$37,30,0)-VLOOKUP(B264,#REF!,$AC$2,0),0)</f>
        <v>0</v>
      </c>
      <c r="AD264" s="9">
        <f>IFERROR(VLOOKUP(B264,cubo!$A$6:$BE$37,31,0)-VLOOKUP(B264,#REF!,$AD$2,0),0)</f>
        <v>0</v>
      </c>
      <c r="AE264" s="9">
        <f>IFERROR(VLOOKUP(B264,cubo!$A$6:$BE$37,35,0)-VLOOKUP(B264,#REF!,$AE$2,0),0)</f>
        <v>0</v>
      </c>
      <c r="AF264" s="9" cm="1">
        <f t="array" aca="1" ref="AF264" ca="1">IFERROR(rrPROCV(B264,cubo!$A$6:$BE$37,48,0)-VLOOKUP(B264,#REF!,$AF$2,0),0)</f>
        <v>0</v>
      </c>
      <c r="AG264" s="9">
        <f>IFERROR(VLOOKUP(B264,cubo!$A$6:$BE$37,49,0)-VLOOKUP(B264,#REF!,$AG$2,0),0)</f>
        <v>0</v>
      </c>
      <c r="AH264" s="9">
        <f>IFERROR(VLOOKUP(B264,cubo!$A$6:$BE$37,50,0)-VLOOKUP(B264,#REF!,$AH$2,0),0)</f>
        <v>0</v>
      </c>
      <c r="AI264" s="9">
        <f>IFERROR(VLOOKUP(B264,cubo!$A$6:$BE$37,51,0)-VLOOKUP(B264,#REF!,$AI$2,0),0)</f>
        <v>0</v>
      </c>
      <c r="AJ264" s="9">
        <f>IFERROR(VLOOKUP(B264,cubo!$A$6:$BI$116,62,0)-VLOOKUP(B264,#REF!,$AJ$2,0),0)</f>
        <v>0</v>
      </c>
      <c r="AK264" s="9">
        <f>IFERROR(VLOOKUP(B264,cubo!$A$6:$BJ$37,63,0)-VLOOKUP(B264,#REF!,$AK$2,0),0)</f>
        <v>0</v>
      </c>
      <c r="AL264" s="9">
        <f>IFERROR(VLOOKUP(B264,cubo!$A$6:$BE$37,58,0)-VLOOKUP(B264,#REF!,$AL$2,0),0)</f>
        <v>0</v>
      </c>
      <c r="AM264" s="9">
        <f>IFERROR(VLOOKUP(B264,cubo!$A$6:$BK$37,64,0)-VLOOKUP(B264,#REF!,$AM$2,0),0)</f>
        <v>0</v>
      </c>
      <c r="AN264" s="9">
        <f>IFERROR(VLOOKUP(B264,cubo!$A$6:$AN$37,41,0)-VLOOKUP(B264,#REF!,$AN$2,0),0)</f>
        <v>0</v>
      </c>
    </row>
    <row r="265" spans="2:40" x14ac:dyDescent="0.25">
      <c r="B265" s="7">
        <f>[1]salario!A264</f>
        <v>0</v>
      </c>
      <c r="C265" s="8">
        <f>[1]salario!C264</f>
        <v>0</v>
      </c>
      <c r="D265" s="9">
        <f>IFERROR(VLOOKUP(B265,cubo!$A$6:$BE$37,3,0)-VLOOKUP(B265,#REF!,$D$2,0),0)</f>
        <v>0</v>
      </c>
      <c r="E265" s="10">
        <f>IFERROR(VLOOKUP(B265,cubo!$A$6:$BE$37,5,0)-VLOOKUP(B265,#REF!,$E$2,0),0)</f>
        <v>0</v>
      </c>
      <c r="F265" s="10">
        <f>IFERROR(VLOOKUP(B265,cubo!$A$6:$BE$37,8,0)-VLOOKUP(B265,#REF!,$F$2,0),0)</f>
        <v>0</v>
      </c>
      <c r="G265" s="9">
        <f>IFERROR(VLOOKUP(B265,cubo!$A$6:$BE$37,11,0)-VLOOKUP(B265,#REF!,$G$2,0),0)</f>
        <v>0</v>
      </c>
      <c r="H265" s="9">
        <f>IFERROR(VLOOKUP(B265,cubo!$A$6:$BE$37,53,0)-VLOOKUP(B265,#REF!,$H$2,0),0)</f>
        <v>0</v>
      </c>
      <c r="I265" s="10">
        <f>IFERROR(VLOOKUP(B265,cubo!$A$6:$BE$37,14,0)-VLOOKUP(B265,#REF!,$I$2,0),0)</f>
        <v>0</v>
      </c>
      <c r="J265" s="9">
        <f>IFERROR(VLOOKUP(B265,cubo!$A$6:$BE$37,16,0)-VLOOKUP(B265,#REF!,$J$2,0),0)</f>
        <v>0</v>
      </c>
      <c r="K265" s="9">
        <f>IFERROR(VLOOKUP(B265,cubo!$A$6:$BE$37,17,0)-VLOOKUP(B265,#REF!,$K$2,0),0)</f>
        <v>0</v>
      </c>
      <c r="L265" s="9">
        <f>IFERROR(VLOOKUP(B265,cubo!$A$6:$BE$37,19,0)-VLOOKUP(B265,#REF!,$L$2,0),0)</f>
        <v>0</v>
      </c>
      <c r="M265" s="9">
        <f>IFERROR(VLOOKUP(B265,cubo!$A$6:$BE$37,23,0)-VLOOKUP(B265,#REF!,$M$2,0),0)</f>
        <v>0</v>
      </c>
      <c r="N265" s="9">
        <f>IFERROR(VLOOKUP(B265,cubo!$A$6:$BE$37,25,0)-VLOOKUP(B265,#REF!,$N$2,0),0)</f>
        <v>0</v>
      </c>
      <c r="O265" s="9">
        <f>IFERROR(VLOOKUP(B265,cubo!$A$6:$BE$37,33,0)-VLOOKUP(B265,#REF!,$O$2,0),0)</f>
        <v>0</v>
      </c>
      <c r="P265" s="8">
        <f>IFERROR(VLOOKUP(B265,cubo!$A$6:$BE$37,37,0)-VLOOKUP(B265,#REF!,$P$2,0),0)</f>
        <v>0</v>
      </c>
      <c r="Q265" s="8">
        <f>IFERROR(VLOOKUP(B265,cubo!$A$6:$BE$37,56,0)-VLOOKUP(B265,#REF!,$Q$2,0),0)</f>
        <v>0</v>
      </c>
      <c r="R265" s="9">
        <f>IFERROR(VLOOKUP(B265,cubo!$A$6:$BE$37,40,0)-VLOOKUP(B265,#REF!,$R$2,0),0)</f>
        <v>0</v>
      </c>
      <c r="S265" s="9">
        <f>IFERROR(VLOOKUP(B265,cubo!$A$6:$BE$37,43,0)-VLOOKUP(B265,#REF!,$S$2,0),0)</f>
        <v>0</v>
      </c>
      <c r="T265" s="9">
        <f>IFERROR(VLOOKUP(B265,cubo!$A$6:$BE$37,46,0)-VLOOKUP(B265,#REF!,$T$2,0),0)</f>
        <v>0</v>
      </c>
      <c r="U265" s="9">
        <f>IFERROR(VLOOKUP(B265,cubo!$A$6:$BE$37,51,0)-VLOOKUP(B265,#REF!,$U$2,0),0)</f>
        <v>0</v>
      </c>
      <c r="V265" s="9">
        <f>IFERROR(VLOOKUP(B265,cubo!$A$6:$BJ$37,60,0)-VLOOKUP(B265,#REF!,$V$2,0),0)</f>
        <v>0</v>
      </c>
      <c r="W265" s="9">
        <f>IFERROR(VLOOKUP(B265,cubo!$A$6:$BE$37,26,0)-VLOOKUP(B265,#REF!,$W$2,0),0)</f>
        <v>0</v>
      </c>
      <c r="X265" s="9">
        <f>IFERROR(VLOOKUP(B265,cubo!$A$6:$BE$37,20,0)-VLOOKUP(B265,#REF!,$X$2,0),0)</f>
        <v>0</v>
      </c>
      <c r="Y265" s="9">
        <f>IFERROR(VLOOKUP(B265,cubo!$A$6:$BE$37,21,0)-VLOOKUP(B265,#REF!,$Y$2,0),0)</f>
        <v>0</v>
      </c>
      <c r="Z265" s="9">
        <f>IFERROR(VLOOKUP(B265,cubo!$A$6:$BE$37,27,0)-VLOOKUP(B265,#REF!,$Z$2,0),0)</f>
        <v>0</v>
      </c>
      <c r="AA265" s="9">
        <f>IFERROR(VLOOKUP(B265,cubo!$A$6:$BE$37,28,0)-VLOOKUP(B265,#REF!,$AA$2,0),0)</f>
        <v>0</v>
      </c>
      <c r="AB265" s="9">
        <f>IFERROR(VLOOKUP(B265,cubo!$A$6:$BE$37,29,0)-VLOOKUP(B265,#REF!,$AB$2,0),0)</f>
        <v>0</v>
      </c>
      <c r="AC265" s="9">
        <f>IFERROR(VLOOKUP(B265,cubo!$A$6:$BE$37,30,0)-VLOOKUP(B265,#REF!,$AC$2,0),0)</f>
        <v>0</v>
      </c>
      <c r="AD265" s="9">
        <f>IFERROR(VLOOKUP(B265,cubo!$A$6:$BE$37,31,0)-VLOOKUP(B265,#REF!,$AD$2,0),0)</f>
        <v>0</v>
      </c>
      <c r="AE265" s="9">
        <f>IFERROR(VLOOKUP(B265,cubo!$A$6:$BE$37,35,0)-VLOOKUP(B265,#REF!,$AE$2,0),0)</f>
        <v>0</v>
      </c>
      <c r="AF265" s="9" cm="1">
        <f t="array" aca="1" ref="AF265" ca="1">IFERROR(rrPROCV(B265,cubo!$A$6:$BE$37,48,0)-VLOOKUP(B265,#REF!,$AF$2,0),0)</f>
        <v>0</v>
      </c>
      <c r="AG265" s="9">
        <f>IFERROR(VLOOKUP(B265,cubo!$A$6:$BE$37,49,0)-VLOOKUP(B265,#REF!,$AG$2,0),0)</f>
        <v>0</v>
      </c>
      <c r="AH265" s="9">
        <f>IFERROR(VLOOKUP(B265,cubo!$A$6:$BE$37,50,0)-VLOOKUP(B265,#REF!,$AH$2,0),0)</f>
        <v>0</v>
      </c>
      <c r="AI265" s="9">
        <f>IFERROR(VLOOKUP(B265,cubo!$A$6:$BE$37,51,0)-VLOOKUP(B265,#REF!,$AI$2,0),0)</f>
        <v>0</v>
      </c>
      <c r="AJ265" s="9">
        <f>IFERROR(VLOOKUP(B265,cubo!$A$6:$BI$116,62,0)-VLOOKUP(B265,#REF!,$AJ$2,0),0)</f>
        <v>0</v>
      </c>
      <c r="AK265" s="9">
        <f>IFERROR(VLOOKUP(B265,cubo!$A$6:$BJ$37,63,0)-VLOOKUP(B265,#REF!,$AK$2,0),0)</f>
        <v>0</v>
      </c>
      <c r="AL265" s="9">
        <f>IFERROR(VLOOKUP(B265,cubo!$A$6:$BE$37,58,0)-VLOOKUP(B265,#REF!,$AL$2,0),0)</f>
        <v>0</v>
      </c>
      <c r="AM265" s="9">
        <f>IFERROR(VLOOKUP(B265,cubo!$A$6:$BK$37,64,0)-VLOOKUP(B265,#REF!,$AM$2,0),0)</f>
        <v>0</v>
      </c>
      <c r="AN265" s="9">
        <f>IFERROR(VLOOKUP(B265,cubo!$A$6:$AN$37,41,0)-VLOOKUP(B265,#REF!,$AN$2,0),0)</f>
        <v>0</v>
      </c>
    </row>
    <row r="266" spans="2:40" x14ac:dyDescent="0.25">
      <c r="B266" s="7">
        <f>[1]salario!A265</f>
        <v>0</v>
      </c>
      <c r="C266" s="8">
        <f>[1]salario!C265</f>
        <v>0</v>
      </c>
      <c r="D266" s="9">
        <f>IFERROR(VLOOKUP(B266,cubo!$A$6:$BE$37,3,0)-VLOOKUP(B266,#REF!,$D$2,0),0)</f>
        <v>0</v>
      </c>
      <c r="E266" s="10">
        <f>IFERROR(VLOOKUP(B266,cubo!$A$6:$BE$37,5,0)-VLOOKUP(B266,#REF!,$E$2,0),0)</f>
        <v>0</v>
      </c>
      <c r="F266" s="10">
        <f>IFERROR(VLOOKUP(B266,cubo!$A$6:$BE$37,8,0)-VLOOKUP(B266,#REF!,$F$2,0),0)</f>
        <v>0</v>
      </c>
      <c r="G266" s="9">
        <f>IFERROR(VLOOKUP(B266,cubo!$A$6:$BE$37,11,0)-VLOOKUP(B266,#REF!,$G$2,0),0)</f>
        <v>0</v>
      </c>
      <c r="H266" s="9">
        <f>IFERROR(VLOOKUP(B266,cubo!$A$6:$BE$37,53,0)-VLOOKUP(B266,#REF!,$H$2,0),0)</f>
        <v>0</v>
      </c>
      <c r="I266" s="10">
        <f>IFERROR(VLOOKUP(B266,cubo!$A$6:$BE$37,14,0)-VLOOKUP(B266,#REF!,$I$2,0),0)</f>
        <v>0</v>
      </c>
      <c r="J266" s="9">
        <f>IFERROR(VLOOKUP(B266,cubo!$A$6:$BE$37,16,0)-VLOOKUP(B266,#REF!,$J$2,0),0)</f>
        <v>0</v>
      </c>
      <c r="K266" s="9">
        <f>IFERROR(VLOOKUP(B266,cubo!$A$6:$BE$37,17,0)-VLOOKUP(B266,#REF!,$K$2,0),0)</f>
        <v>0</v>
      </c>
      <c r="L266" s="9">
        <f>IFERROR(VLOOKUP(B266,cubo!$A$6:$BE$37,19,0)-VLOOKUP(B266,#REF!,$L$2,0),0)</f>
        <v>0</v>
      </c>
      <c r="M266" s="9">
        <f>IFERROR(VLOOKUP(B266,cubo!$A$6:$BE$37,23,0)-VLOOKUP(B266,#REF!,$M$2,0),0)</f>
        <v>0</v>
      </c>
      <c r="N266" s="9">
        <f>IFERROR(VLOOKUP(B266,cubo!$A$6:$BE$37,25,0)-VLOOKUP(B266,#REF!,$N$2,0),0)</f>
        <v>0</v>
      </c>
      <c r="O266" s="9">
        <f>IFERROR(VLOOKUP(B266,cubo!$A$6:$BE$37,33,0)-VLOOKUP(B266,#REF!,$O$2,0),0)</f>
        <v>0</v>
      </c>
      <c r="P266" s="8">
        <f>IFERROR(VLOOKUP(B266,cubo!$A$6:$BE$37,37,0)-VLOOKUP(B266,#REF!,$P$2,0),0)</f>
        <v>0</v>
      </c>
      <c r="Q266" s="8">
        <f>IFERROR(VLOOKUP(B266,cubo!$A$6:$BE$37,56,0)-VLOOKUP(B266,#REF!,$Q$2,0),0)</f>
        <v>0</v>
      </c>
      <c r="R266" s="9">
        <f>IFERROR(VLOOKUP(B266,cubo!$A$6:$BE$37,40,0)-VLOOKUP(B266,#REF!,$R$2,0),0)</f>
        <v>0</v>
      </c>
      <c r="S266" s="9">
        <f>IFERROR(VLOOKUP(B266,cubo!$A$6:$BE$37,43,0)-VLOOKUP(B266,#REF!,$S$2,0),0)</f>
        <v>0</v>
      </c>
      <c r="T266" s="9">
        <f>IFERROR(VLOOKUP(B266,cubo!$A$6:$BE$37,46,0)-VLOOKUP(B266,#REF!,$T$2,0),0)</f>
        <v>0</v>
      </c>
      <c r="U266" s="9">
        <f>IFERROR(VLOOKUP(B266,cubo!$A$6:$BE$37,51,0)-VLOOKUP(B266,#REF!,$U$2,0),0)</f>
        <v>0</v>
      </c>
      <c r="V266" s="9">
        <f>IFERROR(VLOOKUP(B266,cubo!$A$6:$BJ$37,60,0)-VLOOKUP(B266,#REF!,$V$2,0),0)</f>
        <v>0</v>
      </c>
      <c r="W266" s="9">
        <f>IFERROR(VLOOKUP(B266,cubo!$A$6:$BE$37,26,0)-VLOOKUP(B266,#REF!,$W$2,0),0)</f>
        <v>0</v>
      </c>
      <c r="X266" s="9">
        <f>IFERROR(VLOOKUP(B266,cubo!$A$6:$BE$37,20,0)-VLOOKUP(B266,#REF!,$X$2,0),0)</f>
        <v>0</v>
      </c>
      <c r="Y266" s="9">
        <f>IFERROR(VLOOKUP(B266,cubo!$A$6:$BE$37,21,0)-VLOOKUP(B266,#REF!,$Y$2,0),0)</f>
        <v>0</v>
      </c>
      <c r="Z266" s="9">
        <f>IFERROR(VLOOKUP(B266,cubo!$A$6:$BE$37,27,0)-VLOOKUP(B266,#REF!,$Z$2,0),0)</f>
        <v>0</v>
      </c>
      <c r="AA266" s="9">
        <f>IFERROR(VLOOKUP(B266,cubo!$A$6:$BE$37,28,0)-VLOOKUP(B266,#REF!,$AA$2,0),0)</f>
        <v>0</v>
      </c>
      <c r="AB266" s="9">
        <f>IFERROR(VLOOKUP(B266,cubo!$A$6:$BE$37,29,0)-VLOOKUP(B266,#REF!,$AB$2,0),0)</f>
        <v>0</v>
      </c>
      <c r="AC266" s="9">
        <f>IFERROR(VLOOKUP(B266,cubo!$A$6:$BE$37,30,0)-VLOOKUP(B266,#REF!,$AC$2,0),0)</f>
        <v>0</v>
      </c>
      <c r="AD266" s="9">
        <f>IFERROR(VLOOKUP(B266,cubo!$A$6:$BE$37,31,0)-VLOOKUP(B266,#REF!,$AD$2,0),0)</f>
        <v>0</v>
      </c>
      <c r="AE266" s="9">
        <f>IFERROR(VLOOKUP(B266,cubo!$A$6:$BE$37,35,0)-VLOOKUP(B266,#REF!,$AE$2,0),0)</f>
        <v>0</v>
      </c>
      <c r="AF266" s="9" cm="1">
        <f t="array" aca="1" ref="AF266" ca="1">IFERROR(rrPROCV(B266,cubo!$A$6:$BE$37,48,0)-VLOOKUP(B266,#REF!,$AF$2,0),0)</f>
        <v>0</v>
      </c>
      <c r="AG266" s="9">
        <f>IFERROR(VLOOKUP(B266,cubo!$A$6:$BE$37,49,0)-VLOOKUP(B266,#REF!,$AG$2,0),0)</f>
        <v>0</v>
      </c>
      <c r="AH266" s="9">
        <f>IFERROR(VLOOKUP(B266,cubo!$A$6:$BE$37,50,0)-VLOOKUP(B266,#REF!,$AH$2,0),0)</f>
        <v>0</v>
      </c>
      <c r="AI266" s="9">
        <f>IFERROR(VLOOKUP(B266,cubo!$A$6:$BE$37,51,0)-VLOOKUP(B266,#REF!,$AI$2,0),0)</f>
        <v>0</v>
      </c>
      <c r="AJ266" s="9">
        <f>IFERROR(VLOOKUP(B266,cubo!$A$6:$BI$116,62,0)-VLOOKUP(B266,#REF!,$AJ$2,0),0)</f>
        <v>0</v>
      </c>
      <c r="AK266" s="9">
        <f>IFERROR(VLOOKUP(B266,cubo!$A$6:$BJ$37,63,0)-VLOOKUP(B266,#REF!,$AK$2,0),0)</f>
        <v>0</v>
      </c>
      <c r="AL266" s="9">
        <f>IFERROR(VLOOKUP(B266,cubo!$A$6:$BE$37,58,0)-VLOOKUP(B266,#REF!,$AL$2,0),0)</f>
        <v>0</v>
      </c>
      <c r="AM266" s="9">
        <f>IFERROR(VLOOKUP(B266,cubo!$A$6:$BK$37,64,0)-VLOOKUP(B266,#REF!,$AM$2,0),0)</f>
        <v>0</v>
      </c>
      <c r="AN266" s="9">
        <f>IFERROR(VLOOKUP(B266,cubo!$A$6:$AN$37,41,0)-VLOOKUP(B266,#REF!,$AN$2,0),0)</f>
        <v>0</v>
      </c>
    </row>
    <row r="267" spans="2:40" x14ac:dyDescent="0.25">
      <c r="B267" s="7">
        <f>[1]salario!A266</f>
        <v>0</v>
      </c>
      <c r="C267" s="8">
        <f>[1]salario!C266</f>
        <v>0</v>
      </c>
      <c r="D267" s="9">
        <f>IFERROR(VLOOKUP(B267,cubo!$A$6:$BE$37,3,0)-VLOOKUP(B267,#REF!,$D$2,0),0)</f>
        <v>0</v>
      </c>
      <c r="E267" s="10">
        <f>IFERROR(VLOOKUP(B267,cubo!$A$6:$BE$37,5,0)-VLOOKUP(B267,#REF!,$E$2,0),0)</f>
        <v>0</v>
      </c>
      <c r="F267" s="10">
        <f>IFERROR(VLOOKUP(B267,cubo!$A$6:$BE$37,8,0)-VLOOKUP(B267,#REF!,$F$2,0),0)</f>
        <v>0</v>
      </c>
      <c r="G267" s="9">
        <f>IFERROR(VLOOKUP(B267,cubo!$A$6:$BE$37,11,0)-VLOOKUP(B267,#REF!,$G$2,0),0)</f>
        <v>0</v>
      </c>
      <c r="H267" s="9">
        <f>IFERROR(VLOOKUP(B267,cubo!$A$6:$BE$37,53,0)-VLOOKUP(B267,#REF!,$H$2,0),0)</f>
        <v>0</v>
      </c>
      <c r="I267" s="10">
        <f>IFERROR(VLOOKUP(B267,cubo!$A$6:$BE$37,14,0)-VLOOKUP(B267,#REF!,$I$2,0),0)</f>
        <v>0</v>
      </c>
      <c r="J267" s="9">
        <f>IFERROR(VLOOKUP(B267,cubo!$A$6:$BE$37,16,0)-VLOOKUP(B267,#REF!,$J$2,0),0)</f>
        <v>0</v>
      </c>
      <c r="K267" s="9">
        <f>IFERROR(VLOOKUP(B267,cubo!$A$6:$BE$37,17,0)-VLOOKUP(B267,#REF!,$K$2,0),0)</f>
        <v>0</v>
      </c>
      <c r="L267" s="9">
        <f>IFERROR(VLOOKUP(B267,cubo!$A$6:$BE$37,19,0)-VLOOKUP(B267,#REF!,$L$2,0),0)</f>
        <v>0</v>
      </c>
      <c r="M267" s="9">
        <f>IFERROR(VLOOKUP(B267,cubo!$A$6:$BE$37,23,0)-VLOOKUP(B267,#REF!,$M$2,0),0)</f>
        <v>0</v>
      </c>
      <c r="N267" s="9">
        <f>IFERROR(VLOOKUP(B267,cubo!$A$6:$BE$37,25,0)-VLOOKUP(B267,#REF!,$N$2,0),0)</f>
        <v>0</v>
      </c>
      <c r="O267" s="9">
        <f>IFERROR(VLOOKUP(B267,cubo!$A$6:$BE$37,33,0)-VLOOKUP(B267,#REF!,$O$2,0),0)</f>
        <v>0</v>
      </c>
      <c r="P267" s="8">
        <f>IFERROR(VLOOKUP(B267,cubo!$A$6:$BE$37,37,0)-VLOOKUP(B267,#REF!,$P$2,0),0)</f>
        <v>0</v>
      </c>
      <c r="Q267" s="8">
        <f>IFERROR(VLOOKUP(B267,cubo!$A$6:$BE$37,56,0)-VLOOKUP(B267,#REF!,$Q$2,0),0)</f>
        <v>0</v>
      </c>
      <c r="R267" s="9">
        <f>IFERROR(VLOOKUP(B267,cubo!$A$6:$BE$37,40,0)-VLOOKUP(B267,#REF!,$R$2,0),0)</f>
        <v>0</v>
      </c>
      <c r="S267" s="9">
        <f>IFERROR(VLOOKUP(B267,cubo!$A$6:$BE$37,43,0)-VLOOKUP(B267,#REF!,$S$2,0),0)</f>
        <v>0</v>
      </c>
      <c r="T267" s="9">
        <f>IFERROR(VLOOKUP(B267,cubo!$A$6:$BE$37,46,0)-VLOOKUP(B267,#REF!,$T$2,0),0)</f>
        <v>0</v>
      </c>
      <c r="U267" s="9">
        <f>IFERROR(VLOOKUP(B267,cubo!$A$6:$BE$37,51,0)-VLOOKUP(B267,#REF!,$U$2,0),0)</f>
        <v>0</v>
      </c>
      <c r="V267" s="9">
        <f>IFERROR(VLOOKUP(B267,cubo!$A$6:$BJ$37,60,0)-VLOOKUP(B267,#REF!,$V$2,0),0)</f>
        <v>0</v>
      </c>
      <c r="W267" s="9">
        <f>IFERROR(VLOOKUP(B267,cubo!$A$6:$BE$37,26,0)-VLOOKUP(B267,#REF!,$W$2,0),0)</f>
        <v>0</v>
      </c>
      <c r="X267" s="9">
        <f>IFERROR(VLOOKUP(B267,cubo!$A$6:$BE$37,20,0)-VLOOKUP(B267,#REF!,$X$2,0),0)</f>
        <v>0</v>
      </c>
      <c r="Y267" s="9">
        <f>IFERROR(VLOOKUP(B267,cubo!$A$6:$BE$37,21,0)-VLOOKUP(B267,#REF!,$Y$2,0),0)</f>
        <v>0</v>
      </c>
      <c r="Z267" s="9">
        <f>IFERROR(VLOOKUP(B267,cubo!$A$6:$BE$37,27,0)-VLOOKUP(B267,#REF!,$Z$2,0),0)</f>
        <v>0</v>
      </c>
      <c r="AA267" s="9">
        <f>IFERROR(VLOOKUP(B267,cubo!$A$6:$BE$37,28,0)-VLOOKUP(B267,#REF!,$AA$2,0),0)</f>
        <v>0</v>
      </c>
      <c r="AB267" s="9">
        <f>IFERROR(VLOOKUP(B267,cubo!$A$6:$BE$37,29,0)-VLOOKUP(B267,#REF!,$AB$2,0),0)</f>
        <v>0</v>
      </c>
      <c r="AC267" s="9">
        <f>IFERROR(VLOOKUP(B267,cubo!$A$6:$BE$37,30,0)-VLOOKUP(B267,#REF!,$AC$2,0),0)</f>
        <v>0</v>
      </c>
      <c r="AD267" s="9">
        <f>IFERROR(VLOOKUP(B267,cubo!$A$6:$BE$37,31,0)-VLOOKUP(B267,#REF!,$AD$2,0),0)</f>
        <v>0</v>
      </c>
      <c r="AE267" s="9">
        <f>IFERROR(VLOOKUP(B267,cubo!$A$6:$BE$37,35,0)-VLOOKUP(B267,#REF!,$AE$2,0),0)</f>
        <v>0</v>
      </c>
      <c r="AF267" s="9" cm="1">
        <f t="array" aca="1" ref="AF267" ca="1">IFERROR(rrPROCV(B267,cubo!$A$6:$BE$37,48,0)-VLOOKUP(B267,#REF!,$AF$2,0),0)</f>
        <v>0</v>
      </c>
      <c r="AG267" s="9">
        <f>IFERROR(VLOOKUP(B267,cubo!$A$6:$BE$37,49,0)-VLOOKUP(B267,#REF!,$AG$2,0),0)</f>
        <v>0</v>
      </c>
      <c r="AH267" s="9">
        <f>IFERROR(VLOOKUP(B267,cubo!$A$6:$BE$37,50,0)-VLOOKUP(B267,#REF!,$AH$2,0),0)</f>
        <v>0</v>
      </c>
      <c r="AI267" s="9">
        <f>IFERROR(VLOOKUP(B267,cubo!$A$6:$BE$37,51,0)-VLOOKUP(B267,#REF!,$AI$2,0),0)</f>
        <v>0</v>
      </c>
      <c r="AJ267" s="9">
        <f>IFERROR(VLOOKUP(B267,cubo!$A$6:$BI$116,62,0)-VLOOKUP(B267,#REF!,$AJ$2,0),0)</f>
        <v>0</v>
      </c>
      <c r="AK267" s="9">
        <f>IFERROR(VLOOKUP(B267,cubo!$A$6:$BJ$37,63,0)-VLOOKUP(B267,#REF!,$AK$2,0),0)</f>
        <v>0</v>
      </c>
      <c r="AL267" s="9">
        <f>IFERROR(VLOOKUP(B267,cubo!$A$6:$BE$37,58,0)-VLOOKUP(B267,#REF!,$AL$2,0),0)</f>
        <v>0</v>
      </c>
      <c r="AM267" s="9">
        <f>IFERROR(VLOOKUP(B267,cubo!$A$6:$BK$37,64,0)-VLOOKUP(B267,#REF!,$AM$2,0),0)</f>
        <v>0</v>
      </c>
      <c r="AN267" s="9">
        <f>IFERROR(VLOOKUP(B267,cubo!$A$6:$AN$37,41,0)-VLOOKUP(B267,#REF!,$AN$2,0),0)</f>
        <v>0</v>
      </c>
    </row>
    <row r="268" spans="2:40" x14ac:dyDescent="0.25">
      <c r="B268" s="7">
        <f>[1]salario!A267</f>
        <v>0</v>
      </c>
      <c r="C268" s="8">
        <f>[1]salario!C267</f>
        <v>0</v>
      </c>
      <c r="D268" s="9">
        <f>IFERROR(VLOOKUP(B268,cubo!$A$6:$BE$37,3,0)-VLOOKUP(B268,#REF!,$D$2,0),0)</f>
        <v>0</v>
      </c>
      <c r="E268" s="10">
        <f>IFERROR(VLOOKUP(B268,cubo!$A$6:$BE$37,5,0)-VLOOKUP(B268,#REF!,$E$2,0),0)</f>
        <v>0</v>
      </c>
      <c r="F268" s="10">
        <f>IFERROR(VLOOKUP(B268,cubo!$A$6:$BE$37,8,0)-VLOOKUP(B268,#REF!,$F$2,0),0)</f>
        <v>0</v>
      </c>
      <c r="G268" s="9">
        <f>IFERROR(VLOOKUP(B268,cubo!$A$6:$BE$37,11,0)-VLOOKUP(B268,#REF!,$G$2,0),0)</f>
        <v>0</v>
      </c>
      <c r="H268" s="9">
        <f>IFERROR(VLOOKUP(B268,cubo!$A$6:$BE$37,53,0)-VLOOKUP(B268,#REF!,$H$2,0),0)</f>
        <v>0</v>
      </c>
      <c r="I268" s="10">
        <f>IFERROR(VLOOKUP(B268,cubo!$A$6:$BE$37,14,0)-VLOOKUP(B268,#REF!,$I$2,0),0)</f>
        <v>0</v>
      </c>
      <c r="J268" s="9">
        <f>IFERROR(VLOOKUP(B268,cubo!$A$6:$BE$37,16,0)-VLOOKUP(B268,#REF!,$J$2,0),0)</f>
        <v>0</v>
      </c>
      <c r="K268" s="9">
        <f>IFERROR(VLOOKUP(B268,cubo!$A$6:$BE$37,17,0)-VLOOKUP(B268,#REF!,$K$2,0),0)</f>
        <v>0</v>
      </c>
      <c r="L268" s="9">
        <f>IFERROR(VLOOKUP(B268,cubo!$A$6:$BE$37,19,0)-VLOOKUP(B268,#REF!,$L$2,0),0)</f>
        <v>0</v>
      </c>
      <c r="M268" s="9">
        <f>IFERROR(VLOOKUP(B268,cubo!$A$6:$BE$37,23,0)-VLOOKUP(B268,#REF!,$M$2,0),0)</f>
        <v>0</v>
      </c>
      <c r="N268" s="9">
        <f>IFERROR(VLOOKUP(B268,cubo!$A$6:$BE$37,25,0)-VLOOKUP(B268,#REF!,$N$2,0),0)</f>
        <v>0</v>
      </c>
      <c r="O268" s="9">
        <f>IFERROR(VLOOKUP(B268,cubo!$A$6:$BE$37,33,0)-VLOOKUP(B268,#REF!,$O$2,0),0)</f>
        <v>0</v>
      </c>
      <c r="P268" s="8">
        <f>IFERROR(VLOOKUP(B268,cubo!$A$6:$BE$37,37,0)-VLOOKUP(B268,#REF!,$P$2,0),0)</f>
        <v>0</v>
      </c>
      <c r="Q268" s="8">
        <f>IFERROR(VLOOKUP(B268,cubo!$A$6:$BE$37,56,0)-VLOOKUP(B268,#REF!,$Q$2,0),0)</f>
        <v>0</v>
      </c>
      <c r="R268" s="9">
        <f>IFERROR(VLOOKUP(B268,cubo!$A$6:$BE$37,40,0)-VLOOKUP(B268,#REF!,$R$2,0),0)</f>
        <v>0</v>
      </c>
      <c r="S268" s="9">
        <f>IFERROR(VLOOKUP(B268,cubo!$A$6:$BE$37,43,0)-VLOOKUP(B268,#REF!,$S$2,0),0)</f>
        <v>0</v>
      </c>
      <c r="T268" s="9">
        <f>IFERROR(VLOOKUP(B268,cubo!$A$6:$BE$37,46,0)-VLOOKUP(B268,#REF!,$T$2,0),0)</f>
        <v>0</v>
      </c>
      <c r="U268" s="9">
        <f>IFERROR(VLOOKUP(B268,cubo!$A$6:$BE$37,51,0)-VLOOKUP(B268,#REF!,$U$2,0),0)</f>
        <v>0</v>
      </c>
      <c r="V268" s="9">
        <f>IFERROR(VLOOKUP(B268,cubo!$A$6:$BJ$37,60,0)-VLOOKUP(B268,#REF!,$V$2,0),0)</f>
        <v>0</v>
      </c>
      <c r="W268" s="9">
        <f>IFERROR(VLOOKUP(B268,cubo!$A$6:$BE$37,26,0)-VLOOKUP(B268,#REF!,$W$2,0),0)</f>
        <v>0</v>
      </c>
      <c r="X268" s="9">
        <f>IFERROR(VLOOKUP(B268,cubo!$A$6:$BE$37,20,0)-VLOOKUP(B268,#REF!,$X$2,0),0)</f>
        <v>0</v>
      </c>
      <c r="Y268" s="9">
        <f>IFERROR(VLOOKUP(B268,cubo!$A$6:$BE$37,21,0)-VLOOKUP(B268,#REF!,$Y$2,0),0)</f>
        <v>0</v>
      </c>
      <c r="Z268" s="9">
        <f>IFERROR(VLOOKUP(B268,cubo!$A$6:$BE$37,27,0)-VLOOKUP(B268,#REF!,$Z$2,0),0)</f>
        <v>0</v>
      </c>
      <c r="AA268" s="9">
        <f>IFERROR(VLOOKUP(B268,cubo!$A$6:$BE$37,28,0)-VLOOKUP(B268,#REF!,$AA$2,0),0)</f>
        <v>0</v>
      </c>
      <c r="AB268" s="9">
        <f>IFERROR(VLOOKUP(B268,cubo!$A$6:$BE$37,29,0)-VLOOKUP(B268,#REF!,$AB$2,0),0)</f>
        <v>0</v>
      </c>
      <c r="AC268" s="9">
        <f>IFERROR(VLOOKUP(B268,cubo!$A$6:$BE$37,30,0)-VLOOKUP(B268,#REF!,$AC$2,0),0)</f>
        <v>0</v>
      </c>
      <c r="AD268" s="9">
        <f>IFERROR(VLOOKUP(B268,cubo!$A$6:$BE$37,31,0)-VLOOKUP(B268,#REF!,$AD$2,0),0)</f>
        <v>0</v>
      </c>
      <c r="AE268" s="9">
        <f>IFERROR(VLOOKUP(B268,cubo!$A$6:$BE$37,35,0)-VLOOKUP(B268,#REF!,$AE$2,0),0)</f>
        <v>0</v>
      </c>
      <c r="AF268" s="9" cm="1">
        <f t="array" aca="1" ref="AF268" ca="1">IFERROR(rrPROCV(B268,cubo!$A$6:$BE$37,48,0)-VLOOKUP(B268,#REF!,$AF$2,0),0)</f>
        <v>0</v>
      </c>
      <c r="AG268" s="9">
        <f>IFERROR(VLOOKUP(B268,cubo!$A$6:$BE$37,49,0)-VLOOKUP(B268,#REF!,$AG$2,0),0)</f>
        <v>0</v>
      </c>
      <c r="AH268" s="9">
        <f>IFERROR(VLOOKUP(B268,cubo!$A$6:$BE$37,50,0)-VLOOKUP(B268,#REF!,$AH$2,0),0)</f>
        <v>0</v>
      </c>
      <c r="AI268" s="9">
        <f>IFERROR(VLOOKUP(B268,cubo!$A$6:$BE$37,51,0)-VLOOKUP(B268,#REF!,$AI$2,0),0)</f>
        <v>0</v>
      </c>
      <c r="AJ268" s="9">
        <f>IFERROR(VLOOKUP(B268,cubo!$A$6:$BI$116,62,0)-VLOOKUP(B268,#REF!,$AJ$2,0),0)</f>
        <v>0</v>
      </c>
      <c r="AK268" s="9">
        <f>IFERROR(VLOOKUP(B268,cubo!$A$6:$BJ$37,63,0)-VLOOKUP(B268,#REF!,$AK$2,0),0)</f>
        <v>0</v>
      </c>
      <c r="AL268" s="9">
        <f>IFERROR(VLOOKUP(B268,cubo!$A$6:$BE$37,58,0)-VLOOKUP(B268,#REF!,$AL$2,0),0)</f>
        <v>0</v>
      </c>
      <c r="AM268" s="9">
        <f>IFERROR(VLOOKUP(B268,cubo!$A$6:$BK$37,64,0)-VLOOKUP(B268,#REF!,$AM$2,0),0)</f>
        <v>0</v>
      </c>
      <c r="AN268" s="9">
        <f>IFERROR(VLOOKUP(B268,cubo!$A$6:$AN$37,41,0)-VLOOKUP(B268,#REF!,$AN$2,0),0)</f>
        <v>0</v>
      </c>
    </row>
    <row r="269" spans="2:40" x14ac:dyDescent="0.25">
      <c r="B269" s="7">
        <f>[1]salario!A268</f>
        <v>0</v>
      </c>
      <c r="C269" s="8">
        <f>[1]salario!C268</f>
        <v>0</v>
      </c>
      <c r="D269" s="9">
        <f>IFERROR(VLOOKUP(B269,cubo!$A$6:$BE$37,3,0)-VLOOKUP(B269,#REF!,$D$2,0),0)</f>
        <v>0</v>
      </c>
      <c r="E269" s="10">
        <f>IFERROR(VLOOKUP(B269,cubo!$A$6:$BE$37,5,0)-VLOOKUP(B269,#REF!,$E$2,0),0)</f>
        <v>0</v>
      </c>
      <c r="F269" s="10">
        <f>IFERROR(VLOOKUP(B269,cubo!$A$6:$BE$37,8,0)-VLOOKUP(B269,#REF!,$F$2,0),0)</f>
        <v>0</v>
      </c>
      <c r="G269" s="9">
        <f>IFERROR(VLOOKUP(B269,cubo!$A$6:$BE$37,11,0)-VLOOKUP(B269,#REF!,$G$2,0),0)</f>
        <v>0</v>
      </c>
      <c r="H269" s="9">
        <f>IFERROR(VLOOKUP(B269,cubo!$A$6:$BE$37,53,0)-VLOOKUP(B269,#REF!,$H$2,0),0)</f>
        <v>0</v>
      </c>
      <c r="I269" s="10">
        <f>IFERROR(VLOOKUP(B269,cubo!$A$6:$BE$37,14,0)-VLOOKUP(B269,#REF!,$I$2,0),0)</f>
        <v>0</v>
      </c>
      <c r="J269" s="9">
        <f>IFERROR(VLOOKUP(B269,cubo!$A$6:$BE$37,16,0)-VLOOKUP(B269,#REF!,$J$2,0),0)</f>
        <v>0</v>
      </c>
      <c r="K269" s="9">
        <f>IFERROR(VLOOKUP(B269,cubo!$A$6:$BE$37,17,0)-VLOOKUP(B269,#REF!,$K$2,0),0)</f>
        <v>0</v>
      </c>
      <c r="L269" s="9">
        <f>IFERROR(VLOOKUP(B269,cubo!$A$6:$BE$37,19,0)-VLOOKUP(B269,#REF!,$L$2,0),0)</f>
        <v>0</v>
      </c>
      <c r="M269" s="9">
        <f>IFERROR(VLOOKUP(B269,cubo!$A$6:$BE$37,23,0)-VLOOKUP(B269,#REF!,$M$2,0),0)</f>
        <v>0</v>
      </c>
      <c r="N269" s="9">
        <f>IFERROR(VLOOKUP(B269,cubo!$A$6:$BE$37,25,0)-VLOOKUP(B269,#REF!,$N$2,0),0)</f>
        <v>0</v>
      </c>
      <c r="O269" s="9">
        <f>IFERROR(VLOOKUP(B269,cubo!$A$6:$BE$37,33,0)-VLOOKUP(B269,#REF!,$O$2,0),0)</f>
        <v>0</v>
      </c>
      <c r="P269" s="8">
        <f>IFERROR(VLOOKUP(B269,cubo!$A$6:$BE$37,37,0)-VLOOKUP(B269,#REF!,$P$2,0),0)</f>
        <v>0</v>
      </c>
      <c r="Q269" s="8">
        <f>IFERROR(VLOOKUP(B269,cubo!$A$6:$BE$37,56,0)-VLOOKUP(B269,#REF!,$Q$2,0),0)</f>
        <v>0</v>
      </c>
      <c r="R269" s="9">
        <f>IFERROR(VLOOKUP(B269,cubo!$A$6:$BE$37,40,0)-VLOOKUP(B269,#REF!,$R$2,0),0)</f>
        <v>0</v>
      </c>
      <c r="S269" s="9">
        <f>IFERROR(VLOOKUP(B269,cubo!$A$6:$BE$37,43,0)-VLOOKUP(B269,#REF!,$S$2,0),0)</f>
        <v>0</v>
      </c>
      <c r="T269" s="9">
        <f>IFERROR(VLOOKUP(B269,cubo!$A$6:$BE$37,46,0)-VLOOKUP(B269,#REF!,$T$2,0),0)</f>
        <v>0</v>
      </c>
      <c r="U269" s="9">
        <f>IFERROR(VLOOKUP(B269,cubo!$A$6:$BE$37,51,0)-VLOOKUP(B269,#REF!,$U$2,0),0)</f>
        <v>0</v>
      </c>
      <c r="V269" s="9">
        <f>IFERROR(VLOOKUP(B269,cubo!$A$6:$BJ$37,60,0)-VLOOKUP(B269,#REF!,$V$2,0),0)</f>
        <v>0</v>
      </c>
      <c r="W269" s="9">
        <f>IFERROR(VLOOKUP(B269,cubo!$A$6:$BE$37,26,0)-VLOOKUP(B269,#REF!,$W$2,0),0)</f>
        <v>0</v>
      </c>
      <c r="X269" s="9">
        <f>IFERROR(VLOOKUP(B269,cubo!$A$6:$BE$37,20,0)-VLOOKUP(B269,#REF!,$X$2,0),0)</f>
        <v>0</v>
      </c>
      <c r="Y269" s="9">
        <f>IFERROR(VLOOKUP(B269,cubo!$A$6:$BE$37,21,0)-VLOOKUP(B269,#REF!,$Y$2,0),0)</f>
        <v>0</v>
      </c>
      <c r="Z269" s="9">
        <f>IFERROR(VLOOKUP(B269,cubo!$A$6:$BE$37,27,0)-VLOOKUP(B269,#REF!,$Z$2,0),0)</f>
        <v>0</v>
      </c>
      <c r="AA269" s="9">
        <f>IFERROR(VLOOKUP(B269,cubo!$A$6:$BE$37,28,0)-VLOOKUP(B269,#REF!,$AA$2,0),0)</f>
        <v>0</v>
      </c>
      <c r="AB269" s="9">
        <f>IFERROR(VLOOKUP(B269,cubo!$A$6:$BE$37,29,0)-VLOOKUP(B269,#REF!,$AB$2,0),0)</f>
        <v>0</v>
      </c>
      <c r="AC269" s="9">
        <f>IFERROR(VLOOKUP(B269,cubo!$A$6:$BE$37,30,0)-VLOOKUP(B269,#REF!,$AC$2,0),0)</f>
        <v>0</v>
      </c>
      <c r="AD269" s="9">
        <f>IFERROR(VLOOKUP(B269,cubo!$A$6:$BE$37,31,0)-VLOOKUP(B269,#REF!,$AD$2,0),0)</f>
        <v>0</v>
      </c>
      <c r="AE269" s="9">
        <f>IFERROR(VLOOKUP(B269,cubo!$A$6:$BE$37,35,0)-VLOOKUP(B269,#REF!,$AE$2,0),0)</f>
        <v>0</v>
      </c>
      <c r="AF269" s="9" cm="1">
        <f t="array" aca="1" ref="AF269" ca="1">IFERROR(rrPROCV(B269,cubo!$A$6:$BE$37,48,0)-VLOOKUP(B269,#REF!,$AF$2,0),0)</f>
        <v>0</v>
      </c>
      <c r="AG269" s="9">
        <f>IFERROR(VLOOKUP(B269,cubo!$A$6:$BE$37,49,0)-VLOOKUP(B269,#REF!,$AG$2,0),0)</f>
        <v>0</v>
      </c>
      <c r="AH269" s="9">
        <f>IFERROR(VLOOKUP(B269,cubo!$A$6:$BE$37,50,0)-VLOOKUP(B269,#REF!,$AH$2,0),0)</f>
        <v>0</v>
      </c>
      <c r="AI269" s="9">
        <f>IFERROR(VLOOKUP(B269,cubo!$A$6:$BE$37,51,0)-VLOOKUP(B269,#REF!,$AI$2,0),0)</f>
        <v>0</v>
      </c>
      <c r="AJ269" s="9">
        <f>IFERROR(VLOOKUP(B269,cubo!$A$6:$BI$116,62,0)-VLOOKUP(B269,#REF!,$AJ$2,0),0)</f>
        <v>0</v>
      </c>
      <c r="AK269" s="9">
        <f>IFERROR(VLOOKUP(B269,cubo!$A$6:$BJ$37,63,0)-VLOOKUP(B269,#REF!,$AK$2,0),0)</f>
        <v>0</v>
      </c>
      <c r="AL269" s="9">
        <f>IFERROR(VLOOKUP(B269,cubo!$A$6:$BE$37,58,0)-VLOOKUP(B269,#REF!,$AL$2,0),0)</f>
        <v>0</v>
      </c>
      <c r="AM269" s="9">
        <f>IFERROR(VLOOKUP(B269,cubo!$A$6:$BK$37,64,0)-VLOOKUP(B269,#REF!,$AM$2,0),0)</f>
        <v>0</v>
      </c>
      <c r="AN269" s="9">
        <f>IFERROR(VLOOKUP(B269,cubo!$A$6:$AN$37,41,0)-VLOOKUP(B269,#REF!,$AN$2,0),0)</f>
        <v>0</v>
      </c>
    </row>
    <row r="270" spans="2:40" x14ac:dyDescent="0.25">
      <c r="B270" s="7">
        <f>[1]salario!A269</f>
        <v>0</v>
      </c>
      <c r="C270" s="8">
        <f>[1]salario!C269</f>
        <v>0</v>
      </c>
      <c r="D270" s="9">
        <f>IFERROR(VLOOKUP(B270,cubo!$A$6:$BE$37,3,0)-VLOOKUP(B270,#REF!,$D$2,0),0)</f>
        <v>0</v>
      </c>
      <c r="E270" s="10">
        <f>IFERROR(VLOOKUP(B270,cubo!$A$6:$BE$37,5,0)-VLOOKUP(B270,#REF!,$E$2,0),0)</f>
        <v>0</v>
      </c>
      <c r="F270" s="10">
        <f>IFERROR(VLOOKUP(B270,cubo!$A$6:$BE$37,8,0)-VLOOKUP(B270,#REF!,$F$2,0),0)</f>
        <v>0</v>
      </c>
      <c r="G270" s="9">
        <f>IFERROR(VLOOKUP(B270,cubo!$A$6:$BE$37,11,0)-VLOOKUP(B270,#REF!,$G$2,0),0)</f>
        <v>0</v>
      </c>
      <c r="H270" s="9">
        <f>IFERROR(VLOOKUP(B270,cubo!$A$6:$BE$37,53,0)-VLOOKUP(B270,#REF!,$H$2,0),0)</f>
        <v>0</v>
      </c>
      <c r="I270" s="10">
        <f>IFERROR(VLOOKUP(B270,cubo!$A$6:$BE$37,14,0)-VLOOKUP(B270,#REF!,$I$2,0),0)</f>
        <v>0</v>
      </c>
      <c r="J270" s="9">
        <f>IFERROR(VLOOKUP(B270,cubo!$A$6:$BE$37,16,0)-VLOOKUP(B270,#REF!,$J$2,0),0)</f>
        <v>0</v>
      </c>
      <c r="K270" s="9">
        <f>IFERROR(VLOOKUP(B270,cubo!$A$6:$BE$37,17,0)-VLOOKUP(B270,#REF!,$K$2,0),0)</f>
        <v>0</v>
      </c>
      <c r="L270" s="9">
        <f>IFERROR(VLOOKUP(B270,cubo!$A$6:$BE$37,19,0)-VLOOKUP(B270,#REF!,$L$2,0),0)</f>
        <v>0</v>
      </c>
      <c r="M270" s="9">
        <f>IFERROR(VLOOKUP(B270,cubo!$A$6:$BE$37,23,0)-VLOOKUP(B270,#REF!,$M$2,0),0)</f>
        <v>0</v>
      </c>
      <c r="N270" s="9">
        <f>IFERROR(VLOOKUP(B270,cubo!$A$6:$BE$37,25,0)-VLOOKUP(B270,#REF!,$N$2,0),0)</f>
        <v>0</v>
      </c>
      <c r="O270" s="9">
        <f>IFERROR(VLOOKUP(B270,cubo!$A$6:$BE$37,33,0)-VLOOKUP(B270,#REF!,$O$2,0),0)</f>
        <v>0</v>
      </c>
      <c r="P270" s="8">
        <f>IFERROR(VLOOKUP(B270,cubo!$A$6:$BE$37,37,0)-VLOOKUP(B270,#REF!,$P$2,0),0)</f>
        <v>0</v>
      </c>
      <c r="Q270" s="8">
        <f>IFERROR(VLOOKUP(B270,cubo!$A$6:$BE$37,56,0)-VLOOKUP(B270,#REF!,$Q$2,0),0)</f>
        <v>0</v>
      </c>
      <c r="R270" s="9">
        <f>IFERROR(VLOOKUP(B270,cubo!$A$6:$BE$37,40,0)-VLOOKUP(B270,#REF!,$R$2,0),0)</f>
        <v>0</v>
      </c>
      <c r="S270" s="9">
        <f>IFERROR(VLOOKUP(B270,cubo!$A$6:$BE$37,43,0)-VLOOKUP(B270,#REF!,$S$2,0),0)</f>
        <v>0</v>
      </c>
      <c r="T270" s="9">
        <f>IFERROR(VLOOKUP(B270,cubo!$A$6:$BE$37,46,0)-VLOOKUP(B270,#REF!,$T$2,0),0)</f>
        <v>0</v>
      </c>
      <c r="U270" s="9">
        <f>IFERROR(VLOOKUP(B270,cubo!$A$6:$BE$37,51,0)-VLOOKUP(B270,#REF!,$U$2,0),0)</f>
        <v>0</v>
      </c>
      <c r="V270" s="9">
        <f>IFERROR(VLOOKUP(B270,cubo!$A$6:$BJ$37,60,0)-VLOOKUP(B270,#REF!,$V$2,0),0)</f>
        <v>0</v>
      </c>
      <c r="W270" s="9">
        <f>IFERROR(VLOOKUP(B270,cubo!$A$6:$BE$37,26,0)-VLOOKUP(B270,#REF!,$W$2,0),0)</f>
        <v>0</v>
      </c>
      <c r="X270" s="9">
        <f>IFERROR(VLOOKUP(B270,cubo!$A$6:$BE$37,20,0)-VLOOKUP(B270,#REF!,$X$2,0),0)</f>
        <v>0</v>
      </c>
      <c r="Y270" s="9">
        <f>IFERROR(VLOOKUP(B270,cubo!$A$6:$BE$37,21,0)-VLOOKUP(B270,#REF!,$Y$2,0),0)</f>
        <v>0</v>
      </c>
      <c r="Z270" s="9">
        <f>IFERROR(VLOOKUP(B270,cubo!$A$6:$BE$37,27,0)-VLOOKUP(B270,#REF!,$Z$2,0),0)</f>
        <v>0</v>
      </c>
      <c r="AA270" s="9">
        <f>IFERROR(VLOOKUP(B270,cubo!$A$6:$BE$37,28,0)-VLOOKUP(B270,#REF!,$AA$2,0),0)</f>
        <v>0</v>
      </c>
      <c r="AB270" s="9">
        <f>IFERROR(VLOOKUP(B270,cubo!$A$6:$BE$37,29,0)-VLOOKUP(B270,#REF!,$AB$2,0),0)</f>
        <v>0</v>
      </c>
      <c r="AC270" s="9">
        <f>IFERROR(VLOOKUP(B270,cubo!$A$6:$BE$37,30,0)-VLOOKUP(B270,#REF!,$AC$2,0),0)</f>
        <v>0</v>
      </c>
      <c r="AD270" s="9">
        <f>IFERROR(VLOOKUP(B270,cubo!$A$6:$BE$37,31,0)-VLOOKUP(B270,#REF!,$AD$2,0),0)</f>
        <v>0</v>
      </c>
      <c r="AE270" s="9">
        <f>IFERROR(VLOOKUP(B270,cubo!$A$6:$BE$37,35,0)-VLOOKUP(B270,#REF!,$AE$2,0),0)</f>
        <v>0</v>
      </c>
      <c r="AF270" s="9" cm="1">
        <f t="array" aca="1" ref="AF270" ca="1">IFERROR(rrPROCV(B270,cubo!$A$6:$BE$37,48,0)-VLOOKUP(B270,#REF!,$AF$2,0),0)</f>
        <v>0</v>
      </c>
      <c r="AG270" s="9">
        <f>IFERROR(VLOOKUP(B270,cubo!$A$6:$BE$37,49,0)-VLOOKUP(B270,#REF!,$AG$2,0),0)</f>
        <v>0</v>
      </c>
      <c r="AH270" s="9">
        <f>IFERROR(VLOOKUP(B270,cubo!$A$6:$BE$37,50,0)-VLOOKUP(B270,#REF!,$AH$2,0),0)</f>
        <v>0</v>
      </c>
      <c r="AI270" s="9">
        <f>IFERROR(VLOOKUP(B270,cubo!$A$6:$BE$37,51,0)-VLOOKUP(B270,#REF!,$AI$2,0),0)</f>
        <v>0</v>
      </c>
      <c r="AJ270" s="9">
        <f>IFERROR(VLOOKUP(B270,cubo!$A$6:$BI$116,62,0)-VLOOKUP(B270,#REF!,$AJ$2,0),0)</f>
        <v>0</v>
      </c>
      <c r="AK270" s="9">
        <f>IFERROR(VLOOKUP(B270,cubo!$A$6:$BJ$37,63,0)-VLOOKUP(B270,#REF!,$AK$2,0),0)</f>
        <v>0</v>
      </c>
      <c r="AL270" s="9">
        <f>IFERROR(VLOOKUP(B270,cubo!$A$6:$BE$37,58,0)-VLOOKUP(B270,#REF!,$AL$2,0),0)</f>
        <v>0</v>
      </c>
      <c r="AM270" s="9">
        <f>IFERROR(VLOOKUP(B270,cubo!$A$6:$BK$37,64,0)-VLOOKUP(B270,#REF!,$AM$2,0),0)</f>
        <v>0</v>
      </c>
      <c r="AN270" s="9">
        <f>IFERROR(VLOOKUP(B270,cubo!$A$6:$AN$37,41,0)-VLOOKUP(B270,#REF!,$AN$2,0),0)</f>
        <v>0</v>
      </c>
    </row>
    <row r="271" spans="2:40" x14ac:dyDescent="0.25">
      <c r="B271" s="7">
        <f>[1]salario!A270</f>
        <v>0</v>
      </c>
      <c r="C271" s="8">
        <f>[1]salario!C270</f>
        <v>0</v>
      </c>
      <c r="D271" s="9">
        <f>IFERROR(VLOOKUP(B271,cubo!$A$6:$BE$37,3,0)-VLOOKUP(B271,#REF!,$D$2,0),0)</f>
        <v>0</v>
      </c>
      <c r="E271" s="10">
        <f>IFERROR(VLOOKUP(B271,cubo!$A$6:$BE$37,5,0)-VLOOKUP(B271,#REF!,$E$2,0),0)</f>
        <v>0</v>
      </c>
      <c r="F271" s="10">
        <f>IFERROR(VLOOKUP(B271,cubo!$A$6:$BE$37,8,0)-VLOOKUP(B271,#REF!,$F$2,0),0)</f>
        <v>0</v>
      </c>
      <c r="G271" s="9">
        <f>IFERROR(VLOOKUP(B271,cubo!$A$6:$BE$37,11,0)-VLOOKUP(B271,#REF!,$G$2,0),0)</f>
        <v>0</v>
      </c>
      <c r="H271" s="9">
        <f>IFERROR(VLOOKUP(B271,cubo!$A$6:$BE$37,53,0)-VLOOKUP(B271,#REF!,$H$2,0),0)</f>
        <v>0</v>
      </c>
      <c r="I271" s="10">
        <f>IFERROR(VLOOKUP(B271,cubo!$A$6:$BE$37,14,0)-VLOOKUP(B271,#REF!,$I$2,0),0)</f>
        <v>0</v>
      </c>
      <c r="J271" s="9">
        <f>IFERROR(VLOOKUP(B271,cubo!$A$6:$BE$37,16,0)-VLOOKUP(B271,#REF!,$J$2,0),0)</f>
        <v>0</v>
      </c>
      <c r="K271" s="9">
        <f>IFERROR(VLOOKUP(B271,cubo!$A$6:$BE$37,17,0)-VLOOKUP(B271,#REF!,$K$2,0),0)</f>
        <v>0</v>
      </c>
      <c r="L271" s="9">
        <f>IFERROR(VLOOKUP(B271,cubo!$A$6:$BE$37,19,0)-VLOOKUP(B271,#REF!,$L$2,0),0)</f>
        <v>0</v>
      </c>
      <c r="M271" s="9">
        <f>IFERROR(VLOOKUP(B271,cubo!$A$6:$BE$37,23,0)-VLOOKUP(B271,#REF!,$M$2,0),0)</f>
        <v>0</v>
      </c>
      <c r="N271" s="9">
        <f>IFERROR(VLOOKUP(B271,cubo!$A$6:$BE$37,25,0)-VLOOKUP(B271,#REF!,$N$2,0),0)</f>
        <v>0</v>
      </c>
      <c r="O271" s="9">
        <f>IFERROR(VLOOKUP(B271,cubo!$A$6:$BE$37,33,0)-VLOOKUP(B271,#REF!,$O$2,0),0)</f>
        <v>0</v>
      </c>
      <c r="P271" s="8">
        <f>IFERROR(VLOOKUP(B271,cubo!$A$6:$BE$37,37,0)-VLOOKUP(B271,#REF!,$P$2,0),0)</f>
        <v>0</v>
      </c>
      <c r="Q271" s="8">
        <f>IFERROR(VLOOKUP(B271,cubo!$A$6:$BE$37,56,0)-VLOOKUP(B271,#REF!,$Q$2,0),0)</f>
        <v>0</v>
      </c>
      <c r="R271" s="9">
        <f>IFERROR(VLOOKUP(B271,cubo!$A$6:$BE$37,40,0)-VLOOKUP(B271,#REF!,$R$2,0),0)</f>
        <v>0</v>
      </c>
      <c r="S271" s="9">
        <f>IFERROR(VLOOKUP(B271,cubo!$A$6:$BE$37,43,0)-VLOOKUP(B271,#REF!,$S$2,0),0)</f>
        <v>0</v>
      </c>
      <c r="T271" s="9">
        <f>IFERROR(VLOOKUP(B271,cubo!$A$6:$BE$37,46,0)-VLOOKUP(B271,#REF!,$T$2,0),0)</f>
        <v>0</v>
      </c>
      <c r="U271" s="9">
        <f>IFERROR(VLOOKUP(B271,cubo!$A$6:$BE$37,51,0)-VLOOKUP(B271,#REF!,$U$2,0),0)</f>
        <v>0</v>
      </c>
      <c r="V271" s="9">
        <f>IFERROR(VLOOKUP(B271,cubo!$A$6:$BJ$37,60,0)-VLOOKUP(B271,#REF!,$V$2,0),0)</f>
        <v>0</v>
      </c>
      <c r="W271" s="9">
        <f>IFERROR(VLOOKUP(B271,cubo!$A$6:$BE$37,26,0)-VLOOKUP(B271,#REF!,$W$2,0),0)</f>
        <v>0</v>
      </c>
      <c r="X271" s="9">
        <f>IFERROR(VLOOKUP(B271,cubo!$A$6:$BE$37,20,0)-VLOOKUP(B271,#REF!,$X$2,0),0)</f>
        <v>0</v>
      </c>
      <c r="Y271" s="9">
        <f>IFERROR(VLOOKUP(B271,cubo!$A$6:$BE$37,21,0)-VLOOKUP(B271,#REF!,$Y$2,0),0)</f>
        <v>0</v>
      </c>
      <c r="Z271" s="9">
        <f>IFERROR(VLOOKUP(B271,cubo!$A$6:$BE$37,27,0)-VLOOKUP(B271,#REF!,$Z$2,0),0)</f>
        <v>0</v>
      </c>
      <c r="AA271" s="9">
        <f>IFERROR(VLOOKUP(B271,cubo!$A$6:$BE$37,28,0)-VLOOKUP(B271,#REF!,$AA$2,0),0)</f>
        <v>0</v>
      </c>
      <c r="AB271" s="9">
        <f>IFERROR(VLOOKUP(B271,cubo!$A$6:$BE$37,29,0)-VLOOKUP(B271,#REF!,$AB$2,0),0)</f>
        <v>0</v>
      </c>
      <c r="AC271" s="9">
        <f>IFERROR(VLOOKUP(B271,cubo!$A$6:$BE$37,30,0)-VLOOKUP(B271,#REF!,$AC$2,0),0)</f>
        <v>0</v>
      </c>
      <c r="AD271" s="9">
        <f>IFERROR(VLOOKUP(B271,cubo!$A$6:$BE$37,31,0)-VLOOKUP(B271,#REF!,$AD$2,0),0)</f>
        <v>0</v>
      </c>
      <c r="AE271" s="9">
        <f>IFERROR(VLOOKUP(B271,cubo!$A$6:$BE$37,35,0)-VLOOKUP(B271,#REF!,$AE$2,0),0)</f>
        <v>0</v>
      </c>
      <c r="AF271" s="9" cm="1">
        <f t="array" aca="1" ref="AF271" ca="1">IFERROR(rrPROCV(B271,cubo!$A$6:$BE$37,48,0)-VLOOKUP(B271,#REF!,$AF$2,0),0)</f>
        <v>0</v>
      </c>
      <c r="AG271" s="9">
        <f>IFERROR(VLOOKUP(B271,cubo!$A$6:$BE$37,49,0)-VLOOKUP(B271,#REF!,$AG$2,0),0)</f>
        <v>0</v>
      </c>
      <c r="AH271" s="9">
        <f>IFERROR(VLOOKUP(B271,cubo!$A$6:$BE$37,50,0)-VLOOKUP(B271,#REF!,$AH$2,0),0)</f>
        <v>0</v>
      </c>
      <c r="AI271" s="9">
        <f>IFERROR(VLOOKUP(B271,cubo!$A$6:$BE$37,51,0)-VLOOKUP(B271,#REF!,$AI$2,0),0)</f>
        <v>0</v>
      </c>
      <c r="AJ271" s="9">
        <f>IFERROR(VLOOKUP(B271,cubo!$A$6:$BI$116,62,0)-VLOOKUP(B271,#REF!,$AJ$2,0),0)</f>
        <v>0</v>
      </c>
      <c r="AK271" s="9">
        <f>IFERROR(VLOOKUP(B271,cubo!$A$6:$BJ$37,63,0)-VLOOKUP(B271,#REF!,$AK$2,0),0)</f>
        <v>0</v>
      </c>
      <c r="AL271" s="9">
        <f>IFERROR(VLOOKUP(B271,cubo!$A$6:$BE$37,58,0)-VLOOKUP(B271,#REF!,$AL$2,0),0)</f>
        <v>0</v>
      </c>
      <c r="AM271" s="9">
        <f>IFERROR(VLOOKUP(B271,cubo!$A$6:$BK$37,64,0)-VLOOKUP(B271,#REF!,$AM$2,0),0)</f>
        <v>0</v>
      </c>
      <c r="AN271" s="9">
        <f>IFERROR(VLOOKUP(B271,cubo!$A$6:$AN$37,41,0)-VLOOKUP(B271,#REF!,$AN$2,0),0)</f>
        <v>0</v>
      </c>
    </row>
    <row r="272" spans="2:40" x14ac:dyDescent="0.25">
      <c r="B272" s="7">
        <f>[1]salario!A271</f>
        <v>0</v>
      </c>
      <c r="C272" s="8">
        <f>[1]salario!C271</f>
        <v>0</v>
      </c>
      <c r="D272" s="9">
        <f>IFERROR(VLOOKUP(B272,cubo!$A$6:$BE$37,3,0)-VLOOKUP(B272,#REF!,$D$2,0),0)</f>
        <v>0</v>
      </c>
      <c r="E272" s="10">
        <f>IFERROR(VLOOKUP(B272,cubo!$A$6:$BE$37,5,0)-VLOOKUP(B272,#REF!,$E$2,0),0)</f>
        <v>0</v>
      </c>
      <c r="F272" s="10">
        <f>IFERROR(VLOOKUP(B272,cubo!$A$6:$BE$37,8,0)-VLOOKUP(B272,#REF!,$F$2,0),0)</f>
        <v>0</v>
      </c>
      <c r="G272" s="9">
        <f>IFERROR(VLOOKUP(B272,cubo!$A$6:$BE$37,11,0)-VLOOKUP(B272,#REF!,$G$2,0),0)</f>
        <v>0</v>
      </c>
      <c r="H272" s="9">
        <f>IFERROR(VLOOKUP(B272,cubo!$A$6:$BE$37,53,0)-VLOOKUP(B272,#REF!,$H$2,0),0)</f>
        <v>0</v>
      </c>
      <c r="I272" s="10">
        <f>IFERROR(VLOOKUP(B272,cubo!$A$6:$BE$37,14,0)-VLOOKUP(B272,#REF!,$I$2,0),0)</f>
        <v>0</v>
      </c>
      <c r="J272" s="9">
        <f>IFERROR(VLOOKUP(B272,cubo!$A$6:$BE$37,16,0)-VLOOKUP(B272,#REF!,$J$2,0),0)</f>
        <v>0</v>
      </c>
      <c r="K272" s="9">
        <f>IFERROR(VLOOKUP(B272,cubo!$A$6:$BE$37,17,0)-VLOOKUP(B272,#REF!,$K$2,0),0)</f>
        <v>0</v>
      </c>
      <c r="L272" s="9">
        <f>IFERROR(VLOOKUP(B272,cubo!$A$6:$BE$37,19,0)-VLOOKUP(B272,#REF!,$L$2,0),0)</f>
        <v>0</v>
      </c>
      <c r="M272" s="9">
        <f>IFERROR(VLOOKUP(B272,cubo!$A$6:$BE$37,23,0)-VLOOKUP(B272,#REF!,$M$2,0),0)</f>
        <v>0</v>
      </c>
      <c r="N272" s="9">
        <f>IFERROR(VLOOKUP(B272,cubo!$A$6:$BE$37,25,0)-VLOOKUP(B272,#REF!,$N$2,0),0)</f>
        <v>0</v>
      </c>
      <c r="O272" s="9">
        <f>IFERROR(VLOOKUP(B272,cubo!$A$6:$BE$37,33,0)-VLOOKUP(B272,#REF!,$O$2,0),0)</f>
        <v>0</v>
      </c>
      <c r="P272" s="8">
        <f>IFERROR(VLOOKUP(B272,cubo!$A$6:$BE$37,37,0)-VLOOKUP(B272,#REF!,$P$2,0),0)</f>
        <v>0</v>
      </c>
      <c r="Q272" s="8">
        <f>IFERROR(VLOOKUP(B272,cubo!$A$6:$BE$37,56,0)-VLOOKUP(B272,#REF!,$Q$2,0),0)</f>
        <v>0</v>
      </c>
      <c r="R272" s="9">
        <f>IFERROR(VLOOKUP(B272,cubo!$A$6:$BE$37,40,0)-VLOOKUP(B272,#REF!,$R$2,0),0)</f>
        <v>0</v>
      </c>
      <c r="S272" s="9">
        <f>IFERROR(VLOOKUP(B272,cubo!$A$6:$BE$37,43,0)-VLOOKUP(B272,#REF!,$S$2,0),0)</f>
        <v>0</v>
      </c>
      <c r="T272" s="9">
        <f>IFERROR(VLOOKUP(B272,cubo!$A$6:$BE$37,46,0)-VLOOKUP(B272,#REF!,$T$2,0),0)</f>
        <v>0</v>
      </c>
      <c r="U272" s="9">
        <f>IFERROR(VLOOKUP(B272,cubo!$A$6:$BE$37,51,0)-VLOOKUP(B272,#REF!,$U$2,0),0)</f>
        <v>0</v>
      </c>
      <c r="V272" s="9">
        <f>IFERROR(VLOOKUP(B272,cubo!$A$6:$BJ$37,60,0)-VLOOKUP(B272,#REF!,$V$2,0),0)</f>
        <v>0</v>
      </c>
      <c r="W272" s="9">
        <f>IFERROR(VLOOKUP(B272,cubo!$A$6:$BE$37,26,0)-VLOOKUP(B272,#REF!,$W$2,0),0)</f>
        <v>0</v>
      </c>
      <c r="X272" s="9">
        <f>IFERROR(VLOOKUP(B272,cubo!$A$6:$BE$37,20,0)-VLOOKUP(B272,#REF!,$X$2,0),0)</f>
        <v>0</v>
      </c>
      <c r="Y272" s="9">
        <f>IFERROR(VLOOKUP(B272,cubo!$A$6:$BE$37,21,0)-VLOOKUP(B272,#REF!,$Y$2,0),0)</f>
        <v>0</v>
      </c>
      <c r="Z272" s="9">
        <f>IFERROR(VLOOKUP(B272,cubo!$A$6:$BE$37,27,0)-VLOOKUP(B272,#REF!,$Z$2,0),0)</f>
        <v>0</v>
      </c>
      <c r="AA272" s="9">
        <f>IFERROR(VLOOKUP(B272,cubo!$A$6:$BE$37,28,0)-VLOOKUP(B272,#REF!,$AA$2,0),0)</f>
        <v>0</v>
      </c>
      <c r="AB272" s="9">
        <f>IFERROR(VLOOKUP(B272,cubo!$A$6:$BE$37,29,0)-VLOOKUP(B272,#REF!,$AB$2,0),0)</f>
        <v>0</v>
      </c>
      <c r="AC272" s="9">
        <f>IFERROR(VLOOKUP(B272,cubo!$A$6:$BE$37,30,0)-VLOOKUP(B272,#REF!,$AC$2,0),0)</f>
        <v>0</v>
      </c>
      <c r="AD272" s="9">
        <f>IFERROR(VLOOKUP(B272,cubo!$A$6:$BE$37,31,0)-VLOOKUP(B272,#REF!,$AD$2,0),0)</f>
        <v>0</v>
      </c>
      <c r="AE272" s="9">
        <f>IFERROR(VLOOKUP(B272,cubo!$A$6:$BE$37,35,0)-VLOOKUP(B272,#REF!,$AE$2,0),0)</f>
        <v>0</v>
      </c>
      <c r="AF272" s="9" cm="1">
        <f t="array" aca="1" ref="AF272" ca="1">IFERROR(rrPROCV(B272,cubo!$A$6:$BE$37,48,0)-VLOOKUP(B272,#REF!,$AF$2,0),0)</f>
        <v>0</v>
      </c>
      <c r="AG272" s="9">
        <f>IFERROR(VLOOKUP(B272,cubo!$A$6:$BE$37,49,0)-VLOOKUP(B272,#REF!,$AG$2,0),0)</f>
        <v>0</v>
      </c>
      <c r="AH272" s="9">
        <f>IFERROR(VLOOKUP(B272,cubo!$A$6:$BE$37,50,0)-VLOOKUP(B272,#REF!,$AH$2,0),0)</f>
        <v>0</v>
      </c>
      <c r="AI272" s="9">
        <f>IFERROR(VLOOKUP(B272,cubo!$A$6:$BE$37,51,0)-VLOOKUP(B272,#REF!,$AI$2,0),0)</f>
        <v>0</v>
      </c>
      <c r="AJ272" s="9">
        <f>IFERROR(VLOOKUP(B272,cubo!$A$6:$BI$116,62,0)-VLOOKUP(B272,#REF!,$AJ$2,0),0)</f>
        <v>0</v>
      </c>
      <c r="AK272" s="9">
        <f>IFERROR(VLOOKUP(B272,cubo!$A$6:$BJ$37,63,0)-VLOOKUP(B272,#REF!,$AK$2,0),0)</f>
        <v>0</v>
      </c>
      <c r="AL272" s="9">
        <f>IFERROR(VLOOKUP(B272,cubo!$A$6:$BE$37,58,0)-VLOOKUP(B272,#REF!,$AL$2,0),0)</f>
        <v>0</v>
      </c>
      <c r="AM272" s="9">
        <f>IFERROR(VLOOKUP(B272,cubo!$A$6:$BK$37,64,0)-VLOOKUP(B272,#REF!,$AM$2,0),0)</f>
        <v>0</v>
      </c>
      <c r="AN272" s="9">
        <f>IFERROR(VLOOKUP(B272,cubo!$A$6:$AN$37,41,0)-VLOOKUP(B272,#REF!,$AN$2,0),0)</f>
        <v>0</v>
      </c>
    </row>
    <row r="273" spans="2:40" x14ac:dyDescent="0.25">
      <c r="B273" s="7">
        <f>[1]salario!A272</f>
        <v>0</v>
      </c>
      <c r="C273" s="8">
        <f>[1]salario!C272</f>
        <v>0</v>
      </c>
      <c r="D273" s="9">
        <f>IFERROR(VLOOKUP(B273,cubo!$A$6:$BE$37,3,0)-VLOOKUP(B273,#REF!,$D$2,0),0)</f>
        <v>0</v>
      </c>
      <c r="E273" s="10">
        <f>IFERROR(VLOOKUP(B273,cubo!$A$6:$BE$37,5,0)-VLOOKUP(B273,#REF!,$E$2,0),0)</f>
        <v>0</v>
      </c>
      <c r="F273" s="10">
        <f>IFERROR(VLOOKUP(B273,cubo!$A$6:$BE$37,8,0)-VLOOKUP(B273,#REF!,$F$2,0),0)</f>
        <v>0</v>
      </c>
      <c r="G273" s="9">
        <f>IFERROR(VLOOKUP(B273,cubo!$A$6:$BE$37,11,0)-VLOOKUP(B273,#REF!,$G$2,0),0)</f>
        <v>0</v>
      </c>
      <c r="H273" s="9">
        <f>IFERROR(VLOOKUP(B273,cubo!$A$6:$BE$37,53,0)-VLOOKUP(B273,#REF!,$H$2,0),0)</f>
        <v>0</v>
      </c>
      <c r="I273" s="10">
        <f>IFERROR(VLOOKUP(B273,cubo!$A$6:$BE$37,14,0)-VLOOKUP(B273,#REF!,$I$2,0),0)</f>
        <v>0</v>
      </c>
      <c r="J273" s="9">
        <f>IFERROR(VLOOKUP(B273,cubo!$A$6:$BE$37,16,0)-VLOOKUP(B273,#REF!,$J$2,0),0)</f>
        <v>0</v>
      </c>
      <c r="K273" s="9">
        <f>IFERROR(VLOOKUP(B273,cubo!$A$6:$BE$37,17,0)-VLOOKUP(B273,#REF!,$K$2,0),0)</f>
        <v>0</v>
      </c>
      <c r="L273" s="9">
        <f>IFERROR(VLOOKUP(B273,cubo!$A$6:$BE$37,19,0)-VLOOKUP(B273,#REF!,$L$2,0),0)</f>
        <v>0</v>
      </c>
      <c r="M273" s="9">
        <f>IFERROR(VLOOKUP(B273,cubo!$A$6:$BE$37,23,0)-VLOOKUP(B273,#REF!,$M$2,0),0)</f>
        <v>0</v>
      </c>
      <c r="N273" s="9">
        <f>IFERROR(VLOOKUP(B273,cubo!$A$6:$BE$37,25,0)-VLOOKUP(B273,#REF!,$N$2,0),0)</f>
        <v>0</v>
      </c>
      <c r="O273" s="9">
        <f>IFERROR(VLOOKUP(B273,cubo!$A$6:$BE$37,33,0)-VLOOKUP(B273,#REF!,$O$2,0),0)</f>
        <v>0</v>
      </c>
      <c r="P273" s="8">
        <f>IFERROR(VLOOKUP(B273,cubo!$A$6:$BE$37,37,0)-VLOOKUP(B273,#REF!,$P$2,0),0)</f>
        <v>0</v>
      </c>
      <c r="Q273" s="8">
        <f>IFERROR(VLOOKUP(B273,cubo!$A$6:$BE$37,56,0)-VLOOKUP(B273,#REF!,$Q$2,0),0)</f>
        <v>0</v>
      </c>
      <c r="R273" s="9">
        <f>IFERROR(VLOOKUP(B273,cubo!$A$6:$BE$37,40,0)-VLOOKUP(B273,#REF!,$R$2,0),0)</f>
        <v>0</v>
      </c>
      <c r="S273" s="9">
        <f>IFERROR(VLOOKUP(B273,cubo!$A$6:$BE$37,43,0)-VLOOKUP(B273,#REF!,$S$2,0),0)</f>
        <v>0</v>
      </c>
      <c r="T273" s="9">
        <f>IFERROR(VLOOKUP(B273,cubo!$A$6:$BE$37,46,0)-VLOOKUP(B273,#REF!,$T$2,0),0)</f>
        <v>0</v>
      </c>
      <c r="U273" s="9">
        <f>IFERROR(VLOOKUP(B273,cubo!$A$6:$BE$37,51,0)-VLOOKUP(B273,#REF!,$U$2,0),0)</f>
        <v>0</v>
      </c>
      <c r="V273" s="9">
        <f>IFERROR(VLOOKUP(B273,cubo!$A$6:$BJ$37,60,0)-VLOOKUP(B273,#REF!,$V$2,0),0)</f>
        <v>0</v>
      </c>
      <c r="W273" s="9">
        <f>IFERROR(VLOOKUP(B273,cubo!$A$6:$BE$37,26,0)-VLOOKUP(B273,#REF!,$W$2,0),0)</f>
        <v>0</v>
      </c>
      <c r="X273" s="9">
        <f>IFERROR(VLOOKUP(B273,cubo!$A$6:$BE$37,20,0)-VLOOKUP(B273,#REF!,$X$2,0),0)</f>
        <v>0</v>
      </c>
      <c r="Y273" s="9">
        <f>IFERROR(VLOOKUP(B273,cubo!$A$6:$BE$37,21,0)-VLOOKUP(B273,#REF!,$Y$2,0),0)</f>
        <v>0</v>
      </c>
      <c r="Z273" s="9">
        <f>IFERROR(VLOOKUP(B273,cubo!$A$6:$BE$37,27,0)-VLOOKUP(B273,#REF!,$Z$2,0),0)</f>
        <v>0</v>
      </c>
      <c r="AA273" s="9">
        <f>IFERROR(VLOOKUP(B273,cubo!$A$6:$BE$37,28,0)-VLOOKUP(B273,#REF!,$AA$2,0),0)</f>
        <v>0</v>
      </c>
      <c r="AB273" s="9">
        <f>IFERROR(VLOOKUP(B273,cubo!$A$6:$BE$37,29,0)-VLOOKUP(B273,#REF!,$AB$2,0),0)</f>
        <v>0</v>
      </c>
      <c r="AC273" s="9">
        <f>IFERROR(VLOOKUP(B273,cubo!$A$6:$BE$37,30,0)-VLOOKUP(B273,#REF!,$AC$2,0),0)</f>
        <v>0</v>
      </c>
      <c r="AD273" s="9">
        <f>IFERROR(VLOOKUP(B273,cubo!$A$6:$BE$37,31,0)-VLOOKUP(B273,#REF!,$AD$2,0),0)</f>
        <v>0</v>
      </c>
      <c r="AE273" s="9">
        <f>IFERROR(VLOOKUP(B273,cubo!$A$6:$BE$37,35,0)-VLOOKUP(B273,#REF!,$AE$2,0),0)</f>
        <v>0</v>
      </c>
      <c r="AF273" s="9" cm="1">
        <f t="array" aca="1" ref="AF273" ca="1">IFERROR(rrPROCV(B273,cubo!$A$6:$BE$37,48,0)-VLOOKUP(B273,#REF!,$AF$2,0),0)</f>
        <v>0</v>
      </c>
      <c r="AG273" s="9">
        <f>IFERROR(VLOOKUP(B273,cubo!$A$6:$BE$37,49,0)-VLOOKUP(B273,#REF!,$AG$2,0),0)</f>
        <v>0</v>
      </c>
      <c r="AH273" s="9">
        <f>IFERROR(VLOOKUP(B273,cubo!$A$6:$BE$37,50,0)-VLOOKUP(B273,#REF!,$AH$2,0),0)</f>
        <v>0</v>
      </c>
      <c r="AI273" s="9">
        <f>IFERROR(VLOOKUP(B273,cubo!$A$6:$BE$37,51,0)-VLOOKUP(B273,#REF!,$AI$2,0),0)</f>
        <v>0</v>
      </c>
      <c r="AJ273" s="9">
        <f>IFERROR(VLOOKUP(B273,cubo!$A$6:$BI$116,62,0)-VLOOKUP(B273,#REF!,$AJ$2,0),0)</f>
        <v>0</v>
      </c>
      <c r="AK273" s="9">
        <f>IFERROR(VLOOKUP(B273,cubo!$A$6:$BJ$37,63,0)-VLOOKUP(B273,#REF!,$AK$2,0),0)</f>
        <v>0</v>
      </c>
      <c r="AL273" s="9">
        <f>IFERROR(VLOOKUP(B273,cubo!$A$6:$BE$37,58,0)-VLOOKUP(B273,#REF!,$AL$2,0),0)</f>
        <v>0</v>
      </c>
      <c r="AM273" s="9">
        <f>IFERROR(VLOOKUP(B273,cubo!$A$6:$BK$37,64,0)-VLOOKUP(B273,#REF!,$AM$2,0),0)</f>
        <v>0</v>
      </c>
      <c r="AN273" s="9">
        <f>IFERROR(VLOOKUP(B273,cubo!$A$6:$AN$37,41,0)-VLOOKUP(B273,#REF!,$AN$2,0),0)</f>
        <v>0</v>
      </c>
    </row>
    <row r="274" spans="2:40" x14ac:dyDescent="0.25">
      <c r="B274" s="7">
        <f>[1]salario!A273</f>
        <v>0</v>
      </c>
      <c r="C274" s="8">
        <f>[1]salario!C273</f>
        <v>0</v>
      </c>
      <c r="D274" s="9">
        <f>IFERROR(VLOOKUP(B274,cubo!$A$6:$BE$37,3,0)-VLOOKUP(B274,#REF!,$D$2,0),0)</f>
        <v>0</v>
      </c>
      <c r="E274" s="10">
        <f>IFERROR(VLOOKUP(B274,cubo!$A$6:$BE$37,5,0)-VLOOKUP(B274,#REF!,$E$2,0),0)</f>
        <v>0</v>
      </c>
      <c r="F274" s="10">
        <f>IFERROR(VLOOKUP(B274,cubo!$A$6:$BE$37,8,0)-VLOOKUP(B274,#REF!,$F$2,0),0)</f>
        <v>0</v>
      </c>
      <c r="G274" s="9">
        <f>IFERROR(VLOOKUP(B274,cubo!$A$6:$BE$37,11,0)-VLOOKUP(B274,#REF!,$G$2,0),0)</f>
        <v>0</v>
      </c>
      <c r="H274" s="9">
        <f>IFERROR(VLOOKUP(B274,cubo!$A$6:$BE$37,53,0)-VLOOKUP(B274,#REF!,$H$2,0),0)</f>
        <v>0</v>
      </c>
      <c r="I274" s="10">
        <f>IFERROR(VLOOKUP(B274,cubo!$A$6:$BE$37,14,0)-VLOOKUP(B274,#REF!,$I$2,0),0)</f>
        <v>0</v>
      </c>
      <c r="J274" s="9">
        <f>IFERROR(VLOOKUP(B274,cubo!$A$6:$BE$37,16,0)-VLOOKUP(B274,#REF!,$J$2,0),0)</f>
        <v>0</v>
      </c>
      <c r="K274" s="9">
        <f>IFERROR(VLOOKUP(B274,cubo!$A$6:$BE$37,17,0)-VLOOKUP(B274,#REF!,$K$2,0),0)</f>
        <v>0</v>
      </c>
      <c r="L274" s="9">
        <f>IFERROR(VLOOKUP(B274,cubo!$A$6:$BE$37,19,0)-VLOOKUP(B274,#REF!,$L$2,0),0)</f>
        <v>0</v>
      </c>
      <c r="M274" s="9">
        <f>IFERROR(VLOOKUP(B274,cubo!$A$6:$BE$37,23,0)-VLOOKUP(B274,#REF!,$M$2,0),0)</f>
        <v>0</v>
      </c>
      <c r="N274" s="9">
        <f>IFERROR(VLOOKUP(B274,cubo!$A$6:$BE$37,25,0)-VLOOKUP(B274,#REF!,$N$2,0),0)</f>
        <v>0</v>
      </c>
      <c r="O274" s="9">
        <f>IFERROR(VLOOKUP(B274,cubo!$A$6:$BE$37,33,0)-VLOOKUP(B274,#REF!,$O$2,0),0)</f>
        <v>0</v>
      </c>
      <c r="P274" s="8">
        <f>IFERROR(VLOOKUP(B274,cubo!$A$6:$BE$37,37,0)-VLOOKUP(B274,#REF!,$P$2,0),0)</f>
        <v>0</v>
      </c>
      <c r="Q274" s="8">
        <f>IFERROR(VLOOKUP(B274,cubo!$A$6:$BE$37,56,0)-VLOOKUP(B274,#REF!,$Q$2,0),0)</f>
        <v>0</v>
      </c>
      <c r="R274" s="9">
        <f>IFERROR(VLOOKUP(B274,cubo!$A$6:$BE$37,40,0)-VLOOKUP(B274,#REF!,$R$2,0),0)</f>
        <v>0</v>
      </c>
      <c r="S274" s="9">
        <f>IFERROR(VLOOKUP(B274,cubo!$A$6:$BE$37,43,0)-VLOOKUP(B274,#REF!,$S$2,0),0)</f>
        <v>0</v>
      </c>
      <c r="T274" s="9">
        <f>IFERROR(VLOOKUP(B274,cubo!$A$6:$BE$37,46,0)-VLOOKUP(B274,#REF!,$T$2,0),0)</f>
        <v>0</v>
      </c>
      <c r="U274" s="9">
        <f>IFERROR(VLOOKUP(B274,cubo!$A$6:$BE$37,51,0)-VLOOKUP(B274,#REF!,$U$2,0),0)</f>
        <v>0</v>
      </c>
      <c r="V274" s="9">
        <f>IFERROR(VLOOKUP(B274,cubo!$A$6:$BJ$37,60,0)-VLOOKUP(B274,#REF!,$V$2,0),0)</f>
        <v>0</v>
      </c>
      <c r="W274" s="9">
        <f>IFERROR(VLOOKUP(B274,cubo!$A$6:$BE$37,26,0)-VLOOKUP(B274,#REF!,$W$2,0),0)</f>
        <v>0</v>
      </c>
      <c r="X274" s="9">
        <f>IFERROR(VLOOKUP(B274,cubo!$A$6:$BE$37,20,0)-VLOOKUP(B274,#REF!,$X$2,0),0)</f>
        <v>0</v>
      </c>
      <c r="Y274" s="9">
        <f>IFERROR(VLOOKUP(B274,cubo!$A$6:$BE$37,21,0)-VLOOKUP(B274,#REF!,$Y$2,0),0)</f>
        <v>0</v>
      </c>
      <c r="Z274" s="9">
        <f>IFERROR(VLOOKUP(B274,cubo!$A$6:$BE$37,27,0)-VLOOKUP(B274,#REF!,$Z$2,0),0)</f>
        <v>0</v>
      </c>
      <c r="AA274" s="9">
        <f>IFERROR(VLOOKUP(B274,cubo!$A$6:$BE$37,28,0)-VLOOKUP(B274,#REF!,$AA$2,0),0)</f>
        <v>0</v>
      </c>
      <c r="AB274" s="9">
        <f>IFERROR(VLOOKUP(B274,cubo!$A$6:$BE$37,29,0)-VLOOKUP(B274,#REF!,$AB$2,0),0)</f>
        <v>0</v>
      </c>
      <c r="AC274" s="9">
        <f>IFERROR(VLOOKUP(B274,cubo!$A$6:$BE$37,30,0)-VLOOKUP(B274,#REF!,$AC$2,0),0)</f>
        <v>0</v>
      </c>
      <c r="AD274" s="9">
        <f>IFERROR(VLOOKUP(B274,cubo!$A$6:$BE$37,31,0)-VLOOKUP(B274,#REF!,$AD$2,0),0)</f>
        <v>0</v>
      </c>
      <c r="AE274" s="9">
        <f>IFERROR(VLOOKUP(B274,cubo!$A$6:$BE$37,35,0)-VLOOKUP(B274,#REF!,$AE$2,0),0)</f>
        <v>0</v>
      </c>
      <c r="AF274" s="9" cm="1">
        <f t="array" aca="1" ref="AF274" ca="1">IFERROR(rrPROCV(B274,cubo!$A$6:$BE$37,48,0)-VLOOKUP(B274,#REF!,$AF$2,0),0)</f>
        <v>0</v>
      </c>
      <c r="AG274" s="9">
        <f>IFERROR(VLOOKUP(B274,cubo!$A$6:$BE$37,49,0)-VLOOKUP(B274,#REF!,$AG$2,0),0)</f>
        <v>0</v>
      </c>
      <c r="AH274" s="9">
        <f>IFERROR(VLOOKUP(B274,cubo!$A$6:$BE$37,50,0)-VLOOKUP(B274,#REF!,$AH$2,0),0)</f>
        <v>0</v>
      </c>
      <c r="AI274" s="9">
        <f>IFERROR(VLOOKUP(B274,cubo!$A$6:$BE$37,51,0)-VLOOKUP(B274,#REF!,$AI$2,0),0)</f>
        <v>0</v>
      </c>
      <c r="AJ274" s="9">
        <f>IFERROR(VLOOKUP(B274,cubo!$A$6:$BI$116,62,0)-VLOOKUP(B274,#REF!,$AJ$2,0),0)</f>
        <v>0</v>
      </c>
      <c r="AK274" s="9">
        <f>IFERROR(VLOOKUP(B274,cubo!$A$6:$BJ$37,63,0)-VLOOKUP(B274,#REF!,$AK$2,0),0)</f>
        <v>0</v>
      </c>
      <c r="AL274" s="9">
        <f>IFERROR(VLOOKUP(B274,cubo!$A$6:$BE$37,58,0)-VLOOKUP(B274,#REF!,$AL$2,0),0)</f>
        <v>0</v>
      </c>
      <c r="AM274" s="9">
        <f>IFERROR(VLOOKUP(B274,cubo!$A$6:$BK$37,64,0)-VLOOKUP(B274,#REF!,$AM$2,0),0)</f>
        <v>0</v>
      </c>
      <c r="AN274" s="9">
        <f>IFERROR(VLOOKUP(B274,cubo!$A$6:$AN$37,41,0)-VLOOKUP(B274,#REF!,$AN$2,0),0)</f>
        <v>0</v>
      </c>
    </row>
    <row r="275" spans="2:40" x14ac:dyDescent="0.25">
      <c r="B275" s="7">
        <f>[1]salario!A274</f>
        <v>0</v>
      </c>
      <c r="C275" s="8">
        <f>[1]salario!C274</f>
        <v>0</v>
      </c>
      <c r="D275" s="9">
        <f>IFERROR(VLOOKUP(B275,cubo!$A$6:$BE$37,3,0)-VLOOKUP(B275,#REF!,$D$2,0),0)</f>
        <v>0</v>
      </c>
      <c r="E275" s="10">
        <f>IFERROR(VLOOKUP(B275,cubo!$A$6:$BE$37,5,0)-VLOOKUP(B275,#REF!,$E$2,0),0)</f>
        <v>0</v>
      </c>
      <c r="F275" s="10">
        <f>IFERROR(VLOOKUP(B275,cubo!$A$6:$BE$37,8,0)-VLOOKUP(B275,#REF!,$F$2,0),0)</f>
        <v>0</v>
      </c>
      <c r="G275" s="9">
        <f>IFERROR(VLOOKUP(B275,cubo!$A$6:$BE$37,11,0)-VLOOKUP(B275,#REF!,$G$2,0),0)</f>
        <v>0</v>
      </c>
      <c r="H275" s="9">
        <f>IFERROR(VLOOKUP(B275,cubo!$A$6:$BE$37,53,0)-VLOOKUP(B275,#REF!,$H$2,0),0)</f>
        <v>0</v>
      </c>
      <c r="I275" s="10">
        <f>IFERROR(VLOOKUP(B275,cubo!$A$6:$BE$37,14,0)-VLOOKUP(B275,#REF!,$I$2,0),0)</f>
        <v>0</v>
      </c>
      <c r="J275" s="9">
        <f>IFERROR(VLOOKUP(B275,cubo!$A$6:$BE$37,16,0)-VLOOKUP(B275,#REF!,$J$2,0),0)</f>
        <v>0</v>
      </c>
      <c r="K275" s="9">
        <f>IFERROR(VLOOKUP(B275,cubo!$A$6:$BE$37,17,0)-VLOOKUP(B275,#REF!,$K$2,0),0)</f>
        <v>0</v>
      </c>
      <c r="L275" s="9">
        <f>IFERROR(VLOOKUP(B275,cubo!$A$6:$BE$37,19,0)-VLOOKUP(B275,#REF!,$L$2,0),0)</f>
        <v>0</v>
      </c>
      <c r="M275" s="9">
        <f>IFERROR(VLOOKUP(B275,cubo!$A$6:$BE$37,23,0)-VLOOKUP(B275,#REF!,$M$2,0),0)</f>
        <v>0</v>
      </c>
      <c r="N275" s="9">
        <f>IFERROR(VLOOKUP(B275,cubo!$A$6:$BE$37,25,0)-VLOOKUP(B275,#REF!,$N$2,0),0)</f>
        <v>0</v>
      </c>
      <c r="O275" s="9">
        <f>IFERROR(VLOOKUP(B275,cubo!$A$6:$BE$37,33,0)-VLOOKUP(B275,#REF!,$O$2,0),0)</f>
        <v>0</v>
      </c>
      <c r="P275" s="8">
        <f>IFERROR(VLOOKUP(B275,cubo!$A$6:$BE$37,37,0)-VLOOKUP(B275,#REF!,$P$2,0),0)</f>
        <v>0</v>
      </c>
      <c r="Q275" s="8">
        <f>IFERROR(VLOOKUP(B275,cubo!$A$6:$BE$37,56,0)-VLOOKUP(B275,#REF!,$Q$2,0),0)</f>
        <v>0</v>
      </c>
      <c r="R275" s="9">
        <f>IFERROR(VLOOKUP(B275,cubo!$A$6:$BE$37,40,0)-VLOOKUP(B275,#REF!,$R$2,0),0)</f>
        <v>0</v>
      </c>
      <c r="S275" s="9">
        <f>IFERROR(VLOOKUP(B275,cubo!$A$6:$BE$37,43,0)-VLOOKUP(B275,#REF!,$S$2,0),0)</f>
        <v>0</v>
      </c>
      <c r="T275" s="9">
        <f>IFERROR(VLOOKUP(B275,cubo!$A$6:$BE$37,46,0)-VLOOKUP(B275,#REF!,$T$2,0),0)</f>
        <v>0</v>
      </c>
      <c r="U275" s="9">
        <f>IFERROR(VLOOKUP(B275,cubo!$A$6:$BE$37,51,0)-VLOOKUP(B275,#REF!,$U$2,0),0)</f>
        <v>0</v>
      </c>
      <c r="V275" s="9">
        <f>IFERROR(VLOOKUP(B275,cubo!$A$6:$BJ$37,60,0)-VLOOKUP(B275,#REF!,$V$2,0),0)</f>
        <v>0</v>
      </c>
      <c r="W275" s="9">
        <f>IFERROR(VLOOKUP(B275,cubo!$A$6:$BE$37,26,0)-VLOOKUP(B275,#REF!,$W$2,0),0)</f>
        <v>0</v>
      </c>
      <c r="X275" s="9">
        <f>IFERROR(VLOOKUP(B275,cubo!$A$6:$BE$37,20,0)-VLOOKUP(B275,#REF!,$X$2,0),0)</f>
        <v>0</v>
      </c>
      <c r="Y275" s="9">
        <f>IFERROR(VLOOKUP(B275,cubo!$A$6:$BE$37,21,0)-VLOOKUP(B275,#REF!,$Y$2,0),0)</f>
        <v>0</v>
      </c>
      <c r="Z275" s="9">
        <f>IFERROR(VLOOKUP(B275,cubo!$A$6:$BE$37,27,0)-VLOOKUP(B275,#REF!,$Z$2,0),0)</f>
        <v>0</v>
      </c>
      <c r="AA275" s="9">
        <f>IFERROR(VLOOKUP(B275,cubo!$A$6:$BE$37,28,0)-VLOOKUP(B275,#REF!,$AA$2,0),0)</f>
        <v>0</v>
      </c>
      <c r="AB275" s="9">
        <f>IFERROR(VLOOKUP(B275,cubo!$A$6:$BE$37,29,0)-VLOOKUP(B275,#REF!,$AB$2,0),0)</f>
        <v>0</v>
      </c>
      <c r="AC275" s="9">
        <f>IFERROR(VLOOKUP(B275,cubo!$A$6:$BE$37,30,0)-VLOOKUP(B275,#REF!,$AC$2,0),0)</f>
        <v>0</v>
      </c>
      <c r="AD275" s="9">
        <f>IFERROR(VLOOKUP(B275,cubo!$A$6:$BE$37,31,0)-VLOOKUP(B275,#REF!,$AD$2,0),0)</f>
        <v>0</v>
      </c>
      <c r="AE275" s="9">
        <f>IFERROR(VLOOKUP(B275,cubo!$A$6:$BE$37,35,0)-VLOOKUP(B275,#REF!,$AE$2,0),0)</f>
        <v>0</v>
      </c>
      <c r="AF275" s="9" cm="1">
        <f t="array" aca="1" ref="AF275" ca="1">IFERROR(rrPROCV(B275,cubo!$A$6:$BE$37,48,0)-VLOOKUP(B275,#REF!,$AF$2,0),0)</f>
        <v>0</v>
      </c>
      <c r="AG275" s="9">
        <f>IFERROR(VLOOKUP(B275,cubo!$A$6:$BE$37,49,0)-VLOOKUP(B275,#REF!,$AG$2,0),0)</f>
        <v>0</v>
      </c>
      <c r="AH275" s="9">
        <f>IFERROR(VLOOKUP(B275,cubo!$A$6:$BE$37,50,0)-VLOOKUP(B275,#REF!,$AH$2,0),0)</f>
        <v>0</v>
      </c>
      <c r="AI275" s="9">
        <f>IFERROR(VLOOKUP(B275,cubo!$A$6:$BE$37,51,0)-VLOOKUP(B275,#REF!,$AI$2,0),0)</f>
        <v>0</v>
      </c>
      <c r="AJ275" s="9">
        <f>IFERROR(VLOOKUP(B275,cubo!$A$6:$BI$116,62,0)-VLOOKUP(B275,#REF!,$AJ$2,0),0)</f>
        <v>0</v>
      </c>
      <c r="AK275" s="9">
        <f>IFERROR(VLOOKUP(B275,cubo!$A$6:$BJ$37,63,0)-VLOOKUP(B275,#REF!,$AK$2,0),0)</f>
        <v>0</v>
      </c>
      <c r="AL275" s="9">
        <f>IFERROR(VLOOKUP(B275,cubo!$A$6:$BE$37,58,0)-VLOOKUP(B275,#REF!,$AL$2,0),0)</f>
        <v>0</v>
      </c>
      <c r="AM275" s="9">
        <f>IFERROR(VLOOKUP(B275,cubo!$A$6:$BK$37,64,0)-VLOOKUP(B275,#REF!,$AM$2,0),0)</f>
        <v>0</v>
      </c>
      <c r="AN275" s="9">
        <f>IFERROR(VLOOKUP(B275,cubo!$A$6:$AN$37,41,0)-VLOOKUP(B275,#REF!,$AN$2,0),0)</f>
        <v>0</v>
      </c>
    </row>
    <row r="276" spans="2:40" x14ac:dyDescent="0.25">
      <c r="B276" s="7">
        <f>[1]salario!A275</f>
        <v>0</v>
      </c>
      <c r="C276" s="8">
        <f>[1]salario!C275</f>
        <v>0</v>
      </c>
      <c r="D276" s="9">
        <f>IFERROR(VLOOKUP(B276,cubo!$A$6:$BE$37,3,0)-VLOOKUP(B276,#REF!,$D$2,0),0)</f>
        <v>0</v>
      </c>
      <c r="E276" s="10">
        <f>IFERROR(VLOOKUP(B276,cubo!$A$6:$BE$37,5,0)-VLOOKUP(B276,#REF!,$E$2,0),0)</f>
        <v>0</v>
      </c>
      <c r="F276" s="10">
        <f>IFERROR(VLOOKUP(B276,cubo!$A$6:$BE$37,8,0)-VLOOKUP(B276,#REF!,$F$2,0),0)</f>
        <v>0</v>
      </c>
      <c r="G276" s="9">
        <f>IFERROR(VLOOKUP(B276,cubo!$A$6:$BE$37,11,0)-VLOOKUP(B276,#REF!,$G$2,0),0)</f>
        <v>0</v>
      </c>
      <c r="H276" s="9">
        <f>IFERROR(VLOOKUP(B276,cubo!$A$6:$BE$37,53,0)-VLOOKUP(B276,#REF!,$H$2,0),0)</f>
        <v>0</v>
      </c>
      <c r="I276" s="10">
        <f>IFERROR(VLOOKUP(B276,cubo!$A$6:$BE$37,14,0)-VLOOKUP(B276,#REF!,$I$2,0),0)</f>
        <v>0</v>
      </c>
      <c r="J276" s="9">
        <f>IFERROR(VLOOKUP(B276,cubo!$A$6:$BE$37,16,0)-VLOOKUP(B276,#REF!,$J$2,0),0)</f>
        <v>0</v>
      </c>
      <c r="K276" s="9">
        <f>IFERROR(VLOOKUP(B276,cubo!$A$6:$BE$37,17,0)-VLOOKUP(B276,#REF!,$K$2,0),0)</f>
        <v>0</v>
      </c>
      <c r="L276" s="9">
        <f>IFERROR(VLOOKUP(B276,cubo!$A$6:$BE$37,19,0)-VLOOKUP(B276,#REF!,$L$2,0),0)</f>
        <v>0</v>
      </c>
      <c r="M276" s="9">
        <f>IFERROR(VLOOKUP(B276,cubo!$A$6:$BE$37,23,0)-VLOOKUP(B276,#REF!,$M$2,0),0)</f>
        <v>0</v>
      </c>
      <c r="N276" s="9">
        <f>IFERROR(VLOOKUP(B276,cubo!$A$6:$BE$37,25,0)-VLOOKUP(B276,#REF!,$N$2,0),0)</f>
        <v>0</v>
      </c>
      <c r="O276" s="9">
        <f>IFERROR(VLOOKUP(B276,cubo!$A$6:$BE$37,33,0)-VLOOKUP(B276,#REF!,$O$2,0),0)</f>
        <v>0</v>
      </c>
      <c r="P276" s="8">
        <f>IFERROR(VLOOKUP(B276,cubo!$A$6:$BE$37,37,0)-VLOOKUP(B276,#REF!,$P$2,0),0)</f>
        <v>0</v>
      </c>
      <c r="Q276" s="8">
        <f>IFERROR(VLOOKUP(B276,cubo!$A$6:$BE$37,56,0)-VLOOKUP(B276,#REF!,$Q$2,0),0)</f>
        <v>0</v>
      </c>
      <c r="R276" s="9">
        <f>IFERROR(VLOOKUP(B276,cubo!$A$6:$BE$37,40,0)-VLOOKUP(B276,#REF!,$R$2,0),0)</f>
        <v>0</v>
      </c>
      <c r="S276" s="9">
        <f>IFERROR(VLOOKUP(B276,cubo!$A$6:$BE$37,43,0)-VLOOKUP(B276,#REF!,$S$2,0),0)</f>
        <v>0</v>
      </c>
      <c r="T276" s="9">
        <f>IFERROR(VLOOKUP(B276,cubo!$A$6:$BE$37,46,0)-VLOOKUP(B276,#REF!,$T$2,0),0)</f>
        <v>0</v>
      </c>
      <c r="U276" s="9">
        <f>IFERROR(VLOOKUP(B276,cubo!$A$6:$BE$37,51,0)-VLOOKUP(B276,#REF!,$U$2,0),0)</f>
        <v>0</v>
      </c>
      <c r="V276" s="9">
        <f>IFERROR(VLOOKUP(B276,cubo!$A$6:$BJ$37,60,0)-VLOOKUP(B276,#REF!,$V$2,0),0)</f>
        <v>0</v>
      </c>
      <c r="W276" s="9">
        <f>IFERROR(VLOOKUP(B276,cubo!$A$6:$BE$37,26,0)-VLOOKUP(B276,#REF!,$W$2,0),0)</f>
        <v>0</v>
      </c>
      <c r="X276" s="9">
        <f>IFERROR(VLOOKUP(B276,cubo!$A$6:$BE$37,20,0)-VLOOKUP(B276,#REF!,$X$2,0),0)</f>
        <v>0</v>
      </c>
      <c r="Y276" s="9">
        <f>IFERROR(VLOOKUP(B276,cubo!$A$6:$BE$37,21,0)-VLOOKUP(B276,#REF!,$Y$2,0),0)</f>
        <v>0</v>
      </c>
      <c r="Z276" s="9">
        <f>IFERROR(VLOOKUP(B276,cubo!$A$6:$BE$37,27,0)-VLOOKUP(B276,#REF!,$Z$2,0),0)</f>
        <v>0</v>
      </c>
      <c r="AA276" s="9">
        <f>IFERROR(VLOOKUP(B276,cubo!$A$6:$BE$37,28,0)-VLOOKUP(B276,#REF!,$AA$2,0),0)</f>
        <v>0</v>
      </c>
      <c r="AB276" s="9">
        <f>IFERROR(VLOOKUP(B276,cubo!$A$6:$BE$37,29,0)-VLOOKUP(B276,#REF!,$AB$2,0),0)</f>
        <v>0</v>
      </c>
      <c r="AC276" s="9">
        <f>IFERROR(VLOOKUP(B276,cubo!$A$6:$BE$37,30,0)-VLOOKUP(B276,#REF!,$AC$2,0),0)</f>
        <v>0</v>
      </c>
      <c r="AD276" s="9">
        <f>IFERROR(VLOOKUP(B276,cubo!$A$6:$BE$37,31,0)-VLOOKUP(B276,#REF!,$AD$2,0),0)</f>
        <v>0</v>
      </c>
      <c r="AE276" s="9">
        <f>IFERROR(VLOOKUP(B276,cubo!$A$6:$BE$37,35,0)-VLOOKUP(B276,#REF!,$AE$2,0),0)</f>
        <v>0</v>
      </c>
      <c r="AF276" s="9" cm="1">
        <f t="array" aca="1" ref="AF276" ca="1">IFERROR(rrPROCV(B276,cubo!$A$6:$BE$37,48,0)-VLOOKUP(B276,#REF!,$AF$2,0),0)</f>
        <v>0</v>
      </c>
      <c r="AG276" s="9">
        <f>IFERROR(VLOOKUP(B276,cubo!$A$6:$BE$37,49,0)-VLOOKUP(B276,#REF!,$AG$2,0),0)</f>
        <v>0</v>
      </c>
      <c r="AH276" s="9">
        <f>IFERROR(VLOOKUP(B276,cubo!$A$6:$BE$37,50,0)-VLOOKUP(B276,#REF!,$AH$2,0),0)</f>
        <v>0</v>
      </c>
      <c r="AI276" s="9">
        <f>IFERROR(VLOOKUP(B276,cubo!$A$6:$BE$37,51,0)-VLOOKUP(B276,#REF!,$AI$2,0),0)</f>
        <v>0</v>
      </c>
      <c r="AJ276" s="9">
        <f>IFERROR(VLOOKUP(B276,cubo!$A$6:$BI$116,62,0)-VLOOKUP(B276,#REF!,$AJ$2,0),0)</f>
        <v>0</v>
      </c>
      <c r="AK276" s="9">
        <f>IFERROR(VLOOKUP(B276,cubo!$A$6:$BJ$37,63,0)-VLOOKUP(B276,#REF!,$AK$2,0),0)</f>
        <v>0</v>
      </c>
      <c r="AL276" s="9">
        <f>IFERROR(VLOOKUP(B276,cubo!$A$6:$BE$37,58,0)-VLOOKUP(B276,#REF!,$AL$2,0),0)</f>
        <v>0</v>
      </c>
      <c r="AM276" s="9">
        <f>IFERROR(VLOOKUP(B276,cubo!$A$6:$BK$37,64,0)-VLOOKUP(B276,#REF!,$AM$2,0),0)</f>
        <v>0</v>
      </c>
      <c r="AN276" s="9">
        <f>IFERROR(VLOOKUP(B276,cubo!$A$6:$AN$37,41,0)-VLOOKUP(B276,#REF!,$AN$2,0),0)</f>
        <v>0</v>
      </c>
    </row>
    <row r="277" spans="2:40" x14ac:dyDescent="0.25">
      <c r="B277" s="7">
        <f>[1]salario!A276</f>
        <v>0</v>
      </c>
      <c r="C277" s="8">
        <f>[1]salario!C276</f>
        <v>0</v>
      </c>
      <c r="D277" s="9">
        <f>IFERROR(VLOOKUP(B277,cubo!$A$6:$BE$37,3,0)-VLOOKUP(B277,#REF!,$D$2,0),0)</f>
        <v>0</v>
      </c>
      <c r="E277" s="10">
        <f>IFERROR(VLOOKUP(B277,cubo!$A$6:$BE$37,5,0)-VLOOKUP(B277,#REF!,$E$2,0),0)</f>
        <v>0</v>
      </c>
      <c r="F277" s="10">
        <f>IFERROR(VLOOKUP(B277,cubo!$A$6:$BE$37,8,0)-VLOOKUP(B277,#REF!,$F$2,0),0)</f>
        <v>0</v>
      </c>
      <c r="G277" s="9">
        <f>IFERROR(VLOOKUP(B277,cubo!$A$6:$BE$37,11,0)-VLOOKUP(B277,#REF!,$G$2,0),0)</f>
        <v>0</v>
      </c>
      <c r="H277" s="9">
        <f>IFERROR(VLOOKUP(B277,cubo!$A$6:$BE$37,53,0)-VLOOKUP(B277,#REF!,$H$2,0),0)</f>
        <v>0</v>
      </c>
      <c r="I277" s="10">
        <f>IFERROR(VLOOKUP(B277,cubo!$A$6:$BE$37,14,0)-VLOOKUP(B277,#REF!,$I$2,0),0)</f>
        <v>0</v>
      </c>
      <c r="J277" s="9">
        <f>IFERROR(VLOOKUP(B277,cubo!$A$6:$BE$37,16,0)-VLOOKUP(B277,#REF!,$J$2,0),0)</f>
        <v>0</v>
      </c>
      <c r="K277" s="9">
        <f>IFERROR(VLOOKUP(B277,cubo!$A$6:$BE$37,17,0)-VLOOKUP(B277,#REF!,$K$2,0),0)</f>
        <v>0</v>
      </c>
      <c r="L277" s="9">
        <f>IFERROR(VLOOKUP(B277,cubo!$A$6:$BE$37,19,0)-VLOOKUP(B277,#REF!,$L$2,0),0)</f>
        <v>0</v>
      </c>
      <c r="M277" s="9">
        <f>IFERROR(VLOOKUP(B277,cubo!$A$6:$BE$37,23,0)-VLOOKUP(B277,#REF!,$M$2,0),0)</f>
        <v>0</v>
      </c>
      <c r="N277" s="9">
        <f>IFERROR(VLOOKUP(B277,cubo!$A$6:$BE$37,25,0)-VLOOKUP(B277,#REF!,$N$2,0),0)</f>
        <v>0</v>
      </c>
      <c r="O277" s="9">
        <f>IFERROR(VLOOKUP(B277,cubo!$A$6:$BE$37,33,0)-VLOOKUP(B277,#REF!,$O$2,0),0)</f>
        <v>0</v>
      </c>
      <c r="P277" s="8">
        <f>IFERROR(VLOOKUP(B277,cubo!$A$6:$BE$37,37,0)-VLOOKUP(B277,#REF!,$P$2,0),0)</f>
        <v>0</v>
      </c>
      <c r="Q277" s="8">
        <f>IFERROR(VLOOKUP(B277,cubo!$A$6:$BE$37,56,0)-VLOOKUP(B277,#REF!,$Q$2,0),0)</f>
        <v>0</v>
      </c>
      <c r="R277" s="9">
        <f>IFERROR(VLOOKUP(B277,cubo!$A$6:$BE$37,40,0)-VLOOKUP(B277,#REF!,$R$2,0),0)</f>
        <v>0</v>
      </c>
      <c r="S277" s="9">
        <f>IFERROR(VLOOKUP(B277,cubo!$A$6:$BE$37,43,0)-VLOOKUP(B277,#REF!,$S$2,0),0)</f>
        <v>0</v>
      </c>
      <c r="T277" s="9">
        <f>IFERROR(VLOOKUP(B277,cubo!$A$6:$BE$37,46,0)-VLOOKUP(B277,#REF!,$T$2,0),0)</f>
        <v>0</v>
      </c>
      <c r="U277" s="9">
        <f>IFERROR(VLOOKUP(B277,cubo!$A$6:$BE$37,51,0)-VLOOKUP(B277,#REF!,$U$2,0),0)</f>
        <v>0</v>
      </c>
      <c r="V277" s="9">
        <f>IFERROR(VLOOKUP(B277,cubo!$A$6:$BJ$37,60,0)-VLOOKUP(B277,#REF!,$V$2,0),0)</f>
        <v>0</v>
      </c>
      <c r="W277" s="9">
        <f>IFERROR(VLOOKUP(B277,cubo!$A$6:$BE$37,26,0)-VLOOKUP(B277,#REF!,$W$2,0),0)</f>
        <v>0</v>
      </c>
      <c r="X277" s="9">
        <f>IFERROR(VLOOKUP(B277,cubo!$A$6:$BE$37,20,0)-VLOOKUP(B277,#REF!,$X$2,0),0)</f>
        <v>0</v>
      </c>
      <c r="Y277" s="9">
        <f>IFERROR(VLOOKUP(B277,cubo!$A$6:$BE$37,21,0)-VLOOKUP(B277,#REF!,$Y$2,0),0)</f>
        <v>0</v>
      </c>
      <c r="Z277" s="9">
        <f>IFERROR(VLOOKUP(B277,cubo!$A$6:$BE$37,27,0)-VLOOKUP(B277,#REF!,$Z$2,0),0)</f>
        <v>0</v>
      </c>
      <c r="AA277" s="9">
        <f>IFERROR(VLOOKUP(B277,cubo!$A$6:$BE$37,28,0)-VLOOKUP(B277,#REF!,$AA$2,0),0)</f>
        <v>0</v>
      </c>
      <c r="AB277" s="9">
        <f>IFERROR(VLOOKUP(B277,cubo!$A$6:$BE$37,29,0)-VLOOKUP(B277,#REF!,$AB$2,0),0)</f>
        <v>0</v>
      </c>
      <c r="AC277" s="9">
        <f>IFERROR(VLOOKUP(B277,cubo!$A$6:$BE$37,30,0)-VLOOKUP(B277,#REF!,$AC$2,0),0)</f>
        <v>0</v>
      </c>
      <c r="AD277" s="9">
        <f>IFERROR(VLOOKUP(B277,cubo!$A$6:$BE$37,31,0)-VLOOKUP(B277,#REF!,$AD$2,0),0)</f>
        <v>0</v>
      </c>
      <c r="AE277" s="9">
        <f>IFERROR(VLOOKUP(B277,cubo!$A$6:$BE$37,35,0)-VLOOKUP(B277,#REF!,$AE$2,0),0)</f>
        <v>0</v>
      </c>
      <c r="AF277" s="9" cm="1">
        <f t="array" aca="1" ref="AF277" ca="1">IFERROR(rrPROCV(B277,cubo!$A$6:$BE$37,48,0)-VLOOKUP(B277,#REF!,$AF$2,0),0)</f>
        <v>0</v>
      </c>
      <c r="AG277" s="9">
        <f>IFERROR(VLOOKUP(B277,cubo!$A$6:$BE$37,49,0)-VLOOKUP(B277,#REF!,$AG$2,0),0)</f>
        <v>0</v>
      </c>
      <c r="AH277" s="9">
        <f>IFERROR(VLOOKUP(B277,cubo!$A$6:$BE$37,50,0)-VLOOKUP(B277,#REF!,$AH$2,0),0)</f>
        <v>0</v>
      </c>
      <c r="AI277" s="9">
        <f>IFERROR(VLOOKUP(B277,cubo!$A$6:$BE$37,51,0)-VLOOKUP(B277,#REF!,$AI$2,0),0)</f>
        <v>0</v>
      </c>
      <c r="AJ277" s="9">
        <f>IFERROR(VLOOKUP(B277,cubo!$A$6:$BI$116,62,0)-VLOOKUP(B277,#REF!,$AJ$2,0),0)</f>
        <v>0</v>
      </c>
      <c r="AK277" s="9">
        <f>IFERROR(VLOOKUP(B277,cubo!$A$6:$BJ$37,63,0)-VLOOKUP(B277,#REF!,$AK$2,0),0)</f>
        <v>0</v>
      </c>
      <c r="AL277" s="9">
        <f>IFERROR(VLOOKUP(B277,cubo!$A$6:$BE$37,58,0)-VLOOKUP(B277,#REF!,$AL$2,0),0)</f>
        <v>0</v>
      </c>
      <c r="AM277" s="9">
        <f>IFERROR(VLOOKUP(B277,cubo!$A$6:$BK$37,64,0)-VLOOKUP(B277,#REF!,$AM$2,0),0)</f>
        <v>0</v>
      </c>
      <c r="AN277" s="9">
        <f>IFERROR(VLOOKUP(B277,cubo!$A$6:$AN$37,41,0)-VLOOKUP(B277,#REF!,$AN$2,0),0)</f>
        <v>0</v>
      </c>
    </row>
    <row r="278" spans="2:40" x14ac:dyDescent="0.25">
      <c r="B278" s="7">
        <f>[1]salario!A277</f>
        <v>0</v>
      </c>
      <c r="C278" s="8">
        <f>[1]salario!C277</f>
        <v>0</v>
      </c>
      <c r="D278" s="9">
        <f>IFERROR(VLOOKUP(B278,cubo!$A$6:$BE$37,3,0)-VLOOKUP(B278,#REF!,$D$2,0),0)</f>
        <v>0</v>
      </c>
      <c r="E278" s="10">
        <f>IFERROR(VLOOKUP(B278,cubo!$A$6:$BE$37,5,0)-VLOOKUP(B278,#REF!,$E$2,0),0)</f>
        <v>0</v>
      </c>
      <c r="F278" s="10">
        <f>IFERROR(VLOOKUP(B278,cubo!$A$6:$BE$37,8,0)-VLOOKUP(B278,#REF!,$F$2,0),0)</f>
        <v>0</v>
      </c>
      <c r="G278" s="9">
        <f>IFERROR(VLOOKUP(B278,cubo!$A$6:$BE$37,11,0)-VLOOKUP(B278,#REF!,$G$2,0),0)</f>
        <v>0</v>
      </c>
      <c r="H278" s="9">
        <f>IFERROR(VLOOKUP(B278,cubo!$A$6:$BE$37,53,0)-VLOOKUP(B278,#REF!,$H$2,0),0)</f>
        <v>0</v>
      </c>
      <c r="I278" s="10">
        <f>IFERROR(VLOOKUP(B278,cubo!$A$6:$BE$37,14,0)-VLOOKUP(B278,#REF!,$I$2,0),0)</f>
        <v>0</v>
      </c>
      <c r="J278" s="9">
        <f>IFERROR(VLOOKUP(B278,cubo!$A$6:$BE$37,16,0)-VLOOKUP(B278,#REF!,$J$2,0),0)</f>
        <v>0</v>
      </c>
      <c r="K278" s="9">
        <f>IFERROR(VLOOKUP(B278,cubo!$A$6:$BE$37,17,0)-VLOOKUP(B278,#REF!,$K$2,0),0)</f>
        <v>0</v>
      </c>
      <c r="L278" s="9">
        <f>IFERROR(VLOOKUP(B278,cubo!$A$6:$BE$37,19,0)-VLOOKUP(B278,#REF!,$L$2,0),0)</f>
        <v>0</v>
      </c>
      <c r="M278" s="9">
        <f>IFERROR(VLOOKUP(B278,cubo!$A$6:$BE$37,23,0)-VLOOKUP(B278,#REF!,$M$2,0),0)</f>
        <v>0</v>
      </c>
      <c r="N278" s="9">
        <f>IFERROR(VLOOKUP(B278,cubo!$A$6:$BE$37,25,0)-VLOOKUP(B278,#REF!,$N$2,0),0)</f>
        <v>0</v>
      </c>
      <c r="O278" s="9">
        <f>IFERROR(VLOOKUP(B278,cubo!$A$6:$BE$37,33,0)-VLOOKUP(B278,#REF!,$O$2,0),0)</f>
        <v>0</v>
      </c>
      <c r="P278" s="8">
        <f>IFERROR(VLOOKUP(B278,cubo!$A$6:$BE$37,37,0)-VLOOKUP(B278,#REF!,$P$2,0),0)</f>
        <v>0</v>
      </c>
      <c r="Q278" s="8">
        <f>IFERROR(VLOOKUP(B278,cubo!$A$6:$BE$37,56,0)-VLOOKUP(B278,#REF!,$Q$2,0),0)</f>
        <v>0</v>
      </c>
      <c r="R278" s="9">
        <f>IFERROR(VLOOKUP(B278,cubo!$A$6:$BE$37,40,0)-VLOOKUP(B278,#REF!,$R$2,0),0)</f>
        <v>0</v>
      </c>
      <c r="S278" s="9">
        <f>IFERROR(VLOOKUP(B278,cubo!$A$6:$BE$37,43,0)-VLOOKUP(B278,#REF!,$S$2,0),0)</f>
        <v>0</v>
      </c>
      <c r="T278" s="9">
        <f>IFERROR(VLOOKUP(B278,cubo!$A$6:$BE$37,46,0)-VLOOKUP(B278,#REF!,$T$2,0),0)</f>
        <v>0</v>
      </c>
      <c r="U278" s="9">
        <f>IFERROR(VLOOKUP(B278,cubo!$A$6:$BE$37,51,0)-VLOOKUP(B278,#REF!,$U$2,0),0)</f>
        <v>0</v>
      </c>
      <c r="V278" s="9">
        <f>IFERROR(VLOOKUP(B278,cubo!$A$6:$BJ$37,60,0)-VLOOKUP(B278,#REF!,$V$2,0),0)</f>
        <v>0</v>
      </c>
      <c r="W278" s="9">
        <f>IFERROR(VLOOKUP(B278,cubo!$A$6:$BE$37,26,0)-VLOOKUP(B278,#REF!,$W$2,0),0)</f>
        <v>0</v>
      </c>
      <c r="X278" s="9">
        <f>IFERROR(VLOOKUP(B278,cubo!$A$6:$BE$37,20,0)-VLOOKUP(B278,#REF!,$X$2,0),0)</f>
        <v>0</v>
      </c>
      <c r="Y278" s="9">
        <f>IFERROR(VLOOKUP(B278,cubo!$A$6:$BE$37,21,0)-VLOOKUP(B278,#REF!,$Y$2,0),0)</f>
        <v>0</v>
      </c>
      <c r="Z278" s="9">
        <f>IFERROR(VLOOKUP(B278,cubo!$A$6:$BE$37,27,0)-VLOOKUP(B278,#REF!,$Z$2,0),0)</f>
        <v>0</v>
      </c>
      <c r="AA278" s="9">
        <f>IFERROR(VLOOKUP(B278,cubo!$A$6:$BE$37,28,0)-VLOOKUP(B278,#REF!,$AA$2,0),0)</f>
        <v>0</v>
      </c>
      <c r="AB278" s="9">
        <f>IFERROR(VLOOKUP(B278,cubo!$A$6:$BE$37,29,0)-VLOOKUP(B278,#REF!,$AB$2,0),0)</f>
        <v>0</v>
      </c>
      <c r="AC278" s="9">
        <f>IFERROR(VLOOKUP(B278,cubo!$A$6:$BE$37,30,0)-VLOOKUP(B278,#REF!,$AC$2,0),0)</f>
        <v>0</v>
      </c>
      <c r="AD278" s="9">
        <f>IFERROR(VLOOKUP(B278,cubo!$A$6:$BE$37,31,0)-VLOOKUP(B278,#REF!,$AD$2,0),0)</f>
        <v>0</v>
      </c>
      <c r="AE278" s="9">
        <f>IFERROR(VLOOKUP(B278,cubo!$A$6:$BE$37,35,0)-VLOOKUP(B278,#REF!,$AE$2,0),0)</f>
        <v>0</v>
      </c>
      <c r="AF278" s="9" cm="1">
        <f t="array" aca="1" ref="AF278" ca="1">IFERROR(rrPROCV(B278,cubo!$A$6:$BE$37,48,0)-VLOOKUP(B278,#REF!,$AF$2,0),0)</f>
        <v>0</v>
      </c>
      <c r="AG278" s="9">
        <f>IFERROR(VLOOKUP(B278,cubo!$A$6:$BE$37,49,0)-VLOOKUP(B278,#REF!,$AG$2,0),0)</f>
        <v>0</v>
      </c>
      <c r="AH278" s="9">
        <f>IFERROR(VLOOKUP(B278,cubo!$A$6:$BE$37,50,0)-VLOOKUP(B278,#REF!,$AH$2,0),0)</f>
        <v>0</v>
      </c>
      <c r="AI278" s="9">
        <f>IFERROR(VLOOKUP(B278,cubo!$A$6:$BE$37,51,0)-VLOOKUP(B278,#REF!,$AI$2,0),0)</f>
        <v>0</v>
      </c>
      <c r="AJ278" s="9">
        <f>IFERROR(VLOOKUP(B278,cubo!$A$6:$BI$116,62,0)-VLOOKUP(B278,#REF!,$AJ$2,0),0)</f>
        <v>0</v>
      </c>
      <c r="AK278" s="9">
        <f>IFERROR(VLOOKUP(B278,cubo!$A$6:$BJ$37,63,0)-VLOOKUP(B278,#REF!,$AK$2,0),0)</f>
        <v>0</v>
      </c>
      <c r="AL278" s="9">
        <f>IFERROR(VLOOKUP(B278,cubo!$A$6:$BE$37,58,0)-VLOOKUP(B278,#REF!,$AL$2,0),0)</f>
        <v>0</v>
      </c>
      <c r="AM278" s="9">
        <f>IFERROR(VLOOKUP(B278,cubo!$A$6:$BK$37,64,0)-VLOOKUP(B278,#REF!,$AM$2,0),0)</f>
        <v>0</v>
      </c>
      <c r="AN278" s="9">
        <f>IFERROR(VLOOKUP(B278,cubo!$A$6:$AN$37,41,0)-VLOOKUP(B278,#REF!,$AN$2,0),0)</f>
        <v>0</v>
      </c>
    </row>
    <row r="279" spans="2:40" x14ac:dyDescent="0.25">
      <c r="B279" s="7">
        <f>[1]salario!A278</f>
        <v>0</v>
      </c>
      <c r="C279" s="8">
        <f>[1]salario!C278</f>
        <v>0</v>
      </c>
      <c r="D279" s="9">
        <f>IFERROR(VLOOKUP(B279,cubo!$A$6:$BE$37,3,0)-VLOOKUP(B279,#REF!,$D$2,0),0)</f>
        <v>0</v>
      </c>
      <c r="E279" s="10">
        <f>IFERROR(VLOOKUP(B279,cubo!$A$6:$BE$37,5,0)-VLOOKUP(B279,#REF!,$E$2,0),0)</f>
        <v>0</v>
      </c>
      <c r="F279" s="10">
        <f>IFERROR(VLOOKUP(B279,cubo!$A$6:$BE$37,8,0)-VLOOKUP(B279,#REF!,$F$2,0),0)</f>
        <v>0</v>
      </c>
      <c r="G279" s="9">
        <f>IFERROR(VLOOKUP(B279,cubo!$A$6:$BE$37,11,0)-VLOOKUP(B279,#REF!,$G$2,0),0)</f>
        <v>0</v>
      </c>
      <c r="H279" s="9">
        <f>IFERROR(VLOOKUP(B279,cubo!$A$6:$BE$37,53,0)-VLOOKUP(B279,#REF!,$H$2,0),0)</f>
        <v>0</v>
      </c>
      <c r="I279" s="10">
        <f>IFERROR(VLOOKUP(B279,cubo!$A$6:$BE$37,14,0)-VLOOKUP(B279,#REF!,$I$2,0),0)</f>
        <v>0</v>
      </c>
      <c r="J279" s="9">
        <f>IFERROR(VLOOKUP(B279,cubo!$A$6:$BE$37,16,0)-VLOOKUP(B279,#REF!,$J$2,0),0)</f>
        <v>0</v>
      </c>
      <c r="K279" s="9">
        <f>IFERROR(VLOOKUP(B279,cubo!$A$6:$BE$37,17,0)-VLOOKUP(B279,#REF!,$K$2,0),0)</f>
        <v>0</v>
      </c>
      <c r="L279" s="9">
        <f>IFERROR(VLOOKUP(B279,cubo!$A$6:$BE$37,19,0)-VLOOKUP(B279,#REF!,$L$2,0),0)</f>
        <v>0</v>
      </c>
      <c r="M279" s="9">
        <f>IFERROR(VLOOKUP(B279,cubo!$A$6:$BE$37,23,0)-VLOOKUP(B279,#REF!,$M$2,0),0)</f>
        <v>0</v>
      </c>
      <c r="N279" s="9">
        <f>IFERROR(VLOOKUP(B279,cubo!$A$6:$BE$37,25,0)-VLOOKUP(B279,#REF!,$N$2,0),0)</f>
        <v>0</v>
      </c>
      <c r="O279" s="9">
        <f>IFERROR(VLOOKUP(B279,cubo!$A$6:$BE$37,33,0)-VLOOKUP(B279,#REF!,$O$2,0),0)</f>
        <v>0</v>
      </c>
      <c r="P279" s="8">
        <f>IFERROR(VLOOKUP(B279,cubo!$A$6:$BE$37,37,0)-VLOOKUP(B279,#REF!,$P$2,0),0)</f>
        <v>0</v>
      </c>
      <c r="Q279" s="8">
        <f>IFERROR(VLOOKUP(B279,cubo!$A$6:$BE$37,56,0)-VLOOKUP(B279,#REF!,$Q$2,0),0)</f>
        <v>0</v>
      </c>
      <c r="R279" s="9">
        <f>IFERROR(VLOOKUP(B279,cubo!$A$6:$BE$37,40,0)-VLOOKUP(B279,#REF!,$R$2,0),0)</f>
        <v>0</v>
      </c>
      <c r="S279" s="9">
        <f>IFERROR(VLOOKUP(B279,cubo!$A$6:$BE$37,43,0)-VLOOKUP(B279,#REF!,$S$2,0),0)</f>
        <v>0</v>
      </c>
      <c r="T279" s="9">
        <f>IFERROR(VLOOKUP(B279,cubo!$A$6:$BE$37,46,0)-VLOOKUP(B279,#REF!,$T$2,0),0)</f>
        <v>0</v>
      </c>
      <c r="U279" s="9">
        <f>IFERROR(VLOOKUP(B279,cubo!$A$6:$BE$37,51,0)-VLOOKUP(B279,#REF!,$U$2,0),0)</f>
        <v>0</v>
      </c>
      <c r="V279" s="9">
        <f>IFERROR(VLOOKUP(B279,cubo!$A$6:$BJ$37,60,0)-VLOOKUP(B279,#REF!,$V$2,0),0)</f>
        <v>0</v>
      </c>
      <c r="W279" s="9">
        <f>IFERROR(VLOOKUP(B279,cubo!$A$6:$BE$37,26,0)-VLOOKUP(B279,#REF!,$W$2,0),0)</f>
        <v>0</v>
      </c>
      <c r="X279" s="9">
        <f>IFERROR(VLOOKUP(B279,cubo!$A$6:$BE$37,20,0)-VLOOKUP(B279,#REF!,$X$2,0),0)</f>
        <v>0</v>
      </c>
      <c r="Y279" s="9">
        <f>IFERROR(VLOOKUP(B279,cubo!$A$6:$BE$37,21,0)-VLOOKUP(B279,#REF!,$Y$2,0),0)</f>
        <v>0</v>
      </c>
      <c r="Z279" s="9">
        <f>IFERROR(VLOOKUP(B279,cubo!$A$6:$BE$37,27,0)-VLOOKUP(B279,#REF!,$Z$2,0),0)</f>
        <v>0</v>
      </c>
      <c r="AA279" s="9">
        <f>IFERROR(VLOOKUP(B279,cubo!$A$6:$BE$37,28,0)-VLOOKUP(B279,#REF!,$AA$2,0),0)</f>
        <v>0</v>
      </c>
      <c r="AB279" s="9">
        <f>IFERROR(VLOOKUP(B279,cubo!$A$6:$BE$37,29,0)-VLOOKUP(B279,#REF!,$AB$2,0),0)</f>
        <v>0</v>
      </c>
      <c r="AC279" s="9">
        <f>IFERROR(VLOOKUP(B279,cubo!$A$6:$BE$37,30,0)-VLOOKUP(B279,#REF!,$AC$2,0),0)</f>
        <v>0</v>
      </c>
      <c r="AD279" s="9">
        <f>IFERROR(VLOOKUP(B279,cubo!$A$6:$BE$37,31,0)-VLOOKUP(B279,#REF!,$AD$2,0),0)</f>
        <v>0</v>
      </c>
      <c r="AE279" s="9">
        <f>IFERROR(VLOOKUP(B279,cubo!$A$6:$BE$37,35,0)-VLOOKUP(B279,#REF!,$AE$2,0),0)</f>
        <v>0</v>
      </c>
      <c r="AF279" s="9" cm="1">
        <f t="array" aca="1" ref="AF279" ca="1">IFERROR(rrPROCV(B279,cubo!$A$6:$BE$37,48,0)-VLOOKUP(B279,#REF!,$AF$2,0),0)</f>
        <v>0</v>
      </c>
      <c r="AG279" s="9">
        <f>IFERROR(VLOOKUP(B279,cubo!$A$6:$BE$37,49,0)-VLOOKUP(B279,#REF!,$AG$2,0),0)</f>
        <v>0</v>
      </c>
      <c r="AH279" s="9">
        <f>IFERROR(VLOOKUP(B279,cubo!$A$6:$BE$37,50,0)-VLOOKUP(B279,#REF!,$AH$2,0),0)</f>
        <v>0</v>
      </c>
      <c r="AI279" s="9">
        <f>IFERROR(VLOOKUP(B279,cubo!$A$6:$BE$37,51,0)-VLOOKUP(B279,#REF!,$AI$2,0),0)</f>
        <v>0</v>
      </c>
      <c r="AJ279" s="9">
        <f>IFERROR(VLOOKUP(B279,cubo!$A$6:$BI$116,62,0)-VLOOKUP(B279,#REF!,$AJ$2,0),0)</f>
        <v>0</v>
      </c>
      <c r="AK279" s="9">
        <f>IFERROR(VLOOKUP(B279,cubo!$A$6:$BJ$37,63,0)-VLOOKUP(B279,#REF!,$AK$2,0),0)</f>
        <v>0</v>
      </c>
      <c r="AL279" s="9">
        <f>IFERROR(VLOOKUP(B279,cubo!$A$6:$BE$37,58,0)-VLOOKUP(B279,#REF!,$AL$2,0),0)</f>
        <v>0</v>
      </c>
      <c r="AM279" s="9">
        <f>IFERROR(VLOOKUP(B279,cubo!$A$6:$BK$37,64,0)-VLOOKUP(B279,#REF!,$AM$2,0),0)</f>
        <v>0</v>
      </c>
      <c r="AN279" s="9">
        <f>IFERROR(VLOOKUP(B279,cubo!$A$6:$AN$37,41,0)-VLOOKUP(B279,#REF!,$AN$2,0),0)</f>
        <v>0</v>
      </c>
    </row>
    <row r="280" spans="2:40" x14ac:dyDescent="0.25">
      <c r="B280" s="7">
        <f>[1]salario!A279</f>
        <v>0</v>
      </c>
      <c r="C280" s="8">
        <f>[1]salario!C279</f>
        <v>0</v>
      </c>
      <c r="D280" s="9">
        <f>IFERROR(VLOOKUP(B280,cubo!$A$6:$BE$37,3,0)-VLOOKUP(B280,#REF!,$D$2,0),0)</f>
        <v>0</v>
      </c>
      <c r="E280" s="10">
        <f>IFERROR(VLOOKUP(B280,cubo!$A$6:$BE$37,5,0)-VLOOKUP(B280,#REF!,$E$2,0),0)</f>
        <v>0</v>
      </c>
      <c r="F280" s="10">
        <f>IFERROR(VLOOKUP(B280,cubo!$A$6:$BE$37,8,0)-VLOOKUP(B280,#REF!,$F$2,0),0)</f>
        <v>0</v>
      </c>
      <c r="G280" s="9">
        <f>IFERROR(VLOOKUP(B280,cubo!$A$6:$BE$37,11,0)-VLOOKUP(B280,#REF!,$G$2,0),0)</f>
        <v>0</v>
      </c>
      <c r="H280" s="9">
        <f>IFERROR(VLOOKUP(B280,cubo!$A$6:$BE$37,53,0)-VLOOKUP(B280,#REF!,$H$2,0),0)</f>
        <v>0</v>
      </c>
      <c r="I280" s="10">
        <f>IFERROR(VLOOKUP(B280,cubo!$A$6:$BE$37,14,0)-VLOOKUP(B280,#REF!,$I$2,0),0)</f>
        <v>0</v>
      </c>
      <c r="J280" s="9">
        <f>IFERROR(VLOOKUP(B280,cubo!$A$6:$BE$37,16,0)-VLOOKUP(B280,#REF!,$J$2,0),0)</f>
        <v>0</v>
      </c>
      <c r="K280" s="9">
        <f>IFERROR(VLOOKUP(B280,cubo!$A$6:$BE$37,17,0)-VLOOKUP(B280,#REF!,$K$2,0),0)</f>
        <v>0</v>
      </c>
      <c r="L280" s="9">
        <f>IFERROR(VLOOKUP(B280,cubo!$A$6:$BE$37,19,0)-VLOOKUP(B280,#REF!,$L$2,0),0)</f>
        <v>0</v>
      </c>
      <c r="M280" s="9">
        <f>IFERROR(VLOOKUP(B280,cubo!$A$6:$BE$37,23,0)-VLOOKUP(B280,#REF!,$M$2,0),0)</f>
        <v>0</v>
      </c>
      <c r="N280" s="9">
        <f>IFERROR(VLOOKUP(B280,cubo!$A$6:$BE$37,25,0)-VLOOKUP(B280,#REF!,$N$2,0),0)</f>
        <v>0</v>
      </c>
      <c r="O280" s="9">
        <f>IFERROR(VLOOKUP(B280,cubo!$A$6:$BE$37,33,0)-VLOOKUP(B280,#REF!,$O$2,0),0)</f>
        <v>0</v>
      </c>
      <c r="P280" s="8">
        <f>IFERROR(VLOOKUP(B280,cubo!$A$6:$BE$37,37,0)-VLOOKUP(B280,#REF!,$P$2,0),0)</f>
        <v>0</v>
      </c>
      <c r="Q280" s="8">
        <f>IFERROR(VLOOKUP(B280,cubo!$A$6:$BE$37,56,0)-VLOOKUP(B280,#REF!,$Q$2,0),0)</f>
        <v>0</v>
      </c>
      <c r="R280" s="9">
        <f>IFERROR(VLOOKUP(B280,cubo!$A$6:$BE$37,40,0)-VLOOKUP(B280,#REF!,$R$2,0),0)</f>
        <v>0</v>
      </c>
      <c r="S280" s="9">
        <f>IFERROR(VLOOKUP(B280,cubo!$A$6:$BE$37,43,0)-VLOOKUP(B280,#REF!,$S$2,0),0)</f>
        <v>0</v>
      </c>
      <c r="T280" s="9">
        <f>IFERROR(VLOOKUP(B280,cubo!$A$6:$BE$37,46,0)-VLOOKUP(B280,#REF!,$T$2,0),0)</f>
        <v>0</v>
      </c>
      <c r="U280" s="9">
        <f>IFERROR(VLOOKUP(B280,cubo!$A$6:$BE$37,51,0)-VLOOKUP(B280,#REF!,$U$2,0),0)</f>
        <v>0</v>
      </c>
      <c r="V280" s="9">
        <f>IFERROR(VLOOKUP(B280,cubo!$A$6:$BJ$37,60,0)-VLOOKUP(B280,#REF!,$V$2,0),0)</f>
        <v>0</v>
      </c>
      <c r="W280" s="9">
        <f>IFERROR(VLOOKUP(B280,cubo!$A$6:$BE$37,26,0)-VLOOKUP(B280,#REF!,$W$2,0),0)</f>
        <v>0</v>
      </c>
      <c r="X280" s="9">
        <f>IFERROR(VLOOKUP(B280,cubo!$A$6:$BE$37,20,0)-VLOOKUP(B280,#REF!,$X$2,0),0)</f>
        <v>0</v>
      </c>
      <c r="Y280" s="9">
        <f>IFERROR(VLOOKUP(B280,cubo!$A$6:$BE$37,21,0)-VLOOKUP(B280,#REF!,$Y$2,0),0)</f>
        <v>0</v>
      </c>
      <c r="Z280" s="9">
        <f>IFERROR(VLOOKUP(B280,cubo!$A$6:$BE$37,27,0)-VLOOKUP(B280,#REF!,$Z$2,0),0)</f>
        <v>0</v>
      </c>
      <c r="AA280" s="9">
        <f>IFERROR(VLOOKUP(B280,cubo!$A$6:$BE$37,28,0)-VLOOKUP(B280,#REF!,$AA$2,0),0)</f>
        <v>0</v>
      </c>
      <c r="AB280" s="9">
        <f>IFERROR(VLOOKUP(B280,cubo!$A$6:$BE$37,29,0)-VLOOKUP(B280,#REF!,$AB$2,0),0)</f>
        <v>0</v>
      </c>
      <c r="AC280" s="9">
        <f>IFERROR(VLOOKUP(B280,cubo!$A$6:$BE$37,30,0)-VLOOKUP(B280,#REF!,$AC$2,0),0)</f>
        <v>0</v>
      </c>
      <c r="AD280" s="9">
        <f>IFERROR(VLOOKUP(B280,cubo!$A$6:$BE$37,31,0)-VLOOKUP(B280,#REF!,$AD$2,0),0)</f>
        <v>0</v>
      </c>
      <c r="AE280" s="9">
        <f>IFERROR(VLOOKUP(B280,cubo!$A$6:$BE$37,35,0)-VLOOKUP(B280,#REF!,$AE$2,0),0)</f>
        <v>0</v>
      </c>
      <c r="AF280" s="9" cm="1">
        <f t="array" aca="1" ref="AF280" ca="1">IFERROR(rrPROCV(B280,cubo!$A$6:$BE$37,48,0)-VLOOKUP(B280,#REF!,$AF$2,0),0)</f>
        <v>0</v>
      </c>
      <c r="AG280" s="9">
        <f>IFERROR(VLOOKUP(B280,cubo!$A$6:$BE$37,49,0)-VLOOKUP(B280,#REF!,$AG$2,0),0)</f>
        <v>0</v>
      </c>
      <c r="AH280" s="9">
        <f>IFERROR(VLOOKUP(B280,cubo!$A$6:$BE$37,50,0)-VLOOKUP(B280,#REF!,$AH$2,0),0)</f>
        <v>0</v>
      </c>
      <c r="AI280" s="9">
        <f>IFERROR(VLOOKUP(B280,cubo!$A$6:$BE$37,51,0)-VLOOKUP(B280,#REF!,$AI$2,0),0)</f>
        <v>0</v>
      </c>
      <c r="AJ280" s="9">
        <f>IFERROR(VLOOKUP(B280,cubo!$A$6:$BI$116,62,0)-VLOOKUP(B280,#REF!,$AJ$2,0),0)</f>
        <v>0</v>
      </c>
      <c r="AK280" s="9">
        <f>IFERROR(VLOOKUP(B280,cubo!$A$6:$BJ$37,63,0)-VLOOKUP(B280,#REF!,$AK$2,0),0)</f>
        <v>0</v>
      </c>
      <c r="AL280" s="9">
        <f>IFERROR(VLOOKUP(B280,cubo!$A$6:$BE$37,58,0)-VLOOKUP(B280,#REF!,$AL$2,0),0)</f>
        <v>0</v>
      </c>
      <c r="AM280" s="9">
        <f>IFERROR(VLOOKUP(B280,cubo!$A$6:$BK$37,64,0)-VLOOKUP(B280,#REF!,$AM$2,0),0)</f>
        <v>0</v>
      </c>
      <c r="AN280" s="9">
        <f>IFERROR(VLOOKUP(B280,cubo!$A$6:$AN$37,41,0)-VLOOKUP(B280,#REF!,$AN$2,0),0)</f>
        <v>0</v>
      </c>
    </row>
    <row r="281" spans="2:40" x14ac:dyDescent="0.25">
      <c r="B281" s="7">
        <f>[1]salario!A280</f>
        <v>0</v>
      </c>
      <c r="C281" s="8">
        <f>[1]salario!C280</f>
        <v>0</v>
      </c>
      <c r="D281" s="9">
        <f>IFERROR(VLOOKUP(B281,cubo!$A$6:$BE$37,3,0)-VLOOKUP(B281,#REF!,$D$2,0),0)</f>
        <v>0</v>
      </c>
      <c r="E281" s="10">
        <f>IFERROR(VLOOKUP(B281,cubo!$A$6:$BE$37,5,0)-VLOOKUP(B281,#REF!,$E$2,0),0)</f>
        <v>0</v>
      </c>
      <c r="F281" s="10">
        <f>IFERROR(VLOOKUP(B281,cubo!$A$6:$BE$37,8,0)-VLOOKUP(B281,#REF!,$F$2,0),0)</f>
        <v>0</v>
      </c>
      <c r="G281" s="9">
        <f>IFERROR(VLOOKUP(B281,cubo!$A$6:$BE$37,11,0)-VLOOKUP(B281,#REF!,$G$2,0),0)</f>
        <v>0</v>
      </c>
      <c r="H281" s="9">
        <f>IFERROR(VLOOKUP(B281,cubo!$A$6:$BE$37,53,0)-VLOOKUP(B281,#REF!,$H$2,0),0)</f>
        <v>0</v>
      </c>
      <c r="I281" s="10">
        <f>IFERROR(VLOOKUP(B281,cubo!$A$6:$BE$37,14,0)-VLOOKUP(B281,#REF!,$I$2,0),0)</f>
        <v>0</v>
      </c>
      <c r="J281" s="9">
        <f>IFERROR(VLOOKUP(B281,cubo!$A$6:$BE$37,16,0)-VLOOKUP(B281,#REF!,$J$2,0),0)</f>
        <v>0</v>
      </c>
      <c r="K281" s="9">
        <f>IFERROR(VLOOKUP(B281,cubo!$A$6:$BE$37,17,0)-VLOOKUP(B281,#REF!,$K$2,0),0)</f>
        <v>0</v>
      </c>
      <c r="L281" s="9">
        <f>IFERROR(VLOOKUP(B281,cubo!$A$6:$BE$37,19,0)-VLOOKUP(B281,#REF!,$L$2,0),0)</f>
        <v>0</v>
      </c>
      <c r="M281" s="9">
        <f>IFERROR(VLOOKUP(B281,cubo!$A$6:$BE$37,23,0)-VLOOKUP(B281,#REF!,$M$2,0),0)</f>
        <v>0</v>
      </c>
      <c r="N281" s="9">
        <f>IFERROR(VLOOKUP(B281,cubo!$A$6:$BE$37,25,0)-VLOOKUP(B281,#REF!,$N$2,0),0)</f>
        <v>0</v>
      </c>
      <c r="O281" s="9">
        <f>IFERROR(VLOOKUP(B281,cubo!$A$6:$BE$37,33,0)-VLOOKUP(B281,#REF!,$O$2,0),0)</f>
        <v>0</v>
      </c>
      <c r="P281" s="8">
        <f>IFERROR(VLOOKUP(B281,cubo!$A$6:$BE$37,37,0)-VLOOKUP(B281,#REF!,$P$2,0),0)</f>
        <v>0</v>
      </c>
      <c r="Q281" s="8">
        <f>IFERROR(VLOOKUP(B281,cubo!$A$6:$BE$37,56,0)-VLOOKUP(B281,#REF!,$Q$2,0),0)</f>
        <v>0</v>
      </c>
      <c r="R281" s="9">
        <f>IFERROR(VLOOKUP(B281,cubo!$A$6:$BE$37,40,0)-VLOOKUP(B281,#REF!,$R$2,0),0)</f>
        <v>0</v>
      </c>
      <c r="S281" s="9">
        <f>IFERROR(VLOOKUP(B281,cubo!$A$6:$BE$37,43,0)-VLOOKUP(B281,#REF!,$S$2,0),0)</f>
        <v>0</v>
      </c>
      <c r="T281" s="9">
        <f>IFERROR(VLOOKUP(B281,cubo!$A$6:$BE$37,46,0)-VLOOKUP(B281,#REF!,$T$2,0),0)</f>
        <v>0</v>
      </c>
      <c r="U281" s="9">
        <f>IFERROR(VLOOKUP(B281,cubo!$A$6:$BE$37,51,0)-VLOOKUP(B281,#REF!,$U$2,0),0)</f>
        <v>0</v>
      </c>
      <c r="V281" s="9">
        <f>IFERROR(VLOOKUP(B281,cubo!$A$6:$BJ$37,60,0)-VLOOKUP(B281,#REF!,$V$2,0),0)</f>
        <v>0</v>
      </c>
      <c r="W281" s="9">
        <f>IFERROR(VLOOKUP(B281,cubo!$A$6:$BE$37,26,0)-VLOOKUP(B281,#REF!,$W$2,0),0)</f>
        <v>0</v>
      </c>
      <c r="X281" s="9">
        <f>IFERROR(VLOOKUP(B281,cubo!$A$6:$BE$37,20,0)-VLOOKUP(B281,#REF!,$X$2,0),0)</f>
        <v>0</v>
      </c>
      <c r="Y281" s="9">
        <f>IFERROR(VLOOKUP(B281,cubo!$A$6:$BE$37,21,0)-VLOOKUP(B281,#REF!,$Y$2,0),0)</f>
        <v>0</v>
      </c>
      <c r="Z281" s="9">
        <f>IFERROR(VLOOKUP(B281,cubo!$A$6:$BE$37,27,0)-VLOOKUP(B281,#REF!,$Z$2,0),0)</f>
        <v>0</v>
      </c>
      <c r="AA281" s="9">
        <f>IFERROR(VLOOKUP(B281,cubo!$A$6:$BE$37,28,0)-VLOOKUP(B281,#REF!,$AA$2,0),0)</f>
        <v>0</v>
      </c>
      <c r="AB281" s="9">
        <f>IFERROR(VLOOKUP(B281,cubo!$A$6:$BE$37,29,0)-VLOOKUP(B281,#REF!,$AB$2,0),0)</f>
        <v>0</v>
      </c>
      <c r="AC281" s="9">
        <f>IFERROR(VLOOKUP(B281,cubo!$A$6:$BE$37,30,0)-VLOOKUP(B281,#REF!,$AC$2,0),0)</f>
        <v>0</v>
      </c>
      <c r="AD281" s="9">
        <f>IFERROR(VLOOKUP(B281,cubo!$A$6:$BE$37,31,0)-VLOOKUP(B281,#REF!,$AD$2,0),0)</f>
        <v>0</v>
      </c>
      <c r="AE281" s="9">
        <f>IFERROR(VLOOKUP(B281,cubo!$A$6:$BE$37,35,0)-VLOOKUP(B281,#REF!,$AE$2,0),0)</f>
        <v>0</v>
      </c>
      <c r="AF281" s="9" cm="1">
        <f t="array" aca="1" ref="AF281" ca="1">IFERROR(rrPROCV(B281,cubo!$A$6:$BE$37,48,0)-VLOOKUP(B281,#REF!,$AF$2,0),0)</f>
        <v>0</v>
      </c>
      <c r="AG281" s="9">
        <f>IFERROR(VLOOKUP(B281,cubo!$A$6:$BE$37,49,0)-VLOOKUP(B281,#REF!,$AG$2,0),0)</f>
        <v>0</v>
      </c>
      <c r="AH281" s="9">
        <f>IFERROR(VLOOKUP(B281,cubo!$A$6:$BE$37,50,0)-VLOOKUP(B281,#REF!,$AH$2,0),0)</f>
        <v>0</v>
      </c>
      <c r="AI281" s="9">
        <f>IFERROR(VLOOKUP(B281,cubo!$A$6:$BE$37,51,0)-VLOOKUP(B281,#REF!,$AI$2,0),0)</f>
        <v>0</v>
      </c>
      <c r="AJ281" s="9">
        <f>IFERROR(VLOOKUP(B281,cubo!$A$6:$BI$116,62,0)-VLOOKUP(B281,#REF!,$AJ$2,0),0)</f>
        <v>0</v>
      </c>
      <c r="AK281" s="9">
        <f>IFERROR(VLOOKUP(B281,cubo!$A$6:$BJ$37,63,0)-VLOOKUP(B281,#REF!,$AK$2,0),0)</f>
        <v>0</v>
      </c>
      <c r="AL281" s="9">
        <f>IFERROR(VLOOKUP(B281,cubo!$A$6:$BE$37,58,0)-VLOOKUP(B281,#REF!,$AL$2,0),0)</f>
        <v>0</v>
      </c>
      <c r="AM281" s="9">
        <f>IFERROR(VLOOKUP(B281,cubo!$A$6:$BK$37,64,0)-VLOOKUP(B281,#REF!,$AM$2,0),0)</f>
        <v>0</v>
      </c>
      <c r="AN281" s="9">
        <f>IFERROR(VLOOKUP(B281,cubo!$A$6:$AN$37,41,0)-VLOOKUP(B281,#REF!,$AN$2,0),0)</f>
        <v>0</v>
      </c>
    </row>
    <row r="282" spans="2:40" x14ac:dyDescent="0.25">
      <c r="B282" s="7">
        <f>[1]salario!A281</f>
        <v>0</v>
      </c>
      <c r="C282" s="8">
        <f>[1]salario!C281</f>
        <v>0</v>
      </c>
      <c r="D282" s="9">
        <f>IFERROR(VLOOKUP(B282,cubo!$A$6:$BE$37,3,0)-VLOOKUP(B282,#REF!,$D$2,0),0)</f>
        <v>0</v>
      </c>
      <c r="E282" s="10">
        <f>IFERROR(VLOOKUP(B282,cubo!$A$6:$BE$37,5,0)-VLOOKUP(B282,#REF!,$E$2,0),0)</f>
        <v>0</v>
      </c>
      <c r="F282" s="10">
        <f>IFERROR(VLOOKUP(B282,cubo!$A$6:$BE$37,8,0)-VLOOKUP(B282,#REF!,$F$2,0),0)</f>
        <v>0</v>
      </c>
      <c r="G282" s="9">
        <f>IFERROR(VLOOKUP(B282,cubo!$A$6:$BE$37,11,0)-VLOOKUP(B282,#REF!,$G$2,0),0)</f>
        <v>0</v>
      </c>
      <c r="H282" s="9">
        <f>IFERROR(VLOOKUP(B282,cubo!$A$6:$BE$37,53,0)-VLOOKUP(B282,#REF!,$H$2,0),0)</f>
        <v>0</v>
      </c>
      <c r="I282" s="10">
        <f>IFERROR(VLOOKUP(B282,cubo!$A$6:$BE$37,14,0)-VLOOKUP(B282,#REF!,$I$2,0),0)</f>
        <v>0</v>
      </c>
      <c r="J282" s="9">
        <f>IFERROR(VLOOKUP(B282,cubo!$A$6:$BE$37,16,0)-VLOOKUP(B282,#REF!,$J$2,0),0)</f>
        <v>0</v>
      </c>
      <c r="K282" s="9">
        <f>IFERROR(VLOOKUP(B282,cubo!$A$6:$BE$37,17,0)-VLOOKUP(B282,#REF!,$K$2,0),0)</f>
        <v>0</v>
      </c>
      <c r="L282" s="9">
        <f>IFERROR(VLOOKUP(B282,cubo!$A$6:$BE$37,19,0)-VLOOKUP(B282,#REF!,$L$2,0),0)</f>
        <v>0</v>
      </c>
      <c r="M282" s="9">
        <f>IFERROR(VLOOKUP(B282,cubo!$A$6:$BE$37,23,0)-VLOOKUP(B282,#REF!,$M$2,0),0)</f>
        <v>0</v>
      </c>
      <c r="N282" s="9">
        <f>IFERROR(VLOOKUP(B282,cubo!$A$6:$BE$37,25,0)-VLOOKUP(B282,#REF!,$N$2,0),0)</f>
        <v>0</v>
      </c>
      <c r="O282" s="9">
        <f>IFERROR(VLOOKUP(B282,cubo!$A$6:$BE$37,33,0)-VLOOKUP(B282,#REF!,$O$2,0),0)</f>
        <v>0</v>
      </c>
      <c r="P282" s="8">
        <f>IFERROR(VLOOKUP(B282,cubo!$A$6:$BE$37,37,0)-VLOOKUP(B282,#REF!,$P$2,0),0)</f>
        <v>0</v>
      </c>
      <c r="Q282" s="8">
        <f>IFERROR(VLOOKUP(B282,cubo!$A$6:$BE$37,56,0)-VLOOKUP(B282,#REF!,$Q$2,0),0)</f>
        <v>0</v>
      </c>
      <c r="R282" s="9">
        <f>IFERROR(VLOOKUP(B282,cubo!$A$6:$BE$37,40,0)-VLOOKUP(B282,#REF!,$R$2,0),0)</f>
        <v>0</v>
      </c>
      <c r="S282" s="9">
        <f>IFERROR(VLOOKUP(B282,cubo!$A$6:$BE$37,43,0)-VLOOKUP(B282,#REF!,$S$2,0),0)</f>
        <v>0</v>
      </c>
      <c r="T282" s="9">
        <f>IFERROR(VLOOKUP(B282,cubo!$A$6:$BE$37,46,0)-VLOOKUP(B282,#REF!,$T$2,0),0)</f>
        <v>0</v>
      </c>
      <c r="U282" s="9">
        <f>IFERROR(VLOOKUP(B282,cubo!$A$6:$BE$37,51,0)-VLOOKUP(B282,#REF!,$U$2,0),0)</f>
        <v>0</v>
      </c>
      <c r="V282" s="9">
        <f>IFERROR(VLOOKUP(B282,cubo!$A$6:$BJ$37,60,0)-VLOOKUP(B282,#REF!,$V$2,0),0)</f>
        <v>0</v>
      </c>
      <c r="W282" s="9">
        <f>IFERROR(VLOOKUP(B282,cubo!$A$6:$BE$37,26,0)-VLOOKUP(B282,#REF!,$W$2,0),0)</f>
        <v>0</v>
      </c>
      <c r="X282" s="9">
        <f>IFERROR(VLOOKUP(B282,cubo!$A$6:$BE$37,20,0)-VLOOKUP(B282,#REF!,$X$2,0),0)</f>
        <v>0</v>
      </c>
      <c r="Y282" s="9">
        <f>IFERROR(VLOOKUP(B282,cubo!$A$6:$BE$37,21,0)-VLOOKUP(B282,#REF!,$Y$2,0),0)</f>
        <v>0</v>
      </c>
      <c r="Z282" s="9">
        <f>IFERROR(VLOOKUP(B282,cubo!$A$6:$BE$37,27,0)-VLOOKUP(B282,#REF!,$Z$2,0),0)</f>
        <v>0</v>
      </c>
      <c r="AA282" s="9">
        <f>IFERROR(VLOOKUP(B282,cubo!$A$6:$BE$37,28,0)-VLOOKUP(B282,#REF!,$AA$2,0),0)</f>
        <v>0</v>
      </c>
      <c r="AB282" s="9">
        <f>IFERROR(VLOOKUP(B282,cubo!$A$6:$BE$37,29,0)-VLOOKUP(B282,#REF!,$AB$2,0),0)</f>
        <v>0</v>
      </c>
      <c r="AC282" s="9">
        <f>IFERROR(VLOOKUP(B282,cubo!$A$6:$BE$37,30,0)-VLOOKUP(B282,#REF!,$AC$2,0),0)</f>
        <v>0</v>
      </c>
      <c r="AD282" s="9">
        <f>IFERROR(VLOOKUP(B282,cubo!$A$6:$BE$37,31,0)-VLOOKUP(B282,#REF!,$AD$2,0),0)</f>
        <v>0</v>
      </c>
      <c r="AE282" s="9">
        <f>IFERROR(VLOOKUP(B282,cubo!$A$6:$BE$37,35,0)-VLOOKUP(B282,#REF!,$AE$2,0),0)</f>
        <v>0</v>
      </c>
      <c r="AF282" s="9" cm="1">
        <f t="array" aca="1" ref="AF282" ca="1">IFERROR(rrPROCV(B282,cubo!$A$6:$BE$37,48,0)-VLOOKUP(B282,#REF!,$AF$2,0),0)</f>
        <v>0</v>
      </c>
      <c r="AG282" s="9">
        <f>IFERROR(VLOOKUP(B282,cubo!$A$6:$BE$37,49,0)-VLOOKUP(B282,#REF!,$AG$2,0),0)</f>
        <v>0</v>
      </c>
      <c r="AH282" s="9">
        <f>IFERROR(VLOOKUP(B282,cubo!$A$6:$BE$37,50,0)-VLOOKUP(B282,#REF!,$AH$2,0),0)</f>
        <v>0</v>
      </c>
      <c r="AI282" s="9">
        <f>IFERROR(VLOOKUP(B282,cubo!$A$6:$BE$37,51,0)-VLOOKUP(B282,#REF!,$AI$2,0),0)</f>
        <v>0</v>
      </c>
      <c r="AJ282" s="9">
        <f>IFERROR(VLOOKUP(B282,cubo!$A$6:$BI$116,62,0)-VLOOKUP(B282,#REF!,$AJ$2,0),0)</f>
        <v>0</v>
      </c>
      <c r="AK282" s="9">
        <f>IFERROR(VLOOKUP(B282,cubo!$A$6:$BJ$37,63,0)-VLOOKUP(B282,#REF!,$AK$2,0),0)</f>
        <v>0</v>
      </c>
      <c r="AL282" s="9">
        <f>IFERROR(VLOOKUP(B282,cubo!$A$6:$BE$37,58,0)-VLOOKUP(B282,#REF!,$AL$2,0),0)</f>
        <v>0</v>
      </c>
      <c r="AM282" s="9">
        <f>IFERROR(VLOOKUP(B282,cubo!$A$6:$BK$37,64,0)-VLOOKUP(B282,#REF!,$AM$2,0),0)</f>
        <v>0</v>
      </c>
      <c r="AN282" s="9">
        <f>IFERROR(VLOOKUP(B282,cubo!$A$6:$AN$37,41,0)-VLOOKUP(B282,#REF!,$AN$2,0),0)</f>
        <v>0</v>
      </c>
    </row>
    <row r="283" spans="2:40" x14ac:dyDescent="0.25">
      <c r="B283" s="7">
        <f>[1]salario!A282</f>
        <v>0</v>
      </c>
      <c r="C283" s="8">
        <f>[1]salario!C282</f>
        <v>0</v>
      </c>
      <c r="D283" s="9">
        <f>IFERROR(VLOOKUP(B283,cubo!$A$6:$BE$37,3,0)-VLOOKUP(B283,#REF!,$D$2,0),0)</f>
        <v>0</v>
      </c>
      <c r="E283" s="10">
        <f>IFERROR(VLOOKUP(B283,cubo!$A$6:$BE$37,5,0)-VLOOKUP(B283,#REF!,$E$2,0),0)</f>
        <v>0</v>
      </c>
      <c r="F283" s="10">
        <f>IFERROR(VLOOKUP(B283,cubo!$A$6:$BE$37,8,0)-VLOOKUP(B283,#REF!,$F$2,0),0)</f>
        <v>0</v>
      </c>
      <c r="G283" s="9">
        <f>IFERROR(VLOOKUP(B283,cubo!$A$6:$BE$37,11,0)-VLOOKUP(B283,#REF!,$G$2,0),0)</f>
        <v>0</v>
      </c>
      <c r="H283" s="9">
        <f>IFERROR(VLOOKUP(B283,cubo!$A$6:$BE$37,53,0)-VLOOKUP(B283,#REF!,$H$2,0),0)</f>
        <v>0</v>
      </c>
      <c r="I283" s="10">
        <f>IFERROR(VLOOKUP(B283,cubo!$A$6:$BE$37,14,0)-VLOOKUP(B283,#REF!,$I$2,0),0)</f>
        <v>0</v>
      </c>
      <c r="J283" s="9">
        <f>IFERROR(VLOOKUP(B283,cubo!$A$6:$BE$37,16,0)-VLOOKUP(B283,#REF!,$J$2,0),0)</f>
        <v>0</v>
      </c>
      <c r="K283" s="9">
        <f>IFERROR(VLOOKUP(B283,cubo!$A$6:$BE$37,17,0)-VLOOKUP(B283,#REF!,$K$2,0),0)</f>
        <v>0</v>
      </c>
      <c r="L283" s="9">
        <f>IFERROR(VLOOKUP(B283,cubo!$A$6:$BE$37,19,0)-VLOOKUP(B283,#REF!,$L$2,0),0)</f>
        <v>0</v>
      </c>
      <c r="M283" s="9">
        <f>IFERROR(VLOOKUP(B283,cubo!$A$6:$BE$37,23,0)-VLOOKUP(B283,#REF!,$M$2,0),0)</f>
        <v>0</v>
      </c>
      <c r="N283" s="9">
        <f>IFERROR(VLOOKUP(B283,cubo!$A$6:$BE$37,25,0)-VLOOKUP(B283,#REF!,$N$2,0),0)</f>
        <v>0</v>
      </c>
      <c r="O283" s="9">
        <f>IFERROR(VLOOKUP(B283,cubo!$A$6:$BE$37,33,0)-VLOOKUP(B283,#REF!,$O$2,0),0)</f>
        <v>0</v>
      </c>
      <c r="P283" s="8">
        <f>IFERROR(VLOOKUP(B283,cubo!$A$6:$BE$37,37,0)-VLOOKUP(B283,#REF!,$P$2,0),0)</f>
        <v>0</v>
      </c>
      <c r="Q283" s="8">
        <f>IFERROR(VLOOKUP(B283,cubo!$A$6:$BE$37,56,0)-VLOOKUP(B283,#REF!,$Q$2,0),0)</f>
        <v>0</v>
      </c>
      <c r="R283" s="9">
        <f>IFERROR(VLOOKUP(B283,cubo!$A$6:$BE$37,40,0)-VLOOKUP(B283,#REF!,$R$2,0),0)</f>
        <v>0</v>
      </c>
      <c r="S283" s="9">
        <f>IFERROR(VLOOKUP(B283,cubo!$A$6:$BE$37,43,0)-VLOOKUP(B283,#REF!,$S$2,0),0)</f>
        <v>0</v>
      </c>
      <c r="T283" s="9">
        <f>IFERROR(VLOOKUP(B283,cubo!$A$6:$BE$37,46,0)-VLOOKUP(B283,#REF!,$T$2,0),0)</f>
        <v>0</v>
      </c>
      <c r="U283" s="9">
        <f>IFERROR(VLOOKUP(B283,cubo!$A$6:$BE$37,51,0)-VLOOKUP(B283,#REF!,$U$2,0),0)</f>
        <v>0</v>
      </c>
      <c r="V283" s="9">
        <f>IFERROR(VLOOKUP(B283,cubo!$A$6:$BJ$37,60,0)-VLOOKUP(B283,#REF!,$V$2,0),0)</f>
        <v>0</v>
      </c>
      <c r="W283" s="9">
        <f>IFERROR(VLOOKUP(B283,cubo!$A$6:$BE$37,26,0)-VLOOKUP(B283,#REF!,$W$2,0),0)</f>
        <v>0</v>
      </c>
      <c r="X283" s="9">
        <f>IFERROR(VLOOKUP(B283,cubo!$A$6:$BE$37,20,0)-VLOOKUP(B283,#REF!,$X$2,0),0)</f>
        <v>0</v>
      </c>
      <c r="Y283" s="9">
        <f>IFERROR(VLOOKUP(B283,cubo!$A$6:$BE$37,21,0)-VLOOKUP(B283,#REF!,$Y$2,0),0)</f>
        <v>0</v>
      </c>
      <c r="Z283" s="9">
        <f>IFERROR(VLOOKUP(B283,cubo!$A$6:$BE$37,27,0)-VLOOKUP(B283,#REF!,$Z$2,0),0)</f>
        <v>0</v>
      </c>
      <c r="AA283" s="9">
        <f>IFERROR(VLOOKUP(B283,cubo!$A$6:$BE$37,28,0)-VLOOKUP(B283,#REF!,$AA$2,0),0)</f>
        <v>0</v>
      </c>
      <c r="AB283" s="9">
        <f>IFERROR(VLOOKUP(B283,cubo!$A$6:$BE$37,29,0)-VLOOKUP(B283,#REF!,$AB$2,0),0)</f>
        <v>0</v>
      </c>
      <c r="AC283" s="9">
        <f>IFERROR(VLOOKUP(B283,cubo!$A$6:$BE$37,30,0)-VLOOKUP(B283,#REF!,$AC$2,0),0)</f>
        <v>0</v>
      </c>
      <c r="AD283" s="9">
        <f>IFERROR(VLOOKUP(B283,cubo!$A$6:$BE$37,31,0)-VLOOKUP(B283,#REF!,$AD$2,0),0)</f>
        <v>0</v>
      </c>
      <c r="AE283" s="9">
        <f>IFERROR(VLOOKUP(B283,cubo!$A$6:$BE$37,35,0)-VLOOKUP(B283,#REF!,$AE$2,0),0)</f>
        <v>0</v>
      </c>
      <c r="AF283" s="9" cm="1">
        <f t="array" aca="1" ref="AF283" ca="1">IFERROR(rrPROCV(B283,cubo!$A$6:$BE$37,48,0)-VLOOKUP(B283,#REF!,$AF$2,0),0)</f>
        <v>0</v>
      </c>
      <c r="AG283" s="9">
        <f>IFERROR(VLOOKUP(B283,cubo!$A$6:$BE$37,49,0)-VLOOKUP(B283,#REF!,$AG$2,0),0)</f>
        <v>0</v>
      </c>
      <c r="AH283" s="9">
        <f>IFERROR(VLOOKUP(B283,cubo!$A$6:$BE$37,50,0)-VLOOKUP(B283,#REF!,$AH$2,0),0)</f>
        <v>0</v>
      </c>
      <c r="AI283" s="9">
        <f>IFERROR(VLOOKUP(B283,cubo!$A$6:$BE$37,51,0)-VLOOKUP(B283,#REF!,$AI$2,0),0)</f>
        <v>0</v>
      </c>
      <c r="AJ283" s="9">
        <f>IFERROR(VLOOKUP(B283,cubo!$A$6:$BI$116,62,0)-VLOOKUP(B283,#REF!,$AJ$2,0),0)</f>
        <v>0</v>
      </c>
      <c r="AK283" s="9">
        <f>IFERROR(VLOOKUP(B283,cubo!$A$6:$BJ$37,63,0)-VLOOKUP(B283,#REF!,$AK$2,0),0)</f>
        <v>0</v>
      </c>
      <c r="AL283" s="9">
        <f>IFERROR(VLOOKUP(B283,cubo!$A$6:$BE$37,58,0)-VLOOKUP(B283,#REF!,$AL$2,0),0)</f>
        <v>0</v>
      </c>
      <c r="AM283" s="9">
        <f>IFERROR(VLOOKUP(B283,cubo!$A$6:$BK$37,64,0)-VLOOKUP(B283,#REF!,$AM$2,0),0)</f>
        <v>0</v>
      </c>
      <c r="AN283" s="9">
        <f>IFERROR(VLOOKUP(B283,cubo!$A$6:$AN$37,41,0)-VLOOKUP(B283,#REF!,$AN$2,0),0)</f>
        <v>0</v>
      </c>
    </row>
    <row r="284" spans="2:40" x14ac:dyDescent="0.25">
      <c r="B284" s="7">
        <f>[1]salario!A283</f>
        <v>0</v>
      </c>
      <c r="C284" s="8">
        <f>[1]salario!C283</f>
        <v>0</v>
      </c>
      <c r="D284" s="9">
        <f>IFERROR(VLOOKUP(B284,cubo!$A$6:$BE$37,3,0)-VLOOKUP(B284,#REF!,$D$2,0),0)</f>
        <v>0</v>
      </c>
      <c r="E284" s="10">
        <f>IFERROR(VLOOKUP(B284,cubo!$A$6:$BE$37,5,0)-VLOOKUP(B284,#REF!,$E$2,0),0)</f>
        <v>0</v>
      </c>
      <c r="F284" s="10">
        <f>IFERROR(VLOOKUP(B284,cubo!$A$6:$BE$37,8,0)-VLOOKUP(B284,#REF!,$F$2,0),0)</f>
        <v>0</v>
      </c>
      <c r="G284" s="9">
        <f>IFERROR(VLOOKUP(B284,cubo!$A$6:$BE$37,11,0)-VLOOKUP(B284,#REF!,$G$2,0),0)</f>
        <v>0</v>
      </c>
      <c r="H284" s="9">
        <f>IFERROR(VLOOKUP(B284,cubo!$A$6:$BE$37,53,0)-VLOOKUP(B284,#REF!,$H$2,0),0)</f>
        <v>0</v>
      </c>
      <c r="I284" s="10">
        <f>IFERROR(VLOOKUP(B284,cubo!$A$6:$BE$37,14,0)-VLOOKUP(B284,#REF!,$I$2,0),0)</f>
        <v>0</v>
      </c>
      <c r="J284" s="9">
        <f>IFERROR(VLOOKUP(B284,cubo!$A$6:$BE$37,16,0)-VLOOKUP(B284,#REF!,$J$2,0),0)</f>
        <v>0</v>
      </c>
      <c r="K284" s="9">
        <f>IFERROR(VLOOKUP(B284,cubo!$A$6:$BE$37,17,0)-VLOOKUP(B284,#REF!,$K$2,0),0)</f>
        <v>0</v>
      </c>
      <c r="L284" s="9">
        <f>IFERROR(VLOOKUP(B284,cubo!$A$6:$BE$37,19,0)-VLOOKUP(B284,#REF!,$L$2,0),0)</f>
        <v>0</v>
      </c>
      <c r="M284" s="9">
        <f>IFERROR(VLOOKUP(B284,cubo!$A$6:$BE$37,23,0)-VLOOKUP(B284,#REF!,$M$2,0),0)</f>
        <v>0</v>
      </c>
      <c r="N284" s="9">
        <f>IFERROR(VLOOKUP(B284,cubo!$A$6:$BE$37,25,0)-VLOOKUP(B284,#REF!,$N$2,0),0)</f>
        <v>0</v>
      </c>
      <c r="O284" s="9">
        <f>IFERROR(VLOOKUP(B284,cubo!$A$6:$BE$37,33,0)-VLOOKUP(B284,#REF!,$O$2,0),0)</f>
        <v>0</v>
      </c>
      <c r="P284" s="8">
        <f>IFERROR(VLOOKUP(B284,cubo!$A$6:$BE$37,37,0)-VLOOKUP(B284,#REF!,$P$2,0),0)</f>
        <v>0</v>
      </c>
      <c r="Q284" s="8">
        <f>IFERROR(VLOOKUP(B284,cubo!$A$6:$BE$37,56,0)-VLOOKUP(B284,#REF!,$Q$2,0),0)</f>
        <v>0</v>
      </c>
      <c r="R284" s="9">
        <f>IFERROR(VLOOKUP(B284,cubo!$A$6:$BE$37,40,0)-VLOOKUP(B284,#REF!,$R$2,0),0)</f>
        <v>0</v>
      </c>
      <c r="S284" s="9">
        <f>IFERROR(VLOOKUP(B284,cubo!$A$6:$BE$37,43,0)-VLOOKUP(B284,#REF!,$S$2,0),0)</f>
        <v>0</v>
      </c>
      <c r="T284" s="9">
        <f>IFERROR(VLOOKUP(B284,cubo!$A$6:$BE$37,46,0)-VLOOKUP(B284,#REF!,$T$2,0),0)</f>
        <v>0</v>
      </c>
      <c r="U284" s="9">
        <f>IFERROR(VLOOKUP(B284,cubo!$A$6:$BE$37,51,0)-VLOOKUP(B284,#REF!,$U$2,0),0)</f>
        <v>0</v>
      </c>
      <c r="V284" s="9">
        <f>IFERROR(VLOOKUP(B284,cubo!$A$6:$BJ$37,60,0)-VLOOKUP(B284,#REF!,$V$2,0),0)</f>
        <v>0</v>
      </c>
      <c r="W284" s="9">
        <f>IFERROR(VLOOKUP(B284,cubo!$A$6:$BE$37,26,0)-VLOOKUP(B284,#REF!,$W$2,0),0)</f>
        <v>0</v>
      </c>
      <c r="X284" s="9">
        <f>IFERROR(VLOOKUP(B284,cubo!$A$6:$BE$37,20,0)-VLOOKUP(B284,#REF!,$X$2,0),0)</f>
        <v>0</v>
      </c>
      <c r="Y284" s="9">
        <f>IFERROR(VLOOKUP(B284,cubo!$A$6:$BE$37,21,0)-VLOOKUP(B284,#REF!,$Y$2,0),0)</f>
        <v>0</v>
      </c>
      <c r="Z284" s="9">
        <f>IFERROR(VLOOKUP(B284,cubo!$A$6:$BE$37,27,0)-VLOOKUP(B284,#REF!,$Z$2,0),0)</f>
        <v>0</v>
      </c>
      <c r="AA284" s="9">
        <f>IFERROR(VLOOKUP(B284,cubo!$A$6:$BE$37,28,0)-VLOOKUP(B284,#REF!,$AA$2,0),0)</f>
        <v>0</v>
      </c>
      <c r="AB284" s="9">
        <f>IFERROR(VLOOKUP(B284,cubo!$A$6:$BE$37,29,0)-VLOOKUP(B284,#REF!,$AB$2,0),0)</f>
        <v>0</v>
      </c>
      <c r="AC284" s="9">
        <f>IFERROR(VLOOKUP(B284,cubo!$A$6:$BE$37,30,0)-VLOOKUP(B284,#REF!,$AC$2,0),0)</f>
        <v>0</v>
      </c>
      <c r="AD284" s="9">
        <f>IFERROR(VLOOKUP(B284,cubo!$A$6:$BE$37,31,0)-VLOOKUP(B284,#REF!,$AD$2,0),0)</f>
        <v>0</v>
      </c>
      <c r="AE284" s="9">
        <f>IFERROR(VLOOKUP(B284,cubo!$A$6:$BE$37,35,0)-VLOOKUP(B284,#REF!,$AE$2,0),0)</f>
        <v>0</v>
      </c>
      <c r="AF284" s="9" cm="1">
        <f t="array" aca="1" ref="AF284" ca="1">IFERROR(rrPROCV(B284,cubo!$A$6:$BE$37,48,0)-VLOOKUP(B284,#REF!,$AF$2,0),0)</f>
        <v>0</v>
      </c>
      <c r="AG284" s="9">
        <f>IFERROR(VLOOKUP(B284,cubo!$A$6:$BE$37,49,0)-VLOOKUP(B284,#REF!,$AG$2,0),0)</f>
        <v>0</v>
      </c>
      <c r="AH284" s="9">
        <f>IFERROR(VLOOKUP(B284,cubo!$A$6:$BE$37,50,0)-VLOOKUP(B284,#REF!,$AH$2,0),0)</f>
        <v>0</v>
      </c>
      <c r="AI284" s="9">
        <f>IFERROR(VLOOKUP(B284,cubo!$A$6:$BE$37,51,0)-VLOOKUP(B284,#REF!,$AI$2,0),0)</f>
        <v>0</v>
      </c>
      <c r="AJ284" s="9">
        <f>IFERROR(VLOOKUP(B284,cubo!$A$6:$BI$116,62,0)-VLOOKUP(B284,#REF!,$AJ$2,0),0)</f>
        <v>0</v>
      </c>
      <c r="AK284" s="9">
        <f>IFERROR(VLOOKUP(B284,cubo!$A$6:$BJ$37,63,0)-VLOOKUP(B284,#REF!,$AK$2,0),0)</f>
        <v>0</v>
      </c>
      <c r="AL284" s="9">
        <f>IFERROR(VLOOKUP(B284,cubo!$A$6:$BE$37,58,0)-VLOOKUP(B284,#REF!,$AL$2,0),0)</f>
        <v>0</v>
      </c>
      <c r="AM284" s="9">
        <f>IFERROR(VLOOKUP(B284,cubo!$A$6:$BK$37,64,0)-VLOOKUP(B284,#REF!,$AM$2,0),0)</f>
        <v>0</v>
      </c>
      <c r="AN284" s="9">
        <f>IFERROR(VLOOKUP(B284,cubo!$A$6:$AN$37,41,0)-VLOOKUP(B284,#REF!,$AN$2,0),0)</f>
        <v>0</v>
      </c>
    </row>
    <row r="285" spans="2:40" x14ac:dyDescent="0.25">
      <c r="B285" s="7">
        <f>[1]salario!A284</f>
        <v>0</v>
      </c>
      <c r="C285" s="8">
        <f>[1]salario!C284</f>
        <v>0</v>
      </c>
      <c r="D285" s="9">
        <f>IFERROR(VLOOKUP(B285,cubo!$A$6:$BE$37,3,0)-VLOOKUP(B285,#REF!,$D$2,0),0)</f>
        <v>0</v>
      </c>
      <c r="E285" s="10">
        <f>IFERROR(VLOOKUP(B285,cubo!$A$6:$BE$37,5,0)-VLOOKUP(B285,#REF!,$E$2,0),0)</f>
        <v>0</v>
      </c>
      <c r="F285" s="10">
        <f>IFERROR(VLOOKUP(B285,cubo!$A$6:$BE$37,8,0)-VLOOKUP(B285,#REF!,$F$2,0),0)</f>
        <v>0</v>
      </c>
      <c r="G285" s="9">
        <f>IFERROR(VLOOKUP(B285,cubo!$A$6:$BE$37,11,0)-VLOOKUP(B285,#REF!,$G$2,0),0)</f>
        <v>0</v>
      </c>
      <c r="H285" s="9">
        <f>IFERROR(VLOOKUP(B285,cubo!$A$6:$BE$37,53,0)-VLOOKUP(B285,#REF!,$H$2,0),0)</f>
        <v>0</v>
      </c>
      <c r="I285" s="10">
        <f>IFERROR(VLOOKUP(B285,cubo!$A$6:$BE$37,14,0)-VLOOKUP(B285,#REF!,$I$2,0),0)</f>
        <v>0</v>
      </c>
      <c r="J285" s="9">
        <f>IFERROR(VLOOKUP(B285,cubo!$A$6:$BE$37,16,0)-VLOOKUP(B285,#REF!,$J$2,0),0)</f>
        <v>0</v>
      </c>
      <c r="K285" s="9">
        <f>IFERROR(VLOOKUP(B285,cubo!$A$6:$BE$37,17,0)-VLOOKUP(B285,#REF!,$K$2,0),0)</f>
        <v>0</v>
      </c>
      <c r="L285" s="9">
        <f>IFERROR(VLOOKUP(B285,cubo!$A$6:$BE$37,19,0)-VLOOKUP(B285,#REF!,$L$2,0),0)</f>
        <v>0</v>
      </c>
      <c r="M285" s="9">
        <f>IFERROR(VLOOKUP(B285,cubo!$A$6:$BE$37,23,0)-VLOOKUP(B285,#REF!,$M$2,0),0)</f>
        <v>0</v>
      </c>
      <c r="N285" s="9">
        <f>IFERROR(VLOOKUP(B285,cubo!$A$6:$BE$37,25,0)-VLOOKUP(B285,#REF!,$N$2,0),0)</f>
        <v>0</v>
      </c>
      <c r="O285" s="9">
        <f>IFERROR(VLOOKUP(B285,cubo!$A$6:$BE$37,33,0)-VLOOKUP(B285,#REF!,$O$2,0),0)</f>
        <v>0</v>
      </c>
      <c r="P285" s="8">
        <f>IFERROR(VLOOKUP(B285,cubo!$A$6:$BE$37,37,0)-VLOOKUP(B285,#REF!,$P$2,0),0)</f>
        <v>0</v>
      </c>
      <c r="Q285" s="8">
        <f>IFERROR(VLOOKUP(B285,cubo!$A$6:$BE$37,56,0)-VLOOKUP(B285,#REF!,$Q$2,0),0)</f>
        <v>0</v>
      </c>
      <c r="R285" s="9">
        <f>IFERROR(VLOOKUP(B285,cubo!$A$6:$BE$37,40,0)-VLOOKUP(B285,#REF!,$R$2,0),0)</f>
        <v>0</v>
      </c>
      <c r="S285" s="9">
        <f>IFERROR(VLOOKUP(B285,cubo!$A$6:$BE$37,43,0)-VLOOKUP(B285,#REF!,$S$2,0),0)</f>
        <v>0</v>
      </c>
      <c r="T285" s="9">
        <f>IFERROR(VLOOKUP(B285,cubo!$A$6:$BE$37,46,0)-VLOOKUP(B285,#REF!,$T$2,0),0)</f>
        <v>0</v>
      </c>
      <c r="U285" s="9">
        <f>IFERROR(VLOOKUP(B285,cubo!$A$6:$BE$37,51,0)-VLOOKUP(B285,#REF!,$U$2,0),0)</f>
        <v>0</v>
      </c>
      <c r="V285" s="9">
        <f>IFERROR(VLOOKUP(B285,cubo!$A$6:$BJ$37,60,0)-VLOOKUP(B285,#REF!,$V$2,0),0)</f>
        <v>0</v>
      </c>
      <c r="W285" s="9">
        <f>IFERROR(VLOOKUP(B285,cubo!$A$6:$BE$37,26,0)-VLOOKUP(B285,#REF!,$W$2,0),0)</f>
        <v>0</v>
      </c>
      <c r="X285" s="9">
        <f>IFERROR(VLOOKUP(B285,cubo!$A$6:$BE$37,20,0)-VLOOKUP(B285,#REF!,$X$2,0),0)</f>
        <v>0</v>
      </c>
      <c r="Y285" s="9">
        <f>IFERROR(VLOOKUP(B285,cubo!$A$6:$BE$37,21,0)-VLOOKUP(B285,#REF!,$Y$2,0),0)</f>
        <v>0</v>
      </c>
      <c r="Z285" s="9">
        <f>IFERROR(VLOOKUP(B285,cubo!$A$6:$BE$37,27,0)-VLOOKUP(B285,#REF!,$Z$2,0),0)</f>
        <v>0</v>
      </c>
      <c r="AA285" s="9">
        <f>IFERROR(VLOOKUP(B285,cubo!$A$6:$BE$37,28,0)-VLOOKUP(B285,#REF!,$AA$2,0),0)</f>
        <v>0</v>
      </c>
      <c r="AB285" s="9">
        <f>IFERROR(VLOOKUP(B285,cubo!$A$6:$BE$37,29,0)-VLOOKUP(B285,#REF!,$AB$2,0),0)</f>
        <v>0</v>
      </c>
      <c r="AC285" s="9">
        <f>IFERROR(VLOOKUP(B285,cubo!$A$6:$BE$37,30,0)-VLOOKUP(B285,#REF!,$AC$2,0),0)</f>
        <v>0</v>
      </c>
      <c r="AD285" s="9">
        <f>IFERROR(VLOOKUP(B285,cubo!$A$6:$BE$37,31,0)-VLOOKUP(B285,#REF!,$AD$2,0),0)</f>
        <v>0</v>
      </c>
      <c r="AE285" s="9">
        <f>IFERROR(VLOOKUP(B285,cubo!$A$6:$BE$37,35,0)-VLOOKUP(B285,#REF!,$AE$2,0),0)</f>
        <v>0</v>
      </c>
      <c r="AF285" s="9" cm="1">
        <f t="array" aca="1" ref="AF285" ca="1">IFERROR(rrPROCV(B285,cubo!$A$6:$BE$37,48,0)-VLOOKUP(B285,#REF!,$AF$2,0),0)</f>
        <v>0</v>
      </c>
      <c r="AG285" s="9">
        <f>IFERROR(VLOOKUP(B285,cubo!$A$6:$BE$37,49,0)-VLOOKUP(B285,#REF!,$AG$2,0),0)</f>
        <v>0</v>
      </c>
      <c r="AH285" s="9">
        <f>IFERROR(VLOOKUP(B285,cubo!$A$6:$BE$37,50,0)-VLOOKUP(B285,#REF!,$AH$2,0),0)</f>
        <v>0</v>
      </c>
      <c r="AI285" s="9">
        <f>IFERROR(VLOOKUP(B285,cubo!$A$6:$BE$37,51,0)-VLOOKUP(B285,#REF!,$AI$2,0),0)</f>
        <v>0</v>
      </c>
      <c r="AJ285" s="9">
        <f>IFERROR(VLOOKUP(B285,cubo!$A$6:$BI$116,62,0)-VLOOKUP(B285,#REF!,$AJ$2,0),0)</f>
        <v>0</v>
      </c>
      <c r="AK285" s="9">
        <f>IFERROR(VLOOKUP(B285,cubo!$A$6:$BJ$37,63,0)-VLOOKUP(B285,#REF!,$AK$2,0),0)</f>
        <v>0</v>
      </c>
      <c r="AL285" s="9">
        <f>IFERROR(VLOOKUP(B285,cubo!$A$6:$BE$37,58,0)-VLOOKUP(B285,#REF!,$AL$2,0),0)</f>
        <v>0</v>
      </c>
      <c r="AM285" s="9">
        <f>IFERROR(VLOOKUP(B285,cubo!$A$6:$BK$37,64,0)-VLOOKUP(B285,#REF!,$AM$2,0),0)</f>
        <v>0</v>
      </c>
      <c r="AN285" s="9">
        <f>IFERROR(VLOOKUP(B285,cubo!$A$6:$AN$37,41,0)-VLOOKUP(B285,#REF!,$AN$2,0),0)</f>
        <v>0</v>
      </c>
    </row>
    <row r="286" spans="2:40" x14ac:dyDescent="0.25">
      <c r="B286" s="7">
        <f>[1]salario!A285</f>
        <v>0</v>
      </c>
      <c r="C286" s="8">
        <f>[1]salario!C285</f>
        <v>0</v>
      </c>
      <c r="D286" s="9">
        <f>IFERROR(VLOOKUP(B286,cubo!$A$6:$BE$37,3,0)-VLOOKUP(B286,#REF!,$D$2,0),0)</f>
        <v>0</v>
      </c>
      <c r="E286" s="10">
        <f>IFERROR(VLOOKUP(B286,cubo!$A$6:$BE$37,5,0)-VLOOKUP(B286,#REF!,$E$2,0),0)</f>
        <v>0</v>
      </c>
      <c r="F286" s="10">
        <f>IFERROR(VLOOKUP(B286,cubo!$A$6:$BE$37,8,0)-VLOOKUP(B286,#REF!,$F$2,0),0)</f>
        <v>0</v>
      </c>
      <c r="G286" s="9">
        <f>IFERROR(VLOOKUP(B286,cubo!$A$6:$BE$37,11,0)-VLOOKUP(B286,#REF!,$G$2,0),0)</f>
        <v>0</v>
      </c>
      <c r="H286" s="9">
        <f>IFERROR(VLOOKUP(B286,cubo!$A$6:$BE$37,53,0)-VLOOKUP(B286,#REF!,$H$2,0),0)</f>
        <v>0</v>
      </c>
      <c r="I286" s="10">
        <f>IFERROR(VLOOKUP(B286,cubo!$A$6:$BE$37,14,0)-VLOOKUP(B286,#REF!,$I$2,0),0)</f>
        <v>0</v>
      </c>
      <c r="J286" s="9">
        <f>IFERROR(VLOOKUP(B286,cubo!$A$6:$BE$37,16,0)-VLOOKUP(B286,#REF!,$J$2,0),0)</f>
        <v>0</v>
      </c>
      <c r="K286" s="9">
        <f>IFERROR(VLOOKUP(B286,cubo!$A$6:$BE$37,17,0)-VLOOKUP(B286,#REF!,$K$2,0),0)</f>
        <v>0</v>
      </c>
      <c r="L286" s="9">
        <f>IFERROR(VLOOKUP(B286,cubo!$A$6:$BE$37,19,0)-VLOOKUP(B286,#REF!,$L$2,0),0)</f>
        <v>0</v>
      </c>
      <c r="M286" s="9">
        <f>IFERROR(VLOOKUP(B286,cubo!$A$6:$BE$37,23,0)-VLOOKUP(B286,#REF!,$M$2,0),0)</f>
        <v>0</v>
      </c>
      <c r="N286" s="9">
        <f>IFERROR(VLOOKUP(B286,cubo!$A$6:$BE$37,25,0)-VLOOKUP(B286,#REF!,$N$2,0),0)</f>
        <v>0</v>
      </c>
      <c r="O286" s="9">
        <f>IFERROR(VLOOKUP(B286,cubo!$A$6:$BE$37,33,0)-VLOOKUP(B286,#REF!,$O$2,0),0)</f>
        <v>0</v>
      </c>
      <c r="P286" s="8">
        <f>IFERROR(VLOOKUP(B286,cubo!$A$6:$BE$37,37,0)-VLOOKUP(B286,#REF!,$P$2,0),0)</f>
        <v>0</v>
      </c>
      <c r="Q286" s="8">
        <f>IFERROR(VLOOKUP(B286,cubo!$A$6:$BE$37,56,0)-VLOOKUP(B286,#REF!,$Q$2,0),0)</f>
        <v>0</v>
      </c>
      <c r="R286" s="9">
        <f>IFERROR(VLOOKUP(B286,cubo!$A$6:$BE$37,40,0)-VLOOKUP(B286,#REF!,$R$2,0),0)</f>
        <v>0</v>
      </c>
      <c r="S286" s="9">
        <f>IFERROR(VLOOKUP(B286,cubo!$A$6:$BE$37,43,0)-VLOOKUP(B286,#REF!,$S$2,0),0)</f>
        <v>0</v>
      </c>
      <c r="T286" s="9">
        <f>IFERROR(VLOOKUP(B286,cubo!$A$6:$BE$37,46,0)-VLOOKUP(B286,#REF!,$T$2,0),0)</f>
        <v>0</v>
      </c>
      <c r="U286" s="9">
        <f>IFERROR(VLOOKUP(B286,cubo!$A$6:$BE$37,51,0)-VLOOKUP(B286,#REF!,$U$2,0),0)</f>
        <v>0</v>
      </c>
      <c r="V286" s="9">
        <f>IFERROR(VLOOKUP(B286,cubo!$A$6:$BJ$37,60,0)-VLOOKUP(B286,#REF!,$V$2,0),0)</f>
        <v>0</v>
      </c>
      <c r="W286" s="9">
        <f>IFERROR(VLOOKUP(B286,cubo!$A$6:$BE$37,26,0)-VLOOKUP(B286,#REF!,$W$2,0),0)</f>
        <v>0</v>
      </c>
      <c r="X286" s="9">
        <f>IFERROR(VLOOKUP(B286,cubo!$A$6:$BE$37,20,0)-VLOOKUP(B286,#REF!,$X$2,0),0)</f>
        <v>0</v>
      </c>
      <c r="Y286" s="9">
        <f>IFERROR(VLOOKUP(B286,cubo!$A$6:$BE$37,21,0)-VLOOKUP(B286,#REF!,$Y$2,0),0)</f>
        <v>0</v>
      </c>
      <c r="Z286" s="9">
        <f>IFERROR(VLOOKUP(B286,cubo!$A$6:$BE$37,27,0)-VLOOKUP(B286,#REF!,$Z$2,0),0)</f>
        <v>0</v>
      </c>
      <c r="AA286" s="9">
        <f>IFERROR(VLOOKUP(B286,cubo!$A$6:$BE$37,28,0)-VLOOKUP(B286,#REF!,$AA$2,0),0)</f>
        <v>0</v>
      </c>
      <c r="AB286" s="9">
        <f>IFERROR(VLOOKUP(B286,cubo!$A$6:$BE$37,29,0)-VLOOKUP(B286,#REF!,$AB$2,0),0)</f>
        <v>0</v>
      </c>
      <c r="AC286" s="9">
        <f>IFERROR(VLOOKUP(B286,cubo!$A$6:$BE$37,30,0)-VLOOKUP(B286,#REF!,$AC$2,0),0)</f>
        <v>0</v>
      </c>
      <c r="AD286" s="9">
        <f>IFERROR(VLOOKUP(B286,cubo!$A$6:$BE$37,31,0)-VLOOKUP(B286,#REF!,$AD$2,0),0)</f>
        <v>0</v>
      </c>
      <c r="AE286" s="9">
        <f>IFERROR(VLOOKUP(B286,cubo!$A$6:$BE$37,35,0)-VLOOKUP(B286,#REF!,$AE$2,0),0)</f>
        <v>0</v>
      </c>
      <c r="AF286" s="9" cm="1">
        <f t="array" aca="1" ref="AF286" ca="1">IFERROR(rrPROCV(B286,cubo!$A$6:$BE$37,48,0)-VLOOKUP(B286,#REF!,$AF$2,0),0)</f>
        <v>0</v>
      </c>
      <c r="AG286" s="9">
        <f>IFERROR(VLOOKUP(B286,cubo!$A$6:$BE$37,49,0)-VLOOKUP(B286,#REF!,$AG$2,0),0)</f>
        <v>0</v>
      </c>
      <c r="AH286" s="9">
        <f>IFERROR(VLOOKUP(B286,cubo!$A$6:$BE$37,50,0)-VLOOKUP(B286,#REF!,$AH$2,0),0)</f>
        <v>0</v>
      </c>
      <c r="AI286" s="9">
        <f>IFERROR(VLOOKUP(B286,cubo!$A$6:$BE$37,51,0)-VLOOKUP(B286,#REF!,$AI$2,0),0)</f>
        <v>0</v>
      </c>
      <c r="AJ286" s="9">
        <f>IFERROR(VLOOKUP(B286,cubo!$A$6:$BI$116,62,0)-VLOOKUP(B286,#REF!,$AJ$2,0),0)</f>
        <v>0</v>
      </c>
      <c r="AK286" s="9">
        <f>IFERROR(VLOOKUP(B286,cubo!$A$6:$BJ$37,63,0)-VLOOKUP(B286,#REF!,$AK$2,0),0)</f>
        <v>0</v>
      </c>
      <c r="AL286" s="9">
        <f>IFERROR(VLOOKUP(B286,cubo!$A$6:$BE$37,58,0)-VLOOKUP(B286,#REF!,$AL$2,0),0)</f>
        <v>0</v>
      </c>
      <c r="AM286" s="9">
        <f>IFERROR(VLOOKUP(B286,cubo!$A$6:$BK$37,64,0)-VLOOKUP(B286,#REF!,$AM$2,0),0)</f>
        <v>0</v>
      </c>
      <c r="AN286" s="9">
        <f>IFERROR(VLOOKUP(B286,cubo!$A$6:$AN$37,41,0)-VLOOKUP(B286,#REF!,$AN$2,0),0)</f>
        <v>0</v>
      </c>
    </row>
    <row r="287" spans="2:40" x14ac:dyDescent="0.25">
      <c r="B287" s="7">
        <f>[1]salario!A286</f>
        <v>0</v>
      </c>
      <c r="C287" s="8">
        <f>[1]salario!C286</f>
        <v>0</v>
      </c>
      <c r="D287" s="9">
        <f>IFERROR(VLOOKUP(B287,cubo!$A$6:$BE$37,3,0)-VLOOKUP(B287,#REF!,$D$2,0),0)</f>
        <v>0</v>
      </c>
      <c r="E287" s="10">
        <f>IFERROR(VLOOKUP(B287,cubo!$A$6:$BE$37,5,0)-VLOOKUP(B287,#REF!,$E$2,0),0)</f>
        <v>0</v>
      </c>
      <c r="F287" s="10">
        <f>IFERROR(VLOOKUP(B287,cubo!$A$6:$BE$37,8,0)-VLOOKUP(B287,#REF!,$F$2,0),0)</f>
        <v>0</v>
      </c>
      <c r="G287" s="9">
        <f>IFERROR(VLOOKUP(B287,cubo!$A$6:$BE$37,11,0)-VLOOKUP(B287,#REF!,$G$2,0),0)</f>
        <v>0</v>
      </c>
      <c r="H287" s="9">
        <f>IFERROR(VLOOKUP(B287,cubo!$A$6:$BE$37,53,0)-VLOOKUP(B287,#REF!,$H$2,0),0)</f>
        <v>0</v>
      </c>
      <c r="I287" s="10">
        <f>IFERROR(VLOOKUP(B287,cubo!$A$6:$BE$37,14,0)-VLOOKUP(B287,#REF!,$I$2,0),0)</f>
        <v>0</v>
      </c>
      <c r="J287" s="9">
        <f>IFERROR(VLOOKUP(B287,cubo!$A$6:$BE$37,16,0)-VLOOKUP(B287,#REF!,$J$2,0),0)</f>
        <v>0</v>
      </c>
      <c r="K287" s="9">
        <f>IFERROR(VLOOKUP(B287,cubo!$A$6:$BE$37,17,0)-VLOOKUP(B287,#REF!,$K$2,0),0)</f>
        <v>0</v>
      </c>
      <c r="L287" s="9">
        <f>IFERROR(VLOOKUP(B287,cubo!$A$6:$BE$37,19,0)-VLOOKUP(B287,#REF!,$L$2,0),0)</f>
        <v>0</v>
      </c>
      <c r="M287" s="9">
        <f>IFERROR(VLOOKUP(B287,cubo!$A$6:$BE$37,23,0)-VLOOKUP(B287,#REF!,$M$2,0),0)</f>
        <v>0</v>
      </c>
      <c r="N287" s="9">
        <f>IFERROR(VLOOKUP(B287,cubo!$A$6:$BE$37,25,0)-VLOOKUP(B287,#REF!,$N$2,0),0)</f>
        <v>0</v>
      </c>
      <c r="O287" s="9">
        <f>IFERROR(VLOOKUP(B287,cubo!$A$6:$BE$37,33,0)-VLOOKUP(B287,#REF!,$O$2,0),0)</f>
        <v>0</v>
      </c>
      <c r="P287" s="8">
        <f>IFERROR(VLOOKUP(B287,cubo!$A$6:$BE$37,37,0)-VLOOKUP(B287,#REF!,$P$2,0),0)</f>
        <v>0</v>
      </c>
      <c r="Q287" s="8">
        <f>IFERROR(VLOOKUP(B287,cubo!$A$6:$BE$37,56,0)-VLOOKUP(B287,#REF!,$Q$2,0),0)</f>
        <v>0</v>
      </c>
      <c r="R287" s="9">
        <f>IFERROR(VLOOKUP(B287,cubo!$A$6:$BE$37,40,0)-VLOOKUP(B287,#REF!,$R$2,0),0)</f>
        <v>0</v>
      </c>
      <c r="S287" s="9">
        <f>IFERROR(VLOOKUP(B287,cubo!$A$6:$BE$37,43,0)-VLOOKUP(B287,#REF!,$S$2,0),0)</f>
        <v>0</v>
      </c>
      <c r="T287" s="9">
        <f>IFERROR(VLOOKUP(B287,cubo!$A$6:$BE$37,46,0)-VLOOKUP(B287,#REF!,$T$2,0),0)</f>
        <v>0</v>
      </c>
      <c r="U287" s="9">
        <f>IFERROR(VLOOKUP(B287,cubo!$A$6:$BE$37,51,0)-VLOOKUP(B287,#REF!,$U$2,0),0)</f>
        <v>0</v>
      </c>
      <c r="V287" s="9">
        <f>IFERROR(VLOOKUP(B287,cubo!$A$6:$BJ$37,60,0)-VLOOKUP(B287,#REF!,$V$2,0),0)</f>
        <v>0</v>
      </c>
      <c r="W287" s="9">
        <f>IFERROR(VLOOKUP(B287,cubo!$A$6:$BE$37,26,0)-VLOOKUP(B287,#REF!,$W$2,0),0)</f>
        <v>0</v>
      </c>
      <c r="X287" s="9">
        <f>IFERROR(VLOOKUP(B287,cubo!$A$6:$BE$37,20,0)-VLOOKUP(B287,#REF!,$X$2,0),0)</f>
        <v>0</v>
      </c>
      <c r="Y287" s="9">
        <f>IFERROR(VLOOKUP(B287,cubo!$A$6:$BE$37,21,0)-VLOOKUP(B287,#REF!,$Y$2,0),0)</f>
        <v>0</v>
      </c>
      <c r="Z287" s="9">
        <f>IFERROR(VLOOKUP(B287,cubo!$A$6:$BE$37,27,0)-VLOOKUP(B287,#REF!,$Z$2,0),0)</f>
        <v>0</v>
      </c>
      <c r="AA287" s="9">
        <f>IFERROR(VLOOKUP(B287,cubo!$A$6:$BE$37,28,0)-VLOOKUP(B287,#REF!,$AA$2,0),0)</f>
        <v>0</v>
      </c>
      <c r="AB287" s="9">
        <f>IFERROR(VLOOKUP(B287,cubo!$A$6:$BE$37,29,0)-VLOOKUP(B287,#REF!,$AB$2,0),0)</f>
        <v>0</v>
      </c>
      <c r="AC287" s="9">
        <f>IFERROR(VLOOKUP(B287,cubo!$A$6:$BE$37,30,0)-VLOOKUP(B287,#REF!,$AC$2,0),0)</f>
        <v>0</v>
      </c>
      <c r="AD287" s="9">
        <f>IFERROR(VLOOKUP(B287,cubo!$A$6:$BE$37,31,0)-VLOOKUP(B287,#REF!,$AD$2,0),0)</f>
        <v>0</v>
      </c>
      <c r="AE287" s="9">
        <f>IFERROR(VLOOKUP(B287,cubo!$A$6:$BE$37,35,0)-VLOOKUP(B287,#REF!,$AE$2,0),0)</f>
        <v>0</v>
      </c>
      <c r="AF287" s="9" cm="1">
        <f t="array" aca="1" ref="AF287" ca="1">IFERROR(rrPROCV(B287,cubo!$A$6:$BE$37,48,0)-VLOOKUP(B287,#REF!,$AF$2,0),0)</f>
        <v>0</v>
      </c>
      <c r="AG287" s="9">
        <f>IFERROR(VLOOKUP(B287,cubo!$A$6:$BE$37,49,0)-VLOOKUP(B287,#REF!,$AG$2,0),0)</f>
        <v>0</v>
      </c>
      <c r="AH287" s="9">
        <f>IFERROR(VLOOKUP(B287,cubo!$A$6:$BE$37,50,0)-VLOOKUP(B287,#REF!,$AH$2,0),0)</f>
        <v>0</v>
      </c>
      <c r="AI287" s="9">
        <f>IFERROR(VLOOKUP(B287,cubo!$A$6:$BE$37,51,0)-VLOOKUP(B287,#REF!,$AI$2,0),0)</f>
        <v>0</v>
      </c>
      <c r="AJ287" s="9">
        <f>IFERROR(VLOOKUP(B287,cubo!$A$6:$BI$116,62,0)-VLOOKUP(B287,#REF!,$AJ$2,0),0)</f>
        <v>0</v>
      </c>
      <c r="AK287" s="9">
        <f>IFERROR(VLOOKUP(B287,cubo!$A$6:$BJ$37,63,0)-VLOOKUP(B287,#REF!,$AK$2,0),0)</f>
        <v>0</v>
      </c>
      <c r="AL287" s="9">
        <f>IFERROR(VLOOKUP(B287,cubo!$A$6:$BE$37,58,0)-VLOOKUP(B287,#REF!,$AL$2,0),0)</f>
        <v>0</v>
      </c>
      <c r="AM287" s="9">
        <f>IFERROR(VLOOKUP(B287,cubo!$A$6:$BK$37,64,0)-VLOOKUP(B287,#REF!,$AM$2,0),0)</f>
        <v>0</v>
      </c>
      <c r="AN287" s="9">
        <f>IFERROR(VLOOKUP(B287,cubo!$A$6:$AN$37,41,0)-VLOOKUP(B287,#REF!,$AN$2,0),0)</f>
        <v>0</v>
      </c>
    </row>
    <row r="288" spans="2:40" x14ac:dyDescent="0.25">
      <c r="B288" s="7">
        <f>[1]salario!A287</f>
        <v>0</v>
      </c>
      <c r="C288" s="8">
        <f>[1]salario!C287</f>
        <v>0</v>
      </c>
      <c r="D288" s="9">
        <f>IFERROR(VLOOKUP(B288,cubo!$A$6:$BE$37,3,0)-VLOOKUP(B288,#REF!,$D$2,0),0)</f>
        <v>0</v>
      </c>
      <c r="E288" s="10">
        <f>IFERROR(VLOOKUP(B288,cubo!$A$6:$BE$37,5,0)-VLOOKUP(B288,#REF!,$E$2,0),0)</f>
        <v>0</v>
      </c>
      <c r="F288" s="10">
        <f>IFERROR(VLOOKUP(B288,cubo!$A$6:$BE$37,8,0)-VLOOKUP(B288,#REF!,$F$2,0),0)</f>
        <v>0</v>
      </c>
      <c r="G288" s="9">
        <f>IFERROR(VLOOKUP(B288,cubo!$A$6:$BE$37,11,0)-VLOOKUP(B288,#REF!,$G$2,0),0)</f>
        <v>0</v>
      </c>
      <c r="H288" s="9">
        <f>IFERROR(VLOOKUP(B288,cubo!$A$6:$BE$37,53,0)-VLOOKUP(B288,#REF!,$H$2,0),0)</f>
        <v>0</v>
      </c>
      <c r="I288" s="10">
        <f>IFERROR(VLOOKUP(B288,cubo!$A$6:$BE$37,14,0)-VLOOKUP(B288,#REF!,$I$2,0),0)</f>
        <v>0</v>
      </c>
      <c r="J288" s="9">
        <f>IFERROR(VLOOKUP(B288,cubo!$A$6:$BE$37,16,0)-VLOOKUP(B288,#REF!,$J$2,0),0)</f>
        <v>0</v>
      </c>
      <c r="K288" s="9">
        <f>IFERROR(VLOOKUP(B288,cubo!$A$6:$BE$37,17,0)-VLOOKUP(B288,#REF!,$K$2,0),0)</f>
        <v>0</v>
      </c>
      <c r="L288" s="9">
        <f>IFERROR(VLOOKUP(B288,cubo!$A$6:$BE$37,19,0)-VLOOKUP(B288,#REF!,$L$2,0),0)</f>
        <v>0</v>
      </c>
      <c r="M288" s="9">
        <f>IFERROR(VLOOKUP(B288,cubo!$A$6:$BE$37,23,0)-VLOOKUP(B288,#REF!,$M$2,0),0)</f>
        <v>0</v>
      </c>
      <c r="N288" s="9">
        <f>IFERROR(VLOOKUP(B288,cubo!$A$6:$BE$37,25,0)-VLOOKUP(B288,#REF!,$N$2,0),0)</f>
        <v>0</v>
      </c>
      <c r="O288" s="9">
        <f>IFERROR(VLOOKUP(B288,cubo!$A$6:$BE$37,33,0)-VLOOKUP(B288,#REF!,$O$2,0),0)</f>
        <v>0</v>
      </c>
      <c r="P288" s="8">
        <f>IFERROR(VLOOKUP(B288,cubo!$A$6:$BE$37,37,0)-VLOOKUP(B288,#REF!,$P$2,0),0)</f>
        <v>0</v>
      </c>
      <c r="Q288" s="8">
        <f>IFERROR(VLOOKUP(B288,cubo!$A$6:$BE$37,56,0)-VLOOKUP(B288,#REF!,$Q$2,0),0)</f>
        <v>0</v>
      </c>
      <c r="R288" s="9">
        <f>IFERROR(VLOOKUP(B288,cubo!$A$6:$BE$37,40,0)-VLOOKUP(B288,#REF!,$R$2,0),0)</f>
        <v>0</v>
      </c>
      <c r="S288" s="9">
        <f>IFERROR(VLOOKUP(B288,cubo!$A$6:$BE$37,43,0)-VLOOKUP(B288,#REF!,$S$2,0),0)</f>
        <v>0</v>
      </c>
      <c r="T288" s="9">
        <f>IFERROR(VLOOKUP(B288,cubo!$A$6:$BE$37,46,0)-VLOOKUP(B288,#REF!,$T$2,0),0)</f>
        <v>0</v>
      </c>
      <c r="U288" s="9">
        <f>IFERROR(VLOOKUP(B288,cubo!$A$6:$BE$37,51,0)-VLOOKUP(B288,#REF!,$U$2,0),0)</f>
        <v>0</v>
      </c>
      <c r="V288" s="9">
        <f>IFERROR(VLOOKUP(B288,cubo!$A$6:$BJ$37,60,0)-VLOOKUP(B288,#REF!,$V$2,0),0)</f>
        <v>0</v>
      </c>
      <c r="W288" s="9">
        <f>IFERROR(VLOOKUP(B288,cubo!$A$6:$BE$37,26,0)-VLOOKUP(B288,#REF!,$W$2,0),0)</f>
        <v>0</v>
      </c>
      <c r="X288" s="9">
        <f>IFERROR(VLOOKUP(B288,cubo!$A$6:$BE$37,20,0)-VLOOKUP(B288,#REF!,$X$2,0),0)</f>
        <v>0</v>
      </c>
      <c r="Y288" s="9">
        <f>IFERROR(VLOOKUP(B288,cubo!$A$6:$BE$37,21,0)-VLOOKUP(B288,#REF!,$Y$2,0),0)</f>
        <v>0</v>
      </c>
      <c r="Z288" s="9">
        <f>IFERROR(VLOOKUP(B288,cubo!$A$6:$BE$37,27,0)-VLOOKUP(B288,#REF!,$Z$2,0),0)</f>
        <v>0</v>
      </c>
      <c r="AA288" s="9">
        <f>IFERROR(VLOOKUP(B288,cubo!$A$6:$BE$37,28,0)-VLOOKUP(B288,#REF!,$AA$2,0),0)</f>
        <v>0</v>
      </c>
      <c r="AB288" s="9">
        <f>IFERROR(VLOOKUP(B288,cubo!$A$6:$BE$37,29,0)-VLOOKUP(B288,#REF!,$AB$2,0),0)</f>
        <v>0</v>
      </c>
      <c r="AC288" s="9">
        <f>IFERROR(VLOOKUP(B288,cubo!$A$6:$BE$37,30,0)-VLOOKUP(B288,#REF!,$AC$2,0),0)</f>
        <v>0</v>
      </c>
      <c r="AD288" s="9">
        <f>IFERROR(VLOOKUP(B288,cubo!$A$6:$BE$37,31,0)-VLOOKUP(B288,#REF!,$AD$2,0),0)</f>
        <v>0</v>
      </c>
      <c r="AE288" s="9">
        <f>IFERROR(VLOOKUP(B288,cubo!$A$6:$BE$37,35,0)-VLOOKUP(B288,#REF!,$AE$2,0),0)</f>
        <v>0</v>
      </c>
      <c r="AF288" s="9" cm="1">
        <f t="array" aca="1" ref="AF288" ca="1">IFERROR(rrPROCV(B288,cubo!$A$6:$BE$37,48,0)-VLOOKUP(B288,#REF!,$AF$2,0),0)</f>
        <v>0</v>
      </c>
      <c r="AG288" s="9">
        <f>IFERROR(VLOOKUP(B288,cubo!$A$6:$BE$37,49,0)-VLOOKUP(B288,#REF!,$AG$2,0),0)</f>
        <v>0</v>
      </c>
      <c r="AH288" s="9">
        <f>IFERROR(VLOOKUP(B288,cubo!$A$6:$BE$37,50,0)-VLOOKUP(B288,#REF!,$AH$2,0),0)</f>
        <v>0</v>
      </c>
      <c r="AI288" s="9">
        <f>IFERROR(VLOOKUP(B288,cubo!$A$6:$BE$37,51,0)-VLOOKUP(B288,#REF!,$AI$2,0),0)</f>
        <v>0</v>
      </c>
      <c r="AJ288" s="9">
        <f>IFERROR(VLOOKUP(B288,cubo!$A$6:$BI$116,62,0)-VLOOKUP(B288,#REF!,$AJ$2,0),0)</f>
        <v>0</v>
      </c>
      <c r="AK288" s="9">
        <f>IFERROR(VLOOKUP(B288,cubo!$A$6:$BJ$37,63,0)-VLOOKUP(B288,#REF!,$AK$2,0),0)</f>
        <v>0</v>
      </c>
      <c r="AL288" s="9">
        <f>IFERROR(VLOOKUP(B288,cubo!$A$6:$BE$37,58,0)-VLOOKUP(B288,#REF!,$AL$2,0),0)</f>
        <v>0</v>
      </c>
      <c r="AM288" s="9">
        <f>IFERROR(VLOOKUP(B288,cubo!$A$6:$BK$37,64,0)-VLOOKUP(B288,#REF!,$AM$2,0),0)</f>
        <v>0</v>
      </c>
      <c r="AN288" s="9">
        <f>IFERROR(VLOOKUP(B288,cubo!$A$6:$AN$37,41,0)-VLOOKUP(B288,#REF!,$AN$2,0),0)</f>
        <v>0</v>
      </c>
    </row>
    <row r="289" spans="2:40" x14ac:dyDescent="0.25">
      <c r="B289" s="7">
        <f>[1]salario!A288</f>
        <v>0</v>
      </c>
      <c r="C289" s="8">
        <f>[1]salario!C288</f>
        <v>0</v>
      </c>
      <c r="D289" s="9">
        <f>IFERROR(VLOOKUP(B289,cubo!$A$6:$BE$37,3,0)-VLOOKUP(B289,#REF!,$D$2,0),0)</f>
        <v>0</v>
      </c>
      <c r="E289" s="10">
        <f>IFERROR(VLOOKUP(B289,cubo!$A$6:$BE$37,5,0)-VLOOKUP(B289,#REF!,$E$2,0),0)</f>
        <v>0</v>
      </c>
      <c r="F289" s="10">
        <f>IFERROR(VLOOKUP(B289,cubo!$A$6:$BE$37,8,0)-VLOOKUP(B289,#REF!,$F$2,0),0)</f>
        <v>0</v>
      </c>
      <c r="G289" s="9">
        <f>IFERROR(VLOOKUP(B289,cubo!$A$6:$BE$37,11,0)-VLOOKUP(B289,#REF!,$G$2,0),0)</f>
        <v>0</v>
      </c>
      <c r="H289" s="9">
        <f>IFERROR(VLOOKUP(B289,cubo!$A$6:$BE$37,53,0)-VLOOKUP(B289,#REF!,$H$2,0),0)</f>
        <v>0</v>
      </c>
      <c r="I289" s="10">
        <f>IFERROR(VLOOKUP(B289,cubo!$A$6:$BE$37,14,0)-VLOOKUP(B289,#REF!,$I$2,0),0)</f>
        <v>0</v>
      </c>
      <c r="J289" s="9">
        <f>IFERROR(VLOOKUP(B289,cubo!$A$6:$BE$37,16,0)-VLOOKUP(B289,#REF!,$J$2,0),0)</f>
        <v>0</v>
      </c>
      <c r="K289" s="9">
        <f>IFERROR(VLOOKUP(B289,cubo!$A$6:$BE$37,17,0)-VLOOKUP(B289,#REF!,$K$2,0),0)</f>
        <v>0</v>
      </c>
      <c r="L289" s="9">
        <f>IFERROR(VLOOKUP(B289,cubo!$A$6:$BE$37,19,0)-VLOOKUP(B289,#REF!,$L$2,0),0)</f>
        <v>0</v>
      </c>
      <c r="M289" s="9">
        <f>IFERROR(VLOOKUP(B289,cubo!$A$6:$BE$37,23,0)-VLOOKUP(B289,#REF!,$M$2,0),0)</f>
        <v>0</v>
      </c>
      <c r="N289" s="9">
        <f>IFERROR(VLOOKUP(B289,cubo!$A$6:$BE$37,25,0)-VLOOKUP(B289,#REF!,$N$2,0),0)</f>
        <v>0</v>
      </c>
      <c r="O289" s="9">
        <f>IFERROR(VLOOKUP(B289,cubo!$A$6:$BE$37,33,0)-VLOOKUP(B289,#REF!,$O$2,0),0)</f>
        <v>0</v>
      </c>
      <c r="P289" s="8">
        <f>IFERROR(VLOOKUP(B289,cubo!$A$6:$BE$37,37,0)-VLOOKUP(B289,#REF!,$P$2,0),0)</f>
        <v>0</v>
      </c>
      <c r="Q289" s="8">
        <f>IFERROR(VLOOKUP(B289,cubo!$A$6:$BE$37,56,0)-VLOOKUP(B289,#REF!,$Q$2,0),0)</f>
        <v>0</v>
      </c>
      <c r="R289" s="9">
        <f>IFERROR(VLOOKUP(B289,cubo!$A$6:$BE$37,40,0)-VLOOKUP(B289,#REF!,$R$2,0),0)</f>
        <v>0</v>
      </c>
      <c r="S289" s="9">
        <f>IFERROR(VLOOKUP(B289,cubo!$A$6:$BE$37,43,0)-VLOOKUP(B289,#REF!,$S$2,0),0)</f>
        <v>0</v>
      </c>
      <c r="T289" s="9">
        <f>IFERROR(VLOOKUP(B289,cubo!$A$6:$BE$37,46,0)-VLOOKUP(B289,#REF!,$T$2,0),0)</f>
        <v>0</v>
      </c>
      <c r="U289" s="9">
        <f>IFERROR(VLOOKUP(B289,cubo!$A$6:$BE$37,51,0)-VLOOKUP(B289,#REF!,$U$2,0),0)</f>
        <v>0</v>
      </c>
      <c r="V289" s="9">
        <f>IFERROR(VLOOKUP(B289,cubo!$A$6:$BJ$37,60,0)-VLOOKUP(B289,#REF!,$V$2,0),0)</f>
        <v>0</v>
      </c>
      <c r="W289" s="9">
        <f>IFERROR(VLOOKUP(B289,cubo!$A$6:$BE$37,26,0)-VLOOKUP(B289,#REF!,$W$2,0),0)</f>
        <v>0</v>
      </c>
      <c r="X289" s="9">
        <f>IFERROR(VLOOKUP(B289,cubo!$A$6:$BE$37,20,0)-VLOOKUP(B289,#REF!,$X$2,0),0)</f>
        <v>0</v>
      </c>
      <c r="Y289" s="9">
        <f>IFERROR(VLOOKUP(B289,cubo!$A$6:$BE$37,21,0)-VLOOKUP(B289,#REF!,$Y$2,0),0)</f>
        <v>0</v>
      </c>
      <c r="Z289" s="9">
        <f>IFERROR(VLOOKUP(B289,cubo!$A$6:$BE$37,27,0)-VLOOKUP(B289,#REF!,$Z$2,0),0)</f>
        <v>0</v>
      </c>
      <c r="AA289" s="9">
        <f>IFERROR(VLOOKUP(B289,cubo!$A$6:$BE$37,28,0)-VLOOKUP(B289,#REF!,$AA$2,0),0)</f>
        <v>0</v>
      </c>
      <c r="AB289" s="9">
        <f>IFERROR(VLOOKUP(B289,cubo!$A$6:$BE$37,29,0)-VLOOKUP(B289,#REF!,$AB$2,0),0)</f>
        <v>0</v>
      </c>
      <c r="AC289" s="9">
        <f>IFERROR(VLOOKUP(B289,cubo!$A$6:$BE$37,30,0)-VLOOKUP(B289,#REF!,$AC$2,0),0)</f>
        <v>0</v>
      </c>
      <c r="AD289" s="9">
        <f>IFERROR(VLOOKUP(B289,cubo!$A$6:$BE$37,31,0)-VLOOKUP(B289,#REF!,$AD$2,0),0)</f>
        <v>0</v>
      </c>
      <c r="AE289" s="9">
        <f>IFERROR(VLOOKUP(B289,cubo!$A$6:$BE$37,35,0)-VLOOKUP(B289,#REF!,$AE$2,0),0)</f>
        <v>0</v>
      </c>
      <c r="AF289" s="9" cm="1">
        <f t="array" aca="1" ref="AF289" ca="1">IFERROR(rrPROCV(B289,cubo!$A$6:$BE$37,48,0)-VLOOKUP(B289,#REF!,$AF$2,0),0)</f>
        <v>0</v>
      </c>
      <c r="AG289" s="9">
        <f>IFERROR(VLOOKUP(B289,cubo!$A$6:$BE$37,49,0)-VLOOKUP(B289,#REF!,$AG$2,0),0)</f>
        <v>0</v>
      </c>
      <c r="AH289" s="9">
        <f>IFERROR(VLOOKUP(B289,cubo!$A$6:$BE$37,50,0)-VLOOKUP(B289,#REF!,$AH$2,0),0)</f>
        <v>0</v>
      </c>
      <c r="AI289" s="9">
        <f>IFERROR(VLOOKUP(B289,cubo!$A$6:$BE$37,51,0)-VLOOKUP(B289,#REF!,$AI$2,0),0)</f>
        <v>0</v>
      </c>
      <c r="AJ289" s="9">
        <f>IFERROR(VLOOKUP(B289,cubo!$A$6:$BI$116,62,0)-VLOOKUP(B289,#REF!,$AJ$2,0),0)</f>
        <v>0</v>
      </c>
      <c r="AK289" s="9">
        <f>IFERROR(VLOOKUP(B289,cubo!$A$6:$BJ$37,63,0)-VLOOKUP(B289,#REF!,$AK$2,0),0)</f>
        <v>0</v>
      </c>
      <c r="AL289" s="9">
        <f>IFERROR(VLOOKUP(B289,cubo!$A$6:$BE$37,58,0)-VLOOKUP(B289,#REF!,$AL$2,0),0)</f>
        <v>0</v>
      </c>
      <c r="AM289" s="9">
        <f>IFERROR(VLOOKUP(B289,cubo!$A$6:$BK$37,64,0)-VLOOKUP(B289,#REF!,$AM$2,0),0)</f>
        <v>0</v>
      </c>
      <c r="AN289" s="9">
        <f>IFERROR(VLOOKUP(B289,cubo!$A$6:$AN$37,41,0)-VLOOKUP(B289,#REF!,$AN$2,0),0)</f>
        <v>0</v>
      </c>
    </row>
    <row r="290" spans="2:40" x14ac:dyDescent="0.25">
      <c r="B290" s="7">
        <f>[1]salario!A289</f>
        <v>0</v>
      </c>
      <c r="C290" s="8">
        <f>[1]salario!C289</f>
        <v>0</v>
      </c>
      <c r="D290" s="9">
        <f>IFERROR(VLOOKUP(B290,cubo!$A$6:$BE$37,3,0)-VLOOKUP(B290,#REF!,$D$2,0),0)</f>
        <v>0</v>
      </c>
      <c r="E290" s="10">
        <f>IFERROR(VLOOKUP(B290,cubo!$A$6:$BE$37,5,0)-VLOOKUP(B290,#REF!,$E$2,0),0)</f>
        <v>0</v>
      </c>
      <c r="F290" s="10">
        <f>IFERROR(VLOOKUP(B290,cubo!$A$6:$BE$37,8,0)-VLOOKUP(B290,#REF!,$F$2,0),0)</f>
        <v>0</v>
      </c>
      <c r="G290" s="9">
        <f>IFERROR(VLOOKUP(B290,cubo!$A$6:$BE$37,11,0)-VLOOKUP(B290,#REF!,$G$2,0),0)</f>
        <v>0</v>
      </c>
      <c r="H290" s="9">
        <f>IFERROR(VLOOKUP(B290,cubo!$A$6:$BE$37,53,0)-VLOOKUP(B290,#REF!,$H$2,0),0)</f>
        <v>0</v>
      </c>
      <c r="I290" s="10">
        <f>IFERROR(VLOOKUP(B290,cubo!$A$6:$BE$37,14,0)-VLOOKUP(B290,#REF!,$I$2,0),0)</f>
        <v>0</v>
      </c>
      <c r="J290" s="9">
        <f>IFERROR(VLOOKUP(B290,cubo!$A$6:$BE$37,16,0)-VLOOKUP(B290,#REF!,$J$2,0),0)</f>
        <v>0</v>
      </c>
      <c r="K290" s="9">
        <f>IFERROR(VLOOKUP(B290,cubo!$A$6:$BE$37,17,0)-VLOOKUP(B290,#REF!,$K$2,0),0)</f>
        <v>0</v>
      </c>
      <c r="L290" s="9">
        <f>IFERROR(VLOOKUP(B290,cubo!$A$6:$BE$37,19,0)-VLOOKUP(B290,#REF!,$L$2,0),0)</f>
        <v>0</v>
      </c>
      <c r="M290" s="9">
        <f>IFERROR(VLOOKUP(B290,cubo!$A$6:$BE$37,23,0)-VLOOKUP(B290,#REF!,$M$2,0),0)</f>
        <v>0</v>
      </c>
      <c r="N290" s="9">
        <f>IFERROR(VLOOKUP(B290,cubo!$A$6:$BE$37,25,0)-VLOOKUP(B290,#REF!,$N$2,0),0)</f>
        <v>0</v>
      </c>
      <c r="O290" s="9">
        <f>IFERROR(VLOOKUP(B290,cubo!$A$6:$BE$37,33,0)-VLOOKUP(B290,#REF!,$O$2,0),0)</f>
        <v>0</v>
      </c>
      <c r="P290" s="8">
        <f>IFERROR(VLOOKUP(B290,cubo!$A$6:$BE$37,37,0)-VLOOKUP(B290,#REF!,$P$2,0),0)</f>
        <v>0</v>
      </c>
      <c r="Q290" s="8">
        <f>IFERROR(VLOOKUP(B290,cubo!$A$6:$BE$37,56,0)-VLOOKUP(B290,#REF!,$Q$2,0),0)</f>
        <v>0</v>
      </c>
      <c r="R290" s="9">
        <f>IFERROR(VLOOKUP(B290,cubo!$A$6:$BE$37,40,0)-VLOOKUP(B290,#REF!,$R$2,0),0)</f>
        <v>0</v>
      </c>
      <c r="S290" s="9">
        <f>IFERROR(VLOOKUP(B290,cubo!$A$6:$BE$37,43,0)-VLOOKUP(B290,#REF!,$S$2,0),0)</f>
        <v>0</v>
      </c>
      <c r="T290" s="9">
        <f>IFERROR(VLOOKUP(B290,cubo!$A$6:$BE$37,46,0)-VLOOKUP(B290,#REF!,$T$2,0),0)</f>
        <v>0</v>
      </c>
      <c r="U290" s="9">
        <f>IFERROR(VLOOKUP(B290,cubo!$A$6:$BE$37,51,0)-VLOOKUP(B290,#REF!,$U$2,0),0)</f>
        <v>0</v>
      </c>
      <c r="V290" s="9">
        <f>IFERROR(VLOOKUP(B290,cubo!$A$6:$BJ$37,60,0)-VLOOKUP(B290,#REF!,$V$2,0),0)</f>
        <v>0</v>
      </c>
      <c r="W290" s="9">
        <f>IFERROR(VLOOKUP(B290,cubo!$A$6:$BE$37,26,0)-VLOOKUP(B290,#REF!,$W$2,0),0)</f>
        <v>0</v>
      </c>
      <c r="X290" s="9">
        <f>IFERROR(VLOOKUP(B290,cubo!$A$6:$BE$37,20,0)-VLOOKUP(B290,#REF!,$X$2,0),0)</f>
        <v>0</v>
      </c>
      <c r="Y290" s="9">
        <f>IFERROR(VLOOKUP(B290,cubo!$A$6:$BE$37,21,0)-VLOOKUP(B290,#REF!,$Y$2,0),0)</f>
        <v>0</v>
      </c>
      <c r="Z290" s="9">
        <f>IFERROR(VLOOKUP(B290,cubo!$A$6:$BE$37,27,0)-VLOOKUP(B290,#REF!,$Z$2,0),0)</f>
        <v>0</v>
      </c>
      <c r="AA290" s="9">
        <f>IFERROR(VLOOKUP(B290,cubo!$A$6:$BE$37,28,0)-VLOOKUP(B290,#REF!,$AA$2,0),0)</f>
        <v>0</v>
      </c>
      <c r="AB290" s="9">
        <f>IFERROR(VLOOKUP(B290,cubo!$A$6:$BE$37,29,0)-VLOOKUP(B290,#REF!,$AB$2,0),0)</f>
        <v>0</v>
      </c>
      <c r="AC290" s="9">
        <f>IFERROR(VLOOKUP(B290,cubo!$A$6:$BE$37,30,0)-VLOOKUP(B290,#REF!,$AC$2,0),0)</f>
        <v>0</v>
      </c>
      <c r="AD290" s="9">
        <f>IFERROR(VLOOKUP(B290,cubo!$A$6:$BE$37,31,0)-VLOOKUP(B290,#REF!,$AD$2,0),0)</f>
        <v>0</v>
      </c>
      <c r="AE290" s="9">
        <f>IFERROR(VLOOKUP(B290,cubo!$A$6:$BE$37,35,0)-VLOOKUP(B290,#REF!,$AE$2,0),0)</f>
        <v>0</v>
      </c>
      <c r="AF290" s="9" cm="1">
        <f t="array" aca="1" ref="AF290" ca="1">IFERROR(rrPROCV(B290,cubo!$A$6:$BE$37,48,0)-VLOOKUP(B290,#REF!,$AF$2,0),0)</f>
        <v>0</v>
      </c>
      <c r="AG290" s="9">
        <f>IFERROR(VLOOKUP(B290,cubo!$A$6:$BE$37,49,0)-VLOOKUP(B290,#REF!,$AG$2,0),0)</f>
        <v>0</v>
      </c>
      <c r="AH290" s="9">
        <f>IFERROR(VLOOKUP(B290,cubo!$A$6:$BE$37,50,0)-VLOOKUP(B290,#REF!,$AH$2,0),0)</f>
        <v>0</v>
      </c>
      <c r="AI290" s="9">
        <f>IFERROR(VLOOKUP(B290,cubo!$A$6:$BE$37,51,0)-VLOOKUP(B290,#REF!,$AI$2,0),0)</f>
        <v>0</v>
      </c>
      <c r="AJ290" s="9">
        <f>IFERROR(VLOOKUP(B290,cubo!$A$6:$BI$116,62,0)-VLOOKUP(B290,#REF!,$AJ$2,0),0)</f>
        <v>0</v>
      </c>
      <c r="AK290" s="9">
        <f>IFERROR(VLOOKUP(B290,cubo!$A$6:$BJ$37,63,0)-VLOOKUP(B290,#REF!,$AK$2,0),0)</f>
        <v>0</v>
      </c>
      <c r="AL290" s="9">
        <f>IFERROR(VLOOKUP(B290,cubo!$A$6:$BE$37,58,0)-VLOOKUP(B290,#REF!,$AL$2,0),0)</f>
        <v>0</v>
      </c>
      <c r="AM290" s="9">
        <f>IFERROR(VLOOKUP(B290,cubo!$A$6:$BK$37,64,0)-VLOOKUP(B290,#REF!,$AM$2,0),0)</f>
        <v>0</v>
      </c>
      <c r="AN290" s="9">
        <f>IFERROR(VLOOKUP(B290,cubo!$A$6:$AN$37,41,0)-VLOOKUP(B290,#REF!,$AN$2,0),0)</f>
        <v>0</v>
      </c>
    </row>
    <row r="291" spans="2:40" x14ac:dyDescent="0.25">
      <c r="B291" s="7">
        <f>[1]salario!A290</f>
        <v>0</v>
      </c>
      <c r="C291" s="8">
        <f>[1]salario!C290</f>
        <v>0</v>
      </c>
      <c r="D291" s="9">
        <f>IFERROR(VLOOKUP(B291,cubo!$A$6:$BE$37,3,0)-VLOOKUP(B291,#REF!,$D$2,0),0)</f>
        <v>0</v>
      </c>
      <c r="E291" s="10">
        <f>IFERROR(VLOOKUP(B291,cubo!$A$6:$BE$37,5,0)-VLOOKUP(B291,#REF!,$E$2,0),0)</f>
        <v>0</v>
      </c>
      <c r="F291" s="10">
        <f>IFERROR(VLOOKUP(B291,cubo!$A$6:$BE$37,8,0)-VLOOKUP(B291,#REF!,$F$2,0),0)</f>
        <v>0</v>
      </c>
      <c r="G291" s="9">
        <f>IFERROR(VLOOKUP(B291,cubo!$A$6:$BE$37,11,0)-VLOOKUP(B291,#REF!,$G$2,0),0)</f>
        <v>0</v>
      </c>
      <c r="H291" s="9">
        <f>IFERROR(VLOOKUP(B291,cubo!$A$6:$BE$37,53,0)-VLOOKUP(B291,#REF!,$H$2,0),0)</f>
        <v>0</v>
      </c>
      <c r="I291" s="10">
        <f>IFERROR(VLOOKUP(B291,cubo!$A$6:$BE$37,14,0)-VLOOKUP(B291,#REF!,$I$2,0),0)</f>
        <v>0</v>
      </c>
      <c r="J291" s="9">
        <f>IFERROR(VLOOKUP(B291,cubo!$A$6:$BE$37,16,0)-VLOOKUP(B291,#REF!,$J$2,0),0)</f>
        <v>0</v>
      </c>
      <c r="K291" s="9">
        <f>IFERROR(VLOOKUP(B291,cubo!$A$6:$BE$37,17,0)-VLOOKUP(B291,#REF!,$K$2,0),0)</f>
        <v>0</v>
      </c>
      <c r="L291" s="9">
        <f>IFERROR(VLOOKUP(B291,cubo!$A$6:$BE$37,19,0)-VLOOKUP(B291,#REF!,$L$2,0),0)</f>
        <v>0</v>
      </c>
      <c r="M291" s="9">
        <f>IFERROR(VLOOKUP(B291,cubo!$A$6:$BE$37,23,0)-VLOOKUP(B291,#REF!,$M$2,0),0)</f>
        <v>0</v>
      </c>
      <c r="N291" s="9">
        <f>IFERROR(VLOOKUP(B291,cubo!$A$6:$BE$37,25,0)-VLOOKUP(B291,#REF!,$N$2,0),0)</f>
        <v>0</v>
      </c>
      <c r="O291" s="9">
        <f>IFERROR(VLOOKUP(B291,cubo!$A$6:$BE$37,33,0)-VLOOKUP(B291,#REF!,$O$2,0),0)</f>
        <v>0</v>
      </c>
      <c r="P291" s="8">
        <f>IFERROR(VLOOKUP(B291,cubo!$A$6:$BE$37,37,0)-VLOOKUP(B291,#REF!,$P$2,0),0)</f>
        <v>0</v>
      </c>
      <c r="Q291" s="8">
        <f>IFERROR(VLOOKUP(B291,cubo!$A$6:$BE$37,56,0)-VLOOKUP(B291,#REF!,$Q$2,0),0)</f>
        <v>0</v>
      </c>
      <c r="R291" s="9">
        <f>IFERROR(VLOOKUP(B291,cubo!$A$6:$BE$37,40,0)-VLOOKUP(B291,#REF!,$R$2,0),0)</f>
        <v>0</v>
      </c>
      <c r="S291" s="9">
        <f>IFERROR(VLOOKUP(B291,cubo!$A$6:$BE$37,43,0)-VLOOKUP(B291,#REF!,$S$2,0),0)</f>
        <v>0</v>
      </c>
      <c r="T291" s="9">
        <f>IFERROR(VLOOKUP(B291,cubo!$A$6:$BE$37,46,0)-VLOOKUP(B291,#REF!,$T$2,0),0)</f>
        <v>0</v>
      </c>
      <c r="U291" s="9">
        <f>IFERROR(VLOOKUP(B291,cubo!$A$6:$BE$37,51,0)-VLOOKUP(B291,#REF!,$U$2,0),0)</f>
        <v>0</v>
      </c>
      <c r="V291" s="9">
        <f>IFERROR(VLOOKUP(B291,cubo!$A$6:$BJ$37,60,0)-VLOOKUP(B291,#REF!,$V$2,0),0)</f>
        <v>0</v>
      </c>
      <c r="W291" s="9">
        <f>IFERROR(VLOOKUP(B291,cubo!$A$6:$BE$37,26,0)-VLOOKUP(B291,#REF!,$W$2,0),0)</f>
        <v>0</v>
      </c>
      <c r="X291" s="9">
        <f>IFERROR(VLOOKUP(B291,cubo!$A$6:$BE$37,20,0)-VLOOKUP(B291,#REF!,$X$2,0),0)</f>
        <v>0</v>
      </c>
      <c r="Y291" s="9">
        <f>IFERROR(VLOOKUP(B291,cubo!$A$6:$BE$37,21,0)-VLOOKUP(B291,#REF!,$Y$2,0),0)</f>
        <v>0</v>
      </c>
      <c r="Z291" s="9">
        <f>IFERROR(VLOOKUP(B291,cubo!$A$6:$BE$37,27,0)-VLOOKUP(B291,#REF!,$Z$2,0),0)</f>
        <v>0</v>
      </c>
      <c r="AA291" s="9">
        <f>IFERROR(VLOOKUP(B291,cubo!$A$6:$BE$37,28,0)-VLOOKUP(B291,#REF!,$AA$2,0),0)</f>
        <v>0</v>
      </c>
      <c r="AB291" s="9">
        <f>IFERROR(VLOOKUP(B291,cubo!$A$6:$BE$37,29,0)-VLOOKUP(B291,#REF!,$AB$2,0),0)</f>
        <v>0</v>
      </c>
      <c r="AC291" s="9">
        <f>IFERROR(VLOOKUP(B291,cubo!$A$6:$BE$37,30,0)-VLOOKUP(B291,#REF!,$AC$2,0),0)</f>
        <v>0</v>
      </c>
      <c r="AD291" s="9">
        <f>IFERROR(VLOOKUP(B291,cubo!$A$6:$BE$37,31,0)-VLOOKUP(B291,#REF!,$AD$2,0),0)</f>
        <v>0</v>
      </c>
      <c r="AE291" s="9">
        <f>IFERROR(VLOOKUP(B291,cubo!$A$6:$BE$37,35,0)-VLOOKUP(B291,#REF!,$AE$2,0),0)</f>
        <v>0</v>
      </c>
      <c r="AF291" s="9" cm="1">
        <f t="array" aca="1" ref="AF291" ca="1">IFERROR(rrPROCV(B291,cubo!$A$6:$BE$37,48,0)-VLOOKUP(B291,#REF!,$AF$2,0),0)</f>
        <v>0</v>
      </c>
      <c r="AG291" s="9">
        <f>IFERROR(VLOOKUP(B291,cubo!$A$6:$BE$37,49,0)-VLOOKUP(B291,#REF!,$AG$2,0),0)</f>
        <v>0</v>
      </c>
      <c r="AH291" s="9">
        <f>IFERROR(VLOOKUP(B291,cubo!$A$6:$BE$37,50,0)-VLOOKUP(B291,#REF!,$AH$2,0),0)</f>
        <v>0</v>
      </c>
      <c r="AI291" s="9">
        <f>IFERROR(VLOOKUP(B291,cubo!$A$6:$BE$37,51,0)-VLOOKUP(B291,#REF!,$AI$2,0),0)</f>
        <v>0</v>
      </c>
      <c r="AJ291" s="9">
        <f>IFERROR(VLOOKUP(B291,cubo!$A$6:$BI$116,62,0)-VLOOKUP(B291,#REF!,$AJ$2,0),0)</f>
        <v>0</v>
      </c>
      <c r="AK291" s="9">
        <f>IFERROR(VLOOKUP(B291,cubo!$A$6:$BJ$37,63,0)-VLOOKUP(B291,#REF!,$AK$2,0),0)</f>
        <v>0</v>
      </c>
      <c r="AL291" s="9">
        <f>IFERROR(VLOOKUP(B291,cubo!$A$6:$BE$37,58,0)-VLOOKUP(B291,#REF!,$AL$2,0),0)</f>
        <v>0</v>
      </c>
      <c r="AM291" s="9">
        <f>IFERROR(VLOOKUP(B291,cubo!$A$6:$BK$37,64,0)-VLOOKUP(B291,#REF!,$AM$2,0),0)</f>
        <v>0</v>
      </c>
      <c r="AN291" s="9">
        <f>IFERROR(VLOOKUP(B291,cubo!$A$6:$AN$37,41,0)-VLOOKUP(B291,#REF!,$AN$2,0),0)</f>
        <v>0</v>
      </c>
    </row>
    <row r="292" spans="2:40" x14ac:dyDescent="0.25">
      <c r="B292" s="7">
        <f>[1]salario!A291</f>
        <v>0</v>
      </c>
      <c r="C292" s="8">
        <f>[1]salario!C291</f>
        <v>0</v>
      </c>
      <c r="D292" s="9">
        <f>IFERROR(VLOOKUP(B292,cubo!$A$6:$BE$37,3,0)-VLOOKUP(B292,#REF!,$D$2,0),0)</f>
        <v>0</v>
      </c>
      <c r="E292" s="10">
        <f>IFERROR(VLOOKUP(B292,cubo!$A$6:$BE$37,5,0)-VLOOKUP(B292,#REF!,$E$2,0),0)</f>
        <v>0</v>
      </c>
      <c r="F292" s="10">
        <f>IFERROR(VLOOKUP(B292,cubo!$A$6:$BE$37,8,0)-VLOOKUP(B292,#REF!,$F$2,0),0)</f>
        <v>0</v>
      </c>
      <c r="G292" s="9">
        <f>IFERROR(VLOOKUP(B292,cubo!$A$6:$BE$37,11,0)-VLOOKUP(B292,#REF!,$G$2,0),0)</f>
        <v>0</v>
      </c>
      <c r="H292" s="9">
        <f>IFERROR(VLOOKUP(B292,cubo!$A$6:$BE$37,53,0)-VLOOKUP(B292,#REF!,$H$2,0),0)</f>
        <v>0</v>
      </c>
      <c r="I292" s="10">
        <f>IFERROR(VLOOKUP(B292,cubo!$A$6:$BE$37,14,0)-VLOOKUP(B292,#REF!,$I$2,0),0)</f>
        <v>0</v>
      </c>
      <c r="J292" s="9">
        <f>IFERROR(VLOOKUP(B292,cubo!$A$6:$BE$37,16,0)-VLOOKUP(B292,#REF!,$J$2,0),0)</f>
        <v>0</v>
      </c>
      <c r="K292" s="9">
        <f>IFERROR(VLOOKUP(B292,cubo!$A$6:$BE$37,17,0)-VLOOKUP(B292,#REF!,$K$2,0),0)</f>
        <v>0</v>
      </c>
      <c r="L292" s="9">
        <f>IFERROR(VLOOKUP(B292,cubo!$A$6:$BE$37,19,0)-VLOOKUP(B292,#REF!,$L$2,0),0)</f>
        <v>0</v>
      </c>
      <c r="M292" s="9">
        <f>IFERROR(VLOOKUP(B292,cubo!$A$6:$BE$37,23,0)-VLOOKUP(B292,#REF!,$M$2,0),0)</f>
        <v>0</v>
      </c>
      <c r="N292" s="9">
        <f>IFERROR(VLOOKUP(B292,cubo!$A$6:$BE$37,25,0)-VLOOKUP(B292,#REF!,$N$2,0),0)</f>
        <v>0</v>
      </c>
      <c r="O292" s="9">
        <f>IFERROR(VLOOKUP(B292,cubo!$A$6:$BE$37,33,0)-VLOOKUP(B292,#REF!,$O$2,0),0)</f>
        <v>0</v>
      </c>
      <c r="P292" s="8">
        <f>IFERROR(VLOOKUP(B292,cubo!$A$6:$BE$37,37,0)-VLOOKUP(B292,#REF!,$P$2,0),0)</f>
        <v>0</v>
      </c>
      <c r="Q292" s="8">
        <f>IFERROR(VLOOKUP(B292,cubo!$A$6:$BE$37,56,0)-VLOOKUP(B292,#REF!,$Q$2,0),0)</f>
        <v>0</v>
      </c>
      <c r="R292" s="9">
        <f>IFERROR(VLOOKUP(B292,cubo!$A$6:$BE$37,40,0)-VLOOKUP(B292,#REF!,$R$2,0),0)</f>
        <v>0</v>
      </c>
      <c r="S292" s="9">
        <f>IFERROR(VLOOKUP(B292,cubo!$A$6:$BE$37,43,0)-VLOOKUP(B292,#REF!,$S$2,0),0)</f>
        <v>0</v>
      </c>
      <c r="T292" s="9">
        <f>IFERROR(VLOOKUP(B292,cubo!$A$6:$BE$37,46,0)-VLOOKUP(B292,#REF!,$T$2,0),0)</f>
        <v>0</v>
      </c>
      <c r="U292" s="9">
        <f>IFERROR(VLOOKUP(B292,cubo!$A$6:$BE$37,51,0)-VLOOKUP(B292,#REF!,$U$2,0),0)</f>
        <v>0</v>
      </c>
      <c r="V292" s="9">
        <f>IFERROR(VLOOKUP(B292,cubo!$A$6:$BJ$37,60,0)-VLOOKUP(B292,#REF!,$V$2,0),0)</f>
        <v>0</v>
      </c>
      <c r="W292" s="9">
        <f>IFERROR(VLOOKUP(B292,cubo!$A$6:$BE$37,26,0)-VLOOKUP(B292,#REF!,$W$2,0),0)</f>
        <v>0</v>
      </c>
      <c r="X292" s="9">
        <f>IFERROR(VLOOKUP(B292,cubo!$A$6:$BE$37,20,0)-VLOOKUP(B292,#REF!,$X$2,0),0)</f>
        <v>0</v>
      </c>
      <c r="Y292" s="9">
        <f>IFERROR(VLOOKUP(B292,cubo!$A$6:$BE$37,21,0)-VLOOKUP(B292,#REF!,$Y$2,0),0)</f>
        <v>0</v>
      </c>
      <c r="Z292" s="9">
        <f>IFERROR(VLOOKUP(B292,cubo!$A$6:$BE$37,27,0)-VLOOKUP(B292,#REF!,$Z$2,0),0)</f>
        <v>0</v>
      </c>
      <c r="AA292" s="9">
        <f>IFERROR(VLOOKUP(B292,cubo!$A$6:$BE$37,28,0)-VLOOKUP(B292,#REF!,$AA$2,0),0)</f>
        <v>0</v>
      </c>
      <c r="AB292" s="9">
        <f>IFERROR(VLOOKUP(B292,cubo!$A$6:$BE$37,29,0)-VLOOKUP(B292,#REF!,$AB$2,0),0)</f>
        <v>0</v>
      </c>
      <c r="AC292" s="9">
        <f>IFERROR(VLOOKUP(B292,cubo!$A$6:$BE$37,30,0)-VLOOKUP(B292,#REF!,$AC$2,0),0)</f>
        <v>0</v>
      </c>
      <c r="AD292" s="9">
        <f>IFERROR(VLOOKUP(B292,cubo!$A$6:$BE$37,31,0)-VLOOKUP(B292,#REF!,$AD$2,0),0)</f>
        <v>0</v>
      </c>
      <c r="AE292" s="9">
        <f>IFERROR(VLOOKUP(B292,cubo!$A$6:$BE$37,35,0)-VLOOKUP(B292,#REF!,$AE$2,0),0)</f>
        <v>0</v>
      </c>
      <c r="AF292" s="9" cm="1">
        <f t="array" aca="1" ref="AF292" ca="1">IFERROR(rrPROCV(B292,cubo!$A$6:$BE$37,48,0)-VLOOKUP(B292,#REF!,$AF$2,0),0)</f>
        <v>0</v>
      </c>
      <c r="AG292" s="9">
        <f>IFERROR(VLOOKUP(B292,cubo!$A$6:$BE$37,49,0)-VLOOKUP(B292,#REF!,$AG$2,0),0)</f>
        <v>0</v>
      </c>
      <c r="AH292" s="9">
        <f>IFERROR(VLOOKUP(B292,cubo!$A$6:$BE$37,50,0)-VLOOKUP(B292,#REF!,$AH$2,0),0)</f>
        <v>0</v>
      </c>
      <c r="AI292" s="9">
        <f>IFERROR(VLOOKUP(B292,cubo!$A$6:$BE$37,51,0)-VLOOKUP(B292,#REF!,$AI$2,0),0)</f>
        <v>0</v>
      </c>
      <c r="AJ292" s="9">
        <f>IFERROR(VLOOKUP(B292,cubo!$A$6:$BI$116,62,0)-VLOOKUP(B292,#REF!,$AJ$2,0),0)</f>
        <v>0</v>
      </c>
      <c r="AK292" s="9">
        <f>IFERROR(VLOOKUP(B292,cubo!$A$6:$BJ$37,63,0)-VLOOKUP(B292,#REF!,$AK$2,0),0)</f>
        <v>0</v>
      </c>
      <c r="AL292" s="9">
        <f>IFERROR(VLOOKUP(B292,cubo!$A$6:$BE$37,58,0)-VLOOKUP(B292,#REF!,$AL$2,0),0)</f>
        <v>0</v>
      </c>
      <c r="AM292" s="9">
        <f>IFERROR(VLOOKUP(B292,cubo!$A$6:$BK$37,64,0)-VLOOKUP(B292,#REF!,$AM$2,0),0)</f>
        <v>0</v>
      </c>
      <c r="AN292" s="9">
        <f>IFERROR(VLOOKUP(B292,cubo!$A$6:$AN$37,41,0)-VLOOKUP(B292,#REF!,$AN$2,0),0)</f>
        <v>0</v>
      </c>
    </row>
    <row r="293" spans="2:40" x14ac:dyDescent="0.25">
      <c r="B293" s="7">
        <f>[1]salario!A292</f>
        <v>0</v>
      </c>
      <c r="C293" s="8">
        <f>[1]salario!C292</f>
        <v>0</v>
      </c>
      <c r="D293" s="9">
        <f>IFERROR(VLOOKUP(B293,cubo!$A$6:$BE$37,3,0)-VLOOKUP(B293,#REF!,$D$2,0),0)</f>
        <v>0</v>
      </c>
      <c r="E293" s="10">
        <f>IFERROR(VLOOKUP(B293,cubo!$A$6:$BE$37,5,0)-VLOOKUP(B293,#REF!,$E$2,0),0)</f>
        <v>0</v>
      </c>
      <c r="F293" s="10">
        <f>IFERROR(VLOOKUP(B293,cubo!$A$6:$BE$37,8,0)-VLOOKUP(B293,#REF!,$F$2,0),0)</f>
        <v>0</v>
      </c>
      <c r="G293" s="9">
        <f>IFERROR(VLOOKUP(B293,cubo!$A$6:$BE$37,11,0)-VLOOKUP(B293,#REF!,$G$2,0),0)</f>
        <v>0</v>
      </c>
      <c r="H293" s="9">
        <f>IFERROR(VLOOKUP(B293,cubo!$A$6:$BE$37,53,0)-VLOOKUP(B293,#REF!,$H$2,0),0)</f>
        <v>0</v>
      </c>
      <c r="I293" s="10">
        <f>IFERROR(VLOOKUP(B293,cubo!$A$6:$BE$37,14,0)-VLOOKUP(B293,#REF!,$I$2,0),0)</f>
        <v>0</v>
      </c>
      <c r="J293" s="9">
        <f>IFERROR(VLOOKUP(B293,cubo!$A$6:$BE$37,16,0)-VLOOKUP(B293,#REF!,$J$2,0),0)</f>
        <v>0</v>
      </c>
      <c r="K293" s="9">
        <f>IFERROR(VLOOKUP(B293,cubo!$A$6:$BE$37,17,0)-VLOOKUP(B293,#REF!,$K$2,0),0)</f>
        <v>0</v>
      </c>
      <c r="L293" s="9">
        <f>IFERROR(VLOOKUP(B293,cubo!$A$6:$BE$37,19,0)-VLOOKUP(B293,#REF!,$L$2,0),0)</f>
        <v>0</v>
      </c>
      <c r="M293" s="9">
        <f>IFERROR(VLOOKUP(B293,cubo!$A$6:$BE$37,23,0)-VLOOKUP(B293,#REF!,$M$2,0),0)</f>
        <v>0</v>
      </c>
      <c r="N293" s="9">
        <f>IFERROR(VLOOKUP(B293,cubo!$A$6:$BE$37,25,0)-VLOOKUP(B293,#REF!,$N$2,0),0)</f>
        <v>0</v>
      </c>
      <c r="O293" s="9">
        <f>IFERROR(VLOOKUP(B293,cubo!$A$6:$BE$37,33,0)-VLOOKUP(B293,#REF!,$O$2,0),0)</f>
        <v>0</v>
      </c>
      <c r="P293" s="8">
        <f>IFERROR(VLOOKUP(B293,cubo!$A$6:$BE$37,37,0)-VLOOKUP(B293,#REF!,$P$2,0),0)</f>
        <v>0</v>
      </c>
      <c r="Q293" s="8">
        <f>IFERROR(VLOOKUP(B293,cubo!$A$6:$BE$37,56,0)-VLOOKUP(B293,#REF!,$Q$2,0),0)</f>
        <v>0</v>
      </c>
      <c r="R293" s="9">
        <f>IFERROR(VLOOKUP(B293,cubo!$A$6:$BE$37,40,0)-VLOOKUP(B293,#REF!,$R$2,0),0)</f>
        <v>0</v>
      </c>
      <c r="S293" s="9">
        <f>IFERROR(VLOOKUP(B293,cubo!$A$6:$BE$37,43,0)-VLOOKUP(B293,#REF!,$S$2,0),0)</f>
        <v>0</v>
      </c>
      <c r="T293" s="9">
        <f>IFERROR(VLOOKUP(B293,cubo!$A$6:$BE$37,46,0)-VLOOKUP(B293,#REF!,$T$2,0),0)</f>
        <v>0</v>
      </c>
      <c r="U293" s="9">
        <f>IFERROR(VLOOKUP(B293,cubo!$A$6:$BE$37,51,0)-VLOOKUP(B293,#REF!,$U$2,0),0)</f>
        <v>0</v>
      </c>
      <c r="V293" s="9">
        <f>IFERROR(VLOOKUP(B293,cubo!$A$6:$BJ$37,60,0)-VLOOKUP(B293,#REF!,$V$2,0),0)</f>
        <v>0</v>
      </c>
      <c r="W293" s="9">
        <f>IFERROR(VLOOKUP(B293,cubo!$A$6:$BE$37,26,0)-VLOOKUP(B293,#REF!,$W$2,0),0)</f>
        <v>0</v>
      </c>
      <c r="X293" s="9">
        <f>IFERROR(VLOOKUP(B293,cubo!$A$6:$BE$37,20,0)-VLOOKUP(B293,#REF!,$X$2,0),0)</f>
        <v>0</v>
      </c>
      <c r="Y293" s="9">
        <f>IFERROR(VLOOKUP(B293,cubo!$A$6:$BE$37,21,0)-VLOOKUP(B293,#REF!,$Y$2,0),0)</f>
        <v>0</v>
      </c>
      <c r="Z293" s="9">
        <f>IFERROR(VLOOKUP(B293,cubo!$A$6:$BE$37,27,0)-VLOOKUP(B293,#REF!,$Z$2,0),0)</f>
        <v>0</v>
      </c>
      <c r="AA293" s="9">
        <f>IFERROR(VLOOKUP(B293,cubo!$A$6:$BE$37,28,0)-VLOOKUP(B293,#REF!,$AA$2,0),0)</f>
        <v>0</v>
      </c>
      <c r="AB293" s="9">
        <f>IFERROR(VLOOKUP(B293,cubo!$A$6:$BE$37,29,0)-VLOOKUP(B293,#REF!,$AB$2,0),0)</f>
        <v>0</v>
      </c>
      <c r="AC293" s="9">
        <f>IFERROR(VLOOKUP(B293,cubo!$A$6:$BE$37,30,0)-VLOOKUP(B293,#REF!,$AC$2,0),0)</f>
        <v>0</v>
      </c>
      <c r="AD293" s="9">
        <f>IFERROR(VLOOKUP(B293,cubo!$A$6:$BE$37,31,0)-VLOOKUP(B293,#REF!,$AD$2,0),0)</f>
        <v>0</v>
      </c>
      <c r="AE293" s="9">
        <f>IFERROR(VLOOKUP(B293,cubo!$A$6:$BE$37,35,0)-VLOOKUP(B293,#REF!,$AE$2,0),0)</f>
        <v>0</v>
      </c>
      <c r="AF293" s="9" cm="1">
        <f t="array" aca="1" ref="AF293" ca="1">IFERROR(rrPROCV(B293,cubo!$A$6:$BE$37,48,0)-VLOOKUP(B293,#REF!,$AF$2,0),0)</f>
        <v>0</v>
      </c>
      <c r="AG293" s="9">
        <f>IFERROR(VLOOKUP(B293,cubo!$A$6:$BE$37,49,0)-VLOOKUP(B293,#REF!,$AG$2,0),0)</f>
        <v>0</v>
      </c>
      <c r="AH293" s="9">
        <f>IFERROR(VLOOKUP(B293,cubo!$A$6:$BE$37,50,0)-VLOOKUP(B293,#REF!,$AH$2,0),0)</f>
        <v>0</v>
      </c>
      <c r="AI293" s="9">
        <f>IFERROR(VLOOKUP(B293,cubo!$A$6:$BE$37,51,0)-VLOOKUP(B293,#REF!,$AI$2,0),0)</f>
        <v>0</v>
      </c>
      <c r="AJ293" s="9">
        <f>IFERROR(VLOOKUP(B293,cubo!$A$6:$BI$116,62,0)-VLOOKUP(B293,#REF!,$AJ$2,0),0)</f>
        <v>0</v>
      </c>
      <c r="AK293" s="9">
        <f>IFERROR(VLOOKUP(B293,cubo!$A$6:$BJ$37,63,0)-VLOOKUP(B293,#REF!,$AK$2,0),0)</f>
        <v>0</v>
      </c>
      <c r="AL293" s="9">
        <f>IFERROR(VLOOKUP(B293,cubo!$A$6:$BE$37,58,0)-VLOOKUP(B293,#REF!,$AL$2,0),0)</f>
        <v>0</v>
      </c>
      <c r="AM293" s="9">
        <f>IFERROR(VLOOKUP(B293,cubo!$A$6:$BK$37,64,0)-VLOOKUP(B293,#REF!,$AM$2,0),0)</f>
        <v>0</v>
      </c>
      <c r="AN293" s="9">
        <f>IFERROR(VLOOKUP(B293,cubo!$A$6:$AN$37,41,0)-VLOOKUP(B293,#REF!,$AN$2,0),0)</f>
        <v>0</v>
      </c>
    </row>
    <row r="294" spans="2:40" x14ac:dyDescent="0.25">
      <c r="B294" s="7">
        <f>[1]salario!A293</f>
        <v>0</v>
      </c>
      <c r="C294" s="8">
        <f>[1]salario!C293</f>
        <v>0</v>
      </c>
      <c r="D294" s="9">
        <f>IFERROR(VLOOKUP(B294,cubo!$A$6:$BE$37,3,0)-VLOOKUP(B294,#REF!,$D$2,0),0)</f>
        <v>0</v>
      </c>
      <c r="E294" s="10">
        <f>IFERROR(VLOOKUP(B294,cubo!$A$6:$BE$37,5,0)-VLOOKUP(B294,#REF!,$E$2,0),0)</f>
        <v>0</v>
      </c>
      <c r="F294" s="10">
        <f>IFERROR(VLOOKUP(B294,cubo!$A$6:$BE$37,8,0)-VLOOKUP(B294,#REF!,$F$2,0),0)</f>
        <v>0</v>
      </c>
      <c r="G294" s="9">
        <f>IFERROR(VLOOKUP(B294,cubo!$A$6:$BE$37,11,0)-VLOOKUP(B294,#REF!,$G$2,0),0)</f>
        <v>0</v>
      </c>
      <c r="H294" s="9">
        <f>IFERROR(VLOOKUP(B294,cubo!$A$6:$BE$37,53,0)-VLOOKUP(B294,#REF!,$H$2,0),0)</f>
        <v>0</v>
      </c>
      <c r="I294" s="10">
        <f>IFERROR(VLOOKUP(B294,cubo!$A$6:$BE$37,14,0)-VLOOKUP(B294,#REF!,$I$2,0),0)</f>
        <v>0</v>
      </c>
      <c r="J294" s="9">
        <f>IFERROR(VLOOKUP(B294,cubo!$A$6:$BE$37,16,0)-VLOOKUP(B294,#REF!,$J$2,0),0)</f>
        <v>0</v>
      </c>
      <c r="K294" s="9">
        <f>IFERROR(VLOOKUP(B294,cubo!$A$6:$BE$37,17,0)-VLOOKUP(B294,#REF!,$K$2,0),0)</f>
        <v>0</v>
      </c>
      <c r="L294" s="9">
        <f>IFERROR(VLOOKUP(B294,cubo!$A$6:$BE$37,19,0)-VLOOKUP(B294,#REF!,$L$2,0),0)</f>
        <v>0</v>
      </c>
      <c r="M294" s="9">
        <f>IFERROR(VLOOKUP(B294,cubo!$A$6:$BE$37,23,0)-VLOOKUP(B294,#REF!,$M$2,0),0)</f>
        <v>0</v>
      </c>
      <c r="N294" s="9">
        <f>IFERROR(VLOOKUP(B294,cubo!$A$6:$BE$37,25,0)-VLOOKUP(B294,#REF!,$N$2,0),0)</f>
        <v>0</v>
      </c>
      <c r="O294" s="9">
        <f>IFERROR(VLOOKUP(B294,cubo!$A$6:$BE$37,33,0)-VLOOKUP(B294,#REF!,$O$2,0),0)</f>
        <v>0</v>
      </c>
      <c r="P294" s="8">
        <f>IFERROR(VLOOKUP(B294,cubo!$A$6:$BE$37,37,0)-VLOOKUP(B294,#REF!,$P$2,0),0)</f>
        <v>0</v>
      </c>
      <c r="Q294" s="8">
        <f>IFERROR(VLOOKUP(B294,cubo!$A$6:$BE$37,56,0)-VLOOKUP(B294,#REF!,$Q$2,0),0)</f>
        <v>0</v>
      </c>
      <c r="R294" s="9">
        <f>IFERROR(VLOOKUP(B294,cubo!$A$6:$BE$37,40,0)-VLOOKUP(B294,#REF!,$R$2,0),0)</f>
        <v>0</v>
      </c>
      <c r="S294" s="9">
        <f>IFERROR(VLOOKUP(B294,cubo!$A$6:$BE$37,43,0)-VLOOKUP(B294,#REF!,$S$2,0),0)</f>
        <v>0</v>
      </c>
      <c r="T294" s="9">
        <f>IFERROR(VLOOKUP(B294,cubo!$A$6:$BE$37,46,0)-VLOOKUP(B294,#REF!,$T$2,0),0)</f>
        <v>0</v>
      </c>
      <c r="U294" s="9">
        <f>IFERROR(VLOOKUP(B294,cubo!$A$6:$BE$37,51,0)-VLOOKUP(B294,#REF!,$U$2,0),0)</f>
        <v>0</v>
      </c>
      <c r="V294" s="9">
        <f>IFERROR(VLOOKUP(B294,cubo!$A$6:$BJ$37,60,0)-VLOOKUP(B294,#REF!,$V$2,0),0)</f>
        <v>0</v>
      </c>
      <c r="W294" s="9">
        <f>IFERROR(VLOOKUP(B294,cubo!$A$6:$BE$37,26,0)-VLOOKUP(B294,#REF!,$W$2,0),0)</f>
        <v>0</v>
      </c>
      <c r="X294" s="9">
        <f>IFERROR(VLOOKUP(B294,cubo!$A$6:$BE$37,20,0)-VLOOKUP(B294,#REF!,$X$2,0),0)</f>
        <v>0</v>
      </c>
      <c r="Y294" s="9">
        <f>IFERROR(VLOOKUP(B294,cubo!$A$6:$BE$37,21,0)-VLOOKUP(B294,#REF!,$Y$2,0),0)</f>
        <v>0</v>
      </c>
      <c r="Z294" s="9">
        <f>IFERROR(VLOOKUP(B294,cubo!$A$6:$BE$37,27,0)-VLOOKUP(B294,#REF!,$Z$2,0),0)</f>
        <v>0</v>
      </c>
      <c r="AA294" s="9">
        <f>IFERROR(VLOOKUP(B294,cubo!$A$6:$BE$37,28,0)-VLOOKUP(B294,#REF!,$AA$2,0),0)</f>
        <v>0</v>
      </c>
      <c r="AB294" s="9">
        <f>IFERROR(VLOOKUP(B294,cubo!$A$6:$BE$37,29,0)-VLOOKUP(B294,#REF!,$AB$2,0),0)</f>
        <v>0</v>
      </c>
      <c r="AC294" s="9">
        <f>IFERROR(VLOOKUP(B294,cubo!$A$6:$BE$37,30,0)-VLOOKUP(B294,#REF!,$AC$2,0),0)</f>
        <v>0</v>
      </c>
      <c r="AD294" s="9">
        <f>IFERROR(VLOOKUP(B294,cubo!$A$6:$BE$37,31,0)-VLOOKUP(B294,#REF!,$AD$2,0),0)</f>
        <v>0</v>
      </c>
      <c r="AE294" s="9">
        <f>IFERROR(VLOOKUP(B294,cubo!$A$6:$BE$37,35,0)-VLOOKUP(B294,#REF!,$AE$2,0),0)</f>
        <v>0</v>
      </c>
      <c r="AF294" s="9" cm="1">
        <f t="array" aca="1" ref="AF294" ca="1">IFERROR(rrPROCV(B294,cubo!$A$6:$BE$37,48,0)-VLOOKUP(B294,#REF!,$AF$2,0),0)</f>
        <v>0</v>
      </c>
      <c r="AG294" s="9">
        <f>IFERROR(VLOOKUP(B294,cubo!$A$6:$BE$37,49,0)-VLOOKUP(B294,#REF!,$AG$2,0),0)</f>
        <v>0</v>
      </c>
      <c r="AH294" s="9">
        <f>IFERROR(VLOOKUP(B294,cubo!$A$6:$BE$37,50,0)-VLOOKUP(B294,#REF!,$AH$2,0),0)</f>
        <v>0</v>
      </c>
      <c r="AI294" s="9">
        <f>IFERROR(VLOOKUP(B294,cubo!$A$6:$BE$37,51,0)-VLOOKUP(B294,#REF!,$AI$2,0),0)</f>
        <v>0</v>
      </c>
      <c r="AJ294" s="9">
        <f>IFERROR(VLOOKUP(B294,cubo!$A$6:$BI$116,62,0)-VLOOKUP(B294,#REF!,$AJ$2,0),0)</f>
        <v>0</v>
      </c>
      <c r="AK294" s="9">
        <f>IFERROR(VLOOKUP(B294,cubo!$A$6:$BJ$37,63,0)-VLOOKUP(B294,#REF!,$AK$2,0),0)</f>
        <v>0</v>
      </c>
      <c r="AL294" s="9">
        <f>IFERROR(VLOOKUP(B294,cubo!$A$6:$BE$37,58,0)-VLOOKUP(B294,#REF!,$AL$2,0),0)</f>
        <v>0</v>
      </c>
      <c r="AM294" s="9">
        <f>IFERROR(VLOOKUP(B294,cubo!$A$6:$BK$37,64,0)-VLOOKUP(B294,#REF!,$AM$2,0),0)</f>
        <v>0</v>
      </c>
      <c r="AN294" s="9">
        <f>IFERROR(VLOOKUP(B294,cubo!$A$6:$AN$37,41,0)-VLOOKUP(B294,#REF!,$AN$2,0),0)</f>
        <v>0</v>
      </c>
    </row>
    <row r="295" spans="2:40" x14ac:dyDescent="0.25">
      <c r="B295" s="7">
        <f>[1]salario!A294</f>
        <v>0</v>
      </c>
      <c r="C295" s="8">
        <f>[1]salario!C294</f>
        <v>0</v>
      </c>
      <c r="D295" s="9">
        <f>IFERROR(VLOOKUP(B295,cubo!$A$6:$BE$37,3,0)-VLOOKUP(B295,#REF!,$D$2,0),0)</f>
        <v>0</v>
      </c>
      <c r="E295" s="10">
        <f>IFERROR(VLOOKUP(B295,cubo!$A$6:$BE$37,5,0)-VLOOKUP(B295,#REF!,$E$2,0),0)</f>
        <v>0</v>
      </c>
      <c r="F295" s="10">
        <f>IFERROR(VLOOKUP(B295,cubo!$A$6:$BE$37,8,0)-VLOOKUP(B295,#REF!,$F$2,0),0)</f>
        <v>0</v>
      </c>
      <c r="G295" s="9">
        <f>IFERROR(VLOOKUP(B295,cubo!$A$6:$BE$37,11,0)-VLOOKUP(B295,#REF!,$G$2,0),0)</f>
        <v>0</v>
      </c>
      <c r="H295" s="9">
        <f>IFERROR(VLOOKUP(B295,cubo!$A$6:$BE$37,53,0)-VLOOKUP(B295,#REF!,$H$2,0),0)</f>
        <v>0</v>
      </c>
      <c r="I295" s="10">
        <f>IFERROR(VLOOKUP(B295,cubo!$A$6:$BE$37,14,0)-VLOOKUP(B295,#REF!,$I$2,0),0)</f>
        <v>0</v>
      </c>
      <c r="J295" s="9">
        <f>IFERROR(VLOOKUP(B295,cubo!$A$6:$BE$37,16,0)-VLOOKUP(B295,#REF!,$J$2,0),0)</f>
        <v>0</v>
      </c>
      <c r="K295" s="9">
        <f>IFERROR(VLOOKUP(B295,cubo!$A$6:$BE$37,17,0)-VLOOKUP(B295,#REF!,$K$2,0),0)</f>
        <v>0</v>
      </c>
      <c r="L295" s="9">
        <f>IFERROR(VLOOKUP(B295,cubo!$A$6:$BE$37,19,0)-VLOOKUP(B295,#REF!,$L$2,0),0)</f>
        <v>0</v>
      </c>
      <c r="M295" s="9">
        <f>IFERROR(VLOOKUP(B295,cubo!$A$6:$BE$37,23,0)-VLOOKUP(B295,#REF!,$M$2,0),0)</f>
        <v>0</v>
      </c>
      <c r="N295" s="9">
        <f>IFERROR(VLOOKUP(B295,cubo!$A$6:$BE$37,25,0)-VLOOKUP(B295,#REF!,$N$2,0),0)</f>
        <v>0</v>
      </c>
      <c r="O295" s="9">
        <f>IFERROR(VLOOKUP(B295,cubo!$A$6:$BE$37,33,0)-VLOOKUP(B295,#REF!,$O$2,0),0)</f>
        <v>0</v>
      </c>
      <c r="P295" s="8">
        <f>IFERROR(VLOOKUP(B295,cubo!$A$6:$BE$37,37,0)-VLOOKUP(B295,#REF!,$P$2,0),0)</f>
        <v>0</v>
      </c>
      <c r="Q295" s="8">
        <f>IFERROR(VLOOKUP(B295,cubo!$A$6:$BE$37,56,0)-VLOOKUP(B295,#REF!,$Q$2,0),0)</f>
        <v>0</v>
      </c>
      <c r="R295" s="9">
        <f>IFERROR(VLOOKUP(B295,cubo!$A$6:$BE$37,40,0)-VLOOKUP(B295,#REF!,$R$2,0),0)</f>
        <v>0</v>
      </c>
      <c r="S295" s="9">
        <f>IFERROR(VLOOKUP(B295,cubo!$A$6:$BE$37,43,0)-VLOOKUP(B295,#REF!,$S$2,0),0)</f>
        <v>0</v>
      </c>
      <c r="T295" s="9">
        <f>IFERROR(VLOOKUP(B295,cubo!$A$6:$BE$37,46,0)-VLOOKUP(B295,#REF!,$T$2,0),0)</f>
        <v>0</v>
      </c>
      <c r="U295" s="9">
        <f>IFERROR(VLOOKUP(B295,cubo!$A$6:$BE$37,51,0)-VLOOKUP(B295,#REF!,$U$2,0),0)</f>
        <v>0</v>
      </c>
      <c r="V295" s="9">
        <f>IFERROR(VLOOKUP(B295,cubo!$A$6:$BJ$37,60,0)-VLOOKUP(B295,#REF!,$V$2,0),0)</f>
        <v>0</v>
      </c>
      <c r="W295" s="9">
        <f>IFERROR(VLOOKUP(B295,cubo!$A$6:$BE$37,26,0)-VLOOKUP(B295,#REF!,$W$2,0),0)</f>
        <v>0</v>
      </c>
      <c r="X295" s="9">
        <f>IFERROR(VLOOKUP(B295,cubo!$A$6:$BE$37,20,0)-VLOOKUP(B295,#REF!,$X$2,0),0)</f>
        <v>0</v>
      </c>
      <c r="Y295" s="9">
        <f>IFERROR(VLOOKUP(B295,cubo!$A$6:$BE$37,21,0)-VLOOKUP(B295,#REF!,$Y$2,0),0)</f>
        <v>0</v>
      </c>
      <c r="Z295" s="9">
        <f>IFERROR(VLOOKUP(B295,cubo!$A$6:$BE$37,27,0)-VLOOKUP(B295,#REF!,$Z$2,0),0)</f>
        <v>0</v>
      </c>
      <c r="AA295" s="9">
        <f>IFERROR(VLOOKUP(B295,cubo!$A$6:$BE$37,28,0)-VLOOKUP(B295,#REF!,$AA$2,0),0)</f>
        <v>0</v>
      </c>
      <c r="AB295" s="9">
        <f>IFERROR(VLOOKUP(B295,cubo!$A$6:$BE$37,29,0)-VLOOKUP(B295,#REF!,$AB$2,0),0)</f>
        <v>0</v>
      </c>
      <c r="AC295" s="9">
        <f>IFERROR(VLOOKUP(B295,cubo!$A$6:$BE$37,30,0)-VLOOKUP(B295,#REF!,$AC$2,0),0)</f>
        <v>0</v>
      </c>
      <c r="AD295" s="9">
        <f>IFERROR(VLOOKUP(B295,cubo!$A$6:$BE$37,31,0)-VLOOKUP(B295,#REF!,$AD$2,0),0)</f>
        <v>0</v>
      </c>
      <c r="AE295" s="9">
        <f>IFERROR(VLOOKUP(B295,cubo!$A$6:$BE$37,35,0)-VLOOKUP(B295,#REF!,$AE$2,0),0)</f>
        <v>0</v>
      </c>
      <c r="AF295" s="9" cm="1">
        <f t="array" aca="1" ref="AF295" ca="1">IFERROR(rrPROCV(B295,cubo!$A$6:$BE$37,48,0)-VLOOKUP(B295,#REF!,$AF$2,0),0)</f>
        <v>0</v>
      </c>
      <c r="AG295" s="9">
        <f>IFERROR(VLOOKUP(B295,cubo!$A$6:$BE$37,49,0)-VLOOKUP(B295,#REF!,$AG$2,0),0)</f>
        <v>0</v>
      </c>
      <c r="AH295" s="9">
        <f>IFERROR(VLOOKUP(B295,cubo!$A$6:$BE$37,50,0)-VLOOKUP(B295,#REF!,$AH$2,0),0)</f>
        <v>0</v>
      </c>
      <c r="AI295" s="9">
        <f>IFERROR(VLOOKUP(B295,cubo!$A$6:$BE$37,51,0)-VLOOKUP(B295,#REF!,$AI$2,0),0)</f>
        <v>0</v>
      </c>
      <c r="AJ295" s="9">
        <f>IFERROR(VLOOKUP(B295,cubo!$A$6:$BI$116,62,0)-VLOOKUP(B295,#REF!,$AJ$2,0),0)</f>
        <v>0</v>
      </c>
      <c r="AK295" s="9">
        <f>IFERROR(VLOOKUP(B295,cubo!$A$6:$BJ$37,63,0)-VLOOKUP(B295,#REF!,$AK$2,0),0)</f>
        <v>0</v>
      </c>
      <c r="AL295" s="9">
        <f>IFERROR(VLOOKUP(B295,cubo!$A$6:$BE$37,58,0)-VLOOKUP(B295,#REF!,$AL$2,0),0)</f>
        <v>0</v>
      </c>
      <c r="AM295" s="9">
        <f>IFERROR(VLOOKUP(B295,cubo!$A$6:$BK$37,64,0)-VLOOKUP(B295,#REF!,$AM$2,0),0)</f>
        <v>0</v>
      </c>
      <c r="AN295" s="9">
        <f>IFERROR(VLOOKUP(B295,cubo!$A$6:$AN$37,41,0)-VLOOKUP(B295,#REF!,$AN$2,0),0)</f>
        <v>0</v>
      </c>
    </row>
    <row r="296" spans="2:40" x14ac:dyDescent="0.25">
      <c r="B296" s="7">
        <f>[1]salario!A295</f>
        <v>0</v>
      </c>
      <c r="C296" s="8">
        <f>[1]salario!C295</f>
        <v>0</v>
      </c>
      <c r="D296" s="9">
        <f>IFERROR(VLOOKUP(B296,cubo!$A$6:$BE$37,3,0)-VLOOKUP(B296,#REF!,$D$2,0),0)</f>
        <v>0</v>
      </c>
      <c r="E296" s="10">
        <f>IFERROR(VLOOKUP(B296,cubo!$A$6:$BE$37,5,0)-VLOOKUP(B296,#REF!,$E$2,0),0)</f>
        <v>0</v>
      </c>
      <c r="F296" s="10">
        <f>IFERROR(VLOOKUP(B296,cubo!$A$6:$BE$37,8,0)-VLOOKUP(B296,#REF!,$F$2,0),0)</f>
        <v>0</v>
      </c>
      <c r="G296" s="9">
        <f>IFERROR(VLOOKUP(B296,cubo!$A$6:$BE$37,11,0)-VLOOKUP(B296,#REF!,$G$2,0),0)</f>
        <v>0</v>
      </c>
      <c r="H296" s="9">
        <f>IFERROR(VLOOKUP(B296,cubo!$A$6:$BE$37,53,0)-VLOOKUP(B296,#REF!,$H$2,0),0)</f>
        <v>0</v>
      </c>
      <c r="I296" s="10">
        <f>IFERROR(VLOOKUP(B296,cubo!$A$6:$BE$37,14,0)-VLOOKUP(B296,#REF!,$I$2,0),0)</f>
        <v>0</v>
      </c>
      <c r="J296" s="9">
        <f>IFERROR(VLOOKUP(B296,cubo!$A$6:$BE$37,16,0)-VLOOKUP(B296,#REF!,$J$2,0),0)</f>
        <v>0</v>
      </c>
      <c r="K296" s="9">
        <f>IFERROR(VLOOKUP(B296,cubo!$A$6:$BE$37,17,0)-VLOOKUP(B296,#REF!,$K$2,0),0)</f>
        <v>0</v>
      </c>
      <c r="L296" s="9">
        <f>IFERROR(VLOOKUP(B296,cubo!$A$6:$BE$37,19,0)-VLOOKUP(B296,#REF!,$L$2,0),0)</f>
        <v>0</v>
      </c>
      <c r="M296" s="9">
        <f>IFERROR(VLOOKUP(B296,cubo!$A$6:$BE$37,23,0)-VLOOKUP(B296,#REF!,$M$2,0),0)</f>
        <v>0</v>
      </c>
      <c r="N296" s="9">
        <f>IFERROR(VLOOKUP(B296,cubo!$A$6:$BE$37,25,0)-VLOOKUP(B296,#REF!,$N$2,0),0)</f>
        <v>0</v>
      </c>
      <c r="O296" s="9">
        <f>IFERROR(VLOOKUP(B296,cubo!$A$6:$BE$37,33,0)-VLOOKUP(B296,#REF!,$O$2,0),0)</f>
        <v>0</v>
      </c>
      <c r="P296" s="8">
        <f>IFERROR(VLOOKUP(B296,cubo!$A$6:$BE$37,37,0)-VLOOKUP(B296,#REF!,$P$2,0),0)</f>
        <v>0</v>
      </c>
      <c r="Q296" s="8">
        <f>IFERROR(VLOOKUP(B296,cubo!$A$6:$BE$37,56,0)-VLOOKUP(B296,#REF!,$Q$2,0),0)</f>
        <v>0</v>
      </c>
      <c r="R296" s="9">
        <f>IFERROR(VLOOKUP(B296,cubo!$A$6:$BE$37,40,0)-VLOOKUP(B296,#REF!,$R$2,0),0)</f>
        <v>0</v>
      </c>
      <c r="S296" s="9">
        <f>IFERROR(VLOOKUP(B296,cubo!$A$6:$BE$37,43,0)-VLOOKUP(B296,#REF!,$S$2,0),0)</f>
        <v>0</v>
      </c>
      <c r="T296" s="9">
        <f>IFERROR(VLOOKUP(B296,cubo!$A$6:$BE$37,46,0)-VLOOKUP(B296,#REF!,$T$2,0),0)</f>
        <v>0</v>
      </c>
      <c r="U296" s="9">
        <f>IFERROR(VLOOKUP(B296,cubo!$A$6:$BE$37,51,0)-VLOOKUP(B296,#REF!,$U$2,0),0)</f>
        <v>0</v>
      </c>
      <c r="V296" s="9">
        <f>IFERROR(VLOOKUP(B296,cubo!$A$6:$BJ$37,60,0)-VLOOKUP(B296,#REF!,$V$2,0),0)</f>
        <v>0</v>
      </c>
      <c r="W296" s="9">
        <f>IFERROR(VLOOKUP(B296,cubo!$A$6:$BE$37,26,0)-VLOOKUP(B296,#REF!,$W$2,0),0)</f>
        <v>0</v>
      </c>
      <c r="X296" s="9">
        <f>IFERROR(VLOOKUP(B296,cubo!$A$6:$BE$37,20,0)-VLOOKUP(B296,#REF!,$X$2,0),0)</f>
        <v>0</v>
      </c>
      <c r="Y296" s="9">
        <f>IFERROR(VLOOKUP(B296,cubo!$A$6:$BE$37,21,0)-VLOOKUP(B296,#REF!,$Y$2,0),0)</f>
        <v>0</v>
      </c>
      <c r="Z296" s="9">
        <f>IFERROR(VLOOKUP(B296,cubo!$A$6:$BE$37,27,0)-VLOOKUP(B296,#REF!,$Z$2,0),0)</f>
        <v>0</v>
      </c>
      <c r="AA296" s="9">
        <f>IFERROR(VLOOKUP(B296,cubo!$A$6:$BE$37,28,0)-VLOOKUP(B296,#REF!,$AA$2,0),0)</f>
        <v>0</v>
      </c>
      <c r="AB296" s="9">
        <f>IFERROR(VLOOKUP(B296,cubo!$A$6:$BE$37,29,0)-VLOOKUP(B296,#REF!,$AB$2,0),0)</f>
        <v>0</v>
      </c>
      <c r="AC296" s="9">
        <f>IFERROR(VLOOKUP(B296,cubo!$A$6:$BE$37,30,0)-VLOOKUP(B296,#REF!,$AC$2,0),0)</f>
        <v>0</v>
      </c>
      <c r="AD296" s="9">
        <f>IFERROR(VLOOKUP(B296,cubo!$A$6:$BE$37,31,0)-VLOOKUP(B296,#REF!,$AD$2,0),0)</f>
        <v>0</v>
      </c>
      <c r="AE296" s="9">
        <f>IFERROR(VLOOKUP(B296,cubo!$A$6:$BE$37,35,0)-VLOOKUP(B296,#REF!,$AE$2,0),0)</f>
        <v>0</v>
      </c>
      <c r="AF296" s="9" cm="1">
        <f t="array" aca="1" ref="AF296" ca="1">IFERROR(rrPROCV(B296,cubo!$A$6:$BE$37,48,0)-VLOOKUP(B296,#REF!,$AF$2,0),0)</f>
        <v>0</v>
      </c>
      <c r="AG296" s="9">
        <f>IFERROR(VLOOKUP(B296,cubo!$A$6:$BE$37,49,0)-VLOOKUP(B296,#REF!,$AG$2,0),0)</f>
        <v>0</v>
      </c>
      <c r="AH296" s="9">
        <f>IFERROR(VLOOKUP(B296,cubo!$A$6:$BE$37,50,0)-VLOOKUP(B296,#REF!,$AH$2,0),0)</f>
        <v>0</v>
      </c>
      <c r="AI296" s="9">
        <f>IFERROR(VLOOKUP(B296,cubo!$A$6:$BE$37,51,0)-VLOOKUP(B296,#REF!,$AI$2,0),0)</f>
        <v>0</v>
      </c>
      <c r="AJ296" s="9">
        <f>IFERROR(VLOOKUP(B296,cubo!$A$6:$BI$116,62,0)-VLOOKUP(B296,#REF!,$AJ$2,0),0)</f>
        <v>0</v>
      </c>
      <c r="AK296" s="9">
        <f>IFERROR(VLOOKUP(B296,cubo!$A$6:$BJ$37,63,0)-VLOOKUP(B296,#REF!,$AK$2,0),0)</f>
        <v>0</v>
      </c>
      <c r="AL296" s="9">
        <f>IFERROR(VLOOKUP(B296,cubo!$A$6:$BE$37,58,0)-VLOOKUP(B296,#REF!,$AL$2,0),0)</f>
        <v>0</v>
      </c>
      <c r="AM296" s="9">
        <f>IFERROR(VLOOKUP(B296,cubo!$A$6:$BK$37,64,0)-VLOOKUP(B296,#REF!,$AM$2,0),0)</f>
        <v>0</v>
      </c>
      <c r="AN296" s="9">
        <f>IFERROR(VLOOKUP(B296,cubo!$A$6:$AN$37,41,0)-VLOOKUP(B296,#REF!,$AN$2,0),0)</f>
        <v>0</v>
      </c>
    </row>
    <row r="297" spans="2:40" x14ac:dyDescent="0.25">
      <c r="B297" s="7">
        <f>[1]salario!A296</f>
        <v>0</v>
      </c>
      <c r="C297" s="8">
        <f>[1]salario!C296</f>
        <v>0</v>
      </c>
      <c r="D297" s="9">
        <f>IFERROR(VLOOKUP(B297,cubo!$A$6:$BE$37,3,0)-VLOOKUP(B297,#REF!,$D$2,0),0)</f>
        <v>0</v>
      </c>
      <c r="E297" s="10">
        <f>IFERROR(VLOOKUP(B297,cubo!$A$6:$BE$37,5,0)-VLOOKUP(B297,#REF!,$E$2,0),0)</f>
        <v>0</v>
      </c>
      <c r="F297" s="10">
        <f>IFERROR(VLOOKUP(B297,cubo!$A$6:$BE$37,8,0)-VLOOKUP(B297,#REF!,$F$2,0),0)</f>
        <v>0</v>
      </c>
      <c r="G297" s="9">
        <f>IFERROR(VLOOKUP(B297,cubo!$A$6:$BE$37,11,0)-VLOOKUP(B297,#REF!,$G$2,0),0)</f>
        <v>0</v>
      </c>
      <c r="H297" s="9">
        <f>IFERROR(VLOOKUP(B297,cubo!$A$6:$BE$37,53,0)-VLOOKUP(B297,#REF!,$H$2,0),0)</f>
        <v>0</v>
      </c>
      <c r="I297" s="10">
        <f>IFERROR(VLOOKUP(B297,cubo!$A$6:$BE$37,14,0)-VLOOKUP(B297,#REF!,$I$2,0),0)</f>
        <v>0</v>
      </c>
      <c r="J297" s="9">
        <f>IFERROR(VLOOKUP(B297,cubo!$A$6:$BE$37,16,0)-VLOOKUP(B297,#REF!,$J$2,0),0)</f>
        <v>0</v>
      </c>
      <c r="K297" s="9">
        <f>IFERROR(VLOOKUP(B297,cubo!$A$6:$BE$37,17,0)-VLOOKUP(B297,#REF!,$K$2,0),0)</f>
        <v>0</v>
      </c>
      <c r="L297" s="9">
        <f>IFERROR(VLOOKUP(B297,cubo!$A$6:$BE$37,19,0)-VLOOKUP(B297,#REF!,$L$2,0),0)</f>
        <v>0</v>
      </c>
      <c r="M297" s="9">
        <f>IFERROR(VLOOKUP(B297,cubo!$A$6:$BE$37,23,0)-VLOOKUP(B297,#REF!,$M$2,0),0)</f>
        <v>0</v>
      </c>
      <c r="N297" s="9">
        <f>IFERROR(VLOOKUP(B297,cubo!$A$6:$BE$37,25,0)-VLOOKUP(B297,#REF!,$N$2,0),0)</f>
        <v>0</v>
      </c>
      <c r="O297" s="9">
        <f>IFERROR(VLOOKUP(B297,cubo!$A$6:$BE$37,33,0)-VLOOKUP(B297,#REF!,$O$2,0),0)</f>
        <v>0</v>
      </c>
      <c r="P297" s="8">
        <f>IFERROR(VLOOKUP(B297,cubo!$A$6:$BE$37,37,0)-VLOOKUP(B297,#REF!,$P$2,0),0)</f>
        <v>0</v>
      </c>
      <c r="Q297" s="8">
        <f>IFERROR(VLOOKUP(B297,cubo!$A$6:$BE$37,56,0)-VLOOKUP(B297,#REF!,$Q$2,0),0)</f>
        <v>0</v>
      </c>
      <c r="R297" s="9">
        <f>IFERROR(VLOOKUP(B297,cubo!$A$6:$BE$37,40,0)-VLOOKUP(B297,#REF!,$R$2,0),0)</f>
        <v>0</v>
      </c>
      <c r="S297" s="9">
        <f>IFERROR(VLOOKUP(B297,cubo!$A$6:$BE$37,43,0)-VLOOKUP(B297,#REF!,$S$2,0),0)</f>
        <v>0</v>
      </c>
      <c r="T297" s="9">
        <f>IFERROR(VLOOKUP(B297,cubo!$A$6:$BE$37,46,0)-VLOOKUP(B297,#REF!,$T$2,0),0)</f>
        <v>0</v>
      </c>
      <c r="U297" s="9">
        <f>IFERROR(VLOOKUP(B297,cubo!$A$6:$BE$37,51,0)-VLOOKUP(B297,#REF!,$U$2,0),0)</f>
        <v>0</v>
      </c>
      <c r="V297" s="9">
        <f>IFERROR(VLOOKUP(B297,cubo!$A$6:$BJ$37,60,0)-VLOOKUP(B297,#REF!,$V$2,0),0)</f>
        <v>0</v>
      </c>
      <c r="W297" s="9">
        <f>IFERROR(VLOOKUP(B297,cubo!$A$6:$BE$37,26,0)-VLOOKUP(B297,#REF!,$W$2,0),0)</f>
        <v>0</v>
      </c>
      <c r="X297" s="9">
        <f>IFERROR(VLOOKUP(B297,cubo!$A$6:$BE$37,20,0)-VLOOKUP(B297,#REF!,$X$2,0),0)</f>
        <v>0</v>
      </c>
      <c r="Y297" s="9">
        <f>IFERROR(VLOOKUP(B297,cubo!$A$6:$BE$37,21,0)-VLOOKUP(B297,#REF!,$Y$2,0),0)</f>
        <v>0</v>
      </c>
      <c r="Z297" s="9">
        <f>IFERROR(VLOOKUP(B297,cubo!$A$6:$BE$37,27,0)-VLOOKUP(B297,#REF!,$Z$2,0),0)</f>
        <v>0</v>
      </c>
      <c r="AA297" s="9">
        <f>IFERROR(VLOOKUP(B297,cubo!$A$6:$BE$37,28,0)-VLOOKUP(B297,#REF!,$AA$2,0),0)</f>
        <v>0</v>
      </c>
      <c r="AB297" s="9">
        <f>IFERROR(VLOOKUP(B297,cubo!$A$6:$BE$37,29,0)-VLOOKUP(B297,#REF!,$AB$2,0),0)</f>
        <v>0</v>
      </c>
      <c r="AC297" s="9">
        <f>IFERROR(VLOOKUP(B297,cubo!$A$6:$BE$37,30,0)-VLOOKUP(B297,#REF!,$AC$2,0),0)</f>
        <v>0</v>
      </c>
      <c r="AD297" s="9">
        <f>IFERROR(VLOOKUP(B297,cubo!$A$6:$BE$37,31,0)-VLOOKUP(B297,#REF!,$AD$2,0),0)</f>
        <v>0</v>
      </c>
      <c r="AE297" s="9">
        <f>IFERROR(VLOOKUP(B297,cubo!$A$6:$BE$37,35,0)-VLOOKUP(B297,#REF!,$AE$2,0),0)</f>
        <v>0</v>
      </c>
      <c r="AF297" s="9" cm="1">
        <f t="array" aca="1" ref="AF297" ca="1">IFERROR(rrPROCV(B297,cubo!$A$6:$BE$37,48,0)-VLOOKUP(B297,#REF!,$AF$2,0),0)</f>
        <v>0</v>
      </c>
      <c r="AG297" s="9">
        <f>IFERROR(VLOOKUP(B297,cubo!$A$6:$BE$37,49,0)-VLOOKUP(B297,#REF!,$AG$2,0),0)</f>
        <v>0</v>
      </c>
      <c r="AH297" s="9">
        <f>IFERROR(VLOOKUP(B297,cubo!$A$6:$BE$37,50,0)-VLOOKUP(B297,#REF!,$AH$2,0),0)</f>
        <v>0</v>
      </c>
      <c r="AI297" s="9">
        <f>IFERROR(VLOOKUP(B297,cubo!$A$6:$BE$37,51,0)-VLOOKUP(B297,#REF!,$AI$2,0),0)</f>
        <v>0</v>
      </c>
      <c r="AJ297" s="9">
        <f>IFERROR(VLOOKUP(B297,cubo!$A$6:$BI$116,62,0)-VLOOKUP(B297,#REF!,$AJ$2,0),0)</f>
        <v>0</v>
      </c>
      <c r="AK297" s="9">
        <f>IFERROR(VLOOKUP(B297,cubo!$A$6:$BJ$37,63,0)-VLOOKUP(B297,#REF!,$AK$2,0),0)</f>
        <v>0</v>
      </c>
      <c r="AL297" s="9">
        <f>IFERROR(VLOOKUP(B297,cubo!$A$6:$BE$37,58,0)-VLOOKUP(B297,#REF!,$AL$2,0),0)</f>
        <v>0</v>
      </c>
      <c r="AM297" s="9">
        <f>IFERROR(VLOOKUP(B297,cubo!$A$6:$BK$37,64,0)-VLOOKUP(B297,#REF!,$AM$2,0),0)</f>
        <v>0</v>
      </c>
      <c r="AN297" s="9">
        <f>IFERROR(VLOOKUP(B297,cubo!$A$6:$AN$37,41,0)-VLOOKUP(B297,#REF!,$AN$2,0),0)</f>
        <v>0</v>
      </c>
    </row>
    <row r="298" spans="2:40" x14ac:dyDescent="0.25">
      <c r="B298" s="7">
        <f>[1]salario!A297</f>
        <v>0</v>
      </c>
      <c r="C298" s="8">
        <f>[1]salario!C297</f>
        <v>0</v>
      </c>
      <c r="D298" s="9">
        <f>IFERROR(VLOOKUP(B298,cubo!$A$6:$BE$37,3,0)-VLOOKUP(B298,#REF!,$D$2,0),0)</f>
        <v>0</v>
      </c>
      <c r="E298" s="10">
        <f>IFERROR(VLOOKUP(B298,cubo!$A$6:$BE$37,5,0)-VLOOKUP(B298,#REF!,$E$2,0),0)</f>
        <v>0</v>
      </c>
      <c r="F298" s="10">
        <f>IFERROR(VLOOKUP(B298,cubo!$A$6:$BE$37,8,0)-VLOOKUP(B298,#REF!,$F$2,0),0)</f>
        <v>0</v>
      </c>
      <c r="G298" s="9">
        <f>IFERROR(VLOOKUP(B298,cubo!$A$6:$BE$37,11,0)-VLOOKUP(B298,#REF!,$G$2,0),0)</f>
        <v>0</v>
      </c>
      <c r="H298" s="9">
        <f>IFERROR(VLOOKUP(B298,cubo!$A$6:$BE$37,53,0)-VLOOKUP(B298,#REF!,$H$2,0),0)</f>
        <v>0</v>
      </c>
      <c r="I298" s="10">
        <f>IFERROR(VLOOKUP(B298,cubo!$A$6:$BE$37,14,0)-VLOOKUP(B298,#REF!,$I$2,0),0)</f>
        <v>0</v>
      </c>
      <c r="J298" s="9">
        <f>IFERROR(VLOOKUP(B298,cubo!$A$6:$BE$37,16,0)-VLOOKUP(B298,#REF!,$J$2,0),0)</f>
        <v>0</v>
      </c>
      <c r="K298" s="9">
        <f>IFERROR(VLOOKUP(B298,cubo!$A$6:$BE$37,17,0)-VLOOKUP(B298,#REF!,$K$2,0),0)</f>
        <v>0</v>
      </c>
      <c r="L298" s="9">
        <f>IFERROR(VLOOKUP(B298,cubo!$A$6:$BE$37,19,0)-VLOOKUP(B298,#REF!,$L$2,0),0)</f>
        <v>0</v>
      </c>
      <c r="M298" s="9">
        <f>IFERROR(VLOOKUP(B298,cubo!$A$6:$BE$37,23,0)-VLOOKUP(B298,#REF!,$M$2,0),0)</f>
        <v>0</v>
      </c>
      <c r="N298" s="9">
        <f>IFERROR(VLOOKUP(B298,cubo!$A$6:$BE$37,25,0)-VLOOKUP(B298,#REF!,$N$2,0),0)</f>
        <v>0</v>
      </c>
      <c r="O298" s="9">
        <f>IFERROR(VLOOKUP(B298,cubo!$A$6:$BE$37,33,0)-VLOOKUP(B298,#REF!,$O$2,0),0)</f>
        <v>0</v>
      </c>
      <c r="P298" s="8">
        <f>IFERROR(VLOOKUP(B298,cubo!$A$6:$BE$37,37,0)-VLOOKUP(B298,#REF!,$P$2,0),0)</f>
        <v>0</v>
      </c>
      <c r="Q298" s="8">
        <f>IFERROR(VLOOKUP(B298,cubo!$A$6:$BE$37,56,0)-VLOOKUP(B298,#REF!,$Q$2,0),0)</f>
        <v>0</v>
      </c>
      <c r="R298" s="9">
        <f>IFERROR(VLOOKUP(B298,cubo!$A$6:$BE$37,40,0)-VLOOKUP(B298,#REF!,$R$2,0),0)</f>
        <v>0</v>
      </c>
      <c r="S298" s="9">
        <f>IFERROR(VLOOKUP(B298,cubo!$A$6:$BE$37,43,0)-VLOOKUP(B298,#REF!,$S$2,0),0)</f>
        <v>0</v>
      </c>
      <c r="T298" s="9">
        <f>IFERROR(VLOOKUP(B298,cubo!$A$6:$BE$37,46,0)-VLOOKUP(B298,#REF!,$T$2,0),0)</f>
        <v>0</v>
      </c>
      <c r="U298" s="9">
        <f>IFERROR(VLOOKUP(B298,cubo!$A$6:$BE$37,51,0)-VLOOKUP(B298,#REF!,$U$2,0),0)</f>
        <v>0</v>
      </c>
      <c r="V298" s="9">
        <f>IFERROR(VLOOKUP(B298,cubo!$A$6:$BJ$37,60,0)-VLOOKUP(B298,#REF!,$V$2,0),0)</f>
        <v>0</v>
      </c>
      <c r="W298" s="9">
        <f>IFERROR(VLOOKUP(B298,cubo!$A$6:$BE$37,26,0)-VLOOKUP(B298,#REF!,$W$2,0),0)</f>
        <v>0</v>
      </c>
      <c r="X298" s="9">
        <f>IFERROR(VLOOKUP(B298,cubo!$A$6:$BE$37,20,0)-VLOOKUP(B298,#REF!,$X$2,0),0)</f>
        <v>0</v>
      </c>
      <c r="Y298" s="9">
        <f>IFERROR(VLOOKUP(B298,cubo!$A$6:$BE$37,21,0)-VLOOKUP(B298,#REF!,$Y$2,0),0)</f>
        <v>0</v>
      </c>
      <c r="Z298" s="9">
        <f>IFERROR(VLOOKUP(B298,cubo!$A$6:$BE$37,27,0)-VLOOKUP(B298,#REF!,$Z$2,0),0)</f>
        <v>0</v>
      </c>
      <c r="AA298" s="9">
        <f>IFERROR(VLOOKUP(B298,cubo!$A$6:$BE$37,28,0)-VLOOKUP(B298,#REF!,$AA$2,0),0)</f>
        <v>0</v>
      </c>
      <c r="AB298" s="9">
        <f>IFERROR(VLOOKUP(B298,cubo!$A$6:$BE$37,29,0)-VLOOKUP(B298,#REF!,$AB$2,0),0)</f>
        <v>0</v>
      </c>
      <c r="AC298" s="9">
        <f>IFERROR(VLOOKUP(B298,cubo!$A$6:$BE$37,30,0)-VLOOKUP(B298,#REF!,$AC$2,0),0)</f>
        <v>0</v>
      </c>
      <c r="AD298" s="9">
        <f>IFERROR(VLOOKUP(B298,cubo!$A$6:$BE$37,31,0)-VLOOKUP(B298,#REF!,$AD$2,0),0)</f>
        <v>0</v>
      </c>
      <c r="AE298" s="9">
        <f>IFERROR(VLOOKUP(B298,cubo!$A$6:$BE$37,35,0)-VLOOKUP(B298,#REF!,$AE$2,0),0)</f>
        <v>0</v>
      </c>
      <c r="AF298" s="9" cm="1">
        <f t="array" aca="1" ref="AF298" ca="1">IFERROR(rrPROCV(B298,cubo!$A$6:$BE$37,48,0)-VLOOKUP(B298,#REF!,$AF$2,0),0)</f>
        <v>0</v>
      </c>
      <c r="AG298" s="9">
        <f>IFERROR(VLOOKUP(B298,cubo!$A$6:$BE$37,49,0)-VLOOKUP(B298,#REF!,$AG$2,0),0)</f>
        <v>0</v>
      </c>
      <c r="AH298" s="9">
        <f>IFERROR(VLOOKUP(B298,cubo!$A$6:$BE$37,50,0)-VLOOKUP(B298,#REF!,$AH$2,0),0)</f>
        <v>0</v>
      </c>
      <c r="AI298" s="9">
        <f>IFERROR(VLOOKUP(B298,cubo!$A$6:$BE$37,51,0)-VLOOKUP(B298,#REF!,$AI$2,0),0)</f>
        <v>0</v>
      </c>
      <c r="AJ298" s="9">
        <f>IFERROR(VLOOKUP(B298,cubo!$A$6:$BI$116,62,0)-VLOOKUP(B298,#REF!,$AJ$2,0),0)</f>
        <v>0</v>
      </c>
      <c r="AK298" s="9">
        <f>IFERROR(VLOOKUP(B298,cubo!$A$6:$BJ$37,63,0)-VLOOKUP(B298,#REF!,$AK$2,0),0)</f>
        <v>0</v>
      </c>
      <c r="AL298" s="9">
        <f>IFERROR(VLOOKUP(B298,cubo!$A$6:$BE$37,58,0)-VLOOKUP(B298,#REF!,$AL$2,0),0)</f>
        <v>0</v>
      </c>
      <c r="AM298" s="9">
        <f>IFERROR(VLOOKUP(B298,cubo!$A$6:$BK$37,64,0)-VLOOKUP(B298,#REF!,$AM$2,0),0)</f>
        <v>0</v>
      </c>
      <c r="AN298" s="9">
        <f>IFERROR(VLOOKUP(B298,cubo!$A$6:$AN$37,41,0)-VLOOKUP(B298,#REF!,$AN$2,0),0)</f>
        <v>0</v>
      </c>
    </row>
    <row r="299" spans="2:40" x14ac:dyDescent="0.25">
      <c r="B299" s="7">
        <f>[1]salario!A298</f>
        <v>0</v>
      </c>
      <c r="C299" s="8">
        <f>[1]salario!C298</f>
        <v>0</v>
      </c>
      <c r="D299" s="9">
        <f>IFERROR(VLOOKUP(B299,cubo!$A$6:$BE$37,3,0)-VLOOKUP(B299,#REF!,$D$2,0),0)</f>
        <v>0</v>
      </c>
      <c r="E299" s="10">
        <f>IFERROR(VLOOKUP(B299,cubo!$A$6:$BE$37,5,0)-VLOOKUP(B299,#REF!,$E$2,0),0)</f>
        <v>0</v>
      </c>
      <c r="F299" s="10">
        <f>IFERROR(VLOOKUP(B299,cubo!$A$6:$BE$37,8,0)-VLOOKUP(B299,#REF!,$F$2,0),0)</f>
        <v>0</v>
      </c>
      <c r="G299" s="9">
        <f>IFERROR(VLOOKUP(B299,cubo!$A$6:$BE$37,11,0)-VLOOKUP(B299,#REF!,$G$2,0),0)</f>
        <v>0</v>
      </c>
      <c r="H299" s="9">
        <f>IFERROR(VLOOKUP(B299,cubo!$A$6:$BE$37,53,0)-VLOOKUP(B299,#REF!,$H$2,0),0)</f>
        <v>0</v>
      </c>
      <c r="I299" s="10">
        <f>IFERROR(VLOOKUP(B299,cubo!$A$6:$BE$37,14,0)-VLOOKUP(B299,#REF!,$I$2,0),0)</f>
        <v>0</v>
      </c>
      <c r="J299" s="9">
        <f>IFERROR(VLOOKUP(B299,cubo!$A$6:$BE$37,16,0)-VLOOKUP(B299,#REF!,$J$2,0),0)</f>
        <v>0</v>
      </c>
      <c r="K299" s="9">
        <f>IFERROR(VLOOKUP(B299,cubo!$A$6:$BE$37,17,0)-VLOOKUP(B299,#REF!,$K$2,0),0)</f>
        <v>0</v>
      </c>
      <c r="L299" s="9">
        <f>IFERROR(VLOOKUP(B299,cubo!$A$6:$BE$37,19,0)-VLOOKUP(B299,#REF!,$L$2,0),0)</f>
        <v>0</v>
      </c>
      <c r="M299" s="9">
        <f>IFERROR(VLOOKUP(B299,cubo!$A$6:$BE$37,23,0)-VLOOKUP(B299,#REF!,$M$2,0),0)</f>
        <v>0</v>
      </c>
      <c r="N299" s="9">
        <f>IFERROR(VLOOKUP(B299,cubo!$A$6:$BE$37,25,0)-VLOOKUP(B299,#REF!,$N$2,0),0)</f>
        <v>0</v>
      </c>
      <c r="O299" s="9">
        <f>IFERROR(VLOOKUP(B299,cubo!$A$6:$BE$37,33,0)-VLOOKUP(B299,#REF!,$O$2,0),0)</f>
        <v>0</v>
      </c>
      <c r="P299" s="8">
        <f>IFERROR(VLOOKUP(B299,cubo!$A$6:$BE$37,37,0)-VLOOKUP(B299,#REF!,$P$2,0),0)</f>
        <v>0</v>
      </c>
      <c r="Q299" s="8">
        <f>IFERROR(VLOOKUP(B299,cubo!$A$6:$BE$37,56,0)-VLOOKUP(B299,#REF!,$Q$2,0),0)</f>
        <v>0</v>
      </c>
      <c r="R299" s="9">
        <f>IFERROR(VLOOKUP(B299,cubo!$A$6:$BE$37,40,0)-VLOOKUP(B299,#REF!,$R$2,0),0)</f>
        <v>0</v>
      </c>
      <c r="S299" s="9">
        <f>IFERROR(VLOOKUP(B299,cubo!$A$6:$BE$37,43,0)-VLOOKUP(B299,#REF!,$S$2,0),0)</f>
        <v>0</v>
      </c>
      <c r="T299" s="9">
        <f>IFERROR(VLOOKUP(B299,cubo!$A$6:$BE$37,46,0)-VLOOKUP(B299,#REF!,$T$2,0),0)</f>
        <v>0</v>
      </c>
      <c r="U299" s="9">
        <f>IFERROR(VLOOKUP(B299,cubo!$A$6:$BE$37,51,0)-VLOOKUP(B299,#REF!,$U$2,0),0)</f>
        <v>0</v>
      </c>
      <c r="V299" s="9">
        <f>IFERROR(VLOOKUP(B299,cubo!$A$6:$BJ$37,60,0)-VLOOKUP(B299,#REF!,$V$2,0),0)</f>
        <v>0</v>
      </c>
      <c r="W299" s="9">
        <f>IFERROR(VLOOKUP(B299,cubo!$A$6:$BE$37,26,0)-VLOOKUP(B299,#REF!,$W$2,0),0)</f>
        <v>0</v>
      </c>
      <c r="X299" s="9">
        <f>IFERROR(VLOOKUP(B299,cubo!$A$6:$BE$37,20,0)-VLOOKUP(B299,#REF!,$X$2,0),0)</f>
        <v>0</v>
      </c>
      <c r="Y299" s="9">
        <f>IFERROR(VLOOKUP(B299,cubo!$A$6:$BE$37,21,0)-VLOOKUP(B299,#REF!,$Y$2,0),0)</f>
        <v>0</v>
      </c>
      <c r="Z299" s="9">
        <f>IFERROR(VLOOKUP(B299,cubo!$A$6:$BE$37,27,0)-VLOOKUP(B299,#REF!,$Z$2,0),0)</f>
        <v>0</v>
      </c>
      <c r="AA299" s="9">
        <f>IFERROR(VLOOKUP(B299,cubo!$A$6:$BE$37,28,0)-VLOOKUP(B299,#REF!,$AA$2,0),0)</f>
        <v>0</v>
      </c>
      <c r="AB299" s="9">
        <f>IFERROR(VLOOKUP(B299,cubo!$A$6:$BE$37,29,0)-VLOOKUP(B299,#REF!,$AB$2,0),0)</f>
        <v>0</v>
      </c>
      <c r="AC299" s="9">
        <f>IFERROR(VLOOKUP(B299,cubo!$A$6:$BE$37,30,0)-VLOOKUP(B299,#REF!,$AC$2,0),0)</f>
        <v>0</v>
      </c>
      <c r="AD299" s="9">
        <f>IFERROR(VLOOKUP(B299,cubo!$A$6:$BE$37,31,0)-VLOOKUP(B299,#REF!,$AD$2,0),0)</f>
        <v>0</v>
      </c>
      <c r="AE299" s="9">
        <f>IFERROR(VLOOKUP(B299,cubo!$A$6:$BE$37,35,0)-VLOOKUP(B299,#REF!,$AE$2,0),0)</f>
        <v>0</v>
      </c>
      <c r="AF299" s="9" cm="1">
        <f t="array" aca="1" ref="AF299" ca="1">IFERROR(rrPROCV(B299,cubo!$A$6:$BE$37,48,0)-VLOOKUP(B299,#REF!,$AF$2,0),0)</f>
        <v>0</v>
      </c>
      <c r="AG299" s="9">
        <f>IFERROR(VLOOKUP(B299,cubo!$A$6:$BE$37,49,0)-VLOOKUP(B299,#REF!,$AG$2,0),0)</f>
        <v>0</v>
      </c>
      <c r="AH299" s="9">
        <f>IFERROR(VLOOKUP(B299,cubo!$A$6:$BE$37,50,0)-VLOOKUP(B299,#REF!,$AH$2,0),0)</f>
        <v>0</v>
      </c>
      <c r="AI299" s="9">
        <f>IFERROR(VLOOKUP(B299,cubo!$A$6:$BE$37,51,0)-VLOOKUP(B299,#REF!,$AI$2,0),0)</f>
        <v>0</v>
      </c>
      <c r="AJ299" s="9">
        <f>IFERROR(VLOOKUP(B299,cubo!$A$6:$BI$116,62,0)-VLOOKUP(B299,#REF!,$AJ$2,0),0)</f>
        <v>0</v>
      </c>
      <c r="AK299" s="9">
        <f>IFERROR(VLOOKUP(B299,cubo!$A$6:$BJ$37,63,0)-VLOOKUP(B299,#REF!,$AK$2,0),0)</f>
        <v>0</v>
      </c>
      <c r="AL299" s="9">
        <f>IFERROR(VLOOKUP(B299,cubo!$A$6:$BE$37,58,0)-VLOOKUP(B299,#REF!,$AL$2,0),0)</f>
        <v>0</v>
      </c>
      <c r="AM299" s="9">
        <f>IFERROR(VLOOKUP(B299,cubo!$A$6:$BK$37,64,0)-VLOOKUP(B299,#REF!,$AM$2,0),0)</f>
        <v>0</v>
      </c>
      <c r="AN299" s="9">
        <f>IFERROR(VLOOKUP(B299,cubo!$A$6:$AN$37,41,0)-VLOOKUP(B299,#REF!,$AN$2,0),0)</f>
        <v>0</v>
      </c>
    </row>
    <row r="300" spans="2:40" x14ac:dyDescent="0.25">
      <c r="B300" s="7">
        <f>[1]salario!A299</f>
        <v>0</v>
      </c>
      <c r="C300" s="8">
        <f>[1]salario!C299</f>
        <v>0</v>
      </c>
      <c r="D300" s="9">
        <f>IFERROR(VLOOKUP(B300,cubo!$A$6:$BE$37,3,0)-VLOOKUP(B300,#REF!,$D$2,0),0)</f>
        <v>0</v>
      </c>
      <c r="E300" s="10">
        <f>IFERROR(VLOOKUP(B300,cubo!$A$6:$BE$37,5,0)-VLOOKUP(B300,#REF!,$E$2,0),0)</f>
        <v>0</v>
      </c>
      <c r="F300" s="10">
        <f>IFERROR(VLOOKUP(B300,cubo!$A$6:$BE$37,8,0)-VLOOKUP(B300,#REF!,$F$2,0),0)</f>
        <v>0</v>
      </c>
      <c r="G300" s="9">
        <f>IFERROR(VLOOKUP(B300,cubo!$A$6:$BE$37,11,0)-VLOOKUP(B300,#REF!,$G$2,0),0)</f>
        <v>0</v>
      </c>
      <c r="H300" s="9">
        <f>IFERROR(VLOOKUP(B300,cubo!$A$6:$BE$37,53,0)-VLOOKUP(B300,#REF!,$H$2,0),0)</f>
        <v>0</v>
      </c>
      <c r="I300" s="10">
        <f>IFERROR(VLOOKUP(B300,cubo!$A$6:$BE$37,14,0)-VLOOKUP(B300,#REF!,$I$2,0),0)</f>
        <v>0</v>
      </c>
      <c r="J300" s="9">
        <f>IFERROR(VLOOKUP(B300,cubo!$A$6:$BE$37,16,0)-VLOOKUP(B300,#REF!,$J$2,0),0)</f>
        <v>0</v>
      </c>
      <c r="K300" s="9">
        <f>IFERROR(VLOOKUP(B300,cubo!$A$6:$BE$37,17,0)-VLOOKUP(B300,#REF!,$K$2,0),0)</f>
        <v>0</v>
      </c>
      <c r="L300" s="9">
        <f>IFERROR(VLOOKUP(B300,cubo!$A$6:$BE$37,19,0)-VLOOKUP(B300,#REF!,$L$2,0),0)</f>
        <v>0</v>
      </c>
      <c r="M300" s="9">
        <f>IFERROR(VLOOKUP(B300,cubo!$A$6:$BE$37,23,0)-VLOOKUP(B300,#REF!,$M$2,0),0)</f>
        <v>0</v>
      </c>
      <c r="N300" s="9">
        <f>IFERROR(VLOOKUP(B300,cubo!$A$6:$BE$37,25,0)-VLOOKUP(B300,#REF!,$N$2,0),0)</f>
        <v>0</v>
      </c>
      <c r="O300" s="9">
        <f>IFERROR(VLOOKUP(B300,cubo!$A$6:$BE$37,33,0)-VLOOKUP(B300,#REF!,$O$2,0),0)</f>
        <v>0</v>
      </c>
      <c r="P300" s="8">
        <f>IFERROR(VLOOKUP(B300,cubo!$A$6:$BE$37,37,0)-VLOOKUP(B300,#REF!,$P$2,0),0)</f>
        <v>0</v>
      </c>
      <c r="Q300" s="8">
        <f>IFERROR(VLOOKUP(B300,cubo!$A$6:$BE$37,56,0)-VLOOKUP(B300,#REF!,$Q$2,0),0)</f>
        <v>0</v>
      </c>
      <c r="R300" s="9">
        <f>IFERROR(VLOOKUP(B300,cubo!$A$6:$BE$37,40,0)-VLOOKUP(B300,#REF!,$R$2,0),0)</f>
        <v>0</v>
      </c>
      <c r="S300" s="9">
        <f>IFERROR(VLOOKUP(B300,cubo!$A$6:$BE$37,43,0)-VLOOKUP(B300,#REF!,$S$2,0),0)</f>
        <v>0</v>
      </c>
      <c r="T300" s="9">
        <f>IFERROR(VLOOKUP(B300,cubo!$A$6:$BE$37,46,0)-VLOOKUP(B300,#REF!,$T$2,0),0)</f>
        <v>0</v>
      </c>
      <c r="U300" s="9">
        <f>IFERROR(VLOOKUP(B300,cubo!$A$6:$BE$37,51,0)-VLOOKUP(B300,#REF!,$U$2,0),0)</f>
        <v>0</v>
      </c>
      <c r="V300" s="9">
        <f>IFERROR(VLOOKUP(B300,cubo!$A$6:$BJ$37,60,0)-VLOOKUP(B300,#REF!,$V$2,0),0)</f>
        <v>0</v>
      </c>
      <c r="W300" s="9">
        <f>IFERROR(VLOOKUP(B300,cubo!$A$6:$BE$37,26,0)-VLOOKUP(B300,#REF!,$W$2,0),0)</f>
        <v>0</v>
      </c>
      <c r="X300" s="9">
        <f>IFERROR(VLOOKUP(B300,cubo!$A$6:$BE$37,20,0)-VLOOKUP(B300,#REF!,$X$2,0),0)</f>
        <v>0</v>
      </c>
      <c r="Y300" s="9">
        <f>IFERROR(VLOOKUP(B300,cubo!$A$6:$BE$37,21,0)-VLOOKUP(B300,#REF!,$Y$2,0),0)</f>
        <v>0</v>
      </c>
      <c r="Z300" s="9">
        <f>IFERROR(VLOOKUP(B300,cubo!$A$6:$BE$37,27,0)-VLOOKUP(B300,#REF!,$Z$2,0),0)</f>
        <v>0</v>
      </c>
      <c r="AA300" s="9">
        <f>IFERROR(VLOOKUP(B300,cubo!$A$6:$BE$37,28,0)-VLOOKUP(B300,#REF!,$AA$2,0),0)</f>
        <v>0</v>
      </c>
      <c r="AB300" s="9">
        <f>IFERROR(VLOOKUP(B300,cubo!$A$6:$BE$37,29,0)-VLOOKUP(B300,#REF!,$AB$2,0),0)</f>
        <v>0</v>
      </c>
      <c r="AC300" s="9">
        <f>IFERROR(VLOOKUP(B300,cubo!$A$6:$BE$37,30,0)-VLOOKUP(B300,#REF!,$AC$2,0),0)</f>
        <v>0</v>
      </c>
      <c r="AD300" s="9">
        <f>IFERROR(VLOOKUP(B300,cubo!$A$6:$BE$37,31,0)-VLOOKUP(B300,#REF!,$AD$2,0),0)</f>
        <v>0</v>
      </c>
      <c r="AE300" s="9">
        <f>IFERROR(VLOOKUP(B300,cubo!$A$6:$BE$37,35,0)-VLOOKUP(B300,#REF!,$AE$2,0),0)</f>
        <v>0</v>
      </c>
      <c r="AF300" s="9" cm="1">
        <f t="array" aca="1" ref="AF300" ca="1">IFERROR(rrPROCV(B300,cubo!$A$6:$BE$37,48,0)-VLOOKUP(B300,#REF!,$AF$2,0),0)</f>
        <v>0</v>
      </c>
      <c r="AG300" s="9">
        <f>IFERROR(VLOOKUP(B300,cubo!$A$6:$BE$37,49,0)-VLOOKUP(B300,#REF!,$AG$2,0),0)</f>
        <v>0</v>
      </c>
      <c r="AH300" s="9">
        <f>IFERROR(VLOOKUP(B300,cubo!$A$6:$BE$37,50,0)-VLOOKUP(B300,#REF!,$AH$2,0),0)</f>
        <v>0</v>
      </c>
      <c r="AI300" s="9">
        <f>IFERROR(VLOOKUP(B300,cubo!$A$6:$BE$37,51,0)-VLOOKUP(B300,#REF!,$AI$2,0),0)</f>
        <v>0</v>
      </c>
      <c r="AJ300" s="9">
        <f>IFERROR(VLOOKUP(B300,cubo!$A$6:$BI$116,62,0)-VLOOKUP(B300,#REF!,$AJ$2,0),0)</f>
        <v>0</v>
      </c>
      <c r="AK300" s="9">
        <f>IFERROR(VLOOKUP(B300,cubo!$A$6:$BJ$37,63,0)-VLOOKUP(B300,#REF!,$AK$2,0),0)</f>
        <v>0</v>
      </c>
      <c r="AL300" s="9">
        <f>IFERROR(VLOOKUP(B300,cubo!$A$6:$BE$37,58,0)-VLOOKUP(B300,#REF!,$AL$2,0),0)</f>
        <v>0</v>
      </c>
      <c r="AM300" s="9">
        <f>IFERROR(VLOOKUP(B300,cubo!$A$6:$BK$37,64,0)-VLOOKUP(B300,#REF!,$AM$2,0),0)</f>
        <v>0</v>
      </c>
      <c r="AN300" s="9">
        <f>IFERROR(VLOOKUP(B300,cubo!$A$6:$AN$37,41,0)-VLOOKUP(B300,#REF!,$AN$2,0),0)</f>
        <v>0</v>
      </c>
    </row>
    <row r="301" spans="2:40" x14ac:dyDescent="0.25">
      <c r="B301" s="7">
        <f>[1]salario!A300</f>
        <v>0</v>
      </c>
      <c r="C301" s="8">
        <f>[1]salario!C300</f>
        <v>0</v>
      </c>
      <c r="D301" s="9">
        <f>IFERROR(VLOOKUP(B301,cubo!$A$6:$BE$37,3,0)-VLOOKUP(B301,#REF!,$D$2,0),0)</f>
        <v>0</v>
      </c>
      <c r="E301" s="10">
        <f>IFERROR(VLOOKUP(B301,cubo!$A$6:$BE$37,5,0)-VLOOKUP(B301,#REF!,$E$2,0),0)</f>
        <v>0</v>
      </c>
      <c r="F301" s="10">
        <f>IFERROR(VLOOKUP(B301,cubo!$A$6:$BE$37,8,0)-VLOOKUP(B301,#REF!,$F$2,0),0)</f>
        <v>0</v>
      </c>
      <c r="G301" s="9">
        <f>IFERROR(VLOOKUP(B301,cubo!$A$6:$BE$37,11,0)-VLOOKUP(B301,#REF!,$G$2,0),0)</f>
        <v>0</v>
      </c>
      <c r="H301" s="9">
        <f>IFERROR(VLOOKUP(B301,cubo!$A$6:$BE$37,53,0)-VLOOKUP(B301,#REF!,$H$2,0),0)</f>
        <v>0</v>
      </c>
      <c r="I301" s="10">
        <f>IFERROR(VLOOKUP(B301,cubo!$A$6:$BE$37,14,0)-VLOOKUP(B301,#REF!,$I$2,0),0)</f>
        <v>0</v>
      </c>
      <c r="J301" s="9">
        <f>IFERROR(VLOOKUP(B301,cubo!$A$6:$BE$37,16,0)-VLOOKUP(B301,#REF!,$J$2,0),0)</f>
        <v>0</v>
      </c>
      <c r="K301" s="9">
        <f>IFERROR(VLOOKUP(B301,cubo!$A$6:$BE$37,17,0)-VLOOKUP(B301,#REF!,$K$2,0),0)</f>
        <v>0</v>
      </c>
      <c r="L301" s="9">
        <f>IFERROR(VLOOKUP(B301,cubo!$A$6:$BE$37,19,0)-VLOOKUP(B301,#REF!,$L$2,0),0)</f>
        <v>0</v>
      </c>
      <c r="M301" s="9">
        <f>IFERROR(VLOOKUP(B301,cubo!$A$6:$BE$37,23,0)-VLOOKUP(B301,#REF!,$M$2,0),0)</f>
        <v>0</v>
      </c>
      <c r="N301" s="9">
        <f>IFERROR(VLOOKUP(B301,cubo!$A$6:$BE$37,25,0)-VLOOKUP(B301,#REF!,$N$2,0),0)</f>
        <v>0</v>
      </c>
      <c r="O301" s="9">
        <f>IFERROR(VLOOKUP(B301,cubo!$A$6:$BE$37,33,0)-VLOOKUP(B301,#REF!,$O$2,0),0)</f>
        <v>0</v>
      </c>
      <c r="P301" s="8">
        <f>IFERROR(VLOOKUP(B301,cubo!$A$6:$BE$37,37,0)-VLOOKUP(B301,#REF!,$P$2,0),0)</f>
        <v>0</v>
      </c>
      <c r="Q301" s="8">
        <f>IFERROR(VLOOKUP(B301,cubo!$A$6:$BE$37,56,0)-VLOOKUP(B301,#REF!,$Q$2,0),0)</f>
        <v>0</v>
      </c>
      <c r="R301" s="9">
        <f>IFERROR(VLOOKUP(B301,cubo!$A$6:$BE$37,40,0)-VLOOKUP(B301,#REF!,$R$2,0),0)</f>
        <v>0</v>
      </c>
      <c r="S301" s="9">
        <f>IFERROR(VLOOKUP(B301,cubo!$A$6:$BE$37,43,0)-VLOOKUP(B301,#REF!,$S$2,0),0)</f>
        <v>0</v>
      </c>
      <c r="T301" s="9">
        <f>IFERROR(VLOOKUP(B301,cubo!$A$6:$BE$37,46,0)-VLOOKUP(B301,#REF!,$T$2,0),0)</f>
        <v>0</v>
      </c>
      <c r="U301" s="9">
        <f>IFERROR(VLOOKUP(B301,cubo!$A$6:$BE$37,51,0)-VLOOKUP(B301,#REF!,$U$2,0),0)</f>
        <v>0</v>
      </c>
      <c r="V301" s="9">
        <f>IFERROR(VLOOKUP(B301,cubo!$A$6:$BJ$37,60,0)-VLOOKUP(B301,#REF!,$V$2,0),0)</f>
        <v>0</v>
      </c>
      <c r="W301" s="9">
        <f>IFERROR(VLOOKUP(B301,cubo!$A$6:$BE$37,26,0)-VLOOKUP(B301,#REF!,$W$2,0),0)</f>
        <v>0</v>
      </c>
      <c r="X301" s="9">
        <f>IFERROR(VLOOKUP(B301,cubo!$A$6:$BE$37,20,0)-VLOOKUP(B301,#REF!,$X$2,0),0)</f>
        <v>0</v>
      </c>
      <c r="Y301" s="9">
        <f>IFERROR(VLOOKUP(B301,cubo!$A$6:$BE$37,21,0)-VLOOKUP(B301,#REF!,$Y$2,0),0)</f>
        <v>0</v>
      </c>
      <c r="Z301" s="9">
        <f>IFERROR(VLOOKUP(B301,cubo!$A$6:$BE$37,27,0)-VLOOKUP(B301,#REF!,$Z$2,0),0)</f>
        <v>0</v>
      </c>
      <c r="AA301" s="9">
        <f>IFERROR(VLOOKUP(B301,cubo!$A$6:$BE$37,28,0)-VLOOKUP(B301,#REF!,$AA$2,0),0)</f>
        <v>0</v>
      </c>
      <c r="AB301" s="9">
        <f>IFERROR(VLOOKUP(B301,cubo!$A$6:$BE$37,29,0)-VLOOKUP(B301,#REF!,$AB$2,0),0)</f>
        <v>0</v>
      </c>
      <c r="AC301" s="9">
        <f>IFERROR(VLOOKUP(B301,cubo!$A$6:$BE$37,30,0)-VLOOKUP(B301,#REF!,$AC$2,0),0)</f>
        <v>0</v>
      </c>
      <c r="AD301" s="9">
        <f>IFERROR(VLOOKUP(B301,cubo!$A$6:$BE$37,31,0)-VLOOKUP(B301,#REF!,$AD$2,0),0)</f>
        <v>0</v>
      </c>
      <c r="AE301" s="9">
        <f>IFERROR(VLOOKUP(B301,cubo!$A$6:$BE$37,35,0)-VLOOKUP(B301,#REF!,$AE$2,0),0)</f>
        <v>0</v>
      </c>
      <c r="AF301" s="9" cm="1">
        <f t="array" aca="1" ref="AF301" ca="1">IFERROR(rrPROCV(B301,cubo!$A$6:$BE$37,48,0)-VLOOKUP(B301,#REF!,$AF$2,0),0)</f>
        <v>0</v>
      </c>
      <c r="AG301" s="9">
        <f>IFERROR(VLOOKUP(B301,cubo!$A$6:$BE$37,49,0)-VLOOKUP(B301,#REF!,$AG$2,0),0)</f>
        <v>0</v>
      </c>
      <c r="AH301" s="9">
        <f>IFERROR(VLOOKUP(B301,cubo!$A$6:$BE$37,50,0)-VLOOKUP(B301,#REF!,$AH$2,0),0)</f>
        <v>0</v>
      </c>
      <c r="AI301" s="9">
        <f>IFERROR(VLOOKUP(B301,cubo!$A$6:$BE$37,51,0)-VLOOKUP(B301,#REF!,$AI$2,0),0)</f>
        <v>0</v>
      </c>
      <c r="AJ301" s="9">
        <f>IFERROR(VLOOKUP(B301,cubo!$A$6:$BI$116,62,0)-VLOOKUP(B301,#REF!,$AJ$2,0),0)</f>
        <v>0</v>
      </c>
      <c r="AK301" s="9">
        <f>IFERROR(VLOOKUP(B301,cubo!$A$6:$BJ$37,63,0)-VLOOKUP(B301,#REF!,$AK$2,0),0)</f>
        <v>0</v>
      </c>
      <c r="AL301" s="9">
        <f>IFERROR(VLOOKUP(B301,cubo!$A$6:$BE$37,58,0)-VLOOKUP(B301,#REF!,$AL$2,0),0)</f>
        <v>0</v>
      </c>
      <c r="AM301" s="9">
        <f>IFERROR(VLOOKUP(B301,cubo!$A$6:$BK$37,64,0)-VLOOKUP(B301,#REF!,$AM$2,0),0)</f>
        <v>0</v>
      </c>
      <c r="AN301" s="9">
        <f>IFERROR(VLOOKUP(B301,cubo!$A$6:$AN$37,41,0)-VLOOKUP(B301,#REF!,$AN$2,0),0)</f>
        <v>0</v>
      </c>
    </row>
    <row r="302" spans="2:40" x14ac:dyDescent="0.25">
      <c r="B302" s="7">
        <f>[1]salario!A301</f>
        <v>0</v>
      </c>
      <c r="C302" s="8">
        <f>[1]salario!C301</f>
        <v>0</v>
      </c>
      <c r="D302" s="9">
        <f>IFERROR(VLOOKUP(B302,cubo!$A$6:$BE$37,3,0)-VLOOKUP(B302,#REF!,$D$2,0),0)</f>
        <v>0</v>
      </c>
      <c r="E302" s="10">
        <f>IFERROR(VLOOKUP(B302,cubo!$A$6:$BE$37,5,0)-VLOOKUP(B302,#REF!,$E$2,0),0)</f>
        <v>0</v>
      </c>
      <c r="F302" s="10">
        <f>IFERROR(VLOOKUP(B302,cubo!$A$6:$BE$37,8,0)-VLOOKUP(B302,#REF!,$F$2,0),0)</f>
        <v>0</v>
      </c>
      <c r="G302" s="9">
        <f>IFERROR(VLOOKUP(B302,cubo!$A$6:$BE$37,11,0)-VLOOKUP(B302,#REF!,$G$2,0),0)</f>
        <v>0</v>
      </c>
      <c r="H302" s="9">
        <f>IFERROR(VLOOKUP(B302,cubo!$A$6:$BE$37,53,0)-VLOOKUP(B302,#REF!,$H$2,0),0)</f>
        <v>0</v>
      </c>
      <c r="I302" s="10">
        <f>IFERROR(VLOOKUP(B302,cubo!$A$6:$BE$37,14,0)-VLOOKUP(B302,#REF!,$I$2,0),0)</f>
        <v>0</v>
      </c>
      <c r="J302" s="9">
        <f>IFERROR(VLOOKUP(B302,cubo!$A$6:$BE$37,16,0)-VLOOKUP(B302,#REF!,$J$2,0),0)</f>
        <v>0</v>
      </c>
      <c r="K302" s="9">
        <f>IFERROR(VLOOKUP(B302,cubo!$A$6:$BE$37,17,0)-VLOOKUP(B302,#REF!,$K$2,0),0)</f>
        <v>0</v>
      </c>
      <c r="L302" s="9">
        <f>IFERROR(VLOOKUP(B302,cubo!$A$6:$BE$37,19,0)-VLOOKUP(B302,#REF!,$L$2,0),0)</f>
        <v>0</v>
      </c>
      <c r="M302" s="9">
        <f>IFERROR(VLOOKUP(B302,cubo!$A$6:$BE$37,23,0)-VLOOKUP(B302,#REF!,$M$2,0),0)</f>
        <v>0</v>
      </c>
      <c r="N302" s="9">
        <f>IFERROR(VLOOKUP(B302,cubo!$A$6:$BE$37,25,0)-VLOOKUP(B302,#REF!,$N$2,0),0)</f>
        <v>0</v>
      </c>
      <c r="O302" s="9">
        <f>IFERROR(VLOOKUP(B302,cubo!$A$6:$BE$37,33,0)-VLOOKUP(B302,#REF!,$O$2,0),0)</f>
        <v>0</v>
      </c>
      <c r="P302" s="8">
        <f>IFERROR(VLOOKUP(B302,cubo!$A$6:$BE$37,37,0)-VLOOKUP(B302,#REF!,$P$2,0),0)</f>
        <v>0</v>
      </c>
      <c r="Q302" s="8">
        <f>IFERROR(VLOOKUP(B302,cubo!$A$6:$BE$37,56,0)-VLOOKUP(B302,#REF!,$Q$2,0),0)</f>
        <v>0</v>
      </c>
      <c r="R302" s="9">
        <f>IFERROR(VLOOKUP(B302,cubo!$A$6:$BE$37,40,0)-VLOOKUP(B302,#REF!,$R$2,0),0)</f>
        <v>0</v>
      </c>
      <c r="S302" s="9">
        <f>IFERROR(VLOOKUP(B302,cubo!$A$6:$BE$37,43,0)-VLOOKUP(B302,#REF!,$S$2,0),0)</f>
        <v>0</v>
      </c>
      <c r="T302" s="9">
        <f>IFERROR(VLOOKUP(B302,cubo!$A$6:$BE$37,46,0)-VLOOKUP(B302,#REF!,$T$2,0),0)</f>
        <v>0</v>
      </c>
      <c r="U302" s="9">
        <f>IFERROR(VLOOKUP(B302,cubo!$A$6:$BE$37,51,0)-VLOOKUP(B302,#REF!,$U$2,0),0)</f>
        <v>0</v>
      </c>
      <c r="V302" s="9">
        <f>IFERROR(VLOOKUP(B302,cubo!$A$6:$BJ$37,60,0)-VLOOKUP(B302,#REF!,$V$2,0),0)</f>
        <v>0</v>
      </c>
      <c r="W302" s="9">
        <f>IFERROR(VLOOKUP(B302,cubo!$A$6:$BE$37,26,0)-VLOOKUP(B302,#REF!,$W$2,0),0)</f>
        <v>0</v>
      </c>
      <c r="X302" s="9">
        <f>IFERROR(VLOOKUP(B302,cubo!$A$6:$BE$37,20,0)-VLOOKUP(B302,#REF!,$X$2,0),0)</f>
        <v>0</v>
      </c>
      <c r="Y302" s="9">
        <f>IFERROR(VLOOKUP(B302,cubo!$A$6:$BE$37,21,0)-VLOOKUP(B302,#REF!,$Y$2,0),0)</f>
        <v>0</v>
      </c>
      <c r="Z302" s="9">
        <f>IFERROR(VLOOKUP(B302,cubo!$A$6:$BE$37,27,0)-VLOOKUP(B302,#REF!,$Z$2,0),0)</f>
        <v>0</v>
      </c>
      <c r="AA302" s="9">
        <f>IFERROR(VLOOKUP(B302,cubo!$A$6:$BE$37,28,0)-VLOOKUP(B302,#REF!,$AA$2,0),0)</f>
        <v>0</v>
      </c>
      <c r="AB302" s="9">
        <f>IFERROR(VLOOKUP(B302,cubo!$A$6:$BE$37,29,0)-VLOOKUP(B302,#REF!,$AB$2,0),0)</f>
        <v>0</v>
      </c>
      <c r="AC302" s="9">
        <f>IFERROR(VLOOKUP(B302,cubo!$A$6:$BE$37,30,0)-VLOOKUP(B302,#REF!,$AC$2,0),0)</f>
        <v>0</v>
      </c>
      <c r="AD302" s="9">
        <f>IFERROR(VLOOKUP(B302,cubo!$A$6:$BE$37,31,0)-VLOOKUP(B302,#REF!,$AD$2,0),0)</f>
        <v>0</v>
      </c>
      <c r="AE302" s="9">
        <f>IFERROR(VLOOKUP(B302,cubo!$A$6:$BE$37,35,0)-VLOOKUP(B302,#REF!,$AE$2,0),0)</f>
        <v>0</v>
      </c>
      <c r="AF302" s="9" cm="1">
        <f t="array" aca="1" ref="AF302" ca="1">IFERROR(rrPROCV(B302,cubo!$A$6:$BE$37,48,0)-VLOOKUP(B302,#REF!,$AF$2,0),0)</f>
        <v>0</v>
      </c>
      <c r="AG302" s="9">
        <f>IFERROR(VLOOKUP(B302,cubo!$A$6:$BE$37,49,0)-VLOOKUP(B302,#REF!,$AG$2,0),0)</f>
        <v>0</v>
      </c>
      <c r="AH302" s="9">
        <f>IFERROR(VLOOKUP(B302,cubo!$A$6:$BE$37,50,0)-VLOOKUP(B302,#REF!,$AH$2,0),0)</f>
        <v>0</v>
      </c>
      <c r="AI302" s="9">
        <f>IFERROR(VLOOKUP(B302,cubo!$A$6:$BE$37,51,0)-VLOOKUP(B302,#REF!,$AI$2,0),0)</f>
        <v>0</v>
      </c>
      <c r="AJ302" s="9">
        <f>IFERROR(VLOOKUP(B302,cubo!$A$6:$BI$116,62,0)-VLOOKUP(B302,#REF!,$AJ$2,0),0)</f>
        <v>0</v>
      </c>
      <c r="AK302" s="9">
        <f>IFERROR(VLOOKUP(B302,cubo!$A$6:$BJ$37,63,0)-VLOOKUP(B302,#REF!,$AK$2,0),0)</f>
        <v>0</v>
      </c>
      <c r="AL302" s="9">
        <f>IFERROR(VLOOKUP(B302,cubo!$A$6:$BE$37,58,0)-VLOOKUP(B302,#REF!,$AL$2,0),0)</f>
        <v>0</v>
      </c>
      <c r="AM302" s="9">
        <f>IFERROR(VLOOKUP(B302,cubo!$A$6:$BK$37,64,0)-VLOOKUP(B302,#REF!,$AM$2,0),0)</f>
        <v>0</v>
      </c>
      <c r="AN302" s="9">
        <f>IFERROR(VLOOKUP(B302,cubo!$A$6:$AN$37,41,0)-VLOOKUP(B302,#REF!,$AN$2,0),0)</f>
        <v>0</v>
      </c>
    </row>
    <row r="303" spans="2:40" x14ac:dyDescent="0.25">
      <c r="B303" s="7">
        <f>[1]salario!A302</f>
        <v>0</v>
      </c>
      <c r="C303" s="8">
        <f>[1]salario!C302</f>
        <v>0</v>
      </c>
      <c r="D303" s="9">
        <f>IFERROR(VLOOKUP(B303,cubo!$A$6:$BE$37,3,0)-VLOOKUP(B303,#REF!,$D$2,0),0)</f>
        <v>0</v>
      </c>
      <c r="E303" s="10">
        <f>IFERROR(VLOOKUP(B303,cubo!$A$6:$BE$37,5,0)-VLOOKUP(B303,#REF!,$E$2,0),0)</f>
        <v>0</v>
      </c>
      <c r="F303" s="10">
        <f>IFERROR(VLOOKUP(B303,cubo!$A$6:$BE$37,8,0)-VLOOKUP(B303,#REF!,$F$2,0),0)</f>
        <v>0</v>
      </c>
      <c r="G303" s="9">
        <f>IFERROR(VLOOKUP(B303,cubo!$A$6:$BE$37,11,0)-VLOOKUP(B303,#REF!,$G$2,0),0)</f>
        <v>0</v>
      </c>
      <c r="H303" s="9">
        <f>IFERROR(VLOOKUP(B303,cubo!$A$6:$BE$37,53,0)-VLOOKUP(B303,#REF!,$H$2,0),0)</f>
        <v>0</v>
      </c>
      <c r="I303" s="10">
        <f>IFERROR(VLOOKUP(B303,cubo!$A$6:$BE$37,14,0)-VLOOKUP(B303,#REF!,$I$2,0),0)</f>
        <v>0</v>
      </c>
      <c r="J303" s="9">
        <f>IFERROR(VLOOKUP(B303,cubo!$A$6:$BE$37,16,0)-VLOOKUP(B303,#REF!,$J$2,0),0)</f>
        <v>0</v>
      </c>
      <c r="K303" s="9">
        <f>IFERROR(VLOOKUP(B303,cubo!$A$6:$BE$37,17,0)-VLOOKUP(B303,#REF!,$K$2,0),0)</f>
        <v>0</v>
      </c>
      <c r="L303" s="9">
        <f>IFERROR(VLOOKUP(B303,cubo!$A$6:$BE$37,19,0)-VLOOKUP(B303,#REF!,$L$2,0),0)</f>
        <v>0</v>
      </c>
      <c r="M303" s="9">
        <f>IFERROR(VLOOKUP(B303,cubo!$A$6:$BE$37,23,0)-VLOOKUP(B303,#REF!,$M$2,0),0)</f>
        <v>0</v>
      </c>
      <c r="N303" s="9">
        <f>IFERROR(VLOOKUP(B303,cubo!$A$6:$BE$37,25,0)-VLOOKUP(B303,#REF!,$N$2,0),0)</f>
        <v>0</v>
      </c>
      <c r="O303" s="9">
        <f>IFERROR(VLOOKUP(B303,cubo!$A$6:$BE$37,33,0)-VLOOKUP(B303,#REF!,$O$2,0),0)</f>
        <v>0</v>
      </c>
      <c r="P303" s="8">
        <f>IFERROR(VLOOKUP(B303,cubo!$A$6:$BE$37,37,0)-VLOOKUP(B303,#REF!,$P$2,0),0)</f>
        <v>0</v>
      </c>
      <c r="Q303" s="8">
        <f>IFERROR(VLOOKUP(B303,cubo!$A$6:$BE$37,56,0)-VLOOKUP(B303,#REF!,$Q$2,0),0)</f>
        <v>0</v>
      </c>
      <c r="R303" s="9">
        <f>IFERROR(VLOOKUP(B303,cubo!$A$6:$BE$37,40,0)-VLOOKUP(B303,#REF!,$R$2,0),0)</f>
        <v>0</v>
      </c>
      <c r="S303" s="9">
        <f>IFERROR(VLOOKUP(B303,cubo!$A$6:$BE$37,43,0)-VLOOKUP(B303,#REF!,$S$2,0),0)</f>
        <v>0</v>
      </c>
      <c r="T303" s="9">
        <f>IFERROR(VLOOKUP(B303,cubo!$A$6:$BE$37,46,0)-VLOOKUP(B303,#REF!,$T$2,0),0)</f>
        <v>0</v>
      </c>
      <c r="U303" s="9">
        <f>IFERROR(VLOOKUP(B303,cubo!$A$6:$BE$37,51,0)-VLOOKUP(B303,#REF!,$U$2,0),0)</f>
        <v>0</v>
      </c>
      <c r="V303" s="9">
        <f>IFERROR(VLOOKUP(B303,cubo!$A$6:$BJ$37,60,0)-VLOOKUP(B303,#REF!,$V$2,0),0)</f>
        <v>0</v>
      </c>
      <c r="W303" s="9">
        <f>IFERROR(VLOOKUP(B303,cubo!$A$6:$BE$37,26,0)-VLOOKUP(B303,#REF!,$W$2,0),0)</f>
        <v>0</v>
      </c>
      <c r="X303" s="9">
        <f>IFERROR(VLOOKUP(B303,cubo!$A$6:$BE$37,20,0)-VLOOKUP(B303,#REF!,$X$2,0),0)</f>
        <v>0</v>
      </c>
      <c r="Y303" s="9">
        <f>IFERROR(VLOOKUP(B303,cubo!$A$6:$BE$37,21,0)-VLOOKUP(B303,#REF!,$Y$2,0),0)</f>
        <v>0</v>
      </c>
      <c r="Z303" s="9">
        <f>IFERROR(VLOOKUP(B303,cubo!$A$6:$BE$37,27,0)-VLOOKUP(B303,#REF!,$Z$2,0),0)</f>
        <v>0</v>
      </c>
      <c r="AA303" s="9">
        <f>IFERROR(VLOOKUP(B303,cubo!$A$6:$BE$37,28,0)-VLOOKUP(B303,#REF!,$AA$2,0),0)</f>
        <v>0</v>
      </c>
      <c r="AB303" s="9">
        <f>IFERROR(VLOOKUP(B303,cubo!$A$6:$BE$37,29,0)-VLOOKUP(B303,#REF!,$AB$2,0),0)</f>
        <v>0</v>
      </c>
      <c r="AC303" s="9">
        <f>IFERROR(VLOOKUP(B303,cubo!$A$6:$BE$37,30,0)-VLOOKUP(B303,#REF!,$AC$2,0),0)</f>
        <v>0</v>
      </c>
      <c r="AD303" s="9">
        <f>IFERROR(VLOOKUP(B303,cubo!$A$6:$BE$37,31,0)-VLOOKUP(B303,#REF!,$AD$2,0),0)</f>
        <v>0</v>
      </c>
      <c r="AE303" s="9">
        <f>IFERROR(VLOOKUP(B303,cubo!$A$6:$BE$37,35,0)-VLOOKUP(B303,#REF!,$AE$2,0),0)</f>
        <v>0</v>
      </c>
      <c r="AF303" s="9" cm="1">
        <f t="array" aca="1" ref="AF303" ca="1">IFERROR(rrPROCV(B303,cubo!$A$6:$BE$37,48,0)-VLOOKUP(B303,#REF!,$AF$2,0),0)</f>
        <v>0</v>
      </c>
      <c r="AG303" s="9">
        <f>IFERROR(VLOOKUP(B303,cubo!$A$6:$BE$37,49,0)-VLOOKUP(B303,#REF!,$AG$2,0),0)</f>
        <v>0</v>
      </c>
      <c r="AH303" s="9">
        <f>IFERROR(VLOOKUP(B303,cubo!$A$6:$BE$37,50,0)-VLOOKUP(B303,#REF!,$AH$2,0),0)</f>
        <v>0</v>
      </c>
      <c r="AI303" s="9">
        <f>IFERROR(VLOOKUP(B303,cubo!$A$6:$BE$37,51,0)-VLOOKUP(B303,#REF!,$AI$2,0),0)</f>
        <v>0</v>
      </c>
      <c r="AJ303" s="9">
        <f>IFERROR(VLOOKUP(B303,cubo!$A$6:$BI$116,62,0)-VLOOKUP(B303,#REF!,$AJ$2,0),0)</f>
        <v>0</v>
      </c>
      <c r="AK303" s="9">
        <f>IFERROR(VLOOKUP(B303,cubo!$A$6:$BJ$37,63,0)-VLOOKUP(B303,#REF!,$AK$2,0),0)</f>
        <v>0</v>
      </c>
      <c r="AL303" s="9">
        <f>IFERROR(VLOOKUP(B303,cubo!$A$6:$BE$37,58,0)-VLOOKUP(B303,#REF!,$AL$2,0),0)</f>
        <v>0</v>
      </c>
      <c r="AM303" s="9">
        <f>IFERROR(VLOOKUP(B303,cubo!$A$6:$BK$37,64,0)-VLOOKUP(B303,#REF!,$AM$2,0),0)</f>
        <v>0</v>
      </c>
      <c r="AN303" s="9">
        <f>IFERROR(VLOOKUP(B303,cubo!$A$6:$AN$37,41,0)-VLOOKUP(B303,#REF!,$AN$2,0),0)</f>
        <v>0</v>
      </c>
    </row>
    <row r="304" spans="2:40" x14ac:dyDescent="0.25">
      <c r="B304" s="7">
        <f>[1]salario!A303</f>
        <v>0</v>
      </c>
      <c r="C304" s="8">
        <f>[1]salario!C303</f>
        <v>0</v>
      </c>
      <c r="D304" s="9">
        <f>IFERROR(VLOOKUP(B304,cubo!$A$6:$BE$37,3,0)-VLOOKUP(B304,#REF!,$D$2,0),0)</f>
        <v>0</v>
      </c>
      <c r="E304" s="10">
        <f>IFERROR(VLOOKUP(B304,cubo!$A$6:$BE$37,5,0)-VLOOKUP(B304,#REF!,$E$2,0),0)</f>
        <v>0</v>
      </c>
      <c r="F304" s="10">
        <f>IFERROR(VLOOKUP(B304,cubo!$A$6:$BE$37,8,0)-VLOOKUP(B304,#REF!,$F$2,0),0)</f>
        <v>0</v>
      </c>
      <c r="G304" s="9">
        <f>IFERROR(VLOOKUP(B304,cubo!$A$6:$BE$37,11,0)-VLOOKUP(B304,#REF!,$G$2,0),0)</f>
        <v>0</v>
      </c>
      <c r="H304" s="9">
        <f>IFERROR(VLOOKUP(B304,cubo!$A$6:$BE$37,53,0)-VLOOKUP(B304,#REF!,$H$2,0),0)</f>
        <v>0</v>
      </c>
      <c r="I304" s="10">
        <f>IFERROR(VLOOKUP(B304,cubo!$A$6:$BE$37,14,0)-VLOOKUP(B304,#REF!,$I$2,0),0)</f>
        <v>0</v>
      </c>
      <c r="J304" s="9">
        <f>IFERROR(VLOOKUP(B304,cubo!$A$6:$BE$37,16,0)-VLOOKUP(B304,#REF!,$J$2,0),0)</f>
        <v>0</v>
      </c>
      <c r="K304" s="9">
        <f>IFERROR(VLOOKUP(B304,cubo!$A$6:$BE$37,17,0)-VLOOKUP(B304,#REF!,$K$2,0),0)</f>
        <v>0</v>
      </c>
      <c r="L304" s="9">
        <f>IFERROR(VLOOKUP(B304,cubo!$A$6:$BE$37,19,0)-VLOOKUP(B304,#REF!,$L$2,0),0)</f>
        <v>0</v>
      </c>
      <c r="M304" s="9">
        <f>IFERROR(VLOOKUP(B304,cubo!$A$6:$BE$37,23,0)-VLOOKUP(B304,#REF!,$M$2,0),0)</f>
        <v>0</v>
      </c>
      <c r="N304" s="9">
        <f>IFERROR(VLOOKUP(B304,cubo!$A$6:$BE$37,25,0)-VLOOKUP(B304,#REF!,$N$2,0),0)</f>
        <v>0</v>
      </c>
      <c r="O304" s="9">
        <f>IFERROR(VLOOKUP(B304,cubo!$A$6:$BE$37,33,0)-VLOOKUP(B304,#REF!,$O$2,0),0)</f>
        <v>0</v>
      </c>
      <c r="P304" s="8">
        <f>IFERROR(VLOOKUP(B304,cubo!$A$6:$BE$37,37,0)-VLOOKUP(B304,#REF!,$P$2,0),0)</f>
        <v>0</v>
      </c>
      <c r="Q304" s="8">
        <f>IFERROR(VLOOKUP(B304,cubo!$A$6:$BE$37,56,0)-VLOOKUP(B304,#REF!,$Q$2,0),0)</f>
        <v>0</v>
      </c>
      <c r="R304" s="9">
        <f>IFERROR(VLOOKUP(B304,cubo!$A$6:$BE$37,40,0)-VLOOKUP(B304,#REF!,$R$2,0),0)</f>
        <v>0</v>
      </c>
      <c r="S304" s="9">
        <f>IFERROR(VLOOKUP(B304,cubo!$A$6:$BE$37,43,0)-VLOOKUP(B304,#REF!,$S$2,0),0)</f>
        <v>0</v>
      </c>
      <c r="T304" s="9">
        <f>IFERROR(VLOOKUP(B304,cubo!$A$6:$BE$37,46,0)-VLOOKUP(B304,#REF!,$T$2,0),0)</f>
        <v>0</v>
      </c>
      <c r="U304" s="9">
        <f>IFERROR(VLOOKUP(B304,cubo!$A$6:$BE$37,51,0)-VLOOKUP(B304,#REF!,$U$2,0),0)</f>
        <v>0</v>
      </c>
      <c r="V304" s="9">
        <f>IFERROR(VLOOKUP(B304,cubo!$A$6:$BJ$37,60,0)-VLOOKUP(B304,#REF!,$V$2,0),0)</f>
        <v>0</v>
      </c>
      <c r="W304" s="9">
        <f>IFERROR(VLOOKUP(B304,cubo!$A$6:$BE$37,26,0)-VLOOKUP(B304,#REF!,$W$2,0),0)</f>
        <v>0</v>
      </c>
      <c r="X304" s="9">
        <f>IFERROR(VLOOKUP(B304,cubo!$A$6:$BE$37,20,0)-VLOOKUP(B304,#REF!,$X$2,0),0)</f>
        <v>0</v>
      </c>
      <c r="Y304" s="9">
        <f>IFERROR(VLOOKUP(B304,cubo!$A$6:$BE$37,21,0)-VLOOKUP(B304,#REF!,$Y$2,0),0)</f>
        <v>0</v>
      </c>
      <c r="Z304" s="9">
        <f>IFERROR(VLOOKUP(B304,cubo!$A$6:$BE$37,27,0)-VLOOKUP(B304,#REF!,$Z$2,0),0)</f>
        <v>0</v>
      </c>
      <c r="AA304" s="9">
        <f>IFERROR(VLOOKUP(B304,cubo!$A$6:$BE$37,28,0)-VLOOKUP(B304,#REF!,$AA$2,0),0)</f>
        <v>0</v>
      </c>
      <c r="AB304" s="9">
        <f>IFERROR(VLOOKUP(B304,cubo!$A$6:$BE$37,29,0)-VLOOKUP(B304,#REF!,$AB$2,0),0)</f>
        <v>0</v>
      </c>
      <c r="AC304" s="9">
        <f>IFERROR(VLOOKUP(B304,cubo!$A$6:$BE$37,30,0)-VLOOKUP(B304,#REF!,$AC$2,0),0)</f>
        <v>0</v>
      </c>
      <c r="AD304" s="9">
        <f>IFERROR(VLOOKUP(B304,cubo!$A$6:$BE$37,31,0)-VLOOKUP(B304,#REF!,$AD$2,0),0)</f>
        <v>0</v>
      </c>
      <c r="AE304" s="9">
        <f>IFERROR(VLOOKUP(B304,cubo!$A$6:$BE$37,35,0)-VLOOKUP(B304,#REF!,$AE$2,0),0)</f>
        <v>0</v>
      </c>
      <c r="AF304" s="9" cm="1">
        <f t="array" aca="1" ref="AF304" ca="1">IFERROR(rrPROCV(B304,cubo!$A$6:$BE$37,48,0)-VLOOKUP(B304,#REF!,$AF$2,0),0)</f>
        <v>0</v>
      </c>
      <c r="AG304" s="9">
        <f>IFERROR(VLOOKUP(B304,cubo!$A$6:$BE$37,49,0)-VLOOKUP(B304,#REF!,$AG$2,0),0)</f>
        <v>0</v>
      </c>
      <c r="AH304" s="9">
        <f>IFERROR(VLOOKUP(B304,cubo!$A$6:$BE$37,50,0)-VLOOKUP(B304,#REF!,$AH$2,0),0)</f>
        <v>0</v>
      </c>
      <c r="AI304" s="9">
        <f>IFERROR(VLOOKUP(B304,cubo!$A$6:$BE$37,51,0)-VLOOKUP(B304,#REF!,$AI$2,0),0)</f>
        <v>0</v>
      </c>
      <c r="AJ304" s="9">
        <f>IFERROR(VLOOKUP(B304,cubo!$A$6:$BI$116,62,0)-VLOOKUP(B304,#REF!,$AJ$2,0),0)</f>
        <v>0</v>
      </c>
      <c r="AK304" s="9">
        <f>IFERROR(VLOOKUP(B304,cubo!$A$6:$BJ$37,63,0)-VLOOKUP(B304,#REF!,$AK$2,0),0)</f>
        <v>0</v>
      </c>
      <c r="AL304" s="9">
        <f>IFERROR(VLOOKUP(B304,cubo!$A$6:$BE$37,58,0)-VLOOKUP(B304,#REF!,$AL$2,0),0)</f>
        <v>0</v>
      </c>
      <c r="AM304" s="9">
        <f>IFERROR(VLOOKUP(B304,cubo!$A$6:$BK$37,64,0)-VLOOKUP(B304,#REF!,$AM$2,0),0)</f>
        <v>0</v>
      </c>
      <c r="AN304" s="9">
        <f>IFERROR(VLOOKUP(B304,cubo!$A$6:$AN$37,41,0)-VLOOKUP(B304,#REF!,$AN$2,0),0)</f>
        <v>0</v>
      </c>
    </row>
    <row r="305" spans="2:40" x14ac:dyDescent="0.25">
      <c r="B305" s="7">
        <f>[1]salario!A304</f>
        <v>0</v>
      </c>
      <c r="C305" s="8">
        <f>[1]salario!C304</f>
        <v>0</v>
      </c>
      <c r="D305" s="9">
        <f>IFERROR(VLOOKUP(B305,cubo!$A$6:$BE$37,3,0)-VLOOKUP(B305,#REF!,$D$2,0),0)</f>
        <v>0</v>
      </c>
      <c r="E305" s="10">
        <f>IFERROR(VLOOKUP(B305,cubo!$A$6:$BE$37,5,0)-VLOOKUP(B305,#REF!,$E$2,0),0)</f>
        <v>0</v>
      </c>
      <c r="F305" s="10">
        <f>IFERROR(VLOOKUP(B305,cubo!$A$6:$BE$37,8,0)-VLOOKUP(B305,#REF!,$F$2,0),0)</f>
        <v>0</v>
      </c>
      <c r="G305" s="9">
        <f>IFERROR(VLOOKUP(B305,cubo!$A$6:$BE$37,11,0)-VLOOKUP(B305,#REF!,$G$2,0),0)</f>
        <v>0</v>
      </c>
      <c r="H305" s="9">
        <f>IFERROR(VLOOKUP(B305,cubo!$A$6:$BE$37,53,0)-VLOOKUP(B305,#REF!,$H$2,0),0)</f>
        <v>0</v>
      </c>
      <c r="I305" s="10">
        <f>IFERROR(VLOOKUP(B305,cubo!$A$6:$BE$37,14,0)-VLOOKUP(B305,#REF!,$I$2,0),0)</f>
        <v>0</v>
      </c>
      <c r="J305" s="9">
        <f>IFERROR(VLOOKUP(B305,cubo!$A$6:$BE$37,16,0)-VLOOKUP(B305,#REF!,$J$2,0),0)</f>
        <v>0</v>
      </c>
      <c r="K305" s="9">
        <f>IFERROR(VLOOKUP(B305,cubo!$A$6:$BE$37,17,0)-VLOOKUP(B305,#REF!,$K$2,0),0)</f>
        <v>0</v>
      </c>
      <c r="L305" s="9">
        <f>IFERROR(VLOOKUP(B305,cubo!$A$6:$BE$37,19,0)-VLOOKUP(B305,#REF!,$L$2,0),0)</f>
        <v>0</v>
      </c>
      <c r="M305" s="9">
        <f>IFERROR(VLOOKUP(B305,cubo!$A$6:$BE$37,23,0)-VLOOKUP(B305,#REF!,$M$2,0),0)</f>
        <v>0</v>
      </c>
      <c r="N305" s="9">
        <f>IFERROR(VLOOKUP(B305,cubo!$A$6:$BE$37,25,0)-VLOOKUP(B305,#REF!,$N$2,0),0)</f>
        <v>0</v>
      </c>
      <c r="O305" s="9">
        <f>IFERROR(VLOOKUP(B305,cubo!$A$6:$BE$37,33,0)-VLOOKUP(B305,#REF!,$O$2,0),0)</f>
        <v>0</v>
      </c>
      <c r="P305" s="8">
        <f>IFERROR(VLOOKUP(B305,cubo!$A$6:$BE$37,37,0)-VLOOKUP(B305,#REF!,$P$2,0),0)</f>
        <v>0</v>
      </c>
      <c r="Q305" s="8">
        <f>IFERROR(VLOOKUP(B305,cubo!$A$6:$BE$37,56,0)-VLOOKUP(B305,#REF!,$Q$2,0),0)</f>
        <v>0</v>
      </c>
      <c r="R305" s="9">
        <f>IFERROR(VLOOKUP(B305,cubo!$A$6:$BE$37,40,0)-VLOOKUP(B305,#REF!,$R$2,0),0)</f>
        <v>0</v>
      </c>
      <c r="S305" s="9">
        <f>IFERROR(VLOOKUP(B305,cubo!$A$6:$BE$37,43,0)-VLOOKUP(B305,#REF!,$S$2,0),0)</f>
        <v>0</v>
      </c>
      <c r="T305" s="9">
        <f>IFERROR(VLOOKUP(B305,cubo!$A$6:$BE$37,46,0)-VLOOKUP(B305,#REF!,$T$2,0),0)</f>
        <v>0</v>
      </c>
      <c r="U305" s="9">
        <f>IFERROR(VLOOKUP(B305,cubo!$A$6:$BE$37,51,0)-VLOOKUP(B305,#REF!,$U$2,0),0)</f>
        <v>0</v>
      </c>
      <c r="V305" s="9">
        <f>IFERROR(VLOOKUP(B305,cubo!$A$6:$BJ$37,60,0)-VLOOKUP(B305,#REF!,$V$2,0),0)</f>
        <v>0</v>
      </c>
      <c r="W305" s="9">
        <f>IFERROR(VLOOKUP(B305,cubo!$A$6:$BE$37,26,0)-VLOOKUP(B305,#REF!,$W$2,0),0)</f>
        <v>0</v>
      </c>
      <c r="X305" s="9">
        <f>IFERROR(VLOOKUP(B305,cubo!$A$6:$BE$37,20,0)-VLOOKUP(B305,#REF!,$X$2,0),0)</f>
        <v>0</v>
      </c>
      <c r="Y305" s="9">
        <f>IFERROR(VLOOKUP(B305,cubo!$A$6:$BE$37,21,0)-VLOOKUP(B305,#REF!,$Y$2,0),0)</f>
        <v>0</v>
      </c>
      <c r="Z305" s="9">
        <f>IFERROR(VLOOKUP(B305,cubo!$A$6:$BE$37,27,0)-VLOOKUP(B305,#REF!,$Z$2,0),0)</f>
        <v>0</v>
      </c>
      <c r="AA305" s="9">
        <f>IFERROR(VLOOKUP(B305,cubo!$A$6:$BE$37,28,0)-VLOOKUP(B305,#REF!,$AA$2,0),0)</f>
        <v>0</v>
      </c>
      <c r="AB305" s="9">
        <f>IFERROR(VLOOKUP(B305,cubo!$A$6:$BE$37,29,0)-VLOOKUP(B305,#REF!,$AB$2,0),0)</f>
        <v>0</v>
      </c>
      <c r="AC305" s="9">
        <f>IFERROR(VLOOKUP(B305,cubo!$A$6:$BE$37,30,0)-VLOOKUP(B305,#REF!,$AC$2,0),0)</f>
        <v>0</v>
      </c>
      <c r="AD305" s="9">
        <f>IFERROR(VLOOKUP(B305,cubo!$A$6:$BE$37,31,0)-VLOOKUP(B305,#REF!,$AD$2,0),0)</f>
        <v>0</v>
      </c>
      <c r="AE305" s="9">
        <f>IFERROR(VLOOKUP(B305,cubo!$A$6:$BE$37,35,0)-VLOOKUP(B305,#REF!,$AE$2,0),0)</f>
        <v>0</v>
      </c>
      <c r="AF305" s="9" cm="1">
        <f t="array" aca="1" ref="AF305" ca="1">IFERROR(rrPROCV(B305,cubo!$A$6:$BE$37,48,0)-VLOOKUP(B305,#REF!,$AF$2,0),0)</f>
        <v>0</v>
      </c>
      <c r="AG305" s="9">
        <f>IFERROR(VLOOKUP(B305,cubo!$A$6:$BE$37,49,0)-VLOOKUP(B305,#REF!,$AG$2,0),0)</f>
        <v>0</v>
      </c>
      <c r="AH305" s="9">
        <f>IFERROR(VLOOKUP(B305,cubo!$A$6:$BE$37,50,0)-VLOOKUP(B305,#REF!,$AH$2,0),0)</f>
        <v>0</v>
      </c>
      <c r="AI305" s="9">
        <f>IFERROR(VLOOKUP(B305,cubo!$A$6:$BE$37,51,0)-VLOOKUP(B305,#REF!,$AI$2,0),0)</f>
        <v>0</v>
      </c>
      <c r="AJ305" s="9">
        <f>IFERROR(VLOOKUP(B305,cubo!$A$6:$BI$116,62,0)-VLOOKUP(B305,#REF!,$AJ$2,0),0)</f>
        <v>0</v>
      </c>
      <c r="AK305" s="9">
        <f>IFERROR(VLOOKUP(B305,cubo!$A$6:$BJ$37,63,0)-VLOOKUP(B305,#REF!,$AK$2,0),0)</f>
        <v>0</v>
      </c>
      <c r="AL305" s="9">
        <f>IFERROR(VLOOKUP(B305,cubo!$A$6:$BE$37,58,0)-VLOOKUP(B305,#REF!,$AL$2,0),0)</f>
        <v>0</v>
      </c>
      <c r="AM305" s="9">
        <f>IFERROR(VLOOKUP(B305,cubo!$A$6:$BK$37,64,0)-VLOOKUP(B305,#REF!,$AM$2,0),0)</f>
        <v>0</v>
      </c>
      <c r="AN305" s="9">
        <f>IFERROR(VLOOKUP(B305,cubo!$A$6:$AN$37,41,0)-VLOOKUP(B305,#REF!,$AN$2,0),0)</f>
        <v>0</v>
      </c>
    </row>
    <row r="306" spans="2:40" x14ac:dyDescent="0.25">
      <c r="B306" s="7">
        <f>[1]salario!A305</f>
        <v>0</v>
      </c>
      <c r="C306" s="8">
        <f>[1]salario!C305</f>
        <v>0</v>
      </c>
      <c r="D306" s="9">
        <f>IFERROR(VLOOKUP(B306,cubo!$A$6:$BE$37,3,0)-VLOOKUP(B306,#REF!,$D$2,0),0)</f>
        <v>0</v>
      </c>
      <c r="E306" s="10">
        <f>IFERROR(VLOOKUP(B306,cubo!$A$6:$BE$37,5,0)-VLOOKUP(B306,#REF!,$E$2,0),0)</f>
        <v>0</v>
      </c>
      <c r="F306" s="10">
        <f>IFERROR(VLOOKUP(B306,cubo!$A$6:$BE$37,8,0)-VLOOKUP(B306,#REF!,$F$2,0),0)</f>
        <v>0</v>
      </c>
      <c r="G306" s="9">
        <f>IFERROR(VLOOKUP(B306,cubo!$A$6:$BE$37,11,0)-VLOOKUP(B306,#REF!,$G$2,0),0)</f>
        <v>0</v>
      </c>
      <c r="H306" s="9">
        <f>IFERROR(VLOOKUP(B306,cubo!$A$6:$BE$37,53,0)-VLOOKUP(B306,#REF!,$H$2,0),0)</f>
        <v>0</v>
      </c>
      <c r="I306" s="10">
        <f>IFERROR(VLOOKUP(B306,cubo!$A$6:$BE$37,14,0)-VLOOKUP(B306,#REF!,$I$2,0),0)</f>
        <v>0</v>
      </c>
      <c r="J306" s="9">
        <f>IFERROR(VLOOKUP(B306,cubo!$A$6:$BE$37,16,0)-VLOOKUP(B306,#REF!,$J$2,0),0)</f>
        <v>0</v>
      </c>
      <c r="K306" s="9">
        <f>IFERROR(VLOOKUP(B306,cubo!$A$6:$BE$37,17,0)-VLOOKUP(B306,#REF!,$K$2,0),0)</f>
        <v>0</v>
      </c>
      <c r="L306" s="9">
        <f>IFERROR(VLOOKUP(B306,cubo!$A$6:$BE$37,19,0)-VLOOKUP(B306,#REF!,$L$2,0),0)</f>
        <v>0</v>
      </c>
      <c r="M306" s="9">
        <f>IFERROR(VLOOKUP(B306,cubo!$A$6:$BE$37,23,0)-VLOOKUP(B306,#REF!,$M$2,0),0)</f>
        <v>0</v>
      </c>
      <c r="N306" s="9">
        <f>IFERROR(VLOOKUP(B306,cubo!$A$6:$BE$37,25,0)-VLOOKUP(B306,#REF!,$N$2,0),0)</f>
        <v>0</v>
      </c>
      <c r="O306" s="9">
        <f>IFERROR(VLOOKUP(B306,cubo!$A$6:$BE$37,33,0)-VLOOKUP(B306,#REF!,$O$2,0),0)</f>
        <v>0</v>
      </c>
      <c r="P306" s="8">
        <f>IFERROR(VLOOKUP(B306,cubo!$A$6:$BE$37,37,0)-VLOOKUP(B306,#REF!,$P$2,0),0)</f>
        <v>0</v>
      </c>
      <c r="Q306" s="8">
        <f>IFERROR(VLOOKUP(B306,cubo!$A$6:$BE$37,56,0)-VLOOKUP(B306,#REF!,$Q$2,0),0)</f>
        <v>0</v>
      </c>
      <c r="R306" s="9">
        <f>IFERROR(VLOOKUP(B306,cubo!$A$6:$BE$37,40,0)-VLOOKUP(B306,#REF!,$R$2,0),0)</f>
        <v>0</v>
      </c>
      <c r="S306" s="9">
        <f>IFERROR(VLOOKUP(B306,cubo!$A$6:$BE$37,43,0)-VLOOKUP(B306,#REF!,$S$2,0),0)</f>
        <v>0</v>
      </c>
      <c r="T306" s="9">
        <f>IFERROR(VLOOKUP(B306,cubo!$A$6:$BE$37,46,0)-VLOOKUP(B306,#REF!,$T$2,0),0)</f>
        <v>0</v>
      </c>
      <c r="U306" s="9">
        <f>IFERROR(VLOOKUP(B306,cubo!$A$6:$BE$37,51,0)-VLOOKUP(B306,#REF!,$U$2,0),0)</f>
        <v>0</v>
      </c>
      <c r="V306" s="9">
        <f>IFERROR(VLOOKUP(B306,cubo!$A$6:$BJ$37,60,0)-VLOOKUP(B306,#REF!,$V$2,0),0)</f>
        <v>0</v>
      </c>
      <c r="W306" s="9">
        <f>IFERROR(VLOOKUP(B306,cubo!$A$6:$BE$37,26,0)-VLOOKUP(B306,#REF!,$W$2,0),0)</f>
        <v>0</v>
      </c>
      <c r="X306" s="9">
        <f>IFERROR(VLOOKUP(B306,cubo!$A$6:$BE$37,20,0)-VLOOKUP(B306,#REF!,$X$2,0),0)</f>
        <v>0</v>
      </c>
      <c r="Y306" s="9">
        <f>IFERROR(VLOOKUP(B306,cubo!$A$6:$BE$37,21,0)-VLOOKUP(B306,#REF!,$Y$2,0),0)</f>
        <v>0</v>
      </c>
      <c r="Z306" s="9">
        <f>IFERROR(VLOOKUP(B306,cubo!$A$6:$BE$37,27,0)-VLOOKUP(B306,#REF!,$Z$2,0),0)</f>
        <v>0</v>
      </c>
      <c r="AA306" s="9">
        <f>IFERROR(VLOOKUP(B306,cubo!$A$6:$BE$37,28,0)-VLOOKUP(B306,#REF!,$AA$2,0),0)</f>
        <v>0</v>
      </c>
      <c r="AB306" s="9">
        <f>IFERROR(VLOOKUP(B306,cubo!$A$6:$BE$37,29,0)-VLOOKUP(B306,#REF!,$AB$2,0),0)</f>
        <v>0</v>
      </c>
      <c r="AC306" s="9">
        <f>IFERROR(VLOOKUP(B306,cubo!$A$6:$BE$37,30,0)-VLOOKUP(B306,#REF!,$AC$2,0),0)</f>
        <v>0</v>
      </c>
      <c r="AD306" s="9">
        <f>IFERROR(VLOOKUP(B306,cubo!$A$6:$BE$37,31,0)-VLOOKUP(B306,#REF!,$AD$2,0),0)</f>
        <v>0</v>
      </c>
      <c r="AE306" s="9">
        <f>IFERROR(VLOOKUP(B306,cubo!$A$6:$BE$37,35,0)-VLOOKUP(B306,#REF!,$AE$2,0),0)</f>
        <v>0</v>
      </c>
      <c r="AF306" s="9" cm="1">
        <f t="array" aca="1" ref="AF306" ca="1">IFERROR(rrPROCV(B306,cubo!$A$6:$BE$37,48,0)-VLOOKUP(B306,#REF!,$AF$2,0),0)</f>
        <v>0</v>
      </c>
      <c r="AG306" s="9">
        <f>IFERROR(VLOOKUP(B306,cubo!$A$6:$BE$37,49,0)-VLOOKUP(B306,#REF!,$AG$2,0),0)</f>
        <v>0</v>
      </c>
      <c r="AH306" s="9">
        <f>IFERROR(VLOOKUP(B306,cubo!$A$6:$BE$37,50,0)-VLOOKUP(B306,#REF!,$AH$2,0),0)</f>
        <v>0</v>
      </c>
      <c r="AI306" s="9">
        <f>IFERROR(VLOOKUP(B306,cubo!$A$6:$BE$37,51,0)-VLOOKUP(B306,#REF!,$AI$2,0),0)</f>
        <v>0</v>
      </c>
      <c r="AJ306" s="9">
        <f>IFERROR(VLOOKUP(B306,cubo!$A$6:$BI$116,62,0)-VLOOKUP(B306,#REF!,$AJ$2,0),0)</f>
        <v>0</v>
      </c>
      <c r="AK306" s="9">
        <f>IFERROR(VLOOKUP(B306,cubo!$A$6:$BJ$37,63,0)-VLOOKUP(B306,#REF!,$AK$2,0),0)</f>
        <v>0</v>
      </c>
      <c r="AL306" s="9">
        <f>IFERROR(VLOOKUP(B306,cubo!$A$6:$BE$37,58,0)-VLOOKUP(B306,#REF!,$AL$2,0),0)</f>
        <v>0</v>
      </c>
      <c r="AM306" s="9">
        <f>IFERROR(VLOOKUP(B306,cubo!$A$6:$BK$37,64,0)-VLOOKUP(B306,#REF!,$AM$2,0),0)</f>
        <v>0</v>
      </c>
      <c r="AN306" s="9">
        <f>IFERROR(VLOOKUP(B306,cubo!$A$6:$AN$37,41,0)-VLOOKUP(B306,#REF!,$AN$2,0),0)</f>
        <v>0</v>
      </c>
    </row>
    <row r="307" spans="2:40" x14ac:dyDescent="0.25">
      <c r="B307" s="7">
        <f>[1]salario!A306</f>
        <v>0</v>
      </c>
      <c r="C307" s="8">
        <f>[1]salario!C306</f>
        <v>0</v>
      </c>
      <c r="D307" s="9">
        <f>IFERROR(VLOOKUP(B307,cubo!$A$6:$BE$37,3,0)-VLOOKUP(B307,#REF!,$D$2,0),0)</f>
        <v>0</v>
      </c>
      <c r="E307" s="10">
        <f>IFERROR(VLOOKUP(B307,cubo!$A$6:$BE$37,5,0)-VLOOKUP(B307,#REF!,$E$2,0),0)</f>
        <v>0</v>
      </c>
      <c r="F307" s="10">
        <f>IFERROR(VLOOKUP(B307,cubo!$A$6:$BE$37,8,0)-VLOOKUP(B307,#REF!,$F$2,0),0)</f>
        <v>0</v>
      </c>
      <c r="G307" s="9">
        <f>IFERROR(VLOOKUP(B307,cubo!$A$6:$BE$37,11,0)-VLOOKUP(B307,#REF!,$G$2,0),0)</f>
        <v>0</v>
      </c>
      <c r="H307" s="9">
        <f>IFERROR(VLOOKUP(B307,cubo!$A$6:$BE$37,53,0)-VLOOKUP(B307,#REF!,$H$2,0),0)</f>
        <v>0</v>
      </c>
      <c r="I307" s="10">
        <f>IFERROR(VLOOKUP(B307,cubo!$A$6:$BE$37,14,0)-VLOOKUP(B307,#REF!,$I$2,0),0)</f>
        <v>0</v>
      </c>
      <c r="J307" s="9">
        <f>IFERROR(VLOOKUP(B307,cubo!$A$6:$BE$37,16,0)-VLOOKUP(B307,#REF!,$J$2,0),0)</f>
        <v>0</v>
      </c>
      <c r="K307" s="9">
        <f>IFERROR(VLOOKUP(B307,cubo!$A$6:$BE$37,17,0)-VLOOKUP(B307,#REF!,$K$2,0),0)</f>
        <v>0</v>
      </c>
      <c r="L307" s="9">
        <f>IFERROR(VLOOKUP(B307,cubo!$A$6:$BE$37,19,0)-VLOOKUP(B307,#REF!,$L$2,0),0)</f>
        <v>0</v>
      </c>
      <c r="M307" s="9">
        <f>IFERROR(VLOOKUP(B307,cubo!$A$6:$BE$37,23,0)-VLOOKUP(B307,#REF!,$M$2,0),0)</f>
        <v>0</v>
      </c>
      <c r="N307" s="9">
        <f>IFERROR(VLOOKUP(B307,cubo!$A$6:$BE$37,25,0)-VLOOKUP(B307,#REF!,$N$2,0),0)</f>
        <v>0</v>
      </c>
      <c r="O307" s="9">
        <f>IFERROR(VLOOKUP(B307,cubo!$A$6:$BE$37,33,0)-VLOOKUP(B307,#REF!,$O$2,0),0)</f>
        <v>0</v>
      </c>
      <c r="P307" s="8">
        <f>IFERROR(VLOOKUP(B307,cubo!$A$6:$BE$37,37,0)-VLOOKUP(B307,#REF!,$P$2,0),0)</f>
        <v>0</v>
      </c>
      <c r="Q307" s="8">
        <f>IFERROR(VLOOKUP(B307,cubo!$A$6:$BE$37,56,0)-VLOOKUP(B307,#REF!,$Q$2,0),0)</f>
        <v>0</v>
      </c>
      <c r="R307" s="9">
        <f>IFERROR(VLOOKUP(B307,cubo!$A$6:$BE$37,40,0)-VLOOKUP(B307,#REF!,$R$2,0),0)</f>
        <v>0</v>
      </c>
      <c r="S307" s="9">
        <f>IFERROR(VLOOKUP(B307,cubo!$A$6:$BE$37,43,0)-VLOOKUP(B307,#REF!,$S$2,0),0)</f>
        <v>0</v>
      </c>
      <c r="T307" s="9">
        <f>IFERROR(VLOOKUP(B307,cubo!$A$6:$BE$37,46,0)-VLOOKUP(B307,#REF!,$T$2,0),0)</f>
        <v>0</v>
      </c>
      <c r="U307" s="9">
        <f>IFERROR(VLOOKUP(B307,cubo!$A$6:$BE$37,51,0)-VLOOKUP(B307,#REF!,$U$2,0),0)</f>
        <v>0</v>
      </c>
      <c r="V307" s="9">
        <f>IFERROR(VLOOKUP(B307,cubo!$A$6:$BJ$37,60,0)-VLOOKUP(B307,#REF!,$V$2,0),0)</f>
        <v>0</v>
      </c>
      <c r="W307" s="9">
        <f>IFERROR(VLOOKUP(B307,cubo!$A$6:$BE$37,26,0)-VLOOKUP(B307,#REF!,$W$2,0),0)</f>
        <v>0</v>
      </c>
      <c r="X307" s="9">
        <f>IFERROR(VLOOKUP(B307,cubo!$A$6:$BE$37,20,0)-VLOOKUP(B307,#REF!,$X$2,0),0)</f>
        <v>0</v>
      </c>
      <c r="Y307" s="9">
        <f>IFERROR(VLOOKUP(B307,cubo!$A$6:$BE$37,21,0)-VLOOKUP(B307,#REF!,$Y$2,0),0)</f>
        <v>0</v>
      </c>
      <c r="Z307" s="9">
        <f>IFERROR(VLOOKUP(B307,cubo!$A$6:$BE$37,27,0)-VLOOKUP(B307,#REF!,$Z$2,0),0)</f>
        <v>0</v>
      </c>
      <c r="AA307" s="9">
        <f>IFERROR(VLOOKUP(B307,cubo!$A$6:$BE$37,28,0)-VLOOKUP(B307,#REF!,$AA$2,0),0)</f>
        <v>0</v>
      </c>
      <c r="AB307" s="9">
        <f>IFERROR(VLOOKUP(B307,cubo!$A$6:$BE$37,29,0)-VLOOKUP(B307,#REF!,$AB$2,0),0)</f>
        <v>0</v>
      </c>
      <c r="AC307" s="9">
        <f>IFERROR(VLOOKUP(B307,cubo!$A$6:$BE$37,30,0)-VLOOKUP(B307,#REF!,$AC$2,0),0)</f>
        <v>0</v>
      </c>
      <c r="AD307" s="9">
        <f>IFERROR(VLOOKUP(B307,cubo!$A$6:$BE$37,31,0)-VLOOKUP(B307,#REF!,$AD$2,0),0)</f>
        <v>0</v>
      </c>
      <c r="AE307" s="9">
        <f>IFERROR(VLOOKUP(B307,cubo!$A$6:$BE$37,35,0)-VLOOKUP(B307,#REF!,$AE$2,0),0)</f>
        <v>0</v>
      </c>
      <c r="AF307" s="9" cm="1">
        <f t="array" aca="1" ref="AF307" ca="1">IFERROR(rrPROCV(B307,cubo!$A$6:$BE$37,48,0)-VLOOKUP(B307,#REF!,$AF$2,0),0)</f>
        <v>0</v>
      </c>
      <c r="AG307" s="9">
        <f>IFERROR(VLOOKUP(B307,cubo!$A$6:$BE$37,49,0)-VLOOKUP(B307,#REF!,$AG$2,0),0)</f>
        <v>0</v>
      </c>
      <c r="AH307" s="9">
        <f>IFERROR(VLOOKUP(B307,cubo!$A$6:$BE$37,50,0)-VLOOKUP(B307,#REF!,$AH$2,0),0)</f>
        <v>0</v>
      </c>
      <c r="AI307" s="9">
        <f>IFERROR(VLOOKUP(B307,cubo!$A$6:$BE$37,51,0)-VLOOKUP(B307,#REF!,$AI$2,0),0)</f>
        <v>0</v>
      </c>
      <c r="AJ307" s="9">
        <f>IFERROR(VLOOKUP(B307,cubo!$A$6:$BI$116,62,0)-VLOOKUP(B307,#REF!,$AJ$2,0),0)</f>
        <v>0</v>
      </c>
      <c r="AK307" s="9">
        <f>IFERROR(VLOOKUP(B307,cubo!$A$6:$BJ$37,63,0)-VLOOKUP(B307,#REF!,$AK$2,0),0)</f>
        <v>0</v>
      </c>
      <c r="AL307" s="9">
        <f>IFERROR(VLOOKUP(B307,cubo!$A$6:$BE$37,58,0)-VLOOKUP(B307,#REF!,$AL$2,0),0)</f>
        <v>0</v>
      </c>
      <c r="AM307" s="9">
        <f>IFERROR(VLOOKUP(B307,cubo!$A$6:$BK$37,64,0)-VLOOKUP(B307,#REF!,$AM$2,0),0)</f>
        <v>0</v>
      </c>
      <c r="AN307" s="9">
        <f>IFERROR(VLOOKUP(B307,cubo!$A$6:$AN$37,41,0)-VLOOKUP(B307,#REF!,$AN$2,0),0)</f>
        <v>0</v>
      </c>
    </row>
    <row r="308" spans="2:40" x14ac:dyDescent="0.25">
      <c r="B308" s="7">
        <f>[1]salario!A307</f>
        <v>0</v>
      </c>
      <c r="C308" s="8">
        <f>[1]salario!C307</f>
        <v>0</v>
      </c>
      <c r="D308" s="9">
        <f>IFERROR(VLOOKUP(B308,cubo!$A$6:$BE$37,3,0)-VLOOKUP(B308,#REF!,$D$2,0),0)</f>
        <v>0</v>
      </c>
      <c r="E308" s="10">
        <f>IFERROR(VLOOKUP(B308,cubo!$A$6:$BE$37,5,0)-VLOOKUP(B308,#REF!,$E$2,0),0)</f>
        <v>0</v>
      </c>
      <c r="F308" s="10">
        <f>IFERROR(VLOOKUP(B308,cubo!$A$6:$BE$37,8,0)-VLOOKUP(B308,#REF!,$F$2,0),0)</f>
        <v>0</v>
      </c>
      <c r="G308" s="9">
        <f>IFERROR(VLOOKUP(B308,cubo!$A$6:$BE$37,11,0)-VLOOKUP(B308,#REF!,$G$2,0),0)</f>
        <v>0</v>
      </c>
      <c r="H308" s="9">
        <f>IFERROR(VLOOKUP(B308,cubo!$A$6:$BE$37,53,0)-VLOOKUP(B308,#REF!,$H$2,0),0)</f>
        <v>0</v>
      </c>
      <c r="I308" s="10">
        <f>IFERROR(VLOOKUP(B308,cubo!$A$6:$BE$37,14,0)-VLOOKUP(B308,#REF!,$I$2,0),0)</f>
        <v>0</v>
      </c>
      <c r="J308" s="9">
        <f>IFERROR(VLOOKUP(B308,cubo!$A$6:$BE$37,16,0)-VLOOKUP(B308,#REF!,$J$2,0),0)</f>
        <v>0</v>
      </c>
      <c r="K308" s="9">
        <f>IFERROR(VLOOKUP(B308,cubo!$A$6:$BE$37,17,0)-VLOOKUP(B308,#REF!,$K$2,0),0)</f>
        <v>0</v>
      </c>
      <c r="L308" s="9">
        <f>IFERROR(VLOOKUP(B308,cubo!$A$6:$BE$37,19,0)-VLOOKUP(B308,#REF!,$L$2,0),0)</f>
        <v>0</v>
      </c>
      <c r="M308" s="9">
        <f>IFERROR(VLOOKUP(B308,cubo!$A$6:$BE$37,23,0)-VLOOKUP(B308,#REF!,$M$2,0),0)</f>
        <v>0</v>
      </c>
      <c r="N308" s="9">
        <f>IFERROR(VLOOKUP(B308,cubo!$A$6:$BE$37,25,0)-VLOOKUP(B308,#REF!,$N$2,0),0)</f>
        <v>0</v>
      </c>
      <c r="O308" s="9">
        <f>IFERROR(VLOOKUP(B308,cubo!$A$6:$BE$37,33,0)-VLOOKUP(B308,#REF!,$O$2,0),0)</f>
        <v>0</v>
      </c>
      <c r="P308" s="8">
        <f>IFERROR(VLOOKUP(B308,cubo!$A$6:$BE$37,37,0)-VLOOKUP(B308,#REF!,$P$2,0),0)</f>
        <v>0</v>
      </c>
      <c r="Q308" s="8">
        <f>IFERROR(VLOOKUP(B308,cubo!$A$6:$BE$37,56,0)-VLOOKUP(B308,#REF!,$Q$2,0),0)</f>
        <v>0</v>
      </c>
      <c r="R308" s="9">
        <f>IFERROR(VLOOKUP(B308,cubo!$A$6:$BE$37,40,0)-VLOOKUP(B308,#REF!,$R$2,0),0)</f>
        <v>0</v>
      </c>
      <c r="S308" s="9">
        <f>IFERROR(VLOOKUP(B308,cubo!$A$6:$BE$37,43,0)-VLOOKUP(B308,#REF!,$S$2,0),0)</f>
        <v>0</v>
      </c>
      <c r="T308" s="9">
        <f>IFERROR(VLOOKUP(B308,cubo!$A$6:$BE$37,46,0)-VLOOKUP(B308,#REF!,$T$2,0),0)</f>
        <v>0</v>
      </c>
      <c r="U308" s="9">
        <f>IFERROR(VLOOKUP(B308,cubo!$A$6:$BE$37,51,0)-VLOOKUP(B308,#REF!,$U$2,0),0)</f>
        <v>0</v>
      </c>
      <c r="V308" s="9">
        <f>IFERROR(VLOOKUP(B308,cubo!$A$6:$BJ$37,60,0)-VLOOKUP(B308,#REF!,$V$2,0),0)</f>
        <v>0</v>
      </c>
      <c r="W308" s="9">
        <f>IFERROR(VLOOKUP(B308,cubo!$A$6:$BE$37,26,0)-VLOOKUP(B308,#REF!,$W$2,0),0)</f>
        <v>0</v>
      </c>
      <c r="X308" s="9">
        <f>IFERROR(VLOOKUP(B308,cubo!$A$6:$BE$37,20,0)-VLOOKUP(B308,#REF!,$X$2,0),0)</f>
        <v>0</v>
      </c>
      <c r="Y308" s="9">
        <f>IFERROR(VLOOKUP(B308,cubo!$A$6:$BE$37,21,0)-VLOOKUP(B308,#REF!,$Y$2,0),0)</f>
        <v>0</v>
      </c>
      <c r="Z308" s="9">
        <f>IFERROR(VLOOKUP(B308,cubo!$A$6:$BE$37,27,0)-VLOOKUP(B308,#REF!,$Z$2,0),0)</f>
        <v>0</v>
      </c>
      <c r="AA308" s="9">
        <f>IFERROR(VLOOKUP(B308,cubo!$A$6:$BE$37,28,0)-VLOOKUP(B308,#REF!,$AA$2,0),0)</f>
        <v>0</v>
      </c>
      <c r="AB308" s="9">
        <f>IFERROR(VLOOKUP(B308,cubo!$A$6:$BE$37,29,0)-VLOOKUP(B308,#REF!,$AB$2,0),0)</f>
        <v>0</v>
      </c>
      <c r="AC308" s="9">
        <f>IFERROR(VLOOKUP(B308,cubo!$A$6:$BE$37,30,0)-VLOOKUP(B308,#REF!,$AC$2,0),0)</f>
        <v>0</v>
      </c>
      <c r="AD308" s="9">
        <f>IFERROR(VLOOKUP(B308,cubo!$A$6:$BE$37,31,0)-VLOOKUP(B308,#REF!,$AD$2,0),0)</f>
        <v>0</v>
      </c>
      <c r="AE308" s="9">
        <f>IFERROR(VLOOKUP(B308,cubo!$A$6:$BE$37,35,0)-VLOOKUP(B308,#REF!,$AE$2,0),0)</f>
        <v>0</v>
      </c>
      <c r="AF308" s="9" cm="1">
        <f t="array" aca="1" ref="AF308" ca="1">IFERROR(rrPROCV(B308,cubo!$A$6:$BE$37,48,0)-VLOOKUP(B308,#REF!,$AF$2,0),0)</f>
        <v>0</v>
      </c>
      <c r="AG308" s="9">
        <f>IFERROR(VLOOKUP(B308,cubo!$A$6:$BE$37,49,0)-VLOOKUP(B308,#REF!,$AG$2,0),0)</f>
        <v>0</v>
      </c>
      <c r="AH308" s="9">
        <f>IFERROR(VLOOKUP(B308,cubo!$A$6:$BE$37,50,0)-VLOOKUP(B308,#REF!,$AH$2,0),0)</f>
        <v>0</v>
      </c>
      <c r="AI308" s="9">
        <f>IFERROR(VLOOKUP(B308,cubo!$A$6:$BE$37,51,0)-VLOOKUP(B308,#REF!,$AI$2,0),0)</f>
        <v>0</v>
      </c>
      <c r="AJ308" s="9">
        <f>IFERROR(VLOOKUP(B308,cubo!$A$6:$BI$116,62,0)-VLOOKUP(B308,#REF!,$AJ$2,0),0)</f>
        <v>0</v>
      </c>
      <c r="AK308" s="9">
        <f>IFERROR(VLOOKUP(B308,cubo!$A$6:$BJ$37,63,0)-VLOOKUP(B308,#REF!,$AK$2,0),0)</f>
        <v>0</v>
      </c>
      <c r="AL308" s="9">
        <f>IFERROR(VLOOKUP(B308,cubo!$A$6:$BE$37,58,0)-VLOOKUP(B308,#REF!,$AL$2,0),0)</f>
        <v>0</v>
      </c>
      <c r="AM308" s="9">
        <f>IFERROR(VLOOKUP(B308,cubo!$A$6:$BK$37,64,0)-VLOOKUP(B308,#REF!,$AM$2,0),0)</f>
        <v>0</v>
      </c>
      <c r="AN308" s="9">
        <f>IFERROR(VLOOKUP(B308,cubo!$A$6:$AN$37,41,0)-VLOOKUP(B308,#REF!,$AN$2,0),0)</f>
        <v>0</v>
      </c>
    </row>
    <row r="309" spans="2:40" x14ac:dyDescent="0.25">
      <c r="B309" s="7">
        <f>[1]salario!A308</f>
        <v>0</v>
      </c>
      <c r="C309" s="8">
        <f>[1]salario!C308</f>
        <v>0</v>
      </c>
      <c r="D309" s="9">
        <f>IFERROR(VLOOKUP(B309,cubo!$A$6:$BE$37,3,0)-VLOOKUP(B309,#REF!,$D$2,0),0)</f>
        <v>0</v>
      </c>
      <c r="E309" s="10">
        <f>IFERROR(VLOOKUP(B309,cubo!$A$6:$BE$37,5,0)-VLOOKUP(B309,#REF!,$E$2,0),0)</f>
        <v>0</v>
      </c>
      <c r="F309" s="10">
        <f>IFERROR(VLOOKUP(B309,cubo!$A$6:$BE$37,8,0)-VLOOKUP(B309,#REF!,$F$2,0),0)</f>
        <v>0</v>
      </c>
      <c r="G309" s="9">
        <f>IFERROR(VLOOKUP(B309,cubo!$A$6:$BE$37,11,0)-VLOOKUP(B309,#REF!,$G$2,0),0)</f>
        <v>0</v>
      </c>
      <c r="H309" s="9">
        <f>IFERROR(VLOOKUP(B309,cubo!$A$6:$BE$37,53,0)-VLOOKUP(B309,#REF!,$H$2,0),0)</f>
        <v>0</v>
      </c>
      <c r="I309" s="10">
        <f>IFERROR(VLOOKUP(B309,cubo!$A$6:$BE$37,14,0)-VLOOKUP(B309,#REF!,$I$2,0),0)</f>
        <v>0</v>
      </c>
      <c r="J309" s="9">
        <f>IFERROR(VLOOKUP(B309,cubo!$A$6:$BE$37,16,0)-VLOOKUP(B309,#REF!,$J$2,0),0)</f>
        <v>0</v>
      </c>
      <c r="K309" s="9">
        <f>IFERROR(VLOOKUP(B309,cubo!$A$6:$BE$37,17,0)-VLOOKUP(B309,#REF!,$K$2,0),0)</f>
        <v>0</v>
      </c>
      <c r="L309" s="9">
        <f>IFERROR(VLOOKUP(B309,cubo!$A$6:$BE$37,19,0)-VLOOKUP(B309,#REF!,$L$2,0),0)</f>
        <v>0</v>
      </c>
      <c r="M309" s="9">
        <f>IFERROR(VLOOKUP(B309,cubo!$A$6:$BE$37,23,0)-VLOOKUP(B309,#REF!,$M$2,0),0)</f>
        <v>0</v>
      </c>
      <c r="N309" s="9">
        <f>IFERROR(VLOOKUP(B309,cubo!$A$6:$BE$37,25,0)-VLOOKUP(B309,#REF!,$N$2,0),0)</f>
        <v>0</v>
      </c>
      <c r="O309" s="9">
        <f>IFERROR(VLOOKUP(B309,cubo!$A$6:$BE$37,33,0)-VLOOKUP(B309,#REF!,$O$2,0),0)</f>
        <v>0</v>
      </c>
      <c r="P309" s="8">
        <f>IFERROR(VLOOKUP(B309,cubo!$A$6:$BE$37,37,0)-VLOOKUP(B309,#REF!,$P$2,0),0)</f>
        <v>0</v>
      </c>
      <c r="Q309" s="8">
        <f>IFERROR(VLOOKUP(B309,cubo!$A$6:$BE$37,56,0)-VLOOKUP(B309,#REF!,$Q$2,0),0)</f>
        <v>0</v>
      </c>
      <c r="R309" s="9">
        <f>IFERROR(VLOOKUP(B309,cubo!$A$6:$BE$37,40,0)-VLOOKUP(B309,#REF!,$R$2,0),0)</f>
        <v>0</v>
      </c>
      <c r="S309" s="9">
        <f>IFERROR(VLOOKUP(B309,cubo!$A$6:$BE$37,43,0)-VLOOKUP(B309,#REF!,$S$2,0),0)</f>
        <v>0</v>
      </c>
      <c r="T309" s="9">
        <f>IFERROR(VLOOKUP(B309,cubo!$A$6:$BE$37,46,0)-VLOOKUP(B309,#REF!,$T$2,0),0)</f>
        <v>0</v>
      </c>
      <c r="U309" s="9">
        <f>IFERROR(VLOOKUP(B309,cubo!$A$6:$BE$37,51,0)-VLOOKUP(B309,#REF!,$U$2,0),0)</f>
        <v>0</v>
      </c>
      <c r="V309" s="9">
        <f>IFERROR(VLOOKUP(B309,cubo!$A$6:$BJ$37,60,0)-VLOOKUP(B309,#REF!,$V$2,0),0)</f>
        <v>0</v>
      </c>
      <c r="W309" s="9">
        <f>IFERROR(VLOOKUP(B309,cubo!$A$6:$BE$37,26,0)-VLOOKUP(B309,#REF!,$W$2,0),0)</f>
        <v>0</v>
      </c>
      <c r="X309" s="9">
        <f>IFERROR(VLOOKUP(B309,cubo!$A$6:$BE$37,20,0)-VLOOKUP(B309,#REF!,$X$2,0),0)</f>
        <v>0</v>
      </c>
      <c r="Y309" s="9">
        <f>IFERROR(VLOOKUP(B309,cubo!$A$6:$BE$37,21,0)-VLOOKUP(B309,#REF!,$Y$2,0),0)</f>
        <v>0</v>
      </c>
      <c r="Z309" s="9">
        <f>IFERROR(VLOOKUP(B309,cubo!$A$6:$BE$37,27,0)-VLOOKUP(B309,#REF!,$Z$2,0),0)</f>
        <v>0</v>
      </c>
      <c r="AA309" s="9">
        <f>IFERROR(VLOOKUP(B309,cubo!$A$6:$BE$37,28,0)-VLOOKUP(B309,#REF!,$AA$2,0),0)</f>
        <v>0</v>
      </c>
      <c r="AB309" s="9">
        <f>IFERROR(VLOOKUP(B309,cubo!$A$6:$BE$37,29,0)-VLOOKUP(B309,#REF!,$AB$2,0),0)</f>
        <v>0</v>
      </c>
      <c r="AC309" s="9">
        <f>IFERROR(VLOOKUP(B309,cubo!$A$6:$BE$37,30,0)-VLOOKUP(B309,#REF!,$AC$2,0),0)</f>
        <v>0</v>
      </c>
      <c r="AD309" s="9">
        <f>IFERROR(VLOOKUP(B309,cubo!$A$6:$BE$37,31,0)-VLOOKUP(B309,#REF!,$AD$2,0),0)</f>
        <v>0</v>
      </c>
      <c r="AE309" s="9">
        <f>IFERROR(VLOOKUP(B309,cubo!$A$6:$BE$37,35,0)-VLOOKUP(B309,#REF!,$AE$2,0),0)</f>
        <v>0</v>
      </c>
      <c r="AF309" s="9" cm="1">
        <f t="array" aca="1" ref="AF309" ca="1">IFERROR(rrPROCV(B309,cubo!$A$6:$BE$37,48,0)-VLOOKUP(B309,#REF!,$AF$2,0),0)</f>
        <v>0</v>
      </c>
      <c r="AG309" s="9">
        <f>IFERROR(VLOOKUP(B309,cubo!$A$6:$BE$37,49,0)-VLOOKUP(B309,#REF!,$AG$2,0),0)</f>
        <v>0</v>
      </c>
      <c r="AH309" s="9">
        <f>IFERROR(VLOOKUP(B309,cubo!$A$6:$BE$37,50,0)-VLOOKUP(B309,#REF!,$AH$2,0),0)</f>
        <v>0</v>
      </c>
      <c r="AI309" s="9">
        <f>IFERROR(VLOOKUP(B309,cubo!$A$6:$BE$37,51,0)-VLOOKUP(B309,#REF!,$AI$2,0),0)</f>
        <v>0</v>
      </c>
      <c r="AJ309" s="9">
        <f>IFERROR(VLOOKUP(B309,cubo!$A$6:$BI$116,62,0)-VLOOKUP(B309,#REF!,$AJ$2,0),0)</f>
        <v>0</v>
      </c>
      <c r="AK309" s="9">
        <f>IFERROR(VLOOKUP(B309,cubo!$A$6:$BJ$37,63,0)-VLOOKUP(B309,#REF!,$AK$2,0),0)</f>
        <v>0</v>
      </c>
      <c r="AL309" s="9">
        <f>IFERROR(VLOOKUP(B309,cubo!$A$6:$BE$37,58,0)-VLOOKUP(B309,#REF!,$AL$2,0),0)</f>
        <v>0</v>
      </c>
      <c r="AM309" s="9">
        <f>IFERROR(VLOOKUP(B309,cubo!$A$6:$BK$37,64,0)-VLOOKUP(B309,#REF!,$AM$2,0),0)</f>
        <v>0</v>
      </c>
      <c r="AN309" s="9">
        <f>IFERROR(VLOOKUP(B309,cubo!$A$6:$AN$37,41,0)-VLOOKUP(B309,#REF!,$AN$2,0),0)</f>
        <v>0</v>
      </c>
    </row>
    <row r="310" spans="2:40" x14ac:dyDescent="0.25">
      <c r="B310" s="7">
        <f>[1]salario!A309</f>
        <v>0</v>
      </c>
      <c r="C310" s="8">
        <f>[1]salario!C309</f>
        <v>0</v>
      </c>
      <c r="D310" s="9">
        <f>IFERROR(VLOOKUP(B310,cubo!$A$6:$BE$37,3,0)-VLOOKUP(B310,#REF!,$D$2,0),0)</f>
        <v>0</v>
      </c>
      <c r="E310" s="10">
        <f>IFERROR(VLOOKUP(B310,cubo!$A$6:$BE$37,5,0)-VLOOKUP(B310,#REF!,$E$2,0),0)</f>
        <v>0</v>
      </c>
      <c r="F310" s="10">
        <f>IFERROR(VLOOKUP(B310,cubo!$A$6:$BE$37,8,0)-VLOOKUP(B310,#REF!,$F$2,0),0)</f>
        <v>0</v>
      </c>
      <c r="G310" s="9">
        <f>IFERROR(VLOOKUP(B310,cubo!$A$6:$BE$37,11,0)-VLOOKUP(B310,#REF!,$G$2,0),0)</f>
        <v>0</v>
      </c>
      <c r="H310" s="9">
        <f>IFERROR(VLOOKUP(B310,cubo!$A$6:$BE$37,53,0)-VLOOKUP(B310,#REF!,$H$2,0),0)</f>
        <v>0</v>
      </c>
      <c r="I310" s="10">
        <f>IFERROR(VLOOKUP(B310,cubo!$A$6:$BE$37,14,0)-VLOOKUP(B310,#REF!,$I$2,0),0)</f>
        <v>0</v>
      </c>
      <c r="J310" s="9">
        <f>IFERROR(VLOOKUP(B310,cubo!$A$6:$BE$37,16,0)-VLOOKUP(B310,#REF!,$J$2,0),0)</f>
        <v>0</v>
      </c>
      <c r="K310" s="9">
        <f>IFERROR(VLOOKUP(B310,cubo!$A$6:$BE$37,17,0)-VLOOKUP(B310,#REF!,$K$2,0),0)</f>
        <v>0</v>
      </c>
      <c r="L310" s="9">
        <f>IFERROR(VLOOKUP(B310,cubo!$A$6:$BE$37,19,0)-VLOOKUP(B310,#REF!,$L$2,0),0)</f>
        <v>0</v>
      </c>
      <c r="M310" s="9">
        <f>IFERROR(VLOOKUP(B310,cubo!$A$6:$BE$37,23,0)-VLOOKUP(B310,#REF!,$M$2,0),0)</f>
        <v>0</v>
      </c>
      <c r="N310" s="9">
        <f>IFERROR(VLOOKUP(B310,cubo!$A$6:$BE$37,25,0)-VLOOKUP(B310,#REF!,$N$2,0),0)</f>
        <v>0</v>
      </c>
      <c r="O310" s="9">
        <f>IFERROR(VLOOKUP(B310,cubo!$A$6:$BE$37,33,0)-VLOOKUP(B310,#REF!,$O$2,0),0)</f>
        <v>0</v>
      </c>
      <c r="P310" s="8">
        <f>IFERROR(VLOOKUP(B310,cubo!$A$6:$BE$37,37,0)-VLOOKUP(B310,#REF!,$P$2,0),0)</f>
        <v>0</v>
      </c>
      <c r="Q310" s="8">
        <f>IFERROR(VLOOKUP(B310,cubo!$A$6:$BE$37,56,0)-VLOOKUP(B310,#REF!,$Q$2,0),0)</f>
        <v>0</v>
      </c>
      <c r="R310" s="9">
        <f>IFERROR(VLOOKUP(B310,cubo!$A$6:$BE$37,40,0)-VLOOKUP(B310,#REF!,$R$2,0),0)</f>
        <v>0</v>
      </c>
      <c r="S310" s="9">
        <f>IFERROR(VLOOKUP(B310,cubo!$A$6:$BE$37,43,0)-VLOOKUP(B310,#REF!,$S$2,0),0)</f>
        <v>0</v>
      </c>
      <c r="T310" s="9">
        <f>IFERROR(VLOOKUP(B310,cubo!$A$6:$BE$37,46,0)-VLOOKUP(B310,#REF!,$T$2,0),0)</f>
        <v>0</v>
      </c>
      <c r="U310" s="9">
        <f>IFERROR(VLOOKUP(B310,cubo!$A$6:$BE$37,51,0)-VLOOKUP(B310,#REF!,$U$2,0),0)</f>
        <v>0</v>
      </c>
      <c r="V310" s="9">
        <f>IFERROR(VLOOKUP(B310,cubo!$A$6:$BJ$37,60,0)-VLOOKUP(B310,#REF!,$V$2,0),0)</f>
        <v>0</v>
      </c>
      <c r="W310" s="9">
        <f>IFERROR(VLOOKUP(B310,cubo!$A$6:$BE$37,26,0)-VLOOKUP(B310,#REF!,$W$2,0),0)</f>
        <v>0</v>
      </c>
      <c r="X310" s="9">
        <f>IFERROR(VLOOKUP(B310,cubo!$A$6:$BE$37,20,0)-VLOOKUP(B310,#REF!,$X$2,0),0)</f>
        <v>0</v>
      </c>
      <c r="Y310" s="9">
        <f>IFERROR(VLOOKUP(B310,cubo!$A$6:$BE$37,21,0)-VLOOKUP(B310,#REF!,$Y$2,0),0)</f>
        <v>0</v>
      </c>
      <c r="Z310" s="9">
        <f>IFERROR(VLOOKUP(B310,cubo!$A$6:$BE$37,27,0)-VLOOKUP(B310,#REF!,$Z$2,0),0)</f>
        <v>0</v>
      </c>
      <c r="AA310" s="9">
        <f>IFERROR(VLOOKUP(B310,cubo!$A$6:$BE$37,28,0)-VLOOKUP(B310,#REF!,$AA$2,0),0)</f>
        <v>0</v>
      </c>
      <c r="AB310" s="9">
        <f>IFERROR(VLOOKUP(B310,cubo!$A$6:$BE$37,29,0)-VLOOKUP(B310,#REF!,$AB$2,0),0)</f>
        <v>0</v>
      </c>
      <c r="AC310" s="9">
        <f>IFERROR(VLOOKUP(B310,cubo!$A$6:$BE$37,30,0)-VLOOKUP(B310,#REF!,$AC$2,0),0)</f>
        <v>0</v>
      </c>
      <c r="AD310" s="9">
        <f>IFERROR(VLOOKUP(B310,cubo!$A$6:$BE$37,31,0)-VLOOKUP(B310,#REF!,$AD$2,0),0)</f>
        <v>0</v>
      </c>
      <c r="AE310" s="9">
        <f>IFERROR(VLOOKUP(B310,cubo!$A$6:$BE$37,35,0)-VLOOKUP(B310,#REF!,$AE$2,0),0)</f>
        <v>0</v>
      </c>
      <c r="AF310" s="9" cm="1">
        <f t="array" aca="1" ref="AF310" ca="1">IFERROR(rrPROCV(B310,cubo!$A$6:$BE$37,48,0)-VLOOKUP(B310,#REF!,$AF$2,0),0)</f>
        <v>0</v>
      </c>
      <c r="AG310" s="9">
        <f>IFERROR(VLOOKUP(B310,cubo!$A$6:$BE$37,49,0)-VLOOKUP(B310,#REF!,$AG$2,0),0)</f>
        <v>0</v>
      </c>
      <c r="AH310" s="9">
        <f>IFERROR(VLOOKUP(B310,cubo!$A$6:$BE$37,50,0)-VLOOKUP(B310,#REF!,$AH$2,0),0)</f>
        <v>0</v>
      </c>
      <c r="AI310" s="9">
        <f>IFERROR(VLOOKUP(B310,cubo!$A$6:$BE$37,51,0)-VLOOKUP(B310,#REF!,$AI$2,0),0)</f>
        <v>0</v>
      </c>
      <c r="AJ310" s="9">
        <f>IFERROR(VLOOKUP(B310,cubo!$A$6:$BI$116,62,0)-VLOOKUP(B310,#REF!,$AJ$2,0),0)</f>
        <v>0</v>
      </c>
      <c r="AK310" s="9">
        <f>IFERROR(VLOOKUP(B310,cubo!$A$6:$BJ$37,63,0)-VLOOKUP(B310,#REF!,$AK$2,0),0)</f>
        <v>0</v>
      </c>
      <c r="AL310" s="9">
        <f>IFERROR(VLOOKUP(B310,cubo!$A$6:$BE$37,58,0)-VLOOKUP(B310,#REF!,$AL$2,0),0)</f>
        <v>0</v>
      </c>
      <c r="AM310" s="9">
        <f>IFERROR(VLOOKUP(B310,cubo!$A$6:$BK$37,64,0)-VLOOKUP(B310,#REF!,$AM$2,0),0)</f>
        <v>0</v>
      </c>
      <c r="AN310" s="9">
        <f>IFERROR(VLOOKUP(B310,cubo!$A$6:$AN$37,41,0)-VLOOKUP(B310,#REF!,$AN$2,0),0)</f>
        <v>0</v>
      </c>
    </row>
    <row r="311" spans="2:40" x14ac:dyDescent="0.25">
      <c r="B311" s="7">
        <f>[1]salario!A310</f>
        <v>0</v>
      </c>
      <c r="C311" s="8">
        <f>[1]salario!C310</f>
        <v>0</v>
      </c>
      <c r="D311" s="9">
        <f>IFERROR(VLOOKUP(B311,cubo!$A$6:$BE$37,3,0)-VLOOKUP(B311,#REF!,$D$2,0),0)</f>
        <v>0</v>
      </c>
      <c r="E311" s="10">
        <f>IFERROR(VLOOKUP(B311,cubo!$A$6:$BE$37,5,0)-VLOOKUP(B311,#REF!,$E$2,0),0)</f>
        <v>0</v>
      </c>
      <c r="F311" s="10">
        <f>IFERROR(VLOOKUP(B311,cubo!$A$6:$BE$37,8,0)-VLOOKUP(B311,#REF!,$F$2,0),0)</f>
        <v>0</v>
      </c>
      <c r="G311" s="9">
        <f>IFERROR(VLOOKUP(B311,cubo!$A$6:$BE$37,11,0)-VLOOKUP(B311,#REF!,$G$2,0),0)</f>
        <v>0</v>
      </c>
      <c r="H311" s="9">
        <f>IFERROR(VLOOKUP(B311,cubo!$A$6:$BE$37,53,0)-VLOOKUP(B311,#REF!,$H$2,0),0)</f>
        <v>0</v>
      </c>
      <c r="I311" s="10">
        <f>IFERROR(VLOOKUP(B311,cubo!$A$6:$BE$37,14,0)-VLOOKUP(B311,#REF!,$I$2,0),0)</f>
        <v>0</v>
      </c>
      <c r="J311" s="9">
        <f>IFERROR(VLOOKUP(B311,cubo!$A$6:$BE$37,16,0)-VLOOKUP(B311,#REF!,$J$2,0),0)</f>
        <v>0</v>
      </c>
      <c r="K311" s="9">
        <f>IFERROR(VLOOKUP(B311,cubo!$A$6:$BE$37,17,0)-VLOOKUP(B311,#REF!,$K$2,0),0)</f>
        <v>0</v>
      </c>
      <c r="L311" s="9">
        <f>IFERROR(VLOOKUP(B311,cubo!$A$6:$BE$37,19,0)-VLOOKUP(B311,#REF!,$L$2,0),0)</f>
        <v>0</v>
      </c>
      <c r="M311" s="9">
        <f>IFERROR(VLOOKUP(B311,cubo!$A$6:$BE$37,23,0)-VLOOKUP(B311,#REF!,$M$2,0),0)</f>
        <v>0</v>
      </c>
      <c r="N311" s="9">
        <f>IFERROR(VLOOKUP(B311,cubo!$A$6:$BE$37,25,0)-VLOOKUP(B311,#REF!,$N$2,0),0)</f>
        <v>0</v>
      </c>
      <c r="O311" s="9">
        <f>IFERROR(VLOOKUP(B311,cubo!$A$6:$BE$37,33,0)-VLOOKUP(B311,#REF!,$O$2,0),0)</f>
        <v>0</v>
      </c>
      <c r="P311" s="8">
        <f>IFERROR(VLOOKUP(B311,cubo!$A$6:$BE$37,37,0)-VLOOKUP(B311,#REF!,$P$2,0),0)</f>
        <v>0</v>
      </c>
      <c r="Q311" s="8">
        <f>IFERROR(VLOOKUP(B311,cubo!$A$6:$BE$37,56,0)-VLOOKUP(B311,#REF!,$Q$2,0),0)</f>
        <v>0</v>
      </c>
      <c r="R311" s="9">
        <f>IFERROR(VLOOKUP(B311,cubo!$A$6:$BE$37,40,0)-VLOOKUP(B311,#REF!,$R$2,0),0)</f>
        <v>0</v>
      </c>
      <c r="S311" s="9">
        <f>IFERROR(VLOOKUP(B311,cubo!$A$6:$BE$37,43,0)-VLOOKUP(B311,#REF!,$S$2,0),0)</f>
        <v>0</v>
      </c>
      <c r="T311" s="9">
        <f>IFERROR(VLOOKUP(B311,cubo!$A$6:$BE$37,46,0)-VLOOKUP(B311,#REF!,$T$2,0),0)</f>
        <v>0</v>
      </c>
      <c r="U311" s="9">
        <f>IFERROR(VLOOKUP(B311,cubo!$A$6:$BE$37,51,0)-VLOOKUP(B311,#REF!,$U$2,0),0)</f>
        <v>0</v>
      </c>
      <c r="V311" s="9">
        <f>IFERROR(VLOOKUP(B311,cubo!$A$6:$BJ$37,60,0)-VLOOKUP(B311,#REF!,$V$2,0),0)</f>
        <v>0</v>
      </c>
      <c r="W311" s="9">
        <f>IFERROR(VLOOKUP(B311,cubo!$A$6:$BE$37,26,0)-VLOOKUP(B311,#REF!,$W$2,0),0)</f>
        <v>0</v>
      </c>
      <c r="X311" s="9">
        <f>IFERROR(VLOOKUP(B311,cubo!$A$6:$BE$37,20,0)-VLOOKUP(B311,#REF!,$X$2,0),0)</f>
        <v>0</v>
      </c>
      <c r="Y311" s="9">
        <f>IFERROR(VLOOKUP(B311,cubo!$A$6:$BE$37,21,0)-VLOOKUP(B311,#REF!,$Y$2,0),0)</f>
        <v>0</v>
      </c>
      <c r="Z311" s="9">
        <f>IFERROR(VLOOKUP(B311,cubo!$A$6:$BE$37,27,0)-VLOOKUP(B311,#REF!,$Z$2,0),0)</f>
        <v>0</v>
      </c>
      <c r="AA311" s="9">
        <f>IFERROR(VLOOKUP(B311,cubo!$A$6:$BE$37,28,0)-VLOOKUP(B311,#REF!,$AA$2,0),0)</f>
        <v>0</v>
      </c>
      <c r="AB311" s="9">
        <f>IFERROR(VLOOKUP(B311,cubo!$A$6:$BE$37,29,0)-VLOOKUP(B311,#REF!,$AB$2,0),0)</f>
        <v>0</v>
      </c>
      <c r="AC311" s="9">
        <f>IFERROR(VLOOKUP(B311,cubo!$A$6:$BE$37,30,0)-VLOOKUP(B311,#REF!,$AC$2,0),0)</f>
        <v>0</v>
      </c>
      <c r="AD311" s="9">
        <f>IFERROR(VLOOKUP(B311,cubo!$A$6:$BE$37,31,0)-VLOOKUP(B311,#REF!,$AD$2,0),0)</f>
        <v>0</v>
      </c>
      <c r="AE311" s="9">
        <f>IFERROR(VLOOKUP(B311,cubo!$A$6:$BE$37,35,0)-VLOOKUP(B311,#REF!,$AE$2,0),0)</f>
        <v>0</v>
      </c>
      <c r="AF311" s="9" cm="1">
        <f t="array" aca="1" ref="AF311" ca="1">IFERROR(rrPROCV(B311,cubo!$A$6:$BE$37,48,0)-VLOOKUP(B311,#REF!,$AF$2,0),0)</f>
        <v>0</v>
      </c>
      <c r="AG311" s="9">
        <f>IFERROR(VLOOKUP(B311,cubo!$A$6:$BE$37,49,0)-VLOOKUP(B311,#REF!,$AG$2,0),0)</f>
        <v>0</v>
      </c>
      <c r="AH311" s="9">
        <f>IFERROR(VLOOKUP(B311,cubo!$A$6:$BE$37,50,0)-VLOOKUP(B311,#REF!,$AH$2,0),0)</f>
        <v>0</v>
      </c>
      <c r="AI311" s="9">
        <f>IFERROR(VLOOKUP(B311,cubo!$A$6:$BE$37,51,0)-VLOOKUP(B311,#REF!,$AI$2,0),0)</f>
        <v>0</v>
      </c>
      <c r="AJ311" s="9">
        <f>IFERROR(VLOOKUP(B311,cubo!$A$6:$BI$116,62,0)-VLOOKUP(B311,#REF!,$AJ$2,0),0)</f>
        <v>0</v>
      </c>
      <c r="AK311" s="9">
        <f>IFERROR(VLOOKUP(B311,cubo!$A$6:$BJ$37,63,0)-VLOOKUP(B311,#REF!,$AK$2,0),0)</f>
        <v>0</v>
      </c>
      <c r="AL311" s="9">
        <f>IFERROR(VLOOKUP(B311,cubo!$A$6:$BE$37,58,0)-VLOOKUP(B311,#REF!,$AL$2,0),0)</f>
        <v>0</v>
      </c>
      <c r="AM311" s="9">
        <f>IFERROR(VLOOKUP(B311,cubo!$A$6:$BK$37,64,0)-VLOOKUP(B311,#REF!,$AM$2,0),0)</f>
        <v>0</v>
      </c>
      <c r="AN311" s="9">
        <f>IFERROR(VLOOKUP(B311,cubo!$A$6:$AN$37,41,0)-VLOOKUP(B311,#REF!,$AN$2,0),0)</f>
        <v>0</v>
      </c>
    </row>
    <row r="312" spans="2:40" x14ac:dyDescent="0.25">
      <c r="B312" s="7">
        <f>[1]salario!A311</f>
        <v>0</v>
      </c>
      <c r="C312" s="8">
        <f>[1]salario!C311</f>
        <v>0</v>
      </c>
      <c r="D312" s="9">
        <f>IFERROR(VLOOKUP(B312,cubo!$A$6:$BE$37,3,0)-VLOOKUP(B312,#REF!,$D$2,0),0)</f>
        <v>0</v>
      </c>
      <c r="E312" s="10">
        <f>IFERROR(VLOOKUP(B312,cubo!$A$6:$BE$37,5,0)-VLOOKUP(B312,#REF!,$E$2,0),0)</f>
        <v>0</v>
      </c>
      <c r="F312" s="10">
        <f>IFERROR(VLOOKUP(B312,cubo!$A$6:$BE$37,8,0)-VLOOKUP(B312,#REF!,$F$2,0),0)</f>
        <v>0</v>
      </c>
      <c r="G312" s="9">
        <f>IFERROR(VLOOKUP(B312,cubo!$A$6:$BE$37,11,0)-VLOOKUP(B312,#REF!,$G$2,0),0)</f>
        <v>0</v>
      </c>
      <c r="H312" s="9">
        <f>IFERROR(VLOOKUP(B312,cubo!$A$6:$BE$37,53,0)-VLOOKUP(B312,#REF!,$H$2,0),0)</f>
        <v>0</v>
      </c>
      <c r="I312" s="10">
        <f>IFERROR(VLOOKUP(B312,cubo!$A$6:$BE$37,14,0)-VLOOKUP(B312,#REF!,$I$2,0),0)</f>
        <v>0</v>
      </c>
      <c r="J312" s="9">
        <f>IFERROR(VLOOKUP(B312,cubo!$A$6:$BE$37,16,0)-VLOOKUP(B312,#REF!,$J$2,0),0)</f>
        <v>0</v>
      </c>
      <c r="K312" s="9">
        <f>IFERROR(VLOOKUP(B312,cubo!$A$6:$BE$37,17,0)-VLOOKUP(B312,#REF!,$K$2,0),0)</f>
        <v>0</v>
      </c>
      <c r="L312" s="9">
        <f>IFERROR(VLOOKUP(B312,cubo!$A$6:$BE$37,19,0)-VLOOKUP(B312,#REF!,$L$2,0),0)</f>
        <v>0</v>
      </c>
      <c r="M312" s="9">
        <f>IFERROR(VLOOKUP(B312,cubo!$A$6:$BE$37,23,0)-VLOOKUP(B312,#REF!,$M$2,0),0)</f>
        <v>0</v>
      </c>
      <c r="N312" s="9">
        <f>IFERROR(VLOOKUP(B312,cubo!$A$6:$BE$37,25,0)-VLOOKUP(B312,#REF!,$N$2,0),0)</f>
        <v>0</v>
      </c>
      <c r="O312" s="9">
        <f>IFERROR(VLOOKUP(B312,cubo!$A$6:$BE$37,33,0)-VLOOKUP(B312,#REF!,$O$2,0),0)</f>
        <v>0</v>
      </c>
      <c r="P312" s="8">
        <f>IFERROR(VLOOKUP(B312,cubo!$A$6:$BE$37,37,0)-VLOOKUP(B312,#REF!,$P$2,0),0)</f>
        <v>0</v>
      </c>
      <c r="Q312" s="8">
        <f>IFERROR(VLOOKUP(B312,cubo!$A$6:$BE$37,56,0)-VLOOKUP(B312,#REF!,$Q$2,0),0)</f>
        <v>0</v>
      </c>
      <c r="R312" s="9">
        <f>IFERROR(VLOOKUP(B312,cubo!$A$6:$BE$37,40,0)-VLOOKUP(B312,#REF!,$R$2,0),0)</f>
        <v>0</v>
      </c>
      <c r="S312" s="9">
        <f>IFERROR(VLOOKUP(B312,cubo!$A$6:$BE$37,43,0)-VLOOKUP(B312,#REF!,$S$2,0),0)</f>
        <v>0</v>
      </c>
      <c r="T312" s="9">
        <f>IFERROR(VLOOKUP(B312,cubo!$A$6:$BE$37,46,0)-VLOOKUP(B312,#REF!,$T$2,0),0)</f>
        <v>0</v>
      </c>
      <c r="U312" s="9">
        <f>IFERROR(VLOOKUP(B312,cubo!$A$6:$BE$37,51,0)-VLOOKUP(B312,#REF!,$U$2,0),0)</f>
        <v>0</v>
      </c>
      <c r="V312" s="9">
        <f>IFERROR(VLOOKUP(B312,cubo!$A$6:$BJ$37,60,0)-VLOOKUP(B312,#REF!,$V$2,0),0)</f>
        <v>0</v>
      </c>
      <c r="W312" s="9">
        <f>IFERROR(VLOOKUP(B312,cubo!$A$6:$BE$37,26,0)-VLOOKUP(B312,#REF!,$W$2,0),0)</f>
        <v>0</v>
      </c>
      <c r="X312" s="9">
        <f>IFERROR(VLOOKUP(B312,cubo!$A$6:$BE$37,20,0)-VLOOKUP(B312,#REF!,$X$2,0),0)</f>
        <v>0</v>
      </c>
      <c r="Y312" s="9">
        <f>IFERROR(VLOOKUP(B312,cubo!$A$6:$BE$37,21,0)-VLOOKUP(B312,#REF!,$Y$2,0),0)</f>
        <v>0</v>
      </c>
      <c r="Z312" s="9">
        <f>IFERROR(VLOOKUP(B312,cubo!$A$6:$BE$37,27,0)-VLOOKUP(B312,#REF!,$Z$2,0),0)</f>
        <v>0</v>
      </c>
      <c r="AA312" s="9">
        <f>IFERROR(VLOOKUP(B312,cubo!$A$6:$BE$37,28,0)-VLOOKUP(B312,#REF!,$AA$2,0),0)</f>
        <v>0</v>
      </c>
      <c r="AB312" s="9">
        <f>IFERROR(VLOOKUP(B312,cubo!$A$6:$BE$37,29,0)-VLOOKUP(B312,#REF!,$AB$2,0),0)</f>
        <v>0</v>
      </c>
      <c r="AC312" s="9">
        <f>IFERROR(VLOOKUP(B312,cubo!$A$6:$BE$37,30,0)-VLOOKUP(B312,#REF!,$AC$2,0),0)</f>
        <v>0</v>
      </c>
      <c r="AD312" s="9">
        <f>IFERROR(VLOOKUP(B312,cubo!$A$6:$BE$37,31,0)-VLOOKUP(B312,#REF!,$AD$2,0),0)</f>
        <v>0</v>
      </c>
      <c r="AE312" s="9">
        <f>IFERROR(VLOOKUP(B312,cubo!$A$6:$BE$37,35,0)-VLOOKUP(B312,#REF!,$AE$2,0),0)</f>
        <v>0</v>
      </c>
      <c r="AF312" s="9" cm="1">
        <f t="array" aca="1" ref="AF312" ca="1">IFERROR(rrPROCV(B312,cubo!$A$6:$BE$37,48,0)-VLOOKUP(B312,#REF!,$AF$2,0),0)</f>
        <v>0</v>
      </c>
      <c r="AG312" s="9">
        <f>IFERROR(VLOOKUP(B312,cubo!$A$6:$BE$37,49,0)-VLOOKUP(B312,#REF!,$AG$2,0),0)</f>
        <v>0</v>
      </c>
      <c r="AH312" s="9">
        <f>IFERROR(VLOOKUP(B312,cubo!$A$6:$BE$37,50,0)-VLOOKUP(B312,#REF!,$AH$2,0),0)</f>
        <v>0</v>
      </c>
      <c r="AI312" s="9">
        <f>IFERROR(VLOOKUP(B312,cubo!$A$6:$BE$37,51,0)-VLOOKUP(B312,#REF!,$AI$2,0),0)</f>
        <v>0</v>
      </c>
      <c r="AJ312" s="9">
        <f>IFERROR(VLOOKUP(B312,cubo!$A$6:$BI$116,62,0)-VLOOKUP(B312,#REF!,$AJ$2,0),0)</f>
        <v>0</v>
      </c>
      <c r="AK312" s="9">
        <f>IFERROR(VLOOKUP(B312,cubo!$A$6:$BJ$37,63,0)-VLOOKUP(B312,#REF!,$AK$2,0),0)</f>
        <v>0</v>
      </c>
      <c r="AL312" s="9">
        <f>IFERROR(VLOOKUP(B312,cubo!$A$6:$BE$37,58,0)-VLOOKUP(B312,#REF!,$AL$2,0),0)</f>
        <v>0</v>
      </c>
      <c r="AM312" s="9">
        <f>IFERROR(VLOOKUP(B312,cubo!$A$6:$BK$37,64,0)-VLOOKUP(B312,#REF!,$AM$2,0),0)</f>
        <v>0</v>
      </c>
      <c r="AN312" s="9">
        <f>IFERROR(VLOOKUP(B312,cubo!$A$6:$AN$37,41,0)-VLOOKUP(B312,#REF!,$AN$2,0),0)</f>
        <v>0</v>
      </c>
    </row>
    <row r="313" spans="2:40" x14ac:dyDescent="0.25">
      <c r="B313" s="7">
        <f>[1]salario!A312</f>
        <v>0</v>
      </c>
      <c r="C313" s="8">
        <f>[1]salario!C312</f>
        <v>0</v>
      </c>
      <c r="D313" s="9">
        <f>IFERROR(VLOOKUP(B313,cubo!$A$6:$BE$37,3,0)-VLOOKUP(B313,#REF!,$D$2,0),0)</f>
        <v>0</v>
      </c>
      <c r="E313" s="10">
        <f>IFERROR(VLOOKUP(B313,cubo!$A$6:$BE$37,5,0)-VLOOKUP(B313,#REF!,$E$2,0),0)</f>
        <v>0</v>
      </c>
      <c r="F313" s="10">
        <f>IFERROR(VLOOKUP(B313,cubo!$A$6:$BE$37,8,0)-VLOOKUP(B313,#REF!,$F$2,0),0)</f>
        <v>0</v>
      </c>
      <c r="G313" s="9">
        <f>IFERROR(VLOOKUP(B313,cubo!$A$6:$BE$37,11,0)-VLOOKUP(B313,#REF!,$G$2,0),0)</f>
        <v>0</v>
      </c>
      <c r="H313" s="9">
        <f>IFERROR(VLOOKUP(B313,cubo!$A$6:$BE$37,53,0)-VLOOKUP(B313,#REF!,$H$2,0),0)</f>
        <v>0</v>
      </c>
      <c r="I313" s="10">
        <f>IFERROR(VLOOKUP(B313,cubo!$A$6:$BE$37,14,0)-VLOOKUP(B313,#REF!,$I$2,0),0)</f>
        <v>0</v>
      </c>
      <c r="J313" s="9">
        <f>IFERROR(VLOOKUP(B313,cubo!$A$6:$BE$37,16,0)-VLOOKUP(B313,#REF!,$J$2,0),0)</f>
        <v>0</v>
      </c>
      <c r="K313" s="9">
        <f>IFERROR(VLOOKUP(B313,cubo!$A$6:$BE$37,17,0)-VLOOKUP(B313,#REF!,$K$2,0),0)</f>
        <v>0</v>
      </c>
      <c r="L313" s="9">
        <f>IFERROR(VLOOKUP(B313,cubo!$A$6:$BE$37,19,0)-VLOOKUP(B313,#REF!,$L$2,0),0)</f>
        <v>0</v>
      </c>
      <c r="M313" s="9">
        <f>IFERROR(VLOOKUP(B313,cubo!$A$6:$BE$37,23,0)-VLOOKUP(B313,#REF!,$M$2,0),0)</f>
        <v>0</v>
      </c>
      <c r="N313" s="9">
        <f>IFERROR(VLOOKUP(B313,cubo!$A$6:$BE$37,25,0)-VLOOKUP(B313,#REF!,$N$2,0),0)</f>
        <v>0</v>
      </c>
      <c r="O313" s="9">
        <f>IFERROR(VLOOKUP(B313,cubo!$A$6:$BE$37,33,0)-VLOOKUP(B313,#REF!,$O$2,0),0)</f>
        <v>0</v>
      </c>
      <c r="P313" s="8">
        <f>IFERROR(VLOOKUP(B313,cubo!$A$6:$BE$37,37,0)-VLOOKUP(B313,#REF!,$P$2,0),0)</f>
        <v>0</v>
      </c>
      <c r="Q313" s="8">
        <f>IFERROR(VLOOKUP(B313,cubo!$A$6:$BE$37,56,0)-VLOOKUP(B313,#REF!,$Q$2,0),0)</f>
        <v>0</v>
      </c>
      <c r="R313" s="9">
        <f>IFERROR(VLOOKUP(B313,cubo!$A$6:$BE$37,40,0)-VLOOKUP(B313,#REF!,$R$2,0),0)</f>
        <v>0</v>
      </c>
      <c r="S313" s="9">
        <f>IFERROR(VLOOKUP(B313,cubo!$A$6:$BE$37,43,0)-VLOOKUP(B313,#REF!,$S$2,0),0)</f>
        <v>0</v>
      </c>
      <c r="T313" s="9">
        <f>IFERROR(VLOOKUP(B313,cubo!$A$6:$BE$37,46,0)-VLOOKUP(B313,#REF!,$T$2,0),0)</f>
        <v>0</v>
      </c>
      <c r="U313" s="9">
        <f>IFERROR(VLOOKUP(B313,cubo!$A$6:$BE$37,51,0)-VLOOKUP(B313,#REF!,$U$2,0),0)</f>
        <v>0</v>
      </c>
      <c r="V313" s="9">
        <f>IFERROR(VLOOKUP(B313,cubo!$A$6:$BJ$37,60,0)-VLOOKUP(B313,#REF!,$V$2,0),0)</f>
        <v>0</v>
      </c>
      <c r="W313" s="9">
        <f>IFERROR(VLOOKUP(B313,cubo!$A$6:$BE$37,26,0)-VLOOKUP(B313,#REF!,$W$2,0),0)</f>
        <v>0</v>
      </c>
      <c r="X313" s="9">
        <f>IFERROR(VLOOKUP(B313,cubo!$A$6:$BE$37,20,0)-VLOOKUP(B313,#REF!,$X$2,0),0)</f>
        <v>0</v>
      </c>
      <c r="Y313" s="9">
        <f>IFERROR(VLOOKUP(B313,cubo!$A$6:$BE$37,21,0)-VLOOKUP(B313,#REF!,$Y$2,0),0)</f>
        <v>0</v>
      </c>
      <c r="Z313" s="9">
        <f>IFERROR(VLOOKUP(B313,cubo!$A$6:$BE$37,27,0)-VLOOKUP(B313,#REF!,$Z$2,0),0)</f>
        <v>0</v>
      </c>
      <c r="AA313" s="9">
        <f>IFERROR(VLOOKUP(B313,cubo!$A$6:$BE$37,28,0)-VLOOKUP(B313,#REF!,$AA$2,0),0)</f>
        <v>0</v>
      </c>
      <c r="AB313" s="9">
        <f>IFERROR(VLOOKUP(B313,cubo!$A$6:$BE$37,29,0)-VLOOKUP(B313,#REF!,$AB$2,0),0)</f>
        <v>0</v>
      </c>
      <c r="AC313" s="9">
        <f>IFERROR(VLOOKUP(B313,cubo!$A$6:$BE$37,30,0)-VLOOKUP(B313,#REF!,$AC$2,0),0)</f>
        <v>0</v>
      </c>
      <c r="AD313" s="9">
        <f>IFERROR(VLOOKUP(B313,cubo!$A$6:$BE$37,31,0)-VLOOKUP(B313,#REF!,$AD$2,0),0)</f>
        <v>0</v>
      </c>
      <c r="AE313" s="9">
        <f>IFERROR(VLOOKUP(B313,cubo!$A$6:$BE$37,35,0)-VLOOKUP(B313,#REF!,$AE$2,0),0)</f>
        <v>0</v>
      </c>
      <c r="AF313" s="9" cm="1">
        <f t="array" aca="1" ref="AF313" ca="1">IFERROR(rrPROCV(B313,cubo!$A$6:$BE$37,48,0)-VLOOKUP(B313,#REF!,$AF$2,0),0)</f>
        <v>0</v>
      </c>
      <c r="AG313" s="9">
        <f>IFERROR(VLOOKUP(B313,cubo!$A$6:$BE$37,49,0)-VLOOKUP(B313,#REF!,$AG$2,0),0)</f>
        <v>0</v>
      </c>
      <c r="AH313" s="9">
        <f>IFERROR(VLOOKUP(B313,cubo!$A$6:$BE$37,50,0)-VLOOKUP(B313,#REF!,$AH$2,0),0)</f>
        <v>0</v>
      </c>
      <c r="AI313" s="9">
        <f>IFERROR(VLOOKUP(B313,cubo!$A$6:$BE$37,51,0)-VLOOKUP(B313,#REF!,$AI$2,0),0)</f>
        <v>0</v>
      </c>
      <c r="AJ313" s="9">
        <f>IFERROR(VLOOKUP(B313,cubo!$A$6:$BI$116,62,0)-VLOOKUP(B313,#REF!,$AJ$2,0),0)</f>
        <v>0</v>
      </c>
      <c r="AK313" s="9">
        <f>IFERROR(VLOOKUP(B313,cubo!$A$6:$BJ$37,63,0)-VLOOKUP(B313,#REF!,$AK$2,0),0)</f>
        <v>0</v>
      </c>
      <c r="AL313" s="9">
        <f>IFERROR(VLOOKUP(B313,cubo!$A$6:$BE$37,58,0)-VLOOKUP(B313,#REF!,$AL$2,0),0)</f>
        <v>0</v>
      </c>
      <c r="AM313" s="9">
        <f>IFERROR(VLOOKUP(B313,cubo!$A$6:$BK$37,64,0)-VLOOKUP(B313,#REF!,$AM$2,0),0)</f>
        <v>0</v>
      </c>
      <c r="AN313" s="9">
        <f>IFERROR(VLOOKUP(B313,cubo!$A$6:$AN$37,41,0)-VLOOKUP(B313,#REF!,$AN$2,0),0)</f>
        <v>0</v>
      </c>
    </row>
    <row r="314" spans="2:40" x14ac:dyDescent="0.25">
      <c r="B314" s="7">
        <f>[1]salario!A313</f>
        <v>0</v>
      </c>
      <c r="C314" s="8">
        <f>[1]salario!C313</f>
        <v>0</v>
      </c>
      <c r="D314" s="9">
        <f>IFERROR(VLOOKUP(B314,cubo!$A$6:$BE$37,3,0)-VLOOKUP(B314,#REF!,$D$2,0),0)</f>
        <v>0</v>
      </c>
      <c r="E314" s="10">
        <f>IFERROR(VLOOKUP(B314,cubo!$A$6:$BE$37,5,0)-VLOOKUP(B314,#REF!,$E$2,0),0)</f>
        <v>0</v>
      </c>
      <c r="F314" s="10">
        <f>IFERROR(VLOOKUP(B314,cubo!$A$6:$BE$37,8,0)-VLOOKUP(B314,#REF!,$F$2,0),0)</f>
        <v>0</v>
      </c>
      <c r="G314" s="9">
        <f>IFERROR(VLOOKUP(B314,cubo!$A$6:$BE$37,11,0)-VLOOKUP(B314,#REF!,$G$2,0),0)</f>
        <v>0</v>
      </c>
      <c r="H314" s="9">
        <f>IFERROR(VLOOKUP(B314,cubo!$A$6:$BE$37,53,0)-VLOOKUP(B314,#REF!,$H$2,0),0)</f>
        <v>0</v>
      </c>
      <c r="I314" s="10">
        <f>IFERROR(VLOOKUP(B314,cubo!$A$6:$BE$37,14,0)-VLOOKUP(B314,#REF!,$I$2,0),0)</f>
        <v>0</v>
      </c>
      <c r="J314" s="9">
        <f>IFERROR(VLOOKUP(B314,cubo!$A$6:$BE$37,16,0)-VLOOKUP(B314,#REF!,$J$2,0),0)</f>
        <v>0</v>
      </c>
      <c r="K314" s="9">
        <f>IFERROR(VLOOKUP(B314,cubo!$A$6:$BE$37,17,0)-VLOOKUP(B314,#REF!,$K$2,0),0)</f>
        <v>0</v>
      </c>
      <c r="L314" s="9">
        <f>IFERROR(VLOOKUP(B314,cubo!$A$6:$BE$37,19,0)-VLOOKUP(B314,#REF!,$L$2,0),0)</f>
        <v>0</v>
      </c>
      <c r="M314" s="9">
        <f>IFERROR(VLOOKUP(B314,cubo!$A$6:$BE$37,23,0)-VLOOKUP(B314,#REF!,$M$2,0),0)</f>
        <v>0</v>
      </c>
      <c r="N314" s="9">
        <f>IFERROR(VLOOKUP(B314,cubo!$A$6:$BE$37,25,0)-VLOOKUP(B314,#REF!,$N$2,0),0)</f>
        <v>0</v>
      </c>
      <c r="O314" s="9">
        <f>IFERROR(VLOOKUP(B314,cubo!$A$6:$BE$37,33,0)-VLOOKUP(B314,#REF!,$O$2,0),0)</f>
        <v>0</v>
      </c>
      <c r="P314" s="8">
        <f>IFERROR(VLOOKUP(B314,cubo!$A$6:$BE$37,37,0)-VLOOKUP(B314,#REF!,$P$2,0),0)</f>
        <v>0</v>
      </c>
      <c r="Q314" s="8">
        <f>IFERROR(VLOOKUP(B314,cubo!$A$6:$BE$37,56,0)-VLOOKUP(B314,#REF!,$Q$2,0),0)</f>
        <v>0</v>
      </c>
      <c r="R314" s="9">
        <f>IFERROR(VLOOKUP(B314,cubo!$A$6:$BE$37,40,0)-VLOOKUP(B314,#REF!,$R$2,0),0)</f>
        <v>0</v>
      </c>
      <c r="S314" s="9">
        <f>IFERROR(VLOOKUP(B314,cubo!$A$6:$BE$37,43,0)-VLOOKUP(B314,#REF!,$S$2,0),0)</f>
        <v>0</v>
      </c>
      <c r="T314" s="9">
        <f>IFERROR(VLOOKUP(B314,cubo!$A$6:$BE$37,46,0)-VLOOKUP(B314,#REF!,$T$2,0),0)</f>
        <v>0</v>
      </c>
      <c r="U314" s="9">
        <f>IFERROR(VLOOKUP(B314,cubo!$A$6:$BE$37,51,0)-VLOOKUP(B314,#REF!,$U$2,0),0)</f>
        <v>0</v>
      </c>
      <c r="V314" s="9">
        <f>IFERROR(VLOOKUP(B314,cubo!$A$6:$BJ$37,60,0)-VLOOKUP(B314,#REF!,$V$2,0),0)</f>
        <v>0</v>
      </c>
      <c r="W314" s="9">
        <f>IFERROR(VLOOKUP(B314,cubo!$A$6:$BE$37,26,0)-VLOOKUP(B314,#REF!,$W$2,0),0)</f>
        <v>0</v>
      </c>
      <c r="X314" s="9">
        <f>IFERROR(VLOOKUP(B314,cubo!$A$6:$BE$37,20,0)-VLOOKUP(B314,#REF!,$X$2,0),0)</f>
        <v>0</v>
      </c>
      <c r="Y314" s="9">
        <f>IFERROR(VLOOKUP(B314,cubo!$A$6:$BE$37,21,0)-VLOOKUP(B314,#REF!,$Y$2,0),0)</f>
        <v>0</v>
      </c>
      <c r="Z314" s="9">
        <f>IFERROR(VLOOKUP(B314,cubo!$A$6:$BE$37,27,0)-VLOOKUP(B314,#REF!,$Z$2,0),0)</f>
        <v>0</v>
      </c>
      <c r="AA314" s="9">
        <f>IFERROR(VLOOKUP(B314,cubo!$A$6:$BE$37,28,0)-VLOOKUP(B314,#REF!,$AA$2,0),0)</f>
        <v>0</v>
      </c>
      <c r="AB314" s="9">
        <f>IFERROR(VLOOKUP(B314,cubo!$A$6:$BE$37,29,0)-VLOOKUP(B314,#REF!,$AB$2,0),0)</f>
        <v>0</v>
      </c>
      <c r="AC314" s="9">
        <f>IFERROR(VLOOKUP(B314,cubo!$A$6:$BE$37,30,0)-VLOOKUP(B314,#REF!,$AC$2,0),0)</f>
        <v>0</v>
      </c>
      <c r="AD314" s="9">
        <f>IFERROR(VLOOKUP(B314,cubo!$A$6:$BE$37,31,0)-VLOOKUP(B314,#REF!,$AD$2,0),0)</f>
        <v>0</v>
      </c>
      <c r="AE314" s="9">
        <f>IFERROR(VLOOKUP(B314,cubo!$A$6:$BE$37,35,0)-VLOOKUP(B314,#REF!,$AE$2,0),0)</f>
        <v>0</v>
      </c>
      <c r="AF314" s="9" cm="1">
        <f t="array" aca="1" ref="AF314" ca="1">IFERROR(rrPROCV(B314,cubo!$A$6:$BE$37,48,0)-VLOOKUP(B314,#REF!,$AF$2,0),0)</f>
        <v>0</v>
      </c>
      <c r="AG314" s="9">
        <f>IFERROR(VLOOKUP(B314,cubo!$A$6:$BE$37,49,0)-VLOOKUP(B314,#REF!,$AG$2,0),0)</f>
        <v>0</v>
      </c>
      <c r="AH314" s="9">
        <f>IFERROR(VLOOKUP(B314,cubo!$A$6:$BE$37,50,0)-VLOOKUP(B314,#REF!,$AH$2,0),0)</f>
        <v>0</v>
      </c>
      <c r="AI314" s="9">
        <f>IFERROR(VLOOKUP(B314,cubo!$A$6:$BE$37,51,0)-VLOOKUP(B314,#REF!,$AI$2,0),0)</f>
        <v>0</v>
      </c>
      <c r="AJ314" s="9">
        <f>IFERROR(VLOOKUP(B314,cubo!$A$6:$BI$116,62,0)-VLOOKUP(B314,#REF!,$AJ$2,0),0)</f>
        <v>0</v>
      </c>
      <c r="AK314" s="9">
        <f>IFERROR(VLOOKUP(B314,cubo!$A$6:$BJ$37,63,0)-VLOOKUP(B314,#REF!,$AK$2,0),0)</f>
        <v>0</v>
      </c>
      <c r="AL314" s="9">
        <f>IFERROR(VLOOKUP(B314,cubo!$A$6:$BE$37,58,0)-VLOOKUP(B314,#REF!,$AL$2,0),0)</f>
        <v>0</v>
      </c>
      <c r="AM314" s="9">
        <f>IFERROR(VLOOKUP(B314,cubo!$A$6:$BK$37,64,0)-VLOOKUP(B314,#REF!,$AM$2,0),0)</f>
        <v>0</v>
      </c>
      <c r="AN314" s="9">
        <f>IFERROR(VLOOKUP(B314,cubo!$A$6:$AN$37,41,0)-VLOOKUP(B314,#REF!,$AN$2,0),0)</f>
        <v>0</v>
      </c>
    </row>
    <row r="315" spans="2:40" x14ac:dyDescent="0.25">
      <c r="B315" s="7">
        <f>[1]salario!A314</f>
        <v>0</v>
      </c>
      <c r="C315" s="8">
        <f>[1]salario!C314</f>
        <v>0</v>
      </c>
      <c r="D315" s="9">
        <f>IFERROR(VLOOKUP(B315,cubo!$A$6:$BE$37,3,0)-VLOOKUP(B315,#REF!,$D$2,0),0)</f>
        <v>0</v>
      </c>
      <c r="E315" s="10">
        <f>IFERROR(VLOOKUP(B315,cubo!$A$6:$BE$37,5,0)-VLOOKUP(B315,#REF!,$E$2,0),0)</f>
        <v>0</v>
      </c>
      <c r="F315" s="10">
        <f>IFERROR(VLOOKUP(B315,cubo!$A$6:$BE$37,8,0)-VLOOKUP(B315,#REF!,$F$2,0),0)</f>
        <v>0</v>
      </c>
      <c r="G315" s="9">
        <f>IFERROR(VLOOKUP(B315,cubo!$A$6:$BE$37,11,0)-VLOOKUP(B315,#REF!,$G$2,0),0)</f>
        <v>0</v>
      </c>
      <c r="H315" s="9">
        <f>IFERROR(VLOOKUP(B315,cubo!$A$6:$BE$37,53,0)-VLOOKUP(B315,#REF!,$H$2,0),0)</f>
        <v>0</v>
      </c>
      <c r="I315" s="10">
        <f>IFERROR(VLOOKUP(B315,cubo!$A$6:$BE$37,14,0)-VLOOKUP(B315,#REF!,$I$2,0),0)</f>
        <v>0</v>
      </c>
      <c r="J315" s="9">
        <f>IFERROR(VLOOKUP(B315,cubo!$A$6:$BE$37,16,0)-VLOOKUP(B315,#REF!,$J$2,0),0)</f>
        <v>0</v>
      </c>
      <c r="K315" s="9">
        <f>IFERROR(VLOOKUP(B315,cubo!$A$6:$BE$37,17,0)-VLOOKUP(B315,#REF!,$K$2,0),0)</f>
        <v>0</v>
      </c>
      <c r="L315" s="9">
        <f>IFERROR(VLOOKUP(B315,cubo!$A$6:$BE$37,19,0)-VLOOKUP(B315,#REF!,$L$2,0),0)</f>
        <v>0</v>
      </c>
      <c r="M315" s="9">
        <f>IFERROR(VLOOKUP(B315,cubo!$A$6:$BE$37,23,0)-VLOOKUP(B315,#REF!,$M$2,0),0)</f>
        <v>0</v>
      </c>
      <c r="N315" s="9">
        <f>IFERROR(VLOOKUP(B315,cubo!$A$6:$BE$37,25,0)-VLOOKUP(B315,#REF!,$N$2,0),0)</f>
        <v>0</v>
      </c>
      <c r="O315" s="9">
        <f>IFERROR(VLOOKUP(B315,cubo!$A$6:$BE$37,33,0)-VLOOKUP(B315,#REF!,$O$2,0),0)</f>
        <v>0</v>
      </c>
      <c r="P315" s="8">
        <f>IFERROR(VLOOKUP(B315,cubo!$A$6:$BE$37,37,0)-VLOOKUP(B315,#REF!,$P$2,0),0)</f>
        <v>0</v>
      </c>
      <c r="Q315" s="8">
        <f>IFERROR(VLOOKUP(B315,cubo!$A$6:$BE$37,56,0)-VLOOKUP(B315,#REF!,$Q$2,0),0)</f>
        <v>0</v>
      </c>
      <c r="R315" s="9">
        <f>IFERROR(VLOOKUP(B315,cubo!$A$6:$BE$37,40,0)-VLOOKUP(B315,#REF!,$R$2,0),0)</f>
        <v>0</v>
      </c>
      <c r="S315" s="9">
        <f>IFERROR(VLOOKUP(B315,cubo!$A$6:$BE$37,43,0)-VLOOKUP(B315,#REF!,$S$2,0),0)</f>
        <v>0</v>
      </c>
      <c r="T315" s="9">
        <f>IFERROR(VLOOKUP(B315,cubo!$A$6:$BE$37,46,0)-VLOOKUP(B315,#REF!,$T$2,0),0)</f>
        <v>0</v>
      </c>
      <c r="U315" s="9">
        <f>IFERROR(VLOOKUP(B315,cubo!$A$6:$BE$37,51,0)-VLOOKUP(B315,#REF!,$U$2,0),0)</f>
        <v>0</v>
      </c>
      <c r="V315" s="9">
        <f>IFERROR(VLOOKUP(B315,cubo!$A$6:$BJ$37,60,0)-VLOOKUP(B315,#REF!,$V$2,0),0)</f>
        <v>0</v>
      </c>
      <c r="W315" s="9">
        <f>IFERROR(VLOOKUP(B315,cubo!$A$6:$BE$37,26,0)-VLOOKUP(B315,#REF!,$W$2,0),0)</f>
        <v>0</v>
      </c>
      <c r="X315" s="9">
        <f>IFERROR(VLOOKUP(B315,cubo!$A$6:$BE$37,20,0)-VLOOKUP(B315,#REF!,$X$2,0),0)</f>
        <v>0</v>
      </c>
      <c r="Y315" s="9">
        <f>IFERROR(VLOOKUP(B315,cubo!$A$6:$BE$37,21,0)-VLOOKUP(B315,#REF!,$Y$2,0),0)</f>
        <v>0</v>
      </c>
      <c r="Z315" s="9">
        <f>IFERROR(VLOOKUP(B315,cubo!$A$6:$BE$37,27,0)-VLOOKUP(B315,#REF!,$Z$2,0),0)</f>
        <v>0</v>
      </c>
      <c r="AA315" s="9">
        <f>IFERROR(VLOOKUP(B315,cubo!$A$6:$BE$37,28,0)-VLOOKUP(B315,#REF!,$AA$2,0),0)</f>
        <v>0</v>
      </c>
      <c r="AB315" s="9">
        <f>IFERROR(VLOOKUP(B315,cubo!$A$6:$BE$37,29,0)-VLOOKUP(B315,#REF!,$AB$2,0),0)</f>
        <v>0</v>
      </c>
      <c r="AC315" s="9">
        <f>IFERROR(VLOOKUP(B315,cubo!$A$6:$BE$37,30,0)-VLOOKUP(B315,#REF!,$AC$2,0),0)</f>
        <v>0</v>
      </c>
      <c r="AD315" s="9">
        <f>IFERROR(VLOOKUP(B315,cubo!$A$6:$BE$37,31,0)-VLOOKUP(B315,#REF!,$AD$2,0),0)</f>
        <v>0</v>
      </c>
      <c r="AE315" s="9">
        <f>IFERROR(VLOOKUP(B315,cubo!$A$6:$BE$37,35,0)-VLOOKUP(B315,#REF!,$AE$2,0),0)</f>
        <v>0</v>
      </c>
      <c r="AF315" s="9" cm="1">
        <f t="array" aca="1" ref="AF315" ca="1">IFERROR(rrPROCV(B315,cubo!$A$6:$BE$37,48,0)-VLOOKUP(B315,#REF!,$AF$2,0),0)</f>
        <v>0</v>
      </c>
      <c r="AG315" s="9">
        <f>IFERROR(VLOOKUP(B315,cubo!$A$6:$BE$37,49,0)-VLOOKUP(B315,#REF!,$AG$2,0),0)</f>
        <v>0</v>
      </c>
      <c r="AH315" s="9">
        <f>IFERROR(VLOOKUP(B315,cubo!$A$6:$BE$37,50,0)-VLOOKUP(B315,#REF!,$AH$2,0),0)</f>
        <v>0</v>
      </c>
      <c r="AI315" s="9">
        <f>IFERROR(VLOOKUP(B315,cubo!$A$6:$BE$37,51,0)-VLOOKUP(B315,#REF!,$AI$2,0),0)</f>
        <v>0</v>
      </c>
      <c r="AJ315" s="9">
        <f>IFERROR(VLOOKUP(B315,cubo!$A$6:$BI$116,62,0)-VLOOKUP(B315,#REF!,$AJ$2,0),0)</f>
        <v>0</v>
      </c>
      <c r="AK315" s="9">
        <f>IFERROR(VLOOKUP(B315,cubo!$A$6:$BJ$37,63,0)-VLOOKUP(B315,#REF!,$AK$2,0),0)</f>
        <v>0</v>
      </c>
      <c r="AL315" s="9">
        <f>IFERROR(VLOOKUP(B315,cubo!$A$6:$BE$37,58,0)-VLOOKUP(B315,#REF!,$AL$2,0),0)</f>
        <v>0</v>
      </c>
      <c r="AM315" s="9">
        <f>IFERROR(VLOOKUP(B315,cubo!$A$6:$BK$37,64,0)-VLOOKUP(B315,#REF!,$AM$2,0),0)</f>
        <v>0</v>
      </c>
      <c r="AN315" s="9">
        <f>IFERROR(VLOOKUP(B315,cubo!$A$6:$AN$37,41,0)-VLOOKUP(B315,#REF!,$AN$2,0),0)</f>
        <v>0</v>
      </c>
    </row>
    <row r="316" spans="2:40" x14ac:dyDescent="0.25">
      <c r="B316" s="7">
        <f>[1]salario!A315</f>
        <v>0</v>
      </c>
      <c r="C316" s="8">
        <f>[1]salario!C315</f>
        <v>0</v>
      </c>
      <c r="D316" s="9">
        <f>IFERROR(VLOOKUP(B316,cubo!$A$6:$BE$37,3,0)-VLOOKUP(B316,#REF!,$D$2,0),0)</f>
        <v>0</v>
      </c>
      <c r="E316" s="10">
        <f>IFERROR(VLOOKUP(B316,cubo!$A$6:$BE$37,5,0)-VLOOKUP(B316,#REF!,$E$2,0),0)</f>
        <v>0</v>
      </c>
      <c r="F316" s="10">
        <f>IFERROR(VLOOKUP(B316,cubo!$A$6:$BE$37,8,0)-VLOOKUP(B316,#REF!,$F$2,0),0)</f>
        <v>0</v>
      </c>
      <c r="G316" s="9">
        <f>IFERROR(VLOOKUP(B316,cubo!$A$6:$BE$37,11,0)-VLOOKUP(B316,#REF!,$G$2,0),0)</f>
        <v>0</v>
      </c>
      <c r="H316" s="9">
        <f>IFERROR(VLOOKUP(B316,cubo!$A$6:$BE$37,53,0)-VLOOKUP(B316,#REF!,$H$2,0),0)</f>
        <v>0</v>
      </c>
      <c r="I316" s="10">
        <f>IFERROR(VLOOKUP(B316,cubo!$A$6:$BE$37,14,0)-VLOOKUP(B316,#REF!,$I$2,0),0)</f>
        <v>0</v>
      </c>
      <c r="J316" s="9">
        <f>IFERROR(VLOOKUP(B316,cubo!$A$6:$BE$37,16,0)-VLOOKUP(B316,#REF!,$J$2,0),0)</f>
        <v>0</v>
      </c>
      <c r="K316" s="9">
        <f>IFERROR(VLOOKUP(B316,cubo!$A$6:$BE$37,17,0)-VLOOKUP(B316,#REF!,$K$2,0),0)</f>
        <v>0</v>
      </c>
      <c r="L316" s="9">
        <f>IFERROR(VLOOKUP(B316,cubo!$A$6:$BE$37,19,0)-VLOOKUP(B316,#REF!,$L$2,0),0)</f>
        <v>0</v>
      </c>
      <c r="M316" s="9">
        <f>IFERROR(VLOOKUP(B316,cubo!$A$6:$BE$37,23,0)-VLOOKUP(B316,#REF!,$M$2,0),0)</f>
        <v>0</v>
      </c>
      <c r="N316" s="9">
        <f>IFERROR(VLOOKUP(B316,cubo!$A$6:$BE$37,25,0)-VLOOKUP(B316,#REF!,$N$2,0),0)</f>
        <v>0</v>
      </c>
      <c r="O316" s="9">
        <f>IFERROR(VLOOKUP(B316,cubo!$A$6:$BE$37,33,0)-VLOOKUP(B316,#REF!,$O$2,0),0)</f>
        <v>0</v>
      </c>
      <c r="P316" s="8">
        <f>IFERROR(VLOOKUP(B316,cubo!$A$6:$BE$37,37,0)-VLOOKUP(B316,#REF!,$P$2,0),0)</f>
        <v>0</v>
      </c>
      <c r="Q316" s="8">
        <f>IFERROR(VLOOKUP(B316,cubo!$A$6:$BE$37,56,0)-VLOOKUP(B316,#REF!,$Q$2,0),0)</f>
        <v>0</v>
      </c>
      <c r="R316" s="9">
        <f>IFERROR(VLOOKUP(B316,cubo!$A$6:$BE$37,40,0)-VLOOKUP(B316,#REF!,$R$2,0),0)</f>
        <v>0</v>
      </c>
      <c r="S316" s="9">
        <f>IFERROR(VLOOKUP(B316,cubo!$A$6:$BE$37,43,0)-VLOOKUP(B316,#REF!,$S$2,0),0)</f>
        <v>0</v>
      </c>
      <c r="T316" s="9">
        <f>IFERROR(VLOOKUP(B316,cubo!$A$6:$BE$37,46,0)-VLOOKUP(B316,#REF!,$T$2,0),0)</f>
        <v>0</v>
      </c>
      <c r="U316" s="9">
        <f>IFERROR(VLOOKUP(B316,cubo!$A$6:$BE$37,51,0)-VLOOKUP(B316,#REF!,$U$2,0),0)</f>
        <v>0</v>
      </c>
      <c r="V316" s="9">
        <f>IFERROR(VLOOKUP(B316,cubo!$A$6:$BJ$37,60,0)-VLOOKUP(B316,#REF!,$V$2,0),0)</f>
        <v>0</v>
      </c>
      <c r="W316" s="9">
        <f>IFERROR(VLOOKUP(B316,cubo!$A$6:$BE$37,26,0)-VLOOKUP(B316,#REF!,$W$2,0),0)</f>
        <v>0</v>
      </c>
      <c r="X316" s="9">
        <f>IFERROR(VLOOKUP(B316,cubo!$A$6:$BE$37,20,0)-VLOOKUP(B316,#REF!,$X$2,0),0)</f>
        <v>0</v>
      </c>
      <c r="Y316" s="9">
        <f>IFERROR(VLOOKUP(B316,cubo!$A$6:$BE$37,21,0)-VLOOKUP(B316,#REF!,$Y$2,0),0)</f>
        <v>0</v>
      </c>
      <c r="Z316" s="9">
        <f>IFERROR(VLOOKUP(B316,cubo!$A$6:$BE$37,27,0)-VLOOKUP(B316,#REF!,$Z$2,0),0)</f>
        <v>0</v>
      </c>
      <c r="AA316" s="9">
        <f>IFERROR(VLOOKUP(B316,cubo!$A$6:$BE$37,28,0)-VLOOKUP(B316,#REF!,$AA$2,0),0)</f>
        <v>0</v>
      </c>
      <c r="AB316" s="9">
        <f>IFERROR(VLOOKUP(B316,cubo!$A$6:$BE$37,29,0)-VLOOKUP(B316,#REF!,$AB$2,0),0)</f>
        <v>0</v>
      </c>
      <c r="AC316" s="9">
        <f>IFERROR(VLOOKUP(B316,cubo!$A$6:$BE$37,30,0)-VLOOKUP(B316,#REF!,$AC$2,0),0)</f>
        <v>0</v>
      </c>
      <c r="AD316" s="9">
        <f>IFERROR(VLOOKUP(B316,cubo!$A$6:$BE$37,31,0)-VLOOKUP(B316,#REF!,$AD$2,0),0)</f>
        <v>0</v>
      </c>
      <c r="AE316" s="9">
        <f>IFERROR(VLOOKUP(B316,cubo!$A$6:$BE$37,35,0)-VLOOKUP(B316,#REF!,$AE$2,0),0)</f>
        <v>0</v>
      </c>
      <c r="AF316" s="9" cm="1">
        <f t="array" aca="1" ref="AF316" ca="1">IFERROR(rrPROCV(B316,cubo!$A$6:$BE$37,48,0)-VLOOKUP(B316,#REF!,$AF$2,0),0)</f>
        <v>0</v>
      </c>
      <c r="AG316" s="9">
        <f>IFERROR(VLOOKUP(B316,cubo!$A$6:$BE$37,49,0)-VLOOKUP(B316,#REF!,$AG$2,0),0)</f>
        <v>0</v>
      </c>
      <c r="AH316" s="9">
        <f>IFERROR(VLOOKUP(B316,cubo!$A$6:$BE$37,50,0)-VLOOKUP(B316,#REF!,$AH$2,0),0)</f>
        <v>0</v>
      </c>
      <c r="AI316" s="9">
        <f>IFERROR(VLOOKUP(B316,cubo!$A$6:$BE$37,51,0)-VLOOKUP(B316,#REF!,$AI$2,0),0)</f>
        <v>0</v>
      </c>
      <c r="AJ316" s="9">
        <f>IFERROR(VLOOKUP(B316,cubo!$A$6:$BI$116,62,0)-VLOOKUP(B316,#REF!,$AJ$2,0),0)</f>
        <v>0</v>
      </c>
      <c r="AK316" s="9">
        <f>IFERROR(VLOOKUP(B316,cubo!$A$6:$BJ$37,63,0)-VLOOKUP(B316,#REF!,$AK$2,0),0)</f>
        <v>0</v>
      </c>
      <c r="AL316" s="9">
        <f>IFERROR(VLOOKUP(B316,cubo!$A$6:$BE$37,58,0)-VLOOKUP(B316,#REF!,$AL$2,0),0)</f>
        <v>0</v>
      </c>
      <c r="AM316" s="9">
        <f>IFERROR(VLOOKUP(B316,cubo!$A$6:$BK$37,64,0)-VLOOKUP(B316,#REF!,$AM$2,0),0)</f>
        <v>0</v>
      </c>
      <c r="AN316" s="9">
        <f>IFERROR(VLOOKUP(B316,cubo!$A$6:$AN$37,41,0)-VLOOKUP(B316,#REF!,$AN$2,0),0)</f>
        <v>0</v>
      </c>
    </row>
    <row r="317" spans="2:40" x14ac:dyDescent="0.25">
      <c r="B317" s="7">
        <f>[1]salario!A316</f>
        <v>0</v>
      </c>
      <c r="C317" s="8">
        <f>[1]salario!C316</f>
        <v>0</v>
      </c>
      <c r="D317" s="9">
        <f>IFERROR(VLOOKUP(B317,cubo!$A$6:$BE$37,3,0)-VLOOKUP(B317,#REF!,$D$2,0),0)</f>
        <v>0</v>
      </c>
      <c r="E317" s="10">
        <f>IFERROR(VLOOKUP(B317,cubo!$A$6:$BE$37,5,0)-VLOOKUP(B317,#REF!,$E$2,0),0)</f>
        <v>0</v>
      </c>
      <c r="F317" s="10">
        <f>IFERROR(VLOOKUP(B317,cubo!$A$6:$BE$37,8,0)-VLOOKUP(B317,#REF!,$F$2,0),0)</f>
        <v>0</v>
      </c>
      <c r="G317" s="9">
        <f>IFERROR(VLOOKUP(B317,cubo!$A$6:$BE$37,11,0)-VLOOKUP(B317,#REF!,$G$2,0),0)</f>
        <v>0</v>
      </c>
      <c r="H317" s="9">
        <f>IFERROR(VLOOKUP(B317,cubo!$A$6:$BE$37,53,0)-VLOOKUP(B317,#REF!,$H$2,0),0)</f>
        <v>0</v>
      </c>
      <c r="I317" s="10">
        <f>IFERROR(VLOOKUP(B317,cubo!$A$6:$BE$37,14,0)-VLOOKUP(B317,#REF!,$I$2,0),0)</f>
        <v>0</v>
      </c>
      <c r="J317" s="9">
        <f>IFERROR(VLOOKUP(B317,cubo!$A$6:$BE$37,16,0)-VLOOKUP(B317,#REF!,$J$2,0),0)</f>
        <v>0</v>
      </c>
      <c r="K317" s="9">
        <f>IFERROR(VLOOKUP(B317,cubo!$A$6:$BE$37,17,0)-VLOOKUP(B317,#REF!,$K$2,0),0)</f>
        <v>0</v>
      </c>
      <c r="L317" s="9">
        <f>IFERROR(VLOOKUP(B317,cubo!$A$6:$BE$37,19,0)-VLOOKUP(B317,#REF!,$L$2,0),0)</f>
        <v>0</v>
      </c>
      <c r="M317" s="9">
        <f>IFERROR(VLOOKUP(B317,cubo!$A$6:$BE$37,23,0)-VLOOKUP(B317,#REF!,$M$2,0),0)</f>
        <v>0</v>
      </c>
      <c r="N317" s="9">
        <f>IFERROR(VLOOKUP(B317,cubo!$A$6:$BE$37,25,0)-VLOOKUP(B317,#REF!,$N$2,0),0)</f>
        <v>0</v>
      </c>
      <c r="O317" s="9">
        <f>IFERROR(VLOOKUP(B317,cubo!$A$6:$BE$37,33,0)-VLOOKUP(B317,#REF!,$O$2,0),0)</f>
        <v>0</v>
      </c>
      <c r="P317" s="8">
        <f>IFERROR(VLOOKUP(B317,cubo!$A$6:$BE$37,37,0)-VLOOKUP(B317,#REF!,$P$2,0),0)</f>
        <v>0</v>
      </c>
      <c r="Q317" s="8">
        <f>IFERROR(VLOOKUP(B317,cubo!$A$6:$BE$37,56,0)-VLOOKUP(B317,#REF!,$Q$2,0),0)</f>
        <v>0</v>
      </c>
      <c r="R317" s="9">
        <f>IFERROR(VLOOKUP(B317,cubo!$A$6:$BE$37,40,0)-VLOOKUP(B317,#REF!,$R$2,0),0)</f>
        <v>0</v>
      </c>
      <c r="S317" s="9">
        <f>IFERROR(VLOOKUP(B317,cubo!$A$6:$BE$37,43,0)-VLOOKUP(B317,#REF!,$S$2,0),0)</f>
        <v>0</v>
      </c>
      <c r="T317" s="9">
        <f>IFERROR(VLOOKUP(B317,cubo!$A$6:$BE$37,46,0)-VLOOKUP(B317,#REF!,$T$2,0),0)</f>
        <v>0</v>
      </c>
      <c r="U317" s="9">
        <f>IFERROR(VLOOKUP(B317,cubo!$A$6:$BE$37,51,0)-VLOOKUP(B317,#REF!,$U$2,0),0)</f>
        <v>0</v>
      </c>
      <c r="V317" s="9">
        <f>IFERROR(VLOOKUP(B317,cubo!$A$6:$BJ$37,60,0)-VLOOKUP(B317,#REF!,$V$2,0),0)</f>
        <v>0</v>
      </c>
      <c r="W317" s="9">
        <f>IFERROR(VLOOKUP(B317,cubo!$A$6:$BE$37,26,0)-VLOOKUP(B317,#REF!,$W$2,0),0)</f>
        <v>0</v>
      </c>
      <c r="X317" s="9">
        <f>IFERROR(VLOOKUP(B317,cubo!$A$6:$BE$37,20,0)-VLOOKUP(B317,#REF!,$X$2,0),0)</f>
        <v>0</v>
      </c>
      <c r="Y317" s="9">
        <f>IFERROR(VLOOKUP(B317,cubo!$A$6:$BE$37,21,0)-VLOOKUP(B317,#REF!,$Y$2,0),0)</f>
        <v>0</v>
      </c>
      <c r="Z317" s="9">
        <f>IFERROR(VLOOKUP(B317,cubo!$A$6:$BE$37,27,0)-VLOOKUP(B317,#REF!,$Z$2,0),0)</f>
        <v>0</v>
      </c>
      <c r="AA317" s="9">
        <f>IFERROR(VLOOKUP(B317,cubo!$A$6:$BE$37,28,0)-VLOOKUP(B317,#REF!,$AA$2,0),0)</f>
        <v>0</v>
      </c>
      <c r="AB317" s="9">
        <f>IFERROR(VLOOKUP(B317,cubo!$A$6:$BE$37,29,0)-VLOOKUP(B317,#REF!,$AB$2,0),0)</f>
        <v>0</v>
      </c>
      <c r="AC317" s="9">
        <f>IFERROR(VLOOKUP(B317,cubo!$A$6:$BE$37,30,0)-VLOOKUP(B317,#REF!,$AC$2,0),0)</f>
        <v>0</v>
      </c>
      <c r="AD317" s="9">
        <f>IFERROR(VLOOKUP(B317,cubo!$A$6:$BE$37,31,0)-VLOOKUP(B317,#REF!,$AD$2,0),0)</f>
        <v>0</v>
      </c>
      <c r="AE317" s="9">
        <f>IFERROR(VLOOKUP(B317,cubo!$A$6:$BE$37,35,0)-VLOOKUP(B317,#REF!,$AE$2,0),0)</f>
        <v>0</v>
      </c>
      <c r="AF317" s="9" cm="1">
        <f t="array" aca="1" ref="AF317" ca="1">IFERROR(rrPROCV(B317,cubo!$A$6:$BE$37,48,0)-VLOOKUP(B317,#REF!,$AF$2,0),0)</f>
        <v>0</v>
      </c>
      <c r="AG317" s="9">
        <f>IFERROR(VLOOKUP(B317,cubo!$A$6:$BE$37,49,0)-VLOOKUP(B317,#REF!,$AG$2,0),0)</f>
        <v>0</v>
      </c>
      <c r="AH317" s="9">
        <f>IFERROR(VLOOKUP(B317,cubo!$A$6:$BE$37,50,0)-VLOOKUP(B317,#REF!,$AH$2,0),0)</f>
        <v>0</v>
      </c>
      <c r="AI317" s="9">
        <f>IFERROR(VLOOKUP(B317,cubo!$A$6:$BE$37,51,0)-VLOOKUP(B317,#REF!,$AI$2,0),0)</f>
        <v>0</v>
      </c>
      <c r="AJ317" s="9">
        <f>IFERROR(VLOOKUP(B317,cubo!$A$6:$BI$116,62,0)-VLOOKUP(B317,#REF!,$AJ$2,0),0)</f>
        <v>0</v>
      </c>
      <c r="AK317" s="9">
        <f>IFERROR(VLOOKUP(B317,cubo!$A$6:$BJ$37,63,0)-VLOOKUP(B317,#REF!,$AK$2,0),0)</f>
        <v>0</v>
      </c>
      <c r="AL317" s="9">
        <f>IFERROR(VLOOKUP(B317,cubo!$A$6:$BE$37,58,0)-VLOOKUP(B317,#REF!,$AL$2,0),0)</f>
        <v>0</v>
      </c>
      <c r="AM317" s="9">
        <f>IFERROR(VLOOKUP(B317,cubo!$A$6:$BK$37,64,0)-VLOOKUP(B317,#REF!,$AM$2,0),0)</f>
        <v>0</v>
      </c>
      <c r="AN317" s="9">
        <f>IFERROR(VLOOKUP(B317,cubo!$A$6:$AN$37,41,0)-VLOOKUP(B317,#REF!,$AN$2,0),0)</f>
        <v>0</v>
      </c>
    </row>
    <row r="318" spans="2:40" x14ac:dyDescent="0.25">
      <c r="B318" s="7">
        <f>[1]salario!A317</f>
        <v>0</v>
      </c>
      <c r="C318" s="8">
        <f>[1]salario!C317</f>
        <v>0</v>
      </c>
      <c r="D318" s="9">
        <f>IFERROR(VLOOKUP(B318,cubo!$A$6:$BE$37,3,0)-VLOOKUP(B318,#REF!,$D$2,0),0)</f>
        <v>0</v>
      </c>
      <c r="E318" s="10">
        <f>IFERROR(VLOOKUP(B318,cubo!$A$6:$BE$37,5,0)-VLOOKUP(B318,#REF!,$E$2,0),0)</f>
        <v>0</v>
      </c>
      <c r="F318" s="10">
        <f>IFERROR(VLOOKUP(B318,cubo!$A$6:$BE$37,8,0)-VLOOKUP(B318,#REF!,$F$2,0),0)</f>
        <v>0</v>
      </c>
      <c r="G318" s="9">
        <f>IFERROR(VLOOKUP(B318,cubo!$A$6:$BE$37,11,0)-VLOOKUP(B318,#REF!,$G$2,0),0)</f>
        <v>0</v>
      </c>
      <c r="H318" s="9">
        <f>IFERROR(VLOOKUP(B318,cubo!$A$6:$BE$37,53,0)-VLOOKUP(B318,#REF!,$H$2,0),0)</f>
        <v>0</v>
      </c>
      <c r="I318" s="10">
        <f>IFERROR(VLOOKUP(B318,cubo!$A$6:$BE$37,14,0)-VLOOKUP(B318,#REF!,$I$2,0),0)</f>
        <v>0</v>
      </c>
      <c r="J318" s="9">
        <f>IFERROR(VLOOKUP(B318,cubo!$A$6:$BE$37,16,0)-VLOOKUP(B318,#REF!,$J$2,0),0)</f>
        <v>0</v>
      </c>
      <c r="K318" s="9">
        <f>IFERROR(VLOOKUP(B318,cubo!$A$6:$BE$37,17,0)-VLOOKUP(B318,#REF!,$K$2,0),0)</f>
        <v>0</v>
      </c>
      <c r="L318" s="9">
        <f>IFERROR(VLOOKUP(B318,cubo!$A$6:$BE$37,19,0)-VLOOKUP(B318,#REF!,$L$2,0),0)</f>
        <v>0</v>
      </c>
      <c r="M318" s="9">
        <f>IFERROR(VLOOKUP(B318,cubo!$A$6:$BE$37,23,0)-VLOOKUP(B318,#REF!,$M$2,0),0)</f>
        <v>0</v>
      </c>
      <c r="N318" s="9">
        <f>IFERROR(VLOOKUP(B318,cubo!$A$6:$BE$37,25,0)-VLOOKUP(B318,#REF!,$N$2,0),0)</f>
        <v>0</v>
      </c>
      <c r="O318" s="9">
        <f>IFERROR(VLOOKUP(B318,cubo!$A$6:$BE$37,33,0)-VLOOKUP(B318,#REF!,$O$2,0),0)</f>
        <v>0</v>
      </c>
      <c r="P318" s="8">
        <f>IFERROR(VLOOKUP(B318,cubo!$A$6:$BE$37,37,0)-VLOOKUP(B318,#REF!,$P$2,0),0)</f>
        <v>0</v>
      </c>
      <c r="Q318" s="8">
        <f>IFERROR(VLOOKUP(B318,cubo!$A$6:$BE$37,56,0)-VLOOKUP(B318,#REF!,$Q$2,0),0)</f>
        <v>0</v>
      </c>
      <c r="R318" s="9">
        <f>IFERROR(VLOOKUP(B318,cubo!$A$6:$BE$37,40,0)-VLOOKUP(B318,#REF!,$R$2,0),0)</f>
        <v>0</v>
      </c>
      <c r="S318" s="9">
        <f>IFERROR(VLOOKUP(B318,cubo!$A$6:$BE$37,43,0)-VLOOKUP(B318,#REF!,$S$2,0),0)</f>
        <v>0</v>
      </c>
      <c r="T318" s="9">
        <f>IFERROR(VLOOKUP(B318,cubo!$A$6:$BE$37,46,0)-VLOOKUP(B318,#REF!,$T$2,0),0)</f>
        <v>0</v>
      </c>
      <c r="U318" s="9">
        <f>IFERROR(VLOOKUP(B318,cubo!$A$6:$BE$37,51,0)-VLOOKUP(B318,#REF!,$U$2,0),0)</f>
        <v>0</v>
      </c>
      <c r="V318" s="9">
        <f>IFERROR(VLOOKUP(B318,cubo!$A$6:$BJ$37,60,0)-VLOOKUP(B318,#REF!,$V$2,0),0)</f>
        <v>0</v>
      </c>
      <c r="W318" s="9">
        <f>IFERROR(VLOOKUP(B318,cubo!$A$6:$BE$37,26,0)-VLOOKUP(B318,#REF!,$W$2,0),0)</f>
        <v>0</v>
      </c>
      <c r="X318" s="9">
        <f>IFERROR(VLOOKUP(B318,cubo!$A$6:$BE$37,20,0)-VLOOKUP(B318,#REF!,$X$2,0),0)</f>
        <v>0</v>
      </c>
      <c r="Y318" s="9">
        <f>IFERROR(VLOOKUP(B318,cubo!$A$6:$BE$37,21,0)-VLOOKUP(B318,#REF!,$Y$2,0),0)</f>
        <v>0</v>
      </c>
      <c r="Z318" s="9">
        <f>IFERROR(VLOOKUP(B318,cubo!$A$6:$BE$37,27,0)-VLOOKUP(B318,#REF!,$Z$2,0),0)</f>
        <v>0</v>
      </c>
      <c r="AA318" s="9">
        <f>IFERROR(VLOOKUP(B318,cubo!$A$6:$BE$37,28,0)-VLOOKUP(B318,#REF!,$AA$2,0),0)</f>
        <v>0</v>
      </c>
      <c r="AB318" s="9">
        <f>IFERROR(VLOOKUP(B318,cubo!$A$6:$BE$37,29,0)-VLOOKUP(B318,#REF!,$AB$2,0),0)</f>
        <v>0</v>
      </c>
      <c r="AC318" s="9">
        <f>IFERROR(VLOOKUP(B318,cubo!$A$6:$BE$37,30,0)-VLOOKUP(B318,#REF!,$AC$2,0),0)</f>
        <v>0</v>
      </c>
      <c r="AD318" s="9">
        <f>IFERROR(VLOOKUP(B318,cubo!$A$6:$BE$37,31,0)-VLOOKUP(B318,#REF!,$AD$2,0),0)</f>
        <v>0</v>
      </c>
      <c r="AE318" s="9">
        <f>IFERROR(VLOOKUP(B318,cubo!$A$6:$BE$37,35,0)-VLOOKUP(B318,#REF!,$AE$2,0),0)</f>
        <v>0</v>
      </c>
      <c r="AF318" s="9" cm="1">
        <f t="array" aca="1" ref="AF318" ca="1">IFERROR(rrPROCV(B318,cubo!$A$6:$BE$37,48,0)-VLOOKUP(B318,#REF!,$AF$2,0),0)</f>
        <v>0</v>
      </c>
      <c r="AG318" s="9">
        <f>IFERROR(VLOOKUP(B318,cubo!$A$6:$BE$37,49,0)-VLOOKUP(B318,#REF!,$AG$2,0),0)</f>
        <v>0</v>
      </c>
      <c r="AH318" s="9">
        <f>IFERROR(VLOOKUP(B318,cubo!$A$6:$BE$37,50,0)-VLOOKUP(B318,#REF!,$AH$2,0),0)</f>
        <v>0</v>
      </c>
      <c r="AI318" s="9">
        <f>IFERROR(VLOOKUP(B318,cubo!$A$6:$BE$37,51,0)-VLOOKUP(B318,#REF!,$AI$2,0),0)</f>
        <v>0</v>
      </c>
      <c r="AJ318" s="9">
        <f>IFERROR(VLOOKUP(B318,cubo!$A$6:$BI$116,62,0)-VLOOKUP(B318,#REF!,$AJ$2,0),0)</f>
        <v>0</v>
      </c>
      <c r="AK318" s="9">
        <f>IFERROR(VLOOKUP(B318,cubo!$A$6:$BJ$37,63,0)-VLOOKUP(B318,#REF!,$AK$2,0),0)</f>
        <v>0</v>
      </c>
      <c r="AL318" s="9">
        <f>IFERROR(VLOOKUP(B318,cubo!$A$6:$BE$37,58,0)-VLOOKUP(B318,#REF!,$AL$2,0),0)</f>
        <v>0</v>
      </c>
      <c r="AM318" s="9">
        <f>IFERROR(VLOOKUP(B318,cubo!$A$6:$BK$37,64,0)-VLOOKUP(B318,#REF!,$AM$2,0),0)</f>
        <v>0</v>
      </c>
      <c r="AN318" s="9">
        <f>IFERROR(VLOOKUP(B318,cubo!$A$6:$AN$37,41,0)-VLOOKUP(B318,#REF!,$AN$2,0),0)</f>
        <v>0</v>
      </c>
    </row>
    <row r="319" spans="2:40" x14ac:dyDescent="0.25">
      <c r="B319" s="7">
        <f>[1]salario!A318</f>
        <v>0</v>
      </c>
      <c r="C319" s="8">
        <f>[1]salario!C318</f>
        <v>0</v>
      </c>
      <c r="D319" s="9">
        <f>IFERROR(VLOOKUP(B319,cubo!$A$6:$BE$37,3,0)-VLOOKUP(B319,#REF!,$D$2,0),0)</f>
        <v>0</v>
      </c>
      <c r="E319" s="10">
        <f>IFERROR(VLOOKUP(B319,cubo!$A$6:$BE$37,5,0)-VLOOKUP(B319,#REF!,$E$2,0),0)</f>
        <v>0</v>
      </c>
      <c r="F319" s="10">
        <f>IFERROR(VLOOKUP(B319,cubo!$A$6:$BE$37,8,0)-VLOOKUP(B319,#REF!,$F$2,0),0)</f>
        <v>0</v>
      </c>
      <c r="G319" s="9">
        <f>IFERROR(VLOOKUP(B319,cubo!$A$6:$BE$37,11,0)-VLOOKUP(B319,#REF!,$G$2,0),0)</f>
        <v>0</v>
      </c>
      <c r="H319" s="9">
        <f>IFERROR(VLOOKUP(B319,cubo!$A$6:$BE$37,53,0)-VLOOKUP(B319,#REF!,$H$2,0),0)</f>
        <v>0</v>
      </c>
      <c r="I319" s="10">
        <f>IFERROR(VLOOKUP(B319,cubo!$A$6:$BE$37,14,0)-VLOOKUP(B319,#REF!,$I$2,0),0)</f>
        <v>0</v>
      </c>
      <c r="J319" s="9">
        <f>IFERROR(VLOOKUP(B319,cubo!$A$6:$BE$37,16,0)-VLOOKUP(B319,#REF!,$J$2,0),0)</f>
        <v>0</v>
      </c>
      <c r="K319" s="9">
        <f>IFERROR(VLOOKUP(B319,cubo!$A$6:$BE$37,17,0)-VLOOKUP(B319,#REF!,$K$2,0),0)</f>
        <v>0</v>
      </c>
      <c r="L319" s="9">
        <f>IFERROR(VLOOKUP(B319,cubo!$A$6:$BE$37,19,0)-VLOOKUP(B319,#REF!,$L$2,0),0)</f>
        <v>0</v>
      </c>
      <c r="M319" s="9">
        <f>IFERROR(VLOOKUP(B319,cubo!$A$6:$BE$37,23,0)-VLOOKUP(B319,#REF!,$M$2,0),0)</f>
        <v>0</v>
      </c>
      <c r="N319" s="9">
        <f>IFERROR(VLOOKUP(B319,cubo!$A$6:$BE$37,25,0)-VLOOKUP(B319,#REF!,$N$2,0),0)</f>
        <v>0</v>
      </c>
      <c r="O319" s="9">
        <f>IFERROR(VLOOKUP(B319,cubo!$A$6:$BE$37,33,0)-VLOOKUP(B319,#REF!,$O$2,0),0)</f>
        <v>0</v>
      </c>
      <c r="P319" s="8">
        <f>IFERROR(VLOOKUP(B319,cubo!$A$6:$BE$37,37,0)-VLOOKUP(B319,#REF!,$P$2,0),0)</f>
        <v>0</v>
      </c>
      <c r="Q319" s="8">
        <f>IFERROR(VLOOKUP(B319,cubo!$A$6:$BE$37,56,0)-VLOOKUP(B319,#REF!,$Q$2,0),0)</f>
        <v>0</v>
      </c>
      <c r="R319" s="9">
        <f>IFERROR(VLOOKUP(B319,cubo!$A$6:$BE$37,40,0)-VLOOKUP(B319,#REF!,$R$2,0),0)</f>
        <v>0</v>
      </c>
      <c r="S319" s="9">
        <f>IFERROR(VLOOKUP(B319,cubo!$A$6:$BE$37,43,0)-VLOOKUP(B319,#REF!,$S$2,0),0)</f>
        <v>0</v>
      </c>
      <c r="T319" s="9">
        <f>IFERROR(VLOOKUP(B319,cubo!$A$6:$BE$37,46,0)-VLOOKUP(B319,#REF!,$T$2,0),0)</f>
        <v>0</v>
      </c>
      <c r="U319" s="9">
        <f>IFERROR(VLOOKUP(B319,cubo!$A$6:$BE$37,51,0)-VLOOKUP(B319,#REF!,$U$2,0),0)</f>
        <v>0</v>
      </c>
      <c r="V319" s="9">
        <f>IFERROR(VLOOKUP(B319,cubo!$A$6:$BJ$37,60,0)-VLOOKUP(B319,#REF!,$V$2,0),0)</f>
        <v>0</v>
      </c>
      <c r="W319" s="9">
        <f>IFERROR(VLOOKUP(B319,cubo!$A$6:$BE$37,26,0)-VLOOKUP(B319,#REF!,$W$2,0),0)</f>
        <v>0</v>
      </c>
      <c r="X319" s="9">
        <f>IFERROR(VLOOKUP(B319,cubo!$A$6:$BE$37,20,0)-VLOOKUP(B319,#REF!,$X$2,0),0)</f>
        <v>0</v>
      </c>
      <c r="Y319" s="9">
        <f>IFERROR(VLOOKUP(B319,cubo!$A$6:$BE$37,21,0)-VLOOKUP(B319,#REF!,$Y$2,0),0)</f>
        <v>0</v>
      </c>
      <c r="Z319" s="9">
        <f>IFERROR(VLOOKUP(B319,cubo!$A$6:$BE$37,27,0)-VLOOKUP(B319,#REF!,$Z$2,0),0)</f>
        <v>0</v>
      </c>
      <c r="AA319" s="9">
        <f>IFERROR(VLOOKUP(B319,cubo!$A$6:$BE$37,28,0)-VLOOKUP(B319,#REF!,$AA$2,0),0)</f>
        <v>0</v>
      </c>
      <c r="AB319" s="9">
        <f>IFERROR(VLOOKUP(B319,cubo!$A$6:$BE$37,29,0)-VLOOKUP(B319,#REF!,$AB$2,0),0)</f>
        <v>0</v>
      </c>
      <c r="AC319" s="9">
        <f>IFERROR(VLOOKUP(B319,cubo!$A$6:$BE$37,30,0)-VLOOKUP(B319,#REF!,$AC$2,0),0)</f>
        <v>0</v>
      </c>
      <c r="AD319" s="9">
        <f>IFERROR(VLOOKUP(B319,cubo!$A$6:$BE$37,31,0)-VLOOKUP(B319,#REF!,$AD$2,0),0)</f>
        <v>0</v>
      </c>
      <c r="AE319" s="9">
        <f>IFERROR(VLOOKUP(B319,cubo!$A$6:$BE$37,35,0)-VLOOKUP(B319,#REF!,$AE$2,0),0)</f>
        <v>0</v>
      </c>
      <c r="AF319" s="9" cm="1">
        <f t="array" aca="1" ref="AF319" ca="1">IFERROR(rrPROCV(B319,cubo!$A$6:$BE$37,48,0)-VLOOKUP(B319,#REF!,$AF$2,0),0)</f>
        <v>0</v>
      </c>
      <c r="AG319" s="9">
        <f>IFERROR(VLOOKUP(B319,cubo!$A$6:$BE$37,49,0)-VLOOKUP(B319,#REF!,$AG$2,0),0)</f>
        <v>0</v>
      </c>
      <c r="AH319" s="9">
        <f>IFERROR(VLOOKUP(B319,cubo!$A$6:$BE$37,50,0)-VLOOKUP(B319,#REF!,$AH$2,0),0)</f>
        <v>0</v>
      </c>
      <c r="AI319" s="9">
        <f>IFERROR(VLOOKUP(B319,cubo!$A$6:$BE$37,51,0)-VLOOKUP(B319,#REF!,$AI$2,0),0)</f>
        <v>0</v>
      </c>
      <c r="AJ319" s="9">
        <f>IFERROR(VLOOKUP(B319,cubo!$A$6:$BI$116,62,0)-VLOOKUP(B319,#REF!,$AJ$2,0),0)</f>
        <v>0</v>
      </c>
      <c r="AK319" s="9">
        <f>IFERROR(VLOOKUP(B319,cubo!$A$6:$BJ$37,63,0)-VLOOKUP(B319,#REF!,$AK$2,0),0)</f>
        <v>0</v>
      </c>
      <c r="AL319" s="9">
        <f>IFERROR(VLOOKUP(B319,cubo!$A$6:$BE$37,58,0)-VLOOKUP(B319,#REF!,$AL$2,0),0)</f>
        <v>0</v>
      </c>
      <c r="AM319" s="9">
        <f>IFERROR(VLOOKUP(B319,cubo!$A$6:$BK$37,64,0)-VLOOKUP(B319,#REF!,$AM$2,0),0)</f>
        <v>0</v>
      </c>
      <c r="AN319" s="9">
        <f>IFERROR(VLOOKUP(B319,cubo!$A$6:$AN$37,41,0)-VLOOKUP(B319,#REF!,$AN$2,0),0)</f>
        <v>0</v>
      </c>
    </row>
    <row r="320" spans="2:40" x14ac:dyDescent="0.25">
      <c r="B320" s="7">
        <f>[1]salario!A319</f>
        <v>0</v>
      </c>
      <c r="C320" s="8">
        <f>[1]salario!C319</f>
        <v>0</v>
      </c>
      <c r="D320" s="9">
        <f>IFERROR(VLOOKUP(B320,cubo!$A$6:$BE$37,3,0)-VLOOKUP(B320,#REF!,$D$2,0),0)</f>
        <v>0</v>
      </c>
      <c r="E320" s="10">
        <f>IFERROR(VLOOKUP(B320,cubo!$A$6:$BE$37,5,0)-VLOOKUP(B320,#REF!,$E$2,0),0)</f>
        <v>0</v>
      </c>
      <c r="F320" s="10">
        <f>IFERROR(VLOOKUP(B320,cubo!$A$6:$BE$37,8,0)-VLOOKUP(B320,#REF!,$F$2,0),0)</f>
        <v>0</v>
      </c>
      <c r="G320" s="9">
        <f>IFERROR(VLOOKUP(B320,cubo!$A$6:$BE$37,11,0)-VLOOKUP(B320,#REF!,$G$2,0),0)</f>
        <v>0</v>
      </c>
      <c r="H320" s="9">
        <f>IFERROR(VLOOKUP(B320,cubo!$A$6:$BE$37,53,0)-VLOOKUP(B320,#REF!,$H$2,0),0)</f>
        <v>0</v>
      </c>
      <c r="I320" s="10">
        <f>IFERROR(VLOOKUP(B320,cubo!$A$6:$BE$37,14,0)-VLOOKUP(B320,#REF!,$I$2,0),0)</f>
        <v>0</v>
      </c>
      <c r="J320" s="9">
        <f>IFERROR(VLOOKUP(B320,cubo!$A$6:$BE$37,16,0)-VLOOKUP(B320,#REF!,$J$2,0),0)</f>
        <v>0</v>
      </c>
      <c r="K320" s="9">
        <f>IFERROR(VLOOKUP(B320,cubo!$A$6:$BE$37,17,0)-VLOOKUP(B320,#REF!,$K$2,0),0)</f>
        <v>0</v>
      </c>
      <c r="L320" s="9">
        <f>IFERROR(VLOOKUP(B320,cubo!$A$6:$BE$37,19,0)-VLOOKUP(B320,#REF!,$L$2,0),0)</f>
        <v>0</v>
      </c>
      <c r="M320" s="9">
        <f>IFERROR(VLOOKUP(B320,cubo!$A$6:$BE$37,23,0)-VLOOKUP(B320,#REF!,$M$2,0),0)</f>
        <v>0</v>
      </c>
      <c r="N320" s="9">
        <f>IFERROR(VLOOKUP(B320,cubo!$A$6:$BE$37,25,0)-VLOOKUP(B320,#REF!,$N$2,0),0)</f>
        <v>0</v>
      </c>
      <c r="O320" s="9">
        <f>IFERROR(VLOOKUP(B320,cubo!$A$6:$BE$37,33,0)-VLOOKUP(B320,#REF!,$O$2,0),0)</f>
        <v>0</v>
      </c>
      <c r="P320" s="8">
        <f>IFERROR(VLOOKUP(B320,cubo!$A$6:$BE$37,37,0)-VLOOKUP(B320,#REF!,$P$2,0),0)</f>
        <v>0</v>
      </c>
      <c r="Q320" s="8">
        <f>IFERROR(VLOOKUP(B320,cubo!$A$6:$BE$37,56,0)-VLOOKUP(B320,#REF!,$Q$2,0),0)</f>
        <v>0</v>
      </c>
      <c r="R320" s="9">
        <f>IFERROR(VLOOKUP(B320,cubo!$A$6:$BE$37,40,0)-VLOOKUP(B320,#REF!,$R$2,0),0)</f>
        <v>0</v>
      </c>
      <c r="S320" s="9">
        <f>IFERROR(VLOOKUP(B320,cubo!$A$6:$BE$37,43,0)-VLOOKUP(B320,#REF!,$S$2,0),0)</f>
        <v>0</v>
      </c>
      <c r="T320" s="9">
        <f>IFERROR(VLOOKUP(B320,cubo!$A$6:$BE$37,46,0)-VLOOKUP(B320,#REF!,$T$2,0),0)</f>
        <v>0</v>
      </c>
      <c r="U320" s="9">
        <f>IFERROR(VLOOKUP(B320,cubo!$A$6:$BE$37,51,0)-VLOOKUP(B320,#REF!,$U$2,0),0)</f>
        <v>0</v>
      </c>
      <c r="V320" s="9">
        <f>IFERROR(VLOOKUP(B320,cubo!$A$6:$BJ$37,60,0)-VLOOKUP(B320,#REF!,$V$2,0),0)</f>
        <v>0</v>
      </c>
      <c r="W320" s="9">
        <f>IFERROR(VLOOKUP(B320,cubo!$A$6:$BE$37,26,0)-VLOOKUP(B320,#REF!,$W$2,0),0)</f>
        <v>0</v>
      </c>
      <c r="X320" s="9">
        <f>IFERROR(VLOOKUP(B320,cubo!$A$6:$BE$37,20,0)-VLOOKUP(B320,#REF!,$X$2,0),0)</f>
        <v>0</v>
      </c>
      <c r="Y320" s="9">
        <f>IFERROR(VLOOKUP(B320,cubo!$A$6:$BE$37,21,0)-VLOOKUP(B320,#REF!,$Y$2,0),0)</f>
        <v>0</v>
      </c>
      <c r="Z320" s="9">
        <f>IFERROR(VLOOKUP(B320,cubo!$A$6:$BE$37,27,0)-VLOOKUP(B320,#REF!,$Z$2,0),0)</f>
        <v>0</v>
      </c>
      <c r="AA320" s="9">
        <f>IFERROR(VLOOKUP(B320,cubo!$A$6:$BE$37,28,0)-VLOOKUP(B320,#REF!,$AA$2,0),0)</f>
        <v>0</v>
      </c>
      <c r="AB320" s="9">
        <f>IFERROR(VLOOKUP(B320,cubo!$A$6:$BE$37,29,0)-VLOOKUP(B320,#REF!,$AB$2,0),0)</f>
        <v>0</v>
      </c>
      <c r="AC320" s="9">
        <f>IFERROR(VLOOKUP(B320,cubo!$A$6:$BE$37,30,0)-VLOOKUP(B320,#REF!,$AC$2,0),0)</f>
        <v>0</v>
      </c>
      <c r="AD320" s="9">
        <f>IFERROR(VLOOKUP(B320,cubo!$A$6:$BE$37,31,0)-VLOOKUP(B320,#REF!,$AD$2,0),0)</f>
        <v>0</v>
      </c>
      <c r="AE320" s="9">
        <f>IFERROR(VLOOKUP(B320,cubo!$A$6:$BE$37,35,0)-VLOOKUP(B320,#REF!,$AE$2,0),0)</f>
        <v>0</v>
      </c>
      <c r="AF320" s="9" cm="1">
        <f t="array" aca="1" ref="AF320" ca="1">IFERROR(rrPROCV(B320,cubo!$A$6:$BE$37,48,0)-VLOOKUP(B320,#REF!,$AF$2,0),0)</f>
        <v>0</v>
      </c>
      <c r="AG320" s="9">
        <f>IFERROR(VLOOKUP(B320,cubo!$A$6:$BE$37,49,0)-VLOOKUP(B320,#REF!,$AG$2,0),0)</f>
        <v>0</v>
      </c>
      <c r="AH320" s="9">
        <f>IFERROR(VLOOKUP(B320,cubo!$A$6:$BE$37,50,0)-VLOOKUP(B320,#REF!,$AH$2,0),0)</f>
        <v>0</v>
      </c>
      <c r="AI320" s="9">
        <f>IFERROR(VLOOKUP(B320,cubo!$A$6:$BE$37,51,0)-VLOOKUP(B320,#REF!,$AI$2,0),0)</f>
        <v>0</v>
      </c>
      <c r="AJ320" s="9">
        <f>IFERROR(VLOOKUP(B320,cubo!$A$6:$BI$116,62,0)-VLOOKUP(B320,#REF!,$AJ$2,0),0)</f>
        <v>0</v>
      </c>
      <c r="AK320" s="9">
        <f>IFERROR(VLOOKUP(B320,cubo!$A$6:$BJ$37,63,0)-VLOOKUP(B320,#REF!,$AK$2,0),0)</f>
        <v>0</v>
      </c>
      <c r="AL320" s="9">
        <f>IFERROR(VLOOKUP(B320,cubo!$A$6:$BE$37,58,0)-VLOOKUP(B320,#REF!,$AL$2,0),0)</f>
        <v>0</v>
      </c>
      <c r="AM320" s="9">
        <f>IFERROR(VLOOKUP(B320,cubo!$A$6:$BK$37,64,0)-VLOOKUP(B320,#REF!,$AM$2,0),0)</f>
        <v>0</v>
      </c>
      <c r="AN320" s="9">
        <f>IFERROR(VLOOKUP(B320,cubo!$A$6:$AN$37,41,0)-VLOOKUP(B320,#REF!,$AN$2,0),0)</f>
        <v>0</v>
      </c>
    </row>
    <row r="321" spans="2:40" x14ac:dyDescent="0.25">
      <c r="B321" s="7">
        <f>[1]salario!A320</f>
        <v>0</v>
      </c>
      <c r="C321" s="8">
        <f>[1]salario!C320</f>
        <v>0</v>
      </c>
      <c r="D321" s="9">
        <f>IFERROR(VLOOKUP(B321,cubo!$A$6:$BE$37,3,0)-VLOOKUP(B321,#REF!,$D$2,0),0)</f>
        <v>0</v>
      </c>
      <c r="E321" s="10">
        <f>IFERROR(VLOOKUP(B321,cubo!$A$6:$BE$37,5,0)-VLOOKUP(B321,#REF!,$E$2,0),0)</f>
        <v>0</v>
      </c>
      <c r="F321" s="10">
        <f>IFERROR(VLOOKUP(B321,cubo!$A$6:$BE$37,8,0)-VLOOKUP(B321,#REF!,$F$2,0),0)</f>
        <v>0</v>
      </c>
      <c r="G321" s="9">
        <f>IFERROR(VLOOKUP(B321,cubo!$A$6:$BE$37,11,0)-VLOOKUP(B321,#REF!,$G$2,0),0)</f>
        <v>0</v>
      </c>
      <c r="H321" s="9">
        <f>IFERROR(VLOOKUP(B321,cubo!$A$6:$BE$37,53,0)-VLOOKUP(B321,#REF!,$H$2,0),0)</f>
        <v>0</v>
      </c>
      <c r="I321" s="10">
        <f>IFERROR(VLOOKUP(B321,cubo!$A$6:$BE$37,14,0)-VLOOKUP(B321,#REF!,$I$2,0),0)</f>
        <v>0</v>
      </c>
      <c r="J321" s="9">
        <f>IFERROR(VLOOKUP(B321,cubo!$A$6:$BE$37,16,0)-VLOOKUP(B321,#REF!,$J$2,0),0)</f>
        <v>0</v>
      </c>
      <c r="K321" s="9">
        <f>IFERROR(VLOOKUP(B321,cubo!$A$6:$BE$37,17,0)-VLOOKUP(B321,#REF!,$K$2,0),0)</f>
        <v>0</v>
      </c>
      <c r="L321" s="9">
        <f>IFERROR(VLOOKUP(B321,cubo!$A$6:$BE$37,19,0)-VLOOKUP(B321,#REF!,$L$2,0),0)</f>
        <v>0</v>
      </c>
      <c r="M321" s="9">
        <f>IFERROR(VLOOKUP(B321,cubo!$A$6:$BE$37,23,0)-VLOOKUP(B321,#REF!,$M$2,0),0)</f>
        <v>0</v>
      </c>
      <c r="N321" s="9">
        <f>IFERROR(VLOOKUP(B321,cubo!$A$6:$BE$37,25,0)-VLOOKUP(B321,#REF!,$N$2,0),0)</f>
        <v>0</v>
      </c>
      <c r="O321" s="9">
        <f>IFERROR(VLOOKUP(B321,cubo!$A$6:$BE$37,33,0)-VLOOKUP(B321,#REF!,$O$2,0),0)</f>
        <v>0</v>
      </c>
      <c r="P321" s="8">
        <f>IFERROR(VLOOKUP(B321,cubo!$A$6:$BE$37,37,0)-VLOOKUP(B321,#REF!,$P$2,0),0)</f>
        <v>0</v>
      </c>
      <c r="Q321" s="8">
        <f>IFERROR(VLOOKUP(B321,cubo!$A$6:$BE$37,56,0)-VLOOKUP(B321,#REF!,$Q$2,0),0)</f>
        <v>0</v>
      </c>
      <c r="R321" s="9">
        <f>IFERROR(VLOOKUP(B321,cubo!$A$6:$BE$37,40,0)-VLOOKUP(B321,#REF!,$R$2,0),0)</f>
        <v>0</v>
      </c>
      <c r="S321" s="9">
        <f>IFERROR(VLOOKUP(B321,cubo!$A$6:$BE$37,43,0)-VLOOKUP(B321,#REF!,$S$2,0),0)</f>
        <v>0</v>
      </c>
      <c r="T321" s="9">
        <f>IFERROR(VLOOKUP(B321,cubo!$A$6:$BE$37,46,0)-VLOOKUP(B321,#REF!,$T$2,0),0)</f>
        <v>0</v>
      </c>
      <c r="U321" s="9">
        <f>IFERROR(VLOOKUP(B321,cubo!$A$6:$BE$37,51,0)-VLOOKUP(B321,#REF!,$U$2,0),0)</f>
        <v>0</v>
      </c>
      <c r="V321" s="9">
        <f>IFERROR(VLOOKUP(B321,cubo!$A$6:$BJ$37,60,0)-VLOOKUP(B321,#REF!,$V$2,0),0)</f>
        <v>0</v>
      </c>
      <c r="W321" s="9">
        <f>IFERROR(VLOOKUP(B321,cubo!$A$6:$BE$37,26,0)-VLOOKUP(B321,#REF!,$W$2,0),0)</f>
        <v>0</v>
      </c>
      <c r="X321" s="9">
        <f>IFERROR(VLOOKUP(B321,cubo!$A$6:$BE$37,20,0)-VLOOKUP(B321,#REF!,$X$2,0),0)</f>
        <v>0</v>
      </c>
      <c r="Y321" s="9">
        <f>IFERROR(VLOOKUP(B321,cubo!$A$6:$BE$37,21,0)-VLOOKUP(B321,#REF!,$Y$2,0),0)</f>
        <v>0</v>
      </c>
      <c r="Z321" s="9">
        <f>IFERROR(VLOOKUP(B321,cubo!$A$6:$BE$37,27,0)-VLOOKUP(B321,#REF!,$Z$2,0),0)</f>
        <v>0</v>
      </c>
      <c r="AA321" s="9">
        <f>IFERROR(VLOOKUP(B321,cubo!$A$6:$BE$37,28,0)-VLOOKUP(B321,#REF!,$AA$2,0),0)</f>
        <v>0</v>
      </c>
      <c r="AB321" s="9">
        <f>IFERROR(VLOOKUP(B321,cubo!$A$6:$BE$37,29,0)-VLOOKUP(B321,#REF!,$AB$2,0),0)</f>
        <v>0</v>
      </c>
      <c r="AC321" s="9">
        <f>IFERROR(VLOOKUP(B321,cubo!$A$6:$BE$37,30,0)-VLOOKUP(B321,#REF!,$AC$2,0),0)</f>
        <v>0</v>
      </c>
      <c r="AD321" s="9">
        <f>IFERROR(VLOOKUP(B321,cubo!$A$6:$BE$37,31,0)-VLOOKUP(B321,#REF!,$AD$2,0),0)</f>
        <v>0</v>
      </c>
      <c r="AE321" s="9">
        <f>IFERROR(VLOOKUP(B321,cubo!$A$6:$BE$37,35,0)-VLOOKUP(B321,#REF!,$AE$2,0),0)</f>
        <v>0</v>
      </c>
      <c r="AF321" s="9" cm="1">
        <f t="array" aca="1" ref="AF321" ca="1">IFERROR(rrPROCV(B321,cubo!$A$6:$BE$37,48,0)-VLOOKUP(B321,#REF!,$AF$2,0),0)</f>
        <v>0</v>
      </c>
      <c r="AG321" s="9">
        <f>IFERROR(VLOOKUP(B321,cubo!$A$6:$BE$37,49,0)-VLOOKUP(B321,#REF!,$AG$2,0),0)</f>
        <v>0</v>
      </c>
      <c r="AH321" s="9">
        <f>IFERROR(VLOOKUP(B321,cubo!$A$6:$BE$37,50,0)-VLOOKUP(B321,#REF!,$AH$2,0),0)</f>
        <v>0</v>
      </c>
      <c r="AI321" s="9">
        <f>IFERROR(VLOOKUP(B321,cubo!$A$6:$BE$37,51,0)-VLOOKUP(B321,#REF!,$AI$2,0),0)</f>
        <v>0</v>
      </c>
      <c r="AJ321" s="9">
        <f>IFERROR(VLOOKUP(B321,cubo!$A$6:$BI$116,62,0)-VLOOKUP(B321,#REF!,$AJ$2,0),0)</f>
        <v>0</v>
      </c>
      <c r="AK321" s="9">
        <f>IFERROR(VLOOKUP(B321,cubo!$A$6:$BJ$37,63,0)-VLOOKUP(B321,#REF!,$AK$2,0),0)</f>
        <v>0</v>
      </c>
      <c r="AL321" s="9">
        <f>IFERROR(VLOOKUP(B321,cubo!$A$6:$BE$37,58,0)-VLOOKUP(B321,#REF!,$AL$2,0),0)</f>
        <v>0</v>
      </c>
      <c r="AM321" s="9">
        <f>IFERROR(VLOOKUP(B321,cubo!$A$6:$BK$37,64,0)-VLOOKUP(B321,#REF!,$AM$2,0),0)</f>
        <v>0</v>
      </c>
      <c r="AN321" s="9">
        <f>IFERROR(VLOOKUP(B321,cubo!$A$6:$AN$37,41,0)-VLOOKUP(B321,#REF!,$AN$2,0),0)</f>
        <v>0</v>
      </c>
    </row>
    <row r="322" spans="2:40" x14ac:dyDescent="0.25">
      <c r="B322" s="7">
        <f>[1]salario!A321</f>
        <v>0</v>
      </c>
      <c r="C322" s="8">
        <f>[1]salario!C321</f>
        <v>0</v>
      </c>
      <c r="D322" s="9">
        <f>IFERROR(VLOOKUP(B322,cubo!$A$6:$BE$37,3,0)-VLOOKUP(B322,#REF!,$D$2,0),0)</f>
        <v>0</v>
      </c>
      <c r="E322" s="10">
        <f>IFERROR(VLOOKUP(B322,cubo!$A$6:$BE$37,5,0)-VLOOKUP(B322,#REF!,$E$2,0),0)</f>
        <v>0</v>
      </c>
      <c r="F322" s="10">
        <f>IFERROR(VLOOKUP(B322,cubo!$A$6:$BE$37,8,0)-VLOOKUP(B322,#REF!,$F$2,0),0)</f>
        <v>0</v>
      </c>
      <c r="G322" s="9">
        <f>IFERROR(VLOOKUP(B322,cubo!$A$6:$BE$37,11,0)-VLOOKUP(B322,#REF!,$G$2,0),0)</f>
        <v>0</v>
      </c>
      <c r="H322" s="9">
        <f>IFERROR(VLOOKUP(B322,cubo!$A$6:$BE$37,53,0)-VLOOKUP(B322,#REF!,$H$2,0),0)</f>
        <v>0</v>
      </c>
      <c r="I322" s="10">
        <f>IFERROR(VLOOKUP(B322,cubo!$A$6:$BE$37,14,0)-VLOOKUP(B322,#REF!,$I$2,0),0)</f>
        <v>0</v>
      </c>
      <c r="J322" s="9">
        <f>IFERROR(VLOOKUP(B322,cubo!$A$6:$BE$37,16,0)-VLOOKUP(B322,#REF!,$J$2,0),0)</f>
        <v>0</v>
      </c>
      <c r="K322" s="9">
        <f>IFERROR(VLOOKUP(B322,cubo!$A$6:$BE$37,17,0)-VLOOKUP(B322,#REF!,$K$2,0),0)</f>
        <v>0</v>
      </c>
      <c r="L322" s="9">
        <f>IFERROR(VLOOKUP(B322,cubo!$A$6:$BE$37,19,0)-VLOOKUP(B322,#REF!,$L$2,0),0)</f>
        <v>0</v>
      </c>
      <c r="M322" s="9">
        <f>IFERROR(VLOOKUP(B322,cubo!$A$6:$BE$37,23,0)-VLOOKUP(B322,#REF!,$M$2,0),0)</f>
        <v>0</v>
      </c>
      <c r="N322" s="9">
        <f>IFERROR(VLOOKUP(B322,cubo!$A$6:$BE$37,25,0)-VLOOKUP(B322,#REF!,$N$2,0),0)</f>
        <v>0</v>
      </c>
      <c r="O322" s="9">
        <f>IFERROR(VLOOKUP(B322,cubo!$A$6:$BE$37,33,0)-VLOOKUP(B322,#REF!,$O$2,0),0)</f>
        <v>0</v>
      </c>
      <c r="P322" s="8">
        <f>IFERROR(VLOOKUP(B322,cubo!$A$6:$BE$37,37,0)-VLOOKUP(B322,#REF!,$P$2,0),0)</f>
        <v>0</v>
      </c>
      <c r="Q322" s="8">
        <f>IFERROR(VLOOKUP(B322,cubo!$A$6:$BE$37,56,0)-VLOOKUP(B322,#REF!,$Q$2,0),0)</f>
        <v>0</v>
      </c>
      <c r="R322" s="9">
        <f>IFERROR(VLOOKUP(B322,cubo!$A$6:$BE$37,40,0)-VLOOKUP(B322,#REF!,$R$2,0),0)</f>
        <v>0</v>
      </c>
      <c r="S322" s="9">
        <f>IFERROR(VLOOKUP(B322,cubo!$A$6:$BE$37,43,0)-VLOOKUP(B322,#REF!,$S$2,0),0)</f>
        <v>0</v>
      </c>
      <c r="T322" s="9">
        <f>IFERROR(VLOOKUP(B322,cubo!$A$6:$BE$37,46,0)-VLOOKUP(B322,#REF!,$T$2,0),0)</f>
        <v>0</v>
      </c>
      <c r="U322" s="9">
        <f>IFERROR(VLOOKUP(B322,cubo!$A$6:$BE$37,51,0)-VLOOKUP(B322,#REF!,$U$2,0),0)</f>
        <v>0</v>
      </c>
      <c r="V322" s="9">
        <f>IFERROR(VLOOKUP(B322,cubo!$A$6:$BJ$37,60,0)-VLOOKUP(B322,#REF!,$V$2,0),0)</f>
        <v>0</v>
      </c>
      <c r="W322" s="9">
        <f>IFERROR(VLOOKUP(B322,cubo!$A$6:$BE$37,26,0)-VLOOKUP(B322,#REF!,$W$2,0),0)</f>
        <v>0</v>
      </c>
      <c r="X322" s="9">
        <f>IFERROR(VLOOKUP(B322,cubo!$A$6:$BE$37,20,0)-VLOOKUP(B322,#REF!,$X$2,0),0)</f>
        <v>0</v>
      </c>
      <c r="Y322" s="9">
        <f>IFERROR(VLOOKUP(B322,cubo!$A$6:$BE$37,21,0)-VLOOKUP(B322,#REF!,$Y$2,0),0)</f>
        <v>0</v>
      </c>
      <c r="Z322" s="9">
        <f>IFERROR(VLOOKUP(B322,cubo!$A$6:$BE$37,27,0)-VLOOKUP(B322,#REF!,$Z$2,0),0)</f>
        <v>0</v>
      </c>
      <c r="AA322" s="9">
        <f>IFERROR(VLOOKUP(B322,cubo!$A$6:$BE$37,28,0)-VLOOKUP(B322,#REF!,$AA$2,0),0)</f>
        <v>0</v>
      </c>
      <c r="AB322" s="9">
        <f>IFERROR(VLOOKUP(B322,cubo!$A$6:$BE$37,29,0)-VLOOKUP(B322,#REF!,$AB$2,0),0)</f>
        <v>0</v>
      </c>
      <c r="AC322" s="9">
        <f>IFERROR(VLOOKUP(B322,cubo!$A$6:$BE$37,30,0)-VLOOKUP(B322,#REF!,$AC$2,0),0)</f>
        <v>0</v>
      </c>
      <c r="AD322" s="9">
        <f>IFERROR(VLOOKUP(B322,cubo!$A$6:$BE$37,31,0)-VLOOKUP(B322,#REF!,$AD$2,0),0)</f>
        <v>0</v>
      </c>
      <c r="AE322" s="9">
        <f>IFERROR(VLOOKUP(B322,cubo!$A$6:$BE$37,35,0)-VLOOKUP(B322,#REF!,$AE$2,0),0)</f>
        <v>0</v>
      </c>
      <c r="AF322" s="9" cm="1">
        <f t="array" aca="1" ref="AF322" ca="1">IFERROR(rrPROCV(B322,cubo!$A$6:$BE$37,48,0)-VLOOKUP(B322,#REF!,$AF$2,0),0)</f>
        <v>0</v>
      </c>
      <c r="AG322" s="9">
        <f>IFERROR(VLOOKUP(B322,cubo!$A$6:$BE$37,49,0)-VLOOKUP(B322,#REF!,$AG$2,0),0)</f>
        <v>0</v>
      </c>
      <c r="AH322" s="9">
        <f>IFERROR(VLOOKUP(B322,cubo!$A$6:$BE$37,50,0)-VLOOKUP(B322,#REF!,$AH$2,0),0)</f>
        <v>0</v>
      </c>
      <c r="AI322" s="9">
        <f>IFERROR(VLOOKUP(B322,cubo!$A$6:$BE$37,51,0)-VLOOKUP(B322,#REF!,$AI$2,0),0)</f>
        <v>0</v>
      </c>
      <c r="AJ322" s="9">
        <f>IFERROR(VLOOKUP(B322,cubo!$A$6:$BI$116,62,0)-VLOOKUP(B322,#REF!,$AJ$2,0),0)</f>
        <v>0</v>
      </c>
      <c r="AK322" s="9">
        <f>IFERROR(VLOOKUP(B322,cubo!$A$6:$BJ$37,63,0)-VLOOKUP(B322,#REF!,$AK$2,0),0)</f>
        <v>0</v>
      </c>
      <c r="AL322" s="9">
        <f>IFERROR(VLOOKUP(B322,cubo!$A$6:$BE$37,58,0)-VLOOKUP(B322,#REF!,$AL$2,0),0)</f>
        <v>0</v>
      </c>
      <c r="AM322" s="9">
        <f>IFERROR(VLOOKUP(B322,cubo!$A$6:$BK$37,64,0)-VLOOKUP(B322,#REF!,$AM$2,0),0)</f>
        <v>0</v>
      </c>
      <c r="AN322" s="9">
        <f>IFERROR(VLOOKUP(B322,cubo!$A$6:$AN$37,41,0)-VLOOKUP(B322,#REF!,$AN$2,0),0)</f>
        <v>0</v>
      </c>
    </row>
    <row r="323" spans="2:40" x14ac:dyDescent="0.25">
      <c r="B323" s="7">
        <f>[1]salario!A322</f>
        <v>0</v>
      </c>
      <c r="C323" s="8">
        <f>[1]salario!C322</f>
        <v>0</v>
      </c>
      <c r="D323" s="9">
        <f>IFERROR(VLOOKUP(B323,cubo!$A$6:$BE$37,3,0)-VLOOKUP(B323,#REF!,$D$2,0),0)</f>
        <v>0</v>
      </c>
      <c r="E323" s="10">
        <f>IFERROR(VLOOKUP(B323,cubo!$A$6:$BE$37,5,0)-VLOOKUP(B323,#REF!,$E$2,0),0)</f>
        <v>0</v>
      </c>
      <c r="F323" s="10">
        <f>IFERROR(VLOOKUP(B323,cubo!$A$6:$BE$37,8,0)-VLOOKUP(B323,#REF!,$F$2,0),0)</f>
        <v>0</v>
      </c>
      <c r="G323" s="9">
        <f>IFERROR(VLOOKUP(B323,cubo!$A$6:$BE$37,11,0)-VLOOKUP(B323,#REF!,$G$2,0),0)</f>
        <v>0</v>
      </c>
      <c r="H323" s="9">
        <f>IFERROR(VLOOKUP(B323,cubo!$A$6:$BE$37,53,0)-VLOOKUP(B323,#REF!,$H$2,0),0)</f>
        <v>0</v>
      </c>
      <c r="I323" s="10">
        <f>IFERROR(VLOOKUP(B323,cubo!$A$6:$BE$37,14,0)-VLOOKUP(B323,#REF!,$I$2,0),0)</f>
        <v>0</v>
      </c>
      <c r="J323" s="9">
        <f>IFERROR(VLOOKUP(B323,cubo!$A$6:$BE$37,16,0)-VLOOKUP(B323,#REF!,$J$2,0),0)</f>
        <v>0</v>
      </c>
      <c r="K323" s="9">
        <f>IFERROR(VLOOKUP(B323,cubo!$A$6:$BE$37,17,0)-VLOOKUP(B323,#REF!,$K$2,0),0)</f>
        <v>0</v>
      </c>
      <c r="L323" s="9">
        <f>IFERROR(VLOOKUP(B323,cubo!$A$6:$BE$37,19,0)-VLOOKUP(B323,#REF!,$L$2,0),0)</f>
        <v>0</v>
      </c>
      <c r="M323" s="9">
        <f>IFERROR(VLOOKUP(B323,cubo!$A$6:$BE$37,23,0)-VLOOKUP(B323,#REF!,$M$2,0),0)</f>
        <v>0</v>
      </c>
      <c r="N323" s="9">
        <f>IFERROR(VLOOKUP(B323,cubo!$A$6:$BE$37,25,0)-VLOOKUP(B323,#REF!,$N$2,0),0)</f>
        <v>0</v>
      </c>
      <c r="O323" s="9">
        <f>IFERROR(VLOOKUP(B323,cubo!$A$6:$BE$37,33,0)-VLOOKUP(B323,#REF!,$O$2,0),0)</f>
        <v>0</v>
      </c>
      <c r="P323" s="8">
        <f>IFERROR(VLOOKUP(B323,cubo!$A$6:$BE$37,37,0)-VLOOKUP(B323,#REF!,$P$2,0),0)</f>
        <v>0</v>
      </c>
      <c r="Q323" s="8">
        <f>IFERROR(VLOOKUP(B323,cubo!$A$6:$BE$37,56,0)-VLOOKUP(B323,#REF!,$Q$2,0),0)</f>
        <v>0</v>
      </c>
      <c r="R323" s="9">
        <f>IFERROR(VLOOKUP(B323,cubo!$A$6:$BE$37,40,0)-VLOOKUP(B323,#REF!,$R$2,0),0)</f>
        <v>0</v>
      </c>
      <c r="S323" s="9">
        <f>IFERROR(VLOOKUP(B323,cubo!$A$6:$BE$37,43,0)-VLOOKUP(B323,#REF!,$S$2,0),0)</f>
        <v>0</v>
      </c>
      <c r="T323" s="9">
        <f>IFERROR(VLOOKUP(B323,cubo!$A$6:$BE$37,46,0)-VLOOKUP(B323,#REF!,$T$2,0),0)</f>
        <v>0</v>
      </c>
      <c r="U323" s="9">
        <f>IFERROR(VLOOKUP(B323,cubo!$A$6:$BE$37,51,0)-VLOOKUP(B323,#REF!,$U$2,0),0)</f>
        <v>0</v>
      </c>
      <c r="V323" s="9">
        <f>IFERROR(VLOOKUP(B323,cubo!$A$6:$BJ$37,60,0)-VLOOKUP(B323,#REF!,$V$2,0),0)</f>
        <v>0</v>
      </c>
      <c r="W323" s="9">
        <f>IFERROR(VLOOKUP(B323,cubo!$A$6:$BE$37,26,0)-VLOOKUP(B323,#REF!,$W$2,0),0)</f>
        <v>0</v>
      </c>
      <c r="X323" s="9">
        <f>IFERROR(VLOOKUP(B323,cubo!$A$6:$BE$37,20,0)-VLOOKUP(B323,#REF!,$X$2,0),0)</f>
        <v>0</v>
      </c>
      <c r="Y323" s="9">
        <f>IFERROR(VLOOKUP(B323,cubo!$A$6:$BE$37,21,0)-VLOOKUP(B323,#REF!,$Y$2,0),0)</f>
        <v>0</v>
      </c>
      <c r="Z323" s="9">
        <f>IFERROR(VLOOKUP(B323,cubo!$A$6:$BE$37,27,0)-VLOOKUP(B323,#REF!,$Z$2,0),0)</f>
        <v>0</v>
      </c>
      <c r="AA323" s="9">
        <f>IFERROR(VLOOKUP(B323,cubo!$A$6:$BE$37,28,0)-VLOOKUP(B323,#REF!,$AA$2,0),0)</f>
        <v>0</v>
      </c>
      <c r="AB323" s="9">
        <f>IFERROR(VLOOKUP(B323,cubo!$A$6:$BE$37,29,0)-VLOOKUP(B323,#REF!,$AB$2,0),0)</f>
        <v>0</v>
      </c>
      <c r="AC323" s="9">
        <f>IFERROR(VLOOKUP(B323,cubo!$A$6:$BE$37,30,0)-VLOOKUP(B323,#REF!,$AC$2,0),0)</f>
        <v>0</v>
      </c>
      <c r="AD323" s="9">
        <f>IFERROR(VLOOKUP(B323,cubo!$A$6:$BE$37,31,0)-VLOOKUP(B323,#REF!,$AD$2,0),0)</f>
        <v>0</v>
      </c>
      <c r="AE323" s="9">
        <f>IFERROR(VLOOKUP(B323,cubo!$A$6:$BE$37,35,0)-VLOOKUP(B323,#REF!,$AE$2,0),0)</f>
        <v>0</v>
      </c>
      <c r="AF323" s="9" cm="1">
        <f t="array" aca="1" ref="AF323" ca="1">IFERROR(rrPROCV(B323,cubo!$A$6:$BE$37,48,0)-VLOOKUP(B323,#REF!,$AF$2,0),0)</f>
        <v>0</v>
      </c>
      <c r="AG323" s="9">
        <f>IFERROR(VLOOKUP(B323,cubo!$A$6:$BE$37,49,0)-VLOOKUP(B323,#REF!,$AG$2,0),0)</f>
        <v>0</v>
      </c>
      <c r="AH323" s="9">
        <f>IFERROR(VLOOKUP(B323,cubo!$A$6:$BE$37,50,0)-VLOOKUP(B323,#REF!,$AH$2,0),0)</f>
        <v>0</v>
      </c>
      <c r="AI323" s="9">
        <f>IFERROR(VLOOKUP(B323,cubo!$A$6:$BE$37,51,0)-VLOOKUP(B323,#REF!,$AI$2,0),0)</f>
        <v>0</v>
      </c>
      <c r="AJ323" s="9">
        <f>IFERROR(VLOOKUP(B323,cubo!$A$6:$BI$116,62,0)-VLOOKUP(B323,#REF!,$AJ$2,0),0)</f>
        <v>0</v>
      </c>
      <c r="AK323" s="9">
        <f>IFERROR(VLOOKUP(B323,cubo!$A$6:$BJ$37,63,0)-VLOOKUP(B323,#REF!,$AK$2,0),0)</f>
        <v>0</v>
      </c>
      <c r="AL323" s="9">
        <f>IFERROR(VLOOKUP(B323,cubo!$A$6:$BE$37,58,0)-VLOOKUP(B323,#REF!,$AL$2,0),0)</f>
        <v>0</v>
      </c>
      <c r="AM323" s="9">
        <f>IFERROR(VLOOKUP(B323,cubo!$A$6:$BK$37,64,0)-VLOOKUP(B323,#REF!,$AM$2,0),0)</f>
        <v>0</v>
      </c>
      <c r="AN323" s="9">
        <f>IFERROR(VLOOKUP(B323,cubo!$A$6:$AN$37,41,0)-VLOOKUP(B323,#REF!,$AN$2,0),0)</f>
        <v>0</v>
      </c>
    </row>
    <row r="324" spans="2:40" x14ac:dyDescent="0.25">
      <c r="B324" s="7">
        <f>[1]salario!A323</f>
        <v>0</v>
      </c>
      <c r="C324" s="8">
        <f>[1]salario!C323</f>
        <v>0</v>
      </c>
      <c r="D324" s="9">
        <f>IFERROR(VLOOKUP(B324,cubo!$A$6:$BE$37,3,0)-VLOOKUP(B324,#REF!,$D$2,0),0)</f>
        <v>0</v>
      </c>
      <c r="E324" s="10">
        <f>IFERROR(VLOOKUP(B324,cubo!$A$6:$BE$37,5,0)-VLOOKUP(B324,#REF!,$E$2,0),0)</f>
        <v>0</v>
      </c>
      <c r="F324" s="10">
        <f>IFERROR(VLOOKUP(B324,cubo!$A$6:$BE$37,8,0)-VLOOKUP(B324,#REF!,$F$2,0),0)</f>
        <v>0</v>
      </c>
      <c r="G324" s="9">
        <f>IFERROR(VLOOKUP(B324,cubo!$A$6:$BE$37,11,0)-VLOOKUP(B324,#REF!,$G$2,0),0)</f>
        <v>0</v>
      </c>
      <c r="H324" s="9">
        <f>IFERROR(VLOOKUP(B324,cubo!$A$6:$BE$37,53,0)-VLOOKUP(B324,#REF!,$H$2,0),0)</f>
        <v>0</v>
      </c>
      <c r="I324" s="10">
        <f>IFERROR(VLOOKUP(B324,cubo!$A$6:$BE$37,14,0)-VLOOKUP(B324,#REF!,$I$2,0),0)</f>
        <v>0</v>
      </c>
      <c r="J324" s="9">
        <f>IFERROR(VLOOKUP(B324,cubo!$A$6:$BE$37,16,0)-VLOOKUP(B324,#REF!,$J$2,0),0)</f>
        <v>0</v>
      </c>
      <c r="K324" s="9">
        <f>IFERROR(VLOOKUP(B324,cubo!$A$6:$BE$37,17,0)-VLOOKUP(B324,#REF!,$K$2,0),0)</f>
        <v>0</v>
      </c>
      <c r="L324" s="9">
        <f>IFERROR(VLOOKUP(B324,cubo!$A$6:$BE$37,19,0)-VLOOKUP(B324,#REF!,$L$2,0),0)</f>
        <v>0</v>
      </c>
      <c r="M324" s="9">
        <f>IFERROR(VLOOKUP(B324,cubo!$A$6:$BE$37,23,0)-VLOOKUP(B324,#REF!,$M$2,0),0)</f>
        <v>0</v>
      </c>
      <c r="N324" s="9">
        <f>IFERROR(VLOOKUP(B324,cubo!$A$6:$BE$37,25,0)-VLOOKUP(B324,#REF!,$N$2,0),0)</f>
        <v>0</v>
      </c>
      <c r="O324" s="9">
        <f>IFERROR(VLOOKUP(B324,cubo!$A$6:$BE$37,33,0)-VLOOKUP(B324,#REF!,$O$2,0),0)</f>
        <v>0</v>
      </c>
      <c r="P324" s="8">
        <f>IFERROR(VLOOKUP(B324,cubo!$A$6:$BE$37,37,0)-VLOOKUP(B324,#REF!,$P$2,0),0)</f>
        <v>0</v>
      </c>
      <c r="Q324" s="8">
        <f>IFERROR(VLOOKUP(B324,cubo!$A$6:$BE$37,56,0)-VLOOKUP(B324,#REF!,$Q$2,0),0)</f>
        <v>0</v>
      </c>
      <c r="R324" s="9">
        <f>IFERROR(VLOOKUP(B324,cubo!$A$6:$BE$37,40,0)-VLOOKUP(B324,#REF!,$R$2,0),0)</f>
        <v>0</v>
      </c>
      <c r="S324" s="9">
        <f>IFERROR(VLOOKUP(B324,cubo!$A$6:$BE$37,43,0)-VLOOKUP(B324,#REF!,$S$2,0),0)</f>
        <v>0</v>
      </c>
      <c r="T324" s="9">
        <f>IFERROR(VLOOKUP(B324,cubo!$A$6:$BE$37,46,0)-VLOOKUP(B324,#REF!,$T$2,0),0)</f>
        <v>0</v>
      </c>
      <c r="U324" s="9">
        <f>IFERROR(VLOOKUP(B324,cubo!$A$6:$BE$37,51,0)-VLOOKUP(B324,#REF!,$U$2,0),0)</f>
        <v>0</v>
      </c>
      <c r="V324" s="9">
        <f>IFERROR(VLOOKUP(B324,cubo!$A$6:$BJ$37,60,0)-VLOOKUP(B324,#REF!,$V$2,0),0)</f>
        <v>0</v>
      </c>
      <c r="W324" s="9">
        <f>IFERROR(VLOOKUP(B324,cubo!$A$6:$BE$37,26,0)-VLOOKUP(B324,#REF!,$W$2,0),0)</f>
        <v>0</v>
      </c>
      <c r="X324" s="9">
        <f>IFERROR(VLOOKUP(B324,cubo!$A$6:$BE$37,20,0)-VLOOKUP(B324,#REF!,$X$2,0),0)</f>
        <v>0</v>
      </c>
      <c r="Y324" s="9">
        <f>IFERROR(VLOOKUP(B324,cubo!$A$6:$BE$37,21,0)-VLOOKUP(B324,#REF!,$Y$2,0),0)</f>
        <v>0</v>
      </c>
      <c r="Z324" s="9">
        <f>IFERROR(VLOOKUP(B324,cubo!$A$6:$BE$37,27,0)-VLOOKUP(B324,#REF!,$Z$2,0),0)</f>
        <v>0</v>
      </c>
      <c r="AA324" s="9">
        <f>IFERROR(VLOOKUP(B324,cubo!$A$6:$BE$37,28,0)-VLOOKUP(B324,#REF!,$AA$2,0),0)</f>
        <v>0</v>
      </c>
      <c r="AB324" s="9">
        <f>IFERROR(VLOOKUP(B324,cubo!$A$6:$BE$37,29,0)-VLOOKUP(B324,#REF!,$AB$2,0),0)</f>
        <v>0</v>
      </c>
      <c r="AC324" s="9">
        <f>IFERROR(VLOOKUP(B324,cubo!$A$6:$BE$37,30,0)-VLOOKUP(B324,#REF!,$AC$2,0),0)</f>
        <v>0</v>
      </c>
      <c r="AD324" s="9">
        <f>IFERROR(VLOOKUP(B324,cubo!$A$6:$BE$37,31,0)-VLOOKUP(B324,#REF!,$AD$2,0),0)</f>
        <v>0</v>
      </c>
      <c r="AE324" s="9">
        <f>IFERROR(VLOOKUP(B324,cubo!$A$6:$BE$37,35,0)-VLOOKUP(B324,#REF!,$AE$2,0),0)</f>
        <v>0</v>
      </c>
      <c r="AF324" s="9" cm="1">
        <f t="array" aca="1" ref="AF324" ca="1">IFERROR(rrPROCV(B324,cubo!$A$6:$BE$37,48,0)-VLOOKUP(B324,#REF!,$AF$2,0),0)</f>
        <v>0</v>
      </c>
      <c r="AG324" s="9">
        <f>IFERROR(VLOOKUP(B324,cubo!$A$6:$BE$37,49,0)-VLOOKUP(B324,#REF!,$AG$2,0),0)</f>
        <v>0</v>
      </c>
      <c r="AH324" s="9">
        <f>IFERROR(VLOOKUP(B324,cubo!$A$6:$BE$37,50,0)-VLOOKUP(B324,#REF!,$AH$2,0),0)</f>
        <v>0</v>
      </c>
      <c r="AI324" s="9">
        <f>IFERROR(VLOOKUP(B324,cubo!$A$6:$BE$37,51,0)-VLOOKUP(B324,#REF!,$AI$2,0),0)</f>
        <v>0</v>
      </c>
      <c r="AJ324" s="9">
        <f>IFERROR(VLOOKUP(B324,cubo!$A$6:$BI$116,62,0)-VLOOKUP(B324,#REF!,$AJ$2,0),0)</f>
        <v>0</v>
      </c>
      <c r="AK324" s="9">
        <f>IFERROR(VLOOKUP(B324,cubo!$A$6:$BJ$37,63,0)-VLOOKUP(B324,#REF!,$AK$2,0),0)</f>
        <v>0</v>
      </c>
      <c r="AL324" s="9">
        <f>IFERROR(VLOOKUP(B324,cubo!$A$6:$BE$37,58,0)-VLOOKUP(B324,#REF!,$AL$2,0),0)</f>
        <v>0</v>
      </c>
      <c r="AM324" s="9">
        <f>IFERROR(VLOOKUP(B324,cubo!$A$6:$BK$37,64,0)-VLOOKUP(B324,#REF!,$AM$2,0),0)</f>
        <v>0</v>
      </c>
      <c r="AN324" s="9">
        <f>IFERROR(VLOOKUP(B324,cubo!$A$6:$AN$37,41,0)-VLOOKUP(B324,#REF!,$AN$2,0),0)</f>
        <v>0</v>
      </c>
    </row>
    <row r="325" spans="2:40" x14ac:dyDescent="0.25">
      <c r="B325" s="7">
        <f>[1]salario!A324</f>
        <v>0</v>
      </c>
      <c r="C325" s="8">
        <f>[1]salario!C324</f>
        <v>0</v>
      </c>
      <c r="D325" s="9">
        <f>IFERROR(VLOOKUP(B325,cubo!$A$6:$BE$37,3,0)-VLOOKUP(B325,#REF!,$D$2,0),0)</f>
        <v>0</v>
      </c>
      <c r="E325" s="10">
        <f>IFERROR(VLOOKUP(B325,cubo!$A$6:$BE$37,5,0)-VLOOKUP(B325,#REF!,$E$2,0),0)</f>
        <v>0</v>
      </c>
      <c r="F325" s="10">
        <f>IFERROR(VLOOKUP(B325,cubo!$A$6:$BE$37,8,0)-VLOOKUP(B325,#REF!,$F$2,0),0)</f>
        <v>0</v>
      </c>
      <c r="G325" s="9">
        <f>IFERROR(VLOOKUP(B325,cubo!$A$6:$BE$37,11,0)-VLOOKUP(B325,#REF!,$G$2,0),0)</f>
        <v>0</v>
      </c>
      <c r="H325" s="9">
        <f>IFERROR(VLOOKUP(B325,cubo!$A$6:$BE$37,53,0)-VLOOKUP(B325,#REF!,$H$2,0),0)</f>
        <v>0</v>
      </c>
      <c r="I325" s="10">
        <f>IFERROR(VLOOKUP(B325,cubo!$A$6:$BE$37,14,0)-VLOOKUP(B325,#REF!,$I$2,0),0)</f>
        <v>0</v>
      </c>
      <c r="J325" s="9">
        <f>IFERROR(VLOOKUP(B325,cubo!$A$6:$BE$37,16,0)-VLOOKUP(B325,#REF!,$J$2,0),0)</f>
        <v>0</v>
      </c>
      <c r="K325" s="9">
        <f>IFERROR(VLOOKUP(B325,cubo!$A$6:$BE$37,17,0)-VLOOKUP(B325,#REF!,$K$2,0),0)</f>
        <v>0</v>
      </c>
      <c r="L325" s="9">
        <f>IFERROR(VLOOKUP(B325,cubo!$A$6:$BE$37,19,0)-VLOOKUP(B325,#REF!,$L$2,0),0)</f>
        <v>0</v>
      </c>
      <c r="M325" s="9">
        <f>IFERROR(VLOOKUP(B325,cubo!$A$6:$BE$37,23,0)-VLOOKUP(B325,#REF!,$M$2,0),0)</f>
        <v>0</v>
      </c>
      <c r="N325" s="9">
        <f>IFERROR(VLOOKUP(B325,cubo!$A$6:$BE$37,25,0)-VLOOKUP(B325,#REF!,$N$2,0),0)</f>
        <v>0</v>
      </c>
      <c r="O325" s="9">
        <f>IFERROR(VLOOKUP(B325,cubo!$A$6:$BE$37,33,0)-VLOOKUP(B325,#REF!,$O$2,0),0)</f>
        <v>0</v>
      </c>
      <c r="P325" s="8">
        <f>IFERROR(VLOOKUP(B325,cubo!$A$6:$BE$37,37,0)-VLOOKUP(B325,#REF!,$P$2,0),0)</f>
        <v>0</v>
      </c>
      <c r="Q325" s="8">
        <f>IFERROR(VLOOKUP(B325,cubo!$A$6:$BE$37,56,0)-VLOOKUP(B325,#REF!,$Q$2,0),0)</f>
        <v>0</v>
      </c>
      <c r="R325" s="9">
        <f>IFERROR(VLOOKUP(B325,cubo!$A$6:$BE$37,40,0)-VLOOKUP(B325,#REF!,$R$2,0),0)</f>
        <v>0</v>
      </c>
      <c r="S325" s="9">
        <f>IFERROR(VLOOKUP(B325,cubo!$A$6:$BE$37,43,0)-VLOOKUP(B325,#REF!,$S$2,0),0)</f>
        <v>0</v>
      </c>
      <c r="T325" s="9">
        <f>IFERROR(VLOOKUP(B325,cubo!$A$6:$BE$37,46,0)-VLOOKUP(B325,#REF!,$T$2,0),0)</f>
        <v>0</v>
      </c>
      <c r="U325" s="9">
        <f>IFERROR(VLOOKUP(B325,cubo!$A$6:$BE$37,51,0)-VLOOKUP(B325,#REF!,$U$2,0),0)</f>
        <v>0</v>
      </c>
      <c r="V325" s="9">
        <f>IFERROR(VLOOKUP(B325,cubo!$A$6:$BJ$37,60,0)-VLOOKUP(B325,#REF!,$V$2,0),0)</f>
        <v>0</v>
      </c>
      <c r="W325" s="9">
        <f>IFERROR(VLOOKUP(B325,cubo!$A$6:$BE$37,26,0)-VLOOKUP(B325,#REF!,$W$2,0),0)</f>
        <v>0</v>
      </c>
      <c r="X325" s="9">
        <f>IFERROR(VLOOKUP(B325,cubo!$A$6:$BE$37,20,0)-VLOOKUP(B325,#REF!,$X$2,0),0)</f>
        <v>0</v>
      </c>
      <c r="Y325" s="9">
        <f>IFERROR(VLOOKUP(B325,cubo!$A$6:$BE$37,21,0)-VLOOKUP(B325,#REF!,$Y$2,0),0)</f>
        <v>0</v>
      </c>
      <c r="Z325" s="9">
        <f>IFERROR(VLOOKUP(B325,cubo!$A$6:$BE$37,27,0)-VLOOKUP(B325,#REF!,$Z$2,0),0)</f>
        <v>0</v>
      </c>
      <c r="AA325" s="9">
        <f>IFERROR(VLOOKUP(B325,cubo!$A$6:$BE$37,28,0)-VLOOKUP(B325,#REF!,$AA$2,0),0)</f>
        <v>0</v>
      </c>
      <c r="AB325" s="9">
        <f>IFERROR(VLOOKUP(B325,cubo!$A$6:$BE$37,29,0)-VLOOKUP(B325,#REF!,$AB$2,0),0)</f>
        <v>0</v>
      </c>
      <c r="AC325" s="9">
        <f>IFERROR(VLOOKUP(B325,cubo!$A$6:$BE$37,30,0)-VLOOKUP(B325,#REF!,$AC$2,0),0)</f>
        <v>0</v>
      </c>
      <c r="AD325" s="9">
        <f>IFERROR(VLOOKUP(B325,cubo!$A$6:$BE$37,31,0)-VLOOKUP(B325,#REF!,$AD$2,0),0)</f>
        <v>0</v>
      </c>
      <c r="AE325" s="9">
        <f>IFERROR(VLOOKUP(B325,cubo!$A$6:$BE$37,35,0)-VLOOKUP(B325,#REF!,$AE$2,0),0)</f>
        <v>0</v>
      </c>
      <c r="AF325" s="9" cm="1">
        <f t="array" aca="1" ref="AF325" ca="1">IFERROR(rrPROCV(B325,cubo!$A$6:$BE$37,48,0)-VLOOKUP(B325,#REF!,$AF$2,0),0)</f>
        <v>0</v>
      </c>
      <c r="AG325" s="9">
        <f>IFERROR(VLOOKUP(B325,cubo!$A$6:$BE$37,49,0)-VLOOKUP(B325,#REF!,$AG$2,0),0)</f>
        <v>0</v>
      </c>
      <c r="AH325" s="9">
        <f>IFERROR(VLOOKUP(B325,cubo!$A$6:$BE$37,50,0)-VLOOKUP(B325,#REF!,$AH$2,0),0)</f>
        <v>0</v>
      </c>
      <c r="AI325" s="9">
        <f>IFERROR(VLOOKUP(B325,cubo!$A$6:$BE$37,51,0)-VLOOKUP(B325,#REF!,$AI$2,0),0)</f>
        <v>0</v>
      </c>
      <c r="AJ325" s="9">
        <f>IFERROR(VLOOKUP(B325,cubo!$A$6:$BI$116,62,0)-VLOOKUP(B325,#REF!,$AJ$2,0),0)</f>
        <v>0</v>
      </c>
      <c r="AK325" s="9">
        <f>IFERROR(VLOOKUP(B325,cubo!$A$6:$BJ$37,63,0)-VLOOKUP(B325,#REF!,$AK$2,0),0)</f>
        <v>0</v>
      </c>
      <c r="AL325" s="9">
        <f>IFERROR(VLOOKUP(B325,cubo!$A$6:$BE$37,58,0)-VLOOKUP(B325,#REF!,$AL$2,0),0)</f>
        <v>0</v>
      </c>
      <c r="AM325" s="9">
        <f>IFERROR(VLOOKUP(B325,cubo!$A$6:$BK$37,64,0)-VLOOKUP(B325,#REF!,$AM$2,0),0)</f>
        <v>0</v>
      </c>
      <c r="AN325" s="9">
        <f>IFERROR(VLOOKUP(B325,cubo!$A$6:$AN$37,41,0)-VLOOKUP(B325,#REF!,$AN$2,0),0)</f>
        <v>0</v>
      </c>
    </row>
    <row r="326" spans="2:40" x14ac:dyDescent="0.25">
      <c r="B326" s="7">
        <f>[1]salario!A325</f>
        <v>0</v>
      </c>
      <c r="C326" s="8">
        <f>[1]salario!C325</f>
        <v>0</v>
      </c>
      <c r="D326" s="9">
        <f>IFERROR(VLOOKUP(B326,cubo!$A$6:$BE$37,3,0)-VLOOKUP(B326,#REF!,$D$2,0),0)</f>
        <v>0</v>
      </c>
      <c r="E326" s="10">
        <f>IFERROR(VLOOKUP(B326,cubo!$A$6:$BE$37,5,0)-VLOOKUP(B326,#REF!,$E$2,0),0)</f>
        <v>0</v>
      </c>
      <c r="F326" s="10">
        <f>IFERROR(VLOOKUP(B326,cubo!$A$6:$BE$37,8,0)-VLOOKUP(B326,#REF!,$F$2,0),0)</f>
        <v>0</v>
      </c>
      <c r="G326" s="9">
        <f>IFERROR(VLOOKUP(B326,cubo!$A$6:$BE$37,11,0)-VLOOKUP(B326,#REF!,$G$2,0),0)</f>
        <v>0</v>
      </c>
      <c r="H326" s="9">
        <f>IFERROR(VLOOKUP(B326,cubo!$A$6:$BE$37,53,0)-VLOOKUP(B326,#REF!,$H$2,0),0)</f>
        <v>0</v>
      </c>
      <c r="I326" s="10">
        <f>IFERROR(VLOOKUP(B326,cubo!$A$6:$BE$37,14,0)-VLOOKUP(B326,#REF!,$I$2,0),0)</f>
        <v>0</v>
      </c>
      <c r="J326" s="9">
        <f>IFERROR(VLOOKUP(B326,cubo!$A$6:$BE$37,16,0)-VLOOKUP(B326,#REF!,$J$2,0),0)</f>
        <v>0</v>
      </c>
      <c r="K326" s="9">
        <f>IFERROR(VLOOKUP(B326,cubo!$A$6:$BE$37,17,0)-VLOOKUP(B326,#REF!,$K$2,0),0)</f>
        <v>0</v>
      </c>
      <c r="L326" s="9">
        <f>IFERROR(VLOOKUP(B326,cubo!$A$6:$BE$37,19,0)-VLOOKUP(B326,#REF!,$L$2,0),0)</f>
        <v>0</v>
      </c>
      <c r="M326" s="9">
        <f>IFERROR(VLOOKUP(B326,cubo!$A$6:$BE$37,23,0)-VLOOKUP(B326,#REF!,$M$2,0),0)</f>
        <v>0</v>
      </c>
      <c r="N326" s="9">
        <f>IFERROR(VLOOKUP(B326,cubo!$A$6:$BE$37,25,0)-VLOOKUP(B326,#REF!,$N$2,0),0)</f>
        <v>0</v>
      </c>
      <c r="O326" s="9">
        <f>IFERROR(VLOOKUP(B326,cubo!$A$6:$BE$37,33,0)-VLOOKUP(B326,#REF!,$O$2,0),0)</f>
        <v>0</v>
      </c>
      <c r="P326" s="8">
        <f>IFERROR(VLOOKUP(B326,cubo!$A$6:$BE$37,37,0)-VLOOKUP(B326,#REF!,$P$2,0),0)</f>
        <v>0</v>
      </c>
      <c r="Q326" s="8">
        <f>IFERROR(VLOOKUP(B326,cubo!$A$6:$BE$37,56,0)-VLOOKUP(B326,#REF!,$Q$2,0),0)</f>
        <v>0</v>
      </c>
      <c r="R326" s="9">
        <f>IFERROR(VLOOKUP(B326,cubo!$A$6:$BE$37,40,0)-VLOOKUP(B326,#REF!,$R$2,0),0)</f>
        <v>0</v>
      </c>
      <c r="S326" s="9">
        <f>IFERROR(VLOOKUP(B326,cubo!$A$6:$BE$37,43,0)-VLOOKUP(B326,#REF!,$S$2,0),0)</f>
        <v>0</v>
      </c>
      <c r="T326" s="9">
        <f>IFERROR(VLOOKUP(B326,cubo!$A$6:$BE$37,46,0)-VLOOKUP(B326,#REF!,$T$2,0),0)</f>
        <v>0</v>
      </c>
      <c r="U326" s="9">
        <f>IFERROR(VLOOKUP(B326,cubo!$A$6:$BE$37,51,0)-VLOOKUP(B326,#REF!,$U$2,0),0)</f>
        <v>0</v>
      </c>
      <c r="V326" s="9">
        <f>IFERROR(VLOOKUP(B326,cubo!$A$6:$BJ$37,60,0)-VLOOKUP(B326,#REF!,$V$2,0),0)</f>
        <v>0</v>
      </c>
      <c r="W326" s="9">
        <f>IFERROR(VLOOKUP(B326,cubo!$A$6:$BE$37,26,0)-VLOOKUP(B326,#REF!,$W$2,0),0)</f>
        <v>0</v>
      </c>
      <c r="X326" s="9">
        <f>IFERROR(VLOOKUP(B326,cubo!$A$6:$BE$37,20,0)-VLOOKUP(B326,#REF!,$X$2,0),0)</f>
        <v>0</v>
      </c>
      <c r="Y326" s="9">
        <f>IFERROR(VLOOKUP(B326,cubo!$A$6:$BE$37,21,0)-VLOOKUP(B326,#REF!,$Y$2,0),0)</f>
        <v>0</v>
      </c>
      <c r="Z326" s="9">
        <f>IFERROR(VLOOKUP(B326,cubo!$A$6:$BE$37,27,0)-VLOOKUP(B326,#REF!,$Z$2,0),0)</f>
        <v>0</v>
      </c>
      <c r="AA326" s="9">
        <f>IFERROR(VLOOKUP(B326,cubo!$A$6:$BE$37,28,0)-VLOOKUP(B326,#REF!,$AA$2,0),0)</f>
        <v>0</v>
      </c>
      <c r="AB326" s="9">
        <f>IFERROR(VLOOKUP(B326,cubo!$A$6:$BE$37,29,0)-VLOOKUP(B326,#REF!,$AB$2,0),0)</f>
        <v>0</v>
      </c>
      <c r="AC326" s="9">
        <f>IFERROR(VLOOKUP(B326,cubo!$A$6:$BE$37,30,0)-VLOOKUP(B326,#REF!,$AC$2,0),0)</f>
        <v>0</v>
      </c>
      <c r="AD326" s="9">
        <f>IFERROR(VLOOKUP(B326,cubo!$A$6:$BE$37,31,0)-VLOOKUP(B326,#REF!,$AD$2,0),0)</f>
        <v>0</v>
      </c>
      <c r="AE326" s="9">
        <f>IFERROR(VLOOKUP(B326,cubo!$A$6:$BE$37,35,0)-VLOOKUP(B326,#REF!,$AE$2,0),0)</f>
        <v>0</v>
      </c>
      <c r="AF326" s="9" cm="1">
        <f t="array" aca="1" ref="AF326" ca="1">IFERROR(rrPROCV(B326,cubo!$A$6:$BE$37,48,0)-VLOOKUP(B326,#REF!,$AF$2,0),0)</f>
        <v>0</v>
      </c>
      <c r="AG326" s="9">
        <f>IFERROR(VLOOKUP(B326,cubo!$A$6:$BE$37,49,0)-VLOOKUP(B326,#REF!,$AG$2,0),0)</f>
        <v>0</v>
      </c>
      <c r="AH326" s="9">
        <f>IFERROR(VLOOKUP(B326,cubo!$A$6:$BE$37,50,0)-VLOOKUP(B326,#REF!,$AH$2,0),0)</f>
        <v>0</v>
      </c>
      <c r="AI326" s="9">
        <f>IFERROR(VLOOKUP(B326,cubo!$A$6:$BE$37,51,0)-VLOOKUP(B326,#REF!,$AI$2,0),0)</f>
        <v>0</v>
      </c>
      <c r="AJ326" s="9">
        <f>IFERROR(VLOOKUP(B326,cubo!$A$6:$BI$116,62,0)-VLOOKUP(B326,#REF!,$AJ$2,0),0)</f>
        <v>0</v>
      </c>
      <c r="AK326" s="9">
        <f>IFERROR(VLOOKUP(B326,cubo!$A$6:$BJ$37,63,0)-VLOOKUP(B326,#REF!,$AK$2,0),0)</f>
        <v>0</v>
      </c>
      <c r="AL326" s="9">
        <f>IFERROR(VLOOKUP(B326,cubo!$A$6:$BE$37,58,0)-VLOOKUP(B326,#REF!,$AL$2,0),0)</f>
        <v>0</v>
      </c>
      <c r="AM326" s="9">
        <f>IFERROR(VLOOKUP(B326,cubo!$A$6:$BK$37,64,0)-VLOOKUP(B326,#REF!,$AM$2,0),0)</f>
        <v>0</v>
      </c>
      <c r="AN326" s="9">
        <f>IFERROR(VLOOKUP(B326,cubo!$A$6:$AN$37,41,0)-VLOOKUP(B326,#REF!,$AN$2,0),0)</f>
        <v>0</v>
      </c>
    </row>
    <row r="327" spans="2:40" x14ac:dyDescent="0.25">
      <c r="B327" s="7">
        <f>[1]salario!A326</f>
        <v>0</v>
      </c>
      <c r="C327" s="8">
        <f>[1]salario!C326</f>
        <v>0</v>
      </c>
      <c r="D327" s="9">
        <f>IFERROR(VLOOKUP(B327,cubo!$A$6:$BE$37,3,0)-VLOOKUP(B327,#REF!,$D$2,0),0)</f>
        <v>0</v>
      </c>
      <c r="E327" s="10">
        <f>IFERROR(VLOOKUP(B327,cubo!$A$6:$BE$37,5,0)-VLOOKUP(B327,#REF!,$E$2,0),0)</f>
        <v>0</v>
      </c>
      <c r="F327" s="10">
        <f>IFERROR(VLOOKUP(B327,cubo!$A$6:$BE$37,8,0)-VLOOKUP(B327,#REF!,$F$2,0),0)</f>
        <v>0</v>
      </c>
      <c r="G327" s="9">
        <f>IFERROR(VLOOKUP(B327,cubo!$A$6:$BE$37,11,0)-VLOOKUP(B327,#REF!,$G$2,0),0)</f>
        <v>0</v>
      </c>
      <c r="H327" s="9">
        <f>IFERROR(VLOOKUP(B327,cubo!$A$6:$BE$37,53,0)-VLOOKUP(B327,#REF!,$H$2,0),0)</f>
        <v>0</v>
      </c>
      <c r="I327" s="10">
        <f>IFERROR(VLOOKUP(B327,cubo!$A$6:$BE$37,14,0)-VLOOKUP(B327,#REF!,$I$2,0),0)</f>
        <v>0</v>
      </c>
      <c r="J327" s="9">
        <f>IFERROR(VLOOKUP(B327,cubo!$A$6:$BE$37,16,0)-VLOOKUP(B327,#REF!,$J$2,0),0)</f>
        <v>0</v>
      </c>
      <c r="K327" s="9">
        <f>IFERROR(VLOOKUP(B327,cubo!$A$6:$BE$37,17,0)-VLOOKUP(B327,#REF!,$K$2,0),0)</f>
        <v>0</v>
      </c>
      <c r="L327" s="9">
        <f>IFERROR(VLOOKUP(B327,cubo!$A$6:$BE$37,19,0)-VLOOKUP(B327,#REF!,$L$2,0),0)</f>
        <v>0</v>
      </c>
      <c r="M327" s="9">
        <f>IFERROR(VLOOKUP(B327,cubo!$A$6:$BE$37,23,0)-VLOOKUP(B327,#REF!,$M$2,0),0)</f>
        <v>0</v>
      </c>
      <c r="N327" s="9">
        <f>IFERROR(VLOOKUP(B327,cubo!$A$6:$BE$37,25,0)-VLOOKUP(B327,#REF!,$N$2,0),0)</f>
        <v>0</v>
      </c>
      <c r="O327" s="9">
        <f>IFERROR(VLOOKUP(B327,cubo!$A$6:$BE$37,33,0)-VLOOKUP(B327,#REF!,$O$2,0),0)</f>
        <v>0</v>
      </c>
      <c r="P327" s="8">
        <f>IFERROR(VLOOKUP(B327,cubo!$A$6:$BE$37,37,0)-VLOOKUP(B327,#REF!,$P$2,0),0)</f>
        <v>0</v>
      </c>
      <c r="Q327" s="8">
        <f>IFERROR(VLOOKUP(B327,cubo!$A$6:$BE$37,56,0)-VLOOKUP(B327,#REF!,$Q$2,0),0)</f>
        <v>0</v>
      </c>
      <c r="R327" s="9">
        <f>IFERROR(VLOOKUP(B327,cubo!$A$6:$BE$37,40,0)-VLOOKUP(B327,#REF!,$R$2,0),0)</f>
        <v>0</v>
      </c>
      <c r="S327" s="9">
        <f>IFERROR(VLOOKUP(B327,cubo!$A$6:$BE$37,43,0)-VLOOKUP(B327,#REF!,$S$2,0),0)</f>
        <v>0</v>
      </c>
      <c r="T327" s="9">
        <f>IFERROR(VLOOKUP(B327,cubo!$A$6:$BE$37,46,0)-VLOOKUP(B327,#REF!,$T$2,0),0)</f>
        <v>0</v>
      </c>
      <c r="U327" s="9">
        <f>IFERROR(VLOOKUP(B327,cubo!$A$6:$BE$37,51,0)-VLOOKUP(B327,#REF!,$U$2,0),0)</f>
        <v>0</v>
      </c>
      <c r="V327" s="9">
        <f>IFERROR(VLOOKUP(B327,cubo!$A$6:$BJ$37,60,0)-VLOOKUP(B327,#REF!,$V$2,0),0)</f>
        <v>0</v>
      </c>
      <c r="W327" s="9">
        <f>IFERROR(VLOOKUP(B327,cubo!$A$6:$BE$37,26,0)-VLOOKUP(B327,#REF!,$W$2,0),0)</f>
        <v>0</v>
      </c>
      <c r="X327" s="9">
        <f>IFERROR(VLOOKUP(B327,cubo!$A$6:$BE$37,20,0)-VLOOKUP(B327,#REF!,$X$2,0),0)</f>
        <v>0</v>
      </c>
      <c r="Y327" s="9">
        <f>IFERROR(VLOOKUP(B327,cubo!$A$6:$BE$37,21,0)-VLOOKUP(B327,#REF!,$Y$2,0),0)</f>
        <v>0</v>
      </c>
      <c r="Z327" s="9">
        <f>IFERROR(VLOOKUP(B327,cubo!$A$6:$BE$37,27,0)-VLOOKUP(B327,#REF!,$Z$2,0),0)</f>
        <v>0</v>
      </c>
      <c r="AA327" s="9">
        <f>IFERROR(VLOOKUP(B327,cubo!$A$6:$BE$37,28,0)-VLOOKUP(B327,#REF!,$AA$2,0),0)</f>
        <v>0</v>
      </c>
      <c r="AB327" s="9">
        <f>IFERROR(VLOOKUP(B327,cubo!$A$6:$BE$37,29,0)-VLOOKUP(B327,#REF!,$AB$2,0),0)</f>
        <v>0</v>
      </c>
      <c r="AC327" s="9">
        <f>IFERROR(VLOOKUP(B327,cubo!$A$6:$BE$37,30,0)-VLOOKUP(B327,#REF!,$AC$2,0),0)</f>
        <v>0</v>
      </c>
      <c r="AD327" s="9">
        <f>IFERROR(VLOOKUP(B327,cubo!$A$6:$BE$37,31,0)-VLOOKUP(B327,#REF!,$AD$2,0),0)</f>
        <v>0</v>
      </c>
      <c r="AE327" s="9">
        <f>IFERROR(VLOOKUP(B327,cubo!$A$6:$BE$37,35,0)-VLOOKUP(B327,#REF!,$AE$2,0),0)</f>
        <v>0</v>
      </c>
      <c r="AF327" s="9" cm="1">
        <f t="array" aca="1" ref="AF327" ca="1">IFERROR(rrPROCV(B327,cubo!$A$6:$BE$37,48,0)-VLOOKUP(B327,#REF!,$AF$2,0),0)</f>
        <v>0</v>
      </c>
      <c r="AG327" s="9">
        <f>IFERROR(VLOOKUP(B327,cubo!$A$6:$BE$37,49,0)-VLOOKUP(B327,#REF!,$AG$2,0),0)</f>
        <v>0</v>
      </c>
      <c r="AH327" s="9">
        <f>IFERROR(VLOOKUP(B327,cubo!$A$6:$BE$37,50,0)-VLOOKUP(B327,#REF!,$AH$2,0),0)</f>
        <v>0</v>
      </c>
      <c r="AI327" s="9">
        <f>IFERROR(VLOOKUP(B327,cubo!$A$6:$BE$37,51,0)-VLOOKUP(B327,#REF!,$AI$2,0),0)</f>
        <v>0</v>
      </c>
      <c r="AJ327" s="9">
        <f>IFERROR(VLOOKUP(B327,cubo!$A$6:$BI$116,62,0)-VLOOKUP(B327,#REF!,$AJ$2,0),0)</f>
        <v>0</v>
      </c>
      <c r="AK327" s="9">
        <f>IFERROR(VLOOKUP(B327,cubo!$A$6:$BJ$37,63,0)-VLOOKUP(B327,#REF!,$AK$2,0),0)</f>
        <v>0</v>
      </c>
      <c r="AL327" s="9">
        <f>IFERROR(VLOOKUP(B327,cubo!$A$6:$BE$37,58,0)-VLOOKUP(B327,#REF!,$AL$2,0),0)</f>
        <v>0</v>
      </c>
      <c r="AM327" s="9">
        <f>IFERROR(VLOOKUP(B327,cubo!$A$6:$BK$37,64,0)-VLOOKUP(B327,#REF!,$AM$2,0),0)</f>
        <v>0</v>
      </c>
      <c r="AN327" s="9">
        <f>IFERROR(VLOOKUP(B327,cubo!$A$6:$AN$37,41,0)-VLOOKUP(B327,#REF!,$AN$2,0),0)</f>
        <v>0</v>
      </c>
    </row>
    <row r="328" spans="2:40" x14ac:dyDescent="0.25">
      <c r="B328" s="7">
        <f>[1]salario!A327</f>
        <v>0</v>
      </c>
      <c r="C328" s="8">
        <f>[1]salario!C327</f>
        <v>0</v>
      </c>
      <c r="D328" s="9">
        <f>IFERROR(VLOOKUP(B328,cubo!$A$6:$BE$37,3,0)-VLOOKUP(B328,#REF!,$D$2,0),0)</f>
        <v>0</v>
      </c>
      <c r="E328" s="10">
        <f>IFERROR(VLOOKUP(B328,cubo!$A$6:$BE$37,5,0)-VLOOKUP(B328,#REF!,$E$2,0),0)</f>
        <v>0</v>
      </c>
      <c r="F328" s="10">
        <f>IFERROR(VLOOKUP(B328,cubo!$A$6:$BE$37,8,0)-VLOOKUP(B328,#REF!,$F$2,0),0)</f>
        <v>0</v>
      </c>
      <c r="G328" s="9">
        <f>IFERROR(VLOOKUP(B328,cubo!$A$6:$BE$37,11,0)-VLOOKUP(B328,#REF!,$G$2,0),0)</f>
        <v>0</v>
      </c>
      <c r="H328" s="9">
        <f>IFERROR(VLOOKUP(B328,cubo!$A$6:$BE$37,53,0)-VLOOKUP(B328,#REF!,$H$2,0),0)</f>
        <v>0</v>
      </c>
      <c r="I328" s="10">
        <f>IFERROR(VLOOKUP(B328,cubo!$A$6:$BE$37,14,0)-VLOOKUP(B328,#REF!,$I$2,0),0)</f>
        <v>0</v>
      </c>
      <c r="J328" s="9">
        <f>IFERROR(VLOOKUP(B328,cubo!$A$6:$BE$37,16,0)-VLOOKUP(B328,#REF!,$J$2,0),0)</f>
        <v>0</v>
      </c>
      <c r="K328" s="9">
        <f>IFERROR(VLOOKUP(B328,cubo!$A$6:$BE$37,17,0)-VLOOKUP(B328,#REF!,$K$2,0),0)</f>
        <v>0</v>
      </c>
      <c r="L328" s="9">
        <f>IFERROR(VLOOKUP(B328,cubo!$A$6:$BE$37,19,0)-VLOOKUP(B328,#REF!,$L$2,0),0)</f>
        <v>0</v>
      </c>
      <c r="M328" s="9">
        <f>IFERROR(VLOOKUP(B328,cubo!$A$6:$BE$37,23,0)-VLOOKUP(B328,#REF!,$M$2,0),0)</f>
        <v>0</v>
      </c>
      <c r="N328" s="9">
        <f>IFERROR(VLOOKUP(B328,cubo!$A$6:$BE$37,25,0)-VLOOKUP(B328,#REF!,$N$2,0),0)</f>
        <v>0</v>
      </c>
      <c r="O328" s="9">
        <f>IFERROR(VLOOKUP(B328,cubo!$A$6:$BE$37,33,0)-VLOOKUP(B328,#REF!,$O$2,0),0)</f>
        <v>0</v>
      </c>
      <c r="P328" s="8">
        <f>IFERROR(VLOOKUP(B328,cubo!$A$6:$BE$37,37,0)-VLOOKUP(B328,#REF!,$P$2,0),0)</f>
        <v>0</v>
      </c>
      <c r="Q328" s="8">
        <f>IFERROR(VLOOKUP(B328,cubo!$A$6:$BE$37,56,0)-VLOOKUP(B328,#REF!,$Q$2,0),0)</f>
        <v>0</v>
      </c>
      <c r="R328" s="9">
        <f>IFERROR(VLOOKUP(B328,cubo!$A$6:$BE$37,40,0)-VLOOKUP(B328,#REF!,$R$2,0),0)</f>
        <v>0</v>
      </c>
      <c r="S328" s="9">
        <f>IFERROR(VLOOKUP(B328,cubo!$A$6:$BE$37,43,0)-VLOOKUP(B328,#REF!,$S$2,0),0)</f>
        <v>0</v>
      </c>
      <c r="T328" s="9">
        <f>IFERROR(VLOOKUP(B328,cubo!$A$6:$BE$37,46,0)-VLOOKUP(B328,#REF!,$T$2,0),0)</f>
        <v>0</v>
      </c>
      <c r="U328" s="9">
        <f>IFERROR(VLOOKUP(B328,cubo!$A$6:$BE$37,51,0)-VLOOKUP(B328,#REF!,$U$2,0),0)</f>
        <v>0</v>
      </c>
      <c r="V328" s="9">
        <f>IFERROR(VLOOKUP(B328,cubo!$A$6:$BJ$37,60,0)-VLOOKUP(B328,#REF!,$V$2,0),0)</f>
        <v>0</v>
      </c>
      <c r="W328" s="9">
        <f>IFERROR(VLOOKUP(B328,cubo!$A$6:$BE$37,26,0)-VLOOKUP(B328,#REF!,$W$2,0),0)</f>
        <v>0</v>
      </c>
      <c r="X328" s="9">
        <f>IFERROR(VLOOKUP(B328,cubo!$A$6:$BE$37,20,0)-VLOOKUP(B328,#REF!,$X$2,0),0)</f>
        <v>0</v>
      </c>
      <c r="Y328" s="9">
        <f>IFERROR(VLOOKUP(B328,cubo!$A$6:$BE$37,21,0)-VLOOKUP(B328,#REF!,$Y$2,0),0)</f>
        <v>0</v>
      </c>
      <c r="Z328" s="9">
        <f>IFERROR(VLOOKUP(B328,cubo!$A$6:$BE$37,27,0)-VLOOKUP(B328,#REF!,$Z$2,0),0)</f>
        <v>0</v>
      </c>
      <c r="AA328" s="9">
        <f>IFERROR(VLOOKUP(B328,cubo!$A$6:$BE$37,28,0)-VLOOKUP(B328,#REF!,$AA$2,0),0)</f>
        <v>0</v>
      </c>
      <c r="AB328" s="9">
        <f>IFERROR(VLOOKUP(B328,cubo!$A$6:$BE$37,29,0)-VLOOKUP(B328,#REF!,$AB$2,0),0)</f>
        <v>0</v>
      </c>
      <c r="AC328" s="9">
        <f>IFERROR(VLOOKUP(B328,cubo!$A$6:$BE$37,30,0)-VLOOKUP(B328,#REF!,$AC$2,0),0)</f>
        <v>0</v>
      </c>
      <c r="AD328" s="9">
        <f>IFERROR(VLOOKUP(B328,cubo!$A$6:$BE$37,31,0)-VLOOKUP(B328,#REF!,$AD$2,0),0)</f>
        <v>0</v>
      </c>
      <c r="AE328" s="9">
        <f>IFERROR(VLOOKUP(B328,cubo!$A$6:$BE$37,35,0)-VLOOKUP(B328,#REF!,$AE$2,0),0)</f>
        <v>0</v>
      </c>
      <c r="AF328" s="9" cm="1">
        <f t="array" aca="1" ref="AF328" ca="1">IFERROR(rrPROCV(B328,cubo!$A$6:$BE$37,48,0)-VLOOKUP(B328,#REF!,$AF$2,0),0)</f>
        <v>0</v>
      </c>
      <c r="AG328" s="9">
        <f>IFERROR(VLOOKUP(B328,cubo!$A$6:$BE$37,49,0)-VLOOKUP(B328,#REF!,$AG$2,0),0)</f>
        <v>0</v>
      </c>
      <c r="AH328" s="9">
        <f>IFERROR(VLOOKUP(B328,cubo!$A$6:$BE$37,50,0)-VLOOKUP(B328,#REF!,$AH$2,0),0)</f>
        <v>0</v>
      </c>
      <c r="AI328" s="9">
        <f>IFERROR(VLOOKUP(B328,cubo!$A$6:$BE$37,51,0)-VLOOKUP(B328,#REF!,$AI$2,0),0)</f>
        <v>0</v>
      </c>
      <c r="AJ328" s="9">
        <f>IFERROR(VLOOKUP(B328,cubo!$A$6:$BI$116,62,0)-VLOOKUP(B328,#REF!,$AJ$2,0),0)</f>
        <v>0</v>
      </c>
      <c r="AK328" s="9">
        <f>IFERROR(VLOOKUP(B328,cubo!$A$6:$BJ$37,63,0)-VLOOKUP(B328,#REF!,$AK$2,0),0)</f>
        <v>0</v>
      </c>
      <c r="AL328" s="9">
        <f>IFERROR(VLOOKUP(B328,cubo!$A$6:$BE$37,58,0)-VLOOKUP(B328,#REF!,$AL$2,0),0)</f>
        <v>0</v>
      </c>
      <c r="AM328" s="9">
        <f>IFERROR(VLOOKUP(B328,cubo!$A$6:$BK$37,64,0)-VLOOKUP(B328,#REF!,$AM$2,0),0)</f>
        <v>0</v>
      </c>
      <c r="AN328" s="9">
        <f>IFERROR(VLOOKUP(B328,cubo!$A$6:$AN$37,41,0)-VLOOKUP(B328,#REF!,$AN$2,0),0)</f>
        <v>0</v>
      </c>
    </row>
    <row r="329" spans="2:40" x14ac:dyDescent="0.25">
      <c r="B329" s="7">
        <f>[1]salario!A328</f>
        <v>0</v>
      </c>
      <c r="C329" s="8">
        <f>[1]salario!C328</f>
        <v>0</v>
      </c>
      <c r="D329" s="9">
        <f>IFERROR(VLOOKUP(B329,cubo!$A$6:$BE$37,3,0)-VLOOKUP(B329,#REF!,$D$2,0),0)</f>
        <v>0</v>
      </c>
      <c r="E329" s="10">
        <f>IFERROR(VLOOKUP(B329,cubo!$A$6:$BE$37,5,0)-VLOOKUP(B329,#REF!,$E$2,0),0)</f>
        <v>0</v>
      </c>
      <c r="F329" s="10">
        <f>IFERROR(VLOOKUP(B329,cubo!$A$6:$BE$37,8,0)-VLOOKUP(B329,#REF!,$F$2,0),0)</f>
        <v>0</v>
      </c>
      <c r="G329" s="9">
        <f>IFERROR(VLOOKUP(B329,cubo!$A$6:$BE$37,11,0)-VLOOKUP(B329,#REF!,$G$2,0),0)</f>
        <v>0</v>
      </c>
      <c r="H329" s="9">
        <f>IFERROR(VLOOKUP(B329,cubo!$A$6:$BE$37,53,0)-VLOOKUP(B329,#REF!,$H$2,0),0)</f>
        <v>0</v>
      </c>
      <c r="I329" s="10">
        <f>IFERROR(VLOOKUP(B329,cubo!$A$6:$BE$37,14,0)-VLOOKUP(B329,#REF!,$I$2,0),0)</f>
        <v>0</v>
      </c>
      <c r="J329" s="9">
        <f>IFERROR(VLOOKUP(B329,cubo!$A$6:$BE$37,16,0)-VLOOKUP(B329,#REF!,$J$2,0),0)</f>
        <v>0</v>
      </c>
      <c r="K329" s="9">
        <f>IFERROR(VLOOKUP(B329,cubo!$A$6:$BE$37,17,0)-VLOOKUP(B329,#REF!,$K$2,0),0)</f>
        <v>0</v>
      </c>
      <c r="L329" s="9">
        <f>IFERROR(VLOOKUP(B329,cubo!$A$6:$BE$37,19,0)-VLOOKUP(B329,#REF!,$L$2,0),0)</f>
        <v>0</v>
      </c>
      <c r="M329" s="9">
        <f>IFERROR(VLOOKUP(B329,cubo!$A$6:$BE$37,23,0)-VLOOKUP(B329,#REF!,$M$2,0),0)</f>
        <v>0</v>
      </c>
      <c r="N329" s="9">
        <f>IFERROR(VLOOKUP(B329,cubo!$A$6:$BE$37,25,0)-VLOOKUP(B329,#REF!,$N$2,0),0)</f>
        <v>0</v>
      </c>
      <c r="O329" s="9">
        <f>IFERROR(VLOOKUP(B329,cubo!$A$6:$BE$37,33,0)-VLOOKUP(B329,#REF!,$O$2,0),0)</f>
        <v>0</v>
      </c>
      <c r="P329" s="8">
        <f>IFERROR(VLOOKUP(B329,cubo!$A$6:$BE$37,37,0)-VLOOKUP(B329,#REF!,$P$2,0),0)</f>
        <v>0</v>
      </c>
      <c r="Q329" s="8">
        <f>IFERROR(VLOOKUP(B329,cubo!$A$6:$BE$37,56,0)-VLOOKUP(B329,#REF!,$Q$2,0),0)</f>
        <v>0</v>
      </c>
      <c r="R329" s="9">
        <f>IFERROR(VLOOKUP(B329,cubo!$A$6:$BE$37,40,0)-VLOOKUP(B329,#REF!,$R$2,0),0)</f>
        <v>0</v>
      </c>
      <c r="S329" s="9">
        <f>IFERROR(VLOOKUP(B329,cubo!$A$6:$BE$37,43,0)-VLOOKUP(B329,#REF!,$S$2,0),0)</f>
        <v>0</v>
      </c>
      <c r="T329" s="9">
        <f>IFERROR(VLOOKUP(B329,cubo!$A$6:$BE$37,46,0)-VLOOKUP(B329,#REF!,$T$2,0),0)</f>
        <v>0</v>
      </c>
      <c r="U329" s="9">
        <f>IFERROR(VLOOKUP(B329,cubo!$A$6:$BE$37,51,0)-VLOOKUP(B329,#REF!,$U$2,0),0)</f>
        <v>0</v>
      </c>
      <c r="V329" s="9">
        <f>IFERROR(VLOOKUP(B329,cubo!$A$6:$BJ$37,60,0)-VLOOKUP(B329,#REF!,$V$2,0),0)</f>
        <v>0</v>
      </c>
      <c r="W329" s="9">
        <f>IFERROR(VLOOKUP(B329,cubo!$A$6:$BE$37,26,0)-VLOOKUP(B329,#REF!,$W$2,0),0)</f>
        <v>0</v>
      </c>
      <c r="X329" s="9">
        <f>IFERROR(VLOOKUP(B329,cubo!$A$6:$BE$37,20,0)-VLOOKUP(B329,#REF!,$X$2,0),0)</f>
        <v>0</v>
      </c>
      <c r="Y329" s="9">
        <f>IFERROR(VLOOKUP(B329,cubo!$A$6:$BE$37,21,0)-VLOOKUP(B329,#REF!,$Y$2,0),0)</f>
        <v>0</v>
      </c>
      <c r="Z329" s="9">
        <f>IFERROR(VLOOKUP(B329,cubo!$A$6:$BE$37,27,0)-VLOOKUP(B329,#REF!,$Z$2,0),0)</f>
        <v>0</v>
      </c>
      <c r="AA329" s="9">
        <f>IFERROR(VLOOKUP(B329,cubo!$A$6:$BE$37,28,0)-VLOOKUP(B329,#REF!,$AA$2,0),0)</f>
        <v>0</v>
      </c>
      <c r="AB329" s="9">
        <f>IFERROR(VLOOKUP(B329,cubo!$A$6:$BE$37,29,0)-VLOOKUP(B329,#REF!,$AB$2,0),0)</f>
        <v>0</v>
      </c>
      <c r="AC329" s="9">
        <f>IFERROR(VLOOKUP(B329,cubo!$A$6:$BE$37,30,0)-VLOOKUP(B329,#REF!,$AC$2,0),0)</f>
        <v>0</v>
      </c>
      <c r="AD329" s="9">
        <f>IFERROR(VLOOKUP(B329,cubo!$A$6:$BE$37,31,0)-VLOOKUP(B329,#REF!,$AD$2,0),0)</f>
        <v>0</v>
      </c>
      <c r="AE329" s="9">
        <f>IFERROR(VLOOKUP(B329,cubo!$A$6:$BE$37,35,0)-VLOOKUP(B329,#REF!,$AE$2,0),0)</f>
        <v>0</v>
      </c>
      <c r="AF329" s="9" cm="1">
        <f t="array" aca="1" ref="AF329" ca="1">IFERROR(rrPROCV(B329,cubo!$A$6:$BE$37,48,0)-VLOOKUP(B329,#REF!,$AF$2,0),0)</f>
        <v>0</v>
      </c>
      <c r="AG329" s="9">
        <f>IFERROR(VLOOKUP(B329,cubo!$A$6:$BE$37,49,0)-VLOOKUP(B329,#REF!,$AG$2,0),0)</f>
        <v>0</v>
      </c>
      <c r="AH329" s="9">
        <f>IFERROR(VLOOKUP(B329,cubo!$A$6:$BE$37,50,0)-VLOOKUP(B329,#REF!,$AH$2,0),0)</f>
        <v>0</v>
      </c>
      <c r="AI329" s="9">
        <f>IFERROR(VLOOKUP(B329,cubo!$A$6:$BE$37,51,0)-VLOOKUP(B329,#REF!,$AI$2,0),0)</f>
        <v>0</v>
      </c>
      <c r="AJ329" s="9">
        <f>IFERROR(VLOOKUP(B329,cubo!$A$6:$BI$116,62,0)-VLOOKUP(B329,#REF!,$AJ$2,0),0)</f>
        <v>0</v>
      </c>
      <c r="AK329" s="9">
        <f>IFERROR(VLOOKUP(B329,cubo!$A$6:$BJ$37,63,0)-VLOOKUP(B329,#REF!,$AK$2,0),0)</f>
        <v>0</v>
      </c>
      <c r="AL329" s="9">
        <f>IFERROR(VLOOKUP(B329,cubo!$A$6:$BE$37,58,0)-VLOOKUP(B329,#REF!,$AL$2,0),0)</f>
        <v>0</v>
      </c>
      <c r="AM329" s="9">
        <f>IFERROR(VLOOKUP(B329,cubo!$A$6:$BK$37,64,0)-VLOOKUP(B329,#REF!,$AM$2,0),0)</f>
        <v>0</v>
      </c>
      <c r="AN329" s="9">
        <f>IFERROR(VLOOKUP(B329,cubo!$A$6:$AN$37,41,0)-VLOOKUP(B329,#REF!,$AN$2,0),0)</f>
        <v>0</v>
      </c>
    </row>
    <row r="330" spans="2:40" x14ac:dyDescent="0.25">
      <c r="B330" s="7">
        <f>[1]salario!A329</f>
        <v>0</v>
      </c>
      <c r="C330" s="8">
        <f>[1]salario!C329</f>
        <v>0</v>
      </c>
      <c r="D330" s="9">
        <f>IFERROR(VLOOKUP(B330,cubo!$A$6:$BE$37,3,0)-VLOOKUP(B330,#REF!,$D$2,0),0)</f>
        <v>0</v>
      </c>
      <c r="E330" s="10">
        <f>IFERROR(VLOOKUP(B330,cubo!$A$6:$BE$37,5,0)-VLOOKUP(B330,#REF!,$E$2,0),0)</f>
        <v>0</v>
      </c>
      <c r="F330" s="10">
        <f>IFERROR(VLOOKUP(B330,cubo!$A$6:$BE$37,8,0)-VLOOKUP(B330,#REF!,$F$2,0),0)</f>
        <v>0</v>
      </c>
      <c r="G330" s="9">
        <f>IFERROR(VLOOKUP(B330,cubo!$A$6:$BE$37,11,0)-VLOOKUP(B330,#REF!,$G$2,0),0)</f>
        <v>0</v>
      </c>
      <c r="H330" s="9">
        <f>IFERROR(VLOOKUP(B330,cubo!$A$6:$BE$37,53,0)-VLOOKUP(B330,#REF!,$H$2,0),0)</f>
        <v>0</v>
      </c>
      <c r="I330" s="10">
        <f>IFERROR(VLOOKUP(B330,cubo!$A$6:$BE$37,14,0)-VLOOKUP(B330,#REF!,$I$2,0),0)</f>
        <v>0</v>
      </c>
      <c r="J330" s="9">
        <f>IFERROR(VLOOKUP(B330,cubo!$A$6:$BE$37,16,0)-VLOOKUP(B330,#REF!,$J$2,0),0)</f>
        <v>0</v>
      </c>
      <c r="K330" s="9">
        <f>IFERROR(VLOOKUP(B330,cubo!$A$6:$BE$37,17,0)-VLOOKUP(B330,#REF!,$K$2,0),0)</f>
        <v>0</v>
      </c>
      <c r="L330" s="9">
        <f>IFERROR(VLOOKUP(B330,cubo!$A$6:$BE$37,19,0)-VLOOKUP(B330,#REF!,$L$2,0),0)</f>
        <v>0</v>
      </c>
      <c r="M330" s="9">
        <f>IFERROR(VLOOKUP(B330,cubo!$A$6:$BE$37,23,0)-VLOOKUP(B330,#REF!,$M$2,0),0)</f>
        <v>0</v>
      </c>
      <c r="N330" s="9">
        <f>IFERROR(VLOOKUP(B330,cubo!$A$6:$BE$37,25,0)-VLOOKUP(B330,#REF!,$N$2,0),0)</f>
        <v>0</v>
      </c>
      <c r="O330" s="9">
        <f>IFERROR(VLOOKUP(B330,cubo!$A$6:$BE$37,33,0)-VLOOKUP(B330,#REF!,$O$2,0),0)</f>
        <v>0</v>
      </c>
      <c r="P330" s="8">
        <f>IFERROR(VLOOKUP(B330,cubo!$A$6:$BE$37,37,0)-VLOOKUP(B330,#REF!,$P$2,0),0)</f>
        <v>0</v>
      </c>
      <c r="Q330" s="8">
        <f>IFERROR(VLOOKUP(B330,cubo!$A$6:$BE$37,56,0)-VLOOKUP(B330,#REF!,$Q$2,0),0)</f>
        <v>0</v>
      </c>
      <c r="R330" s="9">
        <f>IFERROR(VLOOKUP(B330,cubo!$A$6:$BE$37,40,0)-VLOOKUP(B330,#REF!,$R$2,0),0)</f>
        <v>0</v>
      </c>
      <c r="S330" s="9">
        <f>IFERROR(VLOOKUP(B330,cubo!$A$6:$BE$37,43,0)-VLOOKUP(B330,#REF!,$S$2,0),0)</f>
        <v>0</v>
      </c>
      <c r="T330" s="9">
        <f>IFERROR(VLOOKUP(B330,cubo!$A$6:$BE$37,46,0)-VLOOKUP(B330,#REF!,$T$2,0),0)</f>
        <v>0</v>
      </c>
      <c r="U330" s="9">
        <f>IFERROR(VLOOKUP(B330,cubo!$A$6:$BE$37,51,0)-VLOOKUP(B330,#REF!,$U$2,0),0)</f>
        <v>0</v>
      </c>
      <c r="V330" s="9">
        <f>IFERROR(VLOOKUP(B330,cubo!$A$6:$BJ$37,60,0)-VLOOKUP(B330,#REF!,$V$2,0),0)</f>
        <v>0</v>
      </c>
      <c r="W330" s="9">
        <f>IFERROR(VLOOKUP(B330,cubo!$A$6:$BE$37,26,0)-VLOOKUP(B330,#REF!,$W$2,0),0)</f>
        <v>0</v>
      </c>
      <c r="X330" s="9">
        <f>IFERROR(VLOOKUP(B330,cubo!$A$6:$BE$37,20,0)-VLOOKUP(B330,#REF!,$X$2,0),0)</f>
        <v>0</v>
      </c>
      <c r="Y330" s="9">
        <f>IFERROR(VLOOKUP(B330,cubo!$A$6:$BE$37,21,0)-VLOOKUP(B330,#REF!,$Y$2,0),0)</f>
        <v>0</v>
      </c>
      <c r="Z330" s="9">
        <f>IFERROR(VLOOKUP(B330,cubo!$A$6:$BE$37,27,0)-VLOOKUP(B330,#REF!,$Z$2,0),0)</f>
        <v>0</v>
      </c>
      <c r="AA330" s="9">
        <f>IFERROR(VLOOKUP(B330,cubo!$A$6:$BE$37,28,0)-VLOOKUP(B330,#REF!,$AA$2,0),0)</f>
        <v>0</v>
      </c>
      <c r="AB330" s="9">
        <f>IFERROR(VLOOKUP(B330,cubo!$A$6:$BE$37,29,0)-VLOOKUP(B330,#REF!,$AB$2,0),0)</f>
        <v>0</v>
      </c>
      <c r="AC330" s="9">
        <f>IFERROR(VLOOKUP(B330,cubo!$A$6:$BE$37,30,0)-VLOOKUP(B330,#REF!,$AC$2,0),0)</f>
        <v>0</v>
      </c>
      <c r="AD330" s="9">
        <f>IFERROR(VLOOKUP(B330,cubo!$A$6:$BE$37,31,0)-VLOOKUP(B330,#REF!,$AD$2,0),0)</f>
        <v>0</v>
      </c>
      <c r="AE330" s="9">
        <f>IFERROR(VLOOKUP(B330,cubo!$A$6:$BE$37,35,0)-VLOOKUP(B330,#REF!,$AE$2,0),0)</f>
        <v>0</v>
      </c>
      <c r="AF330" s="9" cm="1">
        <f t="array" aca="1" ref="AF330" ca="1">IFERROR(rrPROCV(B330,cubo!$A$6:$BE$37,48,0)-VLOOKUP(B330,#REF!,$AF$2,0),0)</f>
        <v>0</v>
      </c>
      <c r="AG330" s="9">
        <f>IFERROR(VLOOKUP(B330,cubo!$A$6:$BE$37,49,0)-VLOOKUP(B330,#REF!,$AG$2,0),0)</f>
        <v>0</v>
      </c>
      <c r="AH330" s="9">
        <f>IFERROR(VLOOKUP(B330,cubo!$A$6:$BE$37,50,0)-VLOOKUP(B330,#REF!,$AH$2,0),0)</f>
        <v>0</v>
      </c>
      <c r="AI330" s="9">
        <f>IFERROR(VLOOKUP(B330,cubo!$A$6:$BE$37,51,0)-VLOOKUP(B330,#REF!,$AI$2,0),0)</f>
        <v>0</v>
      </c>
      <c r="AJ330" s="9">
        <f>IFERROR(VLOOKUP(B330,cubo!$A$6:$BI$116,62,0)-VLOOKUP(B330,#REF!,$AJ$2,0),0)</f>
        <v>0</v>
      </c>
      <c r="AK330" s="9">
        <f>IFERROR(VLOOKUP(B330,cubo!$A$6:$BJ$37,63,0)-VLOOKUP(B330,#REF!,$AK$2,0),0)</f>
        <v>0</v>
      </c>
      <c r="AL330" s="9">
        <f>IFERROR(VLOOKUP(B330,cubo!$A$6:$BE$37,58,0)-VLOOKUP(B330,#REF!,$AL$2,0),0)</f>
        <v>0</v>
      </c>
      <c r="AM330" s="9">
        <f>IFERROR(VLOOKUP(B330,cubo!$A$6:$BK$37,64,0)-VLOOKUP(B330,#REF!,$AM$2,0),0)</f>
        <v>0</v>
      </c>
      <c r="AN330" s="9">
        <f>IFERROR(VLOOKUP(B330,cubo!$A$6:$AN$37,41,0)-VLOOKUP(B330,#REF!,$AN$2,0),0)</f>
        <v>0</v>
      </c>
    </row>
    <row r="331" spans="2:40" x14ac:dyDescent="0.25">
      <c r="B331" s="7">
        <f>[1]salario!A330</f>
        <v>0</v>
      </c>
      <c r="C331" s="8">
        <f>[1]salario!C330</f>
        <v>0</v>
      </c>
      <c r="D331" s="9">
        <f>IFERROR(VLOOKUP(B331,cubo!$A$6:$BE$37,3,0)-VLOOKUP(B331,#REF!,$D$2,0),0)</f>
        <v>0</v>
      </c>
      <c r="E331" s="10">
        <f>IFERROR(VLOOKUP(B331,cubo!$A$6:$BE$37,5,0)-VLOOKUP(B331,#REF!,$E$2,0),0)</f>
        <v>0</v>
      </c>
      <c r="F331" s="10">
        <f>IFERROR(VLOOKUP(B331,cubo!$A$6:$BE$37,8,0)-VLOOKUP(B331,#REF!,$F$2,0),0)</f>
        <v>0</v>
      </c>
      <c r="G331" s="9">
        <f>IFERROR(VLOOKUP(B331,cubo!$A$6:$BE$37,11,0)-VLOOKUP(B331,#REF!,$G$2,0),0)</f>
        <v>0</v>
      </c>
      <c r="H331" s="9">
        <f>IFERROR(VLOOKUP(B331,cubo!$A$6:$BE$37,53,0)-VLOOKUP(B331,#REF!,$H$2,0),0)</f>
        <v>0</v>
      </c>
      <c r="I331" s="10">
        <f>IFERROR(VLOOKUP(B331,cubo!$A$6:$BE$37,14,0)-VLOOKUP(B331,#REF!,$I$2,0),0)</f>
        <v>0</v>
      </c>
      <c r="J331" s="9">
        <f>IFERROR(VLOOKUP(B331,cubo!$A$6:$BE$37,16,0)-VLOOKUP(B331,#REF!,$J$2,0),0)</f>
        <v>0</v>
      </c>
      <c r="K331" s="9">
        <f>IFERROR(VLOOKUP(B331,cubo!$A$6:$BE$37,17,0)-VLOOKUP(B331,#REF!,$K$2,0),0)</f>
        <v>0</v>
      </c>
      <c r="L331" s="9">
        <f>IFERROR(VLOOKUP(B331,cubo!$A$6:$BE$37,19,0)-VLOOKUP(B331,#REF!,$L$2,0),0)</f>
        <v>0</v>
      </c>
      <c r="M331" s="9">
        <f>IFERROR(VLOOKUP(B331,cubo!$A$6:$BE$37,23,0)-VLOOKUP(B331,#REF!,$M$2,0),0)</f>
        <v>0</v>
      </c>
      <c r="N331" s="9">
        <f>IFERROR(VLOOKUP(B331,cubo!$A$6:$BE$37,25,0)-VLOOKUP(B331,#REF!,$N$2,0),0)</f>
        <v>0</v>
      </c>
      <c r="O331" s="9">
        <f>IFERROR(VLOOKUP(B331,cubo!$A$6:$BE$37,33,0)-VLOOKUP(B331,#REF!,$O$2,0),0)</f>
        <v>0</v>
      </c>
      <c r="P331" s="8">
        <f>IFERROR(VLOOKUP(B331,cubo!$A$6:$BE$37,37,0)-VLOOKUP(B331,#REF!,$P$2,0),0)</f>
        <v>0</v>
      </c>
      <c r="Q331" s="8">
        <f>IFERROR(VLOOKUP(B331,cubo!$A$6:$BE$37,56,0)-VLOOKUP(B331,#REF!,$Q$2,0),0)</f>
        <v>0</v>
      </c>
      <c r="R331" s="9">
        <f>IFERROR(VLOOKUP(B331,cubo!$A$6:$BE$37,40,0)-VLOOKUP(B331,#REF!,$R$2,0),0)</f>
        <v>0</v>
      </c>
      <c r="S331" s="9">
        <f>IFERROR(VLOOKUP(B331,cubo!$A$6:$BE$37,43,0)-VLOOKUP(B331,#REF!,$S$2,0),0)</f>
        <v>0</v>
      </c>
      <c r="T331" s="9">
        <f>IFERROR(VLOOKUP(B331,cubo!$A$6:$BE$37,46,0)-VLOOKUP(B331,#REF!,$T$2,0),0)</f>
        <v>0</v>
      </c>
      <c r="U331" s="9">
        <f>IFERROR(VLOOKUP(B331,cubo!$A$6:$BE$37,51,0)-VLOOKUP(B331,#REF!,$U$2,0),0)</f>
        <v>0</v>
      </c>
      <c r="V331" s="9">
        <f>IFERROR(VLOOKUP(B331,cubo!$A$6:$BJ$37,60,0)-VLOOKUP(B331,#REF!,$V$2,0),0)</f>
        <v>0</v>
      </c>
      <c r="W331" s="9">
        <f>IFERROR(VLOOKUP(B331,cubo!$A$6:$BE$37,26,0)-VLOOKUP(B331,#REF!,$W$2,0),0)</f>
        <v>0</v>
      </c>
      <c r="X331" s="9">
        <f>IFERROR(VLOOKUP(B331,cubo!$A$6:$BE$37,20,0)-VLOOKUP(B331,#REF!,$X$2,0),0)</f>
        <v>0</v>
      </c>
      <c r="Y331" s="9">
        <f>IFERROR(VLOOKUP(B331,cubo!$A$6:$BE$37,21,0)-VLOOKUP(B331,#REF!,$Y$2,0),0)</f>
        <v>0</v>
      </c>
      <c r="Z331" s="9">
        <f>IFERROR(VLOOKUP(B331,cubo!$A$6:$BE$37,27,0)-VLOOKUP(B331,#REF!,$Z$2,0),0)</f>
        <v>0</v>
      </c>
      <c r="AA331" s="9">
        <f>IFERROR(VLOOKUP(B331,cubo!$A$6:$BE$37,28,0)-VLOOKUP(B331,#REF!,$AA$2,0),0)</f>
        <v>0</v>
      </c>
      <c r="AB331" s="9">
        <f>IFERROR(VLOOKUP(B331,cubo!$A$6:$BE$37,29,0)-VLOOKUP(B331,#REF!,$AB$2,0),0)</f>
        <v>0</v>
      </c>
      <c r="AC331" s="9">
        <f>IFERROR(VLOOKUP(B331,cubo!$A$6:$BE$37,30,0)-VLOOKUP(B331,#REF!,$AC$2,0),0)</f>
        <v>0</v>
      </c>
      <c r="AD331" s="9">
        <f>IFERROR(VLOOKUP(B331,cubo!$A$6:$BE$37,31,0)-VLOOKUP(B331,#REF!,$AD$2,0),0)</f>
        <v>0</v>
      </c>
      <c r="AE331" s="9">
        <f>IFERROR(VLOOKUP(B331,cubo!$A$6:$BE$37,35,0)-VLOOKUP(B331,#REF!,$AE$2,0),0)</f>
        <v>0</v>
      </c>
      <c r="AF331" s="9" cm="1">
        <f t="array" aca="1" ref="AF331" ca="1">IFERROR(rrPROCV(B331,cubo!$A$6:$BE$37,48,0)-VLOOKUP(B331,#REF!,$AF$2,0),0)</f>
        <v>0</v>
      </c>
      <c r="AG331" s="9">
        <f>IFERROR(VLOOKUP(B331,cubo!$A$6:$BE$37,49,0)-VLOOKUP(B331,#REF!,$AG$2,0),0)</f>
        <v>0</v>
      </c>
      <c r="AH331" s="9">
        <f>IFERROR(VLOOKUP(B331,cubo!$A$6:$BE$37,50,0)-VLOOKUP(B331,#REF!,$AH$2,0),0)</f>
        <v>0</v>
      </c>
      <c r="AI331" s="9">
        <f>IFERROR(VLOOKUP(B331,cubo!$A$6:$BE$37,51,0)-VLOOKUP(B331,#REF!,$AI$2,0),0)</f>
        <v>0</v>
      </c>
      <c r="AJ331" s="9">
        <f>IFERROR(VLOOKUP(B331,cubo!$A$6:$BI$116,62,0)-VLOOKUP(B331,#REF!,$AJ$2,0),0)</f>
        <v>0</v>
      </c>
      <c r="AK331" s="9">
        <f>IFERROR(VLOOKUP(B331,cubo!$A$6:$BJ$37,63,0)-VLOOKUP(B331,#REF!,$AK$2,0),0)</f>
        <v>0</v>
      </c>
      <c r="AL331" s="9">
        <f>IFERROR(VLOOKUP(B331,cubo!$A$6:$BE$37,58,0)-VLOOKUP(B331,#REF!,$AL$2,0),0)</f>
        <v>0</v>
      </c>
      <c r="AM331" s="9">
        <f>IFERROR(VLOOKUP(B331,cubo!$A$6:$BK$37,64,0)-VLOOKUP(B331,#REF!,$AM$2,0),0)</f>
        <v>0</v>
      </c>
      <c r="AN331" s="9">
        <f>IFERROR(VLOOKUP(B331,cubo!$A$6:$AN$37,41,0)-VLOOKUP(B331,#REF!,$AN$2,0),0)</f>
        <v>0</v>
      </c>
    </row>
    <row r="332" spans="2:40" x14ac:dyDescent="0.25">
      <c r="B332" s="7">
        <f>[1]salario!A331</f>
        <v>0</v>
      </c>
      <c r="C332" s="8">
        <f>[1]salario!C331</f>
        <v>0</v>
      </c>
      <c r="D332" s="9">
        <f>IFERROR(VLOOKUP(B332,cubo!$A$6:$BE$37,3,0)-VLOOKUP(B332,#REF!,$D$2,0),0)</f>
        <v>0</v>
      </c>
      <c r="E332" s="10">
        <f>IFERROR(VLOOKUP(B332,cubo!$A$6:$BE$37,5,0)-VLOOKUP(B332,#REF!,$E$2,0),0)</f>
        <v>0</v>
      </c>
      <c r="F332" s="10">
        <f>IFERROR(VLOOKUP(B332,cubo!$A$6:$BE$37,8,0)-VLOOKUP(B332,#REF!,$F$2,0),0)</f>
        <v>0</v>
      </c>
      <c r="G332" s="9">
        <f>IFERROR(VLOOKUP(B332,cubo!$A$6:$BE$37,11,0)-VLOOKUP(B332,#REF!,$G$2,0),0)</f>
        <v>0</v>
      </c>
      <c r="H332" s="9">
        <f>IFERROR(VLOOKUP(B332,cubo!$A$6:$BE$37,53,0)-VLOOKUP(B332,#REF!,$H$2,0),0)</f>
        <v>0</v>
      </c>
      <c r="I332" s="10">
        <f>IFERROR(VLOOKUP(B332,cubo!$A$6:$BE$37,14,0)-VLOOKUP(B332,#REF!,$I$2,0),0)</f>
        <v>0</v>
      </c>
      <c r="J332" s="9">
        <f>IFERROR(VLOOKUP(B332,cubo!$A$6:$BE$37,16,0)-VLOOKUP(B332,#REF!,$J$2,0),0)</f>
        <v>0</v>
      </c>
      <c r="K332" s="9">
        <f>IFERROR(VLOOKUP(B332,cubo!$A$6:$BE$37,17,0)-VLOOKUP(B332,#REF!,$K$2,0),0)</f>
        <v>0</v>
      </c>
      <c r="L332" s="9">
        <f>IFERROR(VLOOKUP(B332,cubo!$A$6:$BE$37,19,0)-VLOOKUP(B332,#REF!,$L$2,0),0)</f>
        <v>0</v>
      </c>
      <c r="M332" s="9">
        <f>IFERROR(VLOOKUP(B332,cubo!$A$6:$BE$37,23,0)-VLOOKUP(B332,#REF!,$M$2,0),0)</f>
        <v>0</v>
      </c>
      <c r="N332" s="9">
        <f>IFERROR(VLOOKUP(B332,cubo!$A$6:$BE$37,25,0)-VLOOKUP(B332,#REF!,$N$2,0),0)</f>
        <v>0</v>
      </c>
      <c r="O332" s="9">
        <f>IFERROR(VLOOKUP(B332,cubo!$A$6:$BE$37,33,0)-VLOOKUP(B332,#REF!,$O$2,0),0)</f>
        <v>0</v>
      </c>
      <c r="P332" s="8">
        <f>IFERROR(VLOOKUP(B332,cubo!$A$6:$BE$37,37,0)-VLOOKUP(B332,#REF!,$P$2,0),0)</f>
        <v>0</v>
      </c>
      <c r="Q332" s="8">
        <f>IFERROR(VLOOKUP(B332,cubo!$A$6:$BE$37,56,0)-VLOOKUP(B332,#REF!,$Q$2,0),0)</f>
        <v>0</v>
      </c>
      <c r="R332" s="9">
        <f>IFERROR(VLOOKUP(B332,cubo!$A$6:$BE$37,40,0)-VLOOKUP(B332,#REF!,$R$2,0),0)</f>
        <v>0</v>
      </c>
      <c r="S332" s="9">
        <f>IFERROR(VLOOKUP(B332,cubo!$A$6:$BE$37,43,0)-VLOOKUP(B332,#REF!,$S$2,0),0)</f>
        <v>0</v>
      </c>
      <c r="T332" s="9">
        <f>IFERROR(VLOOKUP(B332,cubo!$A$6:$BE$37,46,0)-VLOOKUP(B332,#REF!,$T$2,0),0)</f>
        <v>0</v>
      </c>
      <c r="U332" s="9">
        <f>IFERROR(VLOOKUP(B332,cubo!$A$6:$BE$37,51,0)-VLOOKUP(B332,#REF!,$U$2,0),0)</f>
        <v>0</v>
      </c>
      <c r="V332" s="9">
        <f>IFERROR(VLOOKUP(B332,cubo!$A$6:$BJ$37,60,0)-VLOOKUP(B332,#REF!,$V$2,0),0)</f>
        <v>0</v>
      </c>
      <c r="W332" s="9">
        <f>IFERROR(VLOOKUP(B332,cubo!$A$6:$BE$37,26,0)-VLOOKUP(B332,#REF!,$W$2,0),0)</f>
        <v>0</v>
      </c>
      <c r="X332" s="9">
        <f>IFERROR(VLOOKUP(B332,cubo!$A$6:$BE$37,20,0)-VLOOKUP(B332,#REF!,$X$2,0),0)</f>
        <v>0</v>
      </c>
      <c r="Y332" s="9">
        <f>IFERROR(VLOOKUP(B332,cubo!$A$6:$BE$37,21,0)-VLOOKUP(B332,#REF!,$Y$2,0),0)</f>
        <v>0</v>
      </c>
      <c r="Z332" s="9">
        <f>IFERROR(VLOOKUP(B332,cubo!$A$6:$BE$37,27,0)-VLOOKUP(B332,#REF!,$Z$2,0),0)</f>
        <v>0</v>
      </c>
      <c r="AA332" s="9">
        <f>IFERROR(VLOOKUP(B332,cubo!$A$6:$BE$37,28,0)-VLOOKUP(B332,#REF!,$AA$2,0),0)</f>
        <v>0</v>
      </c>
      <c r="AB332" s="9">
        <f>IFERROR(VLOOKUP(B332,cubo!$A$6:$BE$37,29,0)-VLOOKUP(B332,#REF!,$AB$2,0),0)</f>
        <v>0</v>
      </c>
      <c r="AC332" s="9">
        <f>IFERROR(VLOOKUP(B332,cubo!$A$6:$BE$37,30,0)-VLOOKUP(B332,#REF!,$AC$2,0),0)</f>
        <v>0</v>
      </c>
      <c r="AD332" s="9">
        <f>IFERROR(VLOOKUP(B332,cubo!$A$6:$BE$37,31,0)-VLOOKUP(B332,#REF!,$AD$2,0),0)</f>
        <v>0</v>
      </c>
      <c r="AE332" s="9">
        <f>IFERROR(VLOOKUP(B332,cubo!$A$6:$BE$37,35,0)-VLOOKUP(B332,#REF!,$AE$2,0),0)</f>
        <v>0</v>
      </c>
      <c r="AF332" s="9" cm="1">
        <f t="array" aca="1" ref="AF332" ca="1">IFERROR(rrPROCV(B332,cubo!$A$6:$BE$37,48,0)-VLOOKUP(B332,#REF!,$AF$2,0),0)</f>
        <v>0</v>
      </c>
      <c r="AG332" s="9">
        <f>IFERROR(VLOOKUP(B332,cubo!$A$6:$BE$37,49,0)-VLOOKUP(B332,#REF!,$AG$2,0),0)</f>
        <v>0</v>
      </c>
      <c r="AH332" s="9">
        <f>IFERROR(VLOOKUP(B332,cubo!$A$6:$BE$37,50,0)-VLOOKUP(B332,#REF!,$AH$2,0),0)</f>
        <v>0</v>
      </c>
      <c r="AI332" s="9">
        <f>IFERROR(VLOOKUP(B332,cubo!$A$6:$BE$37,51,0)-VLOOKUP(B332,#REF!,$AI$2,0),0)</f>
        <v>0</v>
      </c>
      <c r="AJ332" s="9">
        <f>IFERROR(VLOOKUP(B332,cubo!$A$6:$BI$116,62,0)-VLOOKUP(B332,#REF!,$AJ$2,0),0)</f>
        <v>0</v>
      </c>
      <c r="AK332" s="9">
        <f>IFERROR(VLOOKUP(B332,cubo!$A$6:$BJ$37,63,0)-VLOOKUP(B332,#REF!,$AK$2,0),0)</f>
        <v>0</v>
      </c>
      <c r="AL332" s="9">
        <f>IFERROR(VLOOKUP(B332,cubo!$A$6:$BE$37,58,0)-VLOOKUP(B332,#REF!,$AL$2,0),0)</f>
        <v>0</v>
      </c>
      <c r="AM332" s="9">
        <f>IFERROR(VLOOKUP(B332,cubo!$A$6:$BK$37,64,0)-VLOOKUP(B332,#REF!,$AM$2,0),0)</f>
        <v>0</v>
      </c>
      <c r="AN332" s="9">
        <f>IFERROR(VLOOKUP(B332,cubo!$A$6:$AN$37,41,0)-VLOOKUP(B332,#REF!,$AN$2,0),0)</f>
        <v>0</v>
      </c>
    </row>
    <row r="333" spans="2:40" x14ac:dyDescent="0.25">
      <c r="B333" s="7">
        <f>[1]salario!A332</f>
        <v>0</v>
      </c>
      <c r="C333" s="8">
        <f>[1]salario!C332</f>
        <v>0</v>
      </c>
      <c r="D333" s="9">
        <f>IFERROR(VLOOKUP(B333,cubo!$A$6:$BE$37,3,0)-VLOOKUP(B333,#REF!,$D$2,0),0)</f>
        <v>0</v>
      </c>
      <c r="E333" s="10">
        <f>IFERROR(VLOOKUP(B333,cubo!$A$6:$BE$37,5,0)-VLOOKUP(B333,#REF!,$E$2,0),0)</f>
        <v>0</v>
      </c>
      <c r="F333" s="10">
        <f>IFERROR(VLOOKUP(B333,cubo!$A$6:$BE$37,8,0)-VLOOKUP(B333,#REF!,$F$2,0),0)</f>
        <v>0</v>
      </c>
      <c r="G333" s="9">
        <f>IFERROR(VLOOKUP(B333,cubo!$A$6:$BE$37,11,0)-VLOOKUP(B333,#REF!,$G$2,0),0)</f>
        <v>0</v>
      </c>
      <c r="H333" s="9">
        <f>IFERROR(VLOOKUP(B333,cubo!$A$6:$BE$37,53,0)-VLOOKUP(B333,#REF!,$H$2,0),0)</f>
        <v>0</v>
      </c>
      <c r="I333" s="10">
        <f>IFERROR(VLOOKUP(B333,cubo!$A$6:$BE$37,14,0)-VLOOKUP(B333,#REF!,$I$2,0),0)</f>
        <v>0</v>
      </c>
      <c r="J333" s="9">
        <f>IFERROR(VLOOKUP(B333,cubo!$A$6:$BE$37,16,0)-VLOOKUP(B333,#REF!,$J$2,0),0)</f>
        <v>0</v>
      </c>
      <c r="K333" s="9">
        <f>IFERROR(VLOOKUP(B333,cubo!$A$6:$BE$37,17,0)-VLOOKUP(B333,#REF!,$K$2,0),0)</f>
        <v>0</v>
      </c>
      <c r="L333" s="9">
        <f>IFERROR(VLOOKUP(B333,cubo!$A$6:$BE$37,19,0)-VLOOKUP(B333,#REF!,$L$2,0),0)</f>
        <v>0</v>
      </c>
      <c r="M333" s="9">
        <f>IFERROR(VLOOKUP(B333,cubo!$A$6:$BE$37,23,0)-VLOOKUP(B333,#REF!,$M$2,0),0)</f>
        <v>0</v>
      </c>
      <c r="N333" s="9">
        <f>IFERROR(VLOOKUP(B333,cubo!$A$6:$BE$37,25,0)-VLOOKUP(B333,#REF!,$N$2,0),0)</f>
        <v>0</v>
      </c>
      <c r="O333" s="9">
        <f>IFERROR(VLOOKUP(B333,cubo!$A$6:$BE$37,33,0)-VLOOKUP(B333,#REF!,$O$2,0),0)</f>
        <v>0</v>
      </c>
      <c r="P333" s="8">
        <f>IFERROR(VLOOKUP(B333,cubo!$A$6:$BE$37,37,0)-VLOOKUP(B333,#REF!,$P$2,0),0)</f>
        <v>0</v>
      </c>
      <c r="Q333" s="8">
        <f>IFERROR(VLOOKUP(B333,cubo!$A$6:$BE$37,56,0)-VLOOKUP(B333,#REF!,$Q$2,0),0)</f>
        <v>0</v>
      </c>
      <c r="R333" s="9">
        <f>IFERROR(VLOOKUP(B333,cubo!$A$6:$BE$37,40,0)-VLOOKUP(B333,#REF!,$R$2,0),0)</f>
        <v>0</v>
      </c>
      <c r="S333" s="9">
        <f>IFERROR(VLOOKUP(B333,cubo!$A$6:$BE$37,43,0)-VLOOKUP(B333,#REF!,$S$2,0),0)</f>
        <v>0</v>
      </c>
      <c r="T333" s="9">
        <f>IFERROR(VLOOKUP(B333,cubo!$A$6:$BE$37,46,0)-VLOOKUP(B333,#REF!,$T$2,0),0)</f>
        <v>0</v>
      </c>
      <c r="U333" s="9">
        <f>IFERROR(VLOOKUP(B333,cubo!$A$6:$BE$37,51,0)-VLOOKUP(B333,#REF!,$U$2,0),0)</f>
        <v>0</v>
      </c>
      <c r="V333" s="9">
        <f>IFERROR(VLOOKUP(B333,cubo!$A$6:$BJ$37,60,0)-VLOOKUP(B333,#REF!,$V$2,0),0)</f>
        <v>0</v>
      </c>
      <c r="W333" s="9">
        <f>IFERROR(VLOOKUP(B333,cubo!$A$6:$BE$37,26,0)-VLOOKUP(B333,#REF!,$W$2,0),0)</f>
        <v>0</v>
      </c>
      <c r="X333" s="9">
        <f>IFERROR(VLOOKUP(B333,cubo!$A$6:$BE$37,20,0)-VLOOKUP(B333,#REF!,$X$2,0),0)</f>
        <v>0</v>
      </c>
      <c r="Y333" s="9">
        <f>IFERROR(VLOOKUP(B333,cubo!$A$6:$BE$37,21,0)-VLOOKUP(B333,#REF!,$Y$2,0),0)</f>
        <v>0</v>
      </c>
      <c r="Z333" s="9">
        <f>IFERROR(VLOOKUP(B333,cubo!$A$6:$BE$37,27,0)-VLOOKUP(B333,#REF!,$Z$2,0),0)</f>
        <v>0</v>
      </c>
      <c r="AA333" s="9">
        <f>IFERROR(VLOOKUP(B333,cubo!$A$6:$BE$37,28,0)-VLOOKUP(B333,#REF!,$AA$2,0),0)</f>
        <v>0</v>
      </c>
      <c r="AB333" s="9">
        <f>IFERROR(VLOOKUP(B333,cubo!$A$6:$BE$37,29,0)-VLOOKUP(B333,#REF!,$AB$2,0),0)</f>
        <v>0</v>
      </c>
      <c r="AC333" s="9">
        <f>IFERROR(VLOOKUP(B333,cubo!$A$6:$BE$37,30,0)-VLOOKUP(B333,#REF!,$AC$2,0),0)</f>
        <v>0</v>
      </c>
      <c r="AD333" s="9">
        <f>IFERROR(VLOOKUP(B333,cubo!$A$6:$BE$37,31,0)-VLOOKUP(B333,#REF!,$AD$2,0),0)</f>
        <v>0</v>
      </c>
      <c r="AE333" s="9">
        <f>IFERROR(VLOOKUP(B333,cubo!$A$6:$BE$37,35,0)-VLOOKUP(B333,#REF!,$AE$2,0),0)</f>
        <v>0</v>
      </c>
      <c r="AF333" s="9" cm="1">
        <f t="array" aca="1" ref="AF333" ca="1">IFERROR(rrPROCV(B333,cubo!$A$6:$BE$37,48,0)-VLOOKUP(B333,#REF!,$AF$2,0),0)</f>
        <v>0</v>
      </c>
      <c r="AG333" s="9">
        <f>IFERROR(VLOOKUP(B333,cubo!$A$6:$BE$37,49,0)-VLOOKUP(B333,#REF!,$AG$2,0),0)</f>
        <v>0</v>
      </c>
      <c r="AH333" s="9">
        <f>IFERROR(VLOOKUP(B333,cubo!$A$6:$BE$37,50,0)-VLOOKUP(B333,#REF!,$AH$2,0),0)</f>
        <v>0</v>
      </c>
      <c r="AI333" s="9">
        <f>IFERROR(VLOOKUP(B333,cubo!$A$6:$BE$37,51,0)-VLOOKUP(B333,#REF!,$AI$2,0),0)</f>
        <v>0</v>
      </c>
      <c r="AJ333" s="9">
        <f>IFERROR(VLOOKUP(B333,cubo!$A$6:$BI$116,62,0)-VLOOKUP(B333,#REF!,$AJ$2,0),0)</f>
        <v>0</v>
      </c>
      <c r="AK333" s="9">
        <f>IFERROR(VLOOKUP(B333,cubo!$A$6:$BJ$37,63,0)-VLOOKUP(B333,#REF!,$AK$2,0),0)</f>
        <v>0</v>
      </c>
      <c r="AL333" s="9">
        <f>IFERROR(VLOOKUP(B333,cubo!$A$6:$BE$37,58,0)-VLOOKUP(B333,#REF!,$AL$2,0),0)</f>
        <v>0</v>
      </c>
      <c r="AM333" s="9">
        <f>IFERROR(VLOOKUP(B333,cubo!$A$6:$BK$37,64,0)-VLOOKUP(B333,#REF!,$AM$2,0),0)</f>
        <v>0</v>
      </c>
      <c r="AN333" s="9">
        <f>IFERROR(VLOOKUP(B333,cubo!$A$6:$AN$37,41,0)-VLOOKUP(B333,#REF!,$AN$2,0),0)</f>
        <v>0</v>
      </c>
    </row>
    <row r="334" spans="2:40" x14ac:dyDescent="0.25">
      <c r="B334" s="7">
        <f>[1]salario!A333</f>
        <v>0</v>
      </c>
      <c r="C334" s="8">
        <f>[1]salario!C333</f>
        <v>0</v>
      </c>
      <c r="D334" s="9">
        <f>IFERROR(VLOOKUP(B334,cubo!$A$6:$BE$37,3,0)-VLOOKUP(B334,#REF!,$D$2,0),0)</f>
        <v>0</v>
      </c>
      <c r="E334" s="10">
        <f>IFERROR(VLOOKUP(B334,cubo!$A$6:$BE$37,5,0)-VLOOKUP(B334,#REF!,$E$2,0),0)</f>
        <v>0</v>
      </c>
      <c r="F334" s="10">
        <f>IFERROR(VLOOKUP(B334,cubo!$A$6:$BE$37,8,0)-VLOOKUP(B334,#REF!,$F$2,0),0)</f>
        <v>0</v>
      </c>
      <c r="G334" s="9">
        <f>IFERROR(VLOOKUP(B334,cubo!$A$6:$BE$37,11,0)-VLOOKUP(B334,#REF!,$G$2,0),0)</f>
        <v>0</v>
      </c>
      <c r="H334" s="9">
        <f>IFERROR(VLOOKUP(B334,cubo!$A$6:$BE$37,53,0)-VLOOKUP(B334,#REF!,$H$2,0),0)</f>
        <v>0</v>
      </c>
      <c r="I334" s="10">
        <f>IFERROR(VLOOKUP(B334,cubo!$A$6:$BE$37,14,0)-VLOOKUP(B334,#REF!,$I$2,0),0)</f>
        <v>0</v>
      </c>
      <c r="J334" s="9">
        <f>IFERROR(VLOOKUP(B334,cubo!$A$6:$BE$37,16,0)-VLOOKUP(B334,#REF!,$J$2,0),0)</f>
        <v>0</v>
      </c>
      <c r="K334" s="9">
        <f>IFERROR(VLOOKUP(B334,cubo!$A$6:$BE$37,17,0)-VLOOKUP(B334,#REF!,$K$2,0),0)</f>
        <v>0</v>
      </c>
      <c r="L334" s="9">
        <f>IFERROR(VLOOKUP(B334,cubo!$A$6:$BE$37,19,0)-VLOOKUP(B334,#REF!,$L$2,0),0)</f>
        <v>0</v>
      </c>
      <c r="M334" s="9">
        <f>IFERROR(VLOOKUP(B334,cubo!$A$6:$BE$37,23,0)-VLOOKUP(B334,#REF!,$M$2,0),0)</f>
        <v>0</v>
      </c>
      <c r="N334" s="9">
        <f>IFERROR(VLOOKUP(B334,cubo!$A$6:$BE$37,25,0)-VLOOKUP(B334,#REF!,$N$2,0),0)</f>
        <v>0</v>
      </c>
      <c r="O334" s="9">
        <f>IFERROR(VLOOKUP(B334,cubo!$A$6:$BE$37,33,0)-VLOOKUP(B334,#REF!,$O$2,0),0)</f>
        <v>0</v>
      </c>
      <c r="P334" s="8">
        <f>IFERROR(VLOOKUP(B334,cubo!$A$6:$BE$37,37,0)-VLOOKUP(B334,#REF!,$P$2,0),0)</f>
        <v>0</v>
      </c>
      <c r="Q334" s="8">
        <f>IFERROR(VLOOKUP(B334,cubo!$A$6:$BE$37,56,0)-VLOOKUP(B334,#REF!,$Q$2,0),0)</f>
        <v>0</v>
      </c>
      <c r="R334" s="9">
        <f>IFERROR(VLOOKUP(B334,cubo!$A$6:$BE$37,40,0)-VLOOKUP(B334,#REF!,$R$2,0),0)</f>
        <v>0</v>
      </c>
      <c r="S334" s="9">
        <f>IFERROR(VLOOKUP(B334,cubo!$A$6:$BE$37,43,0)-VLOOKUP(B334,#REF!,$S$2,0),0)</f>
        <v>0</v>
      </c>
      <c r="T334" s="9">
        <f>IFERROR(VLOOKUP(B334,cubo!$A$6:$BE$37,46,0)-VLOOKUP(B334,#REF!,$T$2,0),0)</f>
        <v>0</v>
      </c>
      <c r="U334" s="9">
        <f>IFERROR(VLOOKUP(B334,cubo!$A$6:$BE$37,51,0)-VLOOKUP(B334,#REF!,$U$2,0),0)</f>
        <v>0</v>
      </c>
      <c r="V334" s="9">
        <f>IFERROR(VLOOKUP(B334,cubo!$A$6:$BJ$37,60,0)-VLOOKUP(B334,#REF!,$V$2,0),0)</f>
        <v>0</v>
      </c>
      <c r="W334" s="9">
        <f>IFERROR(VLOOKUP(B334,cubo!$A$6:$BE$37,26,0)-VLOOKUP(B334,#REF!,$W$2,0),0)</f>
        <v>0</v>
      </c>
      <c r="X334" s="9">
        <f>IFERROR(VLOOKUP(B334,cubo!$A$6:$BE$37,20,0)-VLOOKUP(B334,#REF!,$X$2,0),0)</f>
        <v>0</v>
      </c>
      <c r="Y334" s="9">
        <f>IFERROR(VLOOKUP(B334,cubo!$A$6:$BE$37,21,0)-VLOOKUP(B334,#REF!,$Y$2,0),0)</f>
        <v>0</v>
      </c>
      <c r="Z334" s="9">
        <f>IFERROR(VLOOKUP(B334,cubo!$A$6:$BE$37,27,0)-VLOOKUP(B334,#REF!,$Z$2,0),0)</f>
        <v>0</v>
      </c>
      <c r="AA334" s="9">
        <f>IFERROR(VLOOKUP(B334,cubo!$A$6:$BE$37,28,0)-VLOOKUP(B334,#REF!,$AA$2,0),0)</f>
        <v>0</v>
      </c>
      <c r="AB334" s="9">
        <f>IFERROR(VLOOKUP(B334,cubo!$A$6:$BE$37,29,0)-VLOOKUP(B334,#REF!,$AB$2,0),0)</f>
        <v>0</v>
      </c>
      <c r="AC334" s="9">
        <f>IFERROR(VLOOKUP(B334,cubo!$A$6:$BE$37,30,0)-VLOOKUP(B334,#REF!,$AC$2,0),0)</f>
        <v>0</v>
      </c>
      <c r="AD334" s="9">
        <f>IFERROR(VLOOKUP(B334,cubo!$A$6:$BE$37,31,0)-VLOOKUP(B334,#REF!,$AD$2,0),0)</f>
        <v>0</v>
      </c>
      <c r="AE334" s="9">
        <f>IFERROR(VLOOKUP(B334,cubo!$A$6:$BE$37,35,0)-VLOOKUP(B334,#REF!,$AE$2,0),0)</f>
        <v>0</v>
      </c>
      <c r="AF334" s="9" cm="1">
        <f t="array" aca="1" ref="AF334" ca="1">IFERROR(rrPROCV(B334,cubo!$A$6:$BE$37,48,0)-VLOOKUP(B334,#REF!,$AF$2,0),0)</f>
        <v>0</v>
      </c>
      <c r="AG334" s="9">
        <f>IFERROR(VLOOKUP(B334,cubo!$A$6:$BE$37,49,0)-VLOOKUP(B334,#REF!,$AG$2,0),0)</f>
        <v>0</v>
      </c>
      <c r="AH334" s="9">
        <f>IFERROR(VLOOKUP(B334,cubo!$A$6:$BE$37,50,0)-VLOOKUP(B334,#REF!,$AH$2,0),0)</f>
        <v>0</v>
      </c>
      <c r="AI334" s="9">
        <f>IFERROR(VLOOKUP(B334,cubo!$A$6:$BE$37,51,0)-VLOOKUP(B334,#REF!,$AI$2,0),0)</f>
        <v>0</v>
      </c>
      <c r="AJ334" s="9">
        <f>IFERROR(VLOOKUP(B334,cubo!$A$6:$BI$116,62,0)-VLOOKUP(B334,#REF!,$AJ$2,0),0)</f>
        <v>0</v>
      </c>
      <c r="AK334" s="9">
        <f>IFERROR(VLOOKUP(B334,cubo!$A$6:$BJ$37,63,0)-VLOOKUP(B334,#REF!,$AK$2,0),0)</f>
        <v>0</v>
      </c>
      <c r="AL334" s="9">
        <f>IFERROR(VLOOKUP(B334,cubo!$A$6:$BE$37,58,0)-VLOOKUP(B334,#REF!,$AL$2,0),0)</f>
        <v>0</v>
      </c>
      <c r="AM334" s="9">
        <f>IFERROR(VLOOKUP(B334,cubo!$A$6:$BK$37,64,0)-VLOOKUP(B334,#REF!,$AM$2,0),0)</f>
        <v>0</v>
      </c>
      <c r="AN334" s="9">
        <f>IFERROR(VLOOKUP(B334,cubo!$A$6:$AN$37,41,0)-VLOOKUP(B334,#REF!,$AN$2,0),0)</f>
        <v>0</v>
      </c>
    </row>
    <row r="335" spans="2:40" x14ac:dyDescent="0.25">
      <c r="B335" s="7">
        <f>[1]salario!A334</f>
        <v>0</v>
      </c>
      <c r="C335" s="8">
        <f>[1]salario!C334</f>
        <v>0</v>
      </c>
      <c r="D335" s="9">
        <f>IFERROR(VLOOKUP(B335,cubo!$A$6:$BE$37,3,0)-VLOOKUP(B335,#REF!,$D$2,0),0)</f>
        <v>0</v>
      </c>
      <c r="E335" s="10">
        <f>IFERROR(VLOOKUP(B335,cubo!$A$6:$BE$37,5,0)-VLOOKUP(B335,#REF!,$E$2,0),0)</f>
        <v>0</v>
      </c>
      <c r="F335" s="10">
        <f>IFERROR(VLOOKUP(B335,cubo!$A$6:$BE$37,8,0)-VLOOKUP(B335,#REF!,$F$2,0),0)</f>
        <v>0</v>
      </c>
      <c r="G335" s="9">
        <f>IFERROR(VLOOKUP(B335,cubo!$A$6:$BE$37,11,0)-VLOOKUP(B335,#REF!,$G$2,0),0)</f>
        <v>0</v>
      </c>
      <c r="H335" s="9">
        <f>IFERROR(VLOOKUP(B335,cubo!$A$6:$BE$37,53,0)-VLOOKUP(B335,#REF!,$H$2,0),0)</f>
        <v>0</v>
      </c>
      <c r="I335" s="10">
        <f>IFERROR(VLOOKUP(B335,cubo!$A$6:$BE$37,14,0)-VLOOKUP(B335,#REF!,$I$2,0),0)</f>
        <v>0</v>
      </c>
      <c r="J335" s="9">
        <f>IFERROR(VLOOKUP(B335,cubo!$A$6:$BE$37,16,0)-VLOOKUP(B335,#REF!,$J$2,0),0)</f>
        <v>0</v>
      </c>
      <c r="K335" s="9">
        <f>IFERROR(VLOOKUP(B335,cubo!$A$6:$BE$37,17,0)-VLOOKUP(B335,#REF!,$K$2,0),0)</f>
        <v>0</v>
      </c>
      <c r="L335" s="9">
        <f>IFERROR(VLOOKUP(B335,cubo!$A$6:$BE$37,19,0)-VLOOKUP(B335,#REF!,$L$2,0),0)</f>
        <v>0</v>
      </c>
      <c r="M335" s="9">
        <f>IFERROR(VLOOKUP(B335,cubo!$A$6:$BE$37,23,0)-VLOOKUP(B335,#REF!,$M$2,0),0)</f>
        <v>0</v>
      </c>
      <c r="N335" s="9">
        <f>IFERROR(VLOOKUP(B335,cubo!$A$6:$BE$37,25,0)-VLOOKUP(B335,#REF!,$N$2,0),0)</f>
        <v>0</v>
      </c>
      <c r="O335" s="9">
        <f>IFERROR(VLOOKUP(B335,cubo!$A$6:$BE$37,33,0)-VLOOKUP(B335,#REF!,$O$2,0),0)</f>
        <v>0</v>
      </c>
      <c r="P335" s="8">
        <f>IFERROR(VLOOKUP(B335,cubo!$A$6:$BE$37,37,0)-VLOOKUP(B335,#REF!,$P$2,0),0)</f>
        <v>0</v>
      </c>
      <c r="Q335" s="8">
        <f>IFERROR(VLOOKUP(B335,cubo!$A$6:$BE$37,56,0)-VLOOKUP(B335,#REF!,$Q$2,0),0)</f>
        <v>0</v>
      </c>
      <c r="R335" s="9">
        <f>IFERROR(VLOOKUP(B335,cubo!$A$6:$BE$37,40,0)-VLOOKUP(B335,#REF!,$R$2,0),0)</f>
        <v>0</v>
      </c>
      <c r="S335" s="9">
        <f>IFERROR(VLOOKUP(B335,cubo!$A$6:$BE$37,43,0)-VLOOKUP(B335,#REF!,$S$2,0),0)</f>
        <v>0</v>
      </c>
      <c r="T335" s="9">
        <f>IFERROR(VLOOKUP(B335,cubo!$A$6:$BE$37,46,0)-VLOOKUP(B335,#REF!,$T$2,0),0)</f>
        <v>0</v>
      </c>
      <c r="U335" s="9">
        <f>IFERROR(VLOOKUP(B335,cubo!$A$6:$BE$37,51,0)-VLOOKUP(B335,#REF!,$U$2,0),0)</f>
        <v>0</v>
      </c>
      <c r="V335" s="9">
        <f>IFERROR(VLOOKUP(B335,cubo!$A$6:$BJ$37,60,0)-VLOOKUP(B335,#REF!,$V$2,0),0)</f>
        <v>0</v>
      </c>
      <c r="W335" s="9">
        <f>IFERROR(VLOOKUP(B335,cubo!$A$6:$BE$37,26,0)-VLOOKUP(B335,#REF!,$W$2,0),0)</f>
        <v>0</v>
      </c>
      <c r="X335" s="9">
        <f>IFERROR(VLOOKUP(B335,cubo!$A$6:$BE$37,20,0)-VLOOKUP(B335,#REF!,$X$2,0),0)</f>
        <v>0</v>
      </c>
      <c r="Y335" s="9">
        <f>IFERROR(VLOOKUP(B335,cubo!$A$6:$BE$37,21,0)-VLOOKUP(B335,#REF!,$Y$2,0),0)</f>
        <v>0</v>
      </c>
      <c r="Z335" s="9">
        <f>IFERROR(VLOOKUP(B335,cubo!$A$6:$BE$37,27,0)-VLOOKUP(B335,#REF!,$Z$2,0),0)</f>
        <v>0</v>
      </c>
      <c r="AA335" s="9">
        <f>IFERROR(VLOOKUP(B335,cubo!$A$6:$BE$37,28,0)-VLOOKUP(B335,#REF!,$AA$2,0),0)</f>
        <v>0</v>
      </c>
      <c r="AB335" s="9">
        <f>IFERROR(VLOOKUP(B335,cubo!$A$6:$BE$37,29,0)-VLOOKUP(B335,#REF!,$AB$2,0),0)</f>
        <v>0</v>
      </c>
      <c r="AC335" s="9">
        <f>IFERROR(VLOOKUP(B335,cubo!$A$6:$BE$37,30,0)-VLOOKUP(B335,#REF!,$AC$2,0),0)</f>
        <v>0</v>
      </c>
      <c r="AD335" s="9">
        <f>IFERROR(VLOOKUP(B335,cubo!$A$6:$BE$37,31,0)-VLOOKUP(B335,#REF!,$AD$2,0),0)</f>
        <v>0</v>
      </c>
      <c r="AE335" s="9">
        <f>IFERROR(VLOOKUP(B335,cubo!$A$6:$BE$37,35,0)-VLOOKUP(B335,#REF!,$AE$2,0),0)</f>
        <v>0</v>
      </c>
      <c r="AF335" s="9" cm="1">
        <f t="array" aca="1" ref="AF335" ca="1">IFERROR(rrPROCV(B335,cubo!$A$6:$BE$37,48,0)-VLOOKUP(B335,#REF!,$AF$2,0),0)</f>
        <v>0</v>
      </c>
      <c r="AG335" s="9">
        <f>IFERROR(VLOOKUP(B335,cubo!$A$6:$BE$37,49,0)-VLOOKUP(B335,#REF!,$AG$2,0),0)</f>
        <v>0</v>
      </c>
      <c r="AH335" s="9">
        <f>IFERROR(VLOOKUP(B335,cubo!$A$6:$BE$37,50,0)-VLOOKUP(B335,#REF!,$AH$2,0),0)</f>
        <v>0</v>
      </c>
      <c r="AI335" s="9">
        <f>IFERROR(VLOOKUP(B335,cubo!$A$6:$BE$37,51,0)-VLOOKUP(B335,#REF!,$AI$2,0),0)</f>
        <v>0</v>
      </c>
      <c r="AJ335" s="9">
        <f>IFERROR(VLOOKUP(B335,cubo!$A$6:$BI$116,62,0)-VLOOKUP(B335,#REF!,$AJ$2,0),0)</f>
        <v>0</v>
      </c>
      <c r="AK335" s="9">
        <f>IFERROR(VLOOKUP(B335,cubo!$A$6:$BJ$37,63,0)-VLOOKUP(B335,#REF!,$AK$2,0),0)</f>
        <v>0</v>
      </c>
      <c r="AL335" s="9">
        <f>IFERROR(VLOOKUP(B335,cubo!$A$6:$BE$37,58,0)-VLOOKUP(B335,#REF!,$AL$2,0),0)</f>
        <v>0</v>
      </c>
      <c r="AM335" s="9">
        <f>IFERROR(VLOOKUP(B335,cubo!$A$6:$BK$37,64,0)-VLOOKUP(B335,#REF!,$AM$2,0),0)</f>
        <v>0</v>
      </c>
      <c r="AN335" s="9">
        <f>IFERROR(VLOOKUP(B335,cubo!$A$6:$AN$37,41,0)-VLOOKUP(B335,#REF!,$AN$2,0),0)</f>
        <v>0</v>
      </c>
    </row>
    <row r="336" spans="2:40" x14ac:dyDescent="0.25">
      <c r="B336" s="7">
        <f>[1]salario!A335</f>
        <v>0</v>
      </c>
      <c r="C336" s="8">
        <f>[1]salario!C335</f>
        <v>0</v>
      </c>
      <c r="D336" s="9">
        <f>IFERROR(VLOOKUP(B336,cubo!$A$6:$BE$37,3,0)-VLOOKUP(B336,#REF!,$D$2,0),0)</f>
        <v>0</v>
      </c>
      <c r="E336" s="10">
        <f>IFERROR(VLOOKUP(B336,cubo!$A$6:$BE$37,5,0)-VLOOKUP(B336,#REF!,$E$2,0),0)</f>
        <v>0</v>
      </c>
      <c r="F336" s="10">
        <f>IFERROR(VLOOKUP(B336,cubo!$A$6:$BE$37,8,0)-VLOOKUP(B336,#REF!,$F$2,0),0)</f>
        <v>0</v>
      </c>
      <c r="G336" s="9">
        <f>IFERROR(VLOOKUP(B336,cubo!$A$6:$BE$37,11,0)-VLOOKUP(B336,#REF!,$G$2,0),0)</f>
        <v>0</v>
      </c>
      <c r="H336" s="9">
        <f>IFERROR(VLOOKUP(B336,cubo!$A$6:$BE$37,53,0)-VLOOKUP(B336,#REF!,$H$2,0),0)</f>
        <v>0</v>
      </c>
      <c r="I336" s="10">
        <f>IFERROR(VLOOKUP(B336,cubo!$A$6:$BE$37,14,0)-VLOOKUP(B336,#REF!,$I$2,0),0)</f>
        <v>0</v>
      </c>
      <c r="J336" s="9">
        <f>IFERROR(VLOOKUP(B336,cubo!$A$6:$BE$37,16,0)-VLOOKUP(B336,#REF!,$J$2,0),0)</f>
        <v>0</v>
      </c>
      <c r="K336" s="9">
        <f>IFERROR(VLOOKUP(B336,cubo!$A$6:$BE$37,17,0)-VLOOKUP(B336,#REF!,$K$2,0),0)</f>
        <v>0</v>
      </c>
      <c r="L336" s="9">
        <f>IFERROR(VLOOKUP(B336,cubo!$A$6:$BE$37,19,0)-VLOOKUP(B336,#REF!,$L$2,0),0)</f>
        <v>0</v>
      </c>
      <c r="M336" s="9">
        <f>IFERROR(VLOOKUP(B336,cubo!$A$6:$BE$37,23,0)-VLOOKUP(B336,#REF!,$M$2,0),0)</f>
        <v>0</v>
      </c>
      <c r="N336" s="9">
        <f>IFERROR(VLOOKUP(B336,cubo!$A$6:$BE$37,25,0)-VLOOKUP(B336,#REF!,$N$2,0),0)</f>
        <v>0</v>
      </c>
      <c r="O336" s="9">
        <f>IFERROR(VLOOKUP(B336,cubo!$A$6:$BE$37,33,0)-VLOOKUP(B336,#REF!,$O$2,0),0)</f>
        <v>0</v>
      </c>
      <c r="P336" s="8">
        <f>IFERROR(VLOOKUP(B336,cubo!$A$6:$BE$37,37,0)-VLOOKUP(B336,#REF!,$P$2,0),0)</f>
        <v>0</v>
      </c>
      <c r="Q336" s="8">
        <f>IFERROR(VLOOKUP(B336,cubo!$A$6:$BE$37,56,0)-VLOOKUP(B336,#REF!,$Q$2,0),0)</f>
        <v>0</v>
      </c>
      <c r="R336" s="9">
        <f>IFERROR(VLOOKUP(B336,cubo!$A$6:$BE$37,40,0)-VLOOKUP(B336,#REF!,$R$2,0),0)</f>
        <v>0</v>
      </c>
      <c r="S336" s="9">
        <f>IFERROR(VLOOKUP(B336,cubo!$A$6:$BE$37,43,0)-VLOOKUP(B336,#REF!,$S$2,0),0)</f>
        <v>0</v>
      </c>
      <c r="T336" s="9">
        <f>IFERROR(VLOOKUP(B336,cubo!$A$6:$BE$37,46,0)-VLOOKUP(B336,#REF!,$T$2,0),0)</f>
        <v>0</v>
      </c>
      <c r="U336" s="9">
        <f>IFERROR(VLOOKUP(B336,cubo!$A$6:$BE$37,51,0)-VLOOKUP(B336,#REF!,$U$2,0),0)</f>
        <v>0</v>
      </c>
      <c r="V336" s="9">
        <f>IFERROR(VLOOKUP(B336,cubo!$A$6:$BJ$37,60,0)-VLOOKUP(B336,#REF!,$V$2,0),0)</f>
        <v>0</v>
      </c>
      <c r="W336" s="9">
        <f>IFERROR(VLOOKUP(B336,cubo!$A$6:$BE$37,26,0)-VLOOKUP(B336,#REF!,$W$2,0),0)</f>
        <v>0</v>
      </c>
      <c r="X336" s="9">
        <f>IFERROR(VLOOKUP(B336,cubo!$A$6:$BE$37,20,0)-VLOOKUP(B336,#REF!,$X$2,0),0)</f>
        <v>0</v>
      </c>
      <c r="Y336" s="9">
        <f>IFERROR(VLOOKUP(B336,cubo!$A$6:$BE$37,21,0)-VLOOKUP(B336,#REF!,$Y$2,0),0)</f>
        <v>0</v>
      </c>
      <c r="Z336" s="9">
        <f>IFERROR(VLOOKUP(B336,cubo!$A$6:$BE$37,27,0)-VLOOKUP(B336,#REF!,$Z$2,0),0)</f>
        <v>0</v>
      </c>
      <c r="AA336" s="9">
        <f>IFERROR(VLOOKUP(B336,cubo!$A$6:$BE$37,28,0)-VLOOKUP(B336,#REF!,$AA$2,0),0)</f>
        <v>0</v>
      </c>
      <c r="AB336" s="9">
        <f>IFERROR(VLOOKUP(B336,cubo!$A$6:$BE$37,29,0)-VLOOKUP(B336,#REF!,$AB$2,0),0)</f>
        <v>0</v>
      </c>
      <c r="AC336" s="9">
        <f>IFERROR(VLOOKUP(B336,cubo!$A$6:$BE$37,30,0)-VLOOKUP(B336,#REF!,$AC$2,0),0)</f>
        <v>0</v>
      </c>
      <c r="AD336" s="9">
        <f>IFERROR(VLOOKUP(B336,cubo!$A$6:$BE$37,31,0)-VLOOKUP(B336,#REF!,$AD$2,0),0)</f>
        <v>0</v>
      </c>
      <c r="AE336" s="9">
        <f>IFERROR(VLOOKUP(B336,cubo!$A$6:$BE$37,35,0)-VLOOKUP(B336,#REF!,$AE$2,0),0)</f>
        <v>0</v>
      </c>
      <c r="AF336" s="9" cm="1">
        <f t="array" aca="1" ref="AF336" ca="1">IFERROR(rrPROCV(B336,cubo!$A$6:$BE$37,48,0)-VLOOKUP(B336,#REF!,$AF$2,0),0)</f>
        <v>0</v>
      </c>
      <c r="AG336" s="9">
        <f>IFERROR(VLOOKUP(B336,cubo!$A$6:$BE$37,49,0)-VLOOKUP(B336,#REF!,$AG$2,0),0)</f>
        <v>0</v>
      </c>
      <c r="AH336" s="9">
        <f>IFERROR(VLOOKUP(B336,cubo!$A$6:$BE$37,50,0)-VLOOKUP(B336,#REF!,$AH$2,0),0)</f>
        <v>0</v>
      </c>
      <c r="AI336" s="9">
        <f>IFERROR(VLOOKUP(B336,cubo!$A$6:$BE$37,51,0)-VLOOKUP(B336,#REF!,$AI$2,0),0)</f>
        <v>0</v>
      </c>
      <c r="AJ336" s="9">
        <f>IFERROR(VLOOKUP(B336,cubo!$A$6:$BI$116,62,0)-VLOOKUP(B336,#REF!,$AJ$2,0),0)</f>
        <v>0</v>
      </c>
      <c r="AK336" s="9">
        <f>IFERROR(VLOOKUP(B336,cubo!$A$6:$BJ$37,63,0)-VLOOKUP(B336,#REF!,$AK$2,0),0)</f>
        <v>0</v>
      </c>
      <c r="AL336" s="9">
        <f>IFERROR(VLOOKUP(B336,cubo!$A$6:$BE$37,58,0)-VLOOKUP(B336,#REF!,$AL$2,0),0)</f>
        <v>0</v>
      </c>
      <c r="AM336" s="9">
        <f>IFERROR(VLOOKUP(B336,cubo!$A$6:$BK$37,64,0)-VLOOKUP(B336,#REF!,$AM$2,0),0)</f>
        <v>0</v>
      </c>
      <c r="AN336" s="9">
        <f>IFERROR(VLOOKUP(B336,cubo!$A$6:$AN$37,41,0)-VLOOKUP(B336,#REF!,$AN$2,0),0)</f>
        <v>0</v>
      </c>
    </row>
    <row r="337" spans="2:40" x14ac:dyDescent="0.25">
      <c r="B337" s="7">
        <f>[1]salario!A336</f>
        <v>0</v>
      </c>
      <c r="C337" s="8">
        <f>[1]salario!C336</f>
        <v>0</v>
      </c>
      <c r="D337" s="9">
        <f>IFERROR(VLOOKUP(B337,cubo!$A$6:$BE$37,3,0)-VLOOKUP(B337,#REF!,$D$2,0),0)</f>
        <v>0</v>
      </c>
      <c r="E337" s="10">
        <f>IFERROR(VLOOKUP(B337,cubo!$A$6:$BE$37,5,0)-VLOOKUP(B337,#REF!,$E$2,0),0)</f>
        <v>0</v>
      </c>
      <c r="F337" s="10">
        <f>IFERROR(VLOOKUP(B337,cubo!$A$6:$BE$37,8,0)-VLOOKUP(B337,#REF!,$F$2,0),0)</f>
        <v>0</v>
      </c>
      <c r="G337" s="9">
        <f>IFERROR(VLOOKUP(B337,cubo!$A$6:$BE$37,11,0)-VLOOKUP(B337,#REF!,$G$2,0),0)</f>
        <v>0</v>
      </c>
      <c r="H337" s="9">
        <f>IFERROR(VLOOKUP(B337,cubo!$A$6:$BE$37,53,0)-VLOOKUP(B337,#REF!,$H$2,0),0)</f>
        <v>0</v>
      </c>
      <c r="I337" s="10">
        <f>IFERROR(VLOOKUP(B337,cubo!$A$6:$BE$37,14,0)-VLOOKUP(B337,#REF!,$I$2,0),0)</f>
        <v>0</v>
      </c>
      <c r="J337" s="9">
        <f>IFERROR(VLOOKUP(B337,cubo!$A$6:$BE$37,16,0)-VLOOKUP(B337,#REF!,$J$2,0),0)</f>
        <v>0</v>
      </c>
      <c r="K337" s="9">
        <f>IFERROR(VLOOKUP(B337,cubo!$A$6:$BE$37,17,0)-VLOOKUP(B337,#REF!,$K$2,0),0)</f>
        <v>0</v>
      </c>
      <c r="L337" s="9">
        <f>IFERROR(VLOOKUP(B337,cubo!$A$6:$BE$37,19,0)-VLOOKUP(B337,#REF!,$L$2,0),0)</f>
        <v>0</v>
      </c>
      <c r="M337" s="9">
        <f>IFERROR(VLOOKUP(B337,cubo!$A$6:$BE$37,23,0)-VLOOKUP(B337,#REF!,$M$2,0),0)</f>
        <v>0</v>
      </c>
      <c r="N337" s="9">
        <f>IFERROR(VLOOKUP(B337,cubo!$A$6:$BE$37,25,0)-VLOOKUP(B337,#REF!,$N$2,0),0)</f>
        <v>0</v>
      </c>
      <c r="O337" s="9">
        <f>IFERROR(VLOOKUP(B337,cubo!$A$6:$BE$37,33,0)-VLOOKUP(B337,#REF!,$O$2,0),0)</f>
        <v>0</v>
      </c>
      <c r="P337" s="8">
        <f>IFERROR(VLOOKUP(B337,cubo!$A$6:$BE$37,37,0)-VLOOKUP(B337,#REF!,$P$2,0),0)</f>
        <v>0</v>
      </c>
      <c r="Q337" s="8">
        <f>IFERROR(VLOOKUP(B337,cubo!$A$6:$BE$37,56,0)-VLOOKUP(B337,#REF!,$Q$2,0),0)</f>
        <v>0</v>
      </c>
      <c r="R337" s="9">
        <f>IFERROR(VLOOKUP(B337,cubo!$A$6:$BE$37,40,0)-VLOOKUP(B337,#REF!,$R$2,0),0)</f>
        <v>0</v>
      </c>
      <c r="S337" s="9">
        <f>IFERROR(VLOOKUP(B337,cubo!$A$6:$BE$37,43,0)-VLOOKUP(B337,#REF!,$S$2,0),0)</f>
        <v>0</v>
      </c>
      <c r="T337" s="9">
        <f>IFERROR(VLOOKUP(B337,cubo!$A$6:$BE$37,46,0)-VLOOKUP(B337,#REF!,$T$2,0),0)</f>
        <v>0</v>
      </c>
      <c r="U337" s="9">
        <f>IFERROR(VLOOKUP(B337,cubo!$A$6:$BE$37,51,0)-VLOOKUP(B337,#REF!,$U$2,0),0)</f>
        <v>0</v>
      </c>
      <c r="V337" s="9">
        <f>IFERROR(VLOOKUP(B337,cubo!$A$6:$BJ$37,60,0)-VLOOKUP(B337,#REF!,$V$2,0),0)</f>
        <v>0</v>
      </c>
      <c r="W337" s="9">
        <f>IFERROR(VLOOKUP(B337,cubo!$A$6:$BE$37,26,0)-VLOOKUP(B337,#REF!,$W$2,0),0)</f>
        <v>0</v>
      </c>
      <c r="X337" s="9">
        <f>IFERROR(VLOOKUP(B337,cubo!$A$6:$BE$37,20,0)-VLOOKUP(B337,#REF!,$X$2,0),0)</f>
        <v>0</v>
      </c>
      <c r="Y337" s="9">
        <f>IFERROR(VLOOKUP(B337,cubo!$A$6:$BE$37,21,0)-VLOOKUP(B337,#REF!,$Y$2,0),0)</f>
        <v>0</v>
      </c>
      <c r="Z337" s="9">
        <f>IFERROR(VLOOKUP(B337,cubo!$A$6:$BE$37,27,0)-VLOOKUP(B337,#REF!,$Z$2,0),0)</f>
        <v>0</v>
      </c>
      <c r="AA337" s="9">
        <f>IFERROR(VLOOKUP(B337,cubo!$A$6:$BE$37,28,0)-VLOOKUP(B337,#REF!,$AA$2,0),0)</f>
        <v>0</v>
      </c>
      <c r="AB337" s="9">
        <f>IFERROR(VLOOKUP(B337,cubo!$A$6:$BE$37,29,0)-VLOOKUP(B337,#REF!,$AB$2,0),0)</f>
        <v>0</v>
      </c>
      <c r="AC337" s="9">
        <f>IFERROR(VLOOKUP(B337,cubo!$A$6:$BE$37,30,0)-VLOOKUP(B337,#REF!,$AC$2,0),0)</f>
        <v>0</v>
      </c>
      <c r="AD337" s="9">
        <f>IFERROR(VLOOKUP(B337,cubo!$A$6:$BE$37,31,0)-VLOOKUP(B337,#REF!,$AD$2,0),0)</f>
        <v>0</v>
      </c>
      <c r="AE337" s="9">
        <f>IFERROR(VLOOKUP(B337,cubo!$A$6:$BE$37,35,0)-VLOOKUP(B337,#REF!,$AE$2,0),0)</f>
        <v>0</v>
      </c>
      <c r="AF337" s="9" cm="1">
        <f t="array" aca="1" ref="AF337" ca="1">IFERROR(rrPROCV(B337,cubo!$A$6:$BE$37,48,0)-VLOOKUP(B337,#REF!,$AF$2,0),0)</f>
        <v>0</v>
      </c>
      <c r="AG337" s="9">
        <f>IFERROR(VLOOKUP(B337,cubo!$A$6:$BE$37,49,0)-VLOOKUP(B337,#REF!,$AG$2,0),0)</f>
        <v>0</v>
      </c>
      <c r="AH337" s="9">
        <f>IFERROR(VLOOKUP(B337,cubo!$A$6:$BE$37,50,0)-VLOOKUP(B337,#REF!,$AH$2,0),0)</f>
        <v>0</v>
      </c>
      <c r="AI337" s="9">
        <f>IFERROR(VLOOKUP(B337,cubo!$A$6:$BE$37,51,0)-VLOOKUP(B337,#REF!,$AI$2,0),0)</f>
        <v>0</v>
      </c>
      <c r="AJ337" s="9">
        <f>IFERROR(VLOOKUP(B337,cubo!$A$6:$BI$116,62,0)-VLOOKUP(B337,#REF!,$AJ$2,0),0)</f>
        <v>0</v>
      </c>
      <c r="AK337" s="9">
        <f>IFERROR(VLOOKUP(B337,cubo!$A$6:$BJ$37,63,0)-VLOOKUP(B337,#REF!,$AK$2,0),0)</f>
        <v>0</v>
      </c>
      <c r="AL337" s="9">
        <f>IFERROR(VLOOKUP(B337,cubo!$A$6:$BE$37,58,0)-VLOOKUP(B337,#REF!,$AL$2,0),0)</f>
        <v>0</v>
      </c>
      <c r="AM337" s="9">
        <f>IFERROR(VLOOKUP(B337,cubo!$A$6:$BK$37,64,0)-VLOOKUP(B337,#REF!,$AM$2,0),0)</f>
        <v>0</v>
      </c>
      <c r="AN337" s="9">
        <f>IFERROR(VLOOKUP(B337,cubo!$A$6:$AN$37,41,0)-VLOOKUP(B337,#REF!,$AN$2,0),0)</f>
        <v>0</v>
      </c>
    </row>
    <row r="338" spans="2:40" x14ac:dyDescent="0.25">
      <c r="B338" s="7">
        <f>[1]salario!A337</f>
        <v>0</v>
      </c>
      <c r="C338" s="8">
        <f>[1]salario!C337</f>
        <v>0</v>
      </c>
      <c r="D338" s="9">
        <f>IFERROR(VLOOKUP(B338,cubo!$A$6:$BE$37,3,0)-VLOOKUP(B338,#REF!,$D$2,0),0)</f>
        <v>0</v>
      </c>
      <c r="E338" s="10">
        <f>IFERROR(VLOOKUP(B338,cubo!$A$6:$BE$37,5,0)-VLOOKUP(B338,#REF!,$E$2,0),0)</f>
        <v>0</v>
      </c>
      <c r="F338" s="10">
        <f>IFERROR(VLOOKUP(B338,cubo!$A$6:$BE$37,8,0)-VLOOKUP(B338,#REF!,$F$2,0),0)</f>
        <v>0</v>
      </c>
      <c r="G338" s="9">
        <f>IFERROR(VLOOKUP(B338,cubo!$A$6:$BE$37,11,0)-VLOOKUP(B338,#REF!,$G$2,0),0)</f>
        <v>0</v>
      </c>
      <c r="H338" s="9">
        <f>IFERROR(VLOOKUP(B338,cubo!$A$6:$BE$37,53,0)-VLOOKUP(B338,#REF!,$H$2,0),0)</f>
        <v>0</v>
      </c>
      <c r="I338" s="10">
        <f>IFERROR(VLOOKUP(B338,cubo!$A$6:$BE$37,14,0)-VLOOKUP(B338,#REF!,$I$2,0),0)</f>
        <v>0</v>
      </c>
      <c r="J338" s="9">
        <f>IFERROR(VLOOKUP(B338,cubo!$A$6:$BE$37,16,0)-VLOOKUP(B338,#REF!,$J$2,0),0)</f>
        <v>0</v>
      </c>
      <c r="K338" s="9">
        <f>IFERROR(VLOOKUP(B338,cubo!$A$6:$BE$37,17,0)-VLOOKUP(B338,#REF!,$K$2,0),0)</f>
        <v>0</v>
      </c>
      <c r="L338" s="9">
        <f>IFERROR(VLOOKUP(B338,cubo!$A$6:$BE$37,19,0)-VLOOKUP(B338,#REF!,$L$2,0),0)</f>
        <v>0</v>
      </c>
      <c r="M338" s="9">
        <f>IFERROR(VLOOKUP(B338,cubo!$A$6:$BE$37,23,0)-VLOOKUP(B338,#REF!,$M$2,0),0)</f>
        <v>0</v>
      </c>
      <c r="N338" s="9">
        <f>IFERROR(VLOOKUP(B338,cubo!$A$6:$BE$37,25,0)-VLOOKUP(B338,#REF!,$N$2,0),0)</f>
        <v>0</v>
      </c>
      <c r="O338" s="9">
        <f>IFERROR(VLOOKUP(B338,cubo!$A$6:$BE$37,33,0)-VLOOKUP(B338,#REF!,$O$2,0),0)</f>
        <v>0</v>
      </c>
      <c r="P338" s="8">
        <f>IFERROR(VLOOKUP(B338,cubo!$A$6:$BE$37,37,0)-VLOOKUP(B338,#REF!,$P$2,0),0)</f>
        <v>0</v>
      </c>
      <c r="Q338" s="8">
        <f>IFERROR(VLOOKUP(B338,cubo!$A$6:$BE$37,56,0)-VLOOKUP(B338,#REF!,$Q$2,0),0)</f>
        <v>0</v>
      </c>
      <c r="R338" s="9">
        <f>IFERROR(VLOOKUP(B338,cubo!$A$6:$BE$37,40,0)-VLOOKUP(B338,#REF!,$R$2,0),0)</f>
        <v>0</v>
      </c>
      <c r="S338" s="9">
        <f>IFERROR(VLOOKUP(B338,cubo!$A$6:$BE$37,43,0)-VLOOKUP(B338,#REF!,$S$2,0),0)</f>
        <v>0</v>
      </c>
      <c r="T338" s="9">
        <f>IFERROR(VLOOKUP(B338,cubo!$A$6:$BE$37,46,0)-VLOOKUP(B338,#REF!,$T$2,0),0)</f>
        <v>0</v>
      </c>
      <c r="U338" s="9">
        <f>IFERROR(VLOOKUP(B338,cubo!$A$6:$BE$37,51,0)-VLOOKUP(B338,#REF!,$U$2,0),0)</f>
        <v>0</v>
      </c>
      <c r="V338" s="9">
        <f>IFERROR(VLOOKUP(B338,cubo!$A$6:$BJ$37,60,0)-VLOOKUP(B338,#REF!,$V$2,0),0)</f>
        <v>0</v>
      </c>
      <c r="W338" s="9">
        <f>IFERROR(VLOOKUP(B338,cubo!$A$6:$BE$37,26,0)-VLOOKUP(B338,#REF!,$W$2,0),0)</f>
        <v>0</v>
      </c>
      <c r="X338" s="9">
        <f>IFERROR(VLOOKUP(B338,cubo!$A$6:$BE$37,20,0)-VLOOKUP(B338,#REF!,$X$2,0),0)</f>
        <v>0</v>
      </c>
      <c r="Y338" s="9">
        <f>IFERROR(VLOOKUP(B338,cubo!$A$6:$BE$37,21,0)-VLOOKUP(B338,#REF!,$Y$2,0),0)</f>
        <v>0</v>
      </c>
      <c r="Z338" s="9">
        <f>IFERROR(VLOOKUP(B338,cubo!$A$6:$BE$37,27,0)-VLOOKUP(B338,#REF!,$Z$2,0),0)</f>
        <v>0</v>
      </c>
      <c r="AA338" s="9">
        <f>IFERROR(VLOOKUP(B338,cubo!$A$6:$BE$37,28,0)-VLOOKUP(B338,#REF!,$AA$2,0),0)</f>
        <v>0</v>
      </c>
      <c r="AB338" s="9">
        <f>IFERROR(VLOOKUP(B338,cubo!$A$6:$BE$37,29,0)-VLOOKUP(B338,#REF!,$AB$2,0),0)</f>
        <v>0</v>
      </c>
      <c r="AC338" s="9">
        <f>IFERROR(VLOOKUP(B338,cubo!$A$6:$BE$37,30,0)-VLOOKUP(B338,#REF!,$AC$2,0),0)</f>
        <v>0</v>
      </c>
      <c r="AD338" s="9">
        <f>IFERROR(VLOOKUP(B338,cubo!$A$6:$BE$37,31,0)-VLOOKUP(B338,#REF!,$AD$2,0),0)</f>
        <v>0</v>
      </c>
      <c r="AE338" s="9">
        <f>IFERROR(VLOOKUP(B338,cubo!$A$6:$BE$37,35,0)-VLOOKUP(B338,#REF!,$AE$2,0),0)</f>
        <v>0</v>
      </c>
      <c r="AF338" s="9" cm="1">
        <f t="array" aca="1" ref="AF338" ca="1">IFERROR(rrPROCV(B338,cubo!$A$6:$BE$37,48,0)-VLOOKUP(B338,#REF!,$AF$2,0),0)</f>
        <v>0</v>
      </c>
      <c r="AG338" s="9">
        <f>IFERROR(VLOOKUP(B338,cubo!$A$6:$BE$37,49,0)-VLOOKUP(B338,#REF!,$AG$2,0),0)</f>
        <v>0</v>
      </c>
      <c r="AH338" s="9">
        <f>IFERROR(VLOOKUP(B338,cubo!$A$6:$BE$37,50,0)-VLOOKUP(B338,#REF!,$AH$2,0),0)</f>
        <v>0</v>
      </c>
      <c r="AI338" s="9">
        <f>IFERROR(VLOOKUP(B338,cubo!$A$6:$BE$37,51,0)-VLOOKUP(B338,#REF!,$AI$2,0),0)</f>
        <v>0</v>
      </c>
      <c r="AJ338" s="9">
        <f>IFERROR(VLOOKUP(B338,cubo!$A$6:$BI$116,62,0)-VLOOKUP(B338,#REF!,$AJ$2,0),0)</f>
        <v>0</v>
      </c>
      <c r="AK338" s="9">
        <f>IFERROR(VLOOKUP(B338,cubo!$A$6:$BJ$37,63,0)-VLOOKUP(B338,#REF!,$AK$2,0),0)</f>
        <v>0</v>
      </c>
      <c r="AL338" s="9">
        <f>IFERROR(VLOOKUP(B338,cubo!$A$6:$BE$37,58,0)-VLOOKUP(B338,#REF!,$AL$2,0),0)</f>
        <v>0</v>
      </c>
      <c r="AM338" s="9">
        <f>IFERROR(VLOOKUP(B338,cubo!$A$6:$BK$37,64,0)-VLOOKUP(B338,#REF!,$AM$2,0),0)</f>
        <v>0</v>
      </c>
      <c r="AN338" s="9">
        <f>IFERROR(VLOOKUP(B338,cubo!$A$6:$AN$37,41,0)-VLOOKUP(B338,#REF!,$AN$2,0),0)</f>
        <v>0</v>
      </c>
    </row>
    <row r="339" spans="2:40" x14ac:dyDescent="0.25">
      <c r="B339" s="7">
        <f>[1]salario!A338</f>
        <v>0</v>
      </c>
      <c r="C339" s="8">
        <f>[1]salario!C338</f>
        <v>0</v>
      </c>
      <c r="D339" s="9">
        <f>IFERROR(VLOOKUP(B339,cubo!$A$6:$BE$37,3,0)-VLOOKUP(B339,#REF!,$D$2,0),0)</f>
        <v>0</v>
      </c>
      <c r="E339" s="10">
        <f>IFERROR(VLOOKUP(B339,cubo!$A$6:$BE$37,5,0)-VLOOKUP(B339,#REF!,$E$2,0),0)</f>
        <v>0</v>
      </c>
      <c r="F339" s="10">
        <f>IFERROR(VLOOKUP(B339,cubo!$A$6:$BE$37,8,0)-VLOOKUP(B339,#REF!,$F$2,0),0)</f>
        <v>0</v>
      </c>
      <c r="G339" s="9">
        <f>IFERROR(VLOOKUP(B339,cubo!$A$6:$BE$37,11,0)-VLOOKUP(B339,#REF!,$G$2,0),0)</f>
        <v>0</v>
      </c>
      <c r="H339" s="9">
        <f>IFERROR(VLOOKUP(B339,cubo!$A$6:$BE$37,53,0)-VLOOKUP(B339,#REF!,$H$2,0),0)</f>
        <v>0</v>
      </c>
      <c r="I339" s="10">
        <f>IFERROR(VLOOKUP(B339,cubo!$A$6:$BE$37,14,0)-VLOOKUP(B339,#REF!,$I$2,0),0)</f>
        <v>0</v>
      </c>
      <c r="J339" s="9">
        <f>IFERROR(VLOOKUP(B339,cubo!$A$6:$BE$37,16,0)-VLOOKUP(B339,#REF!,$J$2,0),0)</f>
        <v>0</v>
      </c>
      <c r="K339" s="9">
        <f>IFERROR(VLOOKUP(B339,cubo!$A$6:$BE$37,17,0)-VLOOKUP(B339,#REF!,$K$2,0),0)</f>
        <v>0</v>
      </c>
      <c r="L339" s="9">
        <f>IFERROR(VLOOKUP(B339,cubo!$A$6:$BE$37,19,0)-VLOOKUP(B339,#REF!,$L$2,0),0)</f>
        <v>0</v>
      </c>
      <c r="M339" s="9">
        <f>IFERROR(VLOOKUP(B339,cubo!$A$6:$BE$37,23,0)-VLOOKUP(B339,#REF!,$M$2,0),0)</f>
        <v>0</v>
      </c>
      <c r="N339" s="9">
        <f>IFERROR(VLOOKUP(B339,cubo!$A$6:$BE$37,25,0)-VLOOKUP(B339,#REF!,$N$2,0),0)</f>
        <v>0</v>
      </c>
      <c r="O339" s="9">
        <f>IFERROR(VLOOKUP(B339,cubo!$A$6:$BE$37,33,0)-VLOOKUP(B339,#REF!,$O$2,0),0)</f>
        <v>0</v>
      </c>
      <c r="P339" s="8">
        <f>IFERROR(VLOOKUP(B339,cubo!$A$6:$BE$37,37,0)-VLOOKUP(B339,#REF!,$P$2,0),0)</f>
        <v>0</v>
      </c>
      <c r="Q339" s="8">
        <f>IFERROR(VLOOKUP(B339,cubo!$A$6:$BE$37,56,0)-VLOOKUP(B339,#REF!,$Q$2,0),0)</f>
        <v>0</v>
      </c>
      <c r="R339" s="9">
        <f>IFERROR(VLOOKUP(B339,cubo!$A$6:$BE$37,40,0)-VLOOKUP(B339,#REF!,$R$2,0),0)</f>
        <v>0</v>
      </c>
      <c r="S339" s="9">
        <f>IFERROR(VLOOKUP(B339,cubo!$A$6:$BE$37,43,0)-VLOOKUP(B339,#REF!,$S$2,0),0)</f>
        <v>0</v>
      </c>
      <c r="T339" s="9">
        <f>IFERROR(VLOOKUP(B339,cubo!$A$6:$BE$37,46,0)-VLOOKUP(B339,#REF!,$T$2,0),0)</f>
        <v>0</v>
      </c>
      <c r="U339" s="9">
        <f>IFERROR(VLOOKUP(B339,cubo!$A$6:$BE$37,51,0)-VLOOKUP(B339,#REF!,$U$2,0),0)</f>
        <v>0</v>
      </c>
      <c r="V339" s="9">
        <f>IFERROR(VLOOKUP(B339,cubo!$A$6:$BJ$37,60,0)-VLOOKUP(B339,#REF!,$V$2,0),0)</f>
        <v>0</v>
      </c>
      <c r="W339" s="9">
        <f>IFERROR(VLOOKUP(B339,cubo!$A$6:$BE$37,26,0)-VLOOKUP(B339,#REF!,$W$2,0),0)</f>
        <v>0</v>
      </c>
      <c r="X339" s="9">
        <f>IFERROR(VLOOKUP(B339,cubo!$A$6:$BE$37,20,0)-VLOOKUP(B339,#REF!,$X$2,0),0)</f>
        <v>0</v>
      </c>
      <c r="Y339" s="9">
        <f>IFERROR(VLOOKUP(B339,cubo!$A$6:$BE$37,21,0)-VLOOKUP(B339,#REF!,$Y$2,0),0)</f>
        <v>0</v>
      </c>
      <c r="Z339" s="9">
        <f>IFERROR(VLOOKUP(B339,cubo!$A$6:$BE$37,27,0)-VLOOKUP(B339,#REF!,$Z$2,0),0)</f>
        <v>0</v>
      </c>
      <c r="AA339" s="9">
        <f>IFERROR(VLOOKUP(B339,cubo!$A$6:$BE$37,28,0)-VLOOKUP(B339,#REF!,$AA$2,0),0)</f>
        <v>0</v>
      </c>
      <c r="AB339" s="9">
        <f>IFERROR(VLOOKUP(B339,cubo!$A$6:$BE$37,29,0)-VLOOKUP(B339,#REF!,$AB$2,0),0)</f>
        <v>0</v>
      </c>
      <c r="AC339" s="9">
        <f>IFERROR(VLOOKUP(B339,cubo!$A$6:$BE$37,30,0)-VLOOKUP(B339,#REF!,$AC$2,0),0)</f>
        <v>0</v>
      </c>
      <c r="AD339" s="9">
        <f>IFERROR(VLOOKUP(B339,cubo!$A$6:$BE$37,31,0)-VLOOKUP(B339,#REF!,$AD$2,0),0)</f>
        <v>0</v>
      </c>
      <c r="AE339" s="9">
        <f>IFERROR(VLOOKUP(B339,cubo!$A$6:$BE$37,35,0)-VLOOKUP(B339,#REF!,$AE$2,0),0)</f>
        <v>0</v>
      </c>
      <c r="AF339" s="9" cm="1">
        <f t="array" aca="1" ref="AF339" ca="1">IFERROR(rrPROCV(B339,cubo!$A$6:$BE$37,48,0)-VLOOKUP(B339,#REF!,$AF$2,0),0)</f>
        <v>0</v>
      </c>
      <c r="AG339" s="9">
        <f>IFERROR(VLOOKUP(B339,cubo!$A$6:$BE$37,49,0)-VLOOKUP(B339,#REF!,$AG$2,0),0)</f>
        <v>0</v>
      </c>
      <c r="AH339" s="9">
        <f>IFERROR(VLOOKUP(B339,cubo!$A$6:$BE$37,50,0)-VLOOKUP(B339,#REF!,$AH$2,0),0)</f>
        <v>0</v>
      </c>
      <c r="AI339" s="9">
        <f>IFERROR(VLOOKUP(B339,cubo!$A$6:$BE$37,51,0)-VLOOKUP(B339,#REF!,$AI$2,0),0)</f>
        <v>0</v>
      </c>
      <c r="AJ339" s="9">
        <f>IFERROR(VLOOKUP(B339,cubo!$A$6:$BI$116,62,0)-VLOOKUP(B339,#REF!,$AJ$2,0),0)</f>
        <v>0</v>
      </c>
      <c r="AK339" s="9">
        <f>IFERROR(VLOOKUP(B339,cubo!$A$6:$BJ$37,63,0)-VLOOKUP(B339,#REF!,$AK$2,0),0)</f>
        <v>0</v>
      </c>
      <c r="AL339" s="9">
        <f>IFERROR(VLOOKUP(B339,cubo!$A$6:$BE$37,58,0)-VLOOKUP(B339,#REF!,$AL$2,0),0)</f>
        <v>0</v>
      </c>
      <c r="AM339" s="9">
        <f>IFERROR(VLOOKUP(B339,cubo!$A$6:$BK$37,64,0)-VLOOKUP(B339,#REF!,$AM$2,0),0)</f>
        <v>0</v>
      </c>
      <c r="AN339" s="9">
        <f>IFERROR(VLOOKUP(B339,cubo!$A$6:$AN$37,41,0)-VLOOKUP(B339,#REF!,$AN$2,0),0)</f>
        <v>0</v>
      </c>
    </row>
    <row r="340" spans="2:40" x14ac:dyDescent="0.25">
      <c r="B340" s="7">
        <f>[1]salario!A339</f>
        <v>0</v>
      </c>
      <c r="C340" s="8">
        <f>[1]salario!C339</f>
        <v>0</v>
      </c>
      <c r="D340" s="9">
        <f>IFERROR(VLOOKUP(B340,cubo!$A$6:$BE$37,3,0)-VLOOKUP(B340,#REF!,$D$2,0),0)</f>
        <v>0</v>
      </c>
      <c r="E340" s="10">
        <f>IFERROR(VLOOKUP(B340,cubo!$A$6:$BE$37,5,0)-VLOOKUP(B340,#REF!,$E$2,0),0)</f>
        <v>0</v>
      </c>
      <c r="F340" s="10">
        <f>IFERROR(VLOOKUP(B340,cubo!$A$6:$BE$37,8,0)-VLOOKUP(B340,#REF!,$F$2,0),0)</f>
        <v>0</v>
      </c>
      <c r="G340" s="9">
        <f>IFERROR(VLOOKUP(B340,cubo!$A$6:$BE$37,11,0)-VLOOKUP(B340,#REF!,$G$2,0),0)</f>
        <v>0</v>
      </c>
      <c r="H340" s="9">
        <f>IFERROR(VLOOKUP(B340,cubo!$A$6:$BE$37,53,0)-VLOOKUP(B340,#REF!,$H$2,0),0)</f>
        <v>0</v>
      </c>
      <c r="I340" s="10">
        <f>IFERROR(VLOOKUP(B340,cubo!$A$6:$BE$37,14,0)-VLOOKUP(B340,#REF!,$I$2,0),0)</f>
        <v>0</v>
      </c>
      <c r="J340" s="9">
        <f>IFERROR(VLOOKUP(B340,cubo!$A$6:$BE$37,16,0)-VLOOKUP(B340,#REF!,$J$2,0),0)</f>
        <v>0</v>
      </c>
      <c r="K340" s="9">
        <f>IFERROR(VLOOKUP(B340,cubo!$A$6:$BE$37,17,0)-VLOOKUP(B340,#REF!,$K$2,0),0)</f>
        <v>0</v>
      </c>
      <c r="L340" s="9">
        <f>IFERROR(VLOOKUP(B340,cubo!$A$6:$BE$37,19,0)-VLOOKUP(B340,#REF!,$L$2,0),0)</f>
        <v>0</v>
      </c>
      <c r="M340" s="9">
        <f>IFERROR(VLOOKUP(B340,cubo!$A$6:$BE$37,23,0)-VLOOKUP(B340,#REF!,$M$2,0),0)</f>
        <v>0</v>
      </c>
      <c r="N340" s="9">
        <f>IFERROR(VLOOKUP(B340,cubo!$A$6:$BE$37,25,0)-VLOOKUP(B340,#REF!,$N$2,0),0)</f>
        <v>0</v>
      </c>
      <c r="O340" s="9">
        <f>IFERROR(VLOOKUP(B340,cubo!$A$6:$BE$37,33,0)-VLOOKUP(B340,#REF!,$O$2,0),0)</f>
        <v>0</v>
      </c>
      <c r="P340" s="8">
        <f>IFERROR(VLOOKUP(B340,cubo!$A$6:$BE$37,37,0)-VLOOKUP(B340,#REF!,$P$2,0),0)</f>
        <v>0</v>
      </c>
      <c r="Q340" s="8">
        <f>IFERROR(VLOOKUP(B340,cubo!$A$6:$BE$37,56,0)-VLOOKUP(B340,#REF!,$Q$2,0),0)</f>
        <v>0</v>
      </c>
      <c r="R340" s="9">
        <f>IFERROR(VLOOKUP(B340,cubo!$A$6:$BE$37,40,0)-VLOOKUP(B340,#REF!,$R$2,0),0)</f>
        <v>0</v>
      </c>
      <c r="S340" s="9">
        <f>IFERROR(VLOOKUP(B340,cubo!$A$6:$BE$37,43,0)-VLOOKUP(B340,#REF!,$S$2,0),0)</f>
        <v>0</v>
      </c>
      <c r="T340" s="9">
        <f>IFERROR(VLOOKUP(B340,cubo!$A$6:$BE$37,46,0)-VLOOKUP(B340,#REF!,$T$2,0),0)</f>
        <v>0</v>
      </c>
      <c r="U340" s="9">
        <f>IFERROR(VLOOKUP(B340,cubo!$A$6:$BE$37,51,0)-VLOOKUP(B340,#REF!,$U$2,0),0)</f>
        <v>0</v>
      </c>
      <c r="V340" s="9">
        <f>IFERROR(VLOOKUP(B340,cubo!$A$6:$BJ$37,60,0)-VLOOKUP(B340,#REF!,$V$2,0),0)</f>
        <v>0</v>
      </c>
      <c r="W340" s="9">
        <f>IFERROR(VLOOKUP(B340,cubo!$A$6:$BE$37,26,0)-VLOOKUP(B340,#REF!,$W$2,0),0)</f>
        <v>0</v>
      </c>
      <c r="X340" s="9">
        <f>IFERROR(VLOOKUP(B340,cubo!$A$6:$BE$37,20,0)-VLOOKUP(B340,#REF!,$X$2,0),0)</f>
        <v>0</v>
      </c>
      <c r="Y340" s="9">
        <f>IFERROR(VLOOKUP(B340,cubo!$A$6:$BE$37,21,0)-VLOOKUP(B340,#REF!,$Y$2,0),0)</f>
        <v>0</v>
      </c>
      <c r="Z340" s="9">
        <f>IFERROR(VLOOKUP(B340,cubo!$A$6:$BE$37,27,0)-VLOOKUP(B340,#REF!,$Z$2,0),0)</f>
        <v>0</v>
      </c>
      <c r="AA340" s="9">
        <f>IFERROR(VLOOKUP(B340,cubo!$A$6:$BE$37,28,0)-VLOOKUP(B340,#REF!,$AA$2,0),0)</f>
        <v>0</v>
      </c>
      <c r="AB340" s="9">
        <f>IFERROR(VLOOKUP(B340,cubo!$A$6:$BE$37,29,0)-VLOOKUP(B340,#REF!,$AB$2,0),0)</f>
        <v>0</v>
      </c>
      <c r="AC340" s="9">
        <f>IFERROR(VLOOKUP(B340,cubo!$A$6:$BE$37,30,0)-VLOOKUP(B340,#REF!,$AC$2,0),0)</f>
        <v>0</v>
      </c>
      <c r="AD340" s="9">
        <f>IFERROR(VLOOKUP(B340,cubo!$A$6:$BE$37,31,0)-VLOOKUP(B340,#REF!,$AD$2,0),0)</f>
        <v>0</v>
      </c>
      <c r="AE340" s="9">
        <f>IFERROR(VLOOKUP(B340,cubo!$A$6:$BE$37,35,0)-VLOOKUP(B340,#REF!,$AE$2,0),0)</f>
        <v>0</v>
      </c>
      <c r="AF340" s="9" cm="1">
        <f t="array" aca="1" ref="AF340" ca="1">IFERROR(rrPROCV(B340,cubo!$A$6:$BE$37,48,0)-VLOOKUP(B340,#REF!,$AF$2,0),0)</f>
        <v>0</v>
      </c>
      <c r="AG340" s="9">
        <f>IFERROR(VLOOKUP(B340,cubo!$A$6:$BE$37,49,0)-VLOOKUP(B340,#REF!,$AG$2,0),0)</f>
        <v>0</v>
      </c>
      <c r="AH340" s="9">
        <f>IFERROR(VLOOKUP(B340,cubo!$A$6:$BE$37,50,0)-VLOOKUP(B340,#REF!,$AH$2,0),0)</f>
        <v>0</v>
      </c>
      <c r="AI340" s="9">
        <f>IFERROR(VLOOKUP(B340,cubo!$A$6:$BE$37,51,0)-VLOOKUP(B340,#REF!,$AI$2,0),0)</f>
        <v>0</v>
      </c>
      <c r="AJ340" s="9">
        <f>IFERROR(VLOOKUP(B340,cubo!$A$6:$BI$116,62,0)-VLOOKUP(B340,#REF!,$AJ$2,0),0)</f>
        <v>0</v>
      </c>
      <c r="AK340" s="9">
        <f>IFERROR(VLOOKUP(B340,cubo!$A$6:$BJ$37,63,0)-VLOOKUP(B340,#REF!,$AK$2,0),0)</f>
        <v>0</v>
      </c>
      <c r="AL340" s="9">
        <f>IFERROR(VLOOKUP(B340,cubo!$A$6:$BE$37,58,0)-VLOOKUP(B340,#REF!,$AL$2,0),0)</f>
        <v>0</v>
      </c>
      <c r="AM340" s="9">
        <f>IFERROR(VLOOKUP(B340,cubo!$A$6:$BK$37,64,0)-VLOOKUP(B340,#REF!,$AM$2,0),0)</f>
        <v>0</v>
      </c>
      <c r="AN340" s="9">
        <f>IFERROR(VLOOKUP(B340,cubo!$A$6:$AN$37,41,0)-VLOOKUP(B340,#REF!,$AN$2,0),0)</f>
        <v>0</v>
      </c>
    </row>
    <row r="341" spans="2:40" x14ac:dyDescent="0.25">
      <c r="B341" s="7">
        <f>[1]salario!A340</f>
        <v>0</v>
      </c>
      <c r="C341" s="8">
        <f>[1]salario!C340</f>
        <v>0</v>
      </c>
      <c r="D341" s="9">
        <f>IFERROR(VLOOKUP(B341,cubo!$A$6:$BE$37,3,0)-VLOOKUP(B341,#REF!,$D$2,0),0)</f>
        <v>0</v>
      </c>
      <c r="E341" s="10">
        <f>IFERROR(VLOOKUP(B341,cubo!$A$6:$BE$37,5,0)-VLOOKUP(B341,#REF!,$E$2,0),0)</f>
        <v>0</v>
      </c>
      <c r="F341" s="10">
        <f>IFERROR(VLOOKUP(B341,cubo!$A$6:$BE$37,8,0)-VLOOKUP(B341,#REF!,$F$2,0),0)</f>
        <v>0</v>
      </c>
      <c r="G341" s="9">
        <f>IFERROR(VLOOKUP(B341,cubo!$A$6:$BE$37,11,0)-VLOOKUP(B341,#REF!,$G$2,0),0)</f>
        <v>0</v>
      </c>
      <c r="H341" s="9">
        <f>IFERROR(VLOOKUP(B341,cubo!$A$6:$BE$37,53,0)-VLOOKUP(B341,#REF!,$H$2,0),0)</f>
        <v>0</v>
      </c>
      <c r="I341" s="10">
        <f>IFERROR(VLOOKUP(B341,cubo!$A$6:$BE$37,14,0)-VLOOKUP(B341,#REF!,$I$2,0),0)</f>
        <v>0</v>
      </c>
      <c r="J341" s="9">
        <f>IFERROR(VLOOKUP(B341,cubo!$A$6:$BE$37,16,0)-VLOOKUP(B341,#REF!,$J$2,0),0)</f>
        <v>0</v>
      </c>
      <c r="K341" s="9">
        <f>IFERROR(VLOOKUP(B341,cubo!$A$6:$BE$37,17,0)-VLOOKUP(B341,#REF!,$K$2,0),0)</f>
        <v>0</v>
      </c>
      <c r="L341" s="9">
        <f>IFERROR(VLOOKUP(B341,cubo!$A$6:$BE$37,19,0)-VLOOKUP(B341,#REF!,$L$2,0),0)</f>
        <v>0</v>
      </c>
      <c r="M341" s="9">
        <f>IFERROR(VLOOKUP(B341,cubo!$A$6:$BE$37,23,0)-VLOOKUP(B341,#REF!,$M$2,0),0)</f>
        <v>0</v>
      </c>
      <c r="N341" s="9">
        <f>IFERROR(VLOOKUP(B341,cubo!$A$6:$BE$37,25,0)-VLOOKUP(B341,#REF!,$N$2,0),0)</f>
        <v>0</v>
      </c>
      <c r="O341" s="9">
        <f>IFERROR(VLOOKUP(B341,cubo!$A$6:$BE$37,33,0)-VLOOKUP(B341,#REF!,$O$2,0),0)</f>
        <v>0</v>
      </c>
      <c r="P341" s="8">
        <f>IFERROR(VLOOKUP(B341,cubo!$A$6:$BE$37,37,0)-VLOOKUP(B341,#REF!,$P$2,0),0)</f>
        <v>0</v>
      </c>
      <c r="Q341" s="8">
        <f>IFERROR(VLOOKUP(B341,cubo!$A$6:$BE$37,56,0)-VLOOKUP(B341,#REF!,$Q$2,0),0)</f>
        <v>0</v>
      </c>
      <c r="R341" s="9">
        <f>IFERROR(VLOOKUP(B341,cubo!$A$6:$BE$37,40,0)-VLOOKUP(B341,#REF!,$R$2,0),0)</f>
        <v>0</v>
      </c>
      <c r="S341" s="9">
        <f>IFERROR(VLOOKUP(B341,cubo!$A$6:$BE$37,43,0)-VLOOKUP(B341,#REF!,$S$2,0),0)</f>
        <v>0</v>
      </c>
      <c r="T341" s="9">
        <f>IFERROR(VLOOKUP(B341,cubo!$A$6:$BE$37,46,0)-VLOOKUP(B341,#REF!,$T$2,0),0)</f>
        <v>0</v>
      </c>
      <c r="U341" s="9">
        <f>IFERROR(VLOOKUP(B341,cubo!$A$6:$BE$37,51,0)-VLOOKUP(B341,#REF!,$U$2,0),0)</f>
        <v>0</v>
      </c>
      <c r="V341" s="9">
        <f>IFERROR(VLOOKUP(B341,cubo!$A$6:$BJ$37,60,0)-VLOOKUP(B341,#REF!,$V$2,0),0)</f>
        <v>0</v>
      </c>
      <c r="W341" s="9">
        <f>IFERROR(VLOOKUP(B341,cubo!$A$6:$BE$37,26,0)-VLOOKUP(B341,#REF!,$W$2,0),0)</f>
        <v>0</v>
      </c>
      <c r="X341" s="9">
        <f>IFERROR(VLOOKUP(B341,cubo!$A$6:$BE$37,20,0)-VLOOKUP(B341,#REF!,$X$2,0),0)</f>
        <v>0</v>
      </c>
      <c r="Y341" s="9">
        <f>IFERROR(VLOOKUP(B341,cubo!$A$6:$BE$37,21,0)-VLOOKUP(B341,#REF!,$Y$2,0),0)</f>
        <v>0</v>
      </c>
      <c r="Z341" s="9">
        <f>IFERROR(VLOOKUP(B341,cubo!$A$6:$BE$37,27,0)-VLOOKUP(B341,#REF!,$Z$2,0),0)</f>
        <v>0</v>
      </c>
      <c r="AA341" s="9">
        <f>IFERROR(VLOOKUP(B341,cubo!$A$6:$BE$37,28,0)-VLOOKUP(B341,#REF!,$AA$2,0),0)</f>
        <v>0</v>
      </c>
      <c r="AB341" s="9">
        <f>IFERROR(VLOOKUP(B341,cubo!$A$6:$BE$37,29,0)-VLOOKUP(B341,#REF!,$AB$2,0),0)</f>
        <v>0</v>
      </c>
      <c r="AC341" s="9">
        <f>IFERROR(VLOOKUP(B341,cubo!$A$6:$BE$37,30,0)-VLOOKUP(B341,#REF!,$AC$2,0),0)</f>
        <v>0</v>
      </c>
      <c r="AD341" s="9">
        <f>IFERROR(VLOOKUP(B341,cubo!$A$6:$BE$37,31,0)-VLOOKUP(B341,#REF!,$AD$2,0),0)</f>
        <v>0</v>
      </c>
      <c r="AE341" s="9">
        <f>IFERROR(VLOOKUP(B341,cubo!$A$6:$BE$37,35,0)-VLOOKUP(B341,#REF!,$AE$2,0),0)</f>
        <v>0</v>
      </c>
      <c r="AF341" s="9" cm="1">
        <f t="array" aca="1" ref="AF341" ca="1">IFERROR(rrPROCV(B341,cubo!$A$6:$BE$37,48,0)-VLOOKUP(B341,#REF!,$AF$2,0),0)</f>
        <v>0</v>
      </c>
      <c r="AG341" s="9">
        <f>IFERROR(VLOOKUP(B341,cubo!$A$6:$BE$37,49,0)-VLOOKUP(B341,#REF!,$AG$2,0),0)</f>
        <v>0</v>
      </c>
      <c r="AH341" s="9">
        <f>IFERROR(VLOOKUP(B341,cubo!$A$6:$BE$37,50,0)-VLOOKUP(B341,#REF!,$AH$2,0),0)</f>
        <v>0</v>
      </c>
      <c r="AI341" s="9">
        <f>IFERROR(VLOOKUP(B341,cubo!$A$6:$BE$37,51,0)-VLOOKUP(B341,#REF!,$AI$2,0),0)</f>
        <v>0</v>
      </c>
      <c r="AJ341" s="9">
        <f>IFERROR(VLOOKUP(B341,cubo!$A$6:$BI$116,62,0)-VLOOKUP(B341,#REF!,$AJ$2,0),0)</f>
        <v>0</v>
      </c>
      <c r="AK341" s="9">
        <f>IFERROR(VLOOKUP(B341,cubo!$A$6:$BJ$37,63,0)-VLOOKUP(B341,#REF!,$AK$2,0),0)</f>
        <v>0</v>
      </c>
      <c r="AL341" s="9">
        <f>IFERROR(VLOOKUP(B341,cubo!$A$6:$BE$37,58,0)-VLOOKUP(B341,#REF!,$AL$2,0),0)</f>
        <v>0</v>
      </c>
      <c r="AM341" s="9">
        <f>IFERROR(VLOOKUP(B341,cubo!$A$6:$BK$37,64,0)-VLOOKUP(B341,#REF!,$AM$2,0),0)</f>
        <v>0</v>
      </c>
      <c r="AN341" s="9">
        <f>IFERROR(VLOOKUP(B341,cubo!$A$6:$AN$37,41,0)-VLOOKUP(B341,#REF!,$AN$2,0),0)</f>
        <v>0</v>
      </c>
    </row>
    <row r="342" spans="2:40" x14ac:dyDescent="0.25">
      <c r="B342" s="7">
        <f>[1]salario!A341</f>
        <v>0</v>
      </c>
      <c r="C342" s="8">
        <f>[1]salario!C341</f>
        <v>0</v>
      </c>
      <c r="D342" s="9">
        <f>IFERROR(VLOOKUP(B342,cubo!$A$6:$BE$37,3,0)-VLOOKUP(B342,#REF!,$D$2,0),0)</f>
        <v>0</v>
      </c>
      <c r="E342" s="10">
        <f>IFERROR(VLOOKUP(B342,cubo!$A$6:$BE$37,5,0)-VLOOKUP(B342,#REF!,$E$2,0),0)</f>
        <v>0</v>
      </c>
      <c r="F342" s="10">
        <f>IFERROR(VLOOKUP(B342,cubo!$A$6:$BE$37,8,0)-VLOOKUP(B342,#REF!,$F$2,0),0)</f>
        <v>0</v>
      </c>
      <c r="G342" s="9">
        <f>IFERROR(VLOOKUP(B342,cubo!$A$6:$BE$37,11,0)-VLOOKUP(B342,#REF!,$G$2,0),0)</f>
        <v>0</v>
      </c>
      <c r="H342" s="9">
        <f>IFERROR(VLOOKUP(B342,cubo!$A$6:$BE$37,53,0)-VLOOKUP(B342,#REF!,$H$2,0),0)</f>
        <v>0</v>
      </c>
      <c r="I342" s="10">
        <f>IFERROR(VLOOKUP(B342,cubo!$A$6:$BE$37,14,0)-VLOOKUP(B342,#REF!,$I$2,0),0)</f>
        <v>0</v>
      </c>
      <c r="J342" s="9">
        <f>IFERROR(VLOOKUP(B342,cubo!$A$6:$BE$37,16,0)-VLOOKUP(B342,#REF!,$J$2,0),0)</f>
        <v>0</v>
      </c>
      <c r="K342" s="9">
        <f>IFERROR(VLOOKUP(B342,cubo!$A$6:$BE$37,17,0)-VLOOKUP(B342,#REF!,$K$2,0),0)</f>
        <v>0</v>
      </c>
      <c r="L342" s="9">
        <f>IFERROR(VLOOKUP(B342,cubo!$A$6:$BE$37,19,0)-VLOOKUP(B342,#REF!,$L$2,0),0)</f>
        <v>0</v>
      </c>
      <c r="M342" s="9">
        <f>IFERROR(VLOOKUP(B342,cubo!$A$6:$BE$37,23,0)-VLOOKUP(B342,#REF!,$M$2,0),0)</f>
        <v>0</v>
      </c>
      <c r="N342" s="9">
        <f>IFERROR(VLOOKUP(B342,cubo!$A$6:$BE$37,25,0)-VLOOKUP(B342,#REF!,$N$2,0),0)</f>
        <v>0</v>
      </c>
      <c r="O342" s="9">
        <f>IFERROR(VLOOKUP(B342,cubo!$A$6:$BE$37,33,0)-VLOOKUP(B342,#REF!,$O$2,0),0)</f>
        <v>0</v>
      </c>
      <c r="P342" s="8">
        <f>IFERROR(VLOOKUP(B342,cubo!$A$6:$BE$37,37,0)-VLOOKUP(B342,#REF!,$P$2,0),0)</f>
        <v>0</v>
      </c>
      <c r="Q342" s="8">
        <f>IFERROR(VLOOKUP(B342,cubo!$A$6:$BE$37,56,0)-VLOOKUP(B342,#REF!,$Q$2,0),0)</f>
        <v>0</v>
      </c>
      <c r="R342" s="9">
        <f>IFERROR(VLOOKUP(B342,cubo!$A$6:$BE$37,40,0)-VLOOKUP(B342,#REF!,$R$2,0),0)</f>
        <v>0</v>
      </c>
      <c r="S342" s="9">
        <f>IFERROR(VLOOKUP(B342,cubo!$A$6:$BE$37,43,0)-VLOOKUP(B342,#REF!,$S$2,0),0)</f>
        <v>0</v>
      </c>
      <c r="T342" s="9">
        <f>IFERROR(VLOOKUP(B342,cubo!$A$6:$BE$37,46,0)-VLOOKUP(B342,#REF!,$T$2,0),0)</f>
        <v>0</v>
      </c>
      <c r="U342" s="9">
        <f>IFERROR(VLOOKUP(B342,cubo!$A$6:$BE$37,51,0)-VLOOKUP(B342,#REF!,$U$2,0),0)</f>
        <v>0</v>
      </c>
      <c r="V342" s="9">
        <f>IFERROR(VLOOKUP(B342,cubo!$A$6:$BJ$37,60,0)-VLOOKUP(B342,#REF!,$V$2,0),0)</f>
        <v>0</v>
      </c>
      <c r="W342" s="9">
        <f>IFERROR(VLOOKUP(B342,cubo!$A$6:$BE$37,26,0)-VLOOKUP(B342,#REF!,$W$2,0),0)</f>
        <v>0</v>
      </c>
      <c r="X342" s="9">
        <f>IFERROR(VLOOKUP(B342,cubo!$A$6:$BE$37,20,0)-VLOOKUP(B342,#REF!,$X$2,0),0)</f>
        <v>0</v>
      </c>
      <c r="Y342" s="9">
        <f>IFERROR(VLOOKUP(B342,cubo!$A$6:$BE$37,21,0)-VLOOKUP(B342,#REF!,$Y$2,0),0)</f>
        <v>0</v>
      </c>
      <c r="Z342" s="9">
        <f>IFERROR(VLOOKUP(B342,cubo!$A$6:$BE$37,27,0)-VLOOKUP(B342,#REF!,$Z$2,0),0)</f>
        <v>0</v>
      </c>
      <c r="AA342" s="9">
        <f>IFERROR(VLOOKUP(B342,cubo!$A$6:$BE$37,28,0)-VLOOKUP(B342,#REF!,$AA$2,0),0)</f>
        <v>0</v>
      </c>
      <c r="AB342" s="9">
        <f>IFERROR(VLOOKUP(B342,cubo!$A$6:$BE$37,29,0)-VLOOKUP(B342,#REF!,$AB$2,0),0)</f>
        <v>0</v>
      </c>
      <c r="AC342" s="9">
        <f>IFERROR(VLOOKUP(B342,cubo!$A$6:$BE$37,30,0)-VLOOKUP(B342,#REF!,$AC$2,0),0)</f>
        <v>0</v>
      </c>
      <c r="AD342" s="9">
        <f>IFERROR(VLOOKUP(B342,cubo!$A$6:$BE$37,31,0)-VLOOKUP(B342,#REF!,$AD$2,0),0)</f>
        <v>0</v>
      </c>
      <c r="AE342" s="9">
        <f>IFERROR(VLOOKUP(B342,cubo!$A$6:$BE$37,35,0)-VLOOKUP(B342,#REF!,$AE$2,0),0)</f>
        <v>0</v>
      </c>
      <c r="AF342" s="9" cm="1">
        <f t="array" aca="1" ref="AF342" ca="1">IFERROR(rrPROCV(B342,cubo!$A$6:$BE$37,48,0)-VLOOKUP(B342,#REF!,$AF$2,0),0)</f>
        <v>0</v>
      </c>
      <c r="AG342" s="9">
        <f>IFERROR(VLOOKUP(B342,cubo!$A$6:$BE$37,49,0)-VLOOKUP(B342,#REF!,$AG$2,0),0)</f>
        <v>0</v>
      </c>
      <c r="AH342" s="9">
        <f>IFERROR(VLOOKUP(B342,cubo!$A$6:$BE$37,50,0)-VLOOKUP(B342,#REF!,$AH$2,0),0)</f>
        <v>0</v>
      </c>
      <c r="AI342" s="9">
        <f>IFERROR(VLOOKUP(B342,cubo!$A$6:$BE$37,51,0)-VLOOKUP(B342,#REF!,$AI$2,0),0)</f>
        <v>0</v>
      </c>
      <c r="AJ342" s="9">
        <f>IFERROR(VLOOKUP(B342,cubo!$A$6:$BI$116,62,0)-VLOOKUP(B342,#REF!,$AJ$2,0),0)</f>
        <v>0</v>
      </c>
      <c r="AK342" s="9">
        <f>IFERROR(VLOOKUP(B342,cubo!$A$6:$BJ$37,63,0)-VLOOKUP(B342,#REF!,$AK$2,0),0)</f>
        <v>0</v>
      </c>
      <c r="AL342" s="9">
        <f>IFERROR(VLOOKUP(B342,cubo!$A$6:$BE$37,58,0)-VLOOKUP(B342,#REF!,$AL$2,0),0)</f>
        <v>0</v>
      </c>
      <c r="AM342" s="9">
        <f>IFERROR(VLOOKUP(B342,cubo!$A$6:$BK$37,64,0)-VLOOKUP(B342,#REF!,$AM$2,0),0)</f>
        <v>0</v>
      </c>
      <c r="AN342" s="9">
        <f>IFERROR(VLOOKUP(B342,cubo!$A$6:$AN$37,41,0)-VLOOKUP(B342,#REF!,$AN$2,0),0)</f>
        <v>0</v>
      </c>
    </row>
    <row r="343" spans="2:40" x14ac:dyDescent="0.25">
      <c r="B343" s="7">
        <f>[1]salario!A342</f>
        <v>0</v>
      </c>
      <c r="C343" s="8">
        <f>[1]salario!C342</f>
        <v>0</v>
      </c>
      <c r="D343" s="9">
        <f>IFERROR(VLOOKUP(B343,cubo!$A$6:$BE$37,3,0)-VLOOKUP(B343,#REF!,$D$2,0),0)</f>
        <v>0</v>
      </c>
      <c r="E343" s="10">
        <f>IFERROR(VLOOKUP(B343,cubo!$A$6:$BE$37,5,0)-VLOOKUP(B343,#REF!,$E$2,0),0)</f>
        <v>0</v>
      </c>
      <c r="F343" s="10">
        <f>IFERROR(VLOOKUP(B343,cubo!$A$6:$BE$37,8,0)-VLOOKUP(B343,#REF!,$F$2,0),0)</f>
        <v>0</v>
      </c>
      <c r="G343" s="9">
        <f>IFERROR(VLOOKUP(B343,cubo!$A$6:$BE$37,11,0)-VLOOKUP(B343,#REF!,$G$2,0),0)</f>
        <v>0</v>
      </c>
      <c r="H343" s="9">
        <f>IFERROR(VLOOKUP(B343,cubo!$A$6:$BE$37,53,0)-VLOOKUP(B343,#REF!,$H$2,0),0)</f>
        <v>0</v>
      </c>
      <c r="I343" s="10">
        <f>IFERROR(VLOOKUP(B343,cubo!$A$6:$BE$37,14,0)-VLOOKUP(B343,#REF!,$I$2,0),0)</f>
        <v>0</v>
      </c>
      <c r="J343" s="9">
        <f>IFERROR(VLOOKUP(B343,cubo!$A$6:$BE$37,16,0)-VLOOKUP(B343,#REF!,$J$2,0),0)</f>
        <v>0</v>
      </c>
      <c r="K343" s="9">
        <f>IFERROR(VLOOKUP(B343,cubo!$A$6:$BE$37,17,0)-VLOOKUP(B343,#REF!,$K$2,0),0)</f>
        <v>0</v>
      </c>
      <c r="L343" s="9">
        <f>IFERROR(VLOOKUP(B343,cubo!$A$6:$BE$37,19,0)-VLOOKUP(B343,#REF!,$L$2,0),0)</f>
        <v>0</v>
      </c>
      <c r="M343" s="9">
        <f>IFERROR(VLOOKUP(B343,cubo!$A$6:$BE$37,23,0)-VLOOKUP(B343,#REF!,$M$2,0),0)</f>
        <v>0</v>
      </c>
      <c r="N343" s="9">
        <f>IFERROR(VLOOKUP(B343,cubo!$A$6:$BE$37,25,0)-VLOOKUP(B343,#REF!,$N$2,0),0)</f>
        <v>0</v>
      </c>
      <c r="O343" s="9">
        <f>IFERROR(VLOOKUP(B343,cubo!$A$6:$BE$37,33,0)-VLOOKUP(B343,#REF!,$O$2,0),0)</f>
        <v>0</v>
      </c>
      <c r="P343" s="8">
        <f>IFERROR(VLOOKUP(B343,cubo!$A$6:$BE$37,37,0)-VLOOKUP(B343,#REF!,$P$2,0),0)</f>
        <v>0</v>
      </c>
      <c r="Q343" s="8">
        <f>IFERROR(VLOOKUP(B343,cubo!$A$6:$BE$37,56,0)-VLOOKUP(B343,#REF!,$Q$2,0),0)</f>
        <v>0</v>
      </c>
      <c r="R343" s="9">
        <f>IFERROR(VLOOKUP(B343,cubo!$A$6:$BE$37,40,0)-VLOOKUP(B343,#REF!,$R$2,0),0)</f>
        <v>0</v>
      </c>
      <c r="S343" s="9">
        <f>IFERROR(VLOOKUP(B343,cubo!$A$6:$BE$37,43,0)-VLOOKUP(B343,#REF!,$S$2,0),0)</f>
        <v>0</v>
      </c>
      <c r="T343" s="9">
        <f>IFERROR(VLOOKUP(B343,cubo!$A$6:$BE$37,46,0)-VLOOKUP(B343,#REF!,$T$2,0),0)</f>
        <v>0</v>
      </c>
      <c r="U343" s="9">
        <f>IFERROR(VLOOKUP(B343,cubo!$A$6:$BE$37,51,0)-VLOOKUP(B343,#REF!,$U$2,0),0)</f>
        <v>0</v>
      </c>
      <c r="V343" s="9">
        <f>IFERROR(VLOOKUP(B343,cubo!$A$6:$BJ$37,60,0)-VLOOKUP(B343,#REF!,$V$2,0),0)</f>
        <v>0</v>
      </c>
      <c r="W343" s="9">
        <f>IFERROR(VLOOKUP(B343,cubo!$A$6:$BE$37,26,0)-VLOOKUP(B343,#REF!,$W$2,0),0)</f>
        <v>0</v>
      </c>
      <c r="X343" s="9">
        <f>IFERROR(VLOOKUP(B343,cubo!$A$6:$BE$37,20,0)-VLOOKUP(B343,#REF!,$X$2,0),0)</f>
        <v>0</v>
      </c>
      <c r="Y343" s="9">
        <f>IFERROR(VLOOKUP(B343,cubo!$A$6:$BE$37,21,0)-VLOOKUP(B343,#REF!,$Y$2,0),0)</f>
        <v>0</v>
      </c>
      <c r="Z343" s="9">
        <f>IFERROR(VLOOKUP(B343,cubo!$A$6:$BE$37,27,0)-VLOOKUP(B343,#REF!,$Z$2,0),0)</f>
        <v>0</v>
      </c>
      <c r="AA343" s="9">
        <f>IFERROR(VLOOKUP(B343,cubo!$A$6:$BE$37,28,0)-VLOOKUP(B343,#REF!,$AA$2,0),0)</f>
        <v>0</v>
      </c>
      <c r="AB343" s="9">
        <f>IFERROR(VLOOKUP(B343,cubo!$A$6:$BE$37,29,0)-VLOOKUP(B343,#REF!,$AB$2,0),0)</f>
        <v>0</v>
      </c>
      <c r="AC343" s="9">
        <f>IFERROR(VLOOKUP(B343,cubo!$A$6:$BE$37,30,0)-VLOOKUP(B343,#REF!,$AC$2,0),0)</f>
        <v>0</v>
      </c>
      <c r="AD343" s="9">
        <f>IFERROR(VLOOKUP(B343,cubo!$A$6:$BE$37,31,0)-VLOOKUP(B343,#REF!,$AD$2,0),0)</f>
        <v>0</v>
      </c>
      <c r="AE343" s="9">
        <f>IFERROR(VLOOKUP(B343,cubo!$A$6:$BE$37,35,0)-VLOOKUP(B343,#REF!,$AE$2,0),0)</f>
        <v>0</v>
      </c>
      <c r="AF343" s="9" cm="1">
        <f t="array" aca="1" ref="AF343" ca="1">IFERROR(rrPROCV(B343,cubo!$A$6:$BE$37,48,0)-VLOOKUP(B343,#REF!,$AF$2,0),0)</f>
        <v>0</v>
      </c>
      <c r="AG343" s="9">
        <f>IFERROR(VLOOKUP(B343,cubo!$A$6:$BE$37,49,0)-VLOOKUP(B343,#REF!,$AG$2,0),0)</f>
        <v>0</v>
      </c>
      <c r="AH343" s="9">
        <f>IFERROR(VLOOKUP(B343,cubo!$A$6:$BE$37,50,0)-VLOOKUP(B343,#REF!,$AH$2,0),0)</f>
        <v>0</v>
      </c>
      <c r="AI343" s="9">
        <f>IFERROR(VLOOKUP(B343,cubo!$A$6:$BE$37,51,0)-VLOOKUP(B343,#REF!,$AI$2,0),0)</f>
        <v>0</v>
      </c>
      <c r="AJ343" s="9">
        <f>IFERROR(VLOOKUP(B343,cubo!$A$6:$BI$116,62,0)-VLOOKUP(B343,#REF!,$AJ$2,0),0)</f>
        <v>0</v>
      </c>
      <c r="AK343" s="9">
        <f>IFERROR(VLOOKUP(B343,cubo!$A$6:$BJ$37,63,0)-VLOOKUP(B343,#REF!,$AK$2,0),0)</f>
        <v>0</v>
      </c>
      <c r="AL343" s="9">
        <f>IFERROR(VLOOKUP(B343,cubo!$A$6:$BE$37,58,0)-VLOOKUP(B343,#REF!,$AL$2,0),0)</f>
        <v>0</v>
      </c>
      <c r="AM343" s="9">
        <f>IFERROR(VLOOKUP(B343,cubo!$A$6:$BK$37,64,0)-VLOOKUP(B343,#REF!,$AM$2,0),0)</f>
        <v>0</v>
      </c>
      <c r="AN343" s="9">
        <f>IFERROR(VLOOKUP(B343,cubo!$A$6:$AN$37,41,0)-VLOOKUP(B343,#REF!,$AN$2,0),0)</f>
        <v>0</v>
      </c>
    </row>
    <row r="344" spans="2:40" x14ac:dyDescent="0.25">
      <c r="B344" s="7">
        <f>[1]salario!A343</f>
        <v>0</v>
      </c>
      <c r="C344" s="8">
        <f>[1]salario!C343</f>
        <v>0</v>
      </c>
      <c r="D344" s="9">
        <f>IFERROR(VLOOKUP(B344,cubo!$A$6:$BE$37,3,0)-VLOOKUP(B344,#REF!,$D$2,0),0)</f>
        <v>0</v>
      </c>
      <c r="E344" s="10">
        <f>IFERROR(VLOOKUP(B344,cubo!$A$6:$BE$37,5,0)-VLOOKUP(B344,#REF!,$E$2,0),0)</f>
        <v>0</v>
      </c>
      <c r="F344" s="10">
        <f>IFERROR(VLOOKUP(B344,cubo!$A$6:$BE$37,8,0)-VLOOKUP(B344,#REF!,$F$2,0),0)</f>
        <v>0</v>
      </c>
      <c r="G344" s="9">
        <f>IFERROR(VLOOKUP(B344,cubo!$A$6:$BE$37,11,0)-VLOOKUP(B344,#REF!,$G$2,0),0)</f>
        <v>0</v>
      </c>
      <c r="H344" s="9">
        <f>IFERROR(VLOOKUP(B344,cubo!$A$6:$BE$37,53,0)-VLOOKUP(B344,#REF!,$H$2,0),0)</f>
        <v>0</v>
      </c>
      <c r="I344" s="10">
        <f>IFERROR(VLOOKUP(B344,cubo!$A$6:$BE$37,14,0)-VLOOKUP(B344,#REF!,$I$2,0),0)</f>
        <v>0</v>
      </c>
      <c r="J344" s="9">
        <f>IFERROR(VLOOKUP(B344,cubo!$A$6:$BE$37,16,0)-VLOOKUP(B344,#REF!,$J$2,0),0)</f>
        <v>0</v>
      </c>
      <c r="K344" s="9">
        <f>IFERROR(VLOOKUP(B344,cubo!$A$6:$BE$37,17,0)-VLOOKUP(B344,#REF!,$K$2,0),0)</f>
        <v>0</v>
      </c>
      <c r="L344" s="9">
        <f>IFERROR(VLOOKUP(B344,cubo!$A$6:$BE$37,19,0)-VLOOKUP(B344,#REF!,$L$2,0),0)</f>
        <v>0</v>
      </c>
      <c r="M344" s="9">
        <f>IFERROR(VLOOKUP(B344,cubo!$A$6:$BE$37,23,0)-VLOOKUP(B344,#REF!,$M$2,0),0)</f>
        <v>0</v>
      </c>
      <c r="N344" s="9">
        <f>IFERROR(VLOOKUP(B344,cubo!$A$6:$BE$37,25,0)-VLOOKUP(B344,#REF!,$N$2,0),0)</f>
        <v>0</v>
      </c>
      <c r="O344" s="9">
        <f>IFERROR(VLOOKUP(B344,cubo!$A$6:$BE$37,33,0)-VLOOKUP(B344,#REF!,$O$2,0),0)</f>
        <v>0</v>
      </c>
      <c r="P344" s="8">
        <f>IFERROR(VLOOKUP(B344,cubo!$A$6:$BE$37,37,0)-VLOOKUP(B344,#REF!,$P$2,0),0)</f>
        <v>0</v>
      </c>
      <c r="Q344" s="8">
        <f>IFERROR(VLOOKUP(B344,cubo!$A$6:$BE$37,56,0)-VLOOKUP(B344,#REF!,$Q$2,0),0)</f>
        <v>0</v>
      </c>
      <c r="R344" s="9">
        <f>IFERROR(VLOOKUP(B344,cubo!$A$6:$BE$37,40,0)-VLOOKUP(B344,#REF!,$R$2,0),0)</f>
        <v>0</v>
      </c>
      <c r="S344" s="9">
        <f>IFERROR(VLOOKUP(B344,cubo!$A$6:$BE$37,43,0)-VLOOKUP(B344,#REF!,$S$2,0),0)</f>
        <v>0</v>
      </c>
      <c r="T344" s="9">
        <f>IFERROR(VLOOKUP(B344,cubo!$A$6:$BE$37,46,0)-VLOOKUP(B344,#REF!,$T$2,0),0)</f>
        <v>0</v>
      </c>
      <c r="U344" s="9">
        <f>IFERROR(VLOOKUP(B344,cubo!$A$6:$BE$37,51,0)-VLOOKUP(B344,#REF!,$U$2,0),0)</f>
        <v>0</v>
      </c>
      <c r="V344" s="9">
        <f>IFERROR(VLOOKUP(B344,cubo!$A$6:$BJ$37,60,0)-VLOOKUP(B344,#REF!,$V$2,0),0)</f>
        <v>0</v>
      </c>
      <c r="W344" s="9">
        <f>IFERROR(VLOOKUP(B344,cubo!$A$6:$BE$37,26,0)-VLOOKUP(B344,#REF!,$W$2,0),0)</f>
        <v>0</v>
      </c>
      <c r="X344" s="9">
        <f>IFERROR(VLOOKUP(B344,cubo!$A$6:$BE$37,20,0)-VLOOKUP(B344,#REF!,$X$2,0),0)</f>
        <v>0</v>
      </c>
      <c r="Y344" s="9">
        <f>IFERROR(VLOOKUP(B344,cubo!$A$6:$BE$37,21,0)-VLOOKUP(B344,#REF!,$Y$2,0),0)</f>
        <v>0</v>
      </c>
      <c r="Z344" s="9">
        <f>IFERROR(VLOOKUP(B344,cubo!$A$6:$BE$37,27,0)-VLOOKUP(B344,#REF!,$Z$2,0),0)</f>
        <v>0</v>
      </c>
      <c r="AA344" s="9">
        <f>IFERROR(VLOOKUP(B344,cubo!$A$6:$BE$37,28,0)-VLOOKUP(B344,#REF!,$AA$2,0),0)</f>
        <v>0</v>
      </c>
      <c r="AB344" s="9">
        <f>IFERROR(VLOOKUP(B344,cubo!$A$6:$BE$37,29,0)-VLOOKUP(B344,#REF!,$AB$2,0),0)</f>
        <v>0</v>
      </c>
      <c r="AC344" s="9">
        <f>IFERROR(VLOOKUP(B344,cubo!$A$6:$BE$37,30,0)-VLOOKUP(B344,#REF!,$AC$2,0),0)</f>
        <v>0</v>
      </c>
      <c r="AD344" s="9">
        <f>IFERROR(VLOOKUP(B344,cubo!$A$6:$BE$37,31,0)-VLOOKUP(B344,#REF!,$AD$2,0),0)</f>
        <v>0</v>
      </c>
      <c r="AE344" s="9">
        <f>IFERROR(VLOOKUP(B344,cubo!$A$6:$BE$37,35,0)-VLOOKUP(B344,#REF!,$AE$2,0),0)</f>
        <v>0</v>
      </c>
      <c r="AF344" s="9" cm="1">
        <f t="array" aca="1" ref="AF344" ca="1">IFERROR(rrPROCV(B344,cubo!$A$6:$BE$37,48,0)-VLOOKUP(B344,#REF!,$AF$2,0),0)</f>
        <v>0</v>
      </c>
      <c r="AG344" s="9">
        <f>IFERROR(VLOOKUP(B344,cubo!$A$6:$BE$37,49,0)-VLOOKUP(B344,#REF!,$AG$2,0),0)</f>
        <v>0</v>
      </c>
      <c r="AH344" s="9">
        <f>IFERROR(VLOOKUP(B344,cubo!$A$6:$BE$37,50,0)-VLOOKUP(B344,#REF!,$AH$2,0),0)</f>
        <v>0</v>
      </c>
      <c r="AI344" s="9">
        <f>IFERROR(VLOOKUP(B344,cubo!$A$6:$BE$37,51,0)-VLOOKUP(B344,#REF!,$AI$2,0),0)</f>
        <v>0</v>
      </c>
      <c r="AJ344" s="9">
        <f>IFERROR(VLOOKUP(B344,cubo!$A$6:$BI$116,62,0)-VLOOKUP(B344,#REF!,$AJ$2,0),0)</f>
        <v>0</v>
      </c>
      <c r="AK344" s="9">
        <f>IFERROR(VLOOKUP(B344,cubo!$A$6:$BJ$37,63,0)-VLOOKUP(B344,#REF!,$AK$2,0),0)</f>
        <v>0</v>
      </c>
      <c r="AL344" s="9">
        <f>IFERROR(VLOOKUP(B344,cubo!$A$6:$BE$37,58,0)-VLOOKUP(B344,#REF!,$AL$2,0),0)</f>
        <v>0</v>
      </c>
      <c r="AM344" s="9">
        <f>IFERROR(VLOOKUP(B344,cubo!$A$6:$BK$37,64,0)-VLOOKUP(B344,#REF!,$AM$2,0),0)</f>
        <v>0</v>
      </c>
      <c r="AN344" s="9">
        <f>IFERROR(VLOOKUP(B344,cubo!$A$6:$AN$37,41,0)-VLOOKUP(B344,#REF!,$AN$2,0),0)</f>
        <v>0</v>
      </c>
    </row>
    <row r="345" spans="2:40" x14ac:dyDescent="0.25">
      <c r="B345" s="7">
        <f>[1]salario!A344</f>
        <v>0</v>
      </c>
      <c r="C345" s="8">
        <f>[1]salario!C344</f>
        <v>0</v>
      </c>
      <c r="D345" s="9">
        <f>IFERROR(VLOOKUP(B345,cubo!$A$6:$BE$37,3,0)-VLOOKUP(B345,#REF!,$D$2,0),0)</f>
        <v>0</v>
      </c>
      <c r="E345" s="10">
        <f>IFERROR(VLOOKUP(B345,cubo!$A$6:$BE$37,5,0)-VLOOKUP(B345,#REF!,$E$2,0),0)</f>
        <v>0</v>
      </c>
      <c r="F345" s="10">
        <f>IFERROR(VLOOKUP(B345,cubo!$A$6:$BE$37,8,0)-VLOOKUP(B345,#REF!,$F$2,0),0)</f>
        <v>0</v>
      </c>
      <c r="G345" s="9">
        <f>IFERROR(VLOOKUP(B345,cubo!$A$6:$BE$37,11,0)-VLOOKUP(B345,#REF!,$G$2,0),0)</f>
        <v>0</v>
      </c>
      <c r="H345" s="9">
        <f>IFERROR(VLOOKUP(B345,cubo!$A$6:$BE$37,53,0)-VLOOKUP(B345,#REF!,$H$2,0),0)</f>
        <v>0</v>
      </c>
      <c r="I345" s="10">
        <f>IFERROR(VLOOKUP(B345,cubo!$A$6:$BE$37,14,0)-VLOOKUP(B345,#REF!,$I$2,0),0)</f>
        <v>0</v>
      </c>
      <c r="J345" s="9">
        <f>IFERROR(VLOOKUP(B345,cubo!$A$6:$BE$37,16,0)-VLOOKUP(B345,#REF!,$J$2,0),0)</f>
        <v>0</v>
      </c>
      <c r="K345" s="9">
        <f>IFERROR(VLOOKUP(B345,cubo!$A$6:$BE$37,17,0)-VLOOKUP(B345,#REF!,$K$2,0),0)</f>
        <v>0</v>
      </c>
      <c r="L345" s="9">
        <f>IFERROR(VLOOKUP(B345,cubo!$A$6:$BE$37,19,0)-VLOOKUP(B345,#REF!,$L$2,0),0)</f>
        <v>0</v>
      </c>
      <c r="M345" s="9">
        <f>IFERROR(VLOOKUP(B345,cubo!$A$6:$BE$37,23,0)-VLOOKUP(B345,#REF!,$M$2,0),0)</f>
        <v>0</v>
      </c>
      <c r="N345" s="9">
        <f>IFERROR(VLOOKUP(B345,cubo!$A$6:$BE$37,25,0)-VLOOKUP(B345,#REF!,$N$2,0),0)</f>
        <v>0</v>
      </c>
      <c r="O345" s="9">
        <f>IFERROR(VLOOKUP(B345,cubo!$A$6:$BE$37,33,0)-VLOOKUP(B345,#REF!,$O$2,0),0)</f>
        <v>0</v>
      </c>
      <c r="P345" s="8">
        <f>IFERROR(VLOOKUP(B345,cubo!$A$6:$BE$37,37,0)-VLOOKUP(B345,#REF!,$P$2,0),0)</f>
        <v>0</v>
      </c>
      <c r="Q345" s="8">
        <f>IFERROR(VLOOKUP(B345,cubo!$A$6:$BE$37,56,0)-VLOOKUP(B345,#REF!,$Q$2,0),0)</f>
        <v>0</v>
      </c>
      <c r="R345" s="9">
        <f>IFERROR(VLOOKUP(B345,cubo!$A$6:$BE$37,40,0)-VLOOKUP(B345,#REF!,$R$2,0),0)</f>
        <v>0</v>
      </c>
      <c r="S345" s="9">
        <f>IFERROR(VLOOKUP(B345,cubo!$A$6:$BE$37,43,0)-VLOOKUP(B345,#REF!,$S$2,0),0)</f>
        <v>0</v>
      </c>
      <c r="T345" s="9">
        <f>IFERROR(VLOOKUP(B345,cubo!$A$6:$BE$37,46,0)-VLOOKUP(B345,#REF!,$T$2,0),0)</f>
        <v>0</v>
      </c>
      <c r="U345" s="9">
        <f>IFERROR(VLOOKUP(B345,cubo!$A$6:$BE$37,51,0)-VLOOKUP(B345,#REF!,$U$2,0),0)</f>
        <v>0</v>
      </c>
      <c r="V345" s="9">
        <f>IFERROR(VLOOKUP(B345,cubo!$A$6:$BJ$37,60,0)-VLOOKUP(B345,#REF!,$V$2,0),0)</f>
        <v>0</v>
      </c>
      <c r="W345" s="9">
        <f>IFERROR(VLOOKUP(B345,cubo!$A$6:$BE$37,26,0)-VLOOKUP(B345,#REF!,$W$2,0),0)</f>
        <v>0</v>
      </c>
      <c r="X345" s="9">
        <f>IFERROR(VLOOKUP(B345,cubo!$A$6:$BE$37,20,0)-VLOOKUP(B345,#REF!,$X$2,0),0)</f>
        <v>0</v>
      </c>
      <c r="Y345" s="9">
        <f>IFERROR(VLOOKUP(B345,cubo!$A$6:$BE$37,21,0)-VLOOKUP(B345,#REF!,$Y$2,0),0)</f>
        <v>0</v>
      </c>
      <c r="Z345" s="9">
        <f>IFERROR(VLOOKUP(B345,cubo!$A$6:$BE$37,27,0)-VLOOKUP(B345,#REF!,$Z$2,0),0)</f>
        <v>0</v>
      </c>
      <c r="AA345" s="9">
        <f>IFERROR(VLOOKUP(B345,cubo!$A$6:$BE$37,28,0)-VLOOKUP(B345,#REF!,$AA$2,0),0)</f>
        <v>0</v>
      </c>
      <c r="AB345" s="9">
        <f>IFERROR(VLOOKUP(B345,cubo!$A$6:$BE$37,29,0)-VLOOKUP(B345,#REF!,$AB$2,0),0)</f>
        <v>0</v>
      </c>
      <c r="AC345" s="9">
        <f>IFERROR(VLOOKUP(B345,cubo!$A$6:$BE$37,30,0)-VLOOKUP(B345,#REF!,$AC$2,0),0)</f>
        <v>0</v>
      </c>
      <c r="AD345" s="9">
        <f>IFERROR(VLOOKUP(B345,cubo!$A$6:$BE$37,31,0)-VLOOKUP(B345,#REF!,$AD$2,0),0)</f>
        <v>0</v>
      </c>
      <c r="AE345" s="9">
        <f>IFERROR(VLOOKUP(B345,cubo!$A$6:$BE$37,35,0)-VLOOKUP(B345,#REF!,$AE$2,0),0)</f>
        <v>0</v>
      </c>
      <c r="AF345" s="9" cm="1">
        <f t="array" aca="1" ref="AF345" ca="1">IFERROR(rrPROCV(B345,cubo!$A$6:$BE$37,48,0)-VLOOKUP(B345,#REF!,$AF$2,0),0)</f>
        <v>0</v>
      </c>
      <c r="AG345" s="9">
        <f>IFERROR(VLOOKUP(B345,cubo!$A$6:$BE$37,49,0)-VLOOKUP(B345,#REF!,$AG$2,0),0)</f>
        <v>0</v>
      </c>
      <c r="AH345" s="9">
        <f>IFERROR(VLOOKUP(B345,cubo!$A$6:$BE$37,50,0)-VLOOKUP(B345,#REF!,$AH$2,0),0)</f>
        <v>0</v>
      </c>
      <c r="AI345" s="9">
        <f>IFERROR(VLOOKUP(B345,cubo!$A$6:$BE$37,51,0)-VLOOKUP(B345,#REF!,$AI$2,0),0)</f>
        <v>0</v>
      </c>
      <c r="AJ345" s="9">
        <f>IFERROR(VLOOKUP(B345,cubo!$A$6:$BI$116,62,0)-VLOOKUP(B345,#REF!,$AJ$2,0),0)</f>
        <v>0</v>
      </c>
      <c r="AK345" s="9">
        <f>IFERROR(VLOOKUP(B345,cubo!$A$6:$BJ$37,63,0)-VLOOKUP(B345,#REF!,$AK$2,0),0)</f>
        <v>0</v>
      </c>
      <c r="AL345" s="9">
        <f>IFERROR(VLOOKUP(B345,cubo!$A$6:$BE$37,58,0)-VLOOKUP(B345,#REF!,$AL$2,0),0)</f>
        <v>0</v>
      </c>
      <c r="AM345" s="9">
        <f>IFERROR(VLOOKUP(B345,cubo!$A$6:$BK$37,64,0)-VLOOKUP(B345,#REF!,$AM$2,0),0)</f>
        <v>0</v>
      </c>
      <c r="AN345" s="9">
        <f>IFERROR(VLOOKUP(B345,cubo!$A$6:$AN$37,41,0)-VLOOKUP(B345,#REF!,$AN$2,0),0)</f>
        <v>0</v>
      </c>
    </row>
    <row r="346" spans="2:40" x14ac:dyDescent="0.25">
      <c r="B346" s="7">
        <f>[1]salario!A345</f>
        <v>0</v>
      </c>
      <c r="C346" s="8">
        <f>[1]salario!C345</f>
        <v>0</v>
      </c>
      <c r="D346" s="9">
        <f>IFERROR(VLOOKUP(B346,cubo!$A$6:$BE$37,3,0)-VLOOKUP(B346,#REF!,$D$2,0),0)</f>
        <v>0</v>
      </c>
      <c r="E346" s="10">
        <f>IFERROR(VLOOKUP(B346,cubo!$A$6:$BE$37,5,0)-VLOOKUP(B346,#REF!,$E$2,0),0)</f>
        <v>0</v>
      </c>
      <c r="F346" s="10">
        <f>IFERROR(VLOOKUP(B346,cubo!$A$6:$BE$37,8,0)-VLOOKUP(B346,#REF!,$F$2,0),0)</f>
        <v>0</v>
      </c>
      <c r="G346" s="9">
        <f>IFERROR(VLOOKUP(B346,cubo!$A$6:$BE$37,11,0)-VLOOKUP(B346,#REF!,$G$2,0),0)</f>
        <v>0</v>
      </c>
      <c r="H346" s="9">
        <f>IFERROR(VLOOKUP(B346,cubo!$A$6:$BE$37,53,0)-VLOOKUP(B346,#REF!,$H$2,0),0)</f>
        <v>0</v>
      </c>
      <c r="I346" s="10">
        <f>IFERROR(VLOOKUP(B346,cubo!$A$6:$BE$37,14,0)-VLOOKUP(B346,#REF!,$I$2,0),0)</f>
        <v>0</v>
      </c>
      <c r="J346" s="9">
        <f>IFERROR(VLOOKUP(B346,cubo!$A$6:$BE$37,16,0)-VLOOKUP(B346,#REF!,$J$2,0),0)</f>
        <v>0</v>
      </c>
      <c r="K346" s="9">
        <f>IFERROR(VLOOKUP(B346,cubo!$A$6:$BE$37,17,0)-VLOOKUP(B346,#REF!,$K$2,0),0)</f>
        <v>0</v>
      </c>
      <c r="L346" s="9">
        <f>IFERROR(VLOOKUP(B346,cubo!$A$6:$BE$37,19,0)-VLOOKUP(B346,#REF!,$L$2,0),0)</f>
        <v>0</v>
      </c>
      <c r="M346" s="9">
        <f>IFERROR(VLOOKUP(B346,cubo!$A$6:$BE$37,23,0)-VLOOKUP(B346,#REF!,$M$2,0),0)</f>
        <v>0</v>
      </c>
      <c r="N346" s="9">
        <f>IFERROR(VLOOKUP(B346,cubo!$A$6:$BE$37,25,0)-VLOOKUP(B346,#REF!,$N$2,0),0)</f>
        <v>0</v>
      </c>
      <c r="O346" s="9">
        <f>IFERROR(VLOOKUP(B346,cubo!$A$6:$BE$37,33,0)-VLOOKUP(B346,#REF!,$O$2,0),0)</f>
        <v>0</v>
      </c>
      <c r="P346" s="8">
        <f>IFERROR(VLOOKUP(B346,cubo!$A$6:$BE$37,37,0)-VLOOKUP(B346,#REF!,$P$2,0),0)</f>
        <v>0</v>
      </c>
      <c r="Q346" s="8">
        <f>IFERROR(VLOOKUP(B346,cubo!$A$6:$BE$37,56,0)-VLOOKUP(B346,#REF!,$Q$2,0),0)</f>
        <v>0</v>
      </c>
      <c r="R346" s="9">
        <f>IFERROR(VLOOKUP(B346,cubo!$A$6:$BE$37,40,0)-VLOOKUP(B346,#REF!,$R$2,0),0)</f>
        <v>0</v>
      </c>
      <c r="S346" s="9">
        <f>IFERROR(VLOOKUP(B346,cubo!$A$6:$BE$37,43,0)-VLOOKUP(B346,#REF!,$S$2,0),0)</f>
        <v>0</v>
      </c>
      <c r="T346" s="9">
        <f>IFERROR(VLOOKUP(B346,cubo!$A$6:$BE$37,46,0)-VLOOKUP(B346,#REF!,$T$2,0),0)</f>
        <v>0</v>
      </c>
      <c r="U346" s="9">
        <f>IFERROR(VLOOKUP(B346,cubo!$A$6:$BE$37,51,0)-VLOOKUP(B346,#REF!,$U$2,0),0)</f>
        <v>0</v>
      </c>
      <c r="V346" s="9">
        <f>IFERROR(VLOOKUP(B346,cubo!$A$6:$BJ$37,60,0)-VLOOKUP(B346,#REF!,$V$2,0),0)</f>
        <v>0</v>
      </c>
      <c r="W346" s="9">
        <f>IFERROR(VLOOKUP(B346,cubo!$A$6:$BE$37,26,0)-VLOOKUP(B346,#REF!,$W$2,0),0)</f>
        <v>0</v>
      </c>
      <c r="X346" s="9">
        <f>IFERROR(VLOOKUP(B346,cubo!$A$6:$BE$37,20,0)-VLOOKUP(B346,#REF!,$X$2,0),0)</f>
        <v>0</v>
      </c>
      <c r="Y346" s="9">
        <f>IFERROR(VLOOKUP(B346,cubo!$A$6:$BE$37,21,0)-VLOOKUP(B346,#REF!,$Y$2,0),0)</f>
        <v>0</v>
      </c>
      <c r="Z346" s="9">
        <f>IFERROR(VLOOKUP(B346,cubo!$A$6:$BE$37,27,0)-VLOOKUP(B346,#REF!,$Z$2,0),0)</f>
        <v>0</v>
      </c>
      <c r="AA346" s="9">
        <f>IFERROR(VLOOKUP(B346,cubo!$A$6:$BE$37,28,0)-VLOOKUP(B346,#REF!,$AA$2,0),0)</f>
        <v>0</v>
      </c>
      <c r="AB346" s="9">
        <f>IFERROR(VLOOKUP(B346,cubo!$A$6:$BE$37,29,0)-VLOOKUP(B346,#REF!,$AB$2,0),0)</f>
        <v>0</v>
      </c>
      <c r="AC346" s="9">
        <f>IFERROR(VLOOKUP(B346,cubo!$A$6:$BE$37,30,0)-VLOOKUP(B346,#REF!,$AC$2,0),0)</f>
        <v>0</v>
      </c>
      <c r="AD346" s="9">
        <f>IFERROR(VLOOKUP(B346,cubo!$A$6:$BE$37,31,0)-VLOOKUP(B346,#REF!,$AD$2,0),0)</f>
        <v>0</v>
      </c>
      <c r="AE346" s="9">
        <f>IFERROR(VLOOKUP(B346,cubo!$A$6:$BE$37,35,0)-VLOOKUP(B346,#REF!,$AE$2,0),0)</f>
        <v>0</v>
      </c>
      <c r="AF346" s="9" cm="1">
        <f t="array" aca="1" ref="AF346" ca="1">IFERROR(rrPROCV(B346,cubo!$A$6:$BE$37,48,0)-VLOOKUP(B346,#REF!,$AF$2,0),0)</f>
        <v>0</v>
      </c>
      <c r="AG346" s="9">
        <f>IFERROR(VLOOKUP(B346,cubo!$A$6:$BE$37,49,0)-VLOOKUP(B346,#REF!,$AG$2,0),0)</f>
        <v>0</v>
      </c>
      <c r="AH346" s="9">
        <f>IFERROR(VLOOKUP(B346,cubo!$A$6:$BE$37,50,0)-VLOOKUP(B346,#REF!,$AH$2,0),0)</f>
        <v>0</v>
      </c>
      <c r="AI346" s="9">
        <f>IFERROR(VLOOKUP(B346,cubo!$A$6:$BE$37,51,0)-VLOOKUP(B346,#REF!,$AI$2,0),0)</f>
        <v>0</v>
      </c>
      <c r="AJ346" s="9">
        <f>IFERROR(VLOOKUP(B346,cubo!$A$6:$BI$116,62,0)-VLOOKUP(B346,#REF!,$AJ$2,0),0)</f>
        <v>0</v>
      </c>
      <c r="AK346" s="9">
        <f>IFERROR(VLOOKUP(B346,cubo!$A$6:$BJ$37,63,0)-VLOOKUP(B346,#REF!,$AK$2,0),0)</f>
        <v>0</v>
      </c>
      <c r="AL346" s="9">
        <f>IFERROR(VLOOKUP(B346,cubo!$A$6:$BE$37,58,0)-VLOOKUP(B346,#REF!,$AL$2,0),0)</f>
        <v>0</v>
      </c>
      <c r="AM346" s="9">
        <f>IFERROR(VLOOKUP(B346,cubo!$A$6:$BK$37,64,0)-VLOOKUP(B346,#REF!,$AM$2,0),0)</f>
        <v>0</v>
      </c>
      <c r="AN346" s="9">
        <f>IFERROR(VLOOKUP(B346,cubo!$A$6:$AN$37,41,0)-VLOOKUP(B346,#REF!,$AN$2,0),0)</f>
        <v>0</v>
      </c>
    </row>
    <row r="347" spans="2:40" x14ac:dyDescent="0.25">
      <c r="B347" s="7">
        <f>[1]salario!A346</f>
        <v>0</v>
      </c>
      <c r="C347" s="8">
        <f>[1]salario!C346</f>
        <v>0</v>
      </c>
      <c r="D347" s="9">
        <f>IFERROR(VLOOKUP(B347,cubo!$A$6:$BE$37,3,0)-VLOOKUP(B347,#REF!,$D$2,0),0)</f>
        <v>0</v>
      </c>
      <c r="E347" s="10">
        <f>IFERROR(VLOOKUP(B347,cubo!$A$6:$BE$37,5,0)-VLOOKUP(B347,#REF!,$E$2,0),0)</f>
        <v>0</v>
      </c>
      <c r="F347" s="10">
        <f>IFERROR(VLOOKUP(B347,cubo!$A$6:$BE$37,8,0)-VLOOKUP(B347,#REF!,$F$2,0),0)</f>
        <v>0</v>
      </c>
      <c r="G347" s="9">
        <f>IFERROR(VLOOKUP(B347,cubo!$A$6:$BE$37,11,0)-VLOOKUP(B347,#REF!,$G$2,0),0)</f>
        <v>0</v>
      </c>
      <c r="H347" s="9">
        <f>IFERROR(VLOOKUP(B347,cubo!$A$6:$BE$37,53,0)-VLOOKUP(B347,#REF!,$H$2,0),0)</f>
        <v>0</v>
      </c>
      <c r="I347" s="10">
        <f>IFERROR(VLOOKUP(B347,cubo!$A$6:$BE$37,14,0)-VLOOKUP(B347,#REF!,$I$2,0),0)</f>
        <v>0</v>
      </c>
      <c r="J347" s="9">
        <f>IFERROR(VLOOKUP(B347,cubo!$A$6:$BE$37,16,0)-VLOOKUP(B347,#REF!,$J$2,0),0)</f>
        <v>0</v>
      </c>
      <c r="K347" s="9">
        <f>IFERROR(VLOOKUP(B347,cubo!$A$6:$BE$37,17,0)-VLOOKUP(B347,#REF!,$K$2,0),0)</f>
        <v>0</v>
      </c>
      <c r="L347" s="9">
        <f>IFERROR(VLOOKUP(B347,cubo!$A$6:$BE$37,19,0)-VLOOKUP(B347,#REF!,$L$2,0),0)</f>
        <v>0</v>
      </c>
      <c r="M347" s="9">
        <f>IFERROR(VLOOKUP(B347,cubo!$A$6:$BE$37,23,0)-VLOOKUP(B347,#REF!,$M$2,0),0)</f>
        <v>0</v>
      </c>
      <c r="N347" s="9">
        <f>IFERROR(VLOOKUP(B347,cubo!$A$6:$BE$37,25,0)-VLOOKUP(B347,#REF!,$N$2,0),0)</f>
        <v>0</v>
      </c>
      <c r="O347" s="9">
        <f>IFERROR(VLOOKUP(B347,cubo!$A$6:$BE$37,33,0)-VLOOKUP(B347,#REF!,$O$2,0),0)</f>
        <v>0</v>
      </c>
      <c r="P347" s="8">
        <f>IFERROR(VLOOKUP(B347,cubo!$A$6:$BE$37,37,0)-VLOOKUP(B347,#REF!,$P$2,0),0)</f>
        <v>0</v>
      </c>
      <c r="Q347" s="8">
        <f>IFERROR(VLOOKUP(B347,cubo!$A$6:$BE$37,56,0)-VLOOKUP(B347,#REF!,$Q$2,0),0)</f>
        <v>0</v>
      </c>
      <c r="R347" s="9">
        <f>IFERROR(VLOOKUP(B347,cubo!$A$6:$BE$37,40,0)-VLOOKUP(B347,#REF!,$R$2,0),0)</f>
        <v>0</v>
      </c>
      <c r="S347" s="9">
        <f>IFERROR(VLOOKUP(B347,cubo!$A$6:$BE$37,43,0)-VLOOKUP(B347,#REF!,$S$2,0),0)</f>
        <v>0</v>
      </c>
      <c r="T347" s="9">
        <f>IFERROR(VLOOKUP(B347,cubo!$A$6:$BE$37,46,0)-VLOOKUP(B347,#REF!,$T$2,0),0)</f>
        <v>0</v>
      </c>
      <c r="U347" s="9">
        <f>IFERROR(VLOOKUP(B347,cubo!$A$6:$BE$37,51,0)-VLOOKUP(B347,#REF!,$U$2,0),0)</f>
        <v>0</v>
      </c>
      <c r="V347" s="9">
        <f>IFERROR(VLOOKUP(B347,cubo!$A$6:$BJ$37,60,0)-VLOOKUP(B347,#REF!,$V$2,0),0)</f>
        <v>0</v>
      </c>
      <c r="W347" s="9">
        <f>IFERROR(VLOOKUP(B347,cubo!$A$6:$BE$37,26,0)-VLOOKUP(B347,#REF!,$W$2,0),0)</f>
        <v>0</v>
      </c>
      <c r="X347" s="9">
        <f>IFERROR(VLOOKUP(B347,cubo!$A$6:$BE$37,20,0)-VLOOKUP(B347,#REF!,$X$2,0),0)</f>
        <v>0</v>
      </c>
      <c r="Y347" s="9">
        <f>IFERROR(VLOOKUP(B347,cubo!$A$6:$BE$37,21,0)-VLOOKUP(B347,#REF!,$Y$2,0),0)</f>
        <v>0</v>
      </c>
      <c r="Z347" s="9">
        <f>IFERROR(VLOOKUP(B347,cubo!$A$6:$BE$37,27,0)-VLOOKUP(B347,#REF!,$Z$2,0),0)</f>
        <v>0</v>
      </c>
      <c r="AA347" s="9">
        <f>IFERROR(VLOOKUP(B347,cubo!$A$6:$BE$37,28,0)-VLOOKUP(B347,#REF!,$AA$2,0),0)</f>
        <v>0</v>
      </c>
      <c r="AB347" s="9">
        <f>IFERROR(VLOOKUP(B347,cubo!$A$6:$BE$37,29,0)-VLOOKUP(B347,#REF!,$AB$2,0),0)</f>
        <v>0</v>
      </c>
      <c r="AC347" s="9">
        <f>IFERROR(VLOOKUP(B347,cubo!$A$6:$BE$37,30,0)-VLOOKUP(B347,#REF!,$AC$2,0),0)</f>
        <v>0</v>
      </c>
      <c r="AD347" s="9">
        <f>IFERROR(VLOOKUP(B347,cubo!$A$6:$BE$37,31,0)-VLOOKUP(B347,#REF!,$AD$2,0),0)</f>
        <v>0</v>
      </c>
      <c r="AE347" s="9">
        <f>IFERROR(VLOOKUP(B347,cubo!$A$6:$BE$37,35,0)-VLOOKUP(B347,#REF!,$AE$2,0),0)</f>
        <v>0</v>
      </c>
      <c r="AF347" s="9" cm="1">
        <f t="array" aca="1" ref="AF347" ca="1">IFERROR(rrPROCV(B347,cubo!$A$6:$BE$37,48,0)-VLOOKUP(B347,#REF!,$AF$2,0),0)</f>
        <v>0</v>
      </c>
      <c r="AG347" s="9">
        <f>IFERROR(VLOOKUP(B347,cubo!$A$6:$BE$37,49,0)-VLOOKUP(B347,#REF!,$AG$2,0),0)</f>
        <v>0</v>
      </c>
      <c r="AH347" s="9">
        <f>IFERROR(VLOOKUP(B347,cubo!$A$6:$BE$37,50,0)-VLOOKUP(B347,#REF!,$AH$2,0),0)</f>
        <v>0</v>
      </c>
      <c r="AI347" s="9">
        <f>IFERROR(VLOOKUP(B347,cubo!$A$6:$BE$37,51,0)-VLOOKUP(B347,#REF!,$AI$2,0),0)</f>
        <v>0</v>
      </c>
      <c r="AJ347" s="9">
        <f>IFERROR(VLOOKUP(B347,cubo!$A$6:$BI$116,62,0)-VLOOKUP(B347,#REF!,$AJ$2,0),0)</f>
        <v>0</v>
      </c>
      <c r="AK347" s="9">
        <f>IFERROR(VLOOKUP(B347,cubo!$A$6:$BJ$37,63,0)-VLOOKUP(B347,#REF!,$AK$2,0),0)</f>
        <v>0</v>
      </c>
      <c r="AL347" s="9">
        <f>IFERROR(VLOOKUP(B347,cubo!$A$6:$BE$37,58,0)-VLOOKUP(B347,#REF!,$AL$2,0),0)</f>
        <v>0</v>
      </c>
      <c r="AM347" s="9">
        <f>IFERROR(VLOOKUP(B347,cubo!$A$6:$BK$37,64,0)-VLOOKUP(B347,#REF!,$AM$2,0),0)</f>
        <v>0</v>
      </c>
      <c r="AN347" s="9">
        <f>IFERROR(VLOOKUP(B347,cubo!$A$6:$AN$37,41,0)-VLOOKUP(B347,#REF!,$AN$2,0),0)</f>
        <v>0</v>
      </c>
    </row>
    <row r="348" spans="2:40" x14ac:dyDescent="0.25">
      <c r="B348" s="7">
        <f>[1]salario!A347</f>
        <v>0</v>
      </c>
      <c r="C348" s="8">
        <f>[1]salario!C347</f>
        <v>0</v>
      </c>
      <c r="D348" s="9">
        <f>IFERROR(VLOOKUP(B348,cubo!$A$6:$BE$37,3,0)-VLOOKUP(B348,#REF!,$D$2,0),0)</f>
        <v>0</v>
      </c>
      <c r="E348" s="10">
        <f>IFERROR(VLOOKUP(B348,cubo!$A$6:$BE$37,5,0)-VLOOKUP(B348,#REF!,$E$2,0),0)</f>
        <v>0</v>
      </c>
      <c r="F348" s="10">
        <f>IFERROR(VLOOKUP(B348,cubo!$A$6:$BE$37,8,0)-VLOOKUP(B348,#REF!,$F$2,0),0)</f>
        <v>0</v>
      </c>
      <c r="G348" s="9">
        <f>IFERROR(VLOOKUP(B348,cubo!$A$6:$BE$37,11,0)-VLOOKUP(B348,#REF!,$G$2,0),0)</f>
        <v>0</v>
      </c>
      <c r="H348" s="9">
        <f>IFERROR(VLOOKUP(B348,cubo!$A$6:$BE$37,53,0)-VLOOKUP(B348,#REF!,$H$2,0),0)</f>
        <v>0</v>
      </c>
      <c r="I348" s="10">
        <f>IFERROR(VLOOKUP(B348,cubo!$A$6:$BE$37,14,0)-VLOOKUP(B348,#REF!,$I$2,0),0)</f>
        <v>0</v>
      </c>
      <c r="J348" s="9">
        <f>IFERROR(VLOOKUP(B348,cubo!$A$6:$BE$37,16,0)-VLOOKUP(B348,#REF!,$J$2,0),0)</f>
        <v>0</v>
      </c>
      <c r="K348" s="9">
        <f>IFERROR(VLOOKUP(B348,cubo!$A$6:$BE$37,17,0)-VLOOKUP(B348,#REF!,$K$2,0),0)</f>
        <v>0</v>
      </c>
      <c r="L348" s="9">
        <f>IFERROR(VLOOKUP(B348,cubo!$A$6:$BE$37,19,0)-VLOOKUP(B348,#REF!,$L$2,0),0)</f>
        <v>0</v>
      </c>
      <c r="M348" s="9">
        <f>IFERROR(VLOOKUP(B348,cubo!$A$6:$BE$37,23,0)-VLOOKUP(B348,#REF!,$M$2,0),0)</f>
        <v>0</v>
      </c>
      <c r="N348" s="9">
        <f>IFERROR(VLOOKUP(B348,cubo!$A$6:$BE$37,25,0)-VLOOKUP(B348,#REF!,$N$2,0),0)</f>
        <v>0</v>
      </c>
      <c r="O348" s="9">
        <f>IFERROR(VLOOKUP(B348,cubo!$A$6:$BE$37,33,0)-VLOOKUP(B348,#REF!,$O$2,0),0)</f>
        <v>0</v>
      </c>
      <c r="P348" s="8">
        <f>IFERROR(VLOOKUP(B348,cubo!$A$6:$BE$37,37,0)-VLOOKUP(B348,#REF!,$P$2,0),0)</f>
        <v>0</v>
      </c>
      <c r="Q348" s="8">
        <f>IFERROR(VLOOKUP(B348,cubo!$A$6:$BE$37,56,0)-VLOOKUP(B348,#REF!,$Q$2,0),0)</f>
        <v>0</v>
      </c>
      <c r="R348" s="9">
        <f>IFERROR(VLOOKUP(B348,cubo!$A$6:$BE$37,40,0)-VLOOKUP(B348,#REF!,$R$2,0),0)</f>
        <v>0</v>
      </c>
      <c r="S348" s="9">
        <f>IFERROR(VLOOKUP(B348,cubo!$A$6:$BE$37,43,0)-VLOOKUP(B348,#REF!,$S$2,0),0)</f>
        <v>0</v>
      </c>
      <c r="T348" s="9">
        <f>IFERROR(VLOOKUP(B348,cubo!$A$6:$BE$37,46,0)-VLOOKUP(B348,#REF!,$T$2,0),0)</f>
        <v>0</v>
      </c>
      <c r="U348" s="9">
        <f>IFERROR(VLOOKUP(B348,cubo!$A$6:$BE$37,51,0)-VLOOKUP(B348,#REF!,$U$2,0),0)</f>
        <v>0</v>
      </c>
      <c r="V348" s="9">
        <f>IFERROR(VLOOKUP(B348,cubo!$A$6:$BJ$37,60,0)-VLOOKUP(B348,#REF!,$V$2,0),0)</f>
        <v>0</v>
      </c>
      <c r="W348" s="9">
        <f>IFERROR(VLOOKUP(B348,cubo!$A$6:$BE$37,26,0)-VLOOKUP(B348,#REF!,$W$2,0),0)</f>
        <v>0</v>
      </c>
      <c r="X348" s="9">
        <f>IFERROR(VLOOKUP(B348,cubo!$A$6:$BE$37,20,0)-VLOOKUP(B348,#REF!,$X$2,0),0)</f>
        <v>0</v>
      </c>
      <c r="Y348" s="9">
        <f>IFERROR(VLOOKUP(B348,cubo!$A$6:$BE$37,21,0)-VLOOKUP(B348,#REF!,$Y$2,0),0)</f>
        <v>0</v>
      </c>
      <c r="Z348" s="9">
        <f>IFERROR(VLOOKUP(B348,cubo!$A$6:$BE$37,27,0)-VLOOKUP(B348,#REF!,$Z$2,0),0)</f>
        <v>0</v>
      </c>
      <c r="AA348" s="9">
        <f>IFERROR(VLOOKUP(B348,cubo!$A$6:$BE$37,28,0)-VLOOKUP(B348,#REF!,$AA$2,0),0)</f>
        <v>0</v>
      </c>
      <c r="AB348" s="9">
        <f>IFERROR(VLOOKUP(B348,cubo!$A$6:$BE$37,29,0)-VLOOKUP(B348,#REF!,$AB$2,0),0)</f>
        <v>0</v>
      </c>
      <c r="AC348" s="9">
        <f>IFERROR(VLOOKUP(B348,cubo!$A$6:$BE$37,30,0)-VLOOKUP(B348,#REF!,$AC$2,0),0)</f>
        <v>0</v>
      </c>
      <c r="AD348" s="9">
        <f>IFERROR(VLOOKUP(B348,cubo!$A$6:$BE$37,31,0)-VLOOKUP(B348,#REF!,$AD$2,0),0)</f>
        <v>0</v>
      </c>
      <c r="AE348" s="9">
        <f>IFERROR(VLOOKUP(B348,cubo!$A$6:$BE$37,35,0)-VLOOKUP(B348,#REF!,$AE$2,0),0)</f>
        <v>0</v>
      </c>
      <c r="AF348" s="9" cm="1">
        <f t="array" aca="1" ref="AF348" ca="1">IFERROR(rrPROCV(B348,cubo!$A$6:$BE$37,48,0)-VLOOKUP(B348,#REF!,$AF$2,0),0)</f>
        <v>0</v>
      </c>
      <c r="AG348" s="9">
        <f>IFERROR(VLOOKUP(B348,cubo!$A$6:$BE$37,49,0)-VLOOKUP(B348,#REF!,$AG$2,0),0)</f>
        <v>0</v>
      </c>
      <c r="AH348" s="9">
        <f>IFERROR(VLOOKUP(B348,cubo!$A$6:$BE$37,50,0)-VLOOKUP(B348,#REF!,$AH$2,0),0)</f>
        <v>0</v>
      </c>
      <c r="AI348" s="9">
        <f>IFERROR(VLOOKUP(B348,cubo!$A$6:$BE$37,51,0)-VLOOKUP(B348,#REF!,$AI$2,0),0)</f>
        <v>0</v>
      </c>
      <c r="AJ348" s="9">
        <f>IFERROR(VLOOKUP(B348,cubo!$A$6:$BI$116,62,0)-VLOOKUP(B348,#REF!,$AJ$2,0),0)</f>
        <v>0</v>
      </c>
      <c r="AK348" s="9">
        <f>IFERROR(VLOOKUP(B348,cubo!$A$6:$BJ$37,63,0)-VLOOKUP(B348,#REF!,$AK$2,0),0)</f>
        <v>0</v>
      </c>
      <c r="AL348" s="9">
        <f>IFERROR(VLOOKUP(B348,cubo!$A$6:$BE$37,58,0)-VLOOKUP(B348,#REF!,$AL$2,0),0)</f>
        <v>0</v>
      </c>
      <c r="AM348" s="9">
        <f>IFERROR(VLOOKUP(B348,cubo!$A$6:$BK$37,64,0)-VLOOKUP(B348,#REF!,$AM$2,0),0)</f>
        <v>0</v>
      </c>
      <c r="AN348" s="9">
        <f>IFERROR(VLOOKUP(B348,cubo!$A$6:$AN$37,41,0)-VLOOKUP(B348,#REF!,$AN$2,0),0)</f>
        <v>0</v>
      </c>
    </row>
    <row r="349" spans="2:40" x14ac:dyDescent="0.25">
      <c r="B349" s="7">
        <f>[1]salario!A348</f>
        <v>0</v>
      </c>
      <c r="C349" s="8">
        <f>[1]salario!C348</f>
        <v>0</v>
      </c>
      <c r="D349" s="9">
        <f>IFERROR(VLOOKUP(B349,cubo!$A$6:$BE$37,3,0)-VLOOKUP(B349,#REF!,$D$2,0),0)</f>
        <v>0</v>
      </c>
      <c r="E349" s="10">
        <f>IFERROR(VLOOKUP(B349,cubo!$A$6:$BE$37,5,0)-VLOOKUP(B349,#REF!,$E$2,0),0)</f>
        <v>0</v>
      </c>
      <c r="F349" s="10">
        <f>IFERROR(VLOOKUP(B349,cubo!$A$6:$BE$37,8,0)-VLOOKUP(B349,#REF!,$F$2,0),0)</f>
        <v>0</v>
      </c>
      <c r="G349" s="9">
        <f>IFERROR(VLOOKUP(B349,cubo!$A$6:$BE$37,11,0)-VLOOKUP(B349,#REF!,$G$2,0),0)</f>
        <v>0</v>
      </c>
      <c r="H349" s="9">
        <f>IFERROR(VLOOKUP(B349,cubo!$A$6:$BE$37,53,0)-VLOOKUP(B349,#REF!,$H$2,0),0)</f>
        <v>0</v>
      </c>
      <c r="I349" s="10">
        <f>IFERROR(VLOOKUP(B349,cubo!$A$6:$BE$37,14,0)-VLOOKUP(B349,#REF!,$I$2,0),0)</f>
        <v>0</v>
      </c>
      <c r="J349" s="9">
        <f>IFERROR(VLOOKUP(B349,cubo!$A$6:$BE$37,16,0)-VLOOKUP(B349,#REF!,$J$2,0),0)</f>
        <v>0</v>
      </c>
      <c r="K349" s="9">
        <f>IFERROR(VLOOKUP(B349,cubo!$A$6:$BE$37,17,0)-VLOOKUP(B349,#REF!,$K$2,0),0)</f>
        <v>0</v>
      </c>
      <c r="L349" s="9">
        <f>IFERROR(VLOOKUP(B349,cubo!$A$6:$BE$37,19,0)-VLOOKUP(B349,#REF!,$L$2,0),0)</f>
        <v>0</v>
      </c>
      <c r="M349" s="9">
        <f>IFERROR(VLOOKUP(B349,cubo!$A$6:$BE$37,23,0)-VLOOKUP(B349,#REF!,$M$2,0),0)</f>
        <v>0</v>
      </c>
      <c r="N349" s="9">
        <f>IFERROR(VLOOKUP(B349,cubo!$A$6:$BE$37,25,0)-VLOOKUP(B349,#REF!,$N$2,0),0)</f>
        <v>0</v>
      </c>
      <c r="O349" s="9">
        <f>IFERROR(VLOOKUP(B349,cubo!$A$6:$BE$37,33,0)-VLOOKUP(B349,#REF!,$O$2,0),0)</f>
        <v>0</v>
      </c>
      <c r="P349" s="8">
        <f>IFERROR(VLOOKUP(B349,cubo!$A$6:$BE$37,37,0)-VLOOKUP(B349,#REF!,$P$2,0),0)</f>
        <v>0</v>
      </c>
      <c r="Q349" s="8">
        <f>IFERROR(VLOOKUP(B349,cubo!$A$6:$BE$37,56,0)-VLOOKUP(B349,#REF!,$Q$2,0),0)</f>
        <v>0</v>
      </c>
      <c r="R349" s="9">
        <f>IFERROR(VLOOKUP(B349,cubo!$A$6:$BE$37,40,0)-VLOOKUP(B349,#REF!,$R$2,0),0)</f>
        <v>0</v>
      </c>
      <c r="S349" s="9">
        <f>IFERROR(VLOOKUP(B349,cubo!$A$6:$BE$37,43,0)-VLOOKUP(B349,#REF!,$S$2,0),0)</f>
        <v>0</v>
      </c>
      <c r="T349" s="9">
        <f>IFERROR(VLOOKUP(B349,cubo!$A$6:$BE$37,46,0)-VLOOKUP(B349,#REF!,$T$2,0),0)</f>
        <v>0</v>
      </c>
      <c r="U349" s="9">
        <f>IFERROR(VLOOKUP(B349,cubo!$A$6:$BE$37,51,0)-VLOOKUP(B349,#REF!,$U$2,0),0)</f>
        <v>0</v>
      </c>
      <c r="V349" s="9">
        <f>IFERROR(VLOOKUP(B349,cubo!$A$6:$BJ$37,60,0)-VLOOKUP(B349,#REF!,$V$2,0),0)</f>
        <v>0</v>
      </c>
      <c r="W349" s="9">
        <f>IFERROR(VLOOKUP(B349,cubo!$A$6:$BE$37,26,0)-VLOOKUP(B349,#REF!,$W$2,0),0)</f>
        <v>0</v>
      </c>
      <c r="X349" s="9">
        <f>IFERROR(VLOOKUP(B349,cubo!$A$6:$BE$37,20,0)-VLOOKUP(B349,#REF!,$X$2,0),0)</f>
        <v>0</v>
      </c>
      <c r="Y349" s="9">
        <f>IFERROR(VLOOKUP(B349,cubo!$A$6:$BE$37,21,0)-VLOOKUP(B349,#REF!,$Y$2,0),0)</f>
        <v>0</v>
      </c>
      <c r="Z349" s="9">
        <f>IFERROR(VLOOKUP(B349,cubo!$A$6:$BE$37,27,0)-VLOOKUP(B349,#REF!,$Z$2,0),0)</f>
        <v>0</v>
      </c>
      <c r="AA349" s="9">
        <f>IFERROR(VLOOKUP(B349,cubo!$A$6:$BE$37,28,0)-VLOOKUP(B349,#REF!,$AA$2,0),0)</f>
        <v>0</v>
      </c>
      <c r="AB349" s="9">
        <f>IFERROR(VLOOKUP(B349,cubo!$A$6:$BE$37,29,0)-VLOOKUP(B349,#REF!,$AB$2,0),0)</f>
        <v>0</v>
      </c>
      <c r="AC349" s="9">
        <f>IFERROR(VLOOKUP(B349,cubo!$A$6:$BE$37,30,0)-VLOOKUP(B349,#REF!,$AC$2,0),0)</f>
        <v>0</v>
      </c>
      <c r="AD349" s="9">
        <f>IFERROR(VLOOKUP(B349,cubo!$A$6:$BE$37,31,0)-VLOOKUP(B349,#REF!,$AD$2,0),0)</f>
        <v>0</v>
      </c>
      <c r="AE349" s="9">
        <f>IFERROR(VLOOKUP(B349,cubo!$A$6:$BE$37,35,0)-VLOOKUP(B349,#REF!,$AE$2,0),0)</f>
        <v>0</v>
      </c>
      <c r="AF349" s="9" cm="1">
        <f t="array" aca="1" ref="AF349" ca="1">IFERROR(rrPROCV(B349,cubo!$A$6:$BE$37,48,0)-VLOOKUP(B349,#REF!,$AF$2,0),0)</f>
        <v>0</v>
      </c>
      <c r="AG349" s="9">
        <f>IFERROR(VLOOKUP(B349,cubo!$A$6:$BE$37,49,0)-VLOOKUP(B349,#REF!,$AG$2,0),0)</f>
        <v>0</v>
      </c>
      <c r="AH349" s="9">
        <f>IFERROR(VLOOKUP(B349,cubo!$A$6:$BE$37,50,0)-VLOOKUP(B349,#REF!,$AH$2,0),0)</f>
        <v>0</v>
      </c>
      <c r="AI349" s="9">
        <f>IFERROR(VLOOKUP(B349,cubo!$A$6:$BE$37,51,0)-VLOOKUP(B349,#REF!,$AI$2,0),0)</f>
        <v>0</v>
      </c>
      <c r="AJ349" s="9">
        <f>IFERROR(VLOOKUP(B349,cubo!$A$6:$BI$116,62,0)-VLOOKUP(B349,#REF!,$AJ$2,0),0)</f>
        <v>0</v>
      </c>
      <c r="AK349" s="9">
        <f>IFERROR(VLOOKUP(B349,cubo!$A$6:$BJ$37,63,0)-VLOOKUP(B349,#REF!,$AK$2,0),0)</f>
        <v>0</v>
      </c>
      <c r="AL349" s="9">
        <f>IFERROR(VLOOKUP(B349,cubo!$A$6:$BE$37,58,0)-VLOOKUP(B349,#REF!,$AL$2,0),0)</f>
        <v>0</v>
      </c>
      <c r="AM349" s="9">
        <f>IFERROR(VLOOKUP(B349,cubo!$A$6:$BK$37,64,0)-VLOOKUP(B349,#REF!,$AM$2,0),0)</f>
        <v>0</v>
      </c>
      <c r="AN349" s="9">
        <f>IFERROR(VLOOKUP(B349,cubo!$A$6:$AN$37,41,0)-VLOOKUP(B349,#REF!,$AN$2,0),0)</f>
        <v>0</v>
      </c>
    </row>
    <row r="350" spans="2:40" x14ac:dyDescent="0.25">
      <c r="B350" s="7">
        <f>[1]salario!A349</f>
        <v>0</v>
      </c>
      <c r="C350" s="8">
        <f>[1]salario!C349</f>
        <v>0</v>
      </c>
      <c r="D350" s="9">
        <f>IFERROR(VLOOKUP(B350,cubo!$A$6:$BE$37,3,0)-VLOOKUP(B350,#REF!,$D$2,0),0)</f>
        <v>0</v>
      </c>
      <c r="E350" s="10">
        <f>IFERROR(VLOOKUP(B350,cubo!$A$6:$BE$37,5,0)-VLOOKUP(B350,#REF!,$E$2,0),0)</f>
        <v>0</v>
      </c>
      <c r="F350" s="10">
        <f>IFERROR(VLOOKUP(B350,cubo!$A$6:$BE$37,8,0)-VLOOKUP(B350,#REF!,$F$2,0),0)</f>
        <v>0</v>
      </c>
      <c r="G350" s="9">
        <f>IFERROR(VLOOKUP(B350,cubo!$A$6:$BE$37,11,0)-VLOOKUP(B350,#REF!,$G$2,0),0)</f>
        <v>0</v>
      </c>
      <c r="H350" s="9">
        <f>IFERROR(VLOOKUP(B350,cubo!$A$6:$BE$37,53,0)-VLOOKUP(B350,#REF!,$H$2,0),0)</f>
        <v>0</v>
      </c>
      <c r="I350" s="10">
        <f>IFERROR(VLOOKUP(B350,cubo!$A$6:$BE$37,14,0)-VLOOKUP(B350,#REF!,$I$2,0),0)</f>
        <v>0</v>
      </c>
      <c r="J350" s="9">
        <f>IFERROR(VLOOKUP(B350,cubo!$A$6:$BE$37,16,0)-VLOOKUP(B350,#REF!,$J$2,0),0)</f>
        <v>0</v>
      </c>
      <c r="K350" s="9">
        <f>IFERROR(VLOOKUP(B350,cubo!$A$6:$BE$37,17,0)-VLOOKUP(B350,#REF!,$K$2,0),0)</f>
        <v>0</v>
      </c>
      <c r="L350" s="9">
        <f>IFERROR(VLOOKUP(B350,cubo!$A$6:$BE$37,19,0)-VLOOKUP(B350,#REF!,$L$2,0),0)</f>
        <v>0</v>
      </c>
      <c r="M350" s="9">
        <f>IFERROR(VLOOKUP(B350,cubo!$A$6:$BE$37,23,0)-VLOOKUP(B350,#REF!,$M$2,0),0)</f>
        <v>0</v>
      </c>
      <c r="N350" s="9">
        <f>IFERROR(VLOOKUP(B350,cubo!$A$6:$BE$37,25,0)-VLOOKUP(B350,#REF!,$N$2,0),0)</f>
        <v>0</v>
      </c>
      <c r="O350" s="9">
        <f>IFERROR(VLOOKUP(B350,cubo!$A$6:$BE$37,33,0)-VLOOKUP(B350,#REF!,$O$2,0),0)</f>
        <v>0</v>
      </c>
      <c r="P350" s="8">
        <f>IFERROR(VLOOKUP(B350,cubo!$A$6:$BE$37,37,0)-VLOOKUP(B350,#REF!,$P$2,0),0)</f>
        <v>0</v>
      </c>
      <c r="Q350" s="8">
        <f>IFERROR(VLOOKUP(B350,cubo!$A$6:$BE$37,56,0)-VLOOKUP(B350,#REF!,$Q$2,0),0)</f>
        <v>0</v>
      </c>
      <c r="R350" s="9">
        <f>IFERROR(VLOOKUP(B350,cubo!$A$6:$BE$37,40,0)-VLOOKUP(B350,#REF!,$R$2,0),0)</f>
        <v>0</v>
      </c>
      <c r="S350" s="9">
        <f>IFERROR(VLOOKUP(B350,cubo!$A$6:$BE$37,43,0)-VLOOKUP(B350,#REF!,$S$2,0),0)</f>
        <v>0</v>
      </c>
      <c r="T350" s="9">
        <f>IFERROR(VLOOKUP(B350,cubo!$A$6:$BE$37,46,0)-VLOOKUP(B350,#REF!,$T$2,0),0)</f>
        <v>0</v>
      </c>
      <c r="U350" s="9">
        <f>IFERROR(VLOOKUP(B350,cubo!$A$6:$BE$37,51,0)-VLOOKUP(B350,#REF!,$U$2,0),0)</f>
        <v>0</v>
      </c>
      <c r="V350" s="9">
        <f>IFERROR(VLOOKUP(B350,cubo!$A$6:$BJ$37,60,0)-VLOOKUP(B350,#REF!,$V$2,0),0)</f>
        <v>0</v>
      </c>
      <c r="W350" s="9">
        <f>IFERROR(VLOOKUP(B350,cubo!$A$6:$BE$37,26,0)-VLOOKUP(B350,#REF!,$W$2,0),0)</f>
        <v>0</v>
      </c>
      <c r="X350" s="9">
        <f>IFERROR(VLOOKUP(B350,cubo!$A$6:$BE$37,20,0)-VLOOKUP(B350,#REF!,$X$2,0),0)</f>
        <v>0</v>
      </c>
      <c r="Y350" s="9">
        <f>IFERROR(VLOOKUP(B350,cubo!$A$6:$BE$37,21,0)-VLOOKUP(B350,#REF!,$Y$2,0),0)</f>
        <v>0</v>
      </c>
      <c r="Z350" s="9">
        <f>IFERROR(VLOOKUP(B350,cubo!$A$6:$BE$37,27,0)-VLOOKUP(B350,#REF!,$Z$2,0),0)</f>
        <v>0</v>
      </c>
      <c r="AA350" s="9">
        <f>IFERROR(VLOOKUP(B350,cubo!$A$6:$BE$37,28,0)-VLOOKUP(B350,#REF!,$AA$2,0),0)</f>
        <v>0</v>
      </c>
      <c r="AB350" s="9">
        <f>IFERROR(VLOOKUP(B350,cubo!$A$6:$BE$37,29,0)-VLOOKUP(B350,#REF!,$AB$2,0),0)</f>
        <v>0</v>
      </c>
      <c r="AC350" s="9">
        <f>IFERROR(VLOOKUP(B350,cubo!$A$6:$BE$37,30,0)-VLOOKUP(B350,#REF!,$AC$2,0),0)</f>
        <v>0</v>
      </c>
      <c r="AD350" s="9">
        <f>IFERROR(VLOOKUP(B350,cubo!$A$6:$BE$37,31,0)-VLOOKUP(B350,#REF!,$AD$2,0),0)</f>
        <v>0</v>
      </c>
      <c r="AE350" s="9">
        <f>IFERROR(VLOOKUP(B350,cubo!$A$6:$BE$37,35,0)-VLOOKUP(B350,#REF!,$AE$2,0),0)</f>
        <v>0</v>
      </c>
      <c r="AF350" s="9" cm="1">
        <f t="array" aca="1" ref="AF350" ca="1">IFERROR(rrPROCV(B350,cubo!$A$6:$BE$37,48,0)-VLOOKUP(B350,#REF!,$AF$2,0),0)</f>
        <v>0</v>
      </c>
      <c r="AG350" s="9">
        <f>IFERROR(VLOOKUP(B350,cubo!$A$6:$BE$37,49,0)-VLOOKUP(B350,#REF!,$AG$2,0),0)</f>
        <v>0</v>
      </c>
      <c r="AH350" s="9">
        <f>IFERROR(VLOOKUP(B350,cubo!$A$6:$BE$37,50,0)-VLOOKUP(B350,#REF!,$AH$2,0),0)</f>
        <v>0</v>
      </c>
      <c r="AI350" s="9">
        <f>IFERROR(VLOOKUP(B350,cubo!$A$6:$BE$37,51,0)-VLOOKUP(B350,#REF!,$AI$2,0),0)</f>
        <v>0</v>
      </c>
      <c r="AJ350" s="9">
        <f>IFERROR(VLOOKUP(B350,cubo!$A$6:$BI$116,62,0)-VLOOKUP(B350,#REF!,$AJ$2,0),0)</f>
        <v>0</v>
      </c>
      <c r="AK350" s="9">
        <f>IFERROR(VLOOKUP(B350,cubo!$A$6:$BJ$37,63,0)-VLOOKUP(B350,#REF!,$AK$2,0),0)</f>
        <v>0</v>
      </c>
      <c r="AL350" s="9">
        <f>IFERROR(VLOOKUP(B350,cubo!$A$6:$BE$37,58,0)-VLOOKUP(B350,#REF!,$AL$2,0),0)</f>
        <v>0</v>
      </c>
      <c r="AM350" s="9">
        <f>IFERROR(VLOOKUP(B350,cubo!$A$6:$BK$37,64,0)-VLOOKUP(B350,#REF!,$AM$2,0),0)</f>
        <v>0</v>
      </c>
      <c r="AN350" s="9">
        <f>IFERROR(VLOOKUP(B350,cubo!$A$6:$AN$37,41,0)-VLOOKUP(B350,#REF!,$AN$2,0),0)</f>
        <v>0</v>
      </c>
    </row>
    <row r="351" spans="2:40" x14ac:dyDescent="0.25">
      <c r="B351" s="7">
        <f>[1]salario!A350</f>
        <v>0</v>
      </c>
      <c r="C351" s="8">
        <f>[1]salario!C350</f>
        <v>0</v>
      </c>
      <c r="D351" s="9">
        <f>IFERROR(VLOOKUP(B351,cubo!$A$6:$BE$37,3,0)-VLOOKUP(B351,#REF!,$D$2,0),0)</f>
        <v>0</v>
      </c>
      <c r="E351" s="10">
        <f>IFERROR(VLOOKUP(B351,cubo!$A$6:$BE$37,5,0)-VLOOKUP(B351,#REF!,$E$2,0),0)</f>
        <v>0</v>
      </c>
      <c r="F351" s="10">
        <f>IFERROR(VLOOKUP(B351,cubo!$A$6:$BE$37,8,0)-VLOOKUP(B351,#REF!,$F$2,0),0)</f>
        <v>0</v>
      </c>
      <c r="G351" s="9">
        <f>IFERROR(VLOOKUP(B351,cubo!$A$6:$BE$37,11,0)-VLOOKUP(B351,#REF!,$G$2,0),0)</f>
        <v>0</v>
      </c>
      <c r="H351" s="9">
        <f>IFERROR(VLOOKUP(B351,cubo!$A$6:$BE$37,53,0)-VLOOKUP(B351,#REF!,$H$2,0),0)</f>
        <v>0</v>
      </c>
      <c r="I351" s="10">
        <f>IFERROR(VLOOKUP(B351,cubo!$A$6:$BE$37,14,0)-VLOOKUP(B351,#REF!,$I$2,0),0)</f>
        <v>0</v>
      </c>
      <c r="J351" s="9">
        <f>IFERROR(VLOOKUP(B351,cubo!$A$6:$BE$37,16,0)-VLOOKUP(B351,#REF!,$J$2,0),0)</f>
        <v>0</v>
      </c>
      <c r="K351" s="9">
        <f>IFERROR(VLOOKUP(B351,cubo!$A$6:$BE$37,17,0)-VLOOKUP(B351,#REF!,$K$2,0),0)</f>
        <v>0</v>
      </c>
      <c r="L351" s="9">
        <f>IFERROR(VLOOKUP(B351,cubo!$A$6:$BE$37,19,0)-VLOOKUP(B351,#REF!,$L$2,0),0)</f>
        <v>0</v>
      </c>
      <c r="M351" s="9">
        <f>IFERROR(VLOOKUP(B351,cubo!$A$6:$BE$37,23,0)-VLOOKUP(B351,#REF!,$M$2,0),0)</f>
        <v>0</v>
      </c>
      <c r="N351" s="9">
        <f>IFERROR(VLOOKUP(B351,cubo!$A$6:$BE$37,25,0)-VLOOKUP(B351,#REF!,$N$2,0),0)</f>
        <v>0</v>
      </c>
      <c r="O351" s="9">
        <f>IFERROR(VLOOKUP(B351,cubo!$A$6:$BE$37,33,0)-VLOOKUP(B351,#REF!,$O$2,0),0)</f>
        <v>0</v>
      </c>
      <c r="P351" s="8">
        <f>IFERROR(VLOOKUP(B351,cubo!$A$6:$BE$37,37,0)-VLOOKUP(B351,#REF!,$P$2,0),0)</f>
        <v>0</v>
      </c>
      <c r="Q351" s="8">
        <f>IFERROR(VLOOKUP(B351,cubo!$A$6:$BE$37,56,0)-VLOOKUP(B351,#REF!,$Q$2,0),0)</f>
        <v>0</v>
      </c>
      <c r="R351" s="9">
        <f>IFERROR(VLOOKUP(B351,cubo!$A$6:$BE$37,40,0)-VLOOKUP(B351,#REF!,$R$2,0),0)</f>
        <v>0</v>
      </c>
      <c r="S351" s="9">
        <f>IFERROR(VLOOKUP(B351,cubo!$A$6:$BE$37,43,0)-VLOOKUP(B351,#REF!,$S$2,0),0)</f>
        <v>0</v>
      </c>
      <c r="T351" s="9">
        <f>IFERROR(VLOOKUP(B351,cubo!$A$6:$BE$37,46,0)-VLOOKUP(B351,#REF!,$T$2,0),0)</f>
        <v>0</v>
      </c>
      <c r="U351" s="9">
        <f>IFERROR(VLOOKUP(B351,cubo!$A$6:$BE$37,51,0)-VLOOKUP(B351,#REF!,$U$2,0),0)</f>
        <v>0</v>
      </c>
      <c r="V351" s="9">
        <f>IFERROR(VLOOKUP(B351,cubo!$A$6:$BJ$37,60,0)-VLOOKUP(B351,#REF!,$V$2,0),0)</f>
        <v>0</v>
      </c>
      <c r="W351" s="9">
        <f>IFERROR(VLOOKUP(B351,cubo!$A$6:$BE$37,26,0)-VLOOKUP(B351,#REF!,$W$2,0),0)</f>
        <v>0</v>
      </c>
      <c r="X351" s="9">
        <f>IFERROR(VLOOKUP(B351,cubo!$A$6:$BE$37,20,0)-VLOOKUP(B351,#REF!,$X$2,0),0)</f>
        <v>0</v>
      </c>
      <c r="Y351" s="9">
        <f>IFERROR(VLOOKUP(B351,cubo!$A$6:$BE$37,21,0)-VLOOKUP(B351,#REF!,$Y$2,0),0)</f>
        <v>0</v>
      </c>
      <c r="Z351" s="9">
        <f>IFERROR(VLOOKUP(B351,cubo!$A$6:$BE$37,27,0)-VLOOKUP(B351,#REF!,$Z$2,0),0)</f>
        <v>0</v>
      </c>
      <c r="AA351" s="9">
        <f>IFERROR(VLOOKUP(B351,cubo!$A$6:$BE$37,28,0)-VLOOKUP(B351,#REF!,$AA$2,0),0)</f>
        <v>0</v>
      </c>
      <c r="AB351" s="9">
        <f>IFERROR(VLOOKUP(B351,cubo!$A$6:$BE$37,29,0)-VLOOKUP(B351,#REF!,$AB$2,0),0)</f>
        <v>0</v>
      </c>
      <c r="AC351" s="9">
        <f>IFERROR(VLOOKUP(B351,cubo!$A$6:$BE$37,30,0)-VLOOKUP(B351,#REF!,$AC$2,0),0)</f>
        <v>0</v>
      </c>
      <c r="AD351" s="9">
        <f>IFERROR(VLOOKUP(B351,cubo!$A$6:$BE$37,31,0)-VLOOKUP(B351,#REF!,$AD$2,0),0)</f>
        <v>0</v>
      </c>
      <c r="AE351" s="9">
        <f>IFERROR(VLOOKUP(B351,cubo!$A$6:$BE$37,35,0)-VLOOKUP(B351,#REF!,$AE$2,0),0)</f>
        <v>0</v>
      </c>
      <c r="AF351" s="9" cm="1">
        <f t="array" aca="1" ref="AF351" ca="1">IFERROR(rrPROCV(B351,cubo!$A$6:$BE$37,48,0)-VLOOKUP(B351,#REF!,$AF$2,0),0)</f>
        <v>0</v>
      </c>
      <c r="AG351" s="9">
        <f>IFERROR(VLOOKUP(B351,cubo!$A$6:$BE$37,49,0)-VLOOKUP(B351,#REF!,$AG$2,0),0)</f>
        <v>0</v>
      </c>
      <c r="AH351" s="9">
        <f>IFERROR(VLOOKUP(B351,cubo!$A$6:$BE$37,50,0)-VLOOKUP(B351,#REF!,$AH$2,0),0)</f>
        <v>0</v>
      </c>
      <c r="AI351" s="9">
        <f>IFERROR(VLOOKUP(B351,cubo!$A$6:$BE$37,51,0)-VLOOKUP(B351,#REF!,$AI$2,0),0)</f>
        <v>0</v>
      </c>
      <c r="AJ351" s="9">
        <f>IFERROR(VLOOKUP(B351,cubo!$A$6:$BI$116,62,0)-VLOOKUP(B351,#REF!,$AJ$2,0),0)</f>
        <v>0</v>
      </c>
      <c r="AK351" s="9">
        <f>IFERROR(VLOOKUP(B351,cubo!$A$6:$BJ$37,63,0)-VLOOKUP(B351,#REF!,$AK$2,0),0)</f>
        <v>0</v>
      </c>
      <c r="AL351" s="9">
        <f>IFERROR(VLOOKUP(B351,cubo!$A$6:$BE$37,58,0)-VLOOKUP(B351,#REF!,$AL$2,0),0)</f>
        <v>0</v>
      </c>
      <c r="AM351" s="9">
        <f>IFERROR(VLOOKUP(B351,cubo!$A$6:$BK$37,64,0)-VLOOKUP(B351,#REF!,$AM$2,0),0)</f>
        <v>0</v>
      </c>
      <c r="AN351" s="9">
        <f>IFERROR(VLOOKUP(B351,cubo!$A$6:$AN$37,41,0)-VLOOKUP(B351,#REF!,$AN$2,0),0)</f>
        <v>0</v>
      </c>
    </row>
    <row r="352" spans="2:40" x14ac:dyDescent="0.25">
      <c r="B352" s="7">
        <f>[1]salario!A351</f>
        <v>0</v>
      </c>
      <c r="C352" s="8">
        <f>[1]salario!C351</f>
        <v>0</v>
      </c>
      <c r="D352" s="9">
        <f>IFERROR(VLOOKUP(B352,cubo!$A$6:$BE$37,3,0)-VLOOKUP(B352,#REF!,$D$2,0),0)</f>
        <v>0</v>
      </c>
      <c r="E352" s="10">
        <f>IFERROR(VLOOKUP(B352,cubo!$A$6:$BE$37,5,0)-VLOOKUP(B352,#REF!,$E$2,0),0)</f>
        <v>0</v>
      </c>
      <c r="F352" s="10">
        <f>IFERROR(VLOOKUP(B352,cubo!$A$6:$BE$37,8,0)-VLOOKUP(B352,#REF!,$F$2,0),0)</f>
        <v>0</v>
      </c>
      <c r="G352" s="9">
        <f>IFERROR(VLOOKUP(B352,cubo!$A$6:$BE$37,11,0)-VLOOKUP(B352,#REF!,$G$2,0),0)</f>
        <v>0</v>
      </c>
      <c r="H352" s="9">
        <f>IFERROR(VLOOKUP(B352,cubo!$A$6:$BE$37,53,0)-VLOOKUP(B352,#REF!,$H$2,0),0)</f>
        <v>0</v>
      </c>
      <c r="I352" s="10">
        <f>IFERROR(VLOOKUP(B352,cubo!$A$6:$BE$37,14,0)-VLOOKUP(B352,#REF!,$I$2,0),0)</f>
        <v>0</v>
      </c>
      <c r="J352" s="9">
        <f>IFERROR(VLOOKUP(B352,cubo!$A$6:$BE$37,16,0)-VLOOKUP(B352,#REF!,$J$2,0),0)</f>
        <v>0</v>
      </c>
      <c r="K352" s="9">
        <f>IFERROR(VLOOKUP(B352,cubo!$A$6:$BE$37,17,0)-VLOOKUP(B352,#REF!,$K$2,0),0)</f>
        <v>0</v>
      </c>
      <c r="L352" s="9">
        <f>IFERROR(VLOOKUP(B352,cubo!$A$6:$BE$37,19,0)-VLOOKUP(B352,#REF!,$L$2,0),0)</f>
        <v>0</v>
      </c>
      <c r="M352" s="9">
        <f>IFERROR(VLOOKUP(B352,cubo!$A$6:$BE$37,23,0)-VLOOKUP(B352,#REF!,$M$2,0),0)</f>
        <v>0</v>
      </c>
      <c r="N352" s="9">
        <f>IFERROR(VLOOKUP(B352,cubo!$A$6:$BE$37,25,0)-VLOOKUP(B352,#REF!,$N$2,0),0)</f>
        <v>0</v>
      </c>
      <c r="O352" s="9">
        <f>IFERROR(VLOOKUP(B352,cubo!$A$6:$BE$37,33,0)-VLOOKUP(B352,#REF!,$O$2,0),0)</f>
        <v>0</v>
      </c>
      <c r="P352" s="8">
        <f>IFERROR(VLOOKUP(B352,cubo!$A$6:$BE$37,37,0)-VLOOKUP(B352,#REF!,$P$2,0),0)</f>
        <v>0</v>
      </c>
      <c r="Q352" s="8">
        <f>IFERROR(VLOOKUP(B352,cubo!$A$6:$BE$37,56,0)-VLOOKUP(B352,#REF!,$Q$2,0),0)</f>
        <v>0</v>
      </c>
      <c r="R352" s="9">
        <f>IFERROR(VLOOKUP(B352,cubo!$A$6:$BE$37,40,0)-VLOOKUP(B352,#REF!,$R$2,0),0)</f>
        <v>0</v>
      </c>
      <c r="S352" s="9">
        <f>IFERROR(VLOOKUP(B352,cubo!$A$6:$BE$37,43,0)-VLOOKUP(B352,#REF!,$S$2,0),0)</f>
        <v>0</v>
      </c>
      <c r="T352" s="9">
        <f>IFERROR(VLOOKUP(B352,cubo!$A$6:$BE$37,46,0)-VLOOKUP(B352,#REF!,$T$2,0),0)</f>
        <v>0</v>
      </c>
      <c r="U352" s="9">
        <f>IFERROR(VLOOKUP(B352,cubo!$A$6:$BE$37,51,0)-VLOOKUP(B352,#REF!,$U$2,0),0)</f>
        <v>0</v>
      </c>
      <c r="V352" s="9">
        <f>IFERROR(VLOOKUP(B352,cubo!$A$6:$BJ$37,60,0)-VLOOKUP(B352,#REF!,$V$2,0),0)</f>
        <v>0</v>
      </c>
      <c r="W352" s="9">
        <f>IFERROR(VLOOKUP(B352,cubo!$A$6:$BE$37,26,0)-VLOOKUP(B352,#REF!,$W$2,0),0)</f>
        <v>0</v>
      </c>
      <c r="X352" s="9">
        <f>IFERROR(VLOOKUP(B352,cubo!$A$6:$BE$37,20,0)-VLOOKUP(B352,#REF!,$X$2,0),0)</f>
        <v>0</v>
      </c>
      <c r="Y352" s="9">
        <f>IFERROR(VLOOKUP(B352,cubo!$A$6:$BE$37,21,0)-VLOOKUP(B352,#REF!,$Y$2,0),0)</f>
        <v>0</v>
      </c>
      <c r="Z352" s="9">
        <f>IFERROR(VLOOKUP(B352,cubo!$A$6:$BE$37,27,0)-VLOOKUP(B352,#REF!,$Z$2,0),0)</f>
        <v>0</v>
      </c>
      <c r="AA352" s="9">
        <f>IFERROR(VLOOKUP(B352,cubo!$A$6:$BE$37,28,0)-VLOOKUP(B352,#REF!,$AA$2,0),0)</f>
        <v>0</v>
      </c>
      <c r="AB352" s="9">
        <f>IFERROR(VLOOKUP(B352,cubo!$A$6:$BE$37,29,0)-VLOOKUP(B352,#REF!,$AB$2,0),0)</f>
        <v>0</v>
      </c>
      <c r="AC352" s="9">
        <f>IFERROR(VLOOKUP(B352,cubo!$A$6:$BE$37,30,0)-VLOOKUP(B352,#REF!,$AC$2,0),0)</f>
        <v>0</v>
      </c>
      <c r="AD352" s="9">
        <f>IFERROR(VLOOKUP(B352,cubo!$A$6:$BE$37,31,0)-VLOOKUP(B352,#REF!,$AD$2,0),0)</f>
        <v>0</v>
      </c>
      <c r="AE352" s="9">
        <f>IFERROR(VLOOKUP(B352,cubo!$A$6:$BE$37,35,0)-VLOOKUP(B352,#REF!,$AE$2,0),0)</f>
        <v>0</v>
      </c>
      <c r="AF352" s="9" cm="1">
        <f t="array" aca="1" ref="AF352" ca="1">IFERROR(rrPROCV(B352,cubo!$A$6:$BE$37,48,0)-VLOOKUP(B352,#REF!,$AF$2,0),0)</f>
        <v>0</v>
      </c>
      <c r="AG352" s="9">
        <f>IFERROR(VLOOKUP(B352,cubo!$A$6:$BE$37,49,0)-VLOOKUP(B352,#REF!,$AG$2,0),0)</f>
        <v>0</v>
      </c>
      <c r="AH352" s="9">
        <f>IFERROR(VLOOKUP(B352,cubo!$A$6:$BE$37,50,0)-VLOOKUP(B352,#REF!,$AH$2,0),0)</f>
        <v>0</v>
      </c>
      <c r="AI352" s="9">
        <f>IFERROR(VLOOKUP(B352,cubo!$A$6:$BE$37,51,0)-VLOOKUP(B352,#REF!,$AI$2,0),0)</f>
        <v>0</v>
      </c>
      <c r="AJ352" s="9">
        <f>IFERROR(VLOOKUP(B352,cubo!$A$6:$BI$116,62,0)-VLOOKUP(B352,#REF!,$AJ$2,0),0)</f>
        <v>0</v>
      </c>
      <c r="AK352" s="9">
        <f>IFERROR(VLOOKUP(B352,cubo!$A$6:$BJ$37,63,0)-VLOOKUP(B352,#REF!,$AK$2,0),0)</f>
        <v>0</v>
      </c>
      <c r="AL352" s="9">
        <f>IFERROR(VLOOKUP(B352,cubo!$A$6:$BE$37,58,0)-VLOOKUP(B352,#REF!,$AL$2,0),0)</f>
        <v>0</v>
      </c>
      <c r="AM352" s="9">
        <f>IFERROR(VLOOKUP(B352,cubo!$A$6:$BK$37,64,0)-VLOOKUP(B352,#REF!,$AM$2,0),0)</f>
        <v>0</v>
      </c>
      <c r="AN352" s="9">
        <f>IFERROR(VLOOKUP(B352,cubo!$A$6:$AN$37,41,0)-VLOOKUP(B352,#REF!,$AN$2,0),0)</f>
        <v>0</v>
      </c>
    </row>
    <row r="353" spans="2:40" x14ac:dyDescent="0.25">
      <c r="B353" s="7">
        <f>[1]salario!A352</f>
        <v>0</v>
      </c>
      <c r="C353" s="8">
        <f>[1]salario!C352</f>
        <v>0</v>
      </c>
      <c r="D353" s="9">
        <f>IFERROR(VLOOKUP(B353,cubo!$A$6:$BE$37,3,0)-VLOOKUP(B353,#REF!,$D$2,0),0)</f>
        <v>0</v>
      </c>
      <c r="E353" s="10">
        <f>IFERROR(VLOOKUP(B353,cubo!$A$6:$BE$37,5,0)-VLOOKUP(B353,#REF!,$E$2,0),0)</f>
        <v>0</v>
      </c>
      <c r="F353" s="10">
        <f>IFERROR(VLOOKUP(B353,cubo!$A$6:$BE$37,8,0)-VLOOKUP(B353,#REF!,$F$2,0),0)</f>
        <v>0</v>
      </c>
      <c r="G353" s="9">
        <f>IFERROR(VLOOKUP(B353,cubo!$A$6:$BE$37,11,0)-VLOOKUP(B353,#REF!,$G$2,0),0)</f>
        <v>0</v>
      </c>
      <c r="H353" s="9">
        <f>IFERROR(VLOOKUP(B353,cubo!$A$6:$BE$37,53,0)-VLOOKUP(B353,#REF!,$H$2,0),0)</f>
        <v>0</v>
      </c>
      <c r="I353" s="10">
        <f>IFERROR(VLOOKUP(B353,cubo!$A$6:$BE$37,14,0)-VLOOKUP(B353,#REF!,$I$2,0),0)</f>
        <v>0</v>
      </c>
      <c r="J353" s="9">
        <f>IFERROR(VLOOKUP(B353,cubo!$A$6:$BE$37,16,0)-VLOOKUP(B353,#REF!,$J$2,0),0)</f>
        <v>0</v>
      </c>
      <c r="K353" s="9">
        <f>IFERROR(VLOOKUP(B353,cubo!$A$6:$BE$37,17,0)-VLOOKUP(B353,#REF!,$K$2,0),0)</f>
        <v>0</v>
      </c>
      <c r="L353" s="9">
        <f>IFERROR(VLOOKUP(B353,cubo!$A$6:$BE$37,19,0)-VLOOKUP(B353,#REF!,$L$2,0),0)</f>
        <v>0</v>
      </c>
      <c r="M353" s="9">
        <f>IFERROR(VLOOKUP(B353,cubo!$A$6:$BE$37,23,0)-VLOOKUP(B353,#REF!,$M$2,0),0)</f>
        <v>0</v>
      </c>
      <c r="N353" s="9">
        <f>IFERROR(VLOOKUP(B353,cubo!$A$6:$BE$37,25,0)-VLOOKUP(B353,#REF!,$N$2,0),0)</f>
        <v>0</v>
      </c>
      <c r="O353" s="9">
        <f>IFERROR(VLOOKUP(B353,cubo!$A$6:$BE$37,33,0)-VLOOKUP(B353,#REF!,$O$2,0),0)</f>
        <v>0</v>
      </c>
      <c r="P353" s="8">
        <f>IFERROR(VLOOKUP(B353,cubo!$A$6:$BE$37,37,0)-VLOOKUP(B353,#REF!,$P$2,0),0)</f>
        <v>0</v>
      </c>
      <c r="Q353" s="8">
        <f>IFERROR(VLOOKUP(B353,cubo!$A$6:$BE$37,56,0)-VLOOKUP(B353,#REF!,$Q$2,0),0)</f>
        <v>0</v>
      </c>
      <c r="R353" s="9">
        <f>IFERROR(VLOOKUP(B353,cubo!$A$6:$BE$37,40,0)-VLOOKUP(B353,#REF!,$R$2,0),0)</f>
        <v>0</v>
      </c>
      <c r="S353" s="9">
        <f>IFERROR(VLOOKUP(B353,cubo!$A$6:$BE$37,43,0)-VLOOKUP(B353,#REF!,$S$2,0),0)</f>
        <v>0</v>
      </c>
      <c r="T353" s="9">
        <f>IFERROR(VLOOKUP(B353,cubo!$A$6:$BE$37,46,0)-VLOOKUP(B353,#REF!,$T$2,0),0)</f>
        <v>0</v>
      </c>
      <c r="U353" s="9">
        <f>IFERROR(VLOOKUP(B353,cubo!$A$6:$BE$37,51,0)-VLOOKUP(B353,#REF!,$U$2,0),0)</f>
        <v>0</v>
      </c>
      <c r="V353" s="9">
        <f>IFERROR(VLOOKUP(B353,cubo!$A$6:$BJ$37,60,0)-VLOOKUP(B353,#REF!,$V$2,0),0)</f>
        <v>0</v>
      </c>
      <c r="W353" s="9">
        <f>IFERROR(VLOOKUP(B353,cubo!$A$6:$BE$37,26,0)-VLOOKUP(B353,#REF!,$W$2,0),0)</f>
        <v>0</v>
      </c>
      <c r="X353" s="9">
        <f>IFERROR(VLOOKUP(B353,cubo!$A$6:$BE$37,20,0)-VLOOKUP(B353,#REF!,$X$2,0),0)</f>
        <v>0</v>
      </c>
      <c r="Y353" s="9">
        <f>IFERROR(VLOOKUP(B353,cubo!$A$6:$BE$37,21,0)-VLOOKUP(B353,#REF!,$Y$2,0),0)</f>
        <v>0</v>
      </c>
      <c r="Z353" s="9">
        <f>IFERROR(VLOOKUP(B353,cubo!$A$6:$BE$37,27,0)-VLOOKUP(B353,#REF!,$Z$2,0),0)</f>
        <v>0</v>
      </c>
      <c r="AA353" s="9">
        <f>IFERROR(VLOOKUP(B353,cubo!$A$6:$BE$37,28,0)-VLOOKUP(B353,#REF!,$AA$2,0),0)</f>
        <v>0</v>
      </c>
      <c r="AB353" s="9">
        <f>IFERROR(VLOOKUP(B353,cubo!$A$6:$BE$37,29,0)-VLOOKUP(B353,#REF!,$AB$2,0),0)</f>
        <v>0</v>
      </c>
      <c r="AC353" s="9">
        <f>IFERROR(VLOOKUP(B353,cubo!$A$6:$BE$37,30,0)-VLOOKUP(B353,#REF!,$AC$2,0),0)</f>
        <v>0</v>
      </c>
      <c r="AD353" s="9">
        <f>IFERROR(VLOOKUP(B353,cubo!$A$6:$BE$37,31,0)-VLOOKUP(B353,#REF!,$AD$2,0),0)</f>
        <v>0</v>
      </c>
      <c r="AE353" s="9">
        <f>IFERROR(VLOOKUP(B353,cubo!$A$6:$BE$37,35,0)-VLOOKUP(B353,#REF!,$AE$2,0),0)</f>
        <v>0</v>
      </c>
      <c r="AF353" s="9" cm="1">
        <f t="array" aca="1" ref="AF353" ca="1">IFERROR(rrPROCV(B353,cubo!$A$6:$BE$37,48,0)-VLOOKUP(B353,#REF!,$AF$2,0),0)</f>
        <v>0</v>
      </c>
      <c r="AG353" s="9">
        <f>IFERROR(VLOOKUP(B353,cubo!$A$6:$BE$37,49,0)-VLOOKUP(B353,#REF!,$AG$2,0),0)</f>
        <v>0</v>
      </c>
      <c r="AH353" s="9">
        <f>IFERROR(VLOOKUP(B353,cubo!$A$6:$BE$37,50,0)-VLOOKUP(B353,#REF!,$AH$2,0),0)</f>
        <v>0</v>
      </c>
      <c r="AI353" s="9">
        <f>IFERROR(VLOOKUP(B353,cubo!$A$6:$BE$37,51,0)-VLOOKUP(B353,#REF!,$AI$2,0),0)</f>
        <v>0</v>
      </c>
      <c r="AJ353" s="9">
        <f>IFERROR(VLOOKUP(B353,cubo!$A$6:$BI$116,62,0)-VLOOKUP(B353,#REF!,$AJ$2,0),0)</f>
        <v>0</v>
      </c>
      <c r="AK353" s="9">
        <f>IFERROR(VLOOKUP(B353,cubo!$A$6:$BJ$37,63,0)-VLOOKUP(B353,#REF!,$AK$2,0),0)</f>
        <v>0</v>
      </c>
      <c r="AL353" s="9">
        <f>IFERROR(VLOOKUP(B353,cubo!$A$6:$BE$37,58,0)-VLOOKUP(B353,#REF!,$AL$2,0),0)</f>
        <v>0</v>
      </c>
      <c r="AM353" s="9">
        <f>IFERROR(VLOOKUP(B353,cubo!$A$6:$BK$37,64,0)-VLOOKUP(B353,#REF!,$AM$2,0),0)</f>
        <v>0</v>
      </c>
      <c r="AN353" s="9">
        <f>IFERROR(VLOOKUP(B353,cubo!$A$6:$AN$37,41,0)-VLOOKUP(B353,#REF!,$AN$2,0),0)</f>
        <v>0</v>
      </c>
    </row>
    <row r="354" spans="2:40" x14ac:dyDescent="0.25">
      <c r="B354" s="7">
        <f>[1]salario!A353</f>
        <v>0</v>
      </c>
      <c r="C354" s="8">
        <f>[1]salario!C353</f>
        <v>0</v>
      </c>
      <c r="D354" s="9">
        <f>IFERROR(VLOOKUP(B354,cubo!$A$6:$BE$37,3,0)-VLOOKUP(B354,#REF!,$D$2,0),0)</f>
        <v>0</v>
      </c>
      <c r="E354" s="10">
        <f>IFERROR(VLOOKUP(B354,cubo!$A$6:$BE$37,5,0)-VLOOKUP(B354,#REF!,$E$2,0),0)</f>
        <v>0</v>
      </c>
      <c r="F354" s="10">
        <f>IFERROR(VLOOKUP(B354,cubo!$A$6:$BE$37,8,0)-VLOOKUP(B354,#REF!,$F$2,0),0)</f>
        <v>0</v>
      </c>
      <c r="G354" s="9">
        <f>IFERROR(VLOOKUP(B354,cubo!$A$6:$BE$37,11,0)-VLOOKUP(B354,#REF!,$G$2,0),0)</f>
        <v>0</v>
      </c>
      <c r="H354" s="9">
        <f>IFERROR(VLOOKUP(B354,cubo!$A$6:$BE$37,53,0)-VLOOKUP(B354,#REF!,$H$2,0),0)</f>
        <v>0</v>
      </c>
      <c r="I354" s="10">
        <f>IFERROR(VLOOKUP(B354,cubo!$A$6:$BE$37,14,0)-VLOOKUP(B354,#REF!,$I$2,0),0)</f>
        <v>0</v>
      </c>
      <c r="J354" s="9">
        <f>IFERROR(VLOOKUP(B354,cubo!$A$6:$BE$37,16,0)-VLOOKUP(B354,#REF!,$J$2,0),0)</f>
        <v>0</v>
      </c>
      <c r="K354" s="9">
        <f>IFERROR(VLOOKUP(B354,cubo!$A$6:$BE$37,17,0)-VLOOKUP(B354,#REF!,$K$2,0),0)</f>
        <v>0</v>
      </c>
      <c r="L354" s="9">
        <f>IFERROR(VLOOKUP(B354,cubo!$A$6:$BE$37,19,0)-VLOOKUP(B354,#REF!,$L$2,0),0)</f>
        <v>0</v>
      </c>
      <c r="M354" s="9">
        <f>IFERROR(VLOOKUP(B354,cubo!$A$6:$BE$37,23,0)-VLOOKUP(B354,#REF!,$M$2,0),0)</f>
        <v>0</v>
      </c>
      <c r="N354" s="9">
        <f>IFERROR(VLOOKUP(B354,cubo!$A$6:$BE$37,25,0)-VLOOKUP(B354,#REF!,$N$2,0),0)</f>
        <v>0</v>
      </c>
      <c r="O354" s="9">
        <f>IFERROR(VLOOKUP(B354,cubo!$A$6:$BE$37,33,0)-VLOOKUP(B354,#REF!,$O$2,0),0)</f>
        <v>0</v>
      </c>
      <c r="P354" s="8">
        <f>IFERROR(VLOOKUP(B354,cubo!$A$6:$BE$37,37,0)-VLOOKUP(B354,#REF!,$P$2,0),0)</f>
        <v>0</v>
      </c>
      <c r="Q354" s="8">
        <f>IFERROR(VLOOKUP(B354,cubo!$A$6:$BE$37,56,0)-VLOOKUP(B354,#REF!,$Q$2,0),0)</f>
        <v>0</v>
      </c>
      <c r="R354" s="9">
        <f>IFERROR(VLOOKUP(B354,cubo!$A$6:$BE$37,40,0)-VLOOKUP(B354,#REF!,$R$2,0),0)</f>
        <v>0</v>
      </c>
      <c r="S354" s="9">
        <f>IFERROR(VLOOKUP(B354,cubo!$A$6:$BE$37,43,0)-VLOOKUP(B354,#REF!,$S$2,0),0)</f>
        <v>0</v>
      </c>
      <c r="T354" s="9">
        <f>IFERROR(VLOOKUP(B354,cubo!$A$6:$BE$37,46,0)-VLOOKUP(B354,#REF!,$T$2,0),0)</f>
        <v>0</v>
      </c>
      <c r="U354" s="9">
        <f>IFERROR(VLOOKUP(B354,cubo!$A$6:$BE$37,51,0)-VLOOKUP(B354,#REF!,$U$2,0),0)</f>
        <v>0</v>
      </c>
      <c r="V354" s="9">
        <f>IFERROR(VLOOKUP(B354,cubo!$A$6:$BJ$37,60,0)-VLOOKUP(B354,#REF!,$V$2,0),0)</f>
        <v>0</v>
      </c>
      <c r="W354" s="9">
        <f>IFERROR(VLOOKUP(B354,cubo!$A$6:$BE$37,26,0)-VLOOKUP(B354,#REF!,$W$2,0),0)</f>
        <v>0</v>
      </c>
      <c r="X354" s="9">
        <f>IFERROR(VLOOKUP(B354,cubo!$A$6:$BE$37,20,0)-VLOOKUP(B354,#REF!,$X$2,0),0)</f>
        <v>0</v>
      </c>
      <c r="Y354" s="9">
        <f>IFERROR(VLOOKUP(B354,cubo!$A$6:$BE$37,21,0)-VLOOKUP(B354,#REF!,$Y$2,0),0)</f>
        <v>0</v>
      </c>
      <c r="Z354" s="9">
        <f>IFERROR(VLOOKUP(B354,cubo!$A$6:$BE$37,27,0)-VLOOKUP(B354,#REF!,$Z$2,0),0)</f>
        <v>0</v>
      </c>
      <c r="AA354" s="9">
        <f>IFERROR(VLOOKUP(B354,cubo!$A$6:$BE$37,28,0)-VLOOKUP(B354,#REF!,$AA$2,0),0)</f>
        <v>0</v>
      </c>
      <c r="AB354" s="9">
        <f>IFERROR(VLOOKUP(B354,cubo!$A$6:$BE$37,29,0)-VLOOKUP(B354,#REF!,$AB$2,0),0)</f>
        <v>0</v>
      </c>
      <c r="AC354" s="9">
        <f>IFERROR(VLOOKUP(B354,cubo!$A$6:$BE$37,30,0)-VLOOKUP(B354,#REF!,$AC$2,0),0)</f>
        <v>0</v>
      </c>
      <c r="AD354" s="9">
        <f>IFERROR(VLOOKUP(B354,cubo!$A$6:$BE$37,31,0)-VLOOKUP(B354,#REF!,$AD$2,0),0)</f>
        <v>0</v>
      </c>
      <c r="AE354" s="9">
        <f>IFERROR(VLOOKUP(B354,cubo!$A$6:$BE$37,35,0)-VLOOKUP(B354,#REF!,$AE$2,0),0)</f>
        <v>0</v>
      </c>
      <c r="AF354" s="9" cm="1">
        <f t="array" aca="1" ref="AF354" ca="1">IFERROR(rrPROCV(B354,cubo!$A$6:$BE$37,48,0)-VLOOKUP(B354,#REF!,$AF$2,0),0)</f>
        <v>0</v>
      </c>
      <c r="AG354" s="9">
        <f>IFERROR(VLOOKUP(B354,cubo!$A$6:$BE$37,49,0)-VLOOKUP(B354,#REF!,$AG$2,0),0)</f>
        <v>0</v>
      </c>
      <c r="AH354" s="9">
        <f>IFERROR(VLOOKUP(B354,cubo!$A$6:$BE$37,50,0)-VLOOKUP(B354,#REF!,$AH$2,0),0)</f>
        <v>0</v>
      </c>
      <c r="AI354" s="9">
        <f>IFERROR(VLOOKUP(B354,cubo!$A$6:$BE$37,51,0)-VLOOKUP(B354,#REF!,$AI$2,0),0)</f>
        <v>0</v>
      </c>
      <c r="AJ354" s="9">
        <f>IFERROR(VLOOKUP(B354,cubo!$A$6:$BI$116,62,0)-VLOOKUP(B354,#REF!,$AJ$2,0),0)</f>
        <v>0</v>
      </c>
      <c r="AK354" s="9">
        <f>IFERROR(VLOOKUP(B354,cubo!$A$6:$BJ$37,63,0)-VLOOKUP(B354,#REF!,$AK$2,0),0)</f>
        <v>0</v>
      </c>
      <c r="AL354" s="9">
        <f>IFERROR(VLOOKUP(B354,cubo!$A$6:$BE$37,58,0)-VLOOKUP(B354,#REF!,$AL$2,0),0)</f>
        <v>0</v>
      </c>
      <c r="AM354" s="9">
        <f>IFERROR(VLOOKUP(B354,cubo!$A$6:$BK$37,64,0)-VLOOKUP(B354,#REF!,$AM$2,0),0)</f>
        <v>0</v>
      </c>
      <c r="AN354" s="9">
        <f>IFERROR(VLOOKUP(B354,cubo!$A$6:$AN$37,41,0)-VLOOKUP(B354,#REF!,$AN$2,0),0)</f>
        <v>0</v>
      </c>
    </row>
    <row r="355" spans="2:40" x14ac:dyDescent="0.25">
      <c r="B355" s="7">
        <f>[1]salario!A354</f>
        <v>0</v>
      </c>
      <c r="C355" s="8">
        <f>[1]salario!C354</f>
        <v>0</v>
      </c>
      <c r="D355" s="9">
        <f>IFERROR(VLOOKUP(B355,cubo!$A$6:$BE$37,3,0)-VLOOKUP(B355,#REF!,$D$2,0),0)</f>
        <v>0</v>
      </c>
      <c r="E355" s="10">
        <f>IFERROR(VLOOKUP(B355,cubo!$A$6:$BE$37,5,0)-VLOOKUP(B355,#REF!,$E$2,0),0)</f>
        <v>0</v>
      </c>
      <c r="F355" s="10">
        <f>IFERROR(VLOOKUP(B355,cubo!$A$6:$BE$37,8,0)-VLOOKUP(B355,#REF!,$F$2,0),0)</f>
        <v>0</v>
      </c>
      <c r="G355" s="9">
        <f>IFERROR(VLOOKUP(B355,cubo!$A$6:$BE$37,11,0)-VLOOKUP(B355,#REF!,$G$2,0),0)</f>
        <v>0</v>
      </c>
      <c r="H355" s="9">
        <f>IFERROR(VLOOKUP(B355,cubo!$A$6:$BE$37,53,0)-VLOOKUP(B355,#REF!,$H$2,0),0)</f>
        <v>0</v>
      </c>
      <c r="I355" s="10">
        <f>IFERROR(VLOOKUP(B355,cubo!$A$6:$BE$37,14,0)-VLOOKUP(B355,#REF!,$I$2,0),0)</f>
        <v>0</v>
      </c>
      <c r="J355" s="9">
        <f>IFERROR(VLOOKUP(B355,cubo!$A$6:$BE$37,16,0)-VLOOKUP(B355,#REF!,$J$2,0),0)</f>
        <v>0</v>
      </c>
      <c r="K355" s="9">
        <f>IFERROR(VLOOKUP(B355,cubo!$A$6:$BE$37,17,0)-VLOOKUP(B355,#REF!,$K$2,0),0)</f>
        <v>0</v>
      </c>
      <c r="L355" s="9">
        <f>IFERROR(VLOOKUP(B355,cubo!$A$6:$BE$37,19,0)-VLOOKUP(B355,#REF!,$L$2,0),0)</f>
        <v>0</v>
      </c>
      <c r="M355" s="9">
        <f>IFERROR(VLOOKUP(B355,cubo!$A$6:$BE$37,23,0)-VLOOKUP(B355,#REF!,$M$2,0),0)</f>
        <v>0</v>
      </c>
      <c r="N355" s="9">
        <f>IFERROR(VLOOKUP(B355,cubo!$A$6:$BE$37,25,0)-VLOOKUP(B355,#REF!,$N$2,0),0)</f>
        <v>0</v>
      </c>
      <c r="O355" s="9">
        <f>IFERROR(VLOOKUP(B355,cubo!$A$6:$BE$37,33,0)-VLOOKUP(B355,#REF!,$O$2,0),0)</f>
        <v>0</v>
      </c>
      <c r="P355" s="8">
        <f>IFERROR(VLOOKUP(B355,cubo!$A$6:$BE$37,37,0)-VLOOKUP(B355,#REF!,$P$2,0),0)</f>
        <v>0</v>
      </c>
      <c r="Q355" s="8">
        <f>IFERROR(VLOOKUP(B355,cubo!$A$6:$BE$37,56,0)-VLOOKUP(B355,#REF!,$Q$2,0),0)</f>
        <v>0</v>
      </c>
      <c r="R355" s="9">
        <f>IFERROR(VLOOKUP(B355,cubo!$A$6:$BE$37,40,0)-VLOOKUP(B355,#REF!,$R$2,0),0)</f>
        <v>0</v>
      </c>
      <c r="S355" s="9">
        <f>IFERROR(VLOOKUP(B355,cubo!$A$6:$BE$37,43,0)-VLOOKUP(B355,#REF!,$S$2,0),0)</f>
        <v>0</v>
      </c>
      <c r="T355" s="9">
        <f>IFERROR(VLOOKUP(B355,cubo!$A$6:$BE$37,46,0)-VLOOKUP(B355,#REF!,$T$2,0),0)</f>
        <v>0</v>
      </c>
      <c r="U355" s="9">
        <f>IFERROR(VLOOKUP(B355,cubo!$A$6:$BE$37,51,0)-VLOOKUP(B355,#REF!,$U$2,0),0)</f>
        <v>0</v>
      </c>
      <c r="V355" s="9">
        <f>IFERROR(VLOOKUP(B355,cubo!$A$6:$BJ$37,60,0)-VLOOKUP(B355,#REF!,$V$2,0),0)</f>
        <v>0</v>
      </c>
      <c r="W355" s="9">
        <f>IFERROR(VLOOKUP(B355,cubo!$A$6:$BE$37,26,0)-VLOOKUP(B355,#REF!,$W$2,0),0)</f>
        <v>0</v>
      </c>
      <c r="X355" s="9">
        <f>IFERROR(VLOOKUP(B355,cubo!$A$6:$BE$37,20,0)-VLOOKUP(B355,#REF!,$X$2,0),0)</f>
        <v>0</v>
      </c>
      <c r="Y355" s="9">
        <f>IFERROR(VLOOKUP(B355,cubo!$A$6:$BE$37,21,0)-VLOOKUP(B355,#REF!,$Y$2,0),0)</f>
        <v>0</v>
      </c>
      <c r="Z355" s="9">
        <f>IFERROR(VLOOKUP(B355,cubo!$A$6:$BE$37,27,0)-VLOOKUP(B355,#REF!,$Z$2,0),0)</f>
        <v>0</v>
      </c>
      <c r="AA355" s="9">
        <f>IFERROR(VLOOKUP(B355,cubo!$A$6:$BE$37,28,0)-VLOOKUP(B355,#REF!,$AA$2,0),0)</f>
        <v>0</v>
      </c>
      <c r="AB355" s="9">
        <f>IFERROR(VLOOKUP(B355,cubo!$A$6:$BE$37,29,0)-VLOOKUP(B355,#REF!,$AB$2,0),0)</f>
        <v>0</v>
      </c>
      <c r="AC355" s="9">
        <f>IFERROR(VLOOKUP(B355,cubo!$A$6:$BE$37,30,0)-VLOOKUP(B355,#REF!,$AC$2,0),0)</f>
        <v>0</v>
      </c>
      <c r="AD355" s="9">
        <f>IFERROR(VLOOKUP(B355,cubo!$A$6:$BE$37,31,0)-VLOOKUP(B355,#REF!,$AD$2,0),0)</f>
        <v>0</v>
      </c>
      <c r="AE355" s="9">
        <f>IFERROR(VLOOKUP(B355,cubo!$A$6:$BE$37,35,0)-VLOOKUP(B355,#REF!,$AE$2,0),0)</f>
        <v>0</v>
      </c>
      <c r="AF355" s="9" cm="1">
        <f t="array" aca="1" ref="AF355" ca="1">IFERROR(rrPROCV(B355,cubo!$A$6:$BE$37,48,0)-VLOOKUP(B355,#REF!,$AF$2,0),0)</f>
        <v>0</v>
      </c>
      <c r="AG355" s="9">
        <f>IFERROR(VLOOKUP(B355,cubo!$A$6:$BE$37,49,0)-VLOOKUP(B355,#REF!,$AG$2,0),0)</f>
        <v>0</v>
      </c>
      <c r="AH355" s="9">
        <f>IFERROR(VLOOKUP(B355,cubo!$A$6:$BE$37,50,0)-VLOOKUP(B355,#REF!,$AH$2,0),0)</f>
        <v>0</v>
      </c>
      <c r="AI355" s="9">
        <f>IFERROR(VLOOKUP(B355,cubo!$A$6:$BE$37,51,0)-VLOOKUP(B355,#REF!,$AI$2,0),0)</f>
        <v>0</v>
      </c>
      <c r="AJ355" s="9">
        <f>IFERROR(VLOOKUP(B355,cubo!$A$6:$BI$116,62,0)-VLOOKUP(B355,#REF!,$AJ$2,0),0)</f>
        <v>0</v>
      </c>
      <c r="AK355" s="9">
        <f>IFERROR(VLOOKUP(B355,cubo!$A$6:$BJ$37,63,0)-VLOOKUP(B355,#REF!,$AK$2,0),0)</f>
        <v>0</v>
      </c>
      <c r="AL355" s="9">
        <f>IFERROR(VLOOKUP(B355,cubo!$A$6:$BE$37,58,0)-VLOOKUP(B355,#REF!,$AL$2,0),0)</f>
        <v>0</v>
      </c>
      <c r="AM355" s="9">
        <f>IFERROR(VLOOKUP(B355,cubo!$A$6:$BK$37,64,0)-VLOOKUP(B355,#REF!,$AM$2,0),0)</f>
        <v>0</v>
      </c>
      <c r="AN355" s="9">
        <f>IFERROR(VLOOKUP(B355,cubo!$A$6:$AN$37,41,0)-VLOOKUP(B355,#REF!,$AN$2,0),0)</f>
        <v>0</v>
      </c>
    </row>
    <row r="356" spans="2:40" x14ac:dyDescent="0.25">
      <c r="B356" s="7">
        <f>[1]salario!A355</f>
        <v>0</v>
      </c>
      <c r="C356" s="8">
        <f>[1]salario!C355</f>
        <v>0</v>
      </c>
      <c r="D356" s="9">
        <f>IFERROR(VLOOKUP(B356,cubo!$A$6:$BE$37,3,0)-VLOOKUP(B356,#REF!,$D$2,0),0)</f>
        <v>0</v>
      </c>
      <c r="E356" s="10">
        <f>IFERROR(VLOOKUP(B356,cubo!$A$6:$BE$37,5,0)-VLOOKUP(B356,#REF!,$E$2,0),0)</f>
        <v>0</v>
      </c>
      <c r="F356" s="10">
        <f>IFERROR(VLOOKUP(B356,cubo!$A$6:$BE$37,8,0)-VLOOKUP(B356,#REF!,$F$2,0),0)</f>
        <v>0</v>
      </c>
      <c r="G356" s="9">
        <f>IFERROR(VLOOKUP(B356,cubo!$A$6:$BE$37,11,0)-VLOOKUP(B356,#REF!,$G$2,0),0)</f>
        <v>0</v>
      </c>
      <c r="H356" s="9">
        <f>IFERROR(VLOOKUP(B356,cubo!$A$6:$BE$37,53,0)-VLOOKUP(B356,#REF!,$H$2,0),0)</f>
        <v>0</v>
      </c>
      <c r="I356" s="10">
        <f>IFERROR(VLOOKUP(B356,cubo!$A$6:$BE$37,14,0)-VLOOKUP(B356,#REF!,$I$2,0),0)</f>
        <v>0</v>
      </c>
      <c r="J356" s="9">
        <f>IFERROR(VLOOKUP(B356,cubo!$A$6:$BE$37,16,0)-VLOOKUP(B356,#REF!,$J$2,0),0)</f>
        <v>0</v>
      </c>
      <c r="K356" s="9">
        <f>IFERROR(VLOOKUP(B356,cubo!$A$6:$BE$37,17,0)-VLOOKUP(B356,#REF!,$K$2,0),0)</f>
        <v>0</v>
      </c>
      <c r="L356" s="9">
        <f>IFERROR(VLOOKUP(B356,cubo!$A$6:$BE$37,19,0)-VLOOKUP(B356,#REF!,$L$2,0),0)</f>
        <v>0</v>
      </c>
      <c r="M356" s="9">
        <f>IFERROR(VLOOKUP(B356,cubo!$A$6:$BE$37,23,0)-VLOOKUP(B356,#REF!,$M$2,0),0)</f>
        <v>0</v>
      </c>
      <c r="N356" s="9">
        <f>IFERROR(VLOOKUP(B356,cubo!$A$6:$BE$37,25,0)-VLOOKUP(B356,#REF!,$N$2,0),0)</f>
        <v>0</v>
      </c>
      <c r="O356" s="9">
        <f>IFERROR(VLOOKUP(B356,cubo!$A$6:$BE$37,33,0)-VLOOKUP(B356,#REF!,$O$2,0),0)</f>
        <v>0</v>
      </c>
      <c r="P356" s="8">
        <f>IFERROR(VLOOKUP(B356,cubo!$A$6:$BE$37,37,0)-VLOOKUP(B356,#REF!,$P$2,0),0)</f>
        <v>0</v>
      </c>
      <c r="Q356" s="8">
        <f>IFERROR(VLOOKUP(B356,cubo!$A$6:$BE$37,56,0)-VLOOKUP(B356,#REF!,$Q$2,0),0)</f>
        <v>0</v>
      </c>
      <c r="R356" s="9">
        <f>IFERROR(VLOOKUP(B356,cubo!$A$6:$BE$37,40,0)-VLOOKUP(B356,#REF!,$R$2,0),0)</f>
        <v>0</v>
      </c>
      <c r="S356" s="9">
        <f>IFERROR(VLOOKUP(B356,cubo!$A$6:$BE$37,43,0)-VLOOKUP(B356,#REF!,$S$2,0),0)</f>
        <v>0</v>
      </c>
      <c r="T356" s="9">
        <f>IFERROR(VLOOKUP(B356,cubo!$A$6:$BE$37,46,0)-VLOOKUP(B356,#REF!,$T$2,0),0)</f>
        <v>0</v>
      </c>
      <c r="U356" s="9">
        <f>IFERROR(VLOOKUP(B356,cubo!$A$6:$BE$37,51,0)-VLOOKUP(B356,#REF!,$U$2,0),0)</f>
        <v>0</v>
      </c>
      <c r="V356" s="9">
        <f>IFERROR(VLOOKUP(B356,cubo!$A$6:$BJ$37,60,0)-VLOOKUP(B356,#REF!,$V$2,0),0)</f>
        <v>0</v>
      </c>
      <c r="W356" s="9">
        <f>IFERROR(VLOOKUP(B356,cubo!$A$6:$BE$37,26,0)-VLOOKUP(B356,#REF!,$W$2,0),0)</f>
        <v>0</v>
      </c>
      <c r="X356" s="9">
        <f>IFERROR(VLOOKUP(B356,cubo!$A$6:$BE$37,20,0)-VLOOKUP(B356,#REF!,$X$2,0),0)</f>
        <v>0</v>
      </c>
      <c r="Y356" s="9">
        <f>IFERROR(VLOOKUP(B356,cubo!$A$6:$BE$37,21,0)-VLOOKUP(B356,#REF!,$Y$2,0),0)</f>
        <v>0</v>
      </c>
      <c r="Z356" s="9">
        <f>IFERROR(VLOOKUP(B356,cubo!$A$6:$BE$37,27,0)-VLOOKUP(B356,#REF!,$Z$2,0),0)</f>
        <v>0</v>
      </c>
      <c r="AA356" s="9">
        <f>IFERROR(VLOOKUP(B356,cubo!$A$6:$BE$37,28,0)-VLOOKUP(B356,#REF!,$AA$2,0),0)</f>
        <v>0</v>
      </c>
      <c r="AB356" s="9">
        <f>IFERROR(VLOOKUP(B356,cubo!$A$6:$BE$37,29,0)-VLOOKUP(B356,#REF!,$AB$2,0),0)</f>
        <v>0</v>
      </c>
      <c r="AC356" s="9">
        <f>IFERROR(VLOOKUP(B356,cubo!$A$6:$BE$37,30,0)-VLOOKUP(B356,#REF!,$AC$2,0),0)</f>
        <v>0</v>
      </c>
      <c r="AD356" s="9">
        <f>IFERROR(VLOOKUP(B356,cubo!$A$6:$BE$37,31,0)-VLOOKUP(B356,#REF!,$AD$2,0),0)</f>
        <v>0</v>
      </c>
      <c r="AE356" s="9">
        <f>IFERROR(VLOOKUP(B356,cubo!$A$6:$BE$37,35,0)-VLOOKUP(B356,#REF!,$AE$2,0),0)</f>
        <v>0</v>
      </c>
      <c r="AF356" s="9" cm="1">
        <f t="array" aca="1" ref="AF356" ca="1">IFERROR(rrPROCV(B356,cubo!$A$6:$BE$37,48,0)-VLOOKUP(B356,#REF!,$AF$2,0),0)</f>
        <v>0</v>
      </c>
      <c r="AG356" s="9">
        <f>IFERROR(VLOOKUP(B356,cubo!$A$6:$BE$37,49,0)-VLOOKUP(B356,#REF!,$AG$2,0),0)</f>
        <v>0</v>
      </c>
      <c r="AH356" s="9">
        <f>IFERROR(VLOOKUP(B356,cubo!$A$6:$BE$37,50,0)-VLOOKUP(B356,#REF!,$AH$2,0),0)</f>
        <v>0</v>
      </c>
      <c r="AI356" s="9">
        <f>IFERROR(VLOOKUP(B356,cubo!$A$6:$BE$37,51,0)-VLOOKUP(B356,#REF!,$AI$2,0),0)</f>
        <v>0</v>
      </c>
      <c r="AJ356" s="9">
        <f>IFERROR(VLOOKUP(B356,cubo!$A$6:$BI$116,62,0)-VLOOKUP(B356,#REF!,$AJ$2,0),0)</f>
        <v>0</v>
      </c>
      <c r="AK356" s="9">
        <f>IFERROR(VLOOKUP(B356,cubo!$A$6:$BJ$37,63,0)-VLOOKUP(B356,#REF!,$AK$2,0),0)</f>
        <v>0</v>
      </c>
      <c r="AL356" s="9">
        <f>IFERROR(VLOOKUP(B356,cubo!$A$6:$BE$37,58,0)-VLOOKUP(B356,#REF!,$AL$2,0),0)</f>
        <v>0</v>
      </c>
      <c r="AM356" s="9">
        <f>IFERROR(VLOOKUP(B356,cubo!$A$6:$BK$37,64,0)-VLOOKUP(B356,#REF!,$AM$2,0),0)</f>
        <v>0</v>
      </c>
      <c r="AN356" s="9">
        <f>IFERROR(VLOOKUP(B356,cubo!$A$6:$AN$37,41,0)-VLOOKUP(B356,#REF!,$AN$2,0),0)</f>
        <v>0</v>
      </c>
    </row>
    <row r="357" spans="2:40" x14ac:dyDescent="0.25">
      <c r="B357" s="7">
        <f>[1]salario!A356</f>
        <v>0</v>
      </c>
      <c r="C357" s="8">
        <f>[1]salario!C356</f>
        <v>0</v>
      </c>
      <c r="D357" s="9">
        <f>IFERROR(VLOOKUP(B357,cubo!$A$6:$BE$37,3,0)-VLOOKUP(B357,#REF!,$D$2,0),0)</f>
        <v>0</v>
      </c>
      <c r="E357" s="10">
        <f>IFERROR(VLOOKUP(B357,cubo!$A$6:$BE$37,5,0)-VLOOKUP(B357,#REF!,$E$2,0),0)</f>
        <v>0</v>
      </c>
      <c r="F357" s="10">
        <f>IFERROR(VLOOKUP(B357,cubo!$A$6:$BE$37,8,0)-VLOOKUP(B357,#REF!,$F$2,0),0)</f>
        <v>0</v>
      </c>
      <c r="G357" s="9">
        <f>IFERROR(VLOOKUP(B357,cubo!$A$6:$BE$37,11,0)-VLOOKUP(B357,#REF!,$G$2,0),0)</f>
        <v>0</v>
      </c>
      <c r="H357" s="9">
        <f>IFERROR(VLOOKUP(B357,cubo!$A$6:$BE$37,53,0)-VLOOKUP(B357,#REF!,$H$2,0),0)</f>
        <v>0</v>
      </c>
      <c r="I357" s="10">
        <f>IFERROR(VLOOKUP(B357,cubo!$A$6:$BE$37,14,0)-VLOOKUP(B357,#REF!,$I$2,0),0)</f>
        <v>0</v>
      </c>
      <c r="J357" s="9">
        <f>IFERROR(VLOOKUP(B357,cubo!$A$6:$BE$37,16,0)-VLOOKUP(B357,#REF!,$J$2,0),0)</f>
        <v>0</v>
      </c>
      <c r="K357" s="9">
        <f>IFERROR(VLOOKUP(B357,cubo!$A$6:$BE$37,17,0)-VLOOKUP(B357,#REF!,$K$2,0),0)</f>
        <v>0</v>
      </c>
      <c r="L357" s="9">
        <f>IFERROR(VLOOKUP(B357,cubo!$A$6:$BE$37,19,0)-VLOOKUP(B357,#REF!,$L$2,0),0)</f>
        <v>0</v>
      </c>
      <c r="M357" s="9">
        <f>IFERROR(VLOOKUP(B357,cubo!$A$6:$BE$37,23,0)-VLOOKUP(B357,#REF!,$M$2,0),0)</f>
        <v>0</v>
      </c>
      <c r="N357" s="9">
        <f>IFERROR(VLOOKUP(B357,cubo!$A$6:$BE$37,25,0)-VLOOKUP(B357,#REF!,$N$2,0),0)</f>
        <v>0</v>
      </c>
      <c r="O357" s="9">
        <f>IFERROR(VLOOKUP(B357,cubo!$A$6:$BE$37,33,0)-VLOOKUP(B357,#REF!,$O$2,0),0)</f>
        <v>0</v>
      </c>
      <c r="P357" s="8">
        <f>IFERROR(VLOOKUP(B357,cubo!$A$6:$BE$37,37,0)-VLOOKUP(B357,#REF!,$P$2,0),0)</f>
        <v>0</v>
      </c>
      <c r="Q357" s="8">
        <f>IFERROR(VLOOKUP(B357,cubo!$A$6:$BE$37,56,0)-VLOOKUP(B357,#REF!,$Q$2,0),0)</f>
        <v>0</v>
      </c>
      <c r="R357" s="9">
        <f>IFERROR(VLOOKUP(B357,cubo!$A$6:$BE$37,40,0)-VLOOKUP(B357,#REF!,$R$2,0),0)</f>
        <v>0</v>
      </c>
      <c r="S357" s="9">
        <f>IFERROR(VLOOKUP(B357,cubo!$A$6:$BE$37,43,0)-VLOOKUP(B357,#REF!,$S$2,0),0)</f>
        <v>0</v>
      </c>
      <c r="T357" s="9">
        <f>IFERROR(VLOOKUP(B357,cubo!$A$6:$BE$37,46,0)-VLOOKUP(B357,#REF!,$T$2,0),0)</f>
        <v>0</v>
      </c>
      <c r="U357" s="9">
        <f>IFERROR(VLOOKUP(B357,cubo!$A$6:$BE$37,51,0)-VLOOKUP(B357,#REF!,$U$2,0),0)</f>
        <v>0</v>
      </c>
      <c r="V357" s="9">
        <f>IFERROR(VLOOKUP(B357,cubo!$A$6:$BJ$37,60,0)-VLOOKUP(B357,#REF!,$V$2,0),0)</f>
        <v>0</v>
      </c>
      <c r="W357" s="9">
        <f>IFERROR(VLOOKUP(B357,cubo!$A$6:$BE$37,26,0)-VLOOKUP(B357,#REF!,$W$2,0),0)</f>
        <v>0</v>
      </c>
      <c r="X357" s="9">
        <f>IFERROR(VLOOKUP(B357,cubo!$A$6:$BE$37,20,0)-VLOOKUP(B357,#REF!,$X$2,0),0)</f>
        <v>0</v>
      </c>
      <c r="Y357" s="9">
        <f>IFERROR(VLOOKUP(B357,cubo!$A$6:$BE$37,21,0)-VLOOKUP(B357,#REF!,$Y$2,0),0)</f>
        <v>0</v>
      </c>
      <c r="Z357" s="9">
        <f>IFERROR(VLOOKUP(B357,cubo!$A$6:$BE$37,27,0)-VLOOKUP(B357,#REF!,$Z$2,0),0)</f>
        <v>0</v>
      </c>
      <c r="AA357" s="9">
        <f>IFERROR(VLOOKUP(B357,cubo!$A$6:$BE$37,28,0)-VLOOKUP(B357,#REF!,$AA$2,0),0)</f>
        <v>0</v>
      </c>
      <c r="AB357" s="9">
        <f>IFERROR(VLOOKUP(B357,cubo!$A$6:$BE$37,29,0)-VLOOKUP(B357,#REF!,$AB$2,0),0)</f>
        <v>0</v>
      </c>
      <c r="AC357" s="9">
        <f>IFERROR(VLOOKUP(B357,cubo!$A$6:$BE$37,30,0)-VLOOKUP(B357,#REF!,$AC$2,0),0)</f>
        <v>0</v>
      </c>
      <c r="AD357" s="9">
        <f>IFERROR(VLOOKUP(B357,cubo!$A$6:$BE$37,31,0)-VLOOKUP(B357,#REF!,$AD$2,0),0)</f>
        <v>0</v>
      </c>
      <c r="AE357" s="9">
        <f>IFERROR(VLOOKUP(B357,cubo!$A$6:$BE$37,35,0)-VLOOKUP(B357,#REF!,$AE$2,0),0)</f>
        <v>0</v>
      </c>
      <c r="AF357" s="9" cm="1">
        <f t="array" aca="1" ref="AF357" ca="1">IFERROR(rrPROCV(B357,cubo!$A$6:$BE$37,48,0)-VLOOKUP(B357,#REF!,$AF$2,0),0)</f>
        <v>0</v>
      </c>
      <c r="AG357" s="9">
        <f>IFERROR(VLOOKUP(B357,cubo!$A$6:$BE$37,49,0)-VLOOKUP(B357,#REF!,$AG$2,0),0)</f>
        <v>0</v>
      </c>
      <c r="AH357" s="9">
        <f>IFERROR(VLOOKUP(B357,cubo!$A$6:$BE$37,50,0)-VLOOKUP(B357,#REF!,$AH$2,0),0)</f>
        <v>0</v>
      </c>
      <c r="AI357" s="9">
        <f>IFERROR(VLOOKUP(B357,cubo!$A$6:$BE$37,51,0)-VLOOKUP(B357,#REF!,$AI$2,0),0)</f>
        <v>0</v>
      </c>
      <c r="AJ357" s="9">
        <f>IFERROR(VLOOKUP(B357,cubo!$A$6:$BI$116,62,0)-VLOOKUP(B357,#REF!,$AJ$2,0),0)</f>
        <v>0</v>
      </c>
      <c r="AK357" s="9">
        <f>IFERROR(VLOOKUP(B357,cubo!$A$6:$BJ$37,63,0)-VLOOKUP(B357,#REF!,$AK$2,0),0)</f>
        <v>0</v>
      </c>
      <c r="AL357" s="9">
        <f>IFERROR(VLOOKUP(B357,cubo!$A$6:$BE$37,58,0)-VLOOKUP(B357,#REF!,$AL$2,0),0)</f>
        <v>0</v>
      </c>
      <c r="AM357" s="9">
        <f>IFERROR(VLOOKUP(B357,cubo!$A$6:$BK$37,64,0)-VLOOKUP(B357,#REF!,$AM$2,0),0)</f>
        <v>0</v>
      </c>
      <c r="AN357" s="9">
        <f>IFERROR(VLOOKUP(B357,cubo!$A$6:$AN$37,41,0)-VLOOKUP(B357,#REF!,$AN$2,0),0)</f>
        <v>0</v>
      </c>
    </row>
    <row r="358" spans="2:40" x14ac:dyDescent="0.25">
      <c r="B358" s="7">
        <f>[1]salario!A357</f>
        <v>0</v>
      </c>
      <c r="C358" s="8">
        <f>[1]salario!C357</f>
        <v>0</v>
      </c>
      <c r="D358" s="9">
        <f>IFERROR(VLOOKUP(B358,cubo!$A$6:$BE$37,3,0)-VLOOKUP(B358,#REF!,$D$2,0),0)</f>
        <v>0</v>
      </c>
      <c r="E358" s="10">
        <f>IFERROR(VLOOKUP(B358,cubo!$A$6:$BE$37,5,0)-VLOOKUP(B358,#REF!,$E$2,0),0)</f>
        <v>0</v>
      </c>
      <c r="F358" s="10">
        <f>IFERROR(VLOOKUP(B358,cubo!$A$6:$BE$37,8,0)-VLOOKUP(B358,#REF!,$F$2,0),0)</f>
        <v>0</v>
      </c>
      <c r="G358" s="9">
        <f>IFERROR(VLOOKUP(B358,cubo!$A$6:$BE$37,11,0)-VLOOKUP(B358,#REF!,$G$2,0),0)</f>
        <v>0</v>
      </c>
      <c r="H358" s="9">
        <f>IFERROR(VLOOKUP(B358,cubo!$A$6:$BE$37,53,0)-VLOOKUP(B358,#REF!,$H$2,0),0)</f>
        <v>0</v>
      </c>
      <c r="I358" s="10">
        <f>IFERROR(VLOOKUP(B358,cubo!$A$6:$BE$37,14,0)-VLOOKUP(B358,#REF!,$I$2,0),0)</f>
        <v>0</v>
      </c>
      <c r="J358" s="9">
        <f>IFERROR(VLOOKUP(B358,cubo!$A$6:$BE$37,16,0)-VLOOKUP(B358,#REF!,$J$2,0),0)</f>
        <v>0</v>
      </c>
      <c r="K358" s="9">
        <f>IFERROR(VLOOKUP(B358,cubo!$A$6:$BE$37,17,0)-VLOOKUP(B358,#REF!,$K$2,0),0)</f>
        <v>0</v>
      </c>
      <c r="L358" s="9">
        <f>IFERROR(VLOOKUP(B358,cubo!$A$6:$BE$37,19,0)-VLOOKUP(B358,#REF!,$L$2,0),0)</f>
        <v>0</v>
      </c>
      <c r="M358" s="9">
        <f>IFERROR(VLOOKUP(B358,cubo!$A$6:$BE$37,23,0)-VLOOKUP(B358,#REF!,$M$2,0),0)</f>
        <v>0</v>
      </c>
      <c r="N358" s="9">
        <f>IFERROR(VLOOKUP(B358,cubo!$A$6:$BE$37,25,0)-VLOOKUP(B358,#REF!,$N$2,0),0)</f>
        <v>0</v>
      </c>
      <c r="O358" s="9">
        <f>IFERROR(VLOOKUP(B358,cubo!$A$6:$BE$37,33,0)-VLOOKUP(B358,#REF!,$O$2,0),0)</f>
        <v>0</v>
      </c>
      <c r="P358" s="8">
        <f>IFERROR(VLOOKUP(B358,cubo!$A$6:$BE$37,37,0)-VLOOKUP(B358,#REF!,$P$2,0),0)</f>
        <v>0</v>
      </c>
      <c r="Q358" s="8">
        <f>IFERROR(VLOOKUP(B358,cubo!$A$6:$BE$37,56,0)-VLOOKUP(B358,#REF!,$Q$2,0),0)</f>
        <v>0</v>
      </c>
      <c r="R358" s="9">
        <f>IFERROR(VLOOKUP(B358,cubo!$A$6:$BE$37,40,0)-VLOOKUP(B358,#REF!,$R$2,0),0)</f>
        <v>0</v>
      </c>
      <c r="S358" s="9">
        <f>IFERROR(VLOOKUP(B358,cubo!$A$6:$BE$37,43,0)-VLOOKUP(B358,#REF!,$S$2,0),0)</f>
        <v>0</v>
      </c>
      <c r="T358" s="9">
        <f>IFERROR(VLOOKUP(B358,cubo!$A$6:$BE$37,46,0)-VLOOKUP(B358,#REF!,$T$2,0),0)</f>
        <v>0</v>
      </c>
      <c r="U358" s="9">
        <f>IFERROR(VLOOKUP(B358,cubo!$A$6:$BE$37,51,0)-VLOOKUP(B358,#REF!,$U$2,0),0)</f>
        <v>0</v>
      </c>
      <c r="V358" s="9">
        <f>IFERROR(VLOOKUP(B358,cubo!$A$6:$BJ$37,60,0)-VLOOKUP(B358,#REF!,$V$2,0),0)</f>
        <v>0</v>
      </c>
      <c r="W358" s="9">
        <f>IFERROR(VLOOKUP(B358,cubo!$A$6:$BE$37,26,0)-VLOOKUP(B358,#REF!,$W$2,0),0)</f>
        <v>0</v>
      </c>
      <c r="X358" s="9">
        <f>IFERROR(VLOOKUP(B358,cubo!$A$6:$BE$37,20,0)-VLOOKUP(B358,#REF!,$X$2,0),0)</f>
        <v>0</v>
      </c>
      <c r="Y358" s="9">
        <f>IFERROR(VLOOKUP(B358,cubo!$A$6:$BE$37,21,0)-VLOOKUP(B358,#REF!,$Y$2,0),0)</f>
        <v>0</v>
      </c>
      <c r="Z358" s="9">
        <f>IFERROR(VLOOKUP(B358,cubo!$A$6:$BE$37,27,0)-VLOOKUP(B358,#REF!,$Z$2,0),0)</f>
        <v>0</v>
      </c>
      <c r="AA358" s="9">
        <f>IFERROR(VLOOKUP(B358,cubo!$A$6:$BE$37,28,0)-VLOOKUP(B358,#REF!,$AA$2,0),0)</f>
        <v>0</v>
      </c>
      <c r="AB358" s="9">
        <f>IFERROR(VLOOKUP(B358,cubo!$A$6:$BE$37,29,0)-VLOOKUP(B358,#REF!,$AB$2,0),0)</f>
        <v>0</v>
      </c>
      <c r="AC358" s="9">
        <f>IFERROR(VLOOKUP(B358,cubo!$A$6:$BE$37,30,0)-VLOOKUP(B358,#REF!,$AC$2,0),0)</f>
        <v>0</v>
      </c>
      <c r="AD358" s="9">
        <f>IFERROR(VLOOKUP(B358,cubo!$A$6:$BE$37,31,0)-VLOOKUP(B358,#REF!,$AD$2,0),0)</f>
        <v>0</v>
      </c>
      <c r="AE358" s="9">
        <f>IFERROR(VLOOKUP(B358,cubo!$A$6:$BE$37,35,0)-VLOOKUP(B358,#REF!,$AE$2,0),0)</f>
        <v>0</v>
      </c>
      <c r="AF358" s="9" cm="1">
        <f t="array" aca="1" ref="AF358" ca="1">IFERROR(rrPROCV(B358,cubo!$A$6:$BE$37,48,0)-VLOOKUP(B358,#REF!,$AF$2,0),0)</f>
        <v>0</v>
      </c>
      <c r="AG358" s="9">
        <f>IFERROR(VLOOKUP(B358,cubo!$A$6:$BE$37,49,0)-VLOOKUP(B358,#REF!,$AG$2,0),0)</f>
        <v>0</v>
      </c>
      <c r="AH358" s="9">
        <f>IFERROR(VLOOKUP(B358,cubo!$A$6:$BE$37,50,0)-VLOOKUP(B358,#REF!,$AH$2,0),0)</f>
        <v>0</v>
      </c>
      <c r="AI358" s="9">
        <f>IFERROR(VLOOKUP(B358,cubo!$A$6:$BE$37,51,0)-VLOOKUP(B358,#REF!,$AI$2,0),0)</f>
        <v>0</v>
      </c>
      <c r="AJ358" s="9">
        <f>IFERROR(VLOOKUP(B358,cubo!$A$6:$BI$116,62,0)-VLOOKUP(B358,#REF!,$AJ$2,0),0)</f>
        <v>0</v>
      </c>
      <c r="AK358" s="9">
        <f>IFERROR(VLOOKUP(B358,cubo!$A$6:$BJ$37,63,0)-VLOOKUP(B358,#REF!,$AK$2,0),0)</f>
        <v>0</v>
      </c>
      <c r="AL358" s="9">
        <f>IFERROR(VLOOKUP(B358,cubo!$A$6:$BE$37,58,0)-VLOOKUP(B358,#REF!,$AL$2,0),0)</f>
        <v>0</v>
      </c>
      <c r="AM358" s="9">
        <f>IFERROR(VLOOKUP(B358,cubo!$A$6:$BK$37,64,0)-VLOOKUP(B358,#REF!,$AM$2,0),0)</f>
        <v>0</v>
      </c>
      <c r="AN358" s="9">
        <f>IFERROR(VLOOKUP(B358,cubo!$A$6:$AN$37,41,0)-VLOOKUP(B358,#REF!,$AN$2,0),0)</f>
        <v>0</v>
      </c>
    </row>
    <row r="359" spans="2:40" x14ac:dyDescent="0.25">
      <c r="B359" s="7">
        <f>[1]salario!A358</f>
        <v>0</v>
      </c>
      <c r="C359" s="8">
        <f>[1]salario!C358</f>
        <v>0</v>
      </c>
      <c r="D359" s="9">
        <f>IFERROR(VLOOKUP(B359,cubo!$A$6:$BE$37,3,0)-VLOOKUP(B359,#REF!,$D$2,0),0)</f>
        <v>0</v>
      </c>
      <c r="E359" s="10">
        <f>IFERROR(VLOOKUP(B359,cubo!$A$6:$BE$37,5,0)-VLOOKUP(B359,#REF!,$E$2,0),0)</f>
        <v>0</v>
      </c>
      <c r="F359" s="10">
        <f>IFERROR(VLOOKUP(B359,cubo!$A$6:$BE$37,8,0)-VLOOKUP(B359,#REF!,$F$2,0),0)</f>
        <v>0</v>
      </c>
      <c r="G359" s="9">
        <f>IFERROR(VLOOKUP(B359,cubo!$A$6:$BE$37,11,0)-VLOOKUP(B359,#REF!,$G$2,0),0)</f>
        <v>0</v>
      </c>
      <c r="H359" s="9">
        <f>IFERROR(VLOOKUP(B359,cubo!$A$6:$BE$37,53,0)-VLOOKUP(B359,#REF!,$H$2,0),0)</f>
        <v>0</v>
      </c>
      <c r="I359" s="10">
        <f>IFERROR(VLOOKUP(B359,cubo!$A$6:$BE$37,14,0)-VLOOKUP(B359,#REF!,$I$2,0),0)</f>
        <v>0</v>
      </c>
      <c r="J359" s="9">
        <f>IFERROR(VLOOKUP(B359,cubo!$A$6:$BE$37,16,0)-VLOOKUP(B359,#REF!,$J$2,0),0)</f>
        <v>0</v>
      </c>
      <c r="K359" s="9">
        <f>IFERROR(VLOOKUP(B359,cubo!$A$6:$BE$37,17,0)-VLOOKUP(B359,#REF!,$K$2,0),0)</f>
        <v>0</v>
      </c>
      <c r="L359" s="9">
        <f>IFERROR(VLOOKUP(B359,cubo!$A$6:$BE$37,19,0)-VLOOKUP(B359,#REF!,$L$2,0),0)</f>
        <v>0</v>
      </c>
      <c r="M359" s="9">
        <f>IFERROR(VLOOKUP(B359,cubo!$A$6:$BE$37,23,0)-VLOOKUP(B359,#REF!,$M$2,0),0)</f>
        <v>0</v>
      </c>
      <c r="N359" s="9">
        <f>IFERROR(VLOOKUP(B359,cubo!$A$6:$BE$37,25,0)-VLOOKUP(B359,#REF!,$N$2,0),0)</f>
        <v>0</v>
      </c>
      <c r="O359" s="9">
        <f>IFERROR(VLOOKUP(B359,cubo!$A$6:$BE$37,33,0)-VLOOKUP(B359,#REF!,$O$2,0),0)</f>
        <v>0</v>
      </c>
      <c r="P359" s="8">
        <f>IFERROR(VLOOKUP(B359,cubo!$A$6:$BE$37,37,0)-VLOOKUP(B359,#REF!,$P$2,0),0)</f>
        <v>0</v>
      </c>
      <c r="Q359" s="8">
        <f>IFERROR(VLOOKUP(B359,cubo!$A$6:$BE$37,56,0)-VLOOKUP(B359,#REF!,$Q$2,0),0)</f>
        <v>0</v>
      </c>
      <c r="R359" s="9">
        <f>IFERROR(VLOOKUP(B359,cubo!$A$6:$BE$37,40,0)-VLOOKUP(B359,#REF!,$R$2,0),0)</f>
        <v>0</v>
      </c>
      <c r="S359" s="9">
        <f>IFERROR(VLOOKUP(B359,cubo!$A$6:$BE$37,43,0)-VLOOKUP(B359,#REF!,$S$2,0),0)</f>
        <v>0</v>
      </c>
      <c r="T359" s="9">
        <f>IFERROR(VLOOKUP(B359,cubo!$A$6:$BE$37,46,0)-VLOOKUP(B359,#REF!,$T$2,0),0)</f>
        <v>0</v>
      </c>
      <c r="U359" s="9">
        <f>IFERROR(VLOOKUP(B359,cubo!$A$6:$BE$37,51,0)-VLOOKUP(B359,#REF!,$U$2,0),0)</f>
        <v>0</v>
      </c>
      <c r="V359" s="9">
        <f>IFERROR(VLOOKUP(B359,cubo!$A$6:$BJ$37,60,0)-VLOOKUP(B359,#REF!,$V$2,0),0)</f>
        <v>0</v>
      </c>
      <c r="W359" s="9">
        <f>IFERROR(VLOOKUP(B359,cubo!$A$6:$BE$37,26,0)-VLOOKUP(B359,#REF!,$W$2,0),0)</f>
        <v>0</v>
      </c>
      <c r="X359" s="9">
        <f>IFERROR(VLOOKUP(B359,cubo!$A$6:$BE$37,20,0)-VLOOKUP(B359,#REF!,$X$2,0),0)</f>
        <v>0</v>
      </c>
      <c r="Y359" s="9">
        <f>IFERROR(VLOOKUP(B359,cubo!$A$6:$BE$37,21,0)-VLOOKUP(B359,#REF!,$Y$2,0),0)</f>
        <v>0</v>
      </c>
      <c r="Z359" s="9">
        <f>IFERROR(VLOOKUP(B359,cubo!$A$6:$BE$37,27,0)-VLOOKUP(B359,#REF!,$Z$2,0),0)</f>
        <v>0</v>
      </c>
      <c r="AA359" s="9">
        <f>IFERROR(VLOOKUP(B359,cubo!$A$6:$BE$37,28,0)-VLOOKUP(B359,#REF!,$AA$2,0),0)</f>
        <v>0</v>
      </c>
      <c r="AB359" s="9">
        <f>IFERROR(VLOOKUP(B359,cubo!$A$6:$BE$37,29,0)-VLOOKUP(B359,#REF!,$AB$2,0),0)</f>
        <v>0</v>
      </c>
      <c r="AC359" s="9">
        <f>IFERROR(VLOOKUP(B359,cubo!$A$6:$BE$37,30,0)-VLOOKUP(B359,#REF!,$AC$2,0),0)</f>
        <v>0</v>
      </c>
      <c r="AD359" s="9">
        <f>IFERROR(VLOOKUP(B359,cubo!$A$6:$BE$37,31,0)-VLOOKUP(B359,#REF!,$AD$2,0),0)</f>
        <v>0</v>
      </c>
      <c r="AE359" s="9">
        <f>IFERROR(VLOOKUP(B359,cubo!$A$6:$BE$37,35,0)-VLOOKUP(B359,#REF!,$AE$2,0),0)</f>
        <v>0</v>
      </c>
      <c r="AF359" s="9" cm="1">
        <f t="array" aca="1" ref="AF359" ca="1">IFERROR(rrPROCV(B359,cubo!$A$6:$BE$37,48,0)-VLOOKUP(B359,#REF!,$AF$2,0),0)</f>
        <v>0</v>
      </c>
      <c r="AG359" s="9">
        <f>IFERROR(VLOOKUP(B359,cubo!$A$6:$BE$37,49,0)-VLOOKUP(B359,#REF!,$AG$2,0),0)</f>
        <v>0</v>
      </c>
      <c r="AH359" s="9">
        <f>IFERROR(VLOOKUP(B359,cubo!$A$6:$BE$37,50,0)-VLOOKUP(B359,#REF!,$AH$2,0),0)</f>
        <v>0</v>
      </c>
      <c r="AI359" s="9">
        <f>IFERROR(VLOOKUP(B359,cubo!$A$6:$BE$37,51,0)-VLOOKUP(B359,#REF!,$AI$2,0),0)</f>
        <v>0</v>
      </c>
      <c r="AJ359" s="9">
        <f>IFERROR(VLOOKUP(B359,cubo!$A$6:$BI$116,62,0)-VLOOKUP(B359,#REF!,$AJ$2,0),0)</f>
        <v>0</v>
      </c>
      <c r="AK359" s="9">
        <f>IFERROR(VLOOKUP(B359,cubo!$A$6:$BJ$37,63,0)-VLOOKUP(B359,#REF!,$AK$2,0),0)</f>
        <v>0</v>
      </c>
      <c r="AL359" s="9">
        <f>IFERROR(VLOOKUP(B359,cubo!$A$6:$BE$37,58,0)-VLOOKUP(B359,#REF!,$AL$2,0),0)</f>
        <v>0</v>
      </c>
      <c r="AM359" s="9">
        <f>IFERROR(VLOOKUP(B359,cubo!$A$6:$BK$37,64,0)-VLOOKUP(B359,#REF!,$AM$2,0),0)</f>
        <v>0</v>
      </c>
      <c r="AN359" s="9">
        <f>IFERROR(VLOOKUP(B359,cubo!$A$6:$AN$37,41,0)-VLOOKUP(B359,#REF!,$AN$2,0),0)</f>
        <v>0</v>
      </c>
    </row>
    <row r="360" spans="2:40" x14ac:dyDescent="0.25">
      <c r="B360" s="7">
        <f>[1]salario!A359</f>
        <v>0</v>
      </c>
      <c r="C360" s="8">
        <f>[1]salario!C359</f>
        <v>0</v>
      </c>
      <c r="D360" s="9">
        <f>IFERROR(VLOOKUP(B360,cubo!$A$6:$BE$37,3,0)-VLOOKUP(B360,#REF!,$D$2,0),0)</f>
        <v>0</v>
      </c>
      <c r="E360" s="10">
        <f>IFERROR(VLOOKUP(B360,cubo!$A$6:$BE$37,5,0)-VLOOKUP(B360,#REF!,$E$2,0),0)</f>
        <v>0</v>
      </c>
      <c r="F360" s="10">
        <f>IFERROR(VLOOKUP(B360,cubo!$A$6:$BE$37,8,0)-VLOOKUP(B360,#REF!,$F$2,0),0)</f>
        <v>0</v>
      </c>
      <c r="G360" s="9">
        <f>IFERROR(VLOOKUP(B360,cubo!$A$6:$BE$37,11,0)-VLOOKUP(B360,#REF!,$G$2,0),0)</f>
        <v>0</v>
      </c>
      <c r="H360" s="9">
        <f>IFERROR(VLOOKUP(B360,cubo!$A$6:$BE$37,53,0)-VLOOKUP(B360,#REF!,$H$2,0),0)</f>
        <v>0</v>
      </c>
      <c r="I360" s="10">
        <f>IFERROR(VLOOKUP(B360,cubo!$A$6:$BE$37,14,0)-VLOOKUP(B360,#REF!,$I$2,0),0)</f>
        <v>0</v>
      </c>
      <c r="J360" s="9">
        <f>IFERROR(VLOOKUP(B360,cubo!$A$6:$BE$37,16,0)-VLOOKUP(B360,#REF!,$J$2,0),0)</f>
        <v>0</v>
      </c>
      <c r="K360" s="9">
        <f>IFERROR(VLOOKUP(B360,cubo!$A$6:$BE$37,17,0)-VLOOKUP(B360,#REF!,$K$2,0),0)</f>
        <v>0</v>
      </c>
      <c r="L360" s="9">
        <f>IFERROR(VLOOKUP(B360,cubo!$A$6:$BE$37,19,0)-VLOOKUP(B360,#REF!,$L$2,0),0)</f>
        <v>0</v>
      </c>
      <c r="M360" s="9">
        <f>IFERROR(VLOOKUP(B360,cubo!$A$6:$BE$37,23,0)-VLOOKUP(B360,#REF!,$M$2,0),0)</f>
        <v>0</v>
      </c>
      <c r="N360" s="9">
        <f>IFERROR(VLOOKUP(B360,cubo!$A$6:$BE$37,25,0)-VLOOKUP(B360,#REF!,$N$2,0),0)</f>
        <v>0</v>
      </c>
      <c r="O360" s="9">
        <f>IFERROR(VLOOKUP(B360,cubo!$A$6:$BE$37,33,0)-VLOOKUP(B360,#REF!,$O$2,0),0)</f>
        <v>0</v>
      </c>
      <c r="P360" s="8">
        <f>IFERROR(VLOOKUP(B360,cubo!$A$6:$BE$37,37,0)-VLOOKUP(B360,#REF!,$P$2,0),0)</f>
        <v>0</v>
      </c>
      <c r="Q360" s="8">
        <f>IFERROR(VLOOKUP(B360,cubo!$A$6:$BE$37,56,0)-VLOOKUP(B360,#REF!,$Q$2,0),0)</f>
        <v>0</v>
      </c>
      <c r="R360" s="9">
        <f>IFERROR(VLOOKUP(B360,cubo!$A$6:$BE$37,40,0)-VLOOKUP(B360,#REF!,$R$2,0),0)</f>
        <v>0</v>
      </c>
      <c r="S360" s="9">
        <f>IFERROR(VLOOKUP(B360,cubo!$A$6:$BE$37,43,0)-VLOOKUP(B360,#REF!,$S$2,0),0)</f>
        <v>0</v>
      </c>
      <c r="T360" s="9">
        <f>IFERROR(VLOOKUP(B360,cubo!$A$6:$BE$37,46,0)-VLOOKUP(B360,#REF!,$T$2,0),0)</f>
        <v>0</v>
      </c>
      <c r="U360" s="9">
        <f>IFERROR(VLOOKUP(B360,cubo!$A$6:$BE$37,51,0)-VLOOKUP(B360,#REF!,$U$2,0),0)</f>
        <v>0</v>
      </c>
      <c r="V360" s="9">
        <f>IFERROR(VLOOKUP(B360,cubo!$A$6:$BJ$37,60,0)-VLOOKUP(B360,#REF!,$V$2,0),0)</f>
        <v>0</v>
      </c>
      <c r="W360" s="9">
        <f>IFERROR(VLOOKUP(B360,cubo!$A$6:$BE$37,26,0)-VLOOKUP(B360,#REF!,$W$2,0),0)</f>
        <v>0</v>
      </c>
      <c r="X360" s="9">
        <f>IFERROR(VLOOKUP(B360,cubo!$A$6:$BE$37,20,0)-VLOOKUP(B360,#REF!,$X$2,0),0)</f>
        <v>0</v>
      </c>
      <c r="Y360" s="9">
        <f>IFERROR(VLOOKUP(B360,cubo!$A$6:$BE$37,21,0)-VLOOKUP(B360,#REF!,$Y$2,0),0)</f>
        <v>0</v>
      </c>
      <c r="Z360" s="9">
        <f>IFERROR(VLOOKUP(B360,cubo!$A$6:$BE$37,27,0)-VLOOKUP(B360,#REF!,$Z$2,0),0)</f>
        <v>0</v>
      </c>
      <c r="AA360" s="9">
        <f>IFERROR(VLOOKUP(B360,cubo!$A$6:$BE$37,28,0)-VLOOKUP(B360,#REF!,$AA$2,0),0)</f>
        <v>0</v>
      </c>
      <c r="AB360" s="9">
        <f>IFERROR(VLOOKUP(B360,cubo!$A$6:$BE$37,29,0)-VLOOKUP(B360,#REF!,$AB$2,0),0)</f>
        <v>0</v>
      </c>
      <c r="AC360" s="9">
        <f>IFERROR(VLOOKUP(B360,cubo!$A$6:$BE$37,30,0)-VLOOKUP(B360,#REF!,$AC$2,0),0)</f>
        <v>0</v>
      </c>
      <c r="AD360" s="9">
        <f>IFERROR(VLOOKUP(B360,cubo!$A$6:$BE$37,31,0)-VLOOKUP(B360,#REF!,$AD$2,0),0)</f>
        <v>0</v>
      </c>
      <c r="AE360" s="9">
        <f>IFERROR(VLOOKUP(B360,cubo!$A$6:$BE$37,35,0)-VLOOKUP(B360,#REF!,$AE$2,0),0)</f>
        <v>0</v>
      </c>
      <c r="AF360" s="9" cm="1">
        <f t="array" aca="1" ref="AF360" ca="1">IFERROR(rrPROCV(B360,cubo!$A$6:$BE$37,48,0)-VLOOKUP(B360,#REF!,$AF$2,0),0)</f>
        <v>0</v>
      </c>
      <c r="AG360" s="9">
        <f>IFERROR(VLOOKUP(B360,cubo!$A$6:$BE$37,49,0)-VLOOKUP(B360,#REF!,$AG$2,0),0)</f>
        <v>0</v>
      </c>
      <c r="AH360" s="9">
        <f>IFERROR(VLOOKUP(B360,cubo!$A$6:$BE$37,50,0)-VLOOKUP(B360,#REF!,$AH$2,0),0)</f>
        <v>0</v>
      </c>
      <c r="AI360" s="9">
        <f>IFERROR(VLOOKUP(B360,cubo!$A$6:$BE$37,51,0)-VLOOKUP(B360,#REF!,$AI$2,0),0)</f>
        <v>0</v>
      </c>
      <c r="AJ360" s="9">
        <f>IFERROR(VLOOKUP(B360,cubo!$A$6:$BI$116,62,0)-VLOOKUP(B360,#REF!,$AJ$2,0),0)</f>
        <v>0</v>
      </c>
      <c r="AK360" s="9">
        <f>IFERROR(VLOOKUP(B360,cubo!$A$6:$BJ$37,63,0)-VLOOKUP(B360,#REF!,$AK$2,0),0)</f>
        <v>0</v>
      </c>
      <c r="AL360" s="9">
        <f>IFERROR(VLOOKUP(B360,cubo!$A$6:$BE$37,58,0)-VLOOKUP(B360,#REF!,$AL$2,0),0)</f>
        <v>0</v>
      </c>
      <c r="AM360" s="9">
        <f>IFERROR(VLOOKUP(B360,cubo!$A$6:$BK$37,64,0)-VLOOKUP(B360,#REF!,$AM$2,0),0)</f>
        <v>0</v>
      </c>
      <c r="AN360" s="9">
        <f>IFERROR(VLOOKUP(B360,cubo!$A$6:$AN$37,41,0)-VLOOKUP(B360,#REF!,$AN$2,0),0)</f>
        <v>0</v>
      </c>
    </row>
    <row r="361" spans="2:40" x14ac:dyDescent="0.25">
      <c r="B361" s="7">
        <f>[1]salario!A360</f>
        <v>0</v>
      </c>
      <c r="C361" s="8">
        <f>[1]salario!C360</f>
        <v>0</v>
      </c>
      <c r="D361" s="9">
        <f>IFERROR(VLOOKUP(B361,cubo!$A$6:$BE$37,3,0)-VLOOKUP(B361,#REF!,$D$2,0),0)</f>
        <v>0</v>
      </c>
      <c r="E361" s="10">
        <f>IFERROR(VLOOKUP(B361,cubo!$A$6:$BE$37,5,0)-VLOOKUP(B361,#REF!,$E$2,0),0)</f>
        <v>0</v>
      </c>
      <c r="F361" s="10">
        <f>IFERROR(VLOOKUP(B361,cubo!$A$6:$BE$37,8,0)-VLOOKUP(B361,#REF!,$F$2,0),0)</f>
        <v>0</v>
      </c>
      <c r="G361" s="9">
        <f>IFERROR(VLOOKUP(B361,cubo!$A$6:$BE$37,11,0)-VLOOKUP(B361,#REF!,$G$2,0),0)</f>
        <v>0</v>
      </c>
      <c r="H361" s="9">
        <f>IFERROR(VLOOKUP(B361,cubo!$A$6:$BE$37,53,0)-VLOOKUP(B361,#REF!,$H$2,0),0)</f>
        <v>0</v>
      </c>
      <c r="I361" s="10">
        <f>IFERROR(VLOOKUP(B361,cubo!$A$6:$BE$37,14,0)-VLOOKUP(B361,#REF!,$I$2,0),0)</f>
        <v>0</v>
      </c>
      <c r="J361" s="9">
        <f>IFERROR(VLOOKUP(B361,cubo!$A$6:$BE$37,16,0)-VLOOKUP(B361,#REF!,$J$2,0),0)</f>
        <v>0</v>
      </c>
      <c r="K361" s="9">
        <f>IFERROR(VLOOKUP(B361,cubo!$A$6:$BE$37,17,0)-VLOOKUP(B361,#REF!,$K$2,0),0)</f>
        <v>0</v>
      </c>
      <c r="L361" s="9">
        <f>IFERROR(VLOOKUP(B361,cubo!$A$6:$BE$37,19,0)-VLOOKUP(B361,#REF!,$L$2,0),0)</f>
        <v>0</v>
      </c>
      <c r="M361" s="9">
        <f>IFERROR(VLOOKUP(B361,cubo!$A$6:$BE$37,23,0)-VLOOKUP(B361,#REF!,$M$2,0),0)</f>
        <v>0</v>
      </c>
      <c r="N361" s="9">
        <f>IFERROR(VLOOKUP(B361,cubo!$A$6:$BE$37,25,0)-VLOOKUP(B361,#REF!,$N$2,0),0)</f>
        <v>0</v>
      </c>
      <c r="O361" s="9">
        <f>IFERROR(VLOOKUP(B361,cubo!$A$6:$BE$37,33,0)-VLOOKUP(B361,#REF!,$O$2,0),0)</f>
        <v>0</v>
      </c>
      <c r="P361" s="8">
        <f>IFERROR(VLOOKUP(B361,cubo!$A$6:$BE$37,37,0)-VLOOKUP(B361,#REF!,$P$2,0),0)</f>
        <v>0</v>
      </c>
      <c r="Q361" s="8">
        <f>IFERROR(VLOOKUP(B361,cubo!$A$6:$BE$37,56,0)-VLOOKUP(B361,#REF!,$Q$2,0),0)</f>
        <v>0</v>
      </c>
      <c r="R361" s="9">
        <f>IFERROR(VLOOKUP(B361,cubo!$A$6:$BE$37,40,0)-VLOOKUP(B361,#REF!,$R$2,0),0)</f>
        <v>0</v>
      </c>
      <c r="S361" s="9">
        <f>IFERROR(VLOOKUP(B361,cubo!$A$6:$BE$37,43,0)-VLOOKUP(B361,#REF!,$S$2,0),0)</f>
        <v>0</v>
      </c>
      <c r="T361" s="9">
        <f>IFERROR(VLOOKUP(B361,cubo!$A$6:$BE$37,46,0)-VLOOKUP(B361,#REF!,$T$2,0),0)</f>
        <v>0</v>
      </c>
      <c r="U361" s="9">
        <f>IFERROR(VLOOKUP(B361,cubo!$A$6:$BE$37,51,0)-VLOOKUP(B361,#REF!,$U$2,0),0)</f>
        <v>0</v>
      </c>
      <c r="V361" s="9">
        <f>IFERROR(VLOOKUP(B361,cubo!$A$6:$BJ$37,60,0)-VLOOKUP(B361,#REF!,$V$2,0),0)</f>
        <v>0</v>
      </c>
      <c r="W361" s="9">
        <f>IFERROR(VLOOKUP(B361,cubo!$A$6:$BE$37,26,0)-VLOOKUP(B361,#REF!,$W$2,0),0)</f>
        <v>0</v>
      </c>
      <c r="X361" s="9">
        <f>IFERROR(VLOOKUP(B361,cubo!$A$6:$BE$37,20,0)-VLOOKUP(B361,#REF!,$X$2,0),0)</f>
        <v>0</v>
      </c>
      <c r="Y361" s="9">
        <f>IFERROR(VLOOKUP(B361,cubo!$A$6:$BE$37,21,0)-VLOOKUP(B361,#REF!,$Y$2,0),0)</f>
        <v>0</v>
      </c>
      <c r="Z361" s="9">
        <f>IFERROR(VLOOKUP(B361,cubo!$A$6:$BE$37,27,0)-VLOOKUP(B361,#REF!,$Z$2,0),0)</f>
        <v>0</v>
      </c>
      <c r="AA361" s="9">
        <f>IFERROR(VLOOKUP(B361,cubo!$A$6:$BE$37,28,0)-VLOOKUP(B361,#REF!,$AA$2,0),0)</f>
        <v>0</v>
      </c>
      <c r="AB361" s="9">
        <f>IFERROR(VLOOKUP(B361,cubo!$A$6:$BE$37,29,0)-VLOOKUP(B361,#REF!,$AB$2,0),0)</f>
        <v>0</v>
      </c>
      <c r="AC361" s="9">
        <f>IFERROR(VLOOKUP(B361,cubo!$A$6:$BE$37,30,0)-VLOOKUP(B361,#REF!,$AC$2,0),0)</f>
        <v>0</v>
      </c>
      <c r="AD361" s="9">
        <f>IFERROR(VLOOKUP(B361,cubo!$A$6:$BE$37,31,0)-VLOOKUP(B361,#REF!,$AD$2,0),0)</f>
        <v>0</v>
      </c>
      <c r="AE361" s="9">
        <f>IFERROR(VLOOKUP(B361,cubo!$A$6:$BE$37,35,0)-VLOOKUP(B361,#REF!,$AE$2,0),0)</f>
        <v>0</v>
      </c>
      <c r="AF361" s="9" cm="1">
        <f t="array" aca="1" ref="AF361" ca="1">IFERROR(rrPROCV(B361,cubo!$A$6:$BE$37,48,0)-VLOOKUP(B361,#REF!,$AF$2,0),0)</f>
        <v>0</v>
      </c>
      <c r="AG361" s="9">
        <f>IFERROR(VLOOKUP(B361,cubo!$A$6:$BE$37,49,0)-VLOOKUP(B361,#REF!,$AG$2,0),0)</f>
        <v>0</v>
      </c>
      <c r="AH361" s="9">
        <f>IFERROR(VLOOKUP(B361,cubo!$A$6:$BE$37,50,0)-VLOOKUP(B361,#REF!,$AH$2,0),0)</f>
        <v>0</v>
      </c>
      <c r="AI361" s="9">
        <f>IFERROR(VLOOKUP(B361,cubo!$A$6:$BE$37,51,0)-VLOOKUP(B361,#REF!,$AI$2,0),0)</f>
        <v>0</v>
      </c>
      <c r="AJ361" s="9">
        <f>IFERROR(VLOOKUP(B361,cubo!$A$6:$BI$116,62,0)-VLOOKUP(B361,#REF!,$AJ$2,0),0)</f>
        <v>0</v>
      </c>
      <c r="AK361" s="9">
        <f>IFERROR(VLOOKUP(B361,cubo!$A$6:$BJ$37,63,0)-VLOOKUP(B361,#REF!,$AK$2,0),0)</f>
        <v>0</v>
      </c>
      <c r="AL361" s="9">
        <f>IFERROR(VLOOKUP(B361,cubo!$A$6:$BE$37,58,0)-VLOOKUP(B361,#REF!,$AL$2,0),0)</f>
        <v>0</v>
      </c>
      <c r="AM361" s="9">
        <f>IFERROR(VLOOKUP(B361,cubo!$A$6:$BK$37,64,0)-VLOOKUP(B361,#REF!,$AM$2,0),0)</f>
        <v>0</v>
      </c>
      <c r="AN361" s="9">
        <f>IFERROR(VLOOKUP(B361,cubo!$A$6:$AN$37,41,0)-VLOOKUP(B361,#REF!,$AN$2,0),0)</f>
        <v>0</v>
      </c>
    </row>
    <row r="362" spans="2:40" x14ac:dyDescent="0.25">
      <c r="B362" s="7">
        <f>[1]salario!A361</f>
        <v>0</v>
      </c>
      <c r="C362" s="8">
        <f>[1]salario!C361</f>
        <v>0</v>
      </c>
      <c r="D362" s="9">
        <f>IFERROR(VLOOKUP(B362,cubo!$A$6:$BE$37,3,0)-VLOOKUP(B362,#REF!,$D$2,0),0)</f>
        <v>0</v>
      </c>
      <c r="E362" s="10">
        <f>IFERROR(VLOOKUP(B362,cubo!$A$6:$BE$37,5,0)-VLOOKUP(B362,#REF!,$E$2,0),0)</f>
        <v>0</v>
      </c>
      <c r="F362" s="10">
        <f>IFERROR(VLOOKUP(B362,cubo!$A$6:$BE$37,8,0)-VLOOKUP(B362,#REF!,$F$2,0),0)</f>
        <v>0</v>
      </c>
      <c r="G362" s="9">
        <f>IFERROR(VLOOKUP(B362,cubo!$A$6:$BE$37,11,0)-VLOOKUP(B362,#REF!,$G$2,0),0)</f>
        <v>0</v>
      </c>
      <c r="H362" s="9">
        <f>IFERROR(VLOOKUP(B362,cubo!$A$6:$BE$37,53,0)-VLOOKUP(B362,#REF!,$H$2,0),0)</f>
        <v>0</v>
      </c>
      <c r="I362" s="10">
        <f>IFERROR(VLOOKUP(B362,cubo!$A$6:$BE$37,14,0)-VLOOKUP(B362,#REF!,$I$2,0),0)</f>
        <v>0</v>
      </c>
      <c r="J362" s="9">
        <f>IFERROR(VLOOKUP(B362,cubo!$A$6:$BE$37,16,0)-VLOOKUP(B362,#REF!,$J$2,0),0)</f>
        <v>0</v>
      </c>
      <c r="K362" s="9">
        <f>IFERROR(VLOOKUP(B362,cubo!$A$6:$BE$37,17,0)-VLOOKUP(B362,#REF!,$K$2,0),0)</f>
        <v>0</v>
      </c>
      <c r="L362" s="9">
        <f>IFERROR(VLOOKUP(B362,cubo!$A$6:$BE$37,19,0)-VLOOKUP(B362,#REF!,$L$2,0),0)</f>
        <v>0</v>
      </c>
      <c r="M362" s="9">
        <f>IFERROR(VLOOKUP(B362,cubo!$A$6:$BE$37,23,0)-VLOOKUP(B362,#REF!,$M$2,0),0)</f>
        <v>0</v>
      </c>
      <c r="N362" s="9">
        <f>IFERROR(VLOOKUP(B362,cubo!$A$6:$BE$37,25,0)-VLOOKUP(B362,#REF!,$N$2,0),0)</f>
        <v>0</v>
      </c>
      <c r="O362" s="9">
        <f>IFERROR(VLOOKUP(B362,cubo!$A$6:$BE$37,33,0)-VLOOKUP(B362,#REF!,$O$2,0),0)</f>
        <v>0</v>
      </c>
      <c r="P362" s="8">
        <f>IFERROR(VLOOKUP(B362,cubo!$A$6:$BE$37,37,0)-VLOOKUP(B362,#REF!,$P$2,0),0)</f>
        <v>0</v>
      </c>
      <c r="Q362" s="8">
        <f>IFERROR(VLOOKUP(B362,cubo!$A$6:$BE$37,56,0)-VLOOKUP(B362,#REF!,$Q$2,0),0)</f>
        <v>0</v>
      </c>
      <c r="R362" s="9">
        <f>IFERROR(VLOOKUP(B362,cubo!$A$6:$BE$37,40,0)-VLOOKUP(B362,#REF!,$R$2,0),0)</f>
        <v>0</v>
      </c>
      <c r="S362" s="9">
        <f>IFERROR(VLOOKUP(B362,cubo!$A$6:$BE$37,43,0)-VLOOKUP(B362,#REF!,$S$2,0),0)</f>
        <v>0</v>
      </c>
      <c r="T362" s="9">
        <f>IFERROR(VLOOKUP(B362,cubo!$A$6:$BE$37,46,0)-VLOOKUP(B362,#REF!,$T$2,0),0)</f>
        <v>0</v>
      </c>
      <c r="U362" s="9">
        <f>IFERROR(VLOOKUP(B362,cubo!$A$6:$BE$37,51,0)-VLOOKUP(B362,#REF!,$U$2,0),0)</f>
        <v>0</v>
      </c>
      <c r="V362" s="9">
        <f>IFERROR(VLOOKUP(B362,cubo!$A$6:$BJ$37,60,0)-VLOOKUP(B362,#REF!,$V$2,0),0)</f>
        <v>0</v>
      </c>
      <c r="W362" s="9">
        <f>IFERROR(VLOOKUP(B362,cubo!$A$6:$BE$37,26,0)-VLOOKUP(B362,#REF!,$W$2,0),0)</f>
        <v>0</v>
      </c>
      <c r="X362" s="9">
        <f>IFERROR(VLOOKUP(B362,cubo!$A$6:$BE$37,20,0)-VLOOKUP(B362,#REF!,$X$2,0),0)</f>
        <v>0</v>
      </c>
      <c r="Y362" s="9">
        <f>IFERROR(VLOOKUP(B362,cubo!$A$6:$BE$37,21,0)-VLOOKUP(B362,#REF!,$Y$2,0),0)</f>
        <v>0</v>
      </c>
      <c r="Z362" s="9">
        <f>IFERROR(VLOOKUP(B362,cubo!$A$6:$BE$37,27,0)-VLOOKUP(B362,#REF!,$Z$2,0),0)</f>
        <v>0</v>
      </c>
      <c r="AA362" s="9">
        <f>IFERROR(VLOOKUP(B362,cubo!$A$6:$BE$37,28,0)-VLOOKUP(B362,#REF!,$AA$2,0),0)</f>
        <v>0</v>
      </c>
      <c r="AB362" s="9">
        <f>IFERROR(VLOOKUP(B362,cubo!$A$6:$BE$37,29,0)-VLOOKUP(B362,#REF!,$AB$2,0),0)</f>
        <v>0</v>
      </c>
      <c r="AC362" s="9">
        <f>IFERROR(VLOOKUP(B362,cubo!$A$6:$BE$37,30,0)-VLOOKUP(B362,#REF!,$AC$2,0),0)</f>
        <v>0</v>
      </c>
      <c r="AD362" s="9">
        <f>IFERROR(VLOOKUP(B362,cubo!$A$6:$BE$37,31,0)-VLOOKUP(B362,#REF!,$AD$2,0),0)</f>
        <v>0</v>
      </c>
      <c r="AE362" s="9">
        <f>IFERROR(VLOOKUP(B362,cubo!$A$6:$BE$37,35,0)-VLOOKUP(B362,#REF!,$AE$2,0),0)</f>
        <v>0</v>
      </c>
      <c r="AF362" s="9" cm="1">
        <f t="array" aca="1" ref="AF362" ca="1">IFERROR(rrPROCV(B362,cubo!$A$6:$BE$37,48,0)-VLOOKUP(B362,#REF!,$AF$2,0),0)</f>
        <v>0</v>
      </c>
      <c r="AG362" s="9">
        <f>IFERROR(VLOOKUP(B362,cubo!$A$6:$BE$37,49,0)-VLOOKUP(B362,#REF!,$AG$2,0),0)</f>
        <v>0</v>
      </c>
      <c r="AH362" s="9">
        <f>IFERROR(VLOOKUP(B362,cubo!$A$6:$BE$37,50,0)-VLOOKUP(B362,#REF!,$AH$2,0),0)</f>
        <v>0</v>
      </c>
      <c r="AI362" s="9">
        <f>IFERROR(VLOOKUP(B362,cubo!$A$6:$BE$37,51,0)-VLOOKUP(B362,#REF!,$AI$2,0),0)</f>
        <v>0</v>
      </c>
      <c r="AJ362" s="9">
        <f>IFERROR(VLOOKUP(B362,cubo!$A$6:$BI$116,62,0)-VLOOKUP(B362,#REF!,$AJ$2,0),0)</f>
        <v>0</v>
      </c>
      <c r="AK362" s="9">
        <f>IFERROR(VLOOKUP(B362,cubo!$A$6:$BJ$37,63,0)-VLOOKUP(B362,#REF!,$AK$2,0),0)</f>
        <v>0</v>
      </c>
      <c r="AL362" s="9">
        <f>IFERROR(VLOOKUP(B362,cubo!$A$6:$BE$37,58,0)-VLOOKUP(B362,#REF!,$AL$2,0),0)</f>
        <v>0</v>
      </c>
      <c r="AM362" s="9">
        <f>IFERROR(VLOOKUP(B362,cubo!$A$6:$BK$37,64,0)-VLOOKUP(B362,#REF!,$AM$2,0),0)</f>
        <v>0</v>
      </c>
      <c r="AN362" s="9">
        <f>IFERROR(VLOOKUP(B362,cubo!$A$6:$AN$37,41,0)-VLOOKUP(B362,#REF!,$AN$2,0),0)</f>
        <v>0</v>
      </c>
    </row>
    <row r="363" spans="2:40" x14ac:dyDescent="0.25">
      <c r="B363" s="7">
        <f>[1]salario!A362</f>
        <v>0</v>
      </c>
      <c r="C363" s="8">
        <f>[1]salario!C362</f>
        <v>0</v>
      </c>
      <c r="D363" s="9">
        <f>IFERROR(VLOOKUP(B363,cubo!$A$6:$BE$37,3,0)-VLOOKUP(B363,#REF!,$D$2,0),0)</f>
        <v>0</v>
      </c>
      <c r="E363" s="10">
        <f>IFERROR(VLOOKUP(B363,cubo!$A$6:$BE$37,5,0)-VLOOKUP(B363,#REF!,$E$2,0),0)</f>
        <v>0</v>
      </c>
      <c r="F363" s="10">
        <f>IFERROR(VLOOKUP(B363,cubo!$A$6:$BE$37,8,0)-VLOOKUP(B363,#REF!,$F$2,0),0)</f>
        <v>0</v>
      </c>
      <c r="G363" s="9">
        <f>IFERROR(VLOOKUP(B363,cubo!$A$6:$BE$37,11,0)-VLOOKUP(B363,#REF!,$G$2,0),0)</f>
        <v>0</v>
      </c>
      <c r="H363" s="9">
        <f>IFERROR(VLOOKUP(B363,cubo!$A$6:$BE$37,53,0)-VLOOKUP(B363,#REF!,$H$2,0),0)</f>
        <v>0</v>
      </c>
      <c r="I363" s="10">
        <f>IFERROR(VLOOKUP(B363,cubo!$A$6:$BE$37,14,0)-VLOOKUP(B363,#REF!,$I$2,0),0)</f>
        <v>0</v>
      </c>
      <c r="J363" s="9">
        <f>IFERROR(VLOOKUP(B363,cubo!$A$6:$BE$37,16,0)-VLOOKUP(B363,#REF!,$J$2,0),0)</f>
        <v>0</v>
      </c>
      <c r="K363" s="9">
        <f>IFERROR(VLOOKUP(B363,cubo!$A$6:$BE$37,17,0)-VLOOKUP(B363,#REF!,$K$2,0),0)</f>
        <v>0</v>
      </c>
      <c r="L363" s="9">
        <f>IFERROR(VLOOKUP(B363,cubo!$A$6:$BE$37,19,0)-VLOOKUP(B363,#REF!,$L$2,0),0)</f>
        <v>0</v>
      </c>
      <c r="M363" s="9">
        <f>IFERROR(VLOOKUP(B363,cubo!$A$6:$BE$37,23,0)-VLOOKUP(B363,#REF!,$M$2,0),0)</f>
        <v>0</v>
      </c>
      <c r="N363" s="9">
        <f>IFERROR(VLOOKUP(B363,cubo!$A$6:$BE$37,25,0)-VLOOKUP(B363,#REF!,$N$2,0),0)</f>
        <v>0</v>
      </c>
      <c r="O363" s="9">
        <f>IFERROR(VLOOKUP(B363,cubo!$A$6:$BE$37,33,0)-VLOOKUP(B363,#REF!,$O$2,0),0)</f>
        <v>0</v>
      </c>
      <c r="P363" s="8">
        <f>IFERROR(VLOOKUP(B363,cubo!$A$6:$BE$37,37,0)-VLOOKUP(B363,#REF!,$P$2,0),0)</f>
        <v>0</v>
      </c>
      <c r="Q363" s="8">
        <f>IFERROR(VLOOKUP(B363,cubo!$A$6:$BE$37,56,0)-VLOOKUP(B363,#REF!,$Q$2,0),0)</f>
        <v>0</v>
      </c>
      <c r="R363" s="9">
        <f>IFERROR(VLOOKUP(B363,cubo!$A$6:$BE$37,40,0)-VLOOKUP(B363,#REF!,$R$2,0),0)</f>
        <v>0</v>
      </c>
      <c r="S363" s="9">
        <f>IFERROR(VLOOKUP(B363,cubo!$A$6:$BE$37,43,0)-VLOOKUP(B363,#REF!,$S$2,0),0)</f>
        <v>0</v>
      </c>
      <c r="T363" s="9">
        <f>IFERROR(VLOOKUP(B363,cubo!$A$6:$BE$37,46,0)-VLOOKUP(B363,#REF!,$T$2,0),0)</f>
        <v>0</v>
      </c>
      <c r="U363" s="9">
        <f>IFERROR(VLOOKUP(B363,cubo!$A$6:$BE$37,51,0)-VLOOKUP(B363,#REF!,$U$2,0),0)</f>
        <v>0</v>
      </c>
      <c r="V363" s="9">
        <f>IFERROR(VLOOKUP(B363,cubo!$A$6:$BJ$37,60,0)-VLOOKUP(B363,#REF!,$V$2,0),0)</f>
        <v>0</v>
      </c>
      <c r="W363" s="9">
        <f>IFERROR(VLOOKUP(B363,cubo!$A$6:$BE$37,26,0)-VLOOKUP(B363,#REF!,$W$2,0),0)</f>
        <v>0</v>
      </c>
      <c r="X363" s="9">
        <f>IFERROR(VLOOKUP(B363,cubo!$A$6:$BE$37,20,0)-VLOOKUP(B363,#REF!,$X$2,0),0)</f>
        <v>0</v>
      </c>
      <c r="Y363" s="9">
        <f>IFERROR(VLOOKUP(B363,cubo!$A$6:$BE$37,21,0)-VLOOKUP(B363,#REF!,$Y$2,0),0)</f>
        <v>0</v>
      </c>
      <c r="Z363" s="9">
        <f>IFERROR(VLOOKUP(B363,cubo!$A$6:$BE$37,27,0)-VLOOKUP(B363,#REF!,$Z$2,0),0)</f>
        <v>0</v>
      </c>
      <c r="AA363" s="9">
        <f>IFERROR(VLOOKUP(B363,cubo!$A$6:$BE$37,28,0)-VLOOKUP(B363,#REF!,$AA$2,0),0)</f>
        <v>0</v>
      </c>
      <c r="AB363" s="9">
        <f>IFERROR(VLOOKUP(B363,cubo!$A$6:$BE$37,29,0)-VLOOKUP(B363,#REF!,$AB$2,0),0)</f>
        <v>0</v>
      </c>
      <c r="AC363" s="9">
        <f>IFERROR(VLOOKUP(B363,cubo!$A$6:$BE$37,30,0)-VLOOKUP(B363,#REF!,$AC$2,0),0)</f>
        <v>0</v>
      </c>
      <c r="AD363" s="9">
        <f>IFERROR(VLOOKUP(B363,cubo!$A$6:$BE$37,31,0)-VLOOKUP(B363,#REF!,$AD$2,0),0)</f>
        <v>0</v>
      </c>
      <c r="AE363" s="9">
        <f>IFERROR(VLOOKUP(B363,cubo!$A$6:$BE$37,35,0)-VLOOKUP(B363,#REF!,$AE$2,0),0)</f>
        <v>0</v>
      </c>
      <c r="AF363" s="9" cm="1">
        <f t="array" aca="1" ref="AF363" ca="1">IFERROR(rrPROCV(B363,cubo!$A$6:$BE$37,48,0)-VLOOKUP(B363,#REF!,$AF$2,0),0)</f>
        <v>0</v>
      </c>
      <c r="AG363" s="9">
        <f>IFERROR(VLOOKUP(B363,cubo!$A$6:$BE$37,49,0)-VLOOKUP(B363,#REF!,$AG$2,0),0)</f>
        <v>0</v>
      </c>
      <c r="AH363" s="9">
        <f>IFERROR(VLOOKUP(B363,cubo!$A$6:$BE$37,50,0)-VLOOKUP(B363,#REF!,$AH$2,0),0)</f>
        <v>0</v>
      </c>
      <c r="AI363" s="9">
        <f>IFERROR(VLOOKUP(B363,cubo!$A$6:$BE$37,51,0)-VLOOKUP(B363,#REF!,$AI$2,0),0)</f>
        <v>0</v>
      </c>
      <c r="AJ363" s="9">
        <f>IFERROR(VLOOKUP(B363,cubo!$A$6:$BI$116,62,0)-VLOOKUP(B363,#REF!,$AJ$2,0),0)</f>
        <v>0</v>
      </c>
      <c r="AK363" s="9">
        <f>IFERROR(VLOOKUP(B363,cubo!$A$6:$BJ$37,63,0)-VLOOKUP(B363,#REF!,$AK$2,0),0)</f>
        <v>0</v>
      </c>
      <c r="AL363" s="9">
        <f>IFERROR(VLOOKUP(B363,cubo!$A$6:$BE$37,58,0)-VLOOKUP(B363,#REF!,$AL$2,0),0)</f>
        <v>0</v>
      </c>
      <c r="AM363" s="9">
        <f>IFERROR(VLOOKUP(B363,cubo!$A$6:$BK$37,64,0)-VLOOKUP(B363,#REF!,$AM$2,0),0)</f>
        <v>0</v>
      </c>
      <c r="AN363" s="9">
        <f>IFERROR(VLOOKUP(B363,cubo!$A$6:$AN$37,41,0)-VLOOKUP(B363,#REF!,$AN$2,0),0)</f>
        <v>0</v>
      </c>
    </row>
    <row r="364" spans="2:40" x14ac:dyDescent="0.25">
      <c r="B364" s="7">
        <f>[1]salario!A363</f>
        <v>0</v>
      </c>
      <c r="C364" s="8">
        <f>[1]salario!C363</f>
        <v>0</v>
      </c>
      <c r="D364" s="9">
        <f>IFERROR(VLOOKUP(B364,cubo!$A$6:$BE$37,3,0)-VLOOKUP(B364,#REF!,$D$2,0),0)</f>
        <v>0</v>
      </c>
      <c r="E364" s="10">
        <f>IFERROR(VLOOKUP(B364,cubo!$A$6:$BE$37,5,0)-VLOOKUP(B364,#REF!,$E$2,0),0)</f>
        <v>0</v>
      </c>
      <c r="F364" s="10">
        <f>IFERROR(VLOOKUP(B364,cubo!$A$6:$BE$37,8,0)-VLOOKUP(B364,#REF!,$F$2,0),0)</f>
        <v>0</v>
      </c>
      <c r="G364" s="9">
        <f>IFERROR(VLOOKUP(B364,cubo!$A$6:$BE$37,11,0)-VLOOKUP(B364,#REF!,$G$2,0),0)</f>
        <v>0</v>
      </c>
      <c r="H364" s="9">
        <f>IFERROR(VLOOKUP(B364,cubo!$A$6:$BE$37,53,0)-VLOOKUP(B364,#REF!,$H$2,0),0)</f>
        <v>0</v>
      </c>
      <c r="I364" s="10">
        <f>IFERROR(VLOOKUP(B364,cubo!$A$6:$BE$37,14,0)-VLOOKUP(B364,#REF!,$I$2,0),0)</f>
        <v>0</v>
      </c>
      <c r="J364" s="9">
        <f>IFERROR(VLOOKUP(B364,cubo!$A$6:$BE$37,16,0)-VLOOKUP(B364,#REF!,$J$2,0),0)</f>
        <v>0</v>
      </c>
      <c r="K364" s="9">
        <f>IFERROR(VLOOKUP(B364,cubo!$A$6:$BE$37,17,0)-VLOOKUP(B364,#REF!,$K$2,0),0)</f>
        <v>0</v>
      </c>
      <c r="L364" s="9">
        <f>IFERROR(VLOOKUP(B364,cubo!$A$6:$BE$37,19,0)-VLOOKUP(B364,#REF!,$L$2,0),0)</f>
        <v>0</v>
      </c>
      <c r="M364" s="9">
        <f>IFERROR(VLOOKUP(B364,cubo!$A$6:$BE$37,23,0)-VLOOKUP(B364,#REF!,$M$2,0),0)</f>
        <v>0</v>
      </c>
      <c r="N364" s="9">
        <f>IFERROR(VLOOKUP(B364,cubo!$A$6:$BE$37,25,0)-VLOOKUP(B364,#REF!,$N$2,0),0)</f>
        <v>0</v>
      </c>
      <c r="O364" s="9">
        <f>IFERROR(VLOOKUP(B364,cubo!$A$6:$BE$37,33,0)-VLOOKUP(B364,#REF!,$O$2,0),0)</f>
        <v>0</v>
      </c>
      <c r="P364" s="8">
        <f>IFERROR(VLOOKUP(B364,cubo!$A$6:$BE$37,37,0)-VLOOKUP(B364,#REF!,$P$2,0),0)</f>
        <v>0</v>
      </c>
      <c r="Q364" s="8">
        <f>IFERROR(VLOOKUP(B364,cubo!$A$6:$BE$37,56,0)-VLOOKUP(B364,#REF!,$Q$2,0),0)</f>
        <v>0</v>
      </c>
      <c r="R364" s="9">
        <f>IFERROR(VLOOKUP(B364,cubo!$A$6:$BE$37,40,0)-VLOOKUP(B364,#REF!,$R$2,0),0)</f>
        <v>0</v>
      </c>
      <c r="S364" s="9">
        <f>IFERROR(VLOOKUP(B364,cubo!$A$6:$BE$37,43,0)-VLOOKUP(B364,#REF!,$S$2,0),0)</f>
        <v>0</v>
      </c>
      <c r="T364" s="9">
        <f>IFERROR(VLOOKUP(B364,cubo!$A$6:$BE$37,46,0)-VLOOKUP(B364,#REF!,$T$2,0),0)</f>
        <v>0</v>
      </c>
      <c r="U364" s="9">
        <f>IFERROR(VLOOKUP(B364,cubo!$A$6:$BE$37,51,0)-VLOOKUP(B364,#REF!,$U$2,0),0)</f>
        <v>0</v>
      </c>
      <c r="V364" s="9">
        <f>IFERROR(VLOOKUP(B364,cubo!$A$6:$BJ$37,60,0)-VLOOKUP(B364,#REF!,$V$2,0),0)</f>
        <v>0</v>
      </c>
      <c r="W364" s="9">
        <f>IFERROR(VLOOKUP(B364,cubo!$A$6:$BE$37,26,0)-VLOOKUP(B364,#REF!,$W$2,0),0)</f>
        <v>0</v>
      </c>
      <c r="X364" s="9">
        <f>IFERROR(VLOOKUP(B364,cubo!$A$6:$BE$37,20,0)-VLOOKUP(B364,#REF!,$X$2,0),0)</f>
        <v>0</v>
      </c>
      <c r="Y364" s="9">
        <f>IFERROR(VLOOKUP(B364,cubo!$A$6:$BE$37,21,0)-VLOOKUP(B364,#REF!,$Y$2,0),0)</f>
        <v>0</v>
      </c>
      <c r="Z364" s="9">
        <f>IFERROR(VLOOKUP(B364,cubo!$A$6:$BE$37,27,0)-VLOOKUP(B364,#REF!,$Z$2,0),0)</f>
        <v>0</v>
      </c>
      <c r="AA364" s="9">
        <f>IFERROR(VLOOKUP(B364,cubo!$A$6:$BE$37,28,0)-VLOOKUP(B364,#REF!,$AA$2,0),0)</f>
        <v>0</v>
      </c>
      <c r="AB364" s="9">
        <f>IFERROR(VLOOKUP(B364,cubo!$A$6:$BE$37,29,0)-VLOOKUP(B364,#REF!,$AB$2,0),0)</f>
        <v>0</v>
      </c>
      <c r="AC364" s="9">
        <f>IFERROR(VLOOKUP(B364,cubo!$A$6:$BE$37,30,0)-VLOOKUP(B364,#REF!,$AC$2,0),0)</f>
        <v>0</v>
      </c>
      <c r="AD364" s="9">
        <f>IFERROR(VLOOKUP(B364,cubo!$A$6:$BE$37,31,0)-VLOOKUP(B364,#REF!,$AD$2,0),0)</f>
        <v>0</v>
      </c>
      <c r="AE364" s="9">
        <f>IFERROR(VLOOKUP(B364,cubo!$A$6:$BE$37,35,0)-VLOOKUP(B364,#REF!,$AE$2,0),0)</f>
        <v>0</v>
      </c>
      <c r="AF364" s="9" cm="1">
        <f t="array" aca="1" ref="AF364" ca="1">IFERROR(rrPROCV(B364,cubo!$A$6:$BE$37,48,0)-VLOOKUP(B364,#REF!,$AF$2,0),0)</f>
        <v>0</v>
      </c>
      <c r="AG364" s="9">
        <f>IFERROR(VLOOKUP(B364,cubo!$A$6:$BE$37,49,0)-VLOOKUP(B364,#REF!,$AG$2,0),0)</f>
        <v>0</v>
      </c>
      <c r="AH364" s="9">
        <f>IFERROR(VLOOKUP(B364,cubo!$A$6:$BE$37,50,0)-VLOOKUP(B364,#REF!,$AH$2,0),0)</f>
        <v>0</v>
      </c>
      <c r="AI364" s="9">
        <f>IFERROR(VLOOKUP(B364,cubo!$A$6:$BE$37,51,0)-VLOOKUP(B364,#REF!,$AI$2,0),0)</f>
        <v>0</v>
      </c>
      <c r="AJ364" s="9">
        <f>IFERROR(VLOOKUP(B364,cubo!$A$6:$BI$116,62,0)-VLOOKUP(B364,#REF!,$AJ$2,0),0)</f>
        <v>0</v>
      </c>
      <c r="AK364" s="9">
        <f>IFERROR(VLOOKUP(B364,cubo!$A$6:$BJ$37,63,0)-VLOOKUP(B364,#REF!,$AK$2,0),0)</f>
        <v>0</v>
      </c>
      <c r="AL364" s="9">
        <f>IFERROR(VLOOKUP(B364,cubo!$A$6:$BE$37,58,0)-VLOOKUP(B364,#REF!,$AL$2,0),0)</f>
        <v>0</v>
      </c>
      <c r="AM364" s="9">
        <f>IFERROR(VLOOKUP(B364,cubo!$A$6:$BK$37,64,0)-VLOOKUP(B364,#REF!,$AM$2,0),0)</f>
        <v>0</v>
      </c>
      <c r="AN364" s="9">
        <f>IFERROR(VLOOKUP(B364,cubo!$A$6:$AN$37,41,0)-VLOOKUP(B364,#REF!,$AN$2,0),0)</f>
        <v>0</v>
      </c>
    </row>
    <row r="365" spans="2:40" x14ac:dyDescent="0.25">
      <c r="B365" s="7">
        <f>[1]salario!A364</f>
        <v>0</v>
      </c>
      <c r="C365" s="8">
        <f>[1]salario!C364</f>
        <v>0</v>
      </c>
      <c r="D365" s="9">
        <f>IFERROR(VLOOKUP(B365,cubo!$A$6:$BE$37,3,0)-VLOOKUP(B365,#REF!,$D$2,0),0)</f>
        <v>0</v>
      </c>
      <c r="E365" s="10">
        <f>IFERROR(VLOOKUP(B365,cubo!$A$6:$BE$37,5,0)-VLOOKUP(B365,#REF!,$E$2,0),0)</f>
        <v>0</v>
      </c>
      <c r="F365" s="10">
        <f>IFERROR(VLOOKUP(B365,cubo!$A$6:$BE$37,8,0)-VLOOKUP(B365,#REF!,$F$2,0),0)</f>
        <v>0</v>
      </c>
      <c r="G365" s="9">
        <f>IFERROR(VLOOKUP(B365,cubo!$A$6:$BE$37,11,0)-VLOOKUP(B365,#REF!,$G$2,0),0)</f>
        <v>0</v>
      </c>
      <c r="H365" s="9">
        <f>IFERROR(VLOOKUP(B365,cubo!$A$6:$BE$37,53,0)-VLOOKUP(B365,#REF!,$H$2,0),0)</f>
        <v>0</v>
      </c>
      <c r="I365" s="10">
        <f>IFERROR(VLOOKUP(B365,cubo!$A$6:$BE$37,14,0)-VLOOKUP(B365,#REF!,$I$2,0),0)</f>
        <v>0</v>
      </c>
      <c r="J365" s="9">
        <f>IFERROR(VLOOKUP(B365,cubo!$A$6:$BE$37,16,0)-VLOOKUP(B365,#REF!,$J$2,0),0)</f>
        <v>0</v>
      </c>
      <c r="K365" s="9">
        <f>IFERROR(VLOOKUP(B365,cubo!$A$6:$BE$37,17,0)-VLOOKUP(B365,#REF!,$K$2,0),0)</f>
        <v>0</v>
      </c>
      <c r="L365" s="9">
        <f>IFERROR(VLOOKUP(B365,cubo!$A$6:$BE$37,19,0)-VLOOKUP(B365,#REF!,$L$2,0),0)</f>
        <v>0</v>
      </c>
      <c r="M365" s="9">
        <f>IFERROR(VLOOKUP(B365,cubo!$A$6:$BE$37,23,0)-VLOOKUP(B365,#REF!,$M$2,0),0)</f>
        <v>0</v>
      </c>
      <c r="N365" s="9">
        <f>IFERROR(VLOOKUP(B365,cubo!$A$6:$BE$37,25,0)-VLOOKUP(B365,#REF!,$N$2,0),0)</f>
        <v>0</v>
      </c>
      <c r="O365" s="9">
        <f>IFERROR(VLOOKUP(B365,cubo!$A$6:$BE$37,33,0)-VLOOKUP(B365,#REF!,$O$2,0),0)</f>
        <v>0</v>
      </c>
      <c r="P365" s="8">
        <f>IFERROR(VLOOKUP(B365,cubo!$A$6:$BE$37,37,0)-VLOOKUP(B365,#REF!,$P$2,0),0)</f>
        <v>0</v>
      </c>
      <c r="Q365" s="8">
        <f>IFERROR(VLOOKUP(B365,cubo!$A$6:$BE$37,56,0)-VLOOKUP(B365,#REF!,$Q$2,0),0)</f>
        <v>0</v>
      </c>
      <c r="R365" s="9">
        <f>IFERROR(VLOOKUP(B365,cubo!$A$6:$BE$37,40,0)-VLOOKUP(B365,#REF!,$R$2,0),0)</f>
        <v>0</v>
      </c>
      <c r="S365" s="9">
        <f>IFERROR(VLOOKUP(B365,cubo!$A$6:$BE$37,43,0)-VLOOKUP(B365,#REF!,$S$2,0),0)</f>
        <v>0</v>
      </c>
      <c r="T365" s="9">
        <f>IFERROR(VLOOKUP(B365,cubo!$A$6:$BE$37,46,0)-VLOOKUP(B365,#REF!,$T$2,0),0)</f>
        <v>0</v>
      </c>
      <c r="U365" s="9">
        <f>IFERROR(VLOOKUP(B365,cubo!$A$6:$BE$37,51,0)-VLOOKUP(B365,#REF!,$U$2,0),0)</f>
        <v>0</v>
      </c>
      <c r="V365" s="9">
        <f>IFERROR(VLOOKUP(B365,cubo!$A$6:$BJ$37,60,0)-VLOOKUP(B365,#REF!,$V$2,0),0)</f>
        <v>0</v>
      </c>
      <c r="W365" s="9">
        <f>IFERROR(VLOOKUP(B365,cubo!$A$6:$BE$37,26,0)-VLOOKUP(B365,#REF!,$W$2,0),0)</f>
        <v>0</v>
      </c>
      <c r="X365" s="9">
        <f>IFERROR(VLOOKUP(B365,cubo!$A$6:$BE$37,20,0)-VLOOKUP(B365,#REF!,$X$2,0),0)</f>
        <v>0</v>
      </c>
      <c r="Y365" s="9">
        <f>IFERROR(VLOOKUP(B365,cubo!$A$6:$BE$37,21,0)-VLOOKUP(B365,#REF!,$Y$2,0),0)</f>
        <v>0</v>
      </c>
      <c r="Z365" s="9">
        <f>IFERROR(VLOOKUP(B365,cubo!$A$6:$BE$37,27,0)-VLOOKUP(B365,#REF!,$Z$2,0),0)</f>
        <v>0</v>
      </c>
      <c r="AA365" s="9">
        <f>IFERROR(VLOOKUP(B365,cubo!$A$6:$BE$37,28,0)-VLOOKUP(B365,#REF!,$AA$2,0),0)</f>
        <v>0</v>
      </c>
      <c r="AB365" s="9">
        <f>IFERROR(VLOOKUP(B365,cubo!$A$6:$BE$37,29,0)-VLOOKUP(B365,#REF!,$AB$2,0),0)</f>
        <v>0</v>
      </c>
      <c r="AC365" s="9">
        <f>IFERROR(VLOOKUP(B365,cubo!$A$6:$BE$37,30,0)-VLOOKUP(B365,#REF!,$AC$2,0),0)</f>
        <v>0</v>
      </c>
      <c r="AD365" s="9">
        <f>IFERROR(VLOOKUP(B365,cubo!$A$6:$BE$37,31,0)-VLOOKUP(B365,#REF!,$AD$2,0),0)</f>
        <v>0</v>
      </c>
      <c r="AE365" s="9">
        <f>IFERROR(VLOOKUP(B365,cubo!$A$6:$BE$37,35,0)-VLOOKUP(B365,#REF!,$AE$2,0),0)</f>
        <v>0</v>
      </c>
      <c r="AF365" s="9" cm="1">
        <f t="array" aca="1" ref="AF365" ca="1">IFERROR(rrPROCV(B365,cubo!$A$6:$BE$37,48,0)-VLOOKUP(B365,#REF!,$AF$2,0),0)</f>
        <v>0</v>
      </c>
      <c r="AG365" s="9">
        <f>IFERROR(VLOOKUP(B365,cubo!$A$6:$BE$37,49,0)-VLOOKUP(B365,#REF!,$AG$2,0),0)</f>
        <v>0</v>
      </c>
      <c r="AH365" s="9">
        <f>IFERROR(VLOOKUP(B365,cubo!$A$6:$BE$37,50,0)-VLOOKUP(B365,#REF!,$AH$2,0),0)</f>
        <v>0</v>
      </c>
      <c r="AI365" s="9">
        <f>IFERROR(VLOOKUP(B365,cubo!$A$6:$BE$37,51,0)-VLOOKUP(B365,#REF!,$AI$2,0),0)</f>
        <v>0</v>
      </c>
      <c r="AJ365" s="9">
        <f>IFERROR(VLOOKUP(B365,cubo!$A$6:$BI$116,62,0)-VLOOKUP(B365,#REF!,$AJ$2,0),0)</f>
        <v>0</v>
      </c>
      <c r="AK365" s="9">
        <f>IFERROR(VLOOKUP(B365,cubo!$A$6:$BJ$37,63,0)-VLOOKUP(B365,#REF!,$AK$2,0),0)</f>
        <v>0</v>
      </c>
      <c r="AL365" s="9">
        <f>IFERROR(VLOOKUP(B365,cubo!$A$6:$BE$37,58,0)-VLOOKUP(B365,#REF!,$AL$2,0),0)</f>
        <v>0</v>
      </c>
      <c r="AM365" s="9">
        <f>IFERROR(VLOOKUP(B365,cubo!$A$6:$BK$37,64,0)-VLOOKUP(B365,#REF!,$AM$2,0),0)</f>
        <v>0</v>
      </c>
      <c r="AN365" s="9">
        <f>IFERROR(VLOOKUP(B365,cubo!$A$6:$AN$37,41,0)-VLOOKUP(B365,#REF!,$AN$2,0),0)</f>
        <v>0</v>
      </c>
    </row>
    <row r="366" spans="2:40" x14ac:dyDescent="0.25">
      <c r="B366" s="7">
        <f>[1]salario!A365</f>
        <v>0</v>
      </c>
      <c r="C366" s="8">
        <f>[1]salario!C365</f>
        <v>0</v>
      </c>
      <c r="D366" s="9">
        <f>IFERROR(VLOOKUP(B366,cubo!$A$6:$BE$37,3,0)-VLOOKUP(B366,#REF!,$D$2,0),0)</f>
        <v>0</v>
      </c>
      <c r="E366" s="10">
        <f>IFERROR(VLOOKUP(B366,cubo!$A$6:$BE$37,5,0)-VLOOKUP(B366,#REF!,$E$2,0),0)</f>
        <v>0</v>
      </c>
      <c r="F366" s="10">
        <f>IFERROR(VLOOKUP(B366,cubo!$A$6:$BE$37,8,0)-VLOOKUP(B366,#REF!,$F$2,0),0)</f>
        <v>0</v>
      </c>
      <c r="G366" s="9">
        <f>IFERROR(VLOOKUP(B366,cubo!$A$6:$BE$37,11,0)-VLOOKUP(B366,#REF!,$G$2,0),0)</f>
        <v>0</v>
      </c>
      <c r="H366" s="9">
        <f>IFERROR(VLOOKUP(B366,cubo!$A$6:$BE$37,53,0)-VLOOKUP(B366,#REF!,$H$2,0),0)</f>
        <v>0</v>
      </c>
      <c r="I366" s="10">
        <f>IFERROR(VLOOKUP(B366,cubo!$A$6:$BE$37,14,0)-VLOOKUP(B366,#REF!,$I$2,0),0)</f>
        <v>0</v>
      </c>
      <c r="J366" s="9">
        <f>IFERROR(VLOOKUP(B366,cubo!$A$6:$BE$37,16,0)-VLOOKUP(B366,#REF!,$J$2,0),0)</f>
        <v>0</v>
      </c>
      <c r="K366" s="9">
        <f>IFERROR(VLOOKUP(B366,cubo!$A$6:$BE$37,17,0)-VLOOKUP(B366,#REF!,$K$2,0),0)</f>
        <v>0</v>
      </c>
      <c r="L366" s="9">
        <f>IFERROR(VLOOKUP(B366,cubo!$A$6:$BE$37,19,0)-VLOOKUP(B366,#REF!,$L$2,0),0)</f>
        <v>0</v>
      </c>
      <c r="M366" s="9">
        <f>IFERROR(VLOOKUP(B366,cubo!$A$6:$BE$37,23,0)-VLOOKUP(B366,#REF!,$M$2,0),0)</f>
        <v>0</v>
      </c>
      <c r="N366" s="9">
        <f>IFERROR(VLOOKUP(B366,cubo!$A$6:$BE$37,25,0)-VLOOKUP(B366,#REF!,$N$2,0),0)</f>
        <v>0</v>
      </c>
      <c r="O366" s="9">
        <f>IFERROR(VLOOKUP(B366,cubo!$A$6:$BE$37,33,0)-VLOOKUP(B366,#REF!,$O$2,0),0)</f>
        <v>0</v>
      </c>
      <c r="P366" s="8">
        <f>IFERROR(VLOOKUP(B366,cubo!$A$6:$BE$37,37,0)-VLOOKUP(B366,#REF!,$P$2,0),0)</f>
        <v>0</v>
      </c>
      <c r="Q366" s="8">
        <f>IFERROR(VLOOKUP(B366,cubo!$A$6:$BE$37,56,0)-VLOOKUP(B366,#REF!,$Q$2,0),0)</f>
        <v>0</v>
      </c>
      <c r="R366" s="9">
        <f>IFERROR(VLOOKUP(B366,cubo!$A$6:$BE$37,40,0)-VLOOKUP(B366,#REF!,$R$2,0),0)</f>
        <v>0</v>
      </c>
      <c r="S366" s="9">
        <f>IFERROR(VLOOKUP(B366,cubo!$A$6:$BE$37,43,0)-VLOOKUP(B366,#REF!,$S$2,0),0)</f>
        <v>0</v>
      </c>
      <c r="T366" s="9">
        <f>IFERROR(VLOOKUP(B366,cubo!$A$6:$BE$37,46,0)-VLOOKUP(B366,#REF!,$T$2,0),0)</f>
        <v>0</v>
      </c>
      <c r="U366" s="9">
        <f>IFERROR(VLOOKUP(B366,cubo!$A$6:$BE$37,51,0)-VLOOKUP(B366,#REF!,$U$2,0),0)</f>
        <v>0</v>
      </c>
      <c r="V366" s="9">
        <f>IFERROR(VLOOKUP(B366,cubo!$A$6:$BJ$37,60,0)-VLOOKUP(B366,#REF!,$V$2,0),0)</f>
        <v>0</v>
      </c>
      <c r="W366" s="9">
        <f>IFERROR(VLOOKUP(B366,cubo!$A$6:$BE$37,26,0)-VLOOKUP(B366,#REF!,$W$2,0),0)</f>
        <v>0</v>
      </c>
      <c r="X366" s="9">
        <f>IFERROR(VLOOKUP(B366,cubo!$A$6:$BE$37,20,0)-VLOOKUP(B366,#REF!,$X$2,0),0)</f>
        <v>0</v>
      </c>
      <c r="Y366" s="9">
        <f>IFERROR(VLOOKUP(B366,cubo!$A$6:$BE$37,21,0)-VLOOKUP(B366,#REF!,$Y$2,0),0)</f>
        <v>0</v>
      </c>
      <c r="Z366" s="9">
        <f>IFERROR(VLOOKUP(B366,cubo!$A$6:$BE$37,27,0)-VLOOKUP(B366,#REF!,$Z$2,0),0)</f>
        <v>0</v>
      </c>
      <c r="AA366" s="9">
        <f>IFERROR(VLOOKUP(B366,cubo!$A$6:$BE$37,28,0)-VLOOKUP(B366,#REF!,$AA$2,0),0)</f>
        <v>0</v>
      </c>
      <c r="AB366" s="9">
        <f>IFERROR(VLOOKUP(B366,cubo!$A$6:$BE$37,29,0)-VLOOKUP(B366,#REF!,$AB$2,0),0)</f>
        <v>0</v>
      </c>
      <c r="AC366" s="9">
        <f>IFERROR(VLOOKUP(B366,cubo!$A$6:$BE$37,30,0)-VLOOKUP(B366,#REF!,$AC$2,0),0)</f>
        <v>0</v>
      </c>
      <c r="AD366" s="9">
        <f>IFERROR(VLOOKUP(B366,cubo!$A$6:$BE$37,31,0)-VLOOKUP(B366,#REF!,$AD$2,0),0)</f>
        <v>0</v>
      </c>
      <c r="AE366" s="9">
        <f>IFERROR(VLOOKUP(B366,cubo!$A$6:$BE$37,35,0)-VLOOKUP(B366,#REF!,$AE$2,0),0)</f>
        <v>0</v>
      </c>
      <c r="AF366" s="9" cm="1">
        <f t="array" aca="1" ref="AF366" ca="1">IFERROR(rrPROCV(B366,cubo!$A$6:$BE$37,48,0)-VLOOKUP(B366,#REF!,$AF$2,0),0)</f>
        <v>0</v>
      </c>
      <c r="AG366" s="9">
        <f>IFERROR(VLOOKUP(B366,cubo!$A$6:$BE$37,49,0)-VLOOKUP(B366,#REF!,$AG$2,0),0)</f>
        <v>0</v>
      </c>
      <c r="AH366" s="9">
        <f>IFERROR(VLOOKUP(B366,cubo!$A$6:$BE$37,50,0)-VLOOKUP(B366,#REF!,$AH$2,0),0)</f>
        <v>0</v>
      </c>
      <c r="AI366" s="9">
        <f>IFERROR(VLOOKUP(B366,cubo!$A$6:$BE$37,51,0)-VLOOKUP(B366,#REF!,$AI$2,0),0)</f>
        <v>0</v>
      </c>
      <c r="AJ366" s="9">
        <f>IFERROR(VLOOKUP(B366,cubo!$A$6:$BI$116,62,0)-VLOOKUP(B366,#REF!,$AJ$2,0),0)</f>
        <v>0</v>
      </c>
      <c r="AK366" s="9">
        <f>IFERROR(VLOOKUP(B366,cubo!$A$6:$BJ$37,63,0)-VLOOKUP(B366,#REF!,$AK$2,0),0)</f>
        <v>0</v>
      </c>
      <c r="AL366" s="9">
        <f>IFERROR(VLOOKUP(B366,cubo!$A$6:$BE$37,58,0)-VLOOKUP(B366,#REF!,$AL$2,0),0)</f>
        <v>0</v>
      </c>
      <c r="AM366" s="9">
        <f>IFERROR(VLOOKUP(B366,cubo!$A$6:$BK$37,64,0)-VLOOKUP(B366,#REF!,$AM$2,0),0)</f>
        <v>0</v>
      </c>
      <c r="AN366" s="9">
        <f>IFERROR(VLOOKUP(B366,cubo!$A$6:$AN$37,41,0)-VLOOKUP(B366,#REF!,$AN$2,0),0)</f>
        <v>0</v>
      </c>
    </row>
    <row r="367" spans="2:40" x14ac:dyDescent="0.25">
      <c r="B367" s="7">
        <f>[1]salario!A366</f>
        <v>0</v>
      </c>
      <c r="C367" s="8">
        <f>[1]salario!C366</f>
        <v>0</v>
      </c>
      <c r="D367" s="9">
        <f>IFERROR(VLOOKUP(B367,cubo!$A$6:$BE$37,3,0)-VLOOKUP(B367,#REF!,$D$2,0),0)</f>
        <v>0</v>
      </c>
      <c r="E367" s="10">
        <f>IFERROR(VLOOKUP(B367,cubo!$A$6:$BE$37,5,0)-VLOOKUP(B367,#REF!,$E$2,0),0)</f>
        <v>0</v>
      </c>
      <c r="F367" s="10">
        <f>IFERROR(VLOOKUP(B367,cubo!$A$6:$BE$37,8,0)-VLOOKUP(B367,#REF!,$F$2,0),0)</f>
        <v>0</v>
      </c>
      <c r="G367" s="9">
        <f>IFERROR(VLOOKUP(B367,cubo!$A$6:$BE$37,11,0)-VLOOKUP(B367,#REF!,$G$2,0),0)</f>
        <v>0</v>
      </c>
      <c r="H367" s="9">
        <f>IFERROR(VLOOKUP(B367,cubo!$A$6:$BE$37,53,0)-VLOOKUP(B367,#REF!,$H$2,0),0)</f>
        <v>0</v>
      </c>
      <c r="I367" s="10">
        <f>IFERROR(VLOOKUP(B367,cubo!$A$6:$BE$37,14,0)-VLOOKUP(B367,#REF!,$I$2,0),0)</f>
        <v>0</v>
      </c>
      <c r="J367" s="9">
        <f>IFERROR(VLOOKUP(B367,cubo!$A$6:$BE$37,16,0)-VLOOKUP(B367,#REF!,$J$2,0),0)</f>
        <v>0</v>
      </c>
      <c r="K367" s="9">
        <f>IFERROR(VLOOKUP(B367,cubo!$A$6:$BE$37,17,0)-VLOOKUP(B367,#REF!,$K$2,0),0)</f>
        <v>0</v>
      </c>
      <c r="L367" s="9">
        <f>IFERROR(VLOOKUP(B367,cubo!$A$6:$BE$37,19,0)-VLOOKUP(B367,#REF!,$L$2,0),0)</f>
        <v>0</v>
      </c>
      <c r="M367" s="9">
        <f>IFERROR(VLOOKUP(B367,cubo!$A$6:$BE$37,23,0)-VLOOKUP(B367,#REF!,$M$2,0),0)</f>
        <v>0</v>
      </c>
      <c r="N367" s="9">
        <f>IFERROR(VLOOKUP(B367,cubo!$A$6:$BE$37,25,0)-VLOOKUP(B367,#REF!,$N$2,0),0)</f>
        <v>0</v>
      </c>
      <c r="O367" s="9">
        <f>IFERROR(VLOOKUP(B367,cubo!$A$6:$BE$37,33,0)-VLOOKUP(B367,#REF!,$O$2,0),0)</f>
        <v>0</v>
      </c>
      <c r="P367" s="8">
        <f>IFERROR(VLOOKUP(B367,cubo!$A$6:$BE$37,37,0)-VLOOKUP(B367,#REF!,$P$2,0),0)</f>
        <v>0</v>
      </c>
      <c r="Q367" s="8">
        <f>IFERROR(VLOOKUP(B367,cubo!$A$6:$BE$37,56,0)-VLOOKUP(B367,#REF!,$Q$2,0),0)</f>
        <v>0</v>
      </c>
      <c r="R367" s="9">
        <f>IFERROR(VLOOKUP(B367,cubo!$A$6:$BE$37,40,0)-VLOOKUP(B367,#REF!,$R$2,0),0)</f>
        <v>0</v>
      </c>
      <c r="S367" s="9">
        <f>IFERROR(VLOOKUP(B367,cubo!$A$6:$BE$37,43,0)-VLOOKUP(B367,#REF!,$S$2,0),0)</f>
        <v>0</v>
      </c>
      <c r="T367" s="9">
        <f>IFERROR(VLOOKUP(B367,cubo!$A$6:$BE$37,46,0)-VLOOKUP(B367,#REF!,$T$2,0),0)</f>
        <v>0</v>
      </c>
      <c r="U367" s="9">
        <f>IFERROR(VLOOKUP(B367,cubo!$A$6:$BE$37,51,0)-VLOOKUP(B367,#REF!,$U$2,0),0)</f>
        <v>0</v>
      </c>
      <c r="V367" s="9">
        <f>IFERROR(VLOOKUP(B367,cubo!$A$6:$BJ$37,60,0)-VLOOKUP(B367,#REF!,$V$2,0),0)</f>
        <v>0</v>
      </c>
      <c r="W367" s="9">
        <f>IFERROR(VLOOKUP(B367,cubo!$A$6:$BE$37,26,0)-VLOOKUP(B367,#REF!,$W$2,0),0)</f>
        <v>0</v>
      </c>
      <c r="X367" s="9">
        <f>IFERROR(VLOOKUP(B367,cubo!$A$6:$BE$37,20,0)-VLOOKUP(B367,#REF!,$X$2,0),0)</f>
        <v>0</v>
      </c>
      <c r="Y367" s="9">
        <f>IFERROR(VLOOKUP(B367,cubo!$A$6:$BE$37,21,0)-VLOOKUP(B367,#REF!,$Y$2,0),0)</f>
        <v>0</v>
      </c>
      <c r="Z367" s="9">
        <f>IFERROR(VLOOKUP(B367,cubo!$A$6:$BE$37,27,0)-VLOOKUP(B367,#REF!,$Z$2,0),0)</f>
        <v>0</v>
      </c>
      <c r="AA367" s="9">
        <f>IFERROR(VLOOKUP(B367,cubo!$A$6:$BE$37,28,0)-VLOOKUP(B367,#REF!,$AA$2,0),0)</f>
        <v>0</v>
      </c>
      <c r="AB367" s="9">
        <f>IFERROR(VLOOKUP(B367,cubo!$A$6:$BE$37,29,0)-VLOOKUP(B367,#REF!,$AB$2,0),0)</f>
        <v>0</v>
      </c>
      <c r="AC367" s="9">
        <f>IFERROR(VLOOKUP(B367,cubo!$A$6:$BE$37,30,0)-VLOOKUP(B367,#REF!,$AC$2,0),0)</f>
        <v>0</v>
      </c>
      <c r="AD367" s="9">
        <f>IFERROR(VLOOKUP(B367,cubo!$A$6:$BE$37,31,0)-VLOOKUP(B367,#REF!,$AD$2,0),0)</f>
        <v>0</v>
      </c>
      <c r="AE367" s="9">
        <f>IFERROR(VLOOKUP(B367,cubo!$A$6:$BE$37,35,0)-VLOOKUP(B367,#REF!,$AE$2,0),0)</f>
        <v>0</v>
      </c>
      <c r="AF367" s="9" cm="1">
        <f t="array" aca="1" ref="AF367" ca="1">IFERROR(rrPROCV(B367,cubo!$A$6:$BE$37,48,0)-VLOOKUP(B367,#REF!,$AF$2,0),0)</f>
        <v>0</v>
      </c>
      <c r="AG367" s="9">
        <f>IFERROR(VLOOKUP(B367,cubo!$A$6:$BE$37,49,0)-VLOOKUP(B367,#REF!,$AG$2,0),0)</f>
        <v>0</v>
      </c>
      <c r="AH367" s="9">
        <f>IFERROR(VLOOKUP(B367,cubo!$A$6:$BE$37,50,0)-VLOOKUP(B367,#REF!,$AH$2,0),0)</f>
        <v>0</v>
      </c>
      <c r="AI367" s="9">
        <f>IFERROR(VLOOKUP(B367,cubo!$A$6:$BE$37,51,0)-VLOOKUP(B367,#REF!,$AI$2,0),0)</f>
        <v>0</v>
      </c>
      <c r="AJ367" s="9">
        <f>IFERROR(VLOOKUP(B367,cubo!$A$6:$BI$116,62,0)-VLOOKUP(B367,#REF!,$AJ$2,0),0)</f>
        <v>0</v>
      </c>
      <c r="AK367" s="9">
        <f>IFERROR(VLOOKUP(B367,cubo!$A$6:$BJ$37,63,0)-VLOOKUP(B367,#REF!,$AK$2,0),0)</f>
        <v>0</v>
      </c>
      <c r="AL367" s="9">
        <f>IFERROR(VLOOKUP(B367,cubo!$A$6:$BE$37,58,0)-VLOOKUP(B367,#REF!,$AL$2,0),0)</f>
        <v>0</v>
      </c>
      <c r="AM367" s="9">
        <f>IFERROR(VLOOKUP(B367,cubo!$A$6:$BK$37,64,0)-VLOOKUP(B367,#REF!,$AM$2,0),0)</f>
        <v>0</v>
      </c>
      <c r="AN367" s="9">
        <f>IFERROR(VLOOKUP(B367,cubo!$A$6:$AN$37,41,0)-VLOOKUP(B367,#REF!,$AN$2,0),0)</f>
        <v>0</v>
      </c>
    </row>
    <row r="368" spans="2:40" x14ac:dyDescent="0.25">
      <c r="B368" s="7">
        <f>[1]salario!A367</f>
        <v>0</v>
      </c>
      <c r="C368" s="8">
        <f>[1]salario!C367</f>
        <v>0</v>
      </c>
      <c r="D368" s="9">
        <f>IFERROR(VLOOKUP(B368,cubo!$A$6:$BE$37,3,0)-VLOOKUP(B368,#REF!,$D$2,0),0)</f>
        <v>0</v>
      </c>
      <c r="E368" s="10">
        <f>IFERROR(VLOOKUP(B368,cubo!$A$6:$BE$37,5,0)-VLOOKUP(B368,#REF!,$E$2,0),0)</f>
        <v>0</v>
      </c>
      <c r="F368" s="10">
        <f>IFERROR(VLOOKUP(B368,cubo!$A$6:$BE$37,8,0)-VLOOKUP(B368,#REF!,$F$2,0),0)</f>
        <v>0</v>
      </c>
      <c r="G368" s="9">
        <f>IFERROR(VLOOKUP(B368,cubo!$A$6:$BE$37,11,0)-VLOOKUP(B368,#REF!,$G$2,0),0)</f>
        <v>0</v>
      </c>
      <c r="H368" s="9">
        <f>IFERROR(VLOOKUP(B368,cubo!$A$6:$BE$37,53,0)-VLOOKUP(B368,#REF!,$H$2,0),0)</f>
        <v>0</v>
      </c>
      <c r="I368" s="10">
        <f>IFERROR(VLOOKUP(B368,cubo!$A$6:$BE$37,14,0)-VLOOKUP(B368,#REF!,$I$2,0),0)</f>
        <v>0</v>
      </c>
      <c r="J368" s="9">
        <f>IFERROR(VLOOKUP(B368,cubo!$A$6:$BE$37,16,0)-VLOOKUP(B368,#REF!,$J$2,0),0)</f>
        <v>0</v>
      </c>
      <c r="K368" s="9">
        <f>IFERROR(VLOOKUP(B368,cubo!$A$6:$BE$37,17,0)-VLOOKUP(B368,#REF!,$K$2,0),0)</f>
        <v>0</v>
      </c>
      <c r="L368" s="9">
        <f>IFERROR(VLOOKUP(B368,cubo!$A$6:$BE$37,19,0)-VLOOKUP(B368,#REF!,$L$2,0),0)</f>
        <v>0</v>
      </c>
      <c r="M368" s="9">
        <f>IFERROR(VLOOKUP(B368,cubo!$A$6:$BE$37,23,0)-VLOOKUP(B368,#REF!,$M$2,0),0)</f>
        <v>0</v>
      </c>
      <c r="N368" s="9">
        <f>IFERROR(VLOOKUP(B368,cubo!$A$6:$BE$37,25,0)-VLOOKUP(B368,#REF!,$N$2,0),0)</f>
        <v>0</v>
      </c>
      <c r="O368" s="9">
        <f>IFERROR(VLOOKUP(B368,cubo!$A$6:$BE$37,33,0)-VLOOKUP(B368,#REF!,$O$2,0),0)</f>
        <v>0</v>
      </c>
      <c r="P368" s="8">
        <f>IFERROR(VLOOKUP(B368,cubo!$A$6:$BE$37,37,0)-VLOOKUP(B368,#REF!,$P$2,0),0)</f>
        <v>0</v>
      </c>
      <c r="Q368" s="8">
        <f>IFERROR(VLOOKUP(B368,cubo!$A$6:$BE$37,56,0)-VLOOKUP(B368,#REF!,$Q$2,0),0)</f>
        <v>0</v>
      </c>
      <c r="R368" s="9">
        <f>IFERROR(VLOOKUP(B368,cubo!$A$6:$BE$37,40,0)-VLOOKUP(B368,#REF!,$R$2,0),0)</f>
        <v>0</v>
      </c>
      <c r="S368" s="9">
        <f>IFERROR(VLOOKUP(B368,cubo!$A$6:$BE$37,43,0)-VLOOKUP(B368,#REF!,$S$2,0),0)</f>
        <v>0</v>
      </c>
      <c r="T368" s="9">
        <f>IFERROR(VLOOKUP(B368,cubo!$A$6:$BE$37,46,0)-VLOOKUP(B368,#REF!,$T$2,0),0)</f>
        <v>0</v>
      </c>
      <c r="U368" s="9">
        <f>IFERROR(VLOOKUP(B368,cubo!$A$6:$BE$37,51,0)-VLOOKUP(B368,#REF!,$U$2,0),0)</f>
        <v>0</v>
      </c>
      <c r="V368" s="9">
        <f>IFERROR(VLOOKUP(B368,cubo!$A$6:$BJ$37,60,0)-VLOOKUP(B368,#REF!,$V$2,0),0)</f>
        <v>0</v>
      </c>
      <c r="W368" s="9">
        <f>IFERROR(VLOOKUP(B368,cubo!$A$6:$BE$37,26,0)-VLOOKUP(B368,#REF!,$W$2,0),0)</f>
        <v>0</v>
      </c>
      <c r="X368" s="9">
        <f>IFERROR(VLOOKUP(B368,cubo!$A$6:$BE$37,20,0)-VLOOKUP(B368,#REF!,$X$2,0),0)</f>
        <v>0</v>
      </c>
      <c r="Y368" s="9">
        <f>IFERROR(VLOOKUP(B368,cubo!$A$6:$BE$37,21,0)-VLOOKUP(B368,#REF!,$Y$2,0),0)</f>
        <v>0</v>
      </c>
      <c r="Z368" s="9">
        <f>IFERROR(VLOOKUP(B368,cubo!$A$6:$BE$37,27,0)-VLOOKUP(B368,#REF!,$Z$2,0),0)</f>
        <v>0</v>
      </c>
      <c r="AA368" s="9">
        <f>IFERROR(VLOOKUP(B368,cubo!$A$6:$BE$37,28,0)-VLOOKUP(B368,#REF!,$AA$2,0),0)</f>
        <v>0</v>
      </c>
      <c r="AB368" s="9">
        <f>IFERROR(VLOOKUP(B368,cubo!$A$6:$BE$37,29,0)-VLOOKUP(B368,#REF!,$AB$2,0),0)</f>
        <v>0</v>
      </c>
      <c r="AC368" s="9">
        <f>IFERROR(VLOOKUP(B368,cubo!$A$6:$BE$37,30,0)-VLOOKUP(B368,#REF!,$AC$2,0),0)</f>
        <v>0</v>
      </c>
      <c r="AD368" s="9">
        <f>IFERROR(VLOOKUP(B368,cubo!$A$6:$BE$37,31,0)-VLOOKUP(B368,#REF!,$AD$2,0),0)</f>
        <v>0</v>
      </c>
      <c r="AE368" s="9">
        <f>IFERROR(VLOOKUP(B368,cubo!$A$6:$BE$37,35,0)-VLOOKUP(B368,#REF!,$AE$2,0),0)</f>
        <v>0</v>
      </c>
      <c r="AF368" s="9" cm="1">
        <f t="array" aca="1" ref="AF368" ca="1">IFERROR(rrPROCV(B368,cubo!$A$6:$BE$37,48,0)-VLOOKUP(B368,#REF!,$AF$2,0),0)</f>
        <v>0</v>
      </c>
      <c r="AG368" s="9">
        <f>IFERROR(VLOOKUP(B368,cubo!$A$6:$BE$37,49,0)-VLOOKUP(B368,#REF!,$AG$2,0),0)</f>
        <v>0</v>
      </c>
      <c r="AH368" s="9">
        <f>IFERROR(VLOOKUP(B368,cubo!$A$6:$BE$37,50,0)-VLOOKUP(B368,#REF!,$AH$2,0),0)</f>
        <v>0</v>
      </c>
      <c r="AI368" s="9">
        <f>IFERROR(VLOOKUP(B368,cubo!$A$6:$BE$37,51,0)-VLOOKUP(B368,#REF!,$AI$2,0),0)</f>
        <v>0</v>
      </c>
      <c r="AJ368" s="9">
        <f>IFERROR(VLOOKUP(B368,cubo!$A$6:$BI$116,62,0)-VLOOKUP(B368,#REF!,$AJ$2,0),0)</f>
        <v>0</v>
      </c>
      <c r="AK368" s="9">
        <f>IFERROR(VLOOKUP(B368,cubo!$A$6:$BJ$37,63,0)-VLOOKUP(B368,#REF!,$AK$2,0),0)</f>
        <v>0</v>
      </c>
      <c r="AL368" s="9">
        <f>IFERROR(VLOOKUP(B368,cubo!$A$6:$BE$37,58,0)-VLOOKUP(B368,#REF!,$AL$2,0),0)</f>
        <v>0</v>
      </c>
      <c r="AM368" s="9">
        <f>IFERROR(VLOOKUP(B368,cubo!$A$6:$BK$37,64,0)-VLOOKUP(B368,#REF!,$AM$2,0),0)</f>
        <v>0</v>
      </c>
      <c r="AN368" s="9">
        <f>IFERROR(VLOOKUP(B368,cubo!$A$6:$AN$37,41,0)-VLOOKUP(B368,#REF!,$AN$2,0),0)</f>
        <v>0</v>
      </c>
    </row>
    <row r="369" spans="2:40" x14ac:dyDescent="0.25">
      <c r="B369" s="7">
        <f>[1]salario!A368</f>
        <v>0</v>
      </c>
      <c r="C369" s="8">
        <f>[1]salario!C368</f>
        <v>0</v>
      </c>
      <c r="D369" s="9">
        <f>IFERROR(VLOOKUP(B369,cubo!$A$6:$BE$37,3,0)-VLOOKUP(B369,#REF!,$D$2,0),0)</f>
        <v>0</v>
      </c>
      <c r="E369" s="10">
        <f>IFERROR(VLOOKUP(B369,cubo!$A$6:$BE$37,5,0)-VLOOKUP(B369,#REF!,$E$2,0),0)</f>
        <v>0</v>
      </c>
      <c r="F369" s="10">
        <f>IFERROR(VLOOKUP(B369,cubo!$A$6:$BE$37,8,0)-VLOOKUP(B369,#REF!,$F$2,0),0)</f>
        <v>0</v>
      </c>
      <c r="G369" s="9">
        <f>IFERROR(VLOOKUP(B369,cubo!$A$6:$BE$37,11,0)-VLOOKUP(B369,#REF!,$G$2,0),0)</f>
        <v>0</v>
      </c>
      <c r="H369" s="9">
        <f>IFERROR(VLOOKUP(B369,cubo!$A$6:$BE$37,53,0)-VLOOKUP(B369,#REF!,$H$2,0),0)</f>
        <v>0</v>
      </c>
      <c r="I369" s="10">
        <f>IFERROR(VLOOKUP(B369,cubo!$A$6:$BE$37,14,0)-VLOOKUP(B369,#REF!,$I$2,0),0)</f>
        <v>0</v>
      </c>
      <c r="J369" s="9">
        <f>IFERROR(VLOOKUP(B369,cubo!$A$6:$BE$37,16,0)-VLOOKUP(B369,#REF!,$J$2,0),0)</f>
        <v>0</v>
      </c>
      <c r="K369" s="9">
        <f>IFERROR(VLOOKUP(B369,cubo!$A$6:$BE$37,17,0)-VLOOKUP(B369,#REF!,$K$2,0),0)</f>
        <v>0</v>
      </c>
      <c r="L369" s="9">
        <f>IFERROR(VLOOKUP(B369,cubo!$A$6:$BE$37,19,0)-VLOOKUP(B369,#REF!,$L$2,0),0)</f>
        <v>0</v>
      </c>
      <c r="M369" s="9">
        <f>IFERROR(VLOOKUP(B369,cubo!$A$6:$BE$37,23,0)-VLOOKUP(B369,#REF!,$M$2,0),0)</f>
        <v>0</v>
      </c>
      <c r="N369" s="9">
        <f>IFERROR(VLOOKUP(B369,cubo!$A$6:$BE$37,25,0)-VLOOKUP(B369,#REF!,$N$2,0),0)</f>
        <v>0</v>
      </c>
      <c r="O369" s="9">
        <f>IFERROR(VLOOKUP(B369,cubo!$A$6:$BE$37,33,0)-VLOOKUP(B369,#REF!,$O$2,0),0)</f>
        <v>0</v>
      </c>
      <c r="P369" s="8">
        <f>IFERROR(VLOOKUP(B369,cubo!$A$6:$BE$37,37,0)-VLOOKUP(B369,#REF!,$P$2,0),0)</f>
        <v>0</v>
      </c>
      <c r="Q369" s="8">
        <f>IFERROR(VLOOKUP(B369,cubo!$A$6:$BE$37,56,0)-VLOOKUP(B369,#REF!,$Q$2,0),0)</f>
        <v>0</v>
      </c>
      <c r="R369" s="9">
        <f>IFERROR(VLOOKUP(B369,cubo!$A$6:$BE$37,40,0)-VLOOKUP(B369,#REF!,$R$2,0),0)</f>
        <v>0</v>
      </c>
      <c r="S369" s="9">
        <f>IFERROR(VLOOKUP(B369,cubo!$A$6:$BE$37,43,0)-VLOOKUP(B369,#REF!,$S$2,0),0)</f>
        <v>0</v>
      </c>
      <c r="T369" s="9">
        <f>IFERROR(VLOOKUP(B369,cubo!$A$6:$BE$37,46,0)-VLOOKUP(B369,#REF!,$T$2,0),0)</f>
        <v>0</v>
      </c>
      <c r="U369" s="9">
        <f>IFERROR(VLOOKUP(B369,cubo!$A$6:$BE$37,51,0)-VLOOKUP(B369,#REF!,$U$2,0),0)</f>
        <v>0</v>
      </c>
      <c r="V369" s="9">
        <f>IFERROR(VLOOKUP(B369,cubo!$A$6:$BJ$37,60,0)-VLOOKUP(B369,#REF!,$V$2,0),0)</f>
        <v>0</v>
      </c>
      <c r="W369" s="9">
        <f>IFERROR(VLOOKUP(B369,cubo!$A$6:$BE$37,26,0)-VLOOKUP(B369,#REF!,$W$2,0),0)</f>
        <v>0</v>
      </c>
      <c r="X369" s="9">
        <f>IFERROR(VLOOKUP(B369,cubo!$A$6:$BE$37,20,0)-VLOOKUP(B369,#REF!,$X$2,0),0)</f>
        <v>0</v>
      </c>
      <c r="Y369" s="9">
        <f>IFERROR(VLOOKUP(B369,cubo!$A$6:$BE$37,21,0)-VLOOKUP(B369,#REF!,$Y$2,0),0)</f>
        <v>0</v>
      </c>
      <c r="Z369" s="9">
        <f>IFERROR(VLOOKUP(B369,cubo!$A$6:$BE$37,27,0)-VLOOKUP(B369,#REF!,$Z$2,0),0)</f>
        <v>0</v>
      </c>
      <c r="AA369" s="9">
        <f>IFERROR(VLOOKUP(B369,cubo!$A$6:$BE$37,28,0)-VLOOKUP(B369,#REF!,$AA$2,0),0)</f>
        <v>0</v>
      </c>
      <c r="AB369" s="9">
        <f>IFERROR(VLOOKUP(B369,cubo!$A$6:$BE$37,29,0)-VLOOKUP(B369,#REF!,$AB$2,0),0)</f>
        <v>0</v>
      </c>
      <c r="AC369" s="9">
        <f>IFERROR(VLOOKUP(B369,cubo!$A$6:$BE$37,30,0)-VLOOKUP(B369,#REF!,$AC$2,0),0)</f>
        <v>0</v>
      </c>
      <c r="AD369" s="9">
        <f>IFERROR(VLOOKUP(B369,cubo!$A$6:$BE$37,31,0)-VLOOKUP(B369,#REF!,$AD$2,0),0)</f>
        <v>0</v>
      </c>
      <c r="AE369" s="9">
        <f>IFERROR(VLOOKUP(B369,cubo!$A$6:$BE$37,35,0)-VLOOKUP(B369,#REF!,$AE$2,0),0)</f>
        <v>0</v>
      </c>
      <c r="AF369" s="9" cm="1">
        <f t="array" aca="1" ref="AF369" ca="1">IFERROR(rrPROCV(B369,cubo!$A$6:$BE$37,48,0)-VLOOKUP(B369,#REF!,$AF$2,0),0)</f>
        <v>0</v>
      </c>
      <c r="AG369" s="9">
        <f>IFERROR(VLOOKUP(B369,cubo!$A$6:$BE$37,49,0)-VLOOKUP(B369,#REF!,$AG$2,0),0)</f>
        <v>0</v>
      </c>
      <c r="AH369" s="9">
        <f>IFERROR(VLOOKUP(B369,cubo!$A$6:$BE$37,50,0)-VLOOKUP(B369,#REF!,$AH$2,0),0)</f>
        <v>0</v>
      </c>
      <c r="AI369" s="9">
        <f>IFERROR(VLOOKUP(B369,cubo!$A$6:$BE$37,51,0)-VLOOKUP(B369,#REF!,$AI$2,0),0)</f>
        <v>0</v>
      </c>
      <c r="AJ369" s="9">
        <f>IFERROR(VLOOKUP(B369,cubo!$A$6:$BI$116,62,0)-VLOOKUP(B369,#REF!,$AJ$2,0),0)</f>
        <v>0</v>
      </c>
      <c r="AK369" s="9">
        <f>IFERROR(VLOOKUP(B369,cubo!$A$6:$BJ$37,63,0)-VLOOKUP(B369,#REF!,$AK$2,0),0)</f>
        <v>0</v>
      </c>
      <c r="AL369" s="9">
        <f>IFERROR(VLOOKUP(B369,cubo!$A$6:$BE$37,58,0)-VLOOKUP(B369,#REF!,$AL$2,0),0)</f>
        <v>0</v>
      </c>
      <c r="AM369" s="9">
        <f>IFERROR(VLOOKUP(B369,cubo!$A$6:$BK$37,64,0)-VLOOKUP(B369,#REF!,$AM$2,0),0)</f>
        <v>0</v>
      </c>
      <c r="AN369" s="9">
        <f>IFERROR(VLOOKUP(B369,cubo!$A$6:$AN$37,41,0)-VLOOKUP(B369,#REF!,$AN$2,0),0)</f>
        <v>0</v>
      </c>
    </row>
    <row r="370" spans="2:40" x14ac:dyDescent="0.25">
      <c r="B370" s="7">
        <f>[1]salario!A369</f>
        <v>0</v>
      </c>
      <c r="C370" s="8">
        <f>[1]salario!C369</f>
        <v>0</v>
      </c>
      <c r="D370" s="9">
        <f>IFERROR(VLOOKUP(B370,cubo!$A$6:$BE$37,3,0)-VLOOKUP(B370,#REF!,$D$2,0),0)</f>
        <v>0</v>
      </c>
      <c r="E370" s="10">
        <f>IFERROR(VLOOKUP(B370,cubo!$A$6:$BE$37,5,0)-VLOOKUP(B370,#REF!,$E$2,0),0)</f>
        <v>0</v>
      </c>
      <c r="F370" s="10">
        <f>IFERROR(VLOOKUP(B370,cubo!$A$6:$BE$37,8,0)-VLOOKUP(B370,#REF!,$F$2,0),0)</f>
        <v>0</v>
      </c>
      <c r="G370" s="9">
        <f>IFERROR(VLOOKUP(B370,cubo!$A$6:$BE$37,11,0)-VLOOKUP(B370,#REF!,$G$2,0),0)</f>
        <v>0</v>
      </c>
      <c r="H370" s="9">
        <f>IFERROR(VLOOKUP(B370,cubo!$A$6:$BE$37,53,0)-VLOOKUP(B370,#REF!,$H$2,0),0)</f>
        <v>0</v>
      </c>
      <c r="I370" s="10">
        <f>IFERROR(VLOOKUP(B370,cubo!$A$6:$BE$37,14,0)-VLOOKUP(B370,#REF!,$I$2,0),0)</f>
        <v>0</v>
      </c>
      <c r="J370" s="9">
        <f>IFERROR(VLOOKUP(B370,cubo!$A$6:$BE$37,16,0)-VLOOKUP(B370,#REF!,$J$2,0),0)</f>
        <v>0</v>
      </c>
      <c r="K370" s="9">
        <f>IFERROR(VLOOKUP(B370,cubo!$A$6:$BE$37,17,0)-VLOOKUP(B370,#REF!,$K$2,0),0)</f>
        <v>0</v>
      </c>
      <c r="L370" s="9">
        <f>IFERROR(VLOOKUP(B370,cubo!$A$6:$BE$37,19,0)-VLOOKUP(B370,#REF!,$L$2,0),0)</f>
        <v>0</v>
      </c>
      <c r="M370" s="9">
        <f>IFERROR(VLOOKUP(B370,cubo!$A$6:$BE$37,23,0)-VLOOKUP(B370,#REF!,$M$2,0),0)</f>
        <v>0</v>
      </c>
      <c r="N370" s="9">
        <f>IFERROR(VLOOKUP(B370,cubo!$A$6:$BE$37,25,0)-VLOOKUP(B370,#REF!,$N$2,0),0)</f>
        <v>0</v>
      </c>
      <c r="O370" s="9">
        <f>IFERROR(VLOOKUP(B370,cubo!$A$6:$BE$37,33,0)-VLOOKUP(B370,#REF!,$O$2,0),0)</f>
        <v>0</v>
      </c>
      <c r="P370" s="8">
        <f>IFERROR(VLOOKUP(B370,cubo!$A$6:$BE$37,37,0)-VLOOKUP(B370,#REF!,$P$2,0),0)</f>
        <v>0</v>
      </c>
      <c r="Q370" s="8">
        <f>IFERROR(VLOOKUP(B370,cubo!$A$6:$BE$37,56,0)-VLOOKUP(B370,#REF!,$Q$2,0),0)</f>
        <v>0</v>
      </c>
      <c r="R370" s="9">
        <f>IFERROR(VLOOKUP(B370,cubo!$A$6:$BE$37,40,0)-VLOOKUP(B370,#REF!,$R$2,0),0)</f>
        <v>0</v>
      </c>
      <c r="S370" s="9">
        <f>IFERROR(VLOOKUP(B370,cubo!$A$6:$BE$37,43,0)-VLOOKUP(B370,#REF!,$S$2,0),0)</f>
        <v>0</v>
      </c>
      <c r="T370" s="9">
        <f>IFERROR(VLOOKUP(B370,cubo!$A$6:$BE$37,46,0)-VLOOKUP(B370,#REF!,$T$2,0),0)</f>
        <v>0</v>
      </c>
      <c r="U370" s="9">
        <f>IFERROR(VLOOKUP(B370,cubo!$A$6:$BE$37,51,0)-VLOOKUP(B370,#REF!,$U$2,0),0)</f>
        <v>0</v>
      </c>
      <c r="V370" s="9">
        <f>IFERROR(VLOOKUP(B370,cubo!$A$6:$BJ$37,60,0)-VLOOKUP(B370,#REF!,$V$2,0),0)</f>
        <v>0</v>
      </c>
      <c r="W370" s="9">
        <f>IFERROR(VLOOKUP(B370,cubo!$A$6:$BE$37,26,0)-VLOOKUP(B370,#REF!,$W$2,0),0)</f>
        <v>0</v>
      </c>
      <c r="X370" s="9">
        <f>IFERROR(VLOOKUP(B370,cubo!$A$6:$BE$37,20,0)-VLOOKUP(B370,#REF!,$X$2,0),0)</f>
        <v>0</v>
      </c>
      <c r="Y370" s="9">
        <f>IFERROR(VLOOKUP(B370,cubo!$A$6:$BE$37,21,0)-VLOOKUP(B370,#REF!,$Y$2,0),0)</f>
        <v>0</v>
      </c>
      <c r="Z370" s="9">
        <f>IFERROR(VLOOKUP(B370,cubo!$A$6:$BE$37,27,0)-VLOOKUP(B370,#REF!,$Z$2,0),0)</f>
        <v>0</v>
      </c>
      <c r="AA370" s="9">
        <f>IFERROR(VLOOKUP(B370,cubo!$A$6:$BE$37,28,0)-VLOOKUP(B370,#REF!,$AA$2,0),0)</f>
        <v>0</v>
      </c>
      <c r="AB370" s="9">
        <f>IFERROR(VLOOKUP(B370,cubo!$A$6:$BE$37,29,0)-VLOOKUP(B370,#REF!,$AB$2,0),0)</f>
        <v>0</v>
      </c>
      <c r="AC370" s="9">
        <f>IFERROR(VLOOKUP(B370,cubo!$A$6:$BE$37,30,0)-VLOOKUP(B370,#REF!,$AC$2,0),0)</f>
        <v>0</v>
      </c>
      <c r="AD370" s="9">
        <f>IFERROR(VLOOKUP(B370,cubo!$A$6:$BE$37,31,0)-VLOOKUP(B370,#REF!,$AD$2,0),0)</f>
        <v>0</v>
      </c>
      <c r="AE370" s="9">
        <f>IFERROR(VLOOKUP(B370,cubo!$A$6:$BE$37,35,0)-VLOOKUP(B370,#REF!,$AE$2,0),0)</f>
        <v>0</v>
      </c>
      <c r="AF370" s="9" cm="1">
        <f t="array" aca="1" ref="AF370" ca="1">IFERROR(rrPROCV(B370,cubo!$A$6:$BE$37,48,0)-VLOOKUP(B370,#REF!,$AF$2,0),0)</f>
        <v>0</v>
      </c>
      <c r="AG370" s="9">
        <f>IFERROR(VLOOKUP(B370,cubo!$A$6:$BE$37,49,0)-VLOOKUP(B370,#REF!,$AG$2,0),0)</f>
        <v>0</v>
      </c>
      <c r="AH370" s="9">
        <f>IFERROR(VLOOKUP(B370,cubo!$A$6:$BE$37,50,0)-VLOOKUP(B370,#REF!,$AH$2,0),0)</f>
        <v>0</v>
      </c>
      <c r="AI370" s="9">
        <f>IFERROR(VLOOKUP(B370,cubo!$A$6:$BE$37,51,0)-VLOOKUP(B370,#REF!,$AI$2,0),0)</f>
        <v>0</v>
      </c>
      <c r="AJ370" s="9">
        <f>IFERROR(VLOOKUP(B370,cubo!$A$6:$BI$116,62,0)-VLOOKUP(B370,#REF!,$AJ$2,0),0)</f>
        <v>0</v>
      </c>
      <c r="AK370" s="9">
        <f>IFERROR(VLOOKUP(B370,cubo!$A$6:$BJ$37,63,0)-VLOOKUP(B370,#REF!,$AK$2,0),0)</f>
        <v>0</v>
      </c>
      <c r="AL370" s="9">
        <f>IFERROR(VLOOKUP(B370,cubo!$A$6:$BE$37,58,0)-VLOOKUP(B370,#REF!,$AL$2,0),0)</f>
        <v>0</v>
      </c>
      <c r="AM370" s="9">
        <f>IFERROR(VLOOKUP(B370,cubo!$A$6:$BK$37,64,0)-VLOOKUP(B370,#REF!,$AM$2,0),0)</f>
        <v>0</v>
      </c>
      <c r="AN370" s="9">
        <f>IFERROR(VLOOKUP(B370,cubo!$A$6:$AN$37,41,0)-VLOOKUP(B370,#REF!,$AN$2,0),0)</f>
        <v>0</v>
      </c>
    </row>
    <row r="371" spans="2:40" x14ac:dyDescent="0.25">
      <c r="B371" s="7">
        <f>[1]salario!A370</f>
        <v>0</v>
      </c>
      <c r="C371" s="8">
        <f>[1]salario!C370</f>
        <v>0</v>
      </c>
      <c r="D371" s="9">
        <f>IFERROR(VLOOKUP(B371,cubo!$A$6:$BE$37,3,0)-VLOOKUP(B371,#REF!,$D$2,0),0)</f>
        <v>0</v>
      </c>
      <c r="E371" s="10">
        <f>IFERROR(VLOOKUP(B371,cubo!$A$6:$BE$37,5,0)-VLOOKUP(B371,#REF!,$E$2,0),0)</f>
        <v>0</v>
      </c>
      <c r="F371" s="10">
        <f>IFERROR(VLOOKUP(B371,cubo!$A$6:$BE$37,8,0)-VLOOKUP(B371,#REF!,$F$2,0),0)</f>
        <v>0</v>
      </c>
      <c r="G371" s="9">
        <f>IFERROR(VLOOKUP(B371,cubo!$A$6:$BE$37,11,0)-VLOOKUP(B371,#REF!,$G$2,0),0)</f>
        <v>0</v>
      </c>
      <c r="H371" s="9">
        <f>IFERROR(VLOOKUP(B371,cubo!$A$6:$BE$37,53,0)-VLOOKUP(B371,#REF!,$H$2,0),0)</f>
        <v>0</v>
      </c>
      <c r="I371" s="10">
        <f>IFERROR(VLOOKUP(B371,cubo!$A$6:$BE$37,14,0)-VLOOKUP(B371,#REF!,$I$2,0),0)</f>
        <v>0</v>
      </c>
      <c r="J371" s="9">
        <f>IFERROR(VLOOKUP(B371,cubo!$A$6:$BE$37,16,0)-VLOOKUP(B371,#REF!,$J$2,0),0)</f>
        <v>0</v>
      </c>
      <c r="K371" s="9">
        <f>IFERROR(VLOOKUP(B371,cubo!$A$6:$BE$37,17,0)-VLOOKUP(B371,#REF!,$K$2,0),0)</f>
        <v>0</v>
      </c>
      <c r="L371" s="9">
        <f>IFERROR(VLOOKUP(B371,cubo!$A$6:$BE$37,19,0)-VLOOKUP(B371,#REF!,$L$2,0),0)</f>
        <v>0</v>
      </c>
      <c r="M371" s="9">
        <f>IFERROR(VLOOKUP(B371,cubo!$A$6:$BE$37,23,0)-VLOOKUP(B371,#REF!,$M$2,0),0)</f>
        <v>0</v>
      </c>
      <c r="N371" s="9">
        <f>IFERROR(VLOOKUP(B371,cubo!$A$6:$BE$37,25,0)-VLOOKUP(B371,#REF!,$N$2,0),0)</f>
        <v>0</v>
      </c>
      <c r="O371" s="9">
        <f>IFERROR(VLOOKUP(B371,cubo!$A$6:$BE$37,33,0)-VLOOKUP(B371,#REF!,$O$2,0),0)</f>
        <v>0</v>
      </c>
      <c r="P371" s="8">
        <f>IFERROR(VLOOKUP(B371,cubo!$A$6:$BE$37,37,0)-VLOOKUP(B371,#REF!,$P$2,0),0)</f>
        <v>0</v>
      </c>
      <c r="Q371" s="8">
        <f>IFERROR(VLOOKUP(B371,cubo!$A$6:$BE$37,56,0)-VLOOKUP(B371,#REF!,$Q$2,0),0)</f>
        <v>0</v>
      </c>
      <c r="R371" s="9">
        <f>IFERROR(VLOOKUP(B371,cubo!$A$6:$BE$37,40,0)-VLOOKUP(B371,#REF!,$R$2,0),0)</f>
        <v>0</v>
      </c>
      <c r="S371" s="9">
        <f>IFERROR(VLOOKUP(B371,cubo!$A$6:$BE$37,43,0)-VLOOKUP(B371,#REF!,$S$2,0),0)</f>
        <v>0</v>
      </c>
      <c r="T371" s="9">
        <f>IFERROR(VLOOKUP(B371,cubo!$A$6:$BE$37,46,0)-VLOOKUP(B371,#REF!,$T$2,0),0)</f>
        <v>0</v>
      </c>
      <c r="U371" s="9">
        <f>IFERROR(VLOOKUP(B371,cubo!$A$6:$BE$37,51,0)-VLOOKUP(B371,#REF!,$U$2,0),0)</f>
        <v>0</v>
      </c>
      <c r="V371" s="9">
        <f>IFERROR(VLOOKUP(B371,cubo!$A$6:$BJ$37,60,0)-VLOOKUP(B371,#REF!,$V$2,0),0)</f>
        <v>0</v>
      </c>
      <c r="W371" s="9">
        <f>IFERROR(VLOOKUP(B371,cubo!$A$6:$BE$37,26,0)-VLOOKUP(B371,#REF!,$W$2,0),0)</f>
        <v>0</v>
      </c>
      <c r="X371" s="9">
        <f>IFERROR(VLOOKUP(B371,cubo!$A$6:$BE$37,20,0)-VLOOKUP(B371,#REF!,$X$2,0),0)</f>
        <v>0</v>
      </c>
      <c r="Y371" s="9">
        <f>IFERROR(VLOOKUP(B371,cubo!$A$6:$BE$37,21,0)-VLOOKUP(B371,#REF!,$Y$2,0),0)</f>
        <v>0</v>
      </c>
      <c r="Z371" s="9">
        <f>IFERROR(VLOOKUP(B371,cubo!$A$6:$BE$37,27,0)-VLOOKUP(B371,#REF!,$Z$2,0),0)</f>
        <v>0</v>
      </c>
      <c r="AA371" s="9">
        <f>IFERROR(VLOOKUP(B371,cubo!$A$6:$BE$37,28,0)-VLOOKUP(B371,#REF!,$AA$2,0),0)</f>
        <v>0</v>
      </c>
      <c r="AB371" s="9">
        <f>IFERROR(VLOOKUP(B371,cubo!$A$6:$BE$37,29,0)-VLOOKUP(B371,#REF!,$AB$2,0),0)</f>
        <v>0</v>
      </c>
      <c r="AC371" s="9">
        <f>IFERROR(VLOOKUP(B371,cubo!$A$6:$BE$37,30,0)-VLOOKUP(B371,#REF!,$AC$2,0),0)</f>
        <v>0</v>
      </c>
      <c r="AD371" s="9">
        <f>IFERROR(VLOOKUP(B371,cubo!$A$6:$BE$37,31,0)-VLOOKUP(B371,#REF!,$AD$2,0),0)</f>
        <v>0</v>
      </c>
      <c r="AE371" s="9">
        <f>IFERROR(VLOOKUP(B371,cubo!$A$6:$BE$37,35,0)-VLOOKUP(B371,#REF!,$AE$2,0),0)</f>
        <v>0</v>
      </c>
      <c r="AF371" s="9" cm="1">
        <f t="array" aca="1" ref="AF371" ca="1">IFERROR(rrPROCV(B371,cubo!$A$6:$BE$37,48,0)-VLOOKUP(B371,#REF!,$AF$2,0),0)</f>
        <v>0</v>
      </c>
      <c r="AG371" s="9">
        <f>IFERROR(VLOOKUP(B371,cubo!$A$6:$BE$37,49,0)-VLOOKUP(B371,#REF!,$AG$2,0),0)</f>
        <v>0</v>
      </c>
      <c r="AH371" s="9">
        <f>IFERROR(VLOOKUP(B371,cubo!$A$6:$BE$37,50,0)-VLOOKUP(B371,#REF!,$AH$2,0),0)</f>
        <v>0</v>
      </c>
      <c r="AI371" s="9">
        <f>IFERROR(VLOOKUP(B371,cubo!$A$6:$BE$37,51,0)-VLOOKUP(B371,#REF!,$AI$2,0),0)</f>
        <v>0</v>
      </c>
      <c r="AJ371" s="9">
        <f>IFERROR(VLOOKUP(B371,cubo!$A$6:$BI$116,62,0)-VLOOKUP(B371,#REF!,$AJ$2,0),0)</f>
        <v>0</v>
      </c>
      <c r="AK371" s="9">
        <f>IFERROR(VLOOKUP(B371,cubo!$A$6:$BJ$37,63,0)-VLOOKUP(B371,#REF!,$AK$2,0),0)</f>
        <v>0</v>
      </c>
      <c r="AL371" s="9">
        <f>IFERROR(VLOOKUP(B371,cubo!$A$6:$BE$37,58,0)-VLOOKUP(B371,#REF!,$AL$2,0),0)</f>
        <v>0</v>
      </c>
      <c r="AM371" s="9">
        <f>IFERROR(VLOOKUP(B371,cubo!$A$6:$BK$37,64,0)-VLOOKUP(B371,#REF!,$AM$2,0),0)</f>
        <v>0</v>
      </c>
      <c r="AN371" s="9">
        <f>IFERROR(VLOOKUP(B371,cubo!$A$6:$AN$37,41,0)-VLOOKUP(B371,#REF!,$AN$2,0),0)</f>
        <v>0</v>
      </c>
    </row>
    <row r="372" spans="2:40" x14ac:dyDescent="0.25">
      <c r="B372" s="7">
        <f>[1]salario!A371</f>
        <v>0</v>
      </c>
      <c r="C372" s="8">
        <f>[1]salario!C371</f>
        <v>0</v>
      </c>
      <c r="D372" s="9">
        <f>IFERROR(VLOOKUP(B372,cubo!$A$6:$BE$37,3,0)-VLOOKUP(B372,#REF!,$D$2,0),0)</f>
        <v>0</v>
      </c>
      <c r="E372" s="10">
        <f>IFERROR(VLOOKUP(B372,cubo!$A$6:$BE$37,5,0)-VLOOKUP(B372,#REF!,$E$2,0),0)</f>
        <v>0</v>
      </c>
      <c r="F372" s="10">
        <f>IFERROR(VLOOKUP(B372,cubo!$A$6:$BE$37,8,0)-VLOOKUP(B372,#REF!,$F$2,0),0)</f>
        <v>0</v>
      </c>
      <c r="G372" s="9">
        <f>IFERROR(VLOOKUP(B372,cubo!$A$6:$BE$37,11,0)-VLOOKUP(B372,#REF!,$G$2,0),0)</f>
        <v>0</v>
      </c>
      <c r="H372" s="9">
        <f>IFERROR(VLOOKUP(B372,cubo!$A$6:$BE$37,53,0)-VLOOKUP(B372,#REF!,$H$2,0),0)</f>
        <v>0</v>
      </c>
      <c r="I372" s="10">
        <f>IFERROR(VLOOKUP(B372,cubo!$A$6:$BE$37,14,0)-VLOOKUP(B372,#REF!,$I$2,0),0)</f>
        <v>0</v>
      </c>
      <c r="J372" s="9">
        <f>IFERROR(VLOOKUP(B372,cubo!$A$6:$BE$37,16,0)-VLOOKUP(B372,#REF!,$J$2,0),0)</f>
        <v>0</v>
      </c>
      <c r="K372" s="9">
        <f>IFERROR(VLOOKUP(B372,cubo!$A$6:$BE$37,17,0)-VLOOKUP(B372,#REF!,$K$2,0),0)</f>
        <v>0</v>
      </c>
      <c r="L372" s="9">
        <f>IFERROR(VLOOKUP(B372,cubo!$A$6:$BE$37,19,0)-VLOOKUP(B372,#REF!,$L$2,0),0)</f>
        <v>0</v>
      </c>
      <c r="M372" s="9">
        <f>IFERROR(VLOOKUP(B372,cubo!$A$6:$BE$37,23,0)-VLOOKUP(B372,#REF!,$M$2,0),0)</f>
        <v>0</v>
      </c>
      <c r="N372" s="9">
        <f>IFERROR(VLOOKUP(B372,cubo!$A$6:$BE$37,25,0)-VLOOKUP(B372,#REF!,$N$2,0),0)</f>
        <v>0</v>
      </c>
      <c r="O372" s="9">
        <f>IFERROR(VLOOKUP(B372,cubo!$A$6:$BE$37,33,0)-VLOOKUP(B372,#REF!,$O$2,0),0)</f>
        <v>0</v>
      </c>
      <c r="P372" s="8">
        <f>IFERROR(VLOOKUP(B372,cubo!$A$6:$BE$37,37,0)-VLOOKUP(B372,#REF!,$P$2,0),0)</f>
        <v>0</v>
      </c>
      <c r="Q372" s="8">
        <f>IFERROR(VLOOKUP(B372,cubo!$A$6:$BE$37,56,0)-VLOOKUP(B372,#REF!,$Q$2,0),0)</f>
        <v>0</v>
      </c>
      <c r="R372" s="9">
        <f>IFERROR(VLOOKUP(B372,cubo!$A$6:$BE$37,40,0)-VLOOKUP(B372,#REF!,$R$2,0),0)</f>
        <v>0</v>
      </c>
      <c r="S372" s="9">
        <f>IFERROR(VLOOKUP(B372,cubo!$A$6:$BE$37,43,0)-VLOOKUP(B372,#REF!,$S$2,0),0)</f>
        <v>0</v>
      </c>
      <c r="T372" s="9">
        <f>IFERROR(VLOOKUP(B372,cubo!$A$6:$BE$37,46,0)-VLOOKUP(B372,#REF!,$T$2,0),0)</f>
        <v>0</v>
      </c>
      <c r="U372" s="9">
        <f>IFERROR(VLOOKUP(B372,cubo!$A$6:$BE$37,51,0)-VLOOKUP(B372,#REF!,$U$2,0),0)</f>
        <v>0</v>
      </c>
      <c r="V372" s="9">
        <f>IFERROR(VLOOKUP(B372,cubo!$A$6:$BJ$37,60,0)-VLOOKUP(B372,#REF!,$V$2,0),0)</f>
        <v>0</v>
      </c>
      <c r="W372" s="9">
        <f>IFERROR(VLOOKUP(B372,cubo!$A$6:$BE$37,26,0)-VLOOKUP(B372,#REF!,$W$2,0),0)</f>
        <v>0</v>
      </c>
      <c r="X372" s="9">
        <f>IFERROR(VLOOKUP(B372,cubo!$A$6:$BE$37,20,0)-VLOOKUP(B372,#REF!,$X$2,0),0)</f>
        <v>0</v>
      </c>
      <c r="Y372" s="9">
        <f>IFERROR(VLOOKUP(B372,cubo!$A$6:$BE$37,21,0)-VLOOKUP(B372,#REF!,$Y$2,0),0)</f>
        <v>0</v>
      </c>
      <c r="Z372" s="9">
        <f>IFERROR(VLOOKUP(B372,cubo!$A$6:$BE$37,27,0)-VLOOKUP(B372,#REF!,$Z$2,0),0)</f>
        <v>0</v>
      </c>
      <c r="AA372" s="9">
        <f>IFERROR(VLOOKUP(B372,cubo!$A$6:$BE$37,28,0)-VLOOKUP(B372,#REF!,$AA$2,0),0)</f>
        <v>0</v>
      </c>
      <c r="AB372" s="9">
        <f>IFERROR(VLOOKUP(B372,cubo!$A$6:$BE$37,29,0)-VLOOKUP(B372,#REF!,$AB$2,0),0)</f>
        <v>0</v>
      </c>
      <c r="AC372" s="9">
        <f>IFERROR(VLOOKUP(B372,cubo!$A$6:$BE$37,30,0)-VLOOKUP(B372,#REF!,$AC$2,0),0)</f>
        <v>0</v>
      </c>
      <c r="AD372" s="9">
        <f>IFERROR(VLOOKUP(B372,cubo!$A$6:$BE$37,31,0)-VLOOKUP(B372,#REF!,$AD$2,0),0)</f>
        <v>0</v>
      </c>
      <c r="AE372" s="9">
        <f>IFERROR(VLOOKUP(B372,cubo!$A$6:$BE$37,35,0)-VLOOKUP(B372,#REF!,$AE$2,0),0)</f>
        <v>0</v>
      </c>
      <c r="AF372" s="9" cm="1">
        <f t="array" aca="1" ref="AF372" ca="1">IFERROR(rrPROCV(B372,cubo!$A$6:$BE$37,48,0)-VLOOKUP(B372,#REF!,$AF$2,0),0)</f>
        <v>0</v>
      </c>
      <c r="AG372" s="9">
        <f>IFERROR(VLOOKUP(B372,cubo!$A$6:$BE$37,49,0)-VLOOKUP(B372,#REF!,$AG$2,0),0)</f>
        <v>0</v>
      </c>
      <c r="AH372" s="9">
        <f>IFERROR(VLOOKUP(B372,cubo!$A$6:$BE$37,50,0)-VLOOKUP(B372,#REF!,$AH$2,0),0)</f>
        <v>0</v>
      </c>
      <c r="AI372" s="9">
        <f>IFERROR(VLOOKUP(B372,cubo!$A$6:$BE$37,51,0)-VLOOKUP(B372,#REF!,$AI$2,0),0)</f>
        <v>0</v>
      </c>
      <c r="AJ372" s="9">
        <f>IFERROR(VLOOKUP(B372,cubo!$A$6:$BI$116,62,0)-VLOOKUP(B372,#REF!,$AJ$2,0),0)</f>
        <v>0</v>
      </c>
      <c r="AK372" s="9">
        <f>IFERROR(VLOOKUP(B372,cubo!$A$6:$BJ$37,63,0)-VLOOKUP(B372,#REF!,$AK$2,0),0)</f>
        <v>0</v>
      </c>
      <c r="AL372" s="9">
        <f>IFERROR(VLOOKUP(B372,cubo!$A$6:$BE$37,58,0)-VLOOKUP(B372,#REF!,$AL$2,0),0)</f>
        <v>0</v>
      </c>
      <c r="AM372" s="9">
        <f>IFERROR(VLOOKUP(B372,cubo!$A$6:$BK$37,64,0)-VLOOKUP(B372,#REF!,$AM$2,0),0)</f>
        <v>0</v>
      </c>
      <c r="AN372" s="9">
        <f>IFERROR(VLOOKUP(B372,cubo!$A$6:$AN$37,41,0)-VLOOKUP(B372,#REF!,$AN$2,0),0)</f>
        <v>0</v>
      </c>
    </row>
    <row r="373" spans="2:40" x14ac:dyDescent="0.25">
      <c r="B373" s="7">
        <f>[1]salario!A372</f>
        <v>0</v>
      </c>
      <c r="C373" s="8">
        <f>[1]salario!C372</f>
        <v>0</v>
      </c>
      <c r="D373" s="9">
        <f>IFERROR(VLOOKUP(B373,cubo!$A$6:$BE$37,3,0)-VLOOKUP(B373,#REF!,$D$2,0),0)</f>
        <v>0</v>
      </c>
      <c r="E373" s="10">
        <f>IFERROR(VLOOKUP(B373,cubo!$A$6:$BE$37,5,0)-VLOOKUP(B373,#REF!,$E$2,0),0)</f>
        <v>0</v>
      </c>
      <c r="F373" s="10">
        <f>IFERROR(VLOOKUP(B373,cubo!$A$6:$BE$37,8,0)-VLOOKUP(B373,#REF!,$F$2,0),0)</f>
        <v>0</v>
      </c>
      <c r="G373" s="9">
        <f>IFERROR(VLOOKUP(B373,cubo!$A$6:$BE$37,11,0)-VLOOKUP(B373,#REF!,$G$2,0),0)</f>
        <v>0</v>
      </c>
      <c r="H373" s="9">
        <f>IFERROR(VLOOKUP(B373,cubo!$A$6:$BE$37,53,0)-VLOOKUP(B373,#REF!,$H$2,0),0)</f>
        <v>0</v>
      </c>
      <c r="I373" s="10">
        <f>IFERROR(VLOOKUP(B373,cubo!$A$6:$BE$37,14,0)-VLOOKUP(B373,#REF!,$I$2,0),0)</f>
        <v>0</v>
      </c>
      <c r="J373" s="9">
        <f>IFERROR(VLOOKUP(B373,cubo!$A$6:$BE$37,16,0)-VLOOKUP(B373,#REF!,$J$2,0),0)</f>
        <v>0</v>
      </c>
      <c r="K373" s="9">
        <f>IFERROR(VLOOKUP(B373,cubo!$A$6:$BE$37,17,0)-VLOOKUP(B373,#REF!,$K$2,0),0)</f>
        <v>0</v>
      </c>
      <c r="L373" s="9">
        <f>IFERROR(VLOOKUP(B373,cubo!$A$6:$BE$37,19,0)-VLOOKUP(B373,#REF!,$L$2,0),0)</f>
        <v>0</v>
      </c>
      <c r="M373" s="9">
        <f>IFERROR(VLOOKUP(B373,cubo!$A$6:$BE$37,23,0)-VLOOKUP(B373,#REF!,$M$2,0),0)</f>
        <v>0</v>
      </c>
      <c r="N373" s="9">
        <f>IFERROR(VLOOKUP(B373,cubo!$A$6:$BE$37,25,0)-VLOOKUP(B373,#REF!,$N$2,0),0)</f>
        <v>0</v>
      </c>
      <c r="O373" s="9">
        <f>IFERROR(VLOOKUP(B373,cubo!$A$6:$BE$37,33,0)-VLOOKUP(B373,#REF!,$O$2,0),0)</f>
        <v>0</v>
      </c>
      <c r="P373" s="8">
        <f>IFERROR(VLOOKUP(B373,cubo!$A$6:$BE$37,37,0)-VLOOKUP(B373,#REF!,$P$2,0),0)</f>
        <v>0</v>
      </c>
      <c r="Q373" s="8">
        <f>IFERROR(VLOOKUP(B373,cubo!$A$6:$BE$37,56,0)-VLOOKUP(B373,#REF!,$Q$2,0),0)</f>
        <v>0</v>
      </c>
      <c r="R373" s="9">
        <f>IFERROR(VLOOKUP(B373,cubo!$A$6:$BE$37,40,0)-VLOOKUP(B373,#REF!,$R$2,0),0)</f>
        <v>0</v>
      </c>
      <c r="S373" s="9">
        <f>IFERROR(VLOOKUP(B373,cubo!$A$6:$BE$37,43,0)-VLOOKUP(B373,#REF!,$S$2,0),0)</f>
        <v>0</v>
      </c>
      <c r="T373" s="9">
        <f>IFERROR(VLOOKUP(B373,cubo!$A$6:$BE$37,46,0)-VLOOKUP(B373,#REF!,$T$2,0),0)</f>
        <v>0</v>
      </c>
      <c r="U373" s="9">
        <f>IFERROR(VLOOKUP(B373,cubo!$A$6:$BE$37,51,0)-VLOOKUP(B373,#REF!,$U$2,0),0)</f>
        <v>0</v>
      </c>
      <c r="V373" s="9">
        <f>IFERROR(VLOOKUP(B373,cubo!$A$6:$BJ$37,60,0)-VLOOKUP(B373,#REF!,$V$2,0),0)</f>
        <v>0</v>
      </c>
      <c r="W373" s="9">
        <f>IFERROR(VLOOKUP(B373,cubo!$A$6:$BE$37,26,0)-VLOOKUP(B373,#REF!,$W$2,0),0)</f>
        <v>0</v>
      </c>
      <c r="X373" s="9">
        <f>IFERROR(VLOOKUP(B373,cubo!$A$6:$BE$37,20,0)-VLOOKUP(B373,#REF!,$X$2,0),0)</f>
        <v>0</v>
      </c>
      <c r="Y373" s="9">
        <f>IFERROR(VLOOKUP(B373,cubo!$A$6:$BE$37,21,0)-VLOOKUP(B373,#REF!,$Y$2,0),0)</f>
        <v>0</v>
      </c>
      <c r="Z373" s="9">
        <f>IFERROR(VLOOKUP(B373,cubo!$A$6:$BE$37,27,0)-VLOOKUP(B373,#REF!,$Z$2,0),0)</f>
        <v>0</v>
      </c>
      <c r="AA373" s="9">
        <f>IFERROR(VLOOKUP(B373,cubo!$A$6:$BE$37,28,0)-VLOOKUP(B373,#REF!,$AA$2,0),0)</f>
        <v>0</v>
      </c>
      <c r="AB373" s="9">
        <f>IFERROR(VLOOKUP(B373,cubo!$A$6:$BE$37,29,0)-VLOOKUP(B373,#REF!,$AB$2,0),0)</f>
        <v>0</v>
      </c>
      <c r="AC373" s="9">
        <f>IFERROR(VLOOKUP(B373,cubo!$A$6:$BE$37,30,0)-VLOOKUP(B373,#REF!,$AC$2,0),0)</f>
        <v>0</v>
      </c>
      <c r="AD373" s="9">
        <f>IFERROR(VLOOKUP(B373,cubo!$A$6:$BE$37,31,0)-VLOOKUP(B373,#REF!,$AD$2,0),0)</f>
        <v>0</v>
      </c>
      <c r="AE373" s="9">
        <f>IFERROR(VLOOKUP(B373,cubo!$A$6:$BE$37,35,0)-VLOOKUP(B373,#REF!,$AE$2,0),0)</f>
        <v>0</v>
      </c>
      <c r="AF373" s="9" cm="1">
        <f t="array" aca="1" ref="AF373" ca="1">IFERROR(rrPROCV(B373,cubo!$A$6:$BE$37,48,0)-VLOOKUP(B373,#REF!,$AF$2,0),0)</f>
        <v>0</v>
      </c>
      <c r="AG373" s="9">
        <f>IFERROR(VLOOKUP(B373,cubo!$A$6:$BE$37,49,0)-VLOOKUP(B373,#REF!,$AG$2,0),0)</f>
        <v>0</v>
      </c>
      <c r="AH373" s="9">
        <f>IFERROR(VLOOKUP(B373,cubo!$A$6:$BE$37,50,0)-VLOOKUP(B373,#REF!,$AH$2,0),0)</f>
        <v>0</v>
      </c>
      <c r="AI373" s="9">
        <f>IFERROR(VLOOKUP(B373,cubo!$A$6:$BE$37,51,0)-VLOOKUP(B373,#REF!,$AI$2,0),0)</f>
        <v>0</v>
      </c>
      <c r="AJ373" s="9">
        <f>IFERROR(VLOOKUP(B373,cubo!$A$6:$BI$116,62,0)-VLOOKUP(B373,#REF!,$AJ$2,0),0)</f>
        <v>0</v>
      </c>
      <c r="AK373" s="9">
        <f>IFERROR(VLOOKUP(B373,cubo!$A$6:$BJ$37,63,0)-VLOOKUP(B373,#REF!,$AK$2,0),0)</f>
        <v>0</v>
      </c>
      <c r="AL373" s="9">
        <f>IFERROR(VLOOKUP(B373,cubo!$A$6:$BE$37,58,0)-VLOOKUP(B373,#REF!,$AL$2,0),0)</f>
        <v>0</v>
      </c>
      <c r="AM373" s="9">
        <f>IFERROR(VLOOKUP(B373,cubo!$A$6:$BK$37,64,0)-VLOOKUP(B373,#REF!,$AM$2,0),0)</f>
        <v>0</v>
      </c>
      <c r="AN373" s="9">
        <f>IFERROR(VLOOKUP(B373,cubo!$A$6:$AN$37,41,0)-VLOOKUP(B373,#REF!,$AN$2,0),0)</f>
        <v>0</v>
      </c>
    </row>
    <row r="374" spans="2:40" x14ac:dyDescent="0.25">
      <c r="B374" s="7">
        <f>[1]salario!A373</f>
        <v>0</v>
      </c>
      <c r="C374" s="8">
        <f>[1]salario!C373</f>
        <v>0</v>
      </c>
      <c r="D374" s="9">
        <f>IFERROR(VLOOKUP(B374,cubo!$A$6:$BE$37,3,0)-VLOOKUP(B374,#REF!,$D$2,0),0)</f>
        <v>0</v>
      </c>
      <c r="E374" s="10">
        <f>IFERROR(VLOOKUP(B374,cubo!$A$6:$BE$37,5,0)-VLOOKUP(B374,#REF!,$E$2,0),0)</f>
        <v>0</v>
      </c>
      <c r="F374" s="10">
        <f>IFERROR(VLOOKUP(B374,cubo!$A$6:$BE$37,8,0)-VLOOKUP(B374,#REF!,$F$2,0),0)</f>
        <v>0</v>
      </c>
      <c r="G374" s="9">
        <f>IFERROR(VLOOKUP(B374,cubo!$A$6:$BE$37,11,0)-VLOOKUP(B374,#REF!,$G$2,0),0)</f>
        <v>0</v>
      </c>
      <c r="H374" s="9">
        <f>IFERROR(VLOOKUP(B374,cubo!$A$6:$BE$37,53,0)-VLOOKUP(B374,#REF!,$H$2,0),0)</f>
        <v>0</v>
      </c>
      <c r="I374" s="10">
        <f>IFERROR(VLOOKUP(B374,cubo!$A$6:$BE$37,14,0)-VLOOKUP(B374,#REF!,$I$2,0),0)</f>
        <v>0</v>
      </c>
      <c r="J374" s="9">
        <f>IFERROR(VLOOKUP(B374,cubo!$A$6:$BE$37,16,0)-VLOOKUP(B374,#REF!,$J$2,0),0)</f>
        <v>0</v>
      </c>
      <c r="K374" s="9">
        <f>IFERROR(VLOOKUP(B374,cubo!$A$6:$BE$37,17,0)-VLOOKUP(B374,#REF!,$K$2,0),0)</f>
        <v>0</v>
      </c>
      <c r="L374" s="9">
        <f>IFERROR(VLOOKUP(B374,cubo!$A$6:$BE$37,19,0)-VLOOKUP(B374,#REF!,$L$2,0),0)</f>
        <v>0</v>
      </c>
      <c r="M374" s="9">
        <f>IFERROR(VLOOKUP(B374,cubo!$A$6:$BE$37,23,0)-VLOOKUP(B374,#REF!,$M$2,0),0)</f>
        <v>0</v>
      </c>
      <c r="N374" s="9">
        <f>IFERROR(VLOOKUP(B374,cubo!$A$6:$BE$37,25,0)-VLOOKUP(B374,#REF!,$N$2,0),0)</f>
        <v>0</v>
      </c>
      <c r="O374" s="9">
        <f>IFERROR(VLOOKUP(B374,cubo!$A$6:$BE$37,33,0)-VLOOKUP(B374,#REF!,$O$2,0),0)</f>
        <v>0</v>
      </c>
      <c r="P374" s="8">
        <f>IFERROR(VLOOKUP(B374,cubo!$A$6:$BE$37,37,0)-VLOOKUP(B374,#REF!,$P$2,0),0)</f>
        <v>0</v>
      </c>
      <c r="Q374" s="8">
        <f>IFERROR(VLOOKUP(B374,cubo!$A$6:$BE$37,56,0)-VLOOKUP(B374,#REF!,$Q$2,0),0)</f>
        <v>0</v>
      </c>
      <c r="R374" s="9">
        <f>IFERROR(VLOOKUP(B374,cubo!$A$6:$BE$37,40,0)-VLOOKUP(B374,#REF!,$R$2,0),0)</f>
        <v>0</v>
      </c>
      <c r="S374" s="9">
        <f>IFERROR(VLOOKUP(B374,cubo!$A$6:$BE$37,43,0)-VLOOKUP(B374,#REF!,$S$2,0),0)</f>
        <v>0</v>
      </c>
      <c r="T374" s="9">
        <f>IFERROR(VLOOKUP(B374,cubo!$A$6:$BE$37,46,0)-VLOOKUP(B374,#REF!,$T$2,0),0)</f>
        <v>0</v>
      </c>
      <c r="U374" s="9">
        <f>IFERROR(VLOOKUP(B374,cubo!$A$6:$BE$37,51,0)-VLOOKUP(B374,#REF!,$U$2,0),0)</f>
        <v>0</v>
      </c>
      <c r="V374" s="9">
        <f>IFERROR(VLOOKUP(B374,cubo!$A$6:$BJ$37,60,0)-VLOOKUP(B374,#REF!,$V$2,0),0)</f>
        <v>0</v>
      </c>
      <c r="W374" s="9">
        <f>IFERROR(VLOOKUP(B374,cubo!$A$6:$BE$37,26,0)-VLOOKUP(B374,#REF!,$W$2,0),0)</f>
        <v>0</v>
      </c>
      <c r="X374" s="9">
        <f>IFERROR(VLOOKUP(B374,cubo!$A$6:$BE$37,20,0)-VLOOKUP(B374,#REF!,$X$2,0),0)</f>
        <v>0</v>
      </c>
      <c r="Y374" s="9">
        <f>IFERROR(VLOOKUP(B374,cubo!$A$6:$BE$37,21,0)-VLOOKUP(B374,#REF!,$Y$2,0),0)</f>
        <v>0</v>
      </c>
      <c r="Z374" s="9">
        <f>IFERROR(VLOOKUP(B374,cubo!$A$6:$BE$37,27,0)-VLOOKUP(B374,#REF!,$Z$2,0),0)</f>
        <v>0</v>
      </c>
      <c r="AA374" s="9">
        <f>IFERROR(VLOOKUP(B374,cubo!$A$6:$BE$37,28,0)-VLOOKUP(B374,#REF!,$AA$2,0),0)</f>
        <v>0</v>
      </c>
      <c r="AB374" s="9">
        <f>IFERROR(VLOOKUP(B374,cubo!$A$6:$BE$37,29,0)-VLOOKUP(B374,#REF!,$AB$2,0),0)</f>
        <v>0</v>
      </c>
      <c r="AC374" s="9">
        <f>IFERROR(VLOOKUP(B374,cubo!$A$6:$BE$37,30,0)-VLOOKUP(B374,#REF!,$AC$2,0),0)</f>
        <v>0</v>
      </c>
      <c r="AD374" s="9">
        <f>IFERROR(VLOOKUP(B374,cubo!$A$6:$BE$37,31,0)-VLOOKUP(B374,#REF!,$AD$2,0),0)</f>
        <v>0</v>
      </c>
      <c r="AE374" s="9">
        <f>IFERROR(VLOOKUP(B374,cubo!$A$6:$BE$37,35,0)-VLOOKUP(B374,#REF!,$AE$2,0),0)</f>
        <v>0</v>
      </c>
      <c r="AF374" s="9" cm="1">
        <f t="array" aca="1" ref="AF374" ca="1">IFERROR(rrPROCV(B374,cubo!$A$6:$BE$37,48,0)-VLOOKUP(B374,#REF!,$AF$2,0),0)</f>
        <v>0</v>
      </c>
      <c r="AG374" s="9">
        <f>IFERROR(VLOOKUP(B374,cubo!$A$6:$BE$37,49,0)-VLOOKUP(B374,#REF!,$AG$2,0),0)</f>
        <v>0</v>
      </c>
      <c r="AH374" s="9">
        <f>IFERROR(VLOOKUP(B374,cubo!$A$6:$BE$37,50,0)-VLOOKUP(B374,#REF!,$AH$2,0),0)</f>
        <v>0</v>
      </c>
      <c r="AI374" s="9">
        <f>IFERROR(VLOOKUP(B374,cubo!$A$6:$BE$37,51,0)-VLOOKUP(B374,#REF!,$AI$2,0),0)</f>
        <v>0</v>
      </c>
      <c r="AJ374" s="9">
        <f>IFERROR(VLOOKUP(B374,cubo!$A$6:$BI$116,62,0)-VLOOKUP(B374,#REF!,$AJ$2,0),0)</f>
        <v>0</v>
      </c>
      <c r="AK374" s="9">
        <f>IFERROR(VLOOKUP(B374,cubo!$A$6:$BJ$37,63,0)-VLOOKUP(B374,#REF!,$AK$2,0),0)</f>
        <v>0</v>
      </c>
      <c r="AL374" s="9">
        <f>IFERROR(VLOOKUP(B374,cubo!$A$6:$BE$37,58,0)-VLOOKUP(B374,#REF!,$AL$2,0),0)</f>
        <v>0</v>
      </c>
      <c r="AM374" s="9">
        <f>IFERROR(VLOOKUP(B374,cubo!$A$6:$BK$37,64,0)-VLOOKUP(B374,#REF!,$AM$2,0),0)</f>
        <v>0</v>
      </c>
      <c r="AN374" s="9">
        <f>IFERROR(VLOOKUP(B374,cubo!$A$6:$AN$37,41,0)-VLOOKUP(B374,#REF!,$AN$2,0),0)</f>
        <v>0</v>
      </c>
    </row>
    <row r="375" spans="2:40" x14ac:dyDescent="0.25">
      <c r="B375" s="7">
        <f>[1]salario!A374</f>
        <v>0</v>
      </c>
      <c r="C375" s="8">
        <f>[1]salario!C374</f>
        <v>0</v>
      </c>
      <c r="D375" s="9">
        <f>IFERROR(VLOOKUP(B375,cubo!$A$6:$BE$37,3,0)-VLOOKUP(B375,#REF!,$D$2,0),0)</f>
        <v>0</v>
      </c>
      <c r="E375" s="10">
        <f>IFERROR(VLOOKUP(B375,cubo!$A$6:$BE$37,5,0)-VLOOKUP(B375,#REF!,$E$2,0),0)</f>
        <v>0</v>
      </c>
      <c r="F375" s="10">
        <f>IFERROR(VLOOKUP(B375,cubo!$A$6:$BE$37,8,0)-VLOOKUP(B375,#REF!,$F$2,0),0)</f>
        <v>0</v>
      </c>
      <c r="G375" s="9">
        <f>IFERROR(VLOOKUP(B375,cubo!$A$6:$BE$37,11,0)-VLOOKUP(B375,#REF!,$G$2,0),0)</f>
        <v>0</v>
      </c>
      <c r="H375" s="9">
        <f>IFERROR(VLOOKUP(B375,cubo!$A$6:$BE$37,53,0)-VLOOKUP(B375,#REF!,$H$2,0),0)</f>
        <v>0</v>
      </c>
      <c r="I375" s="10">
        <f>IFERROR(VLOOKUP(B375,cubo!$A$6:$BE$37,14,0)-VLOOKUP(B375,#REF!,$I$2,0),0)</f>
        <v>0</v>
      </c>
      <c r="J375" s="9">
        <f>IFERROR(VLOOKUP(B375,cubo!$A$6:$BE$37,16,0)-VLOOKUP(B375,#REF!,$J$2,0),0)</f>
        <v>0</v>
      </c>
      <c r="K375" s="9">
        <f>IFERROR(VLOOKUP(B375,cubo!$A$6:$BE$37,17,0)-VLOOKUP(B375,#REF!,$K$2,0),0)</f>
        <v>0</v>
      </c>
      <c r="L375" s="9">
        <f>IFERROR(VLOOKUP(B375,cubo!$A$6:$BE$37,19,0)-VLOOKUP(B375,#REF!,$L$2,0),0)</f>
        <v>0</v>
      </c>
      <c r="M375" s="9">
        <f>IFERROR(VLOOKUP(B375,cubo!$A$6:$BE$37,23,0)-VLOOKUP(B375,#REF!,$M$2,0),0)</f>
        <v>0</v>
      </c>
      <c r="N375" s="9">
        <f>IFERROR(VLOOKUP(B375,cubo!$A$6:$BE$37,25,0)-VLOOKUP(B375,#REF!,$N$2,0),0)</f>
        <v>0</v>
      </c>
      <c r="O375" s="9">
        <f>IFERROR(VLOOKUP(B375,cubo!$A$6:$BE$37,33,0)-VLOOKUP(B375,#REF!,$O$2,0),0)</f>
        <v>0</v>
      </c>
      <c r="P375" s="8">
        <f>IFERROR(VLOOKUP(B375,cubo!$A$6:$BE$37,37,0)-VLOOKUP(B375,#REF!,$P$2,0),0)</f>
        <v>0</v>
      </c>
      <c r="Q375" s="8">
        <f>IFERROR(VLOOKUP(B375,cubo!$A$6:$BE$37,56,0)-VLOOKUP(B375,#REF!,$Q$2,0),0)</f>
        <v>0</v>
      </c>
      <c r="R375" s="9">
        <f>IFERROR(VLOOKUP(B375,cubo!$A$6:$BE$37,40,0)-VLOOKUP(B375,#REF!,$R$2,0),0)</f>
        <v>0</v>
      </c>
      <c r="S375" s="9">
        <f>IFERROR(VLOOKUP(B375,cubo!$A$6:$BE$37,43,0)-VLOOKUP(B375,#REF!,$S$2,0),0)</f>
        <v>0</v>
      </c>
      <c r="T375" s="9">
        <f>IFERROR(VLOOKUP(B375,cubo!$A$6:$BE$37,46,0)-VLOOKUP(B375,#REF!,$T$2,0),0)</f>
        <v>0</v>
      </c>
      <c r="U375" s="9">
        <f>IFERROR(VLOOKUP(B375,cubo!$A$6:$BE$37,51,0)-VLOOKUP(B375,#REF!,$U$2,0),0)</f>
        <v>0</v>
      </c>
      <c r="V375" s="9">
        <f>IFERROR(VLOOKUP(B375,cubo!$A$6:$BJ$37,60,0)-VLOOKUP(B375,#REF!,$V$2,0),0)</f>
        <v>0</v>
      </c>
      <c r="W375" s="9">
        <f>IFERROR(VLOOKUP(B375,cubo!$A$6:$BE$37,26,0)-VLOOKUP(B375,#REF!,$W$2,0),0)</f>
        <v>0</v>
      </c>
      <c r="X375" s="9">
        <f>IFERROR(VLOOKUP(B375,cubo!$A$6:$BE$37,20,0)-VLOOKUP(B375,#REF!,$X$2,0),0)</f>
        <v>0</v>
      </c>
      <c r="Y375" s="9">
        <f>IFERROR(VLOOKUP(B375,cubo!$A$6:$BE$37,21,0)-VLOOKUP(B375,#REF!,$Y$2,0),0)</f>
        <v>0</v>
      </c>
      <c r="Z375" s="9">
        <f>IFERROR(VLOOKUP(B375,cubo!$A$6:$BE$37,27,0)-VLOOKUP(B375,#REF!,$Z$2,0),0)</f>
        <v>0</v>
      </c>
      <c r="AA375" s="9">
        <f>IFERROR(VLOOKUP(B375,cubo!$A$6:$BE$37,28,0)-VLOOKUP(B375,#REF!,$AA$2,0),0)</f>
        <v>0</v>
      </c>
      <c r="AB375" s="9">
        <f>IFERROR(VLOOKUP(B375,cubo!$A$6:$BE$37,29,0)-VLOOKUP(B375,#REF!,$AB$2,0),0)</f>
        <v>0</v>
      </c>
      <c r="AC375" s="9">
        <f>IFERROR(VLOOKUP(B375,cubo!$A$6:$BE$37,30,0)-VLOOKUP(B375,#REF!,$AC$2,0),0)</f>
        <v>0</v>
      </c>
      <c r="AD375" s="9">
        <f>IFERROR(VLOOKUP(B375,cubo!$A$6:$BE$37,31,0)-VLOOKUP(B375,#REF!,$AD$2,0),0)</f>
        <v>0</v>
      </c>
      <c r="AE375" s="9">
        <f>IFERROR(VLOOKUP(B375,cubo!$A$6:$BE$37,35,0)-VLOOKUP(B375,#REF!,$AE$2,0),0)</f>
        <v>0</v>
      </c>
      <c r="AF375" s="9" cm="1">
        <f t="array" aca="1" ref="AF375" ca="1">IFERROR(rrPROCV(B375,cubo!$A$6:$BE$37,48,0)-VLOOKUP(B375,#REF!,$AF$2,0),0)</f>
        <v>0</v>
      </c>
      <c r="AG375" s="9">
        <f>IFERROR(VLOOKUP(B375,cubo!$A$6:$BE$37,49,0)-VLOOKUP(B375,#REF!,$AG$2,0),0)</f>
        <v>0</v>
      </c>
      <c r="AH375" s="9">
        <f>IFERROR(VLOOKUP(B375,cubo!$A$6:$BE$37,50,0)-VLOOKUP(B375,#REF!,$AH$2,0),0)</f>
        <v>0</v>
      </c>
      <c r="AI375" s="9">
        <f>IFERROR(VLOOKUP(B375,cubo!$A$6:$BE$37,51,0)-VLOOKUP(B375,#REF!,$AI$2,0),0)</f>
        <v>0</v>
      </c>
      <c r="AJ375" s="9">
        <f>IFERROR(VLOOKUP(B375,cubo!$A$6:$BI$116,62,0)-VLOOKUP(B375,#REF!,$AJ$2,0),0)</f>
        <v>0</v>
      </c>
      <c r="AK375" s="9">
        <f>IFERROR(VLOOKUP(B375,cubo!$A$6:$BJ$37,63,0)-VLOOKUP(B375,#REF!,$AK$2,0),0)</f>
        <v>0</v>
      </c>
      <c r="AL375" s="9">
        <f>IFERROR(VLOOKUP(B375,cubo!$A$6:$BE$37,58,0)-VLOOKUP(B375,#REF!,$AL$2,0),0)</f>
        <v>0</v>
      </c>
      <c r="AM375" s="9">
        <f>IFERROR(VLOOKUP(B375,cubo!$A$6:$BK$37,64,0)-VLOOKUP(B375,#REF!,$AM$2,0),0)</f>
        <v>0</v>
      </c>
      <c r="AN375" s="9">
        <f>IFERROR(VLOOKUP(B375,cubo!$A$6:$AN$37,41,0)-VLOOKUP(B375,#REF!,$AN$2,0),0)</f>
        <v>0</v>
      </c>
    </row>
    <row r="376" spans="2:40" x14ac:dyDescent="0.25">
      <c r="B376" s="7">
        <f>[1]salario!A375</f>
        <v>0</v>
      </c>
      <c r="C376" s="8">
        <f>[1]salario!C375</f>
        <v>0</v>
      </c>
      <c r="D376" s="9">
        <f>IFERROR(VLOOKUP(B376,cubo!$A$6:$BE$37,3,0)-VLOOKUP(B376,#REF!,$D$2,0),0)</f>
        <v>0</v>
      </c>
      <c r="E376" s="10">
        <f>IFERROR(VLOOKUP(B376,cubo!$A$6:$BE$37,5,0)-VLOOKUP(B376,#REF!,$E$2,0),0)</f>
        <v>0</v>
      </c>
      <c r="F376" s="10">
        <f>IFERROR(VLOOKUP(B376,cubo!$A$6:$BE$37,8,0)-VLOOKUP(B376,#REF!,$F$2,0),0)</f>
        <v>0</v>
      </c>
      <c r="G376" s="9">
        <f>IFERROR(VLOOKUP(B376,cubo!$A$6:$BE$37,11,0)-VLOOKUP(B376,#REF!,$G$2,0),0)</f>
        <v>0</v>
      </c>
      <c r="H376" s="9">
        <f>IFERROR(VLOOKUP(B376,cubo!$A$6:$BE$37,53,0)-VLOOKUP(B376,#REF!,$H$2,0),0)</f>
        <v>0</v>
      </c>
      <c r="I376" s="10">
        <f>IFERROR(VLOOKUP(B376,cubo!$A$6:$BE$37,14,0)-VLOOKUP(B376,#REF!,$I$2,0),0)</f>
        <v>0</v>
      </c>
      <c r="J376" s="9">
        <f>IFERROR(VLOOKUP(B376,cubo!$A$6:$BE$37,16,0)-VLOOKUP(B376,#REF!,$J$2,0),0)</f>
        <v>0</v>
      </c>
      <c r="K376" s="9">
        <f>IFERROR(VLOOKUP(B376,cubo!$A$6:$BE$37,17,0)-VLOOKUP(B376,#REF!,$K$2,0),0)</f>
        <v>0</v>
      </c>
      <c r="L376" s="9">
        <f>IFERROR(VLOOKUP(B376,cubo!$A$6:$BE$37,19,0)-VLOOKUP(B376,#REF!,$L$2,0),0)</f>
        <v>0</v>
      </c>
      <c r="M376" s="9">
        <f>IFERROR(VLOOKUP(B376,cubo!$A$6:$BE$37,23,0)-VLOOKUP(B376,#REF!,$M$2,0),0)</f>
        <v>0</v>
      </c>
      <c r="N376" s="9">
        <f>IFERROR(VLOOKUP(B376,cubo!$A$6:$BE$37,25,0)-VLOOKUP(B376,#REF!,$N$2,0),0)</f>
        <v>0</v>
      </c>
      <c r="O376" s="9">
        <f>IFERROR(VLOOKUP(B376,cubo!$A$6:$BE$37,33,0)-VLOOKUP(B376,#REF!,$O$2,0),0)</f>
        <v>0</v>
      </c>
      <c r="P376" s="8">
        <f>IFERROR(VLOOKUP(B376,cubo!$A$6:$BE$37,37,0)-VLOOKUP(B376,#REF!,$P$2,0),0)</f>
        <v>0</v>
      </c>
      <c r="Q376" s="8">
        <f>IFERROR(VLOOKUP(B376,cubo!$A$6:$BE$37,56,0)-VLOOKUP(B376,#REF!,$Q$2,0),0)</f>
        <v>0</v>
      </c>
      <c r="R376" s="9">
        <f>IFERROR(VLOOKUP(B376,cubo!$A$6:$BE$37,40,0)-VLOOKUP(B376,#REF!,$R$2,0),0)</f>
        <v>0</v>
      </c>
      <c r="S376" s="9">
        <f>IFERROR(VLOOKUP(B376,cubo!$A$6:$BE$37,43,0)-VLOOKUP(B376,#REF!,$S$2,0),0)</f>
        <v>0</v>
      </c>
      <c r="T376" s="9">
        <f>IFERROR(VLOOKUP(B376,cubo!$A$6:$BE$37,46,0)-VLOOKUP(B376,#REF!,$T$2,0),0)</f>
        <v>0</v>
      </c>
      <c r="U376" s="9">
        <f>IFERROR(VLOOKUP(B376,cubo!$A$6:$BE$37,51,0)-VLOOKUP(B376,#REF!,$U$2,0),0)</f>
        <v>0</v>
      </c>
      <c r="V376" s="9">
        <f>IFERROR(VLOOKUP(B376,cubo!$A$6:$BJ$37,60,0)-VLOOKUP(B376,#REF!,$V$2,0),0)</f>
        <v>0</v>
      </c>
      <c r="W376" s="9">
        <f>IFERROR(VLOOKUP(B376,cubo!$A$6:$BE$37,26,0)-VLOOKUP(B376,#REF!,$W$2,0),0)</f>
        <v>0</v>
      </c>
      <c r="X376" s="9">
        <f>IFERROR(VLOOKUP(B376,cubo!$A$6:$BE$37,20,0)-VLOOKUP(B376,#REF!,$X$2,0),0)</f>
        <v>0</v>
      </c>
      <c r="Y376" s="9">
        <f>IFERROR(VLOOKUP(B376,cubo!$A$6:$BE$37,21,0)-VLOOKUP(B376,#REF!,$Y$2,0),0)</f>
        <v>0</v>
      </c>
      <c r="Z376" s="9">
        <f>IFERROR(VLOOKUP(B376,cubo!$A$6:$BE$37,27,0)-VLOOKUP(B376,#REF!,$Z$2,0),0)</f>
        <v>0</v>
      </c>
      <c r="AA376" s="9">
        <f>IFERROR(VLOOKUP(B376,cubo!$A$6:$BE$37,28,0)-VLOOKUP(B376,#REF!,$AA$2,0),0)</f>
        <v>0</v>
      </c>
      <c r="AB376" s="9">
        <f>IFERROR(VLOOKUP(B376,cubo!$A$6:$BE$37,29,0)-VLOOKUP(B376,#REF!,$AB$2,0),0)</f>
        <v>0</v>
      </c>
      <c r="AC376" s="9">
        <f>IFERROR(VLOOKUP(B376,cubo!$A$6:$BE$37,30,0)-VLOOKUP(B376,#REF!,$AC$2,0),0)</f>
        <v>0</v>
      </c>
      <c r="AD376" s="9">
        <f>IFERROR(VLOOKUP(B376,cubo!$A$6:$BE$37,31,0)-VLOOKUP(B376,#REF!,$AD$2,0),0)</f>
        <v>0</v>
      </c>
      <c r="AE376" s="9">
        <f>IFERROR(VLOOKUP(B376,cubo!$A$6:$BE$37,35,0)-VLOOKUP(B376,#REF!,$AE$2,0),0)</f>
        <v>0</v>
      </c>
      <c r="AF376" s="9" cm="1">
        <f t="array" aca="1" ref="AF376" ca="1">IFERROR(rrPROCV(B376,cubo!$A$6:$BE$37,48,0)-VLOOKUP(B376,#REF!,$AF$2,0),0)</f>
        <v>0</v>
      </c>
      <c r="AG376" s="9">
        <f>IFERROR(VLOOKUP(B376,cubo!$A$6:$BE$37,49,0)-VLOOKUP(B376,#REF!,$AG$2,0),0)</f>
        <v>0</v>
      </c>
      <c r="AH376" s="9">
        <f>IFERROR(VLOOKUP(B376,cubo!$A$6:$BE$37,50,0)-VLOOKUP(B376,#REF!,$AH$2,0),0)</f>
        <v>0</v>
      </c>
      <c r="AI376" s="9">
        <f>IFERROR(VLOOKUP(B376,cubo!$A$6:$BE$37,51,0)-VLOOKUP(B376,#REF!,$AI$2,0),0)</f>
        <v>0</v>
      </c>
      <c r="AJ376" s="9">
        <f>IFERROR(VLOOKUP(B376,cubo!$A$6:$BI$116,62,0)-VLOOKUP(B376,#REF!,$AJ$2,0),0)</f>
        <v>0</v>
      </c>
      <c r="AK376" s="9">
        <f>IFERROR(VLOOKUP(B376,cubo!$A$6:$BJ$37,63,0)-VLOOKUP(B376,#REF!,$AK$2,0),0)</f>
        <v>0</v>
      </c>
      <c r="AL376" s="9">
        <f>IFERROR(VLOOKUP(B376,cubo!$A$6:$BE$37,58,0)-VLOOKUP(B376,#REF!,$AL$2,0),0)</f>
        <v>0</v>
      </c>
      <c r="AM376" s="9">
        <f>IFERROR(VLOOKUP(B376,cubo!$A$6:$BK$37,64,0)-VLOOKUP(B376,#REF!,$AM$2,0),0)</f>
        <v>0</v>
      </c>
      <c r="AN376" s="9">
        <f>IFERROR(VLOOKUP(B376,cubo!$A$6:$AN$37,41,0)-VLOOKUP(B376,#REF!,$AN$2,0),0)</f>
        <v>0</v>
      </c>
    </row>
    <row r="377" spans="2:40" x14ac:dyDescent="0.25">
      <c r="B377" s="7">
        <f>[1]salario!A376</f>
        <v>0</v>
      </c>
      <c r="C377" s="8">
        <f>[1]salario!C376</f>
        <v>0</v>
      </c>
      <c r="D377" s="9">
        <f>IFERROR(VLOOKUP(B377,cubo!$A$6:$BE$37,3,0)-VLOOKUP(B377,#REF!,$D$2,0),0)</f>
        <v>0</v>
      </c>
      <c r="E377" s="10">
        <f>IFERROR(VLOOKUP(B377,cubo!$A$6:$BE$37,5,0)-VLOOKUP(B377,#REF!,$E$2,0),0)</f>
        <v>0</v>
      </c>
      <c r="F377" s="10">
        <f>IFERROR(VLOOKUP(B377,cubo!$A$6:$BE$37,8,0)-VLOOKUP(B377,#REF!,$F$2,0),0)</f>
        <v>0</v>
      </c>
      <c r="G377" s="9">
        <f>IFERROR(VLOOKUP(B377,cubo!$A$6:$BE$37,11,0)-VLOOKUP(B377,#REF!,$G$2,0),0)</f>
        <v>0</v>
      </c>
      <c r="H377" s="9">
        <f>IFERROR(VLOOKUP(B377,cubo!$A$6:$BE$37,53,0)-VLOOKUP(B377,#REF!,$H$2,0),0)</f>
        <v>0</v>
      </c>
      <c r="I377" s="10">
        <f>IFERROR(VLOOKUP(B377,cubo!$A$6:$BE$37,14,0)-VLOOKUP(B377,#REF!,$I$2,0),0)</f>
        <v>0</v>
      </c>
      <c r="J377" s="9">
        <f>IFERROR(VLOOKUP(B377,cubo!$A$6:$BE$37,16,0)-VLOOKUP(B377,#REF!,$J$2,0),0)</f>
        <v>0</v>
      </c>
      <c r="K377" s="9">
        <f>IFERROR(VLOOKUP(B377,cubo!$A$6:$BE$37,17,0)-VLOOKUP(B377,#REF!,$K$2,0),0)</f>
        <v>0</v>
      </c>
      <c r="L377" s="9">
        <f>IFERROR(VLOOKUP(B377,cubo!$A$6:$BE$37,19,0)-VLOOKUP(B377,#REF!,$L$2,0),0)</f>
        <v>0</v>
      </c>
      <c r="M377" s="9">
        <f>IFERROR(VLOOKUP(B377,cubo!$A$6:$BE$37,23,0)-VLOOKUP(B377,#REF!,$M$2,0),0)</f>
        <v>0</v>
      </c>
      <c r="N377" s="9">
        <f>IFERROR(VLOOKUP(B377,cubo!$A$6:$BE$37,25,0)-VLOOKUP(B377,#REF!,$N$2,0),0)</f>
        <v>0</v>
      </c>
      <c r="O377" s="9">
        <f>IFERROR(VLOOKUP(B377,cubo!$A$6:$BE$37,33,0)-VLOOKUP(B377,#REF!,$O$2,0),0)</f>
        <v>0</v>
      </c>
      <c r="P377" s="8">
        <f>IFERROR(VLOOKUP(B377,cubo!$A$6:$BE$37,37,0)-VLOOKUP(B377,#REF!,$P$2,0),0)</f>
        <v>0</v>
      </c>
      <c r="Q377" s="8">
        <f>IFERROR(VLOOKUP(B377,cubo!$A$6:$BE$37,56,0)-VLOOKUP(B377,#REF!,$Q$2,0),0)</f>
        <v>0</v>
      </c>
      <c r="R377" s="9">
        <f>IFERROR(VLOOKUP(B377,cubo!$A$6:$BE$37,40,0)-VLOOKUP(B377,#REF!,$R$2,0),0)</f>
        <v>0</v>
      </c>
      <c r="S377" s="9">
        <f>IFERROR(VLOOKUP(B377,cubo!$A$6:$BE$37,43,0)-VLOOKUP(B377,#REF!,$S$2,0),0)</f>
        <v>0</v>
      </c>
      <c r="T377" s="9">
        <f>IFERROR(VLOOKUP(B377,cubo!$A$6:$BE$37,46,0)-VLOOKUP(B377,#REF!,$T$2,0),0)</f>
        <v>0</v>
      </c>
      <c r="U377" s="9">
        <f>IFERROR(VLOOKUP(B377,cubo!$A$6:$BE$37,51,0)-VLOOKUP(B377,#REF!,$U$2,0),0)</f>
        <v>0</v>
      </c>
      <c r="V377" s="9">
        <f>IFERROR(VLOOKUP(B377,cubo!$A$6:$BJ$37,60,0)-VLOOKUP(B377,#REF!,$V$2,0),0)</f>
        <v>0</v>
      </c>
      <c r="W377" s="9">
        <f>IFERROR(VLOOKUP(B377,cubo!$A$6:$BE$37,26,0)-VLOOKUP(B377,#REF!,$W$2,0),0)</f>
        <v>0</v>
      </c>
      <c r="X377" s="9">
        <f>IFERROR(VLOOKUP(B377,cubo!$A$6:$BE$37,20,0)-VLOOKUP(B377,#REF!,$X$2,0),0)</f>
        <v>0</v>
      </c>
      <c r="Y377" s="9">
        <f>IFERROR(VLOOKUP(B377,cubo!$A$6:$BE$37,21,0)-VLOOKUP(B377,#REF!,$Y$2,0),0)</f>
        <v>0</v>
      </c>
      <c r="Z377" s="9">
        <f>IFERROR(VLOOKUP(B377,cubo!$A$6:$BE$37,27,0)-VLOOKUP(B377,#REF!,$Z$2,0),0)</f>
        <v>0</v>
      </c>
      <c r="AA377" s="9">
        <f>IFERROR(VLOOKUP(B377,cubo!$A$6:$BE$37,28,0)-VLOOKUP(B377,#REF!,$AA$2,0),0)</f>
        <v>0</v>
      </c>
      <c r="AB377" s="9">
        <f>IFERROR(VLOOKUP(B377,cubo!$A$6:$BE$37,29,0)-VLOOKUP(B377,#REF!,$AB$2,0),0)</f>
        <v>0</v>
      </c>
      <c r="AC377" s="9">
        <f>IFERROR(VLOOKUP(B377,cubo!$A$6:$BE$37,30,0)-VLOOKUP(B377,#REF!,$AC$2,0),0)</f>
        <v>0</v>
      </c>
      <c r="AD377" s="9">
        <f>IFERROR(VLOOKUP(B377,cubo!$A$6:$BE$37,31,0)-VLOOKUP(B377,#REF!,$AD$2,0),0)</f>
        <v>0</v>
      </c>
      <c r="AE377" s="9">
        <f>IFERROR(VLOOKUP(B377,cubo!$A$6:$BE$37,35,0)-VLOOKUP(B377,#REF!,$AE$2,0),0)</f>
        <v>0</v>
      </c>
      <c r="AF377" s="9" cm="1">
        <f t="array" aca="1" ref="AF377" ca="1">IFERROR(rrPROCV(B377,cubo!$A$6:$BE$37,48,0)-VLOOKUP(B377,#REF!,$AF$2,0),0)</f>
        <v>0</v>
      </c>
      <c r="AG377" s="9">
        <f>IFERROR(VLOOKUP(B377,cubo!$A$6:$BE$37,49,0)-VLOOKUP(B377,#REF!,$AG$2,0),0)</f>
        <v>0</v>
      </c>
      <c r="AH377" s="9">
        <f>IFERROR(VLOOKUP(B377,cubo!$A$6:$BE$37,50,0)-VLOOKUP(B377,#REF!,$AH$2,0),0)</f>
        <v>0</v>
      </c>
      <c r="AI377" s="9">
        <f>IFERROR(VLOOKUP(B377,cubo!$A$6:$BE$37,51,0)-VLOOKUP(B377,#REF!,$AI$2,0),0)</f>
        <v>0</v>
      </c>
      <c r="AJ377" s="9">
        <f>IFERROR(VLOOKUP(B377,cubo!$A$6:$BI$116,62,0)-VLOOKUP(B377,#REF!,$AJ$2,0),0)</f>
        <v>0</v>
      </c>
      <c r="AK377" s="9">
        <f>IFERROR(VLOOKUP(B377,cubo!$A$6:$BJ$37,63,0)-VLOOKUP(B377,#REF!,$AK$2,0),0)</f>
        <v>0</v>
      </c>
      <c r="AL377" s="9">
        <f>IFERROR(VLOOKUP(B377,cubo!$A$6:$BE$37,58,0)-VLOOKUP(B377,#REF!,$AL$2,0),0)</f>
        <v>0</v>
      </c>
      <c r="AM377" s="9">
        <f>IFERROR(VLOOKUP(B377,cubo!$A$6:$BK$37,64,0)-VLOOKUP(B377,#REF!,$AM$2,0),0)</f>
        <v>0</v>
      </c>
      <c r="AN377" s="9">
        <f>IFERROR(VLOOKUP(B377,cubo!$A$6:$AN$37,41,0)-VLOOKUP(B377,#REF!,$AN$2,0),0)</f>
        <v>0</v>
      </c>
    </row>
    <row r="378" spans="2:40" x14ac:dyDescent="0.25">
      <c r="B378" s="7">
        <f>[1]salario!A377</f>
        <v>0</v>
      </c>
      <c r="C378" s="8">
        <f>[1]salario!C377</f>
        <v>0</v>
      </c>
      <c r="D378" s="9">
        <f>IFERROR(VLOOKUP(B378,cubo!$A$6:$BE$37,3,0)-VLOOKUP(B378,#REF!,$D$2,0),0)</f>
        <v>0</v>
      </c>
      <c r="E378" s="10">
        <f>IFERROR(VLOOKUP(B378,cubo!$A$6:$BE$37,5,0)-VLOOKUP(B378,#REF!,$E$2,0),0)</f>
        <v>0</v>
      </c>
      <c r="F378" s="10">
        <f>IFERROR(VLOOKUP(B378,cubo!$A$6:$BE$37,8,0)-VLOOKUP(B378,#REF!,$F$2,0),0)</f>
        <v>0</v>
      </c>
      <c r="G378" s="9">
        <f>IFERROR(VLOOKUP(B378,cubo!$A$6:$BE$37,11,0)-VLOOKUP(B378,#REF!,$G$2,0),0)</f>
        <v>0</v>
      </c>
      <c r="H378" s="9">
        <f>IFERROR(VLOOKUP(B378,cubo!$A$6:$BE$37,53,0)-VLOOKUP(B378,#REF!,$H$2,0),0)</f>
        <v>0</v>
      </c>
      <c r="I378" s="10">
        <f>IFERROR(VLOOKUP(B378,cubo!$A$6:$BE$37,14,0)-VLOOKUP(B378,#REF!,$I$2,0),0)</f>
        <v>0</v>
      </c>
      <c r="J378" s="9">
        <f>IFERROR(VLOOKUP(B378,cubo!$A$6:$BE$37,16,0)-VLOOKUP(B378,#REF!,$J$2,0),0)</f>
        <v>0</v>
      </c>
      <c r="K378" s="9">
        <f>IFERROR(VLOOKUP(B378,cubo!$A$6:$BE$37,17,0)-VLOOKUP(B378,#REF!,$K$2,0),0)</f>
        <v>0</v>
      </c>
      <c r="L378" s="9">
        <f>IFERROR(VLOOKUP(B378,cubo!$A$6:$BE$37,19,0)-VLOOKUP(B378,#REF!,$L$2,0),0)</f>
        <v>0</v>
      </c>
      <c r="M378" s="9">
        <f>IFERROR(VLOOKUP(B378,cubo!$A$6:$BE$37,23,0)-VLOOKUP(B378,#REF!,$M$2,0),0)</f>
        <v>0</v>
      </c>
      <c r="N378" s="9">
        <f>IFERROR(VLOOKUP(B378,cubo!$A$6:$BE$37,25,0)-VLOOKUP(B378,#REF!,$N$2,0),0)</f>
        <v>0</v>
      </c>
      <c r="O378" s="9">
        <f>IFERROR(VLOOKUP(B378,cubo!$A$6:$BE$37,33,0)-VLOOKUP(B378,#REF!,$O$2,0),0)</f>
        <v>0</v>
      </c>
      <c r="P378" s="8">
        <f>IFERROR(VLOOKUP(B378,cubo!$A$6:$BE$37,37,0)-VLOOKUP(B378,#REF!,$P$2,0),0)</f>
        <v>0</v>
      </c>
      <c r="Q378" s="8">
        <f>IFERROR(VLOOKUP(B378,cubo!$A$6:$BE$37,56,0)-VLOOKUP(B378,#REF!,$Q$2,0),0)</f>
        <v>0</v>
      </c>
      <c r="R378" s="9">
        <f>IFERROR(VLOOKUP(B378,cubo!$A$6:$BE$37,40,0)-VLOOKUP(B378,#REF!,$R$2,0),0)</f>
        <v>0</v>
      </c>
      <c r="S378" s="9">
        <f>IFERROR(VLOOKUP(B378,cubo!$A$6:$BE$37,43,0)-VLOOKUP(B378,#REF!,$S$2,0),0)</f>
        <v>0</v>
      </c>
      <c r="T378" s="9">
        <f>IFERROR(VLOOKUP(B378,cubo!$A$6:$BE$37,46,0)-VLOOKUP(B378,#REF!,$T$2,0),0)</f>
        <v>0</v>
      </c>
      <c r="U378" s="9">
        <f>IFERROR(VLOOKUP(B378,cubo!$A$6:$BE$37,51,0)-VLOOKUP(B378,#REF!,$U$2,0),0)</f>
        <v>0</v>
      </c>
      <c r="V378" s="9">
        <f>IFERROR(VLOOKUP(B378,cubo!$A$6:$BJ$37,60,0)-VLOOKUP(B378,#REF!,$V$2,0),0)</f>
        <v>0</v>
      </c>
      <c r="W378" s="9">
        <f>IFERROR(VLOOKUP(B378,cubo!$A$6:$BE$37,26,0)-VLOOKUP(B378,#REF!,$W$2,0),0)</f>
        <v>0</v>
      </c>
      <c r="X378" s="9">
        <f>IFERROR(VLOOKUP(B378,cubo!$A$6:$BE$37,20,0)-VLOOKUP(B378,#REF!,$X$2,0),0)</f>
        <v>0</v>
      </c>
      <c r="Y378" s="9">
        <f>IFERROR(VLOOKUP(B378,cubo!$A$6:$BE$37,21,0)-VLOOKUP(B378,#REF!,$Y$2,0),0)</f>
        <v>0</v>
      </c>
      <c r="Z378" s="9">
        <f>IFERROR(VLOOKUP(B378,cubo!$A$6:$BE$37,27,0)-VLOOKUP(B378,#REF!,$Z$2,0),0)</f>
        <v>0</v>
      </c>
      <c r="AA378" s="9">
        <f>IFERROR(VLOOKUP(B378,cubo!$A$6:$BE$37,28,0)-VLOOKUP(B378,#REF!,$AA$2,0),0)</f>
        <v>0</v>
      </c>
      <c r="AB378" s="9">
        <f>IFERROR(VLOOKUP(B378,cubo!$A$6:$BE$37,29,0)-VLOOKUP(B378,#REF!,$AB$2,0),0)</f>
        <v>0</v>
      </c>
      <c r="AC378" s="9">
        <f>IFERROR(VLOOKUP(B378,cubo!$A$6:$BE$37,30,0)-VLOOKUP(B378,#REF!,$AC$2,0),0)</f>
        <v>0</v>
      </c>
      <c r="AD378" s="9">
        <f>IFERROR(VLOOKUP(B378,cubo!$A$6:$BE$37,31,0)-VLOOKUP(B378,#REF!,$AD$2,0),0)</f>
        <v>0</v>
      </c>
      <c r="AE378" s="9">
        <f>IFERROR(VLOOKUP(B378,cubo!$A$6:$BE$37,35,0)-VLOOKUP(B378,#REF!,$AE$2,0),0)</f>
        <v>0</v>
      </c>
      <c r="AF378" s="9" cm="1">
        <f t="array" aca="1" ref="AF378" ca="1">IFERROR(rrPROCV(B378,cubo!$A$6:$BE$37,48,0)-VLOOKUP(B378,#REF!,$AF$2,0),0)</f>
        <v>0</v>
      </c>
      <c r="AG378" s="9">
        <f>IFERROR(VLOOKUP(B378,cubo!$A$6:$BE$37,49,0)-VLOOKUP(B378,#REF!,$AG$2,0),0)</f>
        <v>0</v>
      </c>
      <c r="AH378" s="9">
        <f>IFERROR(VLOOKUP(B378,cubo!$A$6:$BE$37,50,0)-VLOOKUP(B378,#REF!,$AH$2,0),0)</f>
        <v>0</v>
      </c>
      <c r="AI378" s="9">
        <f>IFERROR(VLOOKUP(B378,cubo!$A$6:$BE$37,51,0)-VLOOKUP(B378,#REF!,$AI$2,0),0)</f>
        <v>0</v>
      </c>
      <c r="AJ378" s="9">
        <f>IFERROR(VLOOKUP(B378,cubo!$A$6:$BI$116,62,0)-VLOOKUP(B378,#REF!,$AJ$2,0),0)</f>
        <v>0</v>
      </c>
      <c r="AK378" s="9">
        <f>IFERROR(VLOOKUP(B378,cubo!$A$6:$BJ$37,63,0)-VLOOKUP(B378,#REF!,$AK$2,0),0)</f>
        <v>0</v>
      </c>
      <c r="AL378" s="9">
        <f>IFERROR(VLOOKUP(B378,cubo!$A$6:$BE$37,58,0)-VLOOKUP(B378,#REF!,$AL$2,0),0)</f>
        <v>0</v>
      </c>
      <c r="AM378" s="9">
        <f>IFERROR(VLOOKUP(B378,cubo!$A$6:$BK$37,64,0)-VLOOKUP(B378,#REF!,$AM$2,0),0)</f>
        <v>0</v>
      </c>
      <c r="AN378" s="9">
        <f>IFERROR(VLOOKUP(B378,cubo!$A$6:$AN$37,41,0)-VLOOKUP(B378,#REF!,$AN$2,0),0)</f>
        <v>0</v>
      </c>
    </row>
    <row r="379" spans="2:40" x14ac:dyDescent="0.25">
      <c r="B379" s="7">
        <f>[1]salario!A378</f>
        <v>0</v>
      </c>
      <c r="C379" s="8">
        <f>[1]salario!C378</f>
        <v>0</v>
      </c>
      <c r="D379" s="9">
        <f>IFERROR(VLOOKUP(B379,cubo!$A$6:$BE$37,3,0)-VLOOKUP(B379,#REF!,$D$2,0),0)</f>
        <v>0</v>
      </c>
      <c r="E379" s="10">
        <f>IFERROR(VLOOKUP(B379,cubo!$A$6:$BE$37,5,0)-VLOOKUP(B379,#REF!,$E$2,0),0)</f>
        <v>0</v>
      </c>
      <c r="F379" s="10">
        <f>IFERROR(VLOOKUP(B379,cubo!$A$6:$BE$37,8,0)-VLOOKUP(B379,#REF!,$F$2,0),0)</f>
        <v>0</v>
      </c>
      <c r="G379" s="9">
        <f>IFERROR(VLOOKUP(B379,cubo!$A$6:$BE$37,11,0)-VLOOKUP(B379,#REF!,$G$2,0),0)</f>
        <v>0</v>
      </c>
      <c r="H379" s="9">
        <f>IFERROR(VLOOKUP(B379,cubo!$A$6:$BE$37,53,0)-VLOOKUP(B379,#REF!,$H$2,0),0)</f>
        <v>0</v>
      </c>
      <c r="I379" s="10">
        <f>IFERROR(VLOOKUP(B379,cubo!$A$6:$BE$37,14,0)-VLOOKUP(B379,#REF!,$I$2,0),0)</f>
        <v>0</v>
      </c>
      <c r="J379" s="9">
        <f>IFERROR(VLOOKUP(B379,cubo!$A$6:$BE$37,16,0)-VLOOKUP(B379,#REF!,$J$2,0),0)</f>
        <v>0</v>
      </c>
      <c r="K379" s="9">
        <f>IFERROR(VLOOKUP(B379,cubo!$A$6:$BE$37,17,0)-VLOOKUP(B379,#REF!,$K$2,0),0)</f>
        <v>0</v>
      </c>
      <c r="L379" s="9">
        <f>IFERROR(VLOOKUP(B379,cubo!$A$6:$BE$37,19,0)-VLOOKUP(B379,#REF!,$L$2,0),0)</f>
        <v>0</v>
      </c>
      <c r="M379" s="9">
        <f>IFERROR(VLOOKUP(B379,cubo!$A$6:$BE$37,23,0)-VLOOKUP(B379,#REF!,$M$2,0),0)</f>
        <v>0</v>
      </c>
      <c r="N379" s="9">
        <f>IFERROR(VLOOKUP(B379,cubo!$A$6:$BE$37,25,0)-VLOOKUP(B379,#REF!,$N$2,0),0)</f>
        <v>0</v>
      </c>
      <c r="O379" s="9">
        <f>IFERROR(VLOOKUP(B379,cubo!$A$6:$BE$37,33,0)-VLOOKUP(B379,#REF!,$O$2,0),0)</f>
        <v>0</v>
      </c>
      <c r="P379" s="8">
        <f>IFERROR(VLOOKUP(B379,cubo!$A$6:$BE$37,37,0)-VLOOKUP(B379,#REF!,$P$2,0),0)</f>
        <v>0</v>
      </c>
      <c r="Q379" s="8">
        <f>IFERROR(VLOOKUP(B379,cubo!$A$6:$BE$37,56,0)-VLOOKUP(B379,#REF!,$Q$2,0),0)</f>
        <v>0</v>
      </c>
      <c r="R379" s="9">
        <f>IFERROR(VLOOKUP(B379,cubo!$A$6:$BE$37,40,0)-VLOOKUP(B379,#REF!,$R$2,0),0)</f>
        <v>0</v>
      </c>
      <c r="S379" s="9">
        <f>IFERROR(VLOOKUP(B379,cubo!$A$6:$BE$37,43,0)-VLOOKUP(B379,#REF!,$S$2,0),0)</f>
        <v>0</v>
      </c>
      <c r="T379" s="9">
        <f>IFERROR(VLOOKUP(B379,cubo!$A$6:$BE$37,46,0)-VLOOKUP(B379,#REF!,$T$2,0),0)</f>
        <v>0</v>
      </c>
      <c r="U379" s="9">
        <f>IFERROR(VLOOKUP(B379,cubo!$A$6:$BE$37,51,0)-VLOOKUP(B379,#REF!,$U$2,0),0)</f>
        <v>0</v>
      </c>
      <c r="V379" s="9">
        <f>IFERROR(VLOOKUP(B379,cubo!$A$6:$BJ$37,60,0)-VLOOKUP(B379,#REF!,$V$2,0),0)</f>
        <v>0</v>
      </c>
      <c r="W379" s="9">
        <f>IFERROR(VLOOKUP(B379,cubo!$A$6:$BE$37,26,0)-VLOOKUP(B379,#REF!,$W$2,0),0)</f>
        <v>0</v>
      </c>
      <c r="X379" s="9">
        <f>IFERROR(VLOOKUP(B379,cubo!$A$6:$BE$37,20,0)-VLOOKUP(B379,#REF!,$X$2,0),0)</f>
        <v>0</v>
      </c>
      <c r="Y379" s="9">
        <f>IFERROR(VLOOKUP(B379,cubo!$A$6:$BE$37,21,0)-VLOOKUP(B379,#REF!,$Y$2,0),0)</f>
        <v>0</v>
      </c>
      <c r="Z379" s="9">
        <f>IFERROR(VLOOKUP(B379,cubo!$A$6:$BE$37,27,0)-VLOOKUP(B379,#REF!,$Z$2,0),0)</f>
        <v>0</v>
      </c>
      <c r="AA379" s="9">
        <f>IFERROR(VLOOKUP(B379,cubo!$A$6:$BE$37,28,0)-VLOOKUP(B379,#REF!,$AA$2,0),0)</f>
        <v>0</v>
      </c>
      <c r="AB379" s="9">
        <f>IFERROR(VLOOKUP(B379,cubo!$A$6:$BE$37,29,0)-VLOOKUP(B379,#REF!,$AB$2,0),0)</f>
        <v>0</v>
      </c>
      <c r="AC379" s="9">
        <f>IFERROR(VLOOKUP(B379,cubo!$A$6:$BE$37,30,0)-VLOOKUP(B379,#REF!,$AC$2,0),0)</f>
        <v>0</v>
      </c>
      <c r="AD379" s="9">
        <f>IFERROR(VLOOKUP(B379,cubo!$A$6:$BE$37,31,0)-VLOOKUP(B379,#REF!,$AD$2,0),0)</f>
        <v>0</v>
      </c>
      <c r="AE379" s="9">
        <f>IFERROR(VLOOKUP(B379,cubo!$A$6:$BE$37,35,0)-VLOOKUP(B379,#REF!,$AE$2,0),0)</f>
        <v>0</v>
      </c>
      <c r="AF379" s="9" cm="1">
        <f t="array" aca="1" ref="AF379" ca="1">IFERROR(rrPROCV(B379,cubo!$A$6:$BE$37,48,0)-VLOOKUP(B379,#REF!,$AF$2,0),0)</f>
        <v>0</v>
      </c>
      <c r="AG379" s="9">
        <f>IFERROR(VLOOKUP(B379,cubo!$A$6:$BE$37,49,0)-VLOOKUP(B379,#REF!,$AG$2,0),0)</f>
        <v>0</v>
      </c>
      <c r="AH379" s="9">
        <f>IFERROR(VLOOKUP(B379,cubo!$A$6:$BE$37,50,0)-VLOOKUP(B379,#REF!,$AH$2,0),0)</f>
        <v>0</v>
      </c>
      <c r="AI379" s="9">
        <f>IFERROR(VLOOKUP(B379,cubo!$A$6:$BE$37,51,0)-VLOOKUP(B379,#REF!,$AI$2,0),0)</f>
        <v>0</v>
      </c>
      <c r="AJ379" s="9">
        <f>IFERROR(VLOOKUP(B379,cubo!$A$6:$BI$116,62,0)-VLOOKUP(B379,#REF!,$AJ$2,0),0)</f>
        <v>0</v>
      </c>
      <c r="AK379" s="9">
        <f>IFERROR(VLOOKUP(B379,cubo!$A$6:$BJ$37,63,0)-VLOOKUP(B379,#REF!,$AK$2,0),0)</f>
        <v>0</v>
      </c>
      <c r="AL379" s="9">
        <f>IFERROR(VLOOKUP(B379,cubo!$A$6:$BE$37,58,0)-VLOOKUP(B379,#REF!,$AL$2,0),0)</f>
        <v>0</v>
      </c>
      <c r="AM379" s="9">
        <f>IFERROR(VLOOKUP(B379,cubo!$A$6:$BK$37,64,0)-VLOOKUP(B379,#REF!,$AM$2,0),0)</f>
        <v>0</v>
      </c>
      <c r="AN379" s="9">
        <f>IFERROR(VLOOKUP(B379,cubo!$A$6:$AN$37,41,0)-VLOOKUP(B379,#REF!,$AN$2,0),0)</f>
        <v>0</v>
      </c>
    </row>
    <row r="380" spans="2:40" x14ac:dyDescent="0.25">
      <c r="B380" s="7">
        <f>[1]salario!A379</f>
        <v>0</v>
      </c>
      <c r="C380" s="8">
        <f>[1]salario!C379</f>
        <v>0</v>
      </c>
      <c r="D380" s="9">
        <f>IFERROR(VLOOKUP(B380,cubo!$A$6:$BE$37,3,0)-VLOOKUP(B380,#REF!,$D$2,0),0)</f>
        <v>0</v>
      </c>
      <c r="E380" s="10">
        <f>IFERROR(VLOOKUP(B380,cubo!$A$6:$BE$37,5,0)-VLOOKUP(B380,#REF!,$E$2,0),0)</f>
        <v>0</v>
      </c>
      <c r="F380" s="10">
        <f>IFERROR(VLOOKUP(B380,cubo!$A$6:$BE$37,8,0)-VLOOKUP(B380,#REF!,$F$2,0),0)</f>
        <v>0</v>
      </c>
      <c r="G380" s="9">
        <f>IFERROR(VLOOKUP(B380,cubo!$A$6:$BE$37,11,0)-VLOOKUP(B380,#REF!,$G$2,0),0)</f>
        <v>0</v>
      </c>
      <c r="H380" s="9">
        <f>IFERROR(VLOOKUP(B380,cubo!$A$6:$BE$37,53,0)-VLOOKUP(B380,#REF!,$H$2,0),0)</f>
        <v>0</v>
      </c>
      <c r="I380" s="10">
        <f>IFERROR(VLOOKUP(B380,cubo!$A$6:$BE$37,14,0)-VLOOKUP(B380,#REF!,$I$2,0),0)</f>
        <v>0</v>
      </c>
      <c r="J380" s="9">
        <f>IFERROR(VLOOKUP(B380,cubo!$A$6:$BE$37,16,0)-VLOOKUP(B380,#REF!,$J$2,0),0)</f>
        <v>0</v>
      </c>
      <c r="K380" s="9">
        <f>IFERROR(VLOOKUP(B380,cubo!$A$6:$BE$37,17,0)-VLOOKUP(B380,#REF!,$K$2,0),0)</f>
        <v>0</v>
      </c>
      <c r="L380" s="9">
        <f>IFERROR(VLOOKUP(B380,cubo!$A$6:$BE$37,19,0)-VLOOKUP(B380,#REF!,$L$2,0),0)</f>
        <v>0</v>
      </c>
      <c r="M380" s="9">
        <f>IFERROR(VLOOKUP(B380,cubo!$A$6:$BE$37,23,0)-VLOOKUP(B380,#REF!,$M$2,0),0)</f>
        <v>0</v>
      </c>
      <c r="N380" s="9">
        <f>IFERROR(VLOOKUP(B380,cubo!$A$6:$BE$37,25,0)-VLOOKUP(B380,#REF!,$N$2,0),0)</f>
        <v>0</v>
      </c>
      <c r="O380" s="9">
        <f>IFERROR(VLOOKUP(B380,cubo!$A$6:$BE$37,33,0)-VLOOKUP(B380,#REF!,$O$2,0),0)</f>
        <v>0</v>
      </c>
      <c r="P380" s="8">
        <f>IFERROR(VLOOKUP(B380,cubo!$A$6:$BE$37,37,0)-VLOOKUP(B380,#REF!,$P$2,0),0)</f>
        <v>0</v>
      </c>
      <c r="Q380" s="8">
        <f>IFERROR(VLOOKUP(B380,cubo!$A$6:$BE$37,56,0)-VLOOKUP(B380,#REF!,$Q$2,0),0)</f>
        <v>0</v>
      </c>
      <c r="R380" s="9">
        <f>IFERROR(VLOOKUP(B380,cubo!$A$6:$BE$37,40,0)-VLOOKUP(B380,#REF!,$R$2,0),0)</f>
        <v>0</v>
      </c>
      <c r="S380" s="9">
        <f>IFERROR(VLOOKUP(B380,cubo!$A$6:$BE$37,43,0)-VLOOKUP(B380,#REF!,$S$2,0),0)</f>
        <v>0</v>
      </c>
      <c r="T380" s="9">
        <f>IFERROR(VLOOKUP(B380,cubo!$A$6:$BE$37,46,0)-VLOOKUP(B380,#REF!,$T$2,0),0)</f>
        <v>0</v>
      </c>
      <c r="U380" s="9">
        <f>IFERROR(VLOOKUP(B380,cubo!$A$6:$BE$37,51,0)-VLOOKUP(B380,#REF!,$U$2,0),0)</f>
        <v>0</v>
      </c>
      <c r="V380" s="9">
        <f>IFERROR(VLOOKUP(B380,cubo!$A$6:$BJ$37,60,0)-VLOOKUP(B380,#REF!,$V$2,0),0)</f>
        <v>0</v>
      </c>
      <c r="W380" s="9">
        <f>IFERROR(VLOOKUP(B380,cubo!$A$6:$BE$37,26,0)-VLOOKUP(B380,#REF!,$W$2,0),0)</f>
        <v>0</v>
      </c>
      <c r="X380" s="9">
        <f>IFERROR(VLOOKUP(B380,cubo!$A$6:$BE$37,20,0)-VLOOKUP(B380,#REF!,$X$2,0),0)</f>
        <v>0</v>
      </c>
      <c r="Y380" s="9">
        <f>IFERROR(VLOOKUP(B380,cubo!$A$6:$BE$37,21,0)-VLOOKUP(B380,#REF!,$Y$2,0),0)</f>
        <v>0</v>
      </c>
      <c r="Z380" s="9">
        <f>IFERROR(VLOOKUP(B380,cubo!$A$6:$BE$37,27,0)-VLOOKUP(B380,#REF!,$Z$2,0),0)</f>
        <v>0</v>
      </c>
      <c r="AA380" s="9">
        <f>IFERROR(VLOOKUP(B380,cubo!$A$6:$BE$37,28,0)-VLOOKUP(B380,#REF!,$AA$2,0),0)</f>
        <v>0</v>
      </c>
      <c r="AB380" s="9">
        <f>IFERROR(VLOOKUP(B380,cubo!$A$6:$BE$37,29,0)-VLOOKUP(B380,#REF!,$AB$2,0),0)</f>
        <v>0</v>
      </c>
      <c r="AC380" s="9">
        <f>IFERROR(VLOOKUP(B380,cubo!$A$6:$BE$37,30,0)-VLOOKUP(B380,#REF!,$AC$2,0),0)</f>
        <v>0</v>
      </c>
      <c r="AD380" s="9">
        <f>IFERROR(VLOOKUP(B380,cubo!$A$6:$BE$37,31,0)-VLOOKUP(B380,#REF!,$AD$2,0),0)</f>
        <v>0</v>
      </c>
      <c r="AE380" s="9">
        <f>IFERROR(VLOOKUP(B380,cubo!$A$6:$BE$37,35,0)-VLOOKUP(B380,#REF!,$AE$2,0),0)</f>
        <v>0</v>
      </c>
      <c r="AF380" s="9" cm="1">
        <f t="array" aca="1" ref="AF380" ca="1">IFERROR(rrPROCV(B380,cubo!$A$6:$BE$37,48,0)-VLOOKUP(B380,#REF!,$AF$2,0),0)</f>
        <v>0</v>
      </c>
      <c r="AG380" s="9">
        <f>IFERROR(VLOOKUP(B380,cubo!$A$6:$BE$37,49,0)-VLOOKUP(B380,#REF!,$AG$2,0),0)</f>
        <v>0</v>
      </c>
      <c r="AH380" s="9">
        <f>IFERROR(VLOOKUP(B380,cubo!$A$6:$BE$37,50,0)-VLOOKUP(B380,#REF!,$AH$2,0),0)</f>
        <v>0</v>
      </c>
      <c r="AI380" s="9">
        <f>IFERROR(VLOOKUP(B380,cubo!$A$6:$BE$37,51,0)-VLOOKUP(B380,#REF!,$AI$2,0),0)</f>
        <v>0</v>
      </c>
      <c r="AJ380" s="9">
        <f>IFERROR(VLOOKUP(B380,cubo!$A$6:$BI$116,62,0)-VLOOKUP(B380,#REF!,$AJ$2,0),0)</f>
        <v>0</v>
      </c>
      <c r="AK380" s="9">
        <f>IFERROR(VLOOKUP(B380,cubo!$A$6:$BJ$37,63,0)-VLOOKUP(B380,#REF!,$AK$2,0),0)</f>
        <v>0</v>
      </c>
      <c r="AL380" s="9">
        <f>IFERROR(VLOOKUP(B380,cubo!$A$6:$BE$37,58,0)-VLOOKUP(B380,#REF!,$AL$2,0),0)</f>
        <v>0</v>
      </c>
      <c r="AM380" s="9">
        <f>IFERROR(VLOOKUP(B380,cubo!$A$6:$BK$37,64,0)-VLOOKUP(B380,#REF!,$AM$2,0),0)</f>
        <v>0</v>
      </c>
      <c r="AN380" s="9">
        <f>IFERROR(VLOOKUP(B380,cubo!$A$6:$AN$37,41,0)-VLOOKUP(B380,#REF!,$AN$2,0),0)</f>
        <v>0</v>
      </c>
    </row>
    <row r="381" spans="2:40" x14ac:dyDescent="0.25">
      <c r="B381" s="7">
        <f>[1]salario!A380</f>
        <v>0</v>
      </c>
      <c r="C381" s="8">
        <f>[1]salario!C380</f>
        <v>0</v>
      </c>
      <c r="D381" s="9">
        <f>IFERROR(VLOOKUP(B381,cubo!$A$6:$BE$37,3,0)-VLOOKUP(B381,#REF!,$D$2,0),0)</f>
        <v>0</v>
      </c>
      <c r="E381" s="10">
        <f>IFERROR(VLOOKUP(B381,cubo!$A$6:$BE$37,5,0)-VLOOKUP(B381,#REF!,$E$2,0),0)</f>
        <v>0</v>
      </c>
      <c r="F381" s="10">
        <f>IFERROR(VLOOKUP(B381,cubo!$A$6:$BE$37,8,0)-VLOOKUP(B381,#REF!,$F$2,0),0)</f>
        <v>0</v>
      </c>
      <c r="G381" s="9">
        <f>IFERROR(VLOOKUP(B381,cubo!$A$6:$BE$37,11,0)-VLOOKUP(B381,#REF!,$G$2,0),0)</f>
        <v>0</v>
      </c>
      <c r="H381" s="9">
        <f>IFERROR(VLOOKUP(B381,cubo!$A$6:$BE$37,53,0)-VLOOKUP(B381,#REF!,$H$2,0),0)</f>
        <v>0</v>
      </c>
      <c r="I381" s="10">
        <f>IFERROR(VLOOKUP(B381,cubo!$A$6:$BE$37,14,0)-VLOOKUP(B381,#REF!,$I$2,0),0)</f>
        <v>0</v>
      </c>
      <c r="J381" s="9">
        <f>IFERROR(VLOOKUP(B381,cubo!$A$6:$BE$37,16,0)-VLOOKUP(B381,#REF!,$J$2,0),0)</f>
        <v>0</v>
      </c>
      <c r="K381" s="9">
        <f>IFERROR(VLOOKUP(B381,cubo!$A$6:$BE$37,17,0)-VLOOKUP(B381,#REF!,$K$2,0),0)</f>
        <v>0</v>
      </c>
      <c r="L381" s="9">
        <f>IFERROR(VLOOKUP(B381,cubo!$A$6:$BE$37,19,0)-VLOOKUP(B381,#REF!,$L$2,0),0)</f>
        <v>0</v>
      </c>
      <c r="M381" s="9">
        <f>IFERROR(VLOOKUP(B381,cubo!$A$6:$BE$37,23,0)-VLOOKUP(B381,#REF!,$M$2,0),0)</f>
        <v>0</v>
      </c>
      <c r="N381" s="9">
        <f>IFERROR(VLOOKUP(B381,cubo!$A$6:$BE$37,25,0)-VLOOKUP(B381,#REF!,$N$2,0),0)</f>
        <v>0</v>
      </c>
      <c r="O381" s="9">
        <f>IFERROR(VLOOKUP(B381,cubo!$A$6:$BE$37,33,0)-VLOOKUP(B381,#REF!,$O$2,0),0)</f>
        <v>0</v>
      </c>
      <c r="P381" s="8">
        <f>IFERROR(VLOOKUP(B381,cubo!$A$6:$BE$37,37,0)-VLOOKUP(B381,#REF!,$P$2,0),0)</f>
        <v>0</v>
      </c>
      <c r="Q381" s="8">
        <f>IFERROR(VLOOKUP(B381,cubo!$A$6:$BE$37,56,0)-VLOOKUP(B381,#REF!,$Q$2,0),0)</f>
        <v>0</v>
      </c>
      <c r="R381" s="9">
        <f>IFERROR(VLOOKUP(B381,cubo!$A$6:$BE$37,40,0)-VLOOKUP(B381,#REF!,$R$2,0),0)</f>
        <v>0</v>
      </c>
      <c r="S381" s="9">
        <f>IFERROR(VLOOKUP(B381,cubo!$A$6:$BE$37,43,0)-VLOOKUP(B381,#REF!,$S$2,0),0)</f>
        <v>0</v>
      </c>
      <c r="T381" s="9">
        <f>IFERROR(VLOOKUP(B381,cubo!$A$6:$BE$37,46,0)-VLOOKUP(B381,#REF!,$T$2,0),0)</f>
        <v>0</v>
      </c>
      <c r="U381" s="9">
        <f>IFERROR(VLOOKUP(B381,cubo!$A$6:$BE$37,51,0)-VLOOKUP(B381,#REF!,$U$2,0),0)</f>
        <v>0</v>
      </c>
      <c r="V381" s="9">
        <f>IFERROR(VLOOKUP(B381,cubo!$A$6:$BJ$37,60,0)-VLOOKUP(B381,#REF!,$V$2,0),0)</f>
        <v>0</v>
      </c>
      <c r="W381" s="9">
        <f>IFERROR(VLOOKUP(B381,cubo!$A$6:$BE$37,26,0)-VLOOKUP(B381,#REF!,$W$2,0),0)</f>
        <v>0</v>
      </c>
      <c r="X381" s="9">
        <f>IFERROR(VLOOKUP(B381,cubo!$A$6:$BE$37,20,0)-VLOOKUP(B381,#REF!,$X$2,0),0)</f>
        <v>0</v>
      </c>
      <c r="Y381" s="9">
        <f>IFERROR(VLOOKUP(B381,cubo!$A$6:$BE$37,21,0)-VLOOKUP(B381,#REF!,$Y$2,0),0)</f>
        <v>0</v>
      </c>
      <c r="Z381" s="9">
        <f>IFERROR(VLOOKUP(B381,cubo!$A$6:$BE$37,27,0)-VLOOKUP(B381,#REF!,$Z$2,0),0)</f>
        <v>0</v>
      </c>
      <c r="AA381" s="9">
        <f>IFERROR(VLOOKUP(B381,cubo!$A$6:$BE$37,28,0)-VLOOKUP(B381,#REF!,$AA$2,0),0)</f>
        <v>0</v>
      </c>
      <c r="AB381" s="9">
        <f>IFERROR(VLOOKUP(B381,cubo!$A$6:$BE$37,29,0)-VLOOKUP(B381,#REF!,$AB$2,0),0)</f>
        <v>0</v>
      </c>
      <c r="AC381" s="9">
        <f>IFERROR(VLOOKUP(B381,cubo!$A$6:$BE$37,30,0)-VLOOKUP(B381,#REF!,$AC$2,0),0)</f>
        <v>0</v>
      </c>
      <c r="AD381" s="9">
        <f>IFERROR(VLOOKUP(B381,cubo!$A$6:$BE$37,31,0)-VLOOKUP(B381,#REF!,$AD$2,0),0)</f>
        <v>0</v>
      </c>
      <c r="AE381" s="9">
        <f>IFERROR(VLOOKUP(B381,cubo!$A$6:$BE$37,35,0)-VLOOKUP(B381,#REF!,$AE$2,0),0)</f>
        <v>0</v>
      </c>
      <c r="AF381" s="9" cm="1">
        <f t="array" aca="1" ref="AF381" ca="1">IFERROR(rrPROCV(B381,cubo!$A$6:$BE$37,48,0)-VLOOKUP(B381,#REF!,$AF$2,0),0)</f>
        <v>0</v>
      </c>
      <c r="AG381" s="9">
        <f>IFERROR(VLOOKUP(B381,cubo!$A$6:$BE$37,49,0)-VLOOKUP(B381,#REF!,$AG$2,0),0)</f>
        <v>0</v>
      </c>
      <c r="AH381" s="9">
        <f>IFERROR(VLOOKUP(B381,cubo!$A$6:$BE$37,50,0)-VLOOKUP(B381,#REF!,$AH$2,0),0)</f>
        <v>0</v>
      </c>
      <c r="AI381" s="9">
        <f>IFERROR(VLOOKUP(B381,cubo!$A$6:$BE$37,51,0)-VLOOKUP(B381,#REF!,$AI$2,0),0)</f>
        <v>0</v>
      </c>
      <c r="AJ381" s="9">
        <f>IFERROR(VLOOKUP(B381,cubo!$A$6:$BI$116,62,0)-VLOOKUP(B381,#REF!,$AJ$2,0),0)</f>
        <v>0</v>
      </c>
      <c r="AK381" s="9">
        <f>IFERROR(VLOOKUP(B381,cubo!$A$6:$BJ$37,63,0)-VLOOKUP(B381,#REF!,$AK$2,0),0)</f>
        <v>0</v>
      </c>
      <c r="AL381" s="9">
        <f>IFERROR(VLOOKUP(B381,cubo!$A$6:$BE$37,58,0)-VLOOKUP(B381,#REF!,$AL$2,0),0)</f>
        <v>0</v>
      </c>
      <c r="AM381" s="9">
        <f>IFERROR(VLOOKUP(B381,cubo!$A$6:$BK$37,64,0)-VLOOKUP(B381,#REF!,$AM$2,0),0)</f>
        <v>0</v>
      </c>
      <c r="AN381" s="9">
        <f>IFERROR(VLOOKUP(B381,cubo!$A$6:$AN$37,41,0)-VLOOKUP(B381,#REF!,$AN$2,0),0)</f>
        <v>0</v>
      </c>
    </row>
    <row r="382" spans="2:40" x14ac:dyDescent="0.25">
      <c r="B382" s="7">
        <f>[1]salario!A381</f>
        <v>0</v>
      </c>
      <c r="C382" s="8">
        <f>[1]salario!C381</f>
        <v>0</v>
      </c>
      <c r="D382" s="9">
        <f>IFERROR(VLOOKUP(B382,cubo!$A$6:$BE$37,3,0)-VLOOKUP(B382,#REF!,$D$2,0),0)</f>
        <v>0</v>
      </c>
      <c r="E382" s="10">
        <f>IFERROR(VLOOKUP(B382,cubo!$A$6:$BE$37,5,0)-VLOOKUP(B382,#REF!,$E$2,0),0)</f>
        <v>0</v>
      </c>
      <c r="F382" s="10">
        <f>IFERROR(VLOOKUP(B382,cubo!$A$6:$BE$37,8,0)-VLOOKUP(B382,#REF!,$F$2,0),0)</f>
        <v>0</v>
      </c>
      <c r="G382" s="9">
        <f>IFERROR(VLOOKUP(B382,cubo!$A$6:$BE$37,11,0)-VLOOKUP(B382,#REF!,$G$2,0),0)</f>
        <v>0</v>
      </c>
      <c r="H382" s="9">
        <f>IFERROR(VLOOKUP(B382,cubo!$A$6:$BE$37,53,0)-VLOOKUP(B382,#REF!,$H$2,0),0)</f>
        <v>0</v>
      </c>
      <c r="I382" s="10">
        <f>IFERROR(VLOOKUP(B382,cubo!$A$6:$BE$37,14,0)-VLOOKUP(B382,#REF!,$I$2,0),0)</f>
        <v>0</v>
      </c>
      <c r="J382" s="9">
        <f>IFERROR(VLOOKUP(B382,cubo!$A$6:$BE$37,16,0)-VLOOKUP(B382,#REF!,$J$2,0),0)</f>
        <v>0</v>
      </c>
      <c r="K382" s="9">
        <f>IFERROR(VLOOKUP(B382,cubo!$A$6:$BE$37,17,0)-VLOOKUP(B382,#REF!,$K$2,0),0)</f>
        <v>0</v>
      </c>
      <c r="L382" s="9">
        <f>IFERROR(VLOOKUP(B382,cubo!$A$6:$BE$37,19,0)-VLOOKUP(B382,#REF!,$L$2,0),0)</f>
        <v>0</v>
      </c>
      <c r="M382" s="9">
        <f>IFERROR(VLOOKUP(B382,cubo!$A$6:$BE$37,23,0)-VLOOKUP(B382,#REF!,$M$2,0),0)</f>
        <v>0</v>
      </c>
      <c r="N382" s="9">
        <f>IFERROR(VLOOKUP(B382,cubo!$A$6:$BE$37,25,0)-VLOOKUP(B382,#REF!,$N$2,0),0)</f>
        <v>0</v>
      </c>
      <c r="O382" s="9">
        <f>IFERROR(VLOOKUP(B382,cubo!$A$6:$BE$37,33,0)-VLOOKUP(B382,#REF!,$O$2,0),0)</f>
        <v>0</v>
      </c>
      <c r="P382" s="8">
        <f>IFERROR(VLOOKUP(B382,cubo!$A$6:$BE$37,37,0)-VLOOKUP(B382,#REF!,$P$2,0),0)</f>
        <v>0</v>
      </c>
      <c r="Q382" s="8">
        <f>IFERROR(VLOOKUP(B382,cubo!$A$6:$BE$37,56,0)-VLOOKUP(B382,#REF!,$Q$2,0),0)</f>
        <v>0</v>
      </c>
      <c r="R382" s="9">
        <f>IFERROR(VLOOKUP(B382,cubo!$A$6:$BE$37,40,0)-VLOOKUP(B382,#REF!,$R$2,0),0)</f>
        <v>0</v>
      </c>
      <c r="S382" s="9">
        <f>IFERROR(VLOOKUP(B382,cubo!$A$6:$BE$37,43,0)-VLOOKUP(B382,#REF!,$S$2,0),0)</f>
        <v>0</v>
      </c>
      <c r="T382" s="9">
        <f>IFERROR(VLOOKUP(B382,cubo!$A$6:$BE$37,46,0)-VLOOKUP(B382,#REF!,$T$2,0),0)</f>
        <v>0</v>
      </c>
      <c r="U382" s="9">
        <f>IFERROR(VLOOKUP(B382,cubo!$A$6:$BE$37,51,0)-VLOOKUP(B382,#REF!,$U$2,0),0)</f>
        <v>0</v>
      </c>
      <c r="V382" s="9">
        <f>IFERROR(VLOOKUP(B382,cubo!$A$6:$BJ$37,60,0)-VLOOKUP(B382,#REF!,$V$2,0),0)</f>
        <v>0</v>
      </c>
      <c r="W382" s="9">
        <f>IFERROR(VLOOKUP(B382,cubo!$A$6:$BE$37,26,0)-VLOOKUP(B382,#REF!,$W$2,0),0)</f>
        <v>0</v>
      </c>
      <c r="X382" s="9">
        <f>IFERROR(VLOOKUP(B382,cubo!$A$6:$BE$37,20,0)-VLOOKUP(B382,#REF!,$X$2,0),0)</f>
        <v>0</v>
      </c>
      <c r="Y382" s="9">
        <f>IFERROR(VLOOKUP(B382,cubo!$A$6:$BE$37,21,0)-VLOOKUP(B382,#REF!,$Y$2,0),0)</f>
        <v>0</v>
      </c>
      <c r="Z382" s="9">
        <f>IFERROR(VLOOKUP(B382,cubo!$A$6:$BE$37,27,0)-VLOOKUP(B382,#REF!,$Z$2,0),0)</f>
        <v>0</v>
      </c>
      <c r="AA382" s="9">
        <f>IFERROR(VLOOKUP(B382,cubo!$A$6:$BE$37,28,0)-VLOOKUP(B382,#REF!,$AA$2,0),0)</f>
        <v>0</v>
      </c>
      <c r="AB382" s="9">
        <f>IFERROR(VLOOKUP(B382,cubo!$A$6:$BE$37,29,0)-VLOOKUP(B382,#REF!,$AB$2,0),0)</f>
        <v>0</v>
      </c>
      <c r="AC382" s="9">
        <f>IFERROR(VLOOKUP(B382,cubo!$A$6:$BE$37,30,0)-VLOOKUP(B382,#REF!,$AC$2,0),0)</f>
        <v>0</v>
      </c>
      <c r="AD382" s="9">
        <f>IFERROR(VLOOKUP(B382,cubo!$A$6:$BE$37,31,0)-VLOOKUP(B382,#REF!,$AD$2,0),0)</f>
        <v>0</v>
      </c>
      <c r="AE382" s="9">
        <f>IFERROR(VLOOKUP(B382,cubo!$A$6:$BE$37,35,0)-VLOOKUP(B382,#REF!,$AE$2,0),0)</f>
        <v>0</v>
      </c>
      <c r="AF382" s="9" cm="1">
        <f t="array" aca="1" ref="AF382" ca="1">IFERROR(rrPROCV(B382,cubo!$A$6:$BE$37,48,0)-VLOOKUP(B382,#REF!,$AF$2,0),0)</f>
        <v>0</v>
      </c>
      <c r="AG382" s="9">
        <f>IFERROR(VLOOKUP(B382,cubo!$A$6:$BE$37,49,0)-VLOOKUP(B382,#REF!,$AG$2,0),0)</f>
        <v>0</v>
      </c>
      <c r="AH382" s="9">
        <f>IFERROR(VLOOKUP(B382,cubo!$A$6:$BE$37,50,0)-VLOOKUP(B382,#REF!,$AH$2,0),0)</f>
        <v>0</v>
      </c>
      <c r="AI382" s="9">
        <f>IFERROR(VLOOKUP(B382,cubo!$A$6:$BE$37,51,0)-VLOOKUP(B382,#REF!,$AI$2,0),0)</f>
        <v>0</v>
      </c>
      <c r="AJ382" s="9">
        <f>IFERROR(VLOOKUP(B382,cubo!$A$6:$BI$116,62,0)-VLOOKUP(B382,#REF!,$AJ$2,0),0)</f>
        <v>0</v>
      </c>
      <c r="AK382" s="9">
        <f>IFERROR(VLOOKUP(B382,cubo!$A$6:$BJ$37,63,0)-VLOOKUP(B382,#REF!,$AK$2,0),0)</f>
        <v>0</v>
      </c>
      <c r="AL382" s="9">
        <f>IFERROR(VLOOKUP(B382,cubo!$A$6:$BE$37,58,0)-VLOOKUP(B382,#REF!,$AL$2,0),0)</f>
        <v>0</v>
      </c>
      <c r="AM382" s="9">
        <f>IFERROR(VLOOKUP(B382,cubo!$A$6:$BK$37,64,0)-VLOOKUP(B382,#REF!,$AM$2,0),0)</f>
        <v>0</v>
      </c>
      <c r="AN382" s="9">
        <f>IFERROR(VLOOKUP(B382,cubo!$A$6:$AN$37,41,0)-VLOOKUP(B382,#REF!,$AN$2,0),0)</f>
        <v>0</v>
      </c>
    </row>
    <row r="383" spans="2:40" x14ac:dyDescent="0.25">
      <c r="B383" s="7">
        <f>[1]salario!A382</f>
        <v>0</v>
      </c>
      <c r="C383" s="8">
        <f>[1]salario!C382</f>
        <v>0</v>
      </c>
      <c r="D383" s="9">
        <f>IFERROR(VLOOKUP(B383,cubo!$A$6:$BE$37,3,0)-VLOOKUP(B383,#REF!,$D$2,0),0)</f>
        <v>0</v>
      </c>
      <c r="E383" s="10">
        <f>IFERROR(VLOOKUP(B383,cubo!$A$6:$BE$37,5,0)-VLOOKUP(B383,#REF!,$E$2,0),0)</f>
        <v>0</v>
      </c>
      <c r="F383" s="10">
        <f>IFERROR(VLOOKUP(B383,cubo!$A$6:$BE$37,8,0)-VLOOKUP(B383,#REF!,$F$2,0),0)</f>
        <v>0</v>
      </c>
      <c r="G383" s="9">
        <f>IFERROR(VLOOKUP(B383,cubo!$A$6:$BE$37,11,0)-VLOOKUP(B383,#REF!,$G$2,0),0)</f>
        <v>0</v>
      </c>
      <c r="H383" s="9">
        <f>IFERROR(VLOOKUP(B383,cubo!$A$6:$BE$37,53,0)-VLOOKUP(B383,#REF!,$H$2,0),0)</f>
        <v>0</v>
      </c>
      <c r="I383" s="10">
        <f>IFERROR(VLOOKUP(B383,cubo!$A$6:$BE$37,14,0)-VLOOKUP(B383,#REF!,$I$2,0),0)</f>
        <v>0</v>
      </c>
      <c r="J383" s="9">
        <f>IFERROR(VLOOKUP(B383,cubo!$A$6:$BE$37,16,0)-VLOOKUP(B383,#REF!,$J$2,0),0)</f>
        <v>0</v>
      </c>
      <c r="K383" s="9">
        <f>IFERROR(VLOOKUP(B383,cubo!$A$6:$BE$37,17,0)-VLOOKUP(B383,#REF!,$K$2,0),0)</f>
        <v>0</v>
      </c>
      <c r="L383" s="9">
        <f>IFERROR(VLOOKUP(B383,cubo!$A$6:$BE$37,19,0)-VLOOKUP(B383,#REF!,$L$2,0),0)</f>
        <v>0</v>
      </c>
      <c r="M383" s="9">
        <f>IFERROR(VLOOKUP(B383,cubo!$A$6:$BE$37,23,0)-VLOOKUP(B383,#REF!,$M$2,0),0)</f>
        <v>0</v>
      </c>
      <c r="N383" s="9">
        <f>IFERROR(VLOOKUP(B383,cubo!$A$6:$BE$37,25,0)-VLOOKUP(B383,#REF!,$N$2,0),0)</f>
        <v>0</v>
      </c>
      <c r="O383" s="9">
        <f>IFERROR(VLOOKUP(B383,cubo!$A$6:$BE$37,33,0)-VLOOKUP(B383,#REF!,$O$2,0),0)</f>
        <v>0</v>
      </c>
      <c r="P383" s="8">
        <f>IFERROR(VLOOKUP(B383,cubo!$A$6:$BE$37,37,0)-VLOOKUP(B383,#REF!,$P$2,0),0)</f>
        <v>0</v>
      </c>
      <c r="Q383" s="8">
        <f>IFERROR(VLOOKUP(B383,cubo!$A$6:$BE$37,56,0)-VLOOKUP(B383,#REF!,$Q$2,0),0)</f>
        <v>0</v>
      </c>
      <c r="R383" s="9">
        <f>IFERROR(VLOOKUP(B383,cubo!$A$6:$BE$37,40,0)-VLOOKUP(B383,#REF!,$R$2,0),0)</f>
        <v>0</v>
      </c>
      <c r="S383" s="9">
        <f>IFERROR(VLOOKUP(B383,cubo!$A$6:$BE$37,43,0)-VLOOKUP(B383,#REF!,$S$2,0),0)</f>
        <v>0</v>
      </c>
      <c r="T383" s="9">
        <f>IFERROR(VLOOKUP(B383,cubo!$A$6:$BE$37,46,0)-VLOOKUP(B383,#REF!,$T$2,0),0)</f>
        <v>0</v>
      </c>
      <c r="U383" s="9">
        <f>IFERROR(VLOOKUP(B383,cubo!$A$6:$BE$37,51,0)-VLOOKUP(B383,#REF!,$U$2,0),0)</f>
        <v>0</v>
      </c>
      <c r="V383" s="9">
        <f>IFERROR(VLOOKUP(B383,cubo!$A$6:$BJ$37,60,0)-VLOOKUP(B383,#REF!,$V$2,0),0)</f>
        <v>0</v>
      </c>
      <c r="W383" s="9">
        <f>IFERROR(VLOOKUP(B383,cubo!$A$6:$BE$37,26,0)-VLOOKUP(B383,#REF!,$W$2,0),0)</f>
        <v>0</v>
      </c>
      <c r="X383" s="9">
        <f>IFERROR(VLOOKUP(B383,cubo!$A$6:$BE$37,20,0)-VLOOKUP(B383,#REF!,$X$2,0),0)</f>
        <v>0</v>
      </c>
      <c r="Y383" s="9">
        <f>IFERROR(VLOOKUP(B383,cubo!$A$6:$BE$37,21,0)-VLOOKUP(B383,#REF!,$Y$2,0),0)</f>
        <v>0</v>
      </c>
      <c r="Z383" s="9">
        <f>IFERROR(VLOOKUP(B383,cubo!$A$6:$BE$37,27,0)-VLOOKUP(B383,#REF!,$Z$2,0),0)</f>
        <v>0</v>
      </c>
      <c r="AA383" s="9">
        <f>IFERROR(VLOOKUP(B383,cubo!$A$6:$BE$37,28,0)-VLOOKUP(B383,#REF!,$AA$2,0),0)</f>
        <v>0</v>
      </c>
      <c r="AB383" s="9">
        <f>IFERROR(VLOOKUP(B383,cubo!$A$6:$BE$37,29,0)-VLOOKUP(B383,#REF!,$AB$2,0),0)</f>
        <v>0</v>
      </c>
      <c r="AC383" s="9">
        <f>IFERROR(VLOOKUP(B383,cubo!$A$6:$BE$37,30,0)-VLOOKUP(B383,#REF!,$AC$2,0),0)</f>
        <v>0</v>
      </c>
      <c r="AD383" s="9">
        <f>IFERROR(VLOOKUP(B383,cubo!$A$6:$BE$37,31,0)-VLOOKUP(B383,#REF!,$AD$2,0),0)</f>
        <v>0</v>
      </c>
      <c r="AE383" s="9">
        <f>IFERROR(VLOOKUP(B383,cubo!$A$6:$BE$37,35,0)-VLOOKUP(B383,#REF!,$AE$2,0),0)</f>
        <v>0</v>
      </c>
      <c r="AF383" s="9" cm="1">
        <f t="array" aca="1" ref="AF383" ca="1">IFERROR(rrPROCV(B383,cubo!$A$6:$BE$37,48,0)-VLOOKUP(B383,#REF!,$AF$2,0),0)</f>
        <v>0</v>
      </c>
      <c r="AG383" s="9">
        <f>IFERROR(VLOOKUP(B383,cubo!$A$6:$BE$37,49,0)-VLOOKUP(B383,#REF!,$AG$2,0),0)</f>
        <v>0</v>
      </c>
      <c r="AH383" s="9">
        <f>IFERROR(VLOOKUP(B383,cubo!$A$6:$BE$37,50,0)-VLOOKUP(B383,#REF!,$AH$2,0),0)</f>
        <v>0</v>
      </c>
      <c r="AI383" s="9">
        <f>IFERROR(VLOOKUP(B383,cubo!$A$6:$BE$37,51,0)-VLOOKUP(B383,#REF!,$AI$2,0),0)</f>
        <v>0</v>
      </c>
      <c r="AJ383" s="9">
        <f>IFERROR(VLOOKUP(B383,cubo!$A$6:$BI$116,62,0)-VLOOKUP(B383,#REF!,$AJ$2,0),0)</f>
        <v>0</v>
      </c>
      <c r="AK383" s="9">
        <f>IFERROR(VLOOKUP(B383,cubo!$A$6:$BJ$37,63,0)-VLOOKUP(B383,#REF!,$AK$2,0),0)</f>
        <v>0</v>
      </c>
      <c r="AL383" s="9">
        <f>IFERROR(VLOOKUP(B383,cubo!$A$6:$BE$37,58,0)-VLOOKUP(B383,#REF!,$AL$2,0),0)</f>
        <v>0</v>
      </c>
      <c r="AM383" s="9">
        <f>IFERROR(VLOOKUP(B383,cubo!$A$6:$BK$37,64,0)-VLOOKUP(B383,#REF!,$AM$2,0),0)</f>
        <v>0</v>
      </c>
      <c r="AN383" s="9">
        <f>IFERROR(VLOOKUP(B383,cubo!$A$6:$AN$37,41,0)-VLOOKUP(B383,#REF!,$AN$2,0),0)</f>
        <v>0</v>
      </c>
    </row>
    <row r="384" spans="2:40" x14ac:dyDescent="0.25">
      <c r="B384" s="7">
        <f>[1]salario!A383</f>
        <v>0</v>
      </c>
      <c r="C384" s="8">
        <f>[1]salario!C383</f>
        <v>0</v>
      </c>
      <c r="D384" s="9">
        <f>IFERROR(VLOOKUP(B384,cubo!$A$6:$BE$37,3,0)-VLOOKUP(B384,#REF!,$D$2,0),0)</f>
        <v>0</v>
      </c>
      <c r="E384" s="10">
        <f>IFERROR(VLOOKUP(B384,cubo!$A$6:$BE$37,5,0)-VLOOKUP(B384,#REF!,$E$2,0),0)</f>
        <v>0</v>
      </c>
      <c r="F384" s="10">
        <f>IFERROR(VLOOKUP(B384,cubo!$A$6:$BE$37,8,0)-VLOOKUP(B384,#REF!,$F$2,0),0)</f>
        <v>0</v>
      </c>
      <c r="G384" s="9">
        <f>IFERROR(VLOOKUP(B384,cubo!$A$6:$BE$37,11,0)-VLOOKUP(B384,#REF!,$G$2,0),0)</f>
        <v>0</v>
      </c>
      <c r="H384" s="9">
        <f>IFERROR(VLOOKUP(B384,cubo!$A$6:$BE$37,53,0)-VLOOKUP(B384,#REF!,$H$2,0),0)</f>
        <v>0</v>
      </c>
      <c r="I384" s="10">
        <f>IFERROR(VLOOKUP(B384,cubo!$A$6:$BE$37,14,0)-VLOOKUP(B384,#REF!,$I$2,0),0)</f>
        <v>0</v>
      </c>
      <c r="J384" s="9">
        <f>IFERROR(VLOOKUP(B384,cubo!$A$6:$BE$37,16,0)-VLOOKUP(B384,#REF!,$J$2,0),0)</f>
        <v>0</v>
      </c>
      <c r="K384" s="9">
        <f>IFERROR(VLOOKUP(B384,cubo!$A$6:$BE$37,17,0)-VLOOKUP(B384,#REF!,$K$2,0),0)</f>
        <v>0</v>
      </c>
      <c r="L384" s="9">
        <f>IFERROR(VLOOKUP(B384,cubo!$A$6:$BE$37,19,0)-VLOOKUP(B384,#REF!,$L$2,0),0)</f>
        <v>0</v>
      </c>
      <c r="M384" s="9">
        <f>IFERROR(VLOOKUP(B384,cubo!$A$6:$BE$37,23,0)-VLOOKUP(B384,#REF!,$M$2,0),0)</f>
        <v>0</v>
      </c>
      <c r="N384" s="9">
        <f>IFERROR(VLOOKUP(B384,cubo!$A$6:$BE$37,25,0)-VLOOKUP(B384,#REF!,$N$2,0),0)</f>
        <v>0</v>
      </c>
      <c r="O384" s="9">
        <f>IFERROR(VLOOKUP(B384,cubo!$A$6:$BE$37,33,0)-VLOOKUP(B384,#REF!,$O$2,0),0)</f>
        <v>0</v>
      </c>
      <c r="P384" s="8">
        <f>IFERROR(VLOOKUP(B384,cubo!$A$6:$BE$37,37,0)-VLOOKUP(B384,#REF!,$P$2,0),0)</f>
        <v>0</v>
      </c>
      <c r="Q384" s="8">
        <f>IFERROR(VLOOKUP(B384,cubo!$A$6:$BE$37,56,0)-VLOOKUP(B384,#REF!,$Q$2,0),0)</f>
        <v>0</v>
      </c>
      <c r="R384" s="9">
        <f>IFERROR(VLOOKUP(B384,cubo!$A$6:$BE$37,40,0)-VLOOKUP(B384,#REF!,$R$2,0),0)</f>
        <v>0</v>
      </c>
      <c r="S384" s="9">
        <f>IFERROR(VLOOKUP(B384,cubo!$A$6:$BE$37,43,0)-VLOOKUP(B384,#REF!,$S$2,0),0)</f>
        <v>0</v>
      </c>
      <c r="T384" s="9">
        <f>IFERROR(VLOOKUP(B384,cubo!$A$6:$BE$37,46,0)-VLOOKUP(B384,#REF!,$T$2,0),0)</f>
        <v>0</v>
      </c>
      <c r="U384" s="9">
        <f>IFERROR(VLOOKUP(B384,cubo!$A$6:$BE$37,51,0)-VLOOKUP(B384,#REF!,$U$2,0),0)</f>
        <v>0</v>
      </c>
      <c r="V384" s="9">
        <f>IFERROR(VLOOKUP(B384,cubo!$A$6:$BJ$37,60,0)-VLOOKUP(B384,#REF!,$V$2,0),0)</f>
        <v>0</v>
      </c>
      <c r="W384" s="9">
        <f>IFERROR(VLOOKUP(B384,cubo!$A$6:$BE$37,26,0)-VLOOKUP(B384,#REF!,$W$2,0),0)</f>
        <v>0</v>
      </c>
      <c r="X384" s="9">
        <f>IFERROR(VLOOKUP(B384,cubo!$A$6:$BE$37,20,0)-VLOOKUP(B384,#REF!,$X$2,0),0)</f>
        <v>0</v>
      </c>
      <c r="Y384" s="9">
        <f>IFERROR(VLOOKUP(B384,cubo!$A$6:$BE$37,21,0)-VLOOKUP(B384,#REF!,$Y$2,0),0)</f>
        <v>0</v>
      </c>
      <c r="Z384" s="9">
        <f>IFERROR(VLOOKUP(B384,cubo!$A$6:$BE$37,27,0)-VLOOKUP(B384,#REF!,$Z$2,0),0)</f>
        <v>0</v>
      </c>
      <c r="AA384" s="9">
        <f>IFERROR(VLOOKUP(B384,cubo!$A$6:$BE$37,28,0)-VLOOKUP(B384,#REF!,$AA$2,0),0)</f>
        <v>0</v>
      </c>
      <c r="AB384" s="9">
        <f>IFERROR(VLOOKUP(B384,cubo!$A$6:$BE$37,29,0)-VLOOKUP(B384,#REF!,$AB$2,0),0)</f>
        <v>0</v>
      </c>
      <c r="AC384" s="9">
        <f>IFERROR(VLOOKUP(B384,cubo!$A$6:$BE$37,30,0)-VLOOKUP(B384,#REF!,$AC$2,0),0)</f>
        <v>0</v>
      </c>
      <c r="AD384" s="9">
        <f>IFERROR(VLOOKUP(B384,cubo!$A$6:$BE$37,31,0)-VLOOKUP(B384,#REF!,$AD$2,0),0)</f>
        <v>0</v>
      </c>
      <c r="AE384" s="9">
        <f>IFERROR(VLOOKUP(B384,cubo!$A$6:$BE$37,35,0)-VLOOKUP(B384,#REF!,$AE$2,0),0)</f>
        <v>0</v>
      </c>
      <c r="AF384" s="9" cm="1">
        <f t="array" aca="1" ref="AF384" ca="1">IFERROR(rrPROCV(B384,cubo!$A$6:$BE$37,48,0)-VLOOKUP(B384,#REF!,$AF$2,0),0)</f>
        <v>0</v>
      </c>
      <c r="AG384" s="9">
        <f>IFERROR(VLOOKUP(B384,cubo!$A$6:$BE$37,49,0)-VLOOKUP(B384,#REF!,$AG$2,0),0)</f>
        <v>0</v>
      </c>
      <c r="AH384" s="9">
        <f>IFERROR(VLOOKUP(B384,cubo!$A$6:$BE$37,50,0)-VLOOKUP(B384,#REF!,$AH$2,0),0)</f>
        <v>0</v>
      </c>
      <c r="AI384" s="9">
        <f>IFERROR(VLOOKUP(B384,cubo!$A$6:$BE$37,51,0)-VLOOKUP(B384,#REF!,$AI$2,0),0)</f>
        <v>0</v>
      </c>
      <c r="AJ384" s="9">
        <f>IFERROR(VLOOKUP(B384,cubo!$A$6:$BI$116,62,0)-VLOOKUP(B384,#REF!,$AJ$2,0),0)</f>
        <v>0</v>
      </c>
      <c r="AK384" s="9">
        <f>IFERROR(VLOOKUP(B384,cubo!$A$6:$BJ$37,63,0)-VLOOKUP(B384,#REF!,$AK$2,0),0)</f>
        <v>0</v>
      </c>
      <c r="AL384" s="9">
        <f>IFERROR(VLOOKUP(B384,cubo!$A$6:$BE$37,58,0)-VLOOKUP(B384,#REF!,$AL$2,0),0)</f>
        <v>0</v>
      </c>
      <c r="AM384" s="9">
        <f>IFERROR(VLOOKUP(B384,cubo!$A$6:$BK$37,64,0)-VLOOKUP(B384,#REF!,$AM$2,0),0)</f>
        <v>0</v>
      </c>
      <c r="AN384" s="9">
        <f>IFERROR(VLOOKUP(B384,cubo!$A$6:$AN$37,41,0)-VLOOKUP(B384,#REF!,$AN$2,0),0)</f>
        <v>0</v>
      </c>
    </row>
    <row r="385" spans="2:40" x14ac:dyDescent="0.25">
      <c r="B385" s="7">
        <f>[1]salario!A384</f>
        <v>0</v>
      </c>
      <c r="C385" s="8">
        <f>[1]salario!C384</f>
        <v>0</v>
      </c>
      <c r="D385" s="9">
        <f>IFERROR(VLOOKUP(B385,cubo!$A$6:$BE$37,3,0)-VLOOKUP(B385,#REF!,$D$2,0),0)</f>
        <v>0</v>
      </c>
      <c r="E385" s="10">
        <f>IFERROR(VLOOKUP(B385,cubo!$A$6:$BE$37,5,0)-VLOOKUP(B385,#REF!,$E$2,0),0)</f>
        <v>0</v>
      </c>
      <c r="F385" s="10">
        <f>IFERROR(VLOOKUP(B385,cubo!$A$6:$BE$37,8,0)-VLOOKUP(B385,#REF!,$F$2,0),0)</f>
        <v>0</v>
      </c>
      <c r="G385" s="9">
        <f>IFERROR(VLOOKUP(B385,cubo!$A$6:$BE$37,11,0)-VLOOKUP(B385,#REF!,$G$2,0),0)</f>
        <v>0</v>
      </c>
      <c r="H385" s="9">
        <f>IFERROR(VLOOKUP(B385,cubo!$A$6:$BE$37,53,0)-VLOOKUP(B385,#REF!,$H$2,0),0)</f>
        <v>0</v>
      </c>
      <c r="I385" s="10">
        <f>IFERROR(VLOOKUP(B385,cubo!$A$6:$BE$37,14,0)-VLOOKUP(B385,#REF!,$I$2,0),0)</f>
        <v>0</v>
      </c>
      <c r="J385" s="9">
        <f>IFERROR(VLOOKUP(B385,cubo!$A$6:$BE$37,16,0)-VLOOKUP(B385,#REF!,$J$2,0),0)</f>
        <v>0</v>
      </c>
      <c r="K385" s="9">
        <f>IFERROR(VLOOKUP(B385,cubo!$A$6:$BE$37,17,0)-VLOOKUP(B385,#REF!,$K$2,0),0)</f>
        <v>0</v>
      </c>
      <c r="L385" s="9">
        <f>IFERROR(VLOOKUP(B385,cubo!$A$6:$BE$37,19,0)-VLOOKUP(B385,#REF!,$L$2,0),0)</f>
        <v>0</v>
      </c>
      <c r="M385" s="9">
        <f>IFERROR(VLOOKUP(B385,cubo!$A$6:$BE$37,23,0)-VLOOKUP(B385,#REF!,$M$2,0),0)</f>
        <v>0</v>
      </c>
      <c r="N385" s="9">
        <f>IFERROR(VLOOKUP(B385,cubo!$A$6:$BE$37,25,0)-VLOOKUP(B385,#REF!,$N$2,0),0)</f>
        <v>0</v>
      </c>
      <c r="O385" s="9">
        <f>IFERROR(VLOOKUP(B385,cubo!$A$6:$BE$37,33,0)-VLOOKUP(B385,#REF!,$O$2,0),0)</f>
        <v>0</v>
      </c>
      <c r="P385" s="8">
        <f>IFERROR(VLOOKUP(B385,cubo!$A$6:$BE$37,37,0)-VLOOKUP(B385,#REF!,$P$2,0),0)</f>
        <v>0</v>
      </c>
      <c r="Q385" s="8">
        <f>IFERROR(VLOOKUP(B385,cubo!$A$6:$BE$37,56,0)-VLOOKUP(B385,#REF!,$Q$2,0),0)</f>
        <v>0</v>
      </c>
      <c r="R385" s="9">
        <f>IFERROR(VLOOKUP(B385,cubo!$A$6:$BE$37,40,0)-VLOOKUP(B385,#REF!,$R$2,0),0)</f>
        <v>0</v>
      </c>
      <c r="S385" s="9">
        <f>IFERROR(VLOOKUP(B385,cubo!$A$6:$BE$37,43,0)-VLOOKUP(B385,#REF!,$S$2,0),0)</f>
        <v>0</v>
      </c>
      <c r="T385" s="9">
        <f>IFERROR(VLOOKUP(B385,cubo!$A$6:$BE$37,46,0)-VLOOKUP(B385,#REF!,$T$2,0),0)</f>
        <v>0</v>
      </c>
      <c r="U385" s="9">
        <f>IFERROR(VLOOKUP(B385,cubo!$A$6:$BE$37,51,0)-VLOOKUP(B385,#REF!,$U$2,0),0)</f>
        <v>0</v>
      </c>
      <c r="V385" s="9">
        <f>IFERROR(VLOOKUP(B385,cubo!$A$6:$BJ$37,60,0)-VLOOKUP(B385,#REF!,$V$2,0),0)</f>
        <v>0</v>
      </c>
      <c r="W385" s="9">
        <f>IFERROR(VLOOKUP(B385,cubo!$A$6:$BE$37,26,0)-VLOOKUP(B385,#REF!,$W$2,0),0)</f>
        <v>0</v>
      </c>
      <c r="X385" s="9">
        <f>IFERROR(VLOOKUP(B385,cubo!$A$6:$BE$37,20,0)-VLOOKUP(B385,#REF!,$X$2,0),0)</f>
        <v>0</v>
      </c>
      <c r="Y385" s="9">
        <f>IFERROR(VLOOKUP(B385,cubo!$A$6:$BE$37,21,0)-VLOOKUP(B385,#REF!,$Y$2,0),0)</f>
        <v>0</v>
      </c>
      <c r="Z385" s="9">
        <f>IFERROR(VLOOKUP(B385,cubo!$A$6:$BE$37,27,0)-VLOOKUP(B385,#REF!,$Z$2,0),0)</f>
        <v>0</v>
      </c>
      <c r="AA385" s="9">
        <f>IFERROR(VLOOKUP(B385,cubo!$A$6:$BE$37,28,0)-VLOOKUP(B385,#REF!,$AA$2,0),0)</f>
        <v>0</v>
      </c>
      <c r="AB385" s="9">
        <f>IFERROR(VLOOKUP(B385,cubo!$A$6:$BE$37,29,0)-VLOOKUP(B385,#REF!,$AB$2,0),0)</f>
        <v>0</v>
      </c>
      <c r="AC385" s="9">
        <f>IFERROR(VLOOKUP(B385,cubo!$A$6:$BE$37,30,0)-VLOOKUP(B385,#REF!,$AC$2,0),0)</f>
        <v>0</v>
      </c>
      <c r="AD385" s="9">
        <f>IFERROR(VLOOKUP(B385,cubo!$A$6:$BE$37,31,0)-VLOOKUP(B385,#REF!,$AD$2,0),0)</f>
        <v>0</v>
      </c>
      <c r="AE385" s="9">
        <f>IFERROR(VLOOKUP(B385,cubo!$A$6:$BE$37,35,0)-VLOOKUP(B385,#REF!,$AE$2,0),0)</f>
        <v>0</v>
      </c>
      <c r="AF385" s="9" cm="1">
        <f t="array" aca="1" ref="AF385" ca="1">IFERROR(rrPROCV(B385,cubo!$A$6:$BE$37,48,0)-VLOOKUP(B385,#REF!,$AF$2,0),0)</f>
        <v>0</v>
      </c>
      <c r="AG385" s="9">
        <f>IFERROR(VLOOKUP(B385,cubo!$A$6:$BE$37,49,0)-VLOOKUP(B385,#REF!,$AG$2,0),0)</f>
        <v>0</v>
      </c>
      <c r="AH385" s="9">
        <f>IFERROR(VLOOKUP(B385,cubo!$A$6:$BE$37,50,0)-VLOOKUP(B385,#REF!,$AH$2,0),0)</f>
        <v>0</v>
      </c>
      <c r="AI385" s="9">
        <f>IFERROR(VLOOKUP(B385,cubo!$A$6:$BE$37,51,0)-VLOOKUP(B385,#REF!,$AI$2,0),0)</f>
        <v>0</v>
      </c>
      <c r="AJ385" s="9">
        <f>IFERROR(VLOOKUP(B385,cubo!$A$6:$BI$116,62,0)-VLOOKUP(B385,#REF!,$AJ$2,0),0)</f>
        <v>0</v>
      </c>
      <c r="AK385" s="9">
        <f>IFERROR(VLOOKUP(B385,cubo!$A$6:$BJ$37,63,0)-VLOOKUP(B385,#REF!,$AK$2,0),0)</f>
        <v>0</v>
      </c>
      <c r="AL385" s="9">
        <f>IFERROR(VLOOKUP(B385,cubo!$A$6:$BE$37,58,0)-VLOOKUP(B385,#REF!,$AL$2,0),0)</f>
        <v>0</v>
      </c>
      <c r="AM385" s="9">
        <f>IFERROR(VLOOKUP(B385,cubo!$A$6:$BK$37,64,0)-VLOOKUP(B385,#REF!,$AM$2,0),0)</f>
        <v>0</v>
      </c>
      <c r="AN385" s="9">
        <f>IFERROR(VLOOKUP(B385,cubo!$A$6:$AN$37,41,0)-VLOOKUP(B385,#REF!,$AN$2,0),0)</f>
        <v>0</v>
      </c>
    </row>
    <row r="386" spans="2:40" x14ac:dyDescent="0.25">
      <c r="B386" s="7">
        <f>[1]salario!A385</f>
        <v>0</v>
      </c>
      <c r="C386" s="8">
        <f>[1]salario!C385</f>
        <v>0</v>
      </c>
      <c r="D386" s="9">
        <f>IFERROR(VLOOKUP(B386,cubo!$A$6:$BE$37,3,0)-VLOOKUP(B386,#REF!,$D$2,0),0)</f>
        <v>0</v>
      </c>
      <c r="E386" s="10">
        <f>IFERROR(VLOOKUP(B386,cubo!$A$6:$BE$37,5,0)-VLOOKUP(B386,#REF!,$E$2,0),0)</f>
        <v>0</v>
      </c>
      <c r="F386" s="10">
        <f>IFERROR(VLOOKUP(B386,cubo!$A$6:$BE$37,8,0)-VLOOKUP(B386,#REF!,$F$2,0),0)</f>
        <v>0</v>
      </c>
      <c r="G386" s="9">
        <f>IFERROR(VLOOKUP(B386,cubo!$A$6:$BE$37,11,0)-VLOOKUP(B386,#REF!,$G$2,0),0)</f>
        <v>0</v>
      </c>
      <c r="H386" s="9">
        <f>IFERROR(VLOOKUP(B386,cubo!$A$6:$BE$37,53,0)-VLOOKUP(B386,#REF!,$H$2,0),0)</f>
        <v>0</v>
      </c>
      <c r="I386" s="10">
        <f>IFERROR(VLOOKUP(B386,cubo!$A$6:$BE$37,14,0)-VLOOKUP(B386,#REF!,$I$2,0),0)</f>
        <v>0</v>
      </c>
      <c r="J386" s="9">
        <f>IFERROR(VLOOKUP(B386,cubo!$A$6:$BE$37,16,0)-VLOOKUP(B386,#REF!,$J$2,0),0)</f>
        <v>0</v>
      </c>
      <c r="K386" s="9">
        <f>IFERROR(VLOOKUP(B386,cubo!$A$6:$BE$37,17,0)-VLOOKUP(B386,#REF!,$K$2,0),0)</f>
        <v>0</v>
      </c>
      <c r="L386" s="9">
        <f>IFERROR(VLOOKUP(B386,cubo!$A$6:$BE$37,19,0)-VLOOKUP(B386,#REF!,$L$2,0),0)</f>
        <v>0</v>
      </c>
      <c r="M386" s="9">
        <f>IFERROR(VLOOKUP(B386,cubo!$A$6:$BE$37,23,0)-VLOOKUP(B386,#REF!,$M$2,0),0)</f>
        <v>0</v>
      </c>
      <c r="N386" s="9">
        <f>IFERROR(VLOOKUP(B386,cubo!$A$6:$BE$37,25,0)-VLOOKUP(B386,#REF!,$N$2,0),0)</f>
        <v>0</v>
      </c>
      <c r="O386" s="9">
        <f>IFERROR(VLOOKUP(B386,cubo!$A$6:$BE$37,33,0)-VLOOKUP(B386,#REF!,$O$2,0),0)</f>
        <v>0</v>
      </c>
      <c r="P386" s="8">
        <f>IFERROR(VLOOKUP(B386,cubo!$A$6:$BE$37,37,0)-VLOOKUP(B386,#REF!,$P$2,0),0)</f>
        <v>0</v>
      </c>
      <c r="Q386" s="8">
        <f>IFERROR(VLOOKUP(B386,cubo!$A$6:$BE$37,56,0)-VLOOKUP(B386,#REF!,$Q$2,0),0)</f>
        <v>0</v>
      </c>
      <c r="R386" s="9">
        <f>IFERROR(VLOOKUP(B386,cubo!$A$6:$BE$37,40,0)-VLOOKUP(B386,#REF!,$R$2,0),0)</f>
        <v>0</v>
      </c>
      <c r="S386" s="9">
        <f>IFERROR(VLOOKUP(B386,cubo!$A$6:$BE$37,43,0)-VLOOKUP(B386,#REF!,$S$2,0),0)</f>
        <v>0</v>
      </c>
      <c r="T386" s="9">
        <f>IFERROR(VLOOKUP(B386,cubo!$A$6:$BE$37,46,0)-VLOOKUP(B386,#REF!,$T$2,0),0)</f>
        <v>0</v>
      </c>
      <c r="U386" s="9">
        <f>IFERROR(VLOOKUP(B386,cubo!$A$6:$BE$37,51,0)-VLOOKUP(B386,#REF!,$U$2,0),0)</f>
        <v>0</v>
      </c>
      <c r="V386" s="9">
        <f>IFERROR(VLOOKUP(B386,cubo!$A$6:$BJ$37,60,0)-VLOOKUP(B386,#REF!,$V$2,0),0)</f>
        <v>0</v>
      </c>
      <c r="W386" s="9">
        <f>IFERROR(VLOOKUP(B386,cubo!$A$6:$BE$37,26,0)-VLOOKUP(B386,#REF!,$W$2,0),0)</f>
        <v>0</v>
      </c>
      <c r="X386" s="9">
        <f>IFERROR(VLOOKUP(B386,cubo!$A$6:$BE$37,20,0)-VLOOKUP(B386,#REF!,$X$2,0),0)</f>
        <v>0</v>
      </c>
      <c r="Y386" s="9">
        <f>IFERROR(VLOOKUP(B386,cubo!$A$6:$BE$37,21,0)-VLOOKUP(B386,#REF!,$Y$2,0),0)</f>
        <v>0</v>
      </c>
      <c r="Z386" s="9">
        <f>IFERROR(VLOOKUP(B386,cubo!$A$6:$BE$37,27,0)-VLOOKUP(B386,#REF!,$Z$2,0),0)</f>
        <v>0</v>
      </c>
      <c r="AA386" s="9">
        <f>IFERROR(VLOOKUP(B386,cubo!$A$6:$BE$37,28,0)-VLOOKUP(B386,#REF!,$AA$2,0),0)</f>
        <v>0</v>
      </c>
      <c r="AB386" s="9">
        <f>IFERROR(VLOOKUP(B386,cubo!$A$6:$BE$37,29,0)-VLOOKUP(B386,#REF!,$AB$2,0),0)</f>
        <v>0</v>
      </c>
      <c r="AC386" s="9">
        <f>IFERROR(VLOOKUP(B386,cubo!$A$6:$BE$37,30,0)-VLOOKUP(B386,#REF!,$AC$2,0),0)</f>
        <v>0</v>
      </c>
      <c r="AD386" s="9">
        <f>IFERROR(VLOOKUP(B386,cubo!$A$6:$BE$37,31,0)-VLOOKUP(B386,#REF!,$AD$2,0),0)</f>
        <v>0</v>
      </c>
      <c r="AE386" s="9">
        <f>IFERROR(VLOOKUP(B386,cubo!$A$6:$BE$37,35,0)-VLOOKUP(B386,#REF!,$AE$2,0),0)</f>
        <v>0</v>
      </c>
      <c r="AF386" s="9" cm="1">
        <f t="array" aca="1" ref="AF386" ca="1">IFERROR(rrPROCV(B386,cubo!$A$6:$BE$37,48,0)-VLOOKUP(B386,#REF!,$AF$2,0),0)</f>
        <v>0</v>
      </c>
      <c r="AG386" s="9">
        <f>IFERROR(VLOOKUP(B386,cubo!$A$6:$BE$37,49,0)-VLOOKUP(B386,#REF!,$AG$2,0),0)</f>
        <v>0</v>
      </c>
      <c r="AH386" s="9">
        <f>IFERROR(VLOOKUP(B386,cubo!$A$6:$BE$37,50,0)-VLOOKUP(B386,#REF!,$AH$2,0),0)</f>
        <v>0</v>
      </c>
      <c r="AI386" s="9">
        <f>IFERROR(VLOOKUP(B386,cubo!$A$6:$BE$37,51,0)-VLOOKUP(B386,#REF!,$AI$2,0),0)</f>
        <v>0</v>
      </c>
      <c r="AJ386" s="9">
        <f>IFERROR(VLOOKUP(B386,cubo!$A$6:$BI$116,62,0)-VLOOKUP(B386,#REF!,$AJ$2,0),0)</f>
        <v>0</v>
      </c>
      <c r="AK386" s="9">
        <f>IFERROR(VLOOKUP(B386,cubo!$A$6:$BJ$37,63,0)-VLOOKUP(B386,#REF!,$AK$2,0),0)</f>
        <v>0</v>
      </c>
      <c r="AL386" s="9">
        <f>IFERROR(VLOOKUP(B386,cubo!$A$6:$BE$37,58,0)-VLOOKUP(B386,#REF!,$AL$2,0),0)</f>
        <v>0</v>
      </c>
      <c r="AM386" s="9">
        <f>IFERROR(VLOOKUP(B386,cubo!$A$6:$BK$37,64,0)-VLOOKUP(B386,#REF!,$AM$2,0),0)</f>
        <v>0</v>
      </c>
      <c r="AN386" s="9">
        <f>IFERROR(VLOOKUP(B386,cubo!$A$6:$AN$37,41,0)-VLOOKUP(B386,#REF!,$AN$2,0),0)</f>
        <v>0</v>
      </c>
    </row>
    <row r="387" spans="2:40" x14ac:dyDescent="0.25">
      <c r="B387" s="7">
        <f>[1]salario!A386</f>
        <v>0</v>
      </c>
      <c r="C387" s="8">
        <f>[1]salario!C386</f>
        <v>0</v>
      </c>
      <c r="D387" s="9">
        <f>IFERROR(VLOOKUP(B387,cubo!$A$6:$BE$37,3,0)-VLOOKUP(B387,#REF!,$D$2,0),0)</f>
        <v>0</v>
      </c>
      <c r="E387" s="10">
        <f>IFERROR(VLOOKUP(B387,cubo!$A$6:$BE$37,5,0)-VLOOKUP(B387,#REF!,$E$2,0),0)</f>
        <v>0</v>
      </c>
      <c r="F387" s="10">
        <f>IFERROR(VLOOKUP(B387,cubo!$A$6:$BE$37,8,0)-VLOOKUP(B387,#REF!,$F$2,0),0)</f>
        <v>0</v>
      </c>
      <c r="G387" s="9">
        <f>IFERROR(VLOOKUP(B387,cubo!$A$6:$BE$37,11,0)-VLOOKUP(B387,#REF!,$G$2,0),0)</f>
        <v>0</v>
      </c>
      <c r="H387" s="9">
        <f>IFERROR(VLOOKUP(B387,cubo!$A$6:$BE$37,53,0)-VLOOKUP(B387,#REF!,$H$2,0),0)</f>
        <v>0</v>
      </c>
      <c r="I387" s="10">
        <f>IFERROR(VLOOKUP(B387,cubo!$A$6:$BE$37,14,0)-VLOOKUP(B387,#REF!,$I$2,0),0)</f>
        <v>0</v>
      </c>
      <c r="J387" s="9">
        <f>IFERROR(VLOOKUP(B387,cubo!$A$6:$BE$37,16,0)-VLOOKUP(B387,#REF!,$J$2,0),0)</f>
        <v>0</v>
      </c>
      <c r="K387" s="9">
        <f>IFERROR(VLOOKUP(B387,cubo!$A$6:$BE$37,17,0)-VLOOKUP(B387,#REF!,$K$2,0),0)</f>
        <v>0</v>
      </c>
      <c r="L387" s="9">
        <f>IFERROR(VLOOKUP(B387,cubo!$A$6:$BE$37,19,0)-VLOOKUP(B387,#REF!,$L$2,0),0)</f>
        <v>0</v>
      </c>
      <c r="M387" s="9">
        <f>IFERROR(VLOOKUP(B387,cubo!$A$6:$BE$37,23,0)-VLOOKUP(B387,#REF!,$M$2,0),0)</f>
        <v>0</v>
      </c>
      <c r="N387" s="9">
        <f>IFERROR(VLOOKUP(B387,cubo!$A$6:$BE$37,25,0)-VLOOKUP(B387,#REF!,$N$2,0),0)</f>
        <v>0</v>
      </c>
      <c r="O387" s="9">
        <f>IFERROR(VLOOKUP(B387,cubo!$A$6:$BE$37,33,0)-VLOOKUP(B387,#REF!,$O$2,0),0)</f>
        <v>0</v>
      </c>
      <c r="P387" s="8">
        <f>IFERROR(VLOOKUP(B387,cubo!$A$6:$BE$37,37,0)-VLOOKUP(B387,#REF!,$P$2,0),0)</f>
        <v>0</v>
      </c>
      <c r="Q387" s="8">
        <f>IFERROR(VLOOKUP(B387,cubo!$A$6:$BE$37,56,0)-VLOOKUP(B387,#REF!,$Q$2,0),0)</f>
        <v>0</v>
      </c>
      <c r="R387" s="9">
        <f>IFERROR(VLOOKUP(B387,cubo!$A$6:$BE$37,40,0)-VLOOKUP(B387,#REF!,$R$2,0),0)</f>
        <v>0</v>
      </c>
      <c r="S387" s="9">
        <f>IFERROR(VLOOKUP(B387,cubo!$A$6:$BE$37,43,0)-VLOOKUP(B387,#REF!,$S$2,0),0)</f>
        <v>0</v>
      </c>
      <c r="T387" s="9">
        <f>IFERROR(VLOOKUP(B387,cubo!$A$6:$BE$37,46,0)-VLOOKUP(B387,#REF!,$T$2,0),0)</f>
        <v>0</v>
      </c>
      <c r="U387" s="9">
        <f>IFERROR(VLOOKUP(B387,cubo!$A$6:$BE$37,51,0)-VLOOKUP(B387,#REF!,$U$2,0),0)</f>
        <v>0</v>
      </c>
      <c r="V387" s="9">
        <f>IFERROR(VLOOKUP(B387,cubo!$A$6:$BJ$37,60,0)-VLOOKUP(B387,#REF!,$V$2,0),0)</f>
        <v>0</v>
      </c>
      <c r="W387" s="9">
        <f>IFERROR(VLOOKUP(B387,cubo!$A$6:$BE$37,26,0)-VLOOKUP(B387,#REF!,$W$2,0),0)</f>
        <v>0</v>
      </c>
      <c r="X387" s="9">
        <f>IFERROR(VLOOKUP(B387,cubo!$A$6:$BE$37,20,0)-VLOOKUP(B387,#REF!,$X$2,0),0)</f>
        <v>0</v>
      </c>
      <c r="Y387" s="9">
        <f>IFERROR(VLOOKUP(B387,cubo!$A$6:$BE$37,21,0)-VLOOKUP(B387,#REF!,$Y$2,0),0)</f>
        <v>0</v>
      </c>
      <c r="Z387" s="9">
        <f>IFERROR(VLOOKUP(B387,cubo!$A$6:$BE$37,27,0)-VLOOKUP(B387,#REF!,$Z$2,0),0)</f>
        <v>0</v>
      </c>
      <c r="AA387" s="9">
        <f>IFERROR(VLOOKUP(B387,cubo!$A$6:$BE$37,28,0)-VLOOKUP(B387,#REF!,$AA$2,0),0)</f>
        <v>0</v>
      </c>
      <c r="AB387" s="9">
        <f>IFERROR(VLOOKUP(B387,cubo!$A$6:$BE$37,29,0)-VLOOKUP(B387,#REF!,$AB$2,0),0)</f>
        <v>0</v>
      </c>
      <c r="AC387" s="9">
        <f>IFERROR(VLOOKUP(B387,cubo!$A$6:$BE$37,30,0)-VLOOKUP(B387,#REF!,$AC$2,0),0)</f>
        <v>0</v>
      </c>
      <c r="AD387" s="9">
        <f>IFERROR(VLOOKUP(B387,cubo!$A$6:$BE$37,31,0)-VLOOKUP(B387,#REF!,$AD$2,0),0)</f>
        <v>0</v>
      </c>
      <c r="AE387" s="9">
        <f>IFERROR(VLOOKUP(B387,cubo!$A$6:$BE$37,35,0)-VLOOKUP(B387,#REF!,$AE$2,0),0)</f>
        <v>0</v>
      </c>
      <c r="AF387" s="9" cm="1">
        <f t="array" aca="1" ref="AF387" ca="1">IFERROR(rrPROCV(B387,cubo!$A$6:$BE$37,48,0)-VLOOKUP(B387,#REF!,$AF$2,0),0)</f>
        <v>0</v>
      </c>
      <c r="AG387" s="9">
        <f>IFERROR(VLOOKUP(B387,cubo!$A$6:$BE$37,49,0)-VLOOKUP(B387,#REF!,$AG$2,0),0)</f>
        <v>0</v>
      </c>
      <c r="AH387" s="9">
        <f>IFERROR(VLOOKUP(B387,cubo!$A$6:$BE$37,50,0)-VLOOKUP(B387,#REF!,$AH$2,0),0)</f>
        <v>0</v>
      </c>
      <c r="AI387" s="9">
        <f>IFERROR(VLOOKUP(B387,cubo!$A$6:$BE$37,51,0)-VLOOKUP(B387,#REF!,$AI$2,0),0)</f>
        <v>0</v>
      </c>
      <c r="AJ387" s="9">
        <f>IFERROR(VLOOKUP(B387,cubo!$A$6:$BI$116,62,0)-VLOOKUP(B387,#REF!,$AJ$2,0),0)</f>
        <v>0</v>
      </c>
      <c r="AK387" s="9">
        <f>IFERROR(VLOOKUP(B387,cubo!$A$6:$BJ$37,63,0)-VLOOKUP(B387,#REF!,$AK$2,0),0)</f>
        <v>0</v>
      </c>
      <c r="AL387" s="9">
        <f>IFERROR(VLOOKUP(B387,cubo!$A$6:$BE$37,58,0)-VLOOKUP(B387,#REF!,$AL$2,0),0)</f>
        <v>0</v>
      </c>
      <c r="AM387" s="9">
        <f>IFERROR(VLOOKUP(B387,cubo!$A$6:$BK$37,64,0)-VLOOKUP(B387,#REF!,$AM$2,0),0)</f>
        <v>0</v>
      </c>
      <c r="AN387" s="9">
        <f>IFERROR(VLOOKUP(B387,cubo!$A$6:$AN$37,41,0)-VLOOKUP(B387,#REF!,$AN$2,0),0)</f>
        <v>0</v>
      </c>
    </row>
    <row r="388" spans="2:40" x14ac:dyDescent="0.25">
      <c r="B388" s="7">
        <f>[1]salario!A387</f>
        <v>0</v>
      </c>
      <c r="C388" s="8">
        <f>[1]salario!C387</f>
        <v>0</v>
      </c>
      <c r="D388" s="9">
        <f>IFERROR(VLOOKUP(B388,cubo!$A$6:$BE$37,3,0)-VLOOKUP(B388,#REF!,$D$2,0),0)</f>
        <v>0</v>
      </c>
      <c r="E388" s="10">
        <f>IFERROR(VLOOKUP(B388,cubo!$A$6:$BE$37,5,0)-VLOOKUP(B388,#REF!,$E$2,0),0)</f>
        <v>0</v>
      </c>
      <c r="F388" s="10">
        <f>IFERROR(VLOOKUP(B388,cubo!$A$6:$BE$37,8,0)-VLOOKUP(B388,#REF!,$F$2,0),0)</f>
        <v>0</v>
      </c>
      <c r="G388" s="9">
        <f>IFERROR(VLOOKUP(B388,cubo!$A$6:$BE$37,11,0)-VLOOKUP(B388,#REF!,$G$2,0),0)</f>
        <v>0</v>
      </c>
      <c r="H388" s="9">
        <f>IFERROR(VLOOKUP(B388,cubo!$A$6:$BE$37,53,0)-VLOOKUP(B388,#REF!,$H$2,0),0)</f>
        <v>0</v>
      </c>
      <c r="I388" s="10">
        <f>IFERROR(VLOOKUP(B388,cubo!$A$6:$BE$37,14,0)-VLOOKUP(B388,#REF!,$I$2,0),0)</f>
        <v>0</v>
      </c>
      <c r="J388" s="9">
        <f>IFERROR(VLOOKUP(B388,cubo!$A$6:$BE$37,16,0)-VLOOKUP(B388,#REF!,$J$2,0),0)</f>
        <v>0</v>
      </c>
      <c r="K388" s="9">
        <f>IFERROR(VLOOKUP(B388,cubo!$A$6:$BE$37,17,0)-VLOOKUP(B388,#REF!,$K$2,0),0)</f>
        <v>0</v>
      </c>
      <c r="L388" s="9">
        <f>IFERROR(VLOOKUP(B388,cubo!$A$6:$BE$37,19,0)-VLOOKUP(B388,#REF!,$L$2,0),0)</f>
        <v>0</v>
      </c>
      <c r="M388" s="9">
        <f>IFERROR(VLOOKUP(B388,cubo!$A$6:$BE$37,23,0)-VLOOKUP(B388,#REF!,$M$2,0),0)</f>
        <v>0</v>
      </c>
      <c r="N388" s="9">
        <f>IFERROR(VLOOKUP(B388,cubo!$A$6:$BE$37,25,0)-VLOOKUP(B388,#REF!,$N$2,0),0)</f>
        <v>0</v>
      </c>
      <c r="O388" s="9">
        <f>IFERROR(VLOOKUP(B388,cubo!$A$6:$BE$37,33,0)-VLOOKUP(B388,#REF!,$O$2,0),0)</f>
        <v>0</v>
      </c>
      <c r="P388" s="8">
        <f>IFERROR(VLOOKUP(B388,cubo!$A$6:$BE$37,37,0)-VLOOKUP(B388,#REF!,$P$2,0),0)</f>
        <v>0</v>
      </c>
      <c r="Q388" s="8">
        <f>IFERROR(VLOOKUP(B388,cubo!$A$6:$BE$37,56,0)-VLOOKUP(B388,#REF!,$Q$2,0),0)</f>
        <v>0</v>
      </c>
      <c r="R388" s="9">
        <f>IFERROR(VLOOKUP(B388,cubo!$A$6:$BE$37,40,0)-VLOOKUP(B388,#REF!,$R$2,0),0)</f>
        <v>0</v>
      </c>
      <c r="S388" s="9">
        <f>IFERROR(VLOOKUP(B388,cubo!$A$6:$BE$37,43,0)-VLOOKUP(B388,#REF!,$S$2,0),0)</f>
        <v>0</v>
      </c>
      <c r="T388" s="9">
        <f>IFERROR(VLOOKUP(B388,cubo!$A$6:$BE$37,46,0)-VLOOKUP(B388,#REF!,$T$2,0),0)</f>
        <v>0</v>
      </c>
      <c r="U388" s="9">
        <f>IFERROR(VLOOKUP(B388,cubo!$A$6:$BE$37,51,0)-VLOOKUP(B388,#REF!,$U$2,0),0)</f>
        <v>0</v>
      </c>
      <c r="V388" s="9">
        <f>IFERROR(VLOOKUP(B388,cubo!$A$6:$BJ$37,60,0)-VLOOKUP(B388,#REF!,$V$2,0),0)</f>
        <v>0</v>
      </c>
      <c r="W388" s="9">
        <f>IFERROR(VLOOKUP(B388,cubo!$A$6:$BE$37,26,0)-VLOOKUP(B388,#REF!,$W$2,0),0)</f>
        <v>0</v>
      </c>
      <c r="X388" s="9">
        <f>IFERROR(VLOOKUP(B388,cubo!$A$6:$BE$37,20,0)-VLOOKUP(B388,#REF!,$X$2,0),0)</f>
        <v>0</v>
      </c>
      <c r="Y388" s="9">
        <f>IFERROR(VLOOKUP(B388,cubo!$A$6:$BE$37,21,0)-VLOOKUP(B388,#REF!,$Y$2,0),0)</f>
        <v>0</v>
      </c>
      <c r="Z388" s="9">
        <f>IFERROR(VLOOKUP(B388,cubo!$A$6:$BE$37,27,0)-VLOOKUP(B388,#REF!,$Z$2,0),0)</f>
        <v>0</v>
      </c>
      <c r="AA388" s="9">
        <f>IFERROR(VLOOKUP(B388,cubo!$A$6:$BE$37,28,0)-VLOOKUP(B388,#REF!,$AA$2,0),0)</f>
        <v>0</v>
      </c>
      <c r="AB388" s="9">
        <f>IFERROR(VLOOKUP(B388,cubo!$A$6:$BE$37,29,0)-VLOOKUP(B388,#REF!,$AB$2,0),0)</f>
        <v>0</v>
      </c>
      <c r="AC388" s="9">
        <f>IFERROR(VLOOKUP(B388,cubo!$A$6:$BE$37,30,0)-VLOOKUP(B388,#REF!,$AC$2,0),0)</f>
        <v>0</v>
      </c>
      <c r="AD388" s="9">
        <f>IFERROR(VLOOKUP(B388,cubo!$A$6:$BE$37,31,0)-VLOOKUP(B388,#REF!,$AD$2,0),0)</f>
        <v>0</v>
      </c>
      <c r="AE388" s="9">
        <f>IFERROR(VLOOKUP(B388,cubo!$A$6:$BE$37,35,0)-VLOOKUP(B388,#REF!,$AE$2,0),0)</f>
        <v>0</v>
      </c>
      <c r="AF388" s="9" cm="1">
        <f t="array" aca="1" ref="AF388" ca="1">IFERROR(rrPROCV(B388,cubo!$A$6:$BE$37,48,0)-VLOOKUP(B388,#REF!,$AF$2,0),0)</f>
        <v>0</v>
      </c>
      <c r="AG388" s="9">
        <f>IFERROR(VLOOKUP(B388,cubo!$A$6:$BE$37,49,0)-VLOOKUP(B388,#REF!,$AG$2,0),0)</f>
        <v>0</v>
      </c>
      <c r="AH388" s="9">
        <f>IFERROR(VLOOKUP(B388,cubo!$A$6:$BE$37,50,0)-VLOOKUP(B388,#REF!,$AH$2,0),0)</f>
        <v>0</v>
      </c>
      <c r="AI388" s="9">
        <f>IFERROR(VLOOKUP(B388,cubo!$A$6:$BE$37,51,0)-VLOOKUP(B388,#REF!,$AI$2,0),0)</f>
        <v>0</v>
      </c>
      <c r="AJ388" s="9">
        <f>IFERROR(VLOOKUP(B388,cubo!$A$6:$BI$116,62,0)-VLOOKUP(B388,#REF!,$AJ$2,0),0)</f>
        <v>0</v>
      </c>
      <c r="AK388" s="9">
        <f>IFERROR(VLOOKUP(B388,cubo!$A$6:$BJ$37,63,0)-VLOOKUP(B388,#REF!,$AK$2,0),0)</f>
        <v>0</v>
      </c>
      <c r="AL388" s="9">
        <f>IFERROR(VLOOKUP(B388,cubo!$A$6:$BE$37,58,0)-VLOOKUP(B388,#REF!,$AL$2,0),0)</f>
        <v>0</v>
      </c>
      <c r="AM388" s="9">
        <f>IFERROR(VLOOKUP(B388,cubo!$A$6:$BK$37,64,0)-VLOOKUP(B388,#REF!,$AM$2,0),0)</f>
        <v>0</v>
      </c>
      <c r="AN388" s="9">
        <f>IFERROR(VLOOKUP(B388,cubo!$A$6:$AN$37,41,0)-VLOOKUP(B388,#REF!,$AN$2,0),0)</f>
        <v>0</v>
      </c>
    </row>
    <row r="389" spans="2:40" x14ac:dyDescent="0.25">
      <c r="B389" s="7">
        <f>[1]salario!A388</f>
        <v>0</v>
      </c>
      <c r="C389" s="8">
        <f>[1]salario!C388</f>
        <v>0</v>
      </c>
      <c r="D389" s="9">
        <f>IFERROR(VLOOKUP(B389,cubo!$A$6:$BE$37,3,0)-VLOOKUP(B389,#REF!,$D$2,0),0)</f>
        <v>0</v>
      </c>
      <c r="E389" s="10">
        <f>IFERROR(VLOOKUP(B389,cubo!$A$6:$BE$37,5,0)-VLOOKUP(B389,#REF!,$E$2,0),0)</f>
        <v>0</v>
      </c>
      <c r="F389" s="10">
        <f>IFERROR(VLOOKUP(B389,cubo!$A$6:$BE$37,8,0)-VLOOKUP(B389,#REF!,$F$2,0),0)</f>
        <v>0</v>
      </c>
      <c r="G389" s="9">
        <f>IFERROR(VLOOKUP(B389,cubo!$A$6:$BE$37,11,0)-VLOOKUP(B389,#REF!,$G$2,0),0)</f>
        <v>0</v>
      </c>
      <c r="H389" s="9">
        <f>IFERROR(VLOOKUP(B389,cubo!$A$6:$BE$37,53,0)-VLOOKUP(B389,#REF!,$H$2,0),0)</f>
        <v>0</v>
      </c>
      <c r="I389" s="10">
        <f>IFERROR(VLOOKUP(B389,cubo!$A$6:$BE$37,14,0)-VLOOKUP(B389,#REF!,$I$2,0),0)</f>
        <v>0</v>
      </c>
      <c r="J389" s="9">
        <f>IFERROR(VLOOKUP(B389,cubo!$A$6:$BE$37,16,0)-VLOOKUP(B389,#REF!,$J$2,0),0)</f>
        <v>0</v>
      </c>
      <c r="K389" s="9">
        <f>IFERROR(VLOOKUP(B389,cubo!$A$6:$BE$37,17,0)-VLOOKUP(B389,#REF!,$K$2,0),0)</f>
        <v>0</v>
      </c>
      <c r="L389" s="9">
        <f>IFERROR(VLOOKUP(B389,cubo!$A$6:$BE$37,19,0)-VLOOKUP(B389,#REF!,$L$2,0),0)</f>
        <v>0</v>
      </c>
      <c r="M389" s="9">
        <f>IFERROR(VLOOKUP(B389,cubo!$A$6:$BE$37,23,0)-VLOOKUP(B389,#REF!,$M$2,0),0)</f>
        <v>0</v>
      </c>
      <c r="N389" s="9">
        <f>IFERROR(VLOOKUP(B389,cubo!$A$6:$BE$37,25,0)-VLOOKUP(B389,#REF!,$N$2,0),0)</f>
        <v>0</v>
      </c>
      <c r="O389" s="9">
        <f>IFERROR(VLOOKUP(B389,cubo!$A$6:$BE$37,33,0)-VLOOKUP(B389,#REF!,$O$2,0),0)</f>
        <v>0</v>
      </c>
      <c r="P389" s="8">
        <f>IFERROR(VLOOKUP(B389,cubo!$A$6:$BE$37,37,0)-VLOOKUP(B389,#REF!,$P$2,0),0)</f>
        <v>0</v>
      </c>
      <c r="Q389" s="8">
        <f>IFERROR(VLOOKUP(B389,cubo!$A$6:$BE$37,56,0)-VLOOKUP(B389,#REF!,$Q$2,0),0)</f>
        <v>0</v>
      </c>
      <c r="R389" s="9">
        <f>IFERROR(VLOOKUP(B389,cubo!$A$6:$BE$37,40,0)-VLOOKUP(B389,#REF!,$R$2,0),0)</f>
        <v>0</v>
      </c>
      <c r="S389" s="9">
        <f>IFERROR(VLOOKUP(B389,cubo!$A$6:$BE$37,43,0)-VLOOKUP(B389,#REF!,$S$2,0),0)</f>
        <v>0</v>
      </c>
      <c r="T389" s="9">
        <f>IFERROR(VLOOKUP(B389,cubo!$A$6:$BE$37,46,0)-VLOOKUP(B389,#REF!,$T$2,0),0)</f>
        <v>0</v>
      </c>
      <c r="U389" s="9">
        <f>IFERROR(VLOOKUP(B389,cubo!$A$6:$BE$37,51,0)-VLOOKUP(B389,#REF!,$U$2,0),0)</f>
        <v>0</v>
      </c>
      <c r="V389" s="9">
        <f>IFERROR(VLOOKUP(B389,cubo!$A$6:$BJ$37,60,0)-VLOOKUP(B389,#REF!,$V$2,0),0)</f>
        <v>0</v>
      </c>
      <c r="W389" s="9">
        <f>IFERROR(VLOOKUP(B389,cubo!$A$6:$BE$37,26,0)-VLOOKUP(B389,#REF!,$W$2,0),0)</f>
        <v>0</v>
      </c>
      <c r="X389" s="9">
        <f>IFERROR(VLOOKUP(B389,cubo!$A$6:$BE$37,20,0)-VLOOKUP(B389,#REF!,$X$2,0),0)</f>
        <v>0</v>
      </c>
      <c r="Y389" s="9">
        <f>IFERROR(VLOOKUP(B389,cubo!$A$6:$BE$37,21,0)-VLOOKUP(B389,#REF!,$Y$2,0),0)</f>
        <v>0</v>
      </c>
      <c r="Z389" s="9">
        <f>IFERROR(VLOOKUP(B389,cubo!$A$6:$BE$37,27,0)-VLOOKUP(B389,#REF!,$Z$2,0),0)</f>
        <v>0</v>
      </c>
      <c r="AA389" s="9">
        <f>IFERROR(VLOOKUP(B389,cubo!$A$6:$BE$37,28,0)-VLOOKUP(B389,#REF!,$AA$2,0),0)</f>
        <v>0</v>
      </c>
      <c r="AB389" s="9">
        <f>IFERROR(VLOOKUP(B389,cubo!$A$6:$BE$37,29,0)-VLOOKUP(B389,#REF!,$AB$2,0),0)</f>
        <v>0</v>
      </c>
      <c r="AC389" s="9">
        <f>IFERROR(VLOOKUP(B389,cubo!$A$6:$BE$37,30,0)-VLOOKUP(B389,#REF!,$AC$2,0),0)</f>
        <v>0</v>
      </c>
      <c r="AD389" s="9">
        <f>IFERROR(VLOOKUP(B389,cubo!$A$6:$BE$37,31,0)-VLOOKUP(B389,#REF!,$AD$2,0),0)</f>
        <v>0</v>
      </c>
      <c r="AE389" s="9">
        <f>IFERROR(VLOOKUP(B389,cubo!$A$6:$BE$37,35,0)-VLOOKUP(B389,#REF!,$AE$2,0),0)</f>
        <v>0</v>
      </c>
      <c r="AF389" s="9" cm="1">
        <f t="array" aca="1" ref="AF389" ca="1">IFERROR(rrPROCV(B389,cubo!$A$6:$BE$37,48,0)-VLOOKUP(B389,#REF!,$AF$2,0),0)</f>
        <v>0</v>
      </c>
      <c r="AG389" s="9">
        <f>IFERROR(VLOOKUP(B389,cubo!$A$6:$BE$37,49,0)-VLOOKUP(B389,#REF!,$AG$2,0),0)</f>
        <v>0</v>
      </c>
      <c r="AH389" s="9">
        <f>IFERROR(VLOOKUP(B389,cubo!$A$6:$BE$37,50,0)-VLOOKUP(B389,#REF!,$AH$2,0),0)</f>
        <v>0</v>
      </c>
      <c r="AI389" s="9">
        <f>IFERROR(VLOOKUP(B389,cubo!$A$6:$BE$37,51,0)-VLOOKUP(B389,#REF!,$AI$2,0),0)</f>
        <v>0</v>
      </c>
      <c r="AJ389" s="9">
        <f>IFERROR(VLOOKUP(B389,cubo!$A$6:$BI$116,62,0)-VLOOKUP(B389,#REF!,$AJ$2,0),0)</f>
        <v>0</v>
      </c>
      <c r="AK389" s="9">
        <f>IFERROR(VLOOKUP(B389,cubo!$A$6:$BJ$37,63,0)-VLOOKUP(B389,#REF!,$AK$2,0),0)</f>
        <v>0</v>
      </c>
      <c r="AL389" s="9">
        <f>IFERROR(VLOOKUP(B389,cubo!$A$6:$BE$37,58,0)-VLOOKUP(B389,#REF!,$AL$2,0),0)</f>
        <v>0</v>
      </c>
      <c r="AM389" s="9">
        <f>IFERROR(VLOOKUP(B389,cubo!$A$6:$BK$37,64,0)-VLOOKUP(B389,#REF!,$AM$2,0),0)</f>
        <v>0</v>
      </c>
      <c r="AN389" s="9">
        <f>IFERROR(VLOOKUP(B389,cubo!$A$6:$AN$37,41,0)-VLOOKUP(B389,#REF!,$AN$2,0),0)</f>
        <v>0</v>
      </c>
    </row>
    <row r="390" spans="2:40" x14ac:dyDescent="0.25">
      <c r="B390" s="7">
        <f>[1]salario!A389</f>
        <v>0</v>
      </c>
      <c r="C390" s="8">
        <f>[1]salario!C389</f>
        <v>0</v>
      </c>
      <c r="D390" s="9">
        <f>IFERROR(VLOOKUP(B390,cubo!$A$6:$BE$37,3,0)-VLOOKUP(B390,#REF!,$D$2,0),0)</f>
        <v>0</v>
      </c>
      <c r="E390" s="10">
        <f>IFERROR(VLOOKUP(B390,cubo!$A$6:$BE$37,5,0)-VLOOKUP(B390,#REF!,$E$2,0),0)</f>
        <v>0</v>
      </c>
      <c r="F390" s="10">
        <f>IFERROR(VLOOKUP(B390,cubo!$A$6:$BE$37,8,0)-VLOOKUP(B390,#REF!,$F$2,0),0)</f>
        <v>0</v>
      </c>
      <c r="G390" s="9">
        <f>IFERROR(VLOOKUP(B390,cubo!$A$6:$BE$37,11,0)-VLOOKUP(B390,#REF!,$G$2,0),0)</f>
        <v>0</v>
      </c>
      <c r="H390" s="9">
        <f>IFERROR(VLOOKUP(B390,cubo!$A$6:$BE$37,53,0)-VLOOKUP(B390,#REF!,$H$2,0),0)</f>
        <v>0</v>
      </c>
      <c r="I390" s="10">
        <f>IFERROR(VLOOKUP(B390,cubo!$A$6:$BE$37,14,0)-VLOOKUP(B390,#REF!,$I$2,0),0)</f>
        <v>0</v>
      </c>
      <c r="J390" s="9">
        <f>IFERROR(VLOOKUP(B390,cubo!$A$6:$BE$37,16,0)-VLOOKUP(B390,#REF!,$J$2,0),0)</f>
        <v>0</v>
      </c>
      <c r="K390" s="9">
        <f>IFERROR(VLOOKUP(B390,cubo!$A$6:$BE$37,17,0)-VLOOKUP(B390,#REF!,$K$2,0),0)</f>
        <v>0</v>
      </c>
      <c r="L390" s="9">
        <f>IFERROR(VLOOKUP(B390,cubo!$A$6:$BE$37,19,0)-VLOOKUP(B390,#REF!,$L$2,0),0)</f>
        <v>0</v>
      </c>
      <c r="M390" s="9">
        <f>IFERROR(VLOOKUP(B390,cubo!$A$6:$BE$37,23,0)-VLOOKUP(B390,#REF!,$M$2,0),0)</f>
        <v>0</v>
      </c>
      <c r="N390" s="9">
        <f>IFERROR(VLOOKUP(B390,cubo!$A$6:$BE$37,25,0)-VLOOKUP(B390,#REF!,$N$2,0),0)</f>
        <v>0</v>
      </c>
      <c r="O390" s="9">
        <f>IFERROR(VLOOKUP(B390,cubo!$A$6:$BE$37,33,0)-VLOOKUP(B390,#REF!,$O$2,0),0)</f>
        <v>0</v>
      </c>
      <c r="P390" s="8">
        <f>IFERROR(VLOOKUP(B390,cubo!$A$6:$BE$37,37,0)-VLOOKUP(B390,#REF!,$P$2,0),0)</f>
        <v>0</v>
      </c>
      <c r="Q390" s="8">
        <f>IFERROR(VLOOKUP(B390,cubo!$A$6:$BE$37,56,0)-VLOOKUP(B390,#REF!,$Q$2,0),0)</f>
        <v>0</v>
      </c>
      <c r="R390" s="9">
        <f>IFERROR(VLOOKUP(B390,cubo!$A$6:$BE$37,40,0)-VLOOKUP(B390,#REF!,$R$2,0),0)</f>
        <v>0</v>
      </c>
      <c r="S390" s="9">
        <f>IFERROR(VLOOKUP(B390,cubo!$A$6:$BE$37,43,0)-VLOOKUP(B390,#REF!,$S$2,0),0)</f>
        <v>0</v>
      </c>
      <c r="T390" s="9">
        <f>IFERROR(VLOOKUP(B390,cubo!$A$6:$BE$37,46,0)-VLOOKUP(B390,#REF!,$T$2,0),0)</f>
        <v>0</v>
      </c>
      <c r="U390" s="9">
        <f>IFERROR(VLOOKUP(B390,cubo!$A$6:$BE$37,51,0)-VLOOKUP(B390,#REF!,$U$2,0),0)</f>
        <v>0</v>
      </c>
      <c r="V390" s="9">
        <f>IFERROR(VLOOKUP(B390,cubo!$A$6:$BJ$37,60,0)-VLOOKUP(B390,#REF!,$V$2,0),0)</f>
        <v>0</v>
      </c>
      <c r="W390" s="9">
        <f>IFERROR(VLOOKUP(B390,cubo!$A$6:$BE$37,26,0)-VLOOKUP(B390,#REF!,$W$2,0),0)</f>
        <v>0</v>
      </c>
      <c r="X390" s="9">
        <f>IFERROR(VLOOKUP(B390,cubo!$A$6:$BE$37,20,0)-VLOOKUP(B390,#REF!,$X$2,0),0)</f>
        <v>0</v>
      </c>
      <c r="Y390" s="9">
        <f>IFERROR(VLOOKUP(B390,cubo!$A$6:$BE$37,21,0)-VLOOKUP(B390,#REF!,$Y$2,0),0)</f>
        <v>0</v>
      </c>
      <c r="Z390" s="9">
        <f>IFERROR(VLOOKUP(B390,cubo!$A$6:$BE$37,27,0)-VLOOKUP(B390,#REF!,$Z$2,0),0)</f>
        <v>0</v>
      </c>
      <c r="AA390" s="9">
        <f>IFERROR(VLOOKUP(B390,cubo!$A$6:$BE$37,28,0)-VLOOKUP(B390,#REF!,$AA$2,0),0)</f>
        <v>0</v>
      </c>
      <c r="AB390" s="9">
        <f>IFERROR(VLOOKUP(B390,cubo!$A$6:$BE$37,29,0)-VLOOKUP(B390,#REF!,$AB$2,0),0)</f>
        <v>0</v>
      </c>
      <c r="AC390" s="9">
        <f>IFERROR(VLOOKUP(B390,cubo!$A$6:$BE$37,30,0)-VLOOKUP(B390,#REF!,$AC$2,0),0)</f>
        <v>0</v>
      </c>
      <c r="AD390" s="9">
        <f>IFERROR(VLOOKUP(B390,cubo!$A$6:$BE$37,31,0)-VLOOKUP(B390,#REF!,$AD$2,0),0)</f>
        <v>0</v>
      </c>
      <c r="AE390" s="9">
        <f>IFERROR(VLOOKUP(B390,cubo!$A$6:$BE$37,35,0)-VLOOKUP(B390,#REF!,$AE$2,0),0)</f>
        <v>0</v>
      </c>
      <c r="AF390" s="9" cm="1">
        <f t="array" aca="1" ref="AF390" ca="1">IFERROR(rrPROCV(B390,cubo!$A$6:$BE$37,48,0)-VLOOKUP(B390,#REF!,$AF$2,0),0)</f>
        <v>0</v>
      </c>
      <c r="AG390" s="9">
        <f>IFERROR(VLOOKUP(B390,cubo!$A$6:$BE$37,49,0)-VLOOKUP(B390,#REF!,$AG$2,0),0)</f>
        <v>0</v>
      </c>
      <c r="AH390" s="9">
        <f>IFERROR(VLOOKUP(B390,cubo!$A$6:$BE$37,50,0)-VLOOKUP(B390,#REF!,$AH$2,0),0)</f>
        <v>0</v>
      </c>
      <c r="AI390" s="9">
        <f>IFERROR(VLOOKUP(B390,cubo!$A$6:$BE$37,51,0)-VLOOKUP(B390,#REF!,$AI$2,0),0)</f>
        <v>0</v>
      </c>
      <c r="AJ390" s="9">
        <f>IFERROR(VLOOKUP(B390,cubo!$A$6:$BI$116,62,0)-VLOOKUP(B390,#REF!,$AJ$2,0),0)</f>
        <v>0</v>
      </c>
      <c r="AK390" s="9">
        <f>IFERROR(VLOOKUP(B390,cubo!$A$6:$BJ$37,63,0)-VLOOKUP(B390,#REF!,$AK$2,0),0)</f>
        <v>0</v>
      </c>
      <c r="AL390" s="9">
        <f>IFERROR(VLOOKUP(B390,cubo!$A$6:$BE$37,58,0)-VLOOKUP(B390,#REF!,$AL$2,0),0)</f>
        <v>0</v>
      </c>
      <c r="AM390" s="9">
        <f>IFERROR(VLOOKUP(B390,cubo!$A$6:$BK$37,64,0)-VLOOKUP(B390,#REF!,$AM$2,0),0)</f>
        <v>0</v>
      </c>
      <c r="AN390" s="9">
        <f>IFERROR(VLOOKUP(B390,cubo!$A$6:$AN$37,41,0)-VLOOKUP(B390,#REF!,$AN$2,0),0)</f>
        <v>0</v>
      </c>
    </row>
    <row r="391" spans="2:40" x14ac:dyDescent="0.25">
      <c r="B391" s="7">
        <f>[1]salario!A390</f>
        <v>0</v>
      </c>
      <c r="C391" s="8">
        <f>[1]salario!C390</f>
        <v>0</v>
      </c>
      <c r="D391" s="9">
        <f>IFERROR(VLOOKUP(B391,cubo!$A$6:$BE$37,3,0)-VLOOKUP(B391,#REF!,$D$2,0),0)</f>
        <v>0</v>
      </c>
      <c r="E391" s="10">
        <f>IFERROR(VLOOKUP(B391,cubo!$A$6:$BE$37,5,0)-VLOOKUP(B391,#REF!,$E$2,0),0)</f>
        <v>0</v>
      </c>
      <c r="F391" s="10">
        <f>IFERROR(VLOOKUP(B391,cubo!$A$6:$BE$37,8,0)-VLOOKUP(B391,#REF!,$F$2,0),0)</f>
        <v>0</v>
      </c>
      <c r="G391" s="9">
        <f>IFERROR(VLOOKUP(B391,cubo!$A$6:$BE$37,11,0)-VLOOKUP(B391,#REF!,$G$2,0),0)</f>
        <v>0</v>
      </c>
      <c r="H391" s="9">
        <f>IFERROR(VLOOKUP(B391,cubo!$A$6:$BE$37,53,0)-VLOOKUP(B391,#REF!,$H$2,0),0)</f>
        <v>0</v>
      </c>
      <c r="I391" s="10">
        <f>IFERROR(VLOOKUP(B391,cubo!$A$6:$BE$37,14,0)-VLOOKUP(B391,#REF!,$I$2,0),0)</f>
        <v>0</v>
      </c>
      <c r="J391" s="9">
        <f>IFERROR(VLOOKUP(B391,cubo!$A$6:$BE$37,16,0)-VLOOKUP(B391,#REF!,$J$2,0),0)</f>
        <v>0</v>
      </c>
      <c r="K391" s="9">
        <f>IFERROR(VLOOKUP(B391,cubo!$A$6:$BE$37,17,0)-VLOOKUP(B391,#REF!,$K$2,0),0)</f>
        <v>0</v>
      </c>
      <c r="L391" s="9">
        <f>IFERROR(VLOOKUP(B391,cubo!$A$6:$BE$37,19,0)-VLOOKUP(B391,#REF!,$L$2,0),0)</f>
        <v>0</v>
      </c>
      <c r="M391" s="9">
        <f>IFERROR(VLOOKUP(B391,cubo!$A$6:$BE$37,23,0)-VLOOKUP(B391,#REF!,$M$2,0),0)</f>
        <v>0</v>
      </c>
      <c r="N391" s="9">
        <f>IFERROR(VLOOKUP(B391,cubo!$A$6:$BE$37,25,0)-VLOOKUP(B391,#REF!,$N$2,0),0)</f>
        <v>0</v>
      </c>
      <c r="O391" s="9">
        <f>IFERROR(VLOOKUP(B391,cubo!$A$6:$BE$37,33,0)-VLOOKUP(B391,#REF!,$O$2,0),0)</f>
        <v>0</v>
      </c>
      <c r="P391" s="8">
        <f>IFERROR(VLOOKUP(B391,cubo!$A$6:$BE$37,37,0)-VLOOKUP(B391,#REF!,$P$2,0),0)</f>
        <v>0</v>
      </c>
      <c r="Q391" s="8">
        <f>IFERROR(VLOOKUP(B391,cubo!$A$6:$BE$37,56,0)-VLOOKUP(B391,#REF!,$Q$2,0),0)</f>
        <v>0</v>
      </c>
      <c r="R391" s="9">
        <f>IFERROR(VLOOKUP(B391,cubo!$A$6:$BE$37,40,0)-VLOOKUP(B391,#REF!,$R$2,0),0)</f>
        <v>0</v>
      </c>
      <c r="S391" s="9">
        <f>IFERROR(VLOOKUP(B391,cubo!$A$6:$BE$37,43,0)-VLOOKUP(B391,#REF!,$S$2,0),0)</f>
        <v>0</v>
      </c>
      <c r="T391" s="9">
        <f>IFERROR(VLOOKUP(B391,cubo!$A$6:$BE$37,46,0)-VLOOKUP(B391,#REF!,$T$2,0),0)</f>
        <v>0</v>
      </c>
      <c r="U391" s="9">
        <f>IFERROR(VLOOKUP(B391,cubo!$A$6:$BE$37,51,0)-VLOOKUP(B391,#REF!,$U$2,0),0)</f>
        <v>0</v>
      </c>
      <c r="V391" s="9">
        <f>IFERROR(VLOOKUP(B391,cubo!$A$6:$BJ$37,60,0)-VLOOKUP(B391,#REF!,$V$2,0),0)</f>
        <v>0</v>
      </c>
      <c r="W391" s="9">
        <f>IFERROR(VLOOKUP(B391,cubo!$A$6:$BE$37,26,0)-VLOOKUP(B391,#REF!,$W$2,0),0)</f>
        <v>0</v>
      </c>
      <c r="X391" s="9">
        <f>IFERROR(VLOOKUP(B391,cubo!$A$6:$BE$37,20,0)-VLOOKUP(B391,#REF!,$X$2,0),0)</f>
        <v>0</v>
      </c>
      <c r="Y391" s="9">
        <f>IFERROR(VLOOKUP(B391,cubo!$A$6:$BE$37,21,0)-VLOOKUP(B391,#REF!,$Y$2,0),0)</f>
        <v>0</v>
      </c>
      <c r="Z391" s="9">
        <f>IFERROR(VLOOKUP(B391,cubo!$A$6:$BE$37,27,0)-VLOOKUP(B391,#REF!,$Z$2,0),0)</f>
        <v>0</v>
      </c>
      <c r="AA391" s="9">
        <f>IFERROR(VLOOKUP(B391,cubo!$A$6:$BE$37,28,0)-VLOOKUP(B391,#REF!,$AA$2,0),0)</f>
        <v>0</v>
      </c>
      <c r="AB391" s="9">
        <f>IFERROR(VLOOKUP(B391,cubo!$A$6:$BE$37,29,0)-VLOOKUP(B391,#REF!,$AB$2,0),0)</f>
        <v>0</v>
      </c>
      <c r="AC391" s="9">
        <f>IFERROR(VLOOKUP(B391,cubo!$A$6:$BE$37,30,0)-VLOOKUP(B391,#REF!,$AC$2,0),0)</f>
        <v>0</v>
      </c>
      <c r="AD391" s="9">
        <f>IFERROR(VLOOKUP(B391,cubo!$A$6:$BE$37,31,0)-VLOOKUP(B391,#REF!,$AD$2,0),0)</f>
        <v>0</v>
      </c>
      <c r="AE391" s="9">
        <f>IFERROR(VLOOKUP(B391,cubo!$A$6:$BE$37,35,0)-VLOOKUP(B391,#REF!,$AE$2,0),0)</f>
        <v>0</v>
      </c>
      <c r="AF391" s="9" cm="1">
        <f t="array" aca="1" ref="AF391" ca="1">IFERROR(rrPROCV(B391,cubo!$A$6:$BE$37,48,0)-VLOOKUP(B391,#REF!,$AF$2,0),0)</f>
        <v>0</v>
      </c>
      <c r="AG391" s="9">
        <f>IFERROR(VLOOKUP(B391,cubo!$A$6:$BE$37,49,0)-VLOOKUP(B391,#REF!,$AG$2,0),0)</f>
        <v>0</v>
      </c>
      <c r="AH391" s="9">
        <f>IFERROR(VLOOKUP(B391,cubo!$A$6:$BE$37,50,0)-VLOOKUP(B391,#REF!,$AH$2,0),0)</f>
        <v>0</v>
      </c>
      <c r="AI391" s="9">
        <f>IFERROR(VLOOKUP(B391,cubo!$A$6:$BE$37,51,0)-VLOOKUP(B391,#REF!,$AI$2,0),0)</f>
        <v>0</v>
      </c>
      <c r="AJ391" s="9">
        <f>IFERROR(VLOOKUP(B391,cubo!$A$6:$BI$116,62,0)-VLOOKUP(B391,#REF!,$AJ$2,0),0)</f>
        <v>0</v>
      </c>
      <c r="AK391" s="9">
        <f>IFERROR(VLOOKUP(B391,cubo!$A$6:$BJ$37,63,0)-VLOOKUP(B391,#REF!,$AK$2,0),0)</f>
        <v>0</v>
      </c>
      <c r="AL391" s="9">
        <f>IFERROR(VLOOKUP(B391,cubo!$A$6:$BE$37,58,0)-VLOOKUP(B391,#REF!,$AL$2,0),0)</f>
        <v>0</v>
      </c>
      <c r="AM391" s="9">
        <f>IFERROR(VLOOKUP(B391,cubo!$A$6:$BK$37,64,0)-VLOOKUP(B391,#REF!,$AM$2,0),0)</f>
        <v>0</v>
      </c>
      <c r="AN391" s="9">
        <f>IFERROR(VLOOKUP(B391,cubo!$A$6:$AN$37,41,0)-VLOOKUP(B391,#REF!,$AN$2,0),0)</f>
        <v>0</v>
      </c>
    </row>
    <row r="392" spans="2:40" x14ac:dyDescent="0.25">
      <c r="B392" s="7">
        <f>[1]salario!A391</f>
        <v>0</v>
      </c>
      <c r="C392" s="8">
        <f>[1]salario!C391</f>
        <v>0</v>
      </c>
      <c r="D392" s="9">
        <f>IFERROR(VLOOKUP(B392,cubo!$A$6:$BE$37,3,0)-VLOOKUP(B392,#REF!,$D$2,0),0)</f>
        <v>0</v>
      </c>
      <c r="E392" s="10">
        <f>IFERROR(VLOOKUP(B392,cubo!$A$6:$BE$37,5,0)-VLOOKUP(B392,#REF!,$E$2,0),0)</f>
        <v>0</v>
      </c>
      <c r="F392" s="10">
        <f>IFERROR(VLOOKUP(B392,cubo!$A$6:$BE$37,8,0)-VLOOKUP(B392,#REF!,$F$2,0),0)</f>
        <v>0</v>
      </c>
      <c r="G392" s="9">
        <f>IFERROR(VLOOKUP(B392,cubo!$A$6:$BE$37,11,0)-VLOOKUP(B392,#REF!,$G$2,0),0)</f>
        <v>0</v>
      </c>
      <c r="H392" s="9">
        <f>IFERROR(VLOOKUP(B392,cubo!$A$6:$BE$37,53,0)-VLOOKUP(B392,#REF!,$H$2,0),0)</f>
        <v>0</v>
      </c>
      <c r="I392" s="10">
        <f>IFERROR(VLOOKUP(B392,cubo!$A$6:$BE$37,14,0)-VLOOKUP(B392,#REF!,$I$2,0),0)</f>
        <v>0</v>
      </c>
      <c r="J392" s="9">
        <f>IFERROR(VLOOKUP(B392,cubo!$A$6:$BE$37,16,0)-VLOOKUP(B392,#REF!,$J$2,0),0)</f>
        <v>0</v>
      </c>
      <c r="K392" s="9">
        <f>IFERROR(VLOOKUP(B392,cubo!$A$6:$BE$37,17,0)-VLOOKUP(B392,#REF!,$K$2,0),0)</f>
        <v>0</v>
      </c>
      <c r="L392" s="9">
        <f>IFERROR(VLOOKUP(B392,cubo!$A$6:$BE$37,19,0)-VLOOKUP(B392,#REF!,$L$2,0),0)</f>
        <v>0</v>
      </c>
      <c r="M392" s="9">
        <f>IFERROR(VLOOKUP(B392,cubo!$A$6:$BE$37,23,0)-VLOOKUP(B392,#REF!,$M$2,0),0)</f>
        <v>0</v>
      </c>
      <c r="N392" s="9">
        <f>IFERROR(VLOOKUP(B392,cubo!$A$6:$BE$37,25,0)-VLOOKUP(B392,#REF!,$N$2,0),0)</f>
        <v>0</v>
      </c>
      <c r="O392" s="9">
        <f>IFERROR(VLOOKUP(B392,cubo!$A$6:$BE$37,33,0)-VLOOKUP(B392,#REF!,$O$2,0),0)</f>
        <v>0</v>
      </c>
      <c r="P392" s="8">
        <f>IFERROR(VLOOKUP(B392,cubo!$A$6:$BE$37,37,0)-VLOOKUP(B392,#REF!,$P$2,0),0)</f>
        <v>0</v>
      </c>
      <c r="Q392" s="8">
        <f>IFERROR(VLOOKUP(B392,cubo!$A$6:$BE$37,56,0)-VLOOKUP(B392,#REF!,$Q$2,0),0)</f>
        <v>0</v>
      </c>
      <c r="R392" s="9">
        <f>IFERROR(VLOOKUP(B392,cubo!$A$6:$BE$37,40,0)-VLOOKUP(B392,#REF!,$R$2,0),0)</f>
        <v>0</v>
      </c>
      <c r="S392" s="9">
        <f>IFERROR(VLOOKUP(B392,cubo!$A$6:$BE$37,43,0)-VLOOKUP(B392,#REF!,$S$2,0),0)</f>
        <v>0</v>
      </c>
      <c r="T392" s="9">
        <f>IFERROR(VLOOKUP(B392,cubo!$A$6:$BE$37,46,0)-VLOOKUP(B392,#REF!,$T$2,0),0)</f>
        <v>0</v>
      </c>
      <c r="U392" s="9">
        <f>IFERROR(VLOOKUP(B392,cubo!$A$6:$BE$37,51,0)-VLOOKUP(B392,#REF!,$U$2,0),0)</f>
        <v>0</v>
      </c>
      <c r="V392" s="9">
        <f>IFERROR(VLOOKUP(B392,cubo!$A$6:$BJ$37,60,0)-VLOOKUP(B392,#REF!,$V$2,0),0)</f>
        <v>0</v>
      </c>
      <c r="W392" s="9">
        <f>IFERROR(VLOOKUP(B392,cubo!$A$6:$BE$37,26,0)-VLOOKUP(B392,#REF!,$W$2,0),0)</f>
        <v>0</v>
      </c>
      <c r="X392" s="9">
        <f>IFERROR(VLOOKUP(B392,cubo!$A$6:$BE$37,20,0)-VLOOKUP(B392,#REF!,$X$2,0),0)</f>
        <v>0</v>
      </c>
      <c r="Y392" s="9">
        <f>IFERROR(VLOOKUP(B392,cubo!$A$6:$BE$37,21,0)-VLOOKUP(B392,#REF!,$Y$2,0),0)</f>
        <v>0</v>
      </c>
      <c r="Z392" s="9">
        <f>IFERROR(VLOOKUP(B392,cubo!$A$6:$BE$37,27,0)-VLOOKUP(B392,#REF!,$Z$2,0),0)</f>
        <v>0</v>
      </c>
      <c r="AA392" s="9">
        <f>IFERROR(VLOOKUP(B392,cubo!$A$6:$BE$37,28,0)-VLOOKUP(B392,#REF!,$AA$2,0),0)</f>
        <v>0</v>
      </c>
      <c r="AB392" s="9">
        <f>IFERROR(VLOOKUP(B392,cubo!$A$6:$BE$37,29,0)-VLOOKUP(B392,#REF!,$AB$2,0),0)</f>
        <v>0</v>
      </c>
      <c r="AC392" s="9">
        <f>IFERROR(VLOOKUP(B392,cubo!$A$6:$BE$37,30,0)-VLOOKUP(B392,#REF!,$AC$2,0),0)</f>
        <v>0</v>
      </c>
      <c r="AD392" s="9">
        <f>IFERROR(VLOOKUP(B392,cubo!$A$6:$BE$37,31,0)-VLOOKUP(B392,#REF!,$AD$2,0),0)</f>
        <v>0</v>
      </c>
      <c r="AE392" s="9">
        <f>IFERROR(VLOOKUP(B392,cubo!$A$6:$BE$37,35,0)-VLOOKUP(B392,#REF!,$AE$2,0),0)</f>
        <v>0</v>
      </c>
      <c r="AF392" s="9" cm="1">
        <f t="array" aca="1" ref="AF392" ca="1">IFERROR(rrPROCV(B392,cubo!$A$6:$BE$37,48,0)-VLOOKUP(B392,#REF!,$AF$2,0),0)</f>
        <v>0</v>
      </c>
      <c r="AG392" s="9">
        <f>IFERROR(VLOOKUP(B392,cubo!$A$6:$BE$37,49,0)-VLOOKUP(B392,#REF!,$AG$2,0),0)</f>
        <v>0</v>
      </c>
      <c r="AH392" s="9">
        <f>IFERROR(VLOOKUP(B392,cubo!$A$6:$BE$37,50,0)-VLOOKUP(B392,#REF!,$AH$2,0),0)</f>
        <v>0</v>
      </c>
      <c r="AI392" s="9">
        <f>IFERROR(VLOOKUP(B392,cubo!$A$6:$BE$37,51,0)-VLOOKUP(B392,#REF!,$AI$2,0),0)</f>
        <v>0</v>
      </c>
      <c r="AJ392" s="9">
        <f>IFERROR(VLOOKUP(B392,cubo!$A$6:$BI$116,62,0)-VLOOKUP(B392,#REF!,$AJ$2,0),0)</f>
        <v>0</v>
      </c>
      <c r="AK392" s="9">
        <f>IFERROR(VLOOKUP(B392,cubo!$A$6:$BJ$37,63,0)-VLOOKUP(B392,#REF!,$AK$2,0),0)</f>
        <v>0</v>
      </c>
      <c r="AL392" s="9">
        <f>IFERROR(VLOOKUP(B392,cubo!$A$6:$BE$37,58,0)-VLOOKUP(B392,#REF!,$AL$2,0),0)</f>
        <v>0</v>
      </c>
      <c r="AM392" s="9">
        <f>IFERROR(VLOOKUP(B392,cubo!$A$6:$BK$37,64,0)-VLOOKUP(B392,#REF!,$AM$2,0),0)</f>
        <v>0</v>
      </c>
      <c r="AN392" s="9">
        <f>IFERROR(VLOOKUP(B392,cubo!$A$6:$AN$37,41,0)-VLOOKUP(B392,#REF!,$AN$2,0),0)</f>
        <v>0</v>
      </c>
    </row>
    <row r="393" spans="2:40" x14ac:dyDescent="0.25">
      <c r="B393" s="7">
        <f>[1]salario!A392</f>
        <v>0</v>
      </c>
      <c r="C393" s="8">
        <f>[1]salario!C392</f>
        <v>0</v>
      </c>
      <c r="D393" s="9">
        <f>IFERROR(VLOOKUP(B393,cubo!$A$6:$BE$37,3,0)-VLOOKUP(B393,#REF!,$D$2,0),0)</f>
        <v>0</v>
      </c>
      <c r="E393" s="10">
        <f>IFERROR(VLOOKUP(B393,cubo!$A$6:$BE$37,5,0)-VLOOKUP(B393,#REF!,$E$2,0),0)</f>
        <v>0</v>
      </c>
      <c r="F393" s="10">
        <f>IFERROR(VLOOKUP(B393,cubo!$A$6:$BE$37,8,0)-VLOOKUP(B393,#REF!,$F$2,0),0)</f>
        <v>0</v>
      </c>
      <c r="G393" s="9">
        <f>IFERROR(VLOOKUP(B393,cubo!$A$6:$BE$37,11,0)-VLOOKUP(B393,#REF!,$G$2,0),0)</f>
        <v>0</v>
      </c>
      <c r="H393" s="9">
        <f>IFERROR(VLOOKUP(B393,cubo!$A$6:$BE$37,53,0)-VLOOKUP(B393,#REF!,$H$2,0),0)</f>
        <v>0</v>
      </c>
      <c r="I393" s="10">
        <f>IFERROR(VLOOKUP(B393,cubo!$A$6:$BE$37,14,0)-VLOOKUP(B393,#REF!,$I$2,0),0)</f>
        <v>0</v>
      </c>
      <c r="J393" s="9">
        <f>IFERROR(VLOOKUP(B393,cubo!$A$6:$BE$37,16,0)-VLOOKUP(B393,#REF!,$J$2,0),0)</f>
        <v>0</v>
      </c>
      <c r="K393" s="9">
        <f>IFERROR(VLOOKUP(B393,cubo!$A$6:$BE$37,17,0)-VLOOKUP(B393,#REF!,$K$2,0),0)</f>
        <v>0</v>
      </c>
      <c r="L393" s="9">
        <f>IFERROR(VLOOKUP(B393,cubo!$A$6:$BE$37,19,0)-VLOOKUP(B393,#REF!,$L$2,0),0)</f>
        <v>0</v>
      </c>
      <c r="M393" s="9">
        <f>IFERROR(VLOOKUP(B393,cubo!$A$6:$BE$37,23,0)-VLOOKUP(B393,#REF!,$M$2,0),0)</f>
        <v>0</v>
      </c>
      <c r="N393" s="9">
        <f>IFERROR(VLOOKUP(B393,cubo!$A$6:$BE$37,25,0)-VLOOKUP(B393,#REF!,$N$2,0),0)</f>
        <v>0</v>
      </c>
      <c r="O393" s="9">
        <f>IFERROR(VLOOKUP(B393,cubo!$A$6:$BE$37,33,0)-VLOOKUP(B393,#REF!,$O$2,0),0)</f>
        <v>0</v>
      </c>
      <c r="P393" s="8">
        <f>IFERROR(VLOOKUP(B393,cubo!$A$6:$BE$37,37,0)-VLOOKUP(B393,#REF!,$P$2,0),0)</f>
        <v>0</v>
      </c>
      <c r="Q393" s="8">
        <f>IFERROR(VLOOKUP(B393,cubo!$A$6:$BE$37,56,0)-VLOOKUP(B393,#REF!,$Q$2,0),0)</f>
        <v>0</v>
      </c>
      <c r="R393" s="9">
        <f>IFERROR(VLOOKUP(B393,cubo!$A$6:$BE$37,40,0)-VLOOKUP(B393,#REF!,$R$2,0),0)</f>
        <v>0</v>
      </c>
      <c r="S393" s="9">
        <f>IFERROR(VLOOKUP(B393,cubo!$A$6:$BE$37,43,0)-VLOOKUP(B393,#REF!,$S$2,0),0)</f>
        <v>0</v>
      </c>
      <c r="T393" s="9">
        <f>IFERROR(VLOOKUP(B393,cubo!$A$6:$BE$37,46,0)-VLOOKUP(B393,#REF!,$T$2,0),0)</f>
        <v>0</v>
      </c>
      <c r="U393" s="9">
        <f>IFERROR(VLOOKUP(B393,cubo!$A$6:$BE$37,51,0)-VLOOKUP(B393,#REF!,$U$2,0),0)</f>
        <v>0</v>
      </c>
      <c r="V393" s="9">
        <f>IFERROR(VLOOKUP(B393,cubo!$A$6:$BJ$37,60,0)-VLOOKUP(B393,#REF!,$V$2,0),0)</f>
        <v>0</v>
      </c>
      <c r="W393" s="9">
        <f>IFERROR(VLOOKUP(B393,cubo!$A$6:$BE$37,26,0)-VLOOKUP(B393,#REF!,$W$2,0),0)</f>
        <v>0</v>
      </c>
      <c r="X393" s="9">
        <f>IFERROR(VLOOKUP(B393,cubo!$A$6:$BE$37,20,0)-VLOOKUP(B393,#REF!,$X$2,0),0)</f>
        <v>0</v>
      </c>
      <c r="Y393" s="9">
        <f>IFERROR(VLOOKUP(B393,cubo!$A$6:$BE$37,21,0)-VLOOKUP(B393,#REF!,$Y$2,0),0)</f>
        <v>0</v>
      </c>
      <c r="Z393" s="9">
        <f>IFERROR(VLOOKUP(B393,cubo!$A$6:$BE$37,27,0)-VLOOKUP(B393,#REF!,$Z$2,0),0)</f>
        <v>0</v>
      </c>
      <c r="AA393" s="9">
        <f>IFERROR(VLOOKUP(B393,cubo!$A$6:$BE$37,28,0)-VLOOKUP(B393,#REF!,$AA$2,0),0)</f>
        <v>0</v>
      </c>
      <c r="AB393" s="9">
        <f>IFERROR(VLOOKUP(B393,cubo!$A$6:$BE$37,29,0)-VLOOKUP(B393,#REF!,$AB$2,0),0)</f>
        <v>0</v>
      </c>
      <c r="AC393" s="9">
        <f>IFERROR(VLOOKUP(B393,cubo!$A$6:$BE$37,30,0)-VLOOKUP(B393,#REF!,$AC$2,0),0)</f>
        <v>0</v>
      </c>
      <c r="AD393" s="9">
        <f>IFERROR(VLOOKUP(B393,cubo!$A$6:$BE$37,31,0)-VLOOKUP(B393,#REF!,$AD$2,0),0)</f>
        <v>0</v>
      </c>
      <c r="AE393" s="9">
        <f>IFERROR(VLOOKUP(B393,cubo!$A$6:$BE$37,35,0)-VLOOKUP(B393,#REF!,$AE$2,0),0)</f>
        <v>0</v>
      </c>
      <c r="AF393" s="9" cm="1">
        <f t="array" aca="1" ref="AF393" ca="1">IFERROR(rrPROCV(B393,cubo!$A$6:$BE$37,48,0)-VLOOKUP(B393,#REF!,$AF$2,0),0)</f>
        <v>0</v>
      </c>
      <c r="AG393" s="9">
        <f>IFERROR(VLOOKUP(B393,cubo!$A$6:$BE$37,49,0)-VLOOKUP(B393,#REF!,$AG$2,0),0)</f>
        <v>0</v>
      </c>
      <c r="AH393" s="9">
        <f>IFERROR(VLOOKUP(B393,cubo!$A$6:$BE$37,50,0)-VLOOKUP(B393,#REF!,$AH$2,0),0)</f>
        <v>0</v>
      </c>
      <c r="AI393" s="9">
        <f>IFERROR(VLOOKUP(B393,cubo!$A$6:$BE$37,51,0)-VLOOKUP(B393,#REF!,$AI$2,0),0)</f>
        <v>0</v>
      </c>
      <c r="AJ393" s="9">
        <f>IFERROR(VLOOKUP(B393,cubo!$A$6:$BI$116,62,0)-VLOOKUP(B393,#REF!,$AJ$2,0),0)</f>
        <v>0</v>
      </c>
      <c r="AK393" s="9">
        <f>IFERROR(VLOOKUP(B393,cubo!$A$6:$BJ$37,63,0)-VLOOKUP(B393,#REF!,$AK$2,0),0)</f>
        <v>0</v>
      </c>
      <c r="AL393" s="9">
        <f>IFERROR(VLOOKUP(B393,cubo!$A$6:$BE$37,58,0)-VLOOKUP(B393,#REF!,$AL$2,0),0)</f>
        <v>0</v>
      </c>
      <c r="AM393" s="9">
        <f>IFERROR(VLOOKUP(B393,cubo!$A$6:$BK$37,64,0)-VLOOKUP(B393,#REF!,$AM$2,0),0)</f>
        <v>0</v>
      </c>
      <c r="AN393" s="9">
        <f>IFERROR(VLOOKUP(B393,cubo!$A$6:$AN$37,41,0)-VLOOKUP(B393,#REF!,$AN$2,0),0)</f>
        <v>0</v>
      </c>
    </row>
    <row r="394" spans="2:40" x14ac:dyDescent="0.25">
      <c r="B394" s="7">
        <f>[1]salario!A393</f>
        <v>0</v>
      </c>
      <c r="C394" s="8">
        <f>[1]salario!C393</f>
        <v>0</v>
      </c>
      <c r="D394" s="9">
        <f>IFERROR(VLOOKUP(B394,cubo!$A$6:$BE$37,3,0)-VLOOKUP(B394,#REF!,$D$2,0),0)</f>
        <v>0</v>
      </c>
      <c r="E394" s="10">
        <f>IFERROR(VLOOKUP(B394,cubo!$A$6:$BE$37,5,0)-VLOOKUP(B394,#REF!,$E$2,0),0)</f>
        <v>0</v>
      </c>
      <c r="F394" s="10">
        <f>IFERROR(VLOOKUP(B394,cubo!$A$6:$BE$37,8,0)-VLOOKUP(B394,#REF!,$F$2,0),0)</f>
        <v>0</v>
      </c>
      <c r="G394" s="9">
        <f>IFERROR(VLOOKUP(B394,cubo!$A$6:$BE$37,11,0)-VLOOKUP(B394,#REF!,$G$2,0),0)</f>
        <v>0</v>
      </c>
      <c r="H394" s="9">
        <f>IFERROR(VLOOKUP(B394,cubo!$A$6:$BE$37,53,0)-VLOOKUP(B394,#REF!,$H$2,0),0)</f>
        <v>0</v>
      </c>
      <c r="I394" s="10">
        <f>IFERROR(VLOOKUP(B394,cubo!$A$6:$BE$37,14,0)-VLOOKUP(B394,#REF!,$I$2,0),0)</f>
        <v>0</v>
      </c>
      <c r="J394" s="9">
        <f>IFERROR(VLOOKUP(B394,cubo!$A$6:$BE$37,16,0)-VLOOKUP(B394,#REF!,$J$2,0),0)</f>
        <v>0</v>
      </c>
      <c r="K394" s="9">
        <f>IFERROR(VLOOKUP(B394,cubo!$A$6:$BE$37,17,0)-VLOOKUP(B394,#REF!,$K$2,0),0)</f>
        <v>0</v>
      </c>
      <c r="L394" s="9">
        <f>IFERROR(VLOOKUP(B394,cubo!$A$6:$BE$37,19,0)-VLOOKUP(B394,#REF!,$L$2,0),0)</f>
        <v>0</v>
      </c>
      <c r="M394" s="9">
        <f>IFERROR(VLOOKUP(B394,cubo!$A$6:$BE$37,23,0)-VLOOKUP(B394,#REF!,$M$2,0),0)</f>
        <v>0</v>
      </c>
      <c r="N394" s="9">
        <f>IFERROR(VLOOKUP(B394,cubo!$A$6:$BE$37,25,0)-VLOOKUP(B394,#REF!,$N$2,0),0)</f>
        <v>0</v>
      </c>
      <c r="O394" s="9">
        <f>IFERROR(VLOOKUP(B394,cubo!$A$6:$BE$37,33,0)-VLOOKUP(B394,#REF!,$O$2,0),0)</f>
        <v>0</v>
      </c>
      <c r="P394" s="8">
        <f>IFERROR(VLOOKUP(B394,cubo!$A$6:$BE$37,37,0)-VLOOKUP(B394,#REF!,$P$2,0),0)</f>
        <v>0</v>
      </c>
      <c r="Q394" s="8">
        <f>IFERROR(VLOOKUP(B394,cubo!$A$6:$BE$37,56,0)-VLOOKUP(B394,#REF!,$Q$2,0),0)</f>
        <v>0</v>
      </c>
      <c r="R394" s="9">
        <f>IFERROR(VLOOKUP(B394,cubo!$A$6:$BE$37,40,0)-VLOOKUP(B394,#REF!,$R$2,0),0)</f>
        <v>0</v>
      </c>
      <c r="S394" s="9">
        <f>IFERROR(VLOOKUP(B394,cubo!$A$6:$BE$37,43,0)-VLOOKUP(B394,#REF!,$S$2,0),0)</f>
        <v>0</v>
      </c>
      <c r="T394" s="9">
        <f>IFERROR(VLOOKUP(B394,cubo!$A$6:$BE$37,46,0)-VLOOKUP(B394,#REF!,$T$2,0),0)</f>
        <v>0</v>
      </c>
      <c r="U394" s="9">
        <f>IFERROR(VLOOKUP(B394,cubo!$A$6:$BE$37,51,0)-VLOOKUP(B394,#REF!,$U$2,0),0)</f>
        <v>0</v>
      </c>
      <c r="V394" s="9">
        <f>IFERROR(VLOOKUP(B394,cubo!$A$6:$BJ$37,60,0)-VLOOKUP(B394,#REF!,$V$2,0),0)</f>
        <v>0</v>
      </c>
      <c r="W394" s="9">
        <f>IFERROR(VLOOKUP(B394,cubo!$A$6:$BE$37,26,0)-VLOOKUP(B394,#REF!,$W$2,0),0)</f>
        <v>0</v>
      </c>
      <c r="X394" s="9">
        <f>IFERROR(VLOOKUP(B394,cubo!$A$6:$BE$37,20,0)-VLOOKUP(B394,#REF!,$X$2,0),0)</f>
        <v>0</v>
      </c>
      <c r="Y394" s="9">
        <f>IFERROR(VLOOKUP(B394,cubo!$A$6:$BE$37,21,0)-VLOOKUP(B394,#REF!,$Y$2,0),0)</f>
        <v>0</v>
      </c>
      <c r="Z394" s="9">
        <f>IFERROR(VLOOKUP(B394,cubo!$A$6:$BE$37,27,0)-VLOOKUP(B394,#REF!,$Z$2,0),0)</f>
        <v>0</v>
      </c>
      <c r="AA394" s="9">
        <f>IFERROR(VLOOKUP(B394,cubo!$A$6:$BE$37,28,0)-VLOOKUP(B394,#REF!,$AA$2,0),0)</f>
        <v>0</v>
      </c>
      <c r="AB394" s="9">
        <f>IFERROR(VLOOKUP(B394,cubo!$A$6:$BE$37,29,0)-VLOOKUP(B394,#REF!,$AB$2,0),0)</f>
        <v>0</v>
      </c>
      <c r="AC394" s="9">
        <f>IFERROR(VLOOKUP(B394,cubo!$A$6:$BE$37,30,0)-VLOOKUP(B394,#REF!,$AC$2,0),0)</f>
        <v>0</v>
      </c>
      <c r="AD394" s="9">
        <f>IFERROR(VLOOKUP(B394,cubo!$A$6:$BE$37,31,0)-VLOOKUP(B394,#REF!,$AD$2,0),0)</f>
        <v>0</v>
      </c>
      <c r="AE394" s="9">
        <f>IFERROR(VLOOKUP(B394,cubo!$A$6:$BE$37,35,0)-VLOOKUP(B394,#REF!,$AE$2,0),0)</f>
        <v>0</v>
      </c>
      <c r="AF394" s="9" cm="1">
        <f t="array" aca="1" ref="AF394" ca="1">IFERROR(rrPROCV(B394,cubo!$A$6:$BE$37,48,0)-VLOOKUP(B394,#REF!,$AF$2,0),0)</f>
        <v>0</v>
      </c>
      <c r="AG394" s="9">
        <f>IFERROR(VLOOKUP(B394,cubo!$A$6:$BE$37,49,0)-VLOOKUP(B394,#REF!,$AG$2,0),0)</f>
        <v>0</v>
      </c>
      <c r="AH394" s="9">
        <f>IFERROR(VLOOKUP(B394,cubo!$A$6:$BE$37,50,0)-VLOOKUP(B394,#REF!,$AH$2,0),0)</f>
        <v>0</v>
      </c>
      <c r="AI394" s="9">
        <f>IFERROR(VLOOKUP(B394,cubo!$A$6:$BE$37,51,0)-VLOOKUP(B394,#REF!,$AI$2,0),0)</f>
        <v>0</v>
      </c>
      <c r="AJ394" s="9">
        <f>IFERROR(VLOOKUP(B394,cubo!$A$6:$BI$116,62,0)-VLOOKUP(B394,#REF!,$AJ$2,0),0)</f>
        <v>0</v>
      </c>
      <c r="AK394" s="9">
        <f>IFERROR(VLOOKUP(B394,cubo!$A$6:$BJ$37,63,0)-VLOOKUP(B394,#REF!,$AK$2,0),0)</f>
        <v>0</v>
      </c>
      <c r="AL394" s="9">
        <f>IFERROR(VLOOKUP(B394,cubo!$A$6:$BE$37,58,0)-VLOOKUP(B394,#REF!,$AL$2,0),0)</f>
        <v>0</v>
      </c>
      <c r="AM394" s="9">
        <f>IFERROR(VLOOKUP(B394,cubo!$A$6:$BK$37,64,0)-VLOOKUP(B394,#REF!,$AM$2,0),0)</f>
        <v>0</v>
      </c>
      <c r="AN394" s="9">
        <f>IFERROR(VLOOKUP(B394,cubo!$A$6:$AN$37,41,0)-VLOOKUP(B394,#REF!,$AN$2,0),0)</f>
        <v>0</v>
      </c>
    </row>
    <row r="395" spans="2:40" x14ac:dyDescent="0.25">
      <c r="B395" s="7">
        <f>[1]salario!A394</f>
        <v>0</v>
      </c>
      <c r="C395" s="8">
        <f>[1]salario!C394</f>
        <v>0</v>
      </c>
      <c r="D395" s="9">
        <f>IFERROR(VLOOKUP(B395,cubo!$A$6:$BE$37,3,0)-VLOOKUP(B395,#REF!,$D$2,0),0)</f>
        <v>0</v>
      </c>
      <c r="E395" s="10">
        <f>IFERROR(VLOOKUP(B395,cubo!$A$6:$BE$37,5,0)-VLOOKUP(B395,#REF!,$E$2,0),0)</f>
        <v>0</v>
      </c>
      <c r="F395" s="10">
        <f>IFERROR(VLOOKUP(B395,cubo!$A$6:$BE$37,8,0)-VLOOKUP(B395,#REF!,$F$2,0),0)</f>
        <v>0</v>
      </c>
      <c r="G395" s="9">
        <f>IFERROR(VLOOKUP(B395,cubo!$A$6:$BE$37,11,0)-VLOOKUP(B395,#REF!,$G$2,0),0)</f>
        <v>0</v>
      </c>
      <c r="H395" s="9">
        <f>IFERROR(VLOOKUP(B395,cubo!$A$6:$BE$37,53,0)-VLOOKUP(B395,#REF!,$H$2,0),0)</f>
        <v>0</v>
      </c>
      <c r="I395" s="10">
        <f>IFERROR(VLOOKUP(B395,cubo!$A$6:$BE$37,14,0)-VLOOKUP(B395,#REF!,$I$2,0),0)</f>
        <v>0</v>
      </c>
      <c r="J395" s="9">
        <f>IFERROR(VLOOKUP(B395,cubo!$A$6:$BE$37,16,0)-VLOOKUP(B395,#REF!,$J$2,0),0)</f>
        <v>0</v>
      </c>
      <c r="K395" s="9">
        <f>IFERROR(VLOOKUP(B395,cubo!$A$6:$BE$37,17,0)-VLOOKUP(B395,#REF!,$K$2,0),0)</f>
        <v>0</v>
      </c>
      <c r="L395" s="9">
        <f>IFERROR(VLOOKUP(B395,cubo!$A$6:$BE$37,19,0)-VLOOKUP(B395,#REF!,$L$2,0),0)</f>
        <v>0</v>
      </c>
      <c r="M395" s="9">
        <f>IFERROR(VLOOKUP(B395,cubo!$A$6:$BE$37,23,0)-VLOOKUP(B395,#REF!,$M$2,0),0)</f>
        <v>0</v>
      </c>
      <c r="N395" s="9">
        <f>IFERROR(VLOOKUP(B395,cubo!$A$6:$BE$37,25,0)-VLOOKUP(B395,#REF!,$N$2,0),0)</f>
        <v>0</v>
      </c>
      <c r="O395" s="9">
        <f>IFERROR(VLOOKUP(B395,cubo!$A$6:$BE$37,33,0)-VLOOKUP(B395,#REF!,$O$2,0),0)</f>
        <v>0</v>
      </c>
      <c r="P395" s="8">
        <f>IFERROR(VLOOKUP(B395,cubo!$A$6:$BE$37,37,0)-VLOOKUP(B395,#REF!,$P$2,0),0)</f>
        <v>0</v>
      </c>
      <c r="Q395" s="8">
        <f>IFERROR(VLOOKUP(B395,cubo!$A$6:$BE$37,56,0)-VLOOKUP(B395,#REF!,$Q$2,0),0)</f>
        <v>0</v>
      </c>
      <c r="R395" s="9">
        <f>IFERROR(VLOOKUP(B395,cubo!$A$6:$BE$37,40,0)-VLOOKUP(B395,#REF!,$R$2,0),0)</f>
        <v>0</v>
      </c>
      <c r="S395" s="9">
        <f>IFERROR(VLOOKUP(B395,cubo!$A$6:$BE$37,43,0)-VLOOKUP(B395,#REF!,$S$2,0),0)</f>
        <v>0</v>
      </c>
      <c r="T395" s="9">
        <f>IFERROR(VLOOKUP(B395,cubo!$A$6:$BE$37,46,0)-VLOOKUP(B395,#REF!,$T$2,0),0)</f>
        <v>0</v>
      </c>
      <c r="U395" s="9">
        <f>IFERROR(VLOOKUP(B395,cubo!$A$6:$BE$37,51,0)-VLOOKUP(B395,#REF!,$U$2,0),0)</f>
        <v>0</v>
      </c>
      <c r="V395" s="9">
        <f>IFERROR(VLOOKUP(B395,cubo!$A$6:$BJ$37,60,0)-VLOOKUP(B395,#REF!,$V$2,0),0)</f>
        <v>0</v>
      </c>
      <c r="W395" s="9">
        <f>IFERROR(VLOOKUP(B395,cubo!$A$6:$BE$37,26,0)-VLOOKUP(B395,#REF!,$W$2,0),0)</f>
        <v>0</v>
      </c>
      <c r="X395" s="9">
        <f>IFERROR(VLOOKUP(B395,cubo!$A$6:$BE$37,20,0)-VLOOKUP(B395,#REF!,$X$2,0),0)</f>
        <v>0</v>
      </c>
      <c r="Y395" s="9">
        <f>IFERROR(VLOOKUP(B395,cubo!$A$6:$BE$37,21,0)-VLOOKUP(B395,#REF!,$Y$2,0),0)</f>
        <v>0</v>
      </c>
      <c r="Z395" s="9">
        <f>IFERROR(VLOOKUP(B395,cubo!$A$6:$BE$37,27,0)-VLOOKUP(B395,#REF!,$Z$2,0),0)</f>
        <v>0</v>
      </c>
      <c r="AA395" s="9">
        <f>IFERROR(VLOOKUP(B395,cubo!$A$6:$BE$37,28,0)-VLOOKUP(B395,#REF!,$AA$2,0),0)</f>
        <v>0</v>
      </c>
      <c r="AB395" s="9">
        <f>IFERROR(VLOOKUP(B395,cubo!$A$6:$BE$37,29,0)-VLOOKUP(B395,#REF!,$AB$2,0),0)</f>
        <v>0</v>
      </c>
      <c r="AC395" s="9">
        <f>IFERROR(VLOOKUP(B395,cubo!$A$6:$BE$37,30,0)-VLOOKUP(B395,#REF!,$AC$2,0),0)</f>
        <v>0</v>
      </c>
      <c r="AD395" s="9">
        <f>IFERROR(VLOOKUP(B395,cubo!$A$6:$BE$37,31,0)-VLOOKUP(B395,#REF!,$AD$2,0),0)</f>
        <v>0</v>
      </c>
      <c r="AE395" s="9">
        <f>IFERROR(VLOOKUP(B395,cubo!$A$6:$BE$37,35,0)-VLOOKUP(B395,#REF!,$AE$2,0),0)</f>
        <v>0</v>
      </c>
      <c r="AF395" s="9" cm="1">
        <f t="array" aca="1" ref="AF395" ca="1">IFERROR(rrPROCV(B395,cubo!$A$6:$BE$37,48,0)-VLOOKUP(B395,#REF!,$AF$2,0),0)</f>
        <v>0</v>
      </c>
      <c r="AG395" s="9">
        <f>IFERROR(VLOOKUP(B395,cubo!$A$6:$BE$37,49,0)-VLOOKUP(B395,#REF!,$AG$2,0),0)</f>
        <v>0</v>
      </c>
      <c r="AH395" s="9">
        <f>IFERROR(VLOOKUP(B395,cubo!$A$6:$BE$37,50,0)-VLOOKUP(B395,#REF!,$AH$2,0),0)</f>
        <v>0</v>
      </c>
      <c r="AI395" s="9">
        <f>IFERROR(VLOOKUP(B395,cubo!$A$6:$BE$37,51,0)-VLOOKUP(B395,#REF!,$AI$2,0),0)</f>
        <v>0</v>
      </c>
      <c r="AJ395" s="9">
        <f>IFERROR(VLOOKUP(B395,cubo!$A$6:$BI$116,62,0)-VLOOKUP(B395,#REF!,$AJ$2,0),0)</f>
        <v>0</v>
      </c>
      <c r="AK395" s="9">
        <f>IFERROR(VLOOKUP(B395,cubo!$A$6:$BJ$37,63,0)-VLOOKUP(B395,#REF!,$AK$2,0),0)</f>
        <v>0</v>
      </c>
      <c r="AL395" s="9">
        <f>IFERROR(VLOOKUP(B395,cubo!$A$6:$BE$37,58,0)-VLOOKUP(B395,#REF!,$AL$2,0),0)</f>
        <v>0</v>
      </c>
      <c r="AM395" s="9">
        <f>IFERROR(VLOOKUP(B395,cubo!$A$6:$BK$37,64,0)-VLOOKUP(B395,#REF!,$AM$2,0),0)</f>
        <v>0</v>
      </c>
      <c r="AN395" s="9">
        <f>IFERROR(VLOOKUP(B395,cubo!$A$6:$AN$37,41,0)-VLOOKUP(B395,#REF!,$AN$2,0),0)</f>
        <v>0</v>
      </c>
    </row>
    <row r="396" spans="2:40" x14ac:dyDescent="0.25">
      <c r="B396" s="7">
        <f>[1]salario!A395</f>
        <v>0</v>
      </c>
      <c r="C396" s="8">
        <f>[1]salario!C395</f>
        <v>0</v>
      </c>
      <c r="D396" s="9">
        <f>IFERROR(VLOOKUP(B396,cubo!$A$6:$BE$37,3,0)-VLOOKUP(B396,#REF!,$D$2,0),0)</f>
        <v>0</v>
      </c>
      <c r="E396" s="10">
        <f>IFERROR(VLOOKUP(B396,cubo!$A$6:$BE$37,5,0)-VLOOKUP(B396,#REF!,$E$2,0),0)</f>
        <v>0</v>
      </c>
      <c r="F396" s="10">
        <f>IFERROR(VLOOKUP(B396,cubo!$A$6:$BE$37,8,0)-VLOOKUP(B396,#REF!,$F$2,0),0)</f>
        <v>0</v>
      </c>
      <c r="G396" s="9">
        <f>IFERROR(VLOOKUP(B396,cubo!$A$6:$BE$37,11,0)-VLOOKUP(B396,#REF!,$G$2,0),0)</f>
        <v>0</v>
      </c>
      <c r="H396" s="9">
        <f>IFERROR(VLOOKUP(B396,cubo!$A$6:$BE$37,53,0)-VLOOKUP(B396,#REF!,$H$2,0),0)</f>
        <v>0</v>
      </c>
      <c r="I396" s="10">
        <f>IFERROR(VLOOKUP(B396,cubo!$A$6:$BE$37,14,0)-VLOOKUP(B396,#REF!,$I$2,0),0)</f>
        <v>0</v>
      </c>
      <c r="J396" s="9">
        <f>IFERROR(VLOOKUP(B396,cubo!$A$6:$BE$37,16,0)-VLOOKUP(B396,#REF!,$J$2,0),0)</f>
        <v>0</v>
      </c>
      <c r="K396" s="9">
        <f>IFERROR(VLOOKUP(B396,cubo!$A$6:$BE$37,17,0)-VLOOKUP(B396,#REF!,$K$2,0),0)</f>
        <v>0</v>
      </c>
      <c r="L396" s="9">
        <f>IFERROR(VLOOKUP(B396,cubo!$A$6:$BE$37,19,0)-VLOOKUP(B396,#REF!,$L$2,0),0)</f>
        <v>0</v>
      </c>
      <c r="M396" s="9">
        <f>IFERROR(VLOOKUP(B396,cubo!$A$6:$BE$37,23,0)-VLOOKUP(B396,#REF!,$M$2,0),0)</f>
        <v>0</v>
      </c>
      <c r="N396" s="9">
        <f>IFERROR(VLOOKUP(B396,cubo!$A$6:$BE$37,25,0)-VLOOKUP(B396,#REF!,$N$2,0),0)</f>
        <v>0</v>
      </c>
      <c r="O396" s="9">
        <f>IFERROR(VLOOKUP(B396,cubo!$A$6:$BE$37,33,0)-VLOOKUP(B396,#REF!,$O$2,0),0)</f>
        <v>0</v>
      </c>
      <c r="P396" s="8">
        <f>IFERROR(VLOOKUP(B396,cubo!$A$6:$BE$37,37,0)-VLOOKUP(B396,#REF!,$P$2,0),0)</f>
        <v>0</v>
      </c>
      <c r="Q396" s="8">
        <f>IFERROR(VLOOKUP(B396,cubo!$A$6:$BE$37,56,0)-VLOOKUP(B396,#REF!,$Q$2,0),0)</f>
        <v>0</v>
      </c>
      <c r="R396" s="9">
        <f>IFERROR(VLOOKUP(B396,cubo!$A$6:$BE$37,40,0)-VLOOKUP(B396,#REF!,$R$2,0),0)</f>
        <v>0</v>
      </c>
      <c r="S396" s="9">
        <f>IFERROR(VLOOKUP(B396,cubo!$A$6:$BE$37,43,0)-VLOOKUP(B396,#REF!,$S$2,0),0)</f>
        <v>0</v>
      </c>
      <c r="T396" s="9">
        <f>IFERROR(VLOOKUP(B396,cubo!$A$6:$BE$37,46,0)-VLOOKUP(B396,#REF!,$T$2,0),0)</f>
        <v>0</v>
      </c>
      <c r="U396" s="9">
        <f>IFERROR(VLOOKUP(B396,cubo!$A$6:$BE$37,51,0)-VLOOKUP(B396,#REF!,$U$2,0),0)</f>
        <v>0</v>
      </c>
      <c r="V396" s="9">
        <f>IFERROR(VLOOKUP(B396,cubo!$A$6:$BJ$37,60,0)-VLOOKUP(B396,#REF!,$V$2,0),0)</f>
        <v>0</v>
      </c>
      <c r="W396" s="9">
        <f>IFERROR(VLOOKUP(B396,cubo!$A$6:$BE$37,26,0)-VLOOKUP(B396,#REF!,$W$2,0),0)</f>
        <v>0</v>
      </c>
      <c r="X396" s="9">
        <f>IFERROR(VLOOKUP(B396,cubo!$A$6:$BE$37,20,0)-VLOOKUP(B396,#REF!,$X$2,0),0)</f>
        <v>0</v>
      </c>
      <c r="Y396" s="9">
        <f>IFERROR(VLOOKUP(B396,cubo!$A$6:$BE$37,21,0)-VLOOKUP(B396,#REF!,$Y$2,0),0)</f>
        <v>0</v>
      </c>
      <c r="Z396" s="9">
        <f>IFERROR(VLOOKUP(B396,cubo!$A$6:$BE$37,27,0)-VLOOKUP(B396,#REF!,$Z$2,0),0)</f>
        <v>0</v>
      </c>
      <c r="AA396" s="9">
        <f>IFERROR(VLOOKUP(B396,cubo!$A$6:$BE$37,28,0)-VLOOKUP(B396,#REF!,$AA$2,0),0)</f>
        <v>0</v>
      </c>
      <c r="AB396" s="9">
        <f>IFERROR(VLOOKUP(B396,cubo!$A$6:$BE$37,29,0)-VLOOKUP(B396,#REF!,$AB$2,0),0)</f>
        <v>0</v>
      </c>
      <c r="AC396" s="9">
        <f>IFERROR(VLOOKUP(B396,cubo!$A$6:$BE$37,30,0)-VLOOKUP(B396,#REF!,$AC$2,0),0)</f>
        <v>0</v>
      </c>
      <c r="AD396" s="9">
        <f>IFERROR(VLOOKUP(B396,cubo!$A$6:$BE$37,31,0)-VLOOKUP(B396,#REF!,$AD$2,0),0)</f>
        <v>0</v>
      </c>
      <c r="AE396" s="9">
        <f>IFERROR(VLOOKUP(B396,cubo!$A$6:$BE$37,35,0)-VLOOKUP(B396,#REF!,$AE$2,0),0)</f>
        <v>0</v>
      </c>
      <c r="AF396" s="9" cm="1">
        <f t="array" aca="1" ref="AF396" ca="1">IFERROR(rrPROCV(B396,cubo!$A$6:$BE$37,48,0)-VLOOKUP(B396,#REF!,$AF$2,0),0)</f>
        <v>0</v>
      </c>
      <c r="AG396" s="9">
        <f>IFERROR(VLOOKUP(B396,cubo!$A$6:$BE$37,49,0)-VLOOKUP(B396,#REF!,$AG$2,0),0)</f>
        <v>0</v>
      </c>
      <c r="AH396" s="9">
        <f>IFERROR(VLOOKUP(B396,cubo!$A$6:$BE$37,50,0)-VLOOKUP(B396,#REF!,$AH$2,0),0)</f>
        <v>0</v>
      </c>
      <c r="AI396" s="9">
        <f>IFERROR(VLOOKUP(B396,cubo!$A$6:$BE$37,51,0)-VLOOKUP(B396,#REF!,$AI$2,0),0)</f>
        <v>0</v>
      </c>
      <c r="AJ396" s="9">
        <f>IFERROR(VLOOKUP(B396,cubo!$A$6:$BI$116,62,0)-VLOOKUP(B396,#REF!,$AJ$2,0),0)</f>
        <v>0</v>
      </c>
      <c r="AK396" s="9">
        <f>IFERROR(VLOOKUP(B396,cubo!$A$6:$BJ$37,63,0)-VLOOKUP(B396,#REF!,$AK$2,0),0)</f>
        <v>0</v>
      </c>
      <c r="AL396" s="9">
        <f>IFERROR(VLOOKUP(B396,cubo!$A$6:$BE$37,58,0)-VLOOKUP(B396,#REF!,$AL$2,0),0)</f>
        <v>0</v>
      </c>
      <c r="AM396" s="9">
        <f>IFERROR(VLOOKUP(B396,cubo!$A$6:$BK$37,64,0)-VLOOKUP(B396,#REF!,$AM$2,0),0)</f>
        <v>0</v>
      </c>
      <c r="AN396" s="9">
        <f>IFERROR(VLOOKUP(B396,cubo!$A$6:$AN$37,41,0)-VLOOKUP(B396,#REF!,$AN$2,0),0)</f>
        <v>0</v>
      </c>
    </row>
    <row r="397" spans="2:40" x14ac:dyDescent="0.25">
      <c r="B397" s="7">
        <f>[1]salario!A396</f>
        <v>0</v>
      </c>
      <c r="C397" s="8">
        <f>[1]salario!C396</f>
        <v>0</v>
      </c>
      <c r="D397" s="9">
        <f>IFERROR(VLOOKUP(B397,cubo!$A$6:$BE$37,3,0)-VLOOKUP(B397,#REF!,$D$2,0),0)</f>
        <v>0</v>
      </c>
      <c r="E397" s="10">
        <f>IFERROR(VLOOKUP(B397,cubo!$A$6:$BE$37,5,0)-VLOOKUP(B397,#REF!,$E$2,0),0)</f>
        <v>0</v>
      </c>
      <c r="F397" s="10">
        <f>IFERROR(VLOOKUP(B397,cubo!$A$6:$BE$37,8,0)-VLOOKUP(B397,#REF!,$F$2,0),0)</f>
        <v>0</v>
      </c>
      <c r="G397" s="9">
        <f>IFERROR(VLOOKUP(B397,cubo!$A$6:$BE$37,11,0)-VLOOKUP(B397,#REF!,$G$2,0),0)</f>
        <v>0</v>
      </c>
      <c r="H397" s="9">
        <f>IFERROR(VLOOKUP(B397,cubo!$A$6:$BE$37,53,0)-VLOOKUP(B397,#REF!,$H$2,0),0)</f>
        <v>0</v>
      </c>
      <c r="I397" s="10">
        <f>IFERROR(VLOOKUP(B397,cubo!$A$6:$BE$37,14,0)-VLOOKUP(B397,#REF!,$I$2,0),0)</f>
        <v>0</v>
      </c>
      <c r="J397" s="9">
        <f>IFERROR(VLOOKUP(B397,cubo!$A$6:$BE$37,16,0)-VLOOKUP(B397,#REF!,$J$2,0),0)</f>
        <v>0</v>
      </c>
      <c r="K397" s="9">
        <f>IFERROR(VLOOKUP(B397,cubo!$A$6:$BE$37,17,0)-VLOOKUP(B397,#REF!,$K$2,0),0)</f>
        <v>0</v>
      </c>
      <c r="L397" s="9">
        <f>IFERROR(VLOOKUP(B397,cubo!$A$6:$BE$37,19,0)-VLOOKUP(B397,#REF!,$L$2,0),0)</f>
        <v>0</v>
      </c>
      <c r="M397" s="9">
        <f>IFERROR(VLOOKUP(B397,cubo!$A$6:$BE$37,23,0)-VLOOKUP(B397,#REF!,$M$2,0),0)</f>
        <v>0</v>
      </c>
      <c r="N397" s="9">
        <f>IFERROR(VLOOKUP(B397,cubo!$A$6:$BE$37,25,0)-VLOOKUP(B397,#REF!,$N$2,0),0)</f>
        <v>0</v>
      </c>
      <c r="O397" s="9">
        <f>IFERROR(VLOOKUP(B397,cubo!$A$6:$BE$37,33,0)-VLOOKUP(B397,#REF!,$O$2,0),0)</f>
        <v>0</v>
      </c>
      <c r="P397" s="8">
        <f>IFERROR(VLOOKUP(B397,cubo!$A$6:$BE$37,37,0)-VLOOKUP(B397,#REF!,$P$2,0),0)</f>
        <v>0</v>
      </c>
      <c r="Q397" s="8">
        <f>IFERROR(VLOOKUP(B397,cubo!$A$6:$BE$37,56,0)-VLOOKUP(B397,#REF!,$Q$2,0),0)</f>
        <v>0</v>
      </c>
      <c r="R397" s="9">
        <f>IFERROR(VLOOKUP(B397,cubo!$A$6:$BE$37,40,0)-VLOOKUP(B397,#REF!,$R$2,0),0)</f>
        <v>0</v>
      </c>
      <c r="S397" s="9">
        <f>IFERROR(VLOOKUP(B397,cubo!$A$6:$BE$37,43,0)-VLOOKUP(B397,#REF!,$S$2,0),0)</f>
        <v>0</v>
      </c>
      <c r="T397" s="9">
        <f>IFERROR(VLOOKUP(B397,cubo!$A$6:$BE$37,46,0)-VLOOKUP(B397,#REF!,$T$2,0),0)</f>
        <v>0</v>
      </c>
      <c r="U397" s="9">
        <f>IFERROR(VLOOKUP(B397,cubo!$A$6:$BE$37,51,0)-VLOOKUP(B397,#REF!,$U$2,0),0)</f>
        <v>0</v>
      </c>
      <c r="V397" s="9">
        <f>IFERROR(VLOOKUP(B397,cubo!$A$6:$BJ$37,60,0)-VLOOKUP(B397,#REF!,$V$2,0),0)</f>
        <v>0</v>
      </c>
      <c r="W397" s="9">
        <f>IFERROR(VLOOKUP(B397,cubo!$A$6:$BE$37,26,0)-VLOOKUP(B397,#REF!,$W$2,0),0)</f>
        <v>0</v>
      </c>
      <c r="X397" s="9">
        <f>IFERROR(VLOOKUP(B397,cubo!$A$6:$BE$37,20,0)-VLOOKUP(B397,#REF!,$X$2,0),0)</f>
        <v>0</v>
      </c>
      <c r="Y397" s="9">
        <f>IFERROR(VLOOKUP(B397,cubo!$A$6:$BE$37,21,0)-VLOOKUP(B397,#REF!,$Y$2,0),0)</f>
        <v>0</v>
      </c>
      <c r="Z397" s="9">
        <f>IFERROR(VLOOKUP(B397,cubo!$A$6:$BE$37,27,0)-VLOOKUP(B397,#REF!,$Z$2,0),0)</f>
        <v>0</v>
      </c>
      <c r="AA397" s="9">
        <f>IFERROR(VLOOKUP(B397,cubo!$A$6:$BE$37,28,0)-VLOOKUP(B397,#REF!,$AA$2,0),0)</f>
        <v>0</v>
      </c>
      <c r="AB397" s="9">
        <f>IFERROR(VLOOKUP(B397,cubo!$A$6:$BE$37,29,0)-VLOOKUP(B397,#REF!,$AB$2,0),0)</f>
        <v>0</v>
      </c>
      <c r="AC397" s="9">
        <f>IFERROR(VLOOKUP(B397,cubo!$A$6:$BE$37,30,0)-VLOOKUP(B397,#REF!,$AC$2,0),0)</f>
        <v>0</v>
      </c>
      <c r="AD397" s="9">
        <f>IFERROR(VLOOKUP(B397,cubo!$A$6:$BE$37,31,0)-VLOOKUP(B397,#REF!,$AD$2,0),0)</f>
        <v>0</v>
      </c>
      <c r="AE397" s="9">
        <f>IFERROR(VLOOKUP(B397,cubo!$A$6:$BE$37,35,0)-VLOOKUP(B397,#REF!,$AE$2,0),0)</f>
        <v>0</v>
      </c>
      <c r="AF397" s="9" cm="1">
        <f t="array" aca="1" ref="AF397" ca="1">IFERROR(rrPROCV(B397,cubo!$A$6:$BE$37,48,0)-VLOOKUP(B397,#REF!,$AF$2,0),0)</f>
        <v>0</v>
      </c>
      <c r="AG397" s="9">
        <f>IFERROR(VLOOKUP(B397,cubo!$A$6:$BE$37,49,0)-VLOOKUP(B397,#REF!,$AG$2,0),0)</f>
        <v>0</v>
      </c>
      <c r="AH397" s="9">
        <f>IFERROR(VLOOKUP(B397,cubo!$A$6:$BE$37,50,0)-VLOOKUP(B397,#REF!,$AH$2,0),0)</f>
        <v>0</v>
      </c>
      <c r="AI397" s="9">
        <f>IFERROR(VLOOKUP(B397,cubo!$A$6:$BE$37,51,0)-VLOOKUP(B397,#REF!,$AI$2,0),0)</f>
        <v>0</v>
      </c>
      <c r="AJ397" s="9">
        <f>IFERROR(VLOOKUP(B397,cubo!$A$6:$BI$116,62,0)-VLOOKUP(B397,#REF!,$AJ$2,0),0)</f>
        <v>0</v>
      </c>
      <c r="AK397" s="9">
        <f>IFERROR(VLOOKUP(B397,cubo!$A$6:$BJ$37,63,0)-VLOOKUP(B397,#REF!,$AK$2,0),0)</f>
        <v>0</v>
      </c>
      <c r="AL397" s="9">
        <f>IFERROR(VLOOKUP(B397,cubo!$A$6:$BE$37,58,0)-VLOOKUP(B397,#REF!,$AL$2,0),0)</f>
        <v>0</v>
      </c>
      <c r="AM397" s="9">
        <f>IFERROR(VLOOKUP(B397,cubo!$A$6:$BK$37,64,0)-VLOOKUP(B397,#REF!,$AM$2,0),0)</f>
        <v>0</v>
      </c>
      <c r="AN397" s="9">
        <f>IFERROR(VLOOKUP(B397,cubo!$A$6:$AN$37,41,0)-VLOOKUP(B397,#REF!,$AN$2,0),0)</f>
        <v>0</v>
      </c>
    </row>
    <row r="398" spans="2:40" x14ac:dyDescent="0.25">
      <c r="B398" s="7">
        <f>[1]salario!A397</f>
        <v>0</v>
      </c>
      <c r="C398" s="8">
        <f>[1]salario!C397</f>
        <v>0</v>
      </c>
      <c r="D398" s="9">
        <f>IFERROR(VLOOKUP(B398,cubo!$A$6:$BE$37,3,0)-VLOOKUP(B398,#REF!,$D$2,0),0)</f>
        <v>0</v>
      </c>
      <c r="E398" s="10">
        <f>IFERROR(VLOOKUP(B398,cubo!$A$6:$BE$37,5,0)-VLOOKUP(B398,#REF!,$E$2,0),0)</f>
        <v>0</v>
      </c>
      <c r="F398" s="10">
        <f>IFERROR(VLOOKUP(B398,cubo!$A$6:$BE$37,8,0)-VLOOKUP(B398,#REF!,$F$2,0),0)</f>
        <v>0</v>
      </c>
      <c r="G398" s="9">
        <f>IFERROR(VLOOKUP(B398,cubo!$A$6:$BE$37,11,0)-VLOOKUP(B398,#REF!,$G$2,0),0)</f>
        <v>0</v>
      </c>
      <c r="H398" s="9">
        <f>IFERROR(VLOOKUP(B398,cubo!$A$6:$BE$37,53,0)-VLOOKUP(B398,#REF!,$H$2,0),0)</f>
        <v>0</v>
      </c>
      <c r="I398" s="10">
        <f>IFERROR(VLOOKUP(B398,cubo!$A$6:$BE$37,14,0)-VLOOKUP(B398,#REF!,$I$2,0),0)</f>
        <v>0</v>
      </c>
      <c r="J398" s="9">
        <f>IFERROR(VLOOKUP(B398,cubo!$A$6:$BE$37,16,0)-VLOOKUP(B398,#REF!,$J$2,0),0)</f>
        <v>0</v>
      </c>
      <c r="K398" s="9">
        <f>IFERROR(VLOOKUP(B398,cubo!$A$6:$BE$37,17,0)-VLOOKUP(B398,#REF!,$K$2,0),0)</f>
        <v>0</v>
      </c>
      <c r="L398" s="9">
        <f>IFERROR(VLOOKUP(B398,cubo!$A$6:$BE$37,19,0)-VLOOKUP(B398,#REF!,$L$2,0),0)</f>
        <v>0</v>
      </c>
      <c r="M398" s="9">
        <f>IFERROR(VLOOKUP(B398,cubo!$A$6:$BE$37,23,0)-VLOOKUP(B398,#REF!,$M$2,0),0)</f>
        <v>0</v>
      </c>
      <c r="N398" s="9">
        <f>IFERROR(VLOOKUP(B398,cubo!$A$6:$BE$37,25,0)-VLOOKUP(B398,#REF!,$N$2,0),0)</f>
        <v>0</v>
      </c>
      <c r="O398" s="9">
        <f>IFERROR(VLOOKUP(B398,cubo!$A$6:$BE$37,33,0)-VLOOKUP(B398,#REF!,$O$2,0),0)</f>
        <v>0</v>
      </c>
      <c r="P398" s="8">
        <f>IFERROR(VLOOKUP(B398,cubo!$A$6:$BE$37,37,0)-VLOOKUP(B398,#REF!,$P$2,0),0)</f>
        <v>0</v>
      </c>
      <c r="Q398" s="8">
        <f>IFERROR(VLOOKUP(B398,cubo!$A$6:$BE$37,56,0)-VLOOKUP(B398,#REF!,$Q$2,0),0)</f>
        <v>0</v>
      </c>
      <c r="R398" s="9">
        <f>IFERROR(VLOOKUP(B398,cubo!$A$6:$BE$37,40,0)-VLOOKUP(B398,#REF!,$R$2,0),0)</f>
        <v>0</v>
      </c>
      <c r="S398" s="9">
        <f>IFERROR(VLOOKUP(B398,cubo!$A$6:$BE$37,43,0)-VLOOKUP(B398,#REF!,$S$2,0),0)</f>
        <v>0</v>
      </c>
      <c r="T398" s="9">
        <f>IFERROR(VLOOKUP(B398,cubo!$A$6:$BE$37,46,0)-VLOOKUP(B398,#REF!,$T$2,0),0)</f>
        <v>0</v>
      </c>
      <c r="U398" s="9">
        <f>IFERROR(VLOOKUP(B398,cubo!$A$6:$BE$37,51,0)-VLOOKUP(B398,#REF!,$U$2,0),0)</f>
        <v>0</v>
      </c>
      <c r="V398" s="9">
        <f>IFERROR(VLOOKUP(B398,cubo!$A$6:$BJ$37,60,0)-VLOOKUP(B398,#REF!,$V$2,0),0)</f>
        <v>0</v>
      </c>
      <c r="W398" s="9">
        <f>IFERROR(VLOOKUP(B398,cubo!$A$6:$BE$37,26,0)-VLOOKUP(B398,#REF!,$W$2,0),0)</f>
        <v>0</v>
      </c>
      <c r="X398" s="9">
        <f>IFERROR(VLOOKUP(B398,cubo!$A$6:$BE$37,20,0)-VLOOKUP(B398,#REF!,$X$2,0),0)</f>
        <v>0</v>
      </c>
      <c r="Y398" s="9">
        <f>IFERROR(VLOOKUP(B398,cubo!$A$6:$BE$37,21,0)-VLOOKUP(B398,#REF!,$Y$2,0),0)</f>
        <v>0</v>
      </c>
      <c r="Z398" s="9">
        <f>IFERROR(VLOOKUP(B398,cubo!$A$6:$BE$37,27,0)-VLOOKUP(B398,#REF!,$Z$2,0),0)</f>
        <v>0</v>
      </c>
      <c r="AA398" s="9">
        <f>IFERROR(VLOOKUP(B398,cubo!$A$6:$BE$37,28,0)-VLOOKUP(B398,#REF!,$AA$2,0),0)</f>
        <v>0</v>
      </c>
      <c r="AB398" s="9">
        <f>IFERROR(VLOOKUP(B398,cubo!$A$6:$BE$37,29,0)-VLOOKUP(B398,#REF!,$AB$2,0),0)</f>
        <v>0</v>
      </c>
      <c r="AC398" s="9">
        <f>IFERROR(VLOOKUP(B398,cubo!$A$6:$BE$37,30,0)-VLOOKUP(B398,#REF!,$AC$2,0),0)</f>
        <v>0</v>
      </c>
      <c r="AD398" s="9">
        <f>IFERROR(VLOOKUP(B398,cubo!$A$6:$BE$37,31,0)-VLOOKUP(B398,#REF!,$AD$2,0),0)</f>
        <v>0</v>
      </c>
      <c r="AE398" s="9">
        <f>IFERROR(VLOOKUP(B398,cubo!$A$6:$BE$37,35,0)-VLOOKUP(B398,#REF!,$AE$2,0),0)</f>
        <v>0</v>
      </c>
      <c r="AF398" s="9" cm="1">
        <f t="array" aca="1" ref="AF398" ca="1">IFERROR(rrPROCV(B398,cubo!$A$6:$BE$37,48,0)-VLOOKUP(B398,#REF!,$AF$2,0),0)</f>
        <v>0</v>
      </c>
      <c r="AG398" s="9">
        <f>IFERROR(VLOOKUP(B398,cubo!$A$6:$BE$37,49,0)-VLOOKUP(B398,#REF!,$AG$2,0),0)</f>
        <v>0</v>
      </c>
      <c r="AH398" s="9">
        <f>IFERROR(VLOOKUP(B398,cubo!$A$6:$BE$37,50,0)-VLOOKUP(B398,#REF!,$AH$2,0),0)</f>
        <v>0</v>
      </c>
      <c r="AI398" s="9">
        <f>IFERROR(VLOOKUP(B398,cubo!$A$6:$BE$37,51,0)-VLOOKUP(B398,#REF!,$AI$2,0),0)</f>
        <v>0</v>
      </c>
      <c r="AJ398" s="9">
        <f>IFERROR(VLOOKUP(B398,cubo!$A$6:$BI$116,62,0)-VLOOKUP(B398,#REF!,$AJ$2,0),0)</f>
        <v>0</v>
      </c>
      <c r="AK398" s="9">
        <f>IFERROR(VLOOKUP(B398,cubo!$A$6:$BJ$37,63,0)-VLOOKUP(B398,#REF!,$AK$2,0),0)</f>
        <v>0</v>
      </c>
      <c r="AL398" s="9">
        <f>IFERROR(VLOOKUP(B398,cubo!$A$6:$BE$37,58,0)-VLOOKUP(B398,#REF!,$AL$2,0),0)</f>
        <v>0</v>
      </c>
      <c r="AM398" s="9">
        <f>IFERROR(VLOOKUP(B398,cubo!$A$6:$BK$37,64,0)-VLOOKUP(B398,#REF!,$AM$2,0),0)</f>
        <v>0</v>
      </c>
      <c r="AN398" s="9">
        <f>IFERROR(VLOOKUP(B398,cubo!$A$6:$AN$37,41,0)-VLOOKUP(B398,#REF!,$AN$2,0),0)</f>
        <v>0</v>
      </c>
    </row>
    <row r="399" spans="2:40" x14ac:dyDescent="0.25">
      <c r="B399" s="7">
        <f>[1]salario!A398</f>
        <v>0</v>
      </c>
      <c r="C399" s="8">
        <f>[1]salario!C398</f>
        <v>0</v>
      </c>
      <c r="D399" s="9">
        <f>IFERROR(VLOOKUP(B399,cubo!$A$6:$BE$37,3,0)-VLOOKUP(B399,#REF!,$D$2,0),0)</f>
        <v>0</v>
      </c>
      <c r="E399" s="10">
        <f>IFERROR(VLOOKUP(B399,cubo!$A$6:$BE$37,5,0)-VLOOKUP(B399,#REF!,$E$2,0),0)</f>
        <v>0</v>
      </c>
      <c r="F399" s="10">
        <f>IFERROR(VLOOKUP(B399,cubo!$A$6:$BE$37,8,0)-VLOOKUP(B399,#REF!,$F$2,0),0)</f>
        <v>0</v>
      </c>
      <c r="G399" s="9">
        <f>IFERROR(VLOOKUP(B399,cubo!$A$6:$BE$37,11,0)-VLOOKUP(B399,#REF!,$G$2,0),0)</f>
        <v>0</v>
      </c>
      <c r="H399" s="9">
        <f>IFERROR(VLOOKUP(B399,cubo!$A$6:$BE$37,53,0)-VLOOKUP(B399,#REF!,$H$2,0),0)</f>
        <v>0</v>
      </c>
      <c r="I399" s="10">
        <f>IFERROR(VLOOKUP(B399,cubo!$A$6:$BE$37,14,0)-VLOOKUP(B399,#REF!,$I$2,0),0)</f>
        <v>0</v>
      </c>
      <c r="J399" s="9">
        <f>IFERROR(VLOOKUP(B399,cubo!$A$6:$BE$37,16,0)-VLOOKUP(B399,#REF!,$J$2,0),0)</f>
        <v>0</v>
      </c>
      <c r="K399" s="9">
        <f>IFERROR(VLOOKUP(B399,cubo!$A$6:$BE$37,17,0)-VLOOKUP(B399,#REF!,$K$2,0),0)</f>
        <v>0</v>
      </c>
      <c r="L399" s="9">
        <f>IFERROR(VLOOKUP(B399,cubo!$A$6:$BE$37,19,0)-VLOOKUP(B399,#REF!,$L$2,0),0)</f>
        <v>0</v>
      </c>
      <c r="M399" s="9">
        <f>IFERROR(VLOOKUP(B399,cubo!$A$6:$BE$37,23,0)-VLOOKUP(B399,#REF!,$M$2,0),0)</f>
        <v>0</v>
      </c>
      <c r="N399" s="9">
        <f>IFERROR(VLOOKUP(B399,cubo!$A$6:$BE$37,25,0)-VLOOKUP(B399,#REF!,$N$2,0),0)</f>
        <v>0</v>
      </c>
      <c r="O399" s="9">
        <f>IFERROR(VLOOKUP(B399,cubo!$A$6:$BE$37,33,0)-VLOOKUP(B399,#REF!,$O$2,0),0)</f>
        <v>0</v>
      </c>
      <c r="P399" s="8">
        <f>IFERROR(VLOOKUP(B399,cubo!$A$6:$BE$37,37,0)-VLOOKUP(B399,#REF!,$P$2,0),0)</f>
        <v>0</v>
      </c>
      <c r="Q399" s="8">
        <f>IFERROR(VLOOKUP(B399,cubo!$A$6:$BE$37,56,0)-VLOOKUP(B399,#REF!,$Q$2,0),0)</f>
        <v>0</v>
      </c>
      <c r="R399" s="9">
        <f>IFERROR(VLOOKUP(B399,cubo!$A$6:$BE$37,40,0)-VLOOKUP(B399,#REF!,$R$2,0),0)</f>
        <v>0</v>
      </c>
      <c r="S399" s="9">
        <f>IFERROR(VLOOKUP(B399,cubo!$A$6:$BE$37,43,0)-VLOOKUP(B399,#REF!,$S$2,0),0)</f>
        <v>0</v>
      </c>
      <c r="T399" s="9">
        <f>IFERROR(VLOOKUP(B399,cubo!$A$6:$BE$37,46,0)-VLOOKUP(B399,#REF!,$T$2,0),0)</f>
        <v>0</v>
      </c>
      <c r="U399" s="9">
        <f>IFERROR(VLOOKUP(B399,cubo!$A$6:$BE$37,51,0)-VLOOKUP(B399,#REF!,$U$2,0),0)</f>
        <v>0</v>
      </c>
      <c r="V399" s="9">
        <f>IFERROR(VLOOKUP(B399,cubo!$A$6:$BJ$37,60,0)-VLOOKUP(B399,#REF!,$V$2,0),0)</f>
        <v>0</v>
      </c>
      <c r="W399" s="9">
        <f>IFERROR(VLOOKUP(B399,cubo!$A$6:$BE$37,26,0)-VLOOKUP(B399,#REF!,$W$2,0),0)</f>
        <v>0</v>
      </c>
      <c r="X399" s="9">
        <f>IFERROR(VLOOKUP(B399,cubo!$A$6:$BE$37,20,0)-VLOOKUP(B399,#REF!,$X$2,0),0)</f>
        <v>0</v>
      </c>
      <c r="Y399" s="9">
        <f>IFERROR(VLOOKUP(B399,cubo!$A$6:$BE$37,21,0)-VLOOKUP(B399,#REF!,$Y$2,0),0)</f>
        <v>0</v>
      </c>
      <c r="Z399" s="9">
        <f>IFERROR(VLOOKUP(B399,cubo!$A$6:$BE$37,27,0)-VLOOKUP(B399,#REF!,$Z$2,0),0)</f>
        <v>0</v>
      </c>
      <c r="AA399" s="9">
        <f>IFERROR(VLOOKUP(B399,cubo!$A$6:$BE$37,28,0)-VLOOKUP(B399,#REF!,$AA$2,0),0)</f>
        <v>0</v>
      </c>
      <c r="AB399" s="9">
        <f>IFERROR(VLOOKUP(B399,cubo!$A$6:$BE$37,29,0)-VLOOKUP(B399,#REF!,$AB$2,0),0)</f>
        <v>0</v>
      </c>
      <c r="AC399" s="9">
        <f>IFERROR(VLOOKUP(B399,cubo!$A$6:$BE$37,30,0)-VLOOKUP(B399,#REF!,$AC$2,0),0)</f>
        <v>0</v>
      </c>
      <c r="AD399" s="9">
        <f>IFERROR(VLOOKUP(B399,cubo!$A$6:$BE$37,31,0)-VLOOKUP(B399,#REF!,$AD$2,0),0)</f>
        <v>0</v>
      </c>
      <c r="AE399" s="9">
        <f>IFERROR(VLOOKUP(B399,cubo!$A$6:$BE$37,35,0)-VLOOKUP(B399,#REF!,$AE$2,0),0)</f>
        <v>0</v>
      </c>
      <c r="AF399" s="9" cm="1">
        <f t="array" aca="1" ref="AF399" ca="1">IFERROR(rrPROCV(B399,cubo!$A$6:$BE$37,48,0)-VLOOKUP(B399,#REF!,$AF$2,0),0)</f>
        <v>0</v>
      </c>
      <c r="AG399" s="9">
        <f>IFERROR(VLOOKUP(B399,cubo!$A$6:$BE$37,49,0)-VLOOKUP(B399,#REF!,$AG$2,0),0)</f>
        <v>0</v>
      </c>
      <c r="AH399" s="9">
        <f>IFERROR(VLOOKUP(B399,cubo!$A$6:$BE$37,50,0)-VLOOKUP(B399,#REF!,$AH$2,0),0)</f>
        <v>0</v>
      </c>
      <c r="AI399" s="9">
        <f>IFERROR(VLOOKUP(B399,cubo!$A$6:$BE$37,51,0)-VLOOKUP(B399,#REF!,$AI$2,0),0)</f>
        <v>0</v>
      </c>
      <c r="AJ399" s="9">
        <f>IFERROR(VLOOKUP(B399,cubo!$A$6:$BI$116,62,0)-VLOOKUP(B399,#REF!,$AJ$2,0),0)</f>
        <v>0</v>
      </c>
      <c r="AK399" s="9">
        <f>IFERROR(VLOOKUP(B399,cubo!$A$6:$BJ$37,63,0)-VLOOKUP(B399,#REF!,$AK$2,0),0)</f>
        <v>0</v>
      </c>
      <c r="AL399" s="9">
        <f>IFERROR(VLOOKUP(B399,cubo!$A$6:$BE$37,58,0)-VLOOKUP(B399,#REF!,$AL$2,0),0)</f>
        <v>0</v>
      </c>
      <c r="AM399" s="9">
        <f>IFERROR(VLOOKUP(B399,cubo!$A$6:$BK$37,64,0)-VLOOKUP(B399,#REF!,$AM$2,0),0)</f>
        <v>0</v>
      </c>
      <c r="AN399" s="9">
        <f>IFERROR(VLOOKUP(B399,cubo!$A$6:$AN$37,41,0)-VLOOKUP(B399,#REF!,$AN$2,0),0)</f>
        <v>0</v>
      </c>
    </row>
    <row r="400" spans="2:40" x14ac:dyDescent="0.25">
      <c r="B400" s="7">
        <f>[1]salario!A399</f>
        <v>0</v>
      </c>
      <c r="C400" s="8">
        <f>[1]salario!C399</f>
        <v>0</v>
      </c>
      <c r="D400" s="9">
        <f>IFERROR(VLOOKUP(B400,cubo!$A$6:$BE$37,3,0)-VLOOKUP(B400,#REF!,$D$2,0),0)</f>
        <v>0</v>
      </c>
      <c r="E400" s="10">
        <f>IFERROR(VLOOKUP(B400,cubo!$A$6:$BE$37,5,0)-VLOOKUP(B400,#REF!,$E$2,0),0)</f>
        <v>0</v>
      </c>
      <c r="F400" s="10">
        <f>IFERROR(VLOOKUP(B400,cubo!$A$6:$BE$37,8,0)-VLOOKUP(B400,#REF!,$F$2,0),0)</f>
        <v>0</v>
      </c>
      <c r="G400" s="9">
        <f>IFERROR(VLOOKUP(B400,cubo!$A$6:$BE$37,11,0)-VLOOKUP(B400,#REF!,$G$2,0),0)</f>
        <v>0</v>
      </c>
      <c r="H400" s="9">
        <f>IFERROR(VLOOKUP(B400,cubo!$A$6:$BE$37,53,0)-VLOOKUP(B400,#REF!,$H$2,0),0)</f>
        <v>0</v>
      </c>
      <c r="I400" s="10">
        <f>IFERROR(VLOOKUP(B400,cubo!$A$6:$BE$37,14,0)-VLOOKUP(B400,#REF!,$I$2,0),0)</f>
        <v>0</v>
      </c>
      <c r="J400" s="9">
        <f>IFERROR(VLOOKUP(B400,cubo!$A$6:$BE$37,16,0)-VLOOKUP(B400,#REF!,$J$2,0),0)</f>
        <v>0</v>
      </c>
      <c r="K400" s="9">
        <f>IFERROR(VLOOKUP(B400,cubo!$A$6:$BE$37,17,0)-VLOOKUP(B400,#REF!,$K$2,0),0)</f>
        <v>0</v>
      </c>
      <c r="L400" s="9">
        <f>IFERROR(VLOOKUP(B400,cubo!$A$6:$BE$37,19,0)-VLOOKUP(B400,#REF!,$L$2,0),0)</f>
        <v>0</v>
      </c>
      <c r="M400" s="9">
        <f>IFERROR(VLOOKUP(B400,cubo!$A$6:$BE$37,23,0)-VLOOKUP(B400,#REF!,$M$2,0),0)</f>
        <v>0</v>
      </c>
      <c r="N400" s="9">
        <f>IFERROR(VLOOKUP(B400,cubo!$A$6:$BE$37,25,0)-VLOOKUP(B400,#REF!,$N$2,0),0)</f>
        <v>0</v>
      </c>
      <c r="O400" s="9">
        <f>IFERROR(VLOOKUP(B400,cubo!$A$6:$BE$37,33,0)-VLOOKUP(B400,#REF!,$O$2,0),0)</f>
        <v>0</v>
      </c>
      <c r="P400" s="8">
        <f>IFERROR(VLOOKUP(B400,cubo!$A$6:$BE$37,37,0)-VLOOKUP(B400,#REF!,$P$2,0),0)</f>
        <v>0</v>
      </c>
      <c r="Q400" s="8">
        <f>IFERROR(VLOOKUP(B400,cubo!$A$6:$BE$37,56,0)-VLOOKUP(B400,#REF!,$Q$2,0),0)</f>
        <v>0</v>
      </c>
      <c r="R400" s="9">
        <f>IFERROR(VLOOKUP(B400,cubo!$A$6:$BE$37,40,0)-VLOOKUP(B400,#REF!,$R$2,0),0)</f>
        <v>0</v>
      </c>
      <c r="S400" s="9">
        <f>IFERROR(VLOOKUP(B400,cubo!$A$6:$BE$37,43,0)-VLOOKUP(B400,#REF!,$S$2,0),0)</f>
        <v>0</v>
      </c>
      <c r="T400" s="9">
        <f>IFERROR(VLOOKUP(B400,cubo!$A$6:$BE$37,46,0)-VLOOKUP(B400,#REF!,$T$2,0),0)</f>
        <v>0</v>
      </c>
      <c r="U400" s="9">
        <f>IFERROR(VLOOKUP(B400,cubo!$A$6:$BE$37,51,0)-VLOOKUP(B400,#REF!,$U$2,0),0)</f>
        <v>0</v>
      </c>
      <c r="V400" s="9">
        <f>IFERROR(VLOOKUP(B400,cubo!$A$6:$BJ$37,60,0)-VLOOKUP(B400,#REF!,$V$2,0),0)</f>
        <v>0</v>
      </c>
      <c r="W400" s="9">
        <f>IFERROR(VLOOKUP(B400,cubo!$A$6:$BE$37,26,0)-VLOOKUP(B400,#REF!,$W$2,0),0)</f>
        <v>0</v>
      </c>
      <c r="X400" s="9">
        <f>IFERROR(VLOOKUP(B400,cubo!$A$6:$BE$37,20,0)-VLOOKUP(B400,#REF!,$X$2,0),0)</f>
        <v>0</v>
      </c>
      <c r="Y400" s="9">
        <f>IFERROR(VLOOKUP(B400,cubo!$A$6:$BE$37,21,0)-VLOOKUP(B400,#REF!,$Y$2,0),0)</f>
        <v>0</v>
      </c>
      <c r="Z400" s="9">
        <f>IFERROR(VLOOKUP(B400,cubo!$A$6:$BE$37,27,0)-VLOOKUP(B400,#REF!,$Z$2,0),0)</f>
        <v>0</v>
      </c>
      <c r="AA400" s="9">
        <f>IFERROR(VLOOKUP(B400,cubo!$A$6:$BE$37,28,0)-VLOOKUP(B400,#REF!,$AA$2,0),0)</f>
        <v>0</v>
      </c>
      <c r="AB400" s="9">
        <f>IFERROR(VLOOKUP(B400,cubo!$A$6:$BE$37,29,0)-VLOOKUP(B400,#REF!,$AB$2,0),0)</f>
        <v>0</v>
      </c>
      <c r="AC400" s="9">
        <f>IFERROR(VLOOKUP(B400,cubo!$A$6:$BE$37,30,0)-VLOOKUP(B400,#REF!,$AC$2,0),0)</f>
        <v>0</v>
      </c>
      <c r="AD400" s="9">
        <f>IFERROR(VLOOKUP(B400,cubo!$A$6:$BE$37,31,0)-VLOOKUP(B400,#REF!,$AD$2,0),0)</f>
        <v>0</v>
      </c>
      <c r="AE400" s="9">
        <f>IFERROR(VLOOKUP(B400,cubo!$A$6:$BE$37,35,0)-VLOOKUP(B400,#REF!,$AE$2,0),0)</f>
        <v>0</v>
      </c>
      <c r="AF400" s="9" cm="1">
        <f t="array" aca="1" ref="AF400" ca="1">IFERROR(rrPROCV(B400,cubo!$A$6:$BE$37,48,0)-VLOOKUP(B400,#REF!,$AF$2,0),0)</f>
        <v>0</v>
      </c>
      <c r="AG400" s="9">
        <f>IFERROR(VLOOKUP(B400,cubo!$A$6:$BE$37,49,0)-VLOOKUP(B400,#REF!,$AG$2,0),0)</f>
        <v>0</v>
      </c>
      <c r="AH400" s="9">
        <f>IFERROR(VLOOKUP(B400,cubo!$A$6:$BE$37,50,0)-VLOOKUP(B400,#REF!,$AH$2,0),0)</f>
        <v>0</v>
      </c>
      <c r="AI400" s="9">
        <f>IFERROR(VLOOKUP(B400,cubo!$A$6:$BE$37,51,0)-VLOOKUP(B400,#REF!,$AI$2,0),0)</f>
        <v>0</v>
      </c>
      <c r="AJ400" s="9">
        <f>IFERROR(VLOOKUP(B400,cubo!$A$6:$BI$116,62,0)-VLOOKUP(B400,#REF!,$AJ$2,0),0)</f>
        <v>0</v>
      </c>
      <c r="AK400" s="9">
        <f>IFERROR(VLOOKUP(B400,cubo!$A$6:$BJ$37,63,0)-VLOOKUP(B400,#REF!,$AK$2,0),0)</f>
        <v>0</v>
      </c>
      <c r="AL400" s="9">
        <f>IFERROR(VLOOKUP(B400,cubo!$A$6:$BE$37,58,0)-VLOOKUP(B400,#REF!,$AL$2,0),0)</f>
        <v>0</v>
      </c>
      <c r="AM400" s="9">
        <f>IFERROR(VLOOKUP(B400,cubo!$A$6:$BK$37,64,0)-VLOOKUP(B400,#REF!,$AM$2,0),0)</f>
        <v>0</v>
      </c>
      <c r="AN400" s="9">
        <f>IFERROR(VLOOKUP(B400,cubo!$A$6:$AN$37,41,0)-VLOOKUP(B400,#REF!,$AN$2,0),0)</f>
        <v>0</v>
      </c>
    </row>
    <row r="401" spans="2:40" x14ac:dyDescent="0.25">
      <c r="B401" s="7">
        <f>[1]salario!A400</f>
        <v>0</v>
      </c>
      <c r="C401" s="8">
        <f>[1]salario!C400</f>
        <v>0</v>
      </c>
      <c r="D401" s="9">
        <f>IFERROR(VLOOKUP(B401,cubo!$A$6:$BE$37,3,0)-VLOOKUP(B401,#REF!,$D$2,0),0)</f>
        <v>0</v>
      </c>
      <c r="E401" s="10">
        <f>IFERROR(VLOOKUP(B401,cubo!$A$6:$BE$37,5,0)-VLOOKUP(B401,#REF!,$E$2,0),0)</f>
        <v>0</v>
      </c>
      <c r="F401" s="10">
        <f>IFERROR(VLOOKUP(B401,cubo!$A$6:$BE$37,8,0)-VLOOKUP(B401,#REF!,$F$2,0),0)</f>
        <v>0</v>
      </c>
      <c r="G401" s="9">
        <f>IFERROR(VLOOKUP(B401,cubo!$A$6:$BE$37,11,0)-VLOOKUP(B401,#REF!,$G$2,0),0)</f>
        <v>0</v>
      </c>
      <c r="H401" s="9">
        <f>IFERROR(VLOOKUP(B401,cubo!$A$6:$BE$37,53,0)-VLOOKUP(B401,#REF!,$H$2,0),0)</f>
        <v>0</v>
      </c>
      <c r="I401" s="10">
        <f>IFERROR(VLOOKUP(B401,cubo!$A$6:$BE$37,14,0)-VLOOKUP(B401,#REF!,$I$2,0),0)</f>
        <v>0</v>
      </c>
      <c r="J401" s="9">
        <f>IFERROR(VLOOKUP(B401,cubo!$A$6:$BE$37,16,0)-VLOOKUP(B401,#REF!,$J$2,0),0)</f>
        <v>0</v>
      </c>
      <c r="K401" s="9">
        <f>IFERROR(VLOOKUP(B401,cubo!$A$6:$BE$37,17,0)-VLOOKUP(B401,#REF!,$K$2,0),0)</f>
        <v>0</v>
      </c>
      <c r="L401" s="9">
        <f>IFERROR(VLOOKUP(B401,cubo!$A$6:$BE$37,19,0)-VLOOKUP(B401,#REF!,$L$2,0),0)</f>
        <v>0</v>
      </c>
      <c r="M401" s="9">
        <f>IFERROR(VLOOKUP(B401,cubo!$A$6:$BE$37,23,0)-VLOOKUP(B401,#REF!,$M$2,0),0)</f>
        <v>0</v>
      </c>
      <c r="N401" s="9">
        <f>IFERROR(VLOOKUP(B401,cubo!$A$6:$BE$37,25,0)-VLOOKUP(B401,#REF!,$N$2,0),0)</f>
        <v>0</v>
      </c>
      <c r="O401" s="9">
        <f>IFERROR(VLOOKUP(B401,cubo!$A$6:$BE$37,33,0)-VLOOKUP(B401,#REF!,$O$2,0),0)</f>
        <v>0</v>
      </c>
      <c r="P401" s="8">
        <f>IFERROR(VLOOKUP(B401,cubo!$A$6:$BE$37,37,0)-VLOOKUP(B401,#REF!,$P$2,0),0)</f>
        <v>0</v>
      </c>
      <c r="Q401" s="8">
        <f>IFERROR(VLOOKUP(B401,cubo!$A$6:$BE$37,56,0)-VLOOKUP(B401,#REF!,$Q$2,0),0)</f>
        <v>0</v>
      </c>
      <c r="R401" s="9">
        <f>IFERROR(VLOOKUP(B401,cubo!$A$6:$BE$37,40,0)-VLOOKUP(B401,#REF!,$R$2,0),0)</f>
        <v>0</v>
      </c>
      <c r="S401" s="9">
        <f>IFERROR(VLOOKUP(B401,cubo!$A$6:$BE$37,43,0)-VLOOKUP(B401,#REF!,$S$2,0),0)</f>
        <v>0</v>
      </c>
      <c r="T401" s="9">
        <f>IFERROR(VLOOKUP(B401,cubo!$A$6:$BE$37,46,0)-VLOOKUP(B401,#REF!,$T$2,0),0)</f>
        <v>0</v>
      </c>
      <c r="U401" s="9">
        <f>IFERROR(VLOOKUP(B401,cubo!$A$6:$BE$37,51,0)-VLOOKUP(B401,#REF!,$U$2,0),0)</f>
        <v>0</v>
      </c>
      <c r="V401" s="9">
        <f>IFERROR(VLOOKUP(B401,cubo!$A$6:$BJ$37,60,0)-VLOOKUP(B401,#REF!,$V$2,0),0)</f>
        <v>0</v>
      </c>
      <c r="W401" s="9">
        <f>IFERROR(VLOOKUP(B401,cubo!$A$6:$BE$37,26,0)-VLOOKUP(B401,#REF!,$W$2,0),0)</f>
        <v>0</v>
      </c>
      <c r="X401" s="9">
        <f>IFERROR(VLOOKUP(B401,cubo!$A$6:$BE$37,20,0)-VLOOKUP(B401,#REF!,$X$2,0),0)</f>
        <v>0</v>
      </c>
      <c r="Y401" s="9">
        <f>IFERROR(VLOOKUP(B401,cubo!$A$6:$BE$37,21,0)-VLOOKUP(B401,#REF!,$Y$2,0),0)</f>
        <v>0</v>
      </c>
      <c r="Z401" s="9">
        <f>IFERROR(VLOOKUP(B401,cubo!$A$6:$BE$37,27,0)-VLOOKUP(B401,#REF!,$Z$2,0),0)</f>
        <v>0</v>
      </c>
      <c r="AA401" s="9">
        <f>IFERROR(VLOOKUP(B401,cubo!$A$6:$BE$37,28,0)-VLOOKUP(B401,#REF!,$AA$2,0),0)</f>
        <v>0</v>
      </c>
      <c r="AB401" s="9">
        <f>IFERROR(VLOOKUP(B401,cubo!$A$6:$BE$37,29,0)-VLOOKUP(B401,#REF!,$AB$2,0),0)</f>
        <v>0</v>
      </c>
      <c r="AC401" s="9">
        <f>IFERROR(VLOOKUP(B401,cubo!$A$6:$BE$37,30,0)-VLOOKUP(B401,#REF!,$AC$2,0),0)</f>
        <v>0</v>
      </c>
      <c r="AD401" s="9">
        <f>IFERROR(VLOOKUP(B401,cubo!$A$6:$BE$37,31,0)-VLOOKUP(B401,#REF!,$AD$2,0),0)</f>
        <v>0</v>
      </c>
      <c r="AE401" s="9">
        <f>IFERROR(VLOOKUP(B401,cubo!$A$6:$BE$37,35,0)-VLOOKUP(B401,#REF!,$AE$2,0),0)</f>
        <v>0</v>
      </c>
      <c r="AF401" s="9" cm="1">
        <f t="array" aca="1" ref="AF401" ca="1">IFERROR(rrPROCV(B401,cubo!$A$6:$BE$37,48,0)-VLOOKUP(B401,#REF!,$AF$2,0),0)</f>
        <v>0</v>
      </c>
      <c r="AG401" s="9">
        <f>IFERROR(VLOOKUP(B401,cubo!$A$6:$BE$37,49,0)-VLOOKUP(B401,#REF!,$AG$2,0),0)</f>
        <v>0</v>
      </c>
      <c r="AH401" s="9">
        <f>IFERROR(VLOOKUP(B401,cubo!$A$6:$BE$37,50,0)-VLOOKUP(B401,#REF!,$AH$2,0),0)</f>
        <v>0</v>
      </c>
      <c r="AI401" s="9">
        <f>IFERROR(VLOOKUP(B401,cubo!$A$6:$BE$37,51,0)-VLOOKUP(B401,#REF!,$AI$2,0),0)</f>
        <v>0</v>
      </c>
      <c r="AJ401" s="9">
        <f>IFERROR(VLOOKUP(B401,cubo!$A$6:$BI$116,62,0)-VLOOKUP(B401,#REF!,$AJ$2,0),0)</f>
        <v>0</v>
      </c>
      <c r="AK401" s="9">
        <f>IFERROR(VLOOKUP(B401,cubo!$A$6:$BJ$37,63,0)-VLOOKUP(B401,#REF!,$AK$2,0),0)</f>
        <v>0</v>
      </c>
      <c r="AL401" s="9">
        <f>IFERROR(VLOOKUP(B401,cubo!$A$6:$BE$37,58,0)-VLOOKUP(B401,#REF!,$AL$2,0),0)</f>
        <v>0</v>
      </c>
      <c r="AM401" s="9">
        <f>IFERROR(VLOOKUP(B401,cubo!$A$6:$BK$37,64,0)-VLOOKUP(B401,#REF!,$AM$2,0),0)</f>
        <v>0</v>
      </c>
      <c r="AN401" s="9">
        <f>IFERROR(VLOOKUP(B401,cubo!$A$6:$AN$37,41,0)-VLOOKUP(B401,#REF!,$AN$2,0),0)</f>
        <v>0</v>
      </c>
    </row>
    <row r="402" spans="2:40" x14ac:dyDescent="0.25">
      <c r="B402" s="7">
        <f>[1]salario!A401</f>
        <v>0</v>
      </c>
      <c r="C402" s="8">
        <f>[1]salario!C401</f>
        <v>0</v>
      </c>
      <c r="D402" s="9">
        <f>IFERROR(VLOOKUP(B402,cubo!$A$6:$BE$37,3,0)-VLOOKUP(B402,#REF!,$D$2,0),0)</f>
        <v>0</v>
      </c>
      <c r="E402" s="10">
        <f>IFERROR(VLOOKUP(B402,cubo!$A$6:$BE$37,5,0)-VLOOKUP(B402,#REF!,$E$2,0),0)</f>
        <v>0</v>
      </c>
      <c r="F402" s="10">
        <f>IFERROR(VLOOKUP(B402,cubo!$A$6:$BE$37,8,0)-VLOOKUP(B402,#REF!,$F$2,0),0)</f>
        <v>0</v>
      </c>
      <c r="G402" s="9">
        <f>IFERROR(VLOOKUP(B402,cubo!$A$6:$BE$37,11,0)-VLOOKUP(B402,#REF!,$G$2,0),0)</f>
        <v>0</v>
      </c>
      <c r="H402" s="9">
        <f>IFERROR(VLOOKUP(B402,cubo!$A$6:$BE$37,53,0)-VLOOKUP(B402,#REF!,$H$2,0),0)</f>
        <v>0</v>
      </c>
      <c r="I402" s="10">
        <f>IFERROR(VLOOKUP(B402,cubo!$A$6:$BE$37,14,0)-VLOOKUP(B402,#REF!,$I$2,0),0)</f>
        <v>0</v>
      </c>
      <c r="J402" s="9">
        <f>IFERROR(VLOOKUP(B402,cubo!$A$6:$BE$37,16,0)-VLOOKUP(B402,#REF!,$J$2,0),0)</f>
        <v>0</v>
      </c>
      <c r="K402" s="9">
        <f>IFERROR(VLOOKUP(B402,cubo!$A$6:$BE$37,17,0)-VLOOKUP(B402,#REF!,$K$2,0),0)</f>
        <v>0</v>
      </c>
      <c r="L402" s="9">
        <f>IFERROR(VLOOKUP(B402,cubo!$A$6:$BE$37,19,0)-VLOOKUP(B402,#REF!,$L$2,0),0)</f>
        <v>0</v>
      </c>
      <c r="M402" s="9">
        <f>IFERROR(VLOOKUP(B402,cubo!$A$6:$BE$37,23,0)-VLOOKUP(B402,#REF!,$M$2,0),0)</f>
        <v>0</v>
      </c>
      <c r="N402" s="9">
        <f>IFERROR(VLOOKUP(B402,cubo!$A$6:$BE$37,25,0)-VLOOKUP(B402,#REF!,$N$2,0),0)</f>
        <v>0</v>
      </c>
      <c r="O402" s="9">
        <f>IFERROR(VLOOKUP(B402,cubo!$A$6:$BE$37,33,0)-VLOOKUP(B402,#REF!,$O$2,0),0)</f>
        <v>0</v>
      </c>
      <c r="P402" s="8">
        <f>IFERROR(VLOOKUP(B402,cubo!$A$6:$BE$37,37,0)-VLOOKUP(B402,#REF!,$P$2,0),0)</f>
        <v>0</v>
      </c>
      <c r="Q402" s="8">
        <f>IFERROR(VLOOKUP(B402,cubo!$A$6:$BE$37,56,0)-VLOOKUP(B402,#REF!,$Q$2,0),0)</f>
        <v>0</v>
      </c>
      <c r="R402" s="9">
        <f>IFERROR(VLOOKUP(B402,cubo!$A$6:$BE$37,40,0)-VLOOKUP(B402,#REF!,$R$2,0),0)</f>
        <v>0</v>
      </c>
      <c r="S402" s="9">
        <f>IFERROR(VLOOKUP(B402,cubo!$A$6:$BE$37,43,0)-VLOOKUP(B402,#REF!,$S$2,0),0)</f>
        <v>0</v>
      </c>
      <c r="T402" s="9">
        <f>IFERROR(VLOOKUP(B402,cubo!$A$6:$BE$37,46,0)-VLOOKUP(B402,#REF!,$T$2,0),0)</f>
        <v>0</v>
      </c>
      <c r="U402" s="9">
        <f>IFERROR(VLOOKUP(B402,cubo!$A$6:$BE$37,51,0)-VLOOKUP(B402,#REF!,$U$2,0),0)</f>
        <v>0</v>
      </c>
      <c r="V402" s="9">
        <f>IFERROR(VLOOKUP(B402,cubo!$A$6:$BJ$37,60,0)-VLOOKUP(B402,#REF!,$V$2,0),0)</f>
        <v>0</v>
      </c>
      <c r="W402" s="9">
        <f>IFERROR(VLOOKUP(B402,cubo!$A$6:$BE$37,26,0)-VLOOKUP(B402,#REF!,$W$2,0),0)</f>
        <v>0</v>
      </c>
      <c r="X402" s="9">
        <f>IFERROR(VLOOKUP(B402,cubo!$A$6:$BE$37,20,0)-VLOOKUP(B402,#REF!,$X$2,0),0)</f>
        <v>0</v>
      </c>
      <c r="Y402" s="9">
        <f>IFERROR(VLOOKUP(B402,cubo!$A$6:$BE$37,21,0)-VLOOKUP(B402,#REF!,$Y$2,0),0)</f>
        <v>0</v>
      </c>
      <c r="Z402" s="9">
        <f>IFERROR(VLOOKUP(B402,cubo!$A$6:$BE$37,27,0)-VLOOKUP(B402,#REF!,$Z$2,0),0)</f>
        <v>0</v>
      </c>
      <c r="AA402" s="9">
        <f>IFERROR(VLOOKUP(B402,cubo!$A$6:$BE$37,28,0)-VLOOKUP(B402,#REF!,$AA$2,0),0)</f>
        <v>0</v>
      </c>
      <c r="AB402" s="9">
        <f>IFERROR(VLOOKUP(B402,cubo!$A$6:$BE$37,29,0)-VLOOKUP(B402,#REF!,$AB$2,0),0)</f>
        <v>0</v>
      </c>
      <c r="AC402" s="9">
        <f>IFERROR(VLOOKUP(B402,cubo!$A$6:$BE$37,30,0)-VLOOKUP(B402,#REF!,$AC$2,0),0)</f>
        <v>0</v>
      </c>
      <c r="AD402" s="9">
        <f>IFERROR(VLOOKUP(B402,cubo!$A$6:$BE$37,31,0)-VLOOKUP(B402,#REF!,$AD$2,0),0)</f>
        <v>0</v>
      </c>
      <c r="AE402" s="9">
        <f>IFERROR(VLOOKUP(B402,cubo!$A$6:$BE$37,35,0)-VLOOKUP(B402,#REF!,$AE$2,0),0)</f>
        <v>0</v>
      </c>
      <c r="AF402" s="9" cm="1">
        <f t="array" aca="1" ref="AF402" ca="1">IFERROR(rrPROCV(B402,cubo!$A$6:$BE$37,48,0)-VLOOKUP(B402,#REF!,$AF$2,0),0)</f>
        <v>0</v>
      </c>
      <c r="AG402" s="9">
        <f>IFERROR(VLOOKUP(B402,cubo!$A$6:$BE$37,49,0)-VLOOKUP(B402,#REF!,$AG$2,0),0)</f>
        <v>0</v>
      </c>
      <c r="AH402" s="9">
        <f>IFERROR(VLOOKUP(B402,cubo!$A$6:$BE$37,50,0)-VLOOKUP(B402,#REF!,$AH$2,0),0)</f>
        <v>0</v>
      </c>
      <c r="AI402" s="9">
        <f>IFERROR(VLOOKUP(B402,cubo!$A$6:$BE$37,51,0)-VLOOKUP(B402,#REF!,$AI$2,0),0)</f>
        <v>0</v>
      </c>
      <c r="AJ402" s="9">
        <f>IFERROR(VLOOKUP(B402,cubo!$A$6:$BI$116,62,0)-VLOOKUP(B402,#REF!,$AJ$2,0),0)</f>
        <v>0</v>
      </c>
      <c r="AK402" s="9">
        <f>IFERROR(VLOOKUP(B402,cubo!$A$6:$BJ$37,63,0)-VLOOKUP(B402,#REF!,$AK$2,0),0)</f>
        <v>0</v>
      </c>
      <c r="AL402" s="9">
        <f>IFERROR(VLOOKUP(B402,cubo!$A$6:$BE$37,58,0)-VLOOKUP(B402,#REF!,$AL$2,0),0)</f>
        <v>0</v>
      </c>
      <c r="AM402" s="9">
        <f>IFERROR(VLOOKUP(B402,cubo!$A$6:$BK$37,64,0)-VLOOKUP(B402,#REF!,$AM$2,0),0)</f>
        <v>0</v>
      </c>
      <c r="AN402" s="9">
        <f>IFERROR(VLOOKUP(B402,cubo!$A$6:$AN$37,41,0)-VLOOKUP(B402,#REF!,$AN$2,0),0)</f>
        <v>0</v>
      </c>
    </row>
    <row r="403" spans="2:40" x14ac:dyDescent="0.25">
      <c r="B403" s="7">
        <f>[1]salario!A402</f>
        <v>0</v>
      </c>
      <c r="C403" s="8">
        <f>[1]salario!C402</f>
        <v>0</v>
      </c>
      <c r="D403" s="9">
        <f>IFERROR(VLOOKUP(B403,cubo!$A$6:$BE$37,3,0)-VLOOKUP(B403,#REF!,$D$2,0),0)</f>
        <v>0</v>
      </c>
      <c r="E403" s="10">
        <f>IFERROR(VLOOKUP(B403,cubo!$A$6:$BE$37,5,0)-VLOOKUP(B403,#REF!,$E$2,0),0)</f>
        <v>0</v>
      </c>
      <c r="F403" s="10">
        <f>IFERROR(VLOOKUP(B403,cubo!$A$6:$BE$37,8,0)-VLOOKUP(B403,#REF!,$F$2,0),0)</f>
        <v>0</v>
      </c>
      <c r="G403" s="9">
        <f>IFERROR(VLOOKUP(B403,cubo!$A$6:$BE$37,11,0)-VLOOKUP(B403,#REF!,$G$2,0),0)</f>
        <v>0</v>
      </c>
      <c r="H403" s="9">
        <f>IFERROR(VLOOKUP(B403,cubo!$A$6:$BE$37,53,0)-VLOOKUP(B403,#REF!,$H$2,0),0)</f>
        <v>0</v>
      </c>
      <c r="I403" s="10">
        <f>IFERROR(VLOOKUP(B403,cubo!$A$6:$BE$37,14,0)-VLOOKUP(B403,#REF!,$I$2,0),0)</f>
        <v>0</v>
      </c>
      <c r="J403" s="9">
        <f>IFERROR(VLOOKUP(B403,cubo!$A$6:$BE$37,16,0)-VLOOKUP(B403,#REF!,$J$2,0),0)</f>
        <v>0</v>
      </c>
      <c r="K403" s="9">
        <f>IFERROR(VLOOKUP(B403,cubo!$A$6:$BE$37,17,0)-VLOOKUP(B403,#REF!,$K$2,0),0)</f>
        <v>0</v>
      </c>
      <c r="L403" s="9">
        <f>IFERROR(VLOOKUP(B403,cubo!$A$6:$BE$37,19,0)-VLOOKUP(B403,#REF!,$L$2,0),0)</f>
        <v>0</v>
      </c>
      <c r="M403" s="9">
        <f>IFERROR(VLOOKUP(B403,cubo!$A$6:$BE$37,23,0)-VLOOKUP(B403,#REF!,$M$2,0),0)</f>
        <v>0</v>
      </c>
      <c r="N403" s="9">
        <f>IFERROR(VLOOKUP(B403,cubo!$A$6:$BE$37,25,0)-VLOOKUP(B403,#REF!,$N$2,0),0)</f>
        <v>0</v>
      </c>
      <c r="O403" s="9">
        <f>IFERROR(VLOOKUP(B403,cubo!$A$6:$BE$37,33,0)-VLOOKUP(B403,#REF!,$O$2,0),0)</f>
        <v>0</v>
      </c>
      <c r="P403" s="8">
        <f>IFERROR(VLOOKUP(B403,cubo!$A$6:$BE$37,37,0)-VLOOKUP(B403,#REF!,$P$2,0),0)</f>
        <v>0</v>
      </c>
      <c r="Q403" s="8">
        <f>IFERROR(VLOOKUP(B403,cubo!$A$6:$BE$37,56,0)-VLOOKUP(B403,#REF!,$Q$2,0),0)</f>
        <v>0</v>
      </c>
      <c r="R403" s="9">
        <f>IFERROR(VLOOKUP(B403,cubo!$A$6:$BE$37,40,0)-VLOOKUP(B403,#REF!,$R$2,0),0)</f>
        <v>0</v>
      </c>
      <c r="S403" s="9">
        <f>IFERROR(VLOOKUP(B403,cubo!$A$6:$BE$37,43,0)-VLOOKUP(B403,#REF!,$S$2,0),0)</f>
        <v>0</v>
      </c>
      <c r="T403" s="9">
        <f>IFERROR(VLOOKUP(B403,cubo!$A$6:$BE$37,46,0)-VLOOKUP(B403,#REF!,$T$2,0),0)</f>
        <v>0</v>
      </c>
      <c r="U403" s="9">
        <f>IFERROR(VLOOKUP(B403,cubo!$A$6:$BE$37,51,0)-VLOOKUP(B403,#REF!,$U$2,0),0)</f>
        <v>0</v>
      </c>
      <c r="V403" s="9">
        <f>IFERROR(VLOOKUP(B403,cubo!$A$6:$BJ$37,60,0)-VLOOKUP(B403,#REF!,$V$2,0),0)</f>
        <v>0</v>
      </c>
      <c r="W403" s="9">
        <f>IFERROR(VLOOKUP(B403,cubo!$A$6:$BE$37,26,0)-VLOOKUP(B403,#REF!,$W$2,0),0)</f>
        <v>0</v>
      </c>
      <c r="X403" s="9">
        <f>IFERROR(VLOOKUP(B403,cubo!$A$6:$BE$37,20,0)-VLOOKUP(B403,#REF!,$X$2,0),0)</f>
        <v>0</v>
      </c>
      <c r="Y403" s="9">
        <f>IFERROR(VLOOKUP(B403,cubo!$A$6:$BE$37,21,0)-VLOOKUP(B403,#REF!,$Y$2,0),0)</f>
        <v>0</v>
      </c>
      <c r="Z403" s="9">
        <f>IFERROR(VLOOKUP(B403,cubo!$A$6:$BE$37,27,0)-VLOOKUP(B403,#REF!,$Z$2,0),0)</f>
        <v>0</v>
      </c>
      <c r="AA403" s="9">
        <f>IFERROR(VLOOKUP(B403,cubo!$A$6:$BE$37,28,0)-VLOOKUP(B403,#REF!,$AA$2,0),0)</f>
        <v>0</v>
      </c>
      <c r="AB403" s="9">
        <f>IFERROR(VLOOKUP(B403,cubo!$A$6:$BE$37,29,0)-VLOOKUP(B403,#REF!,$AB$2,0),0)</f>
        <v>0</v>
      </c>
      <c r="AC403" s="9">
        <f>IFERROR(VLOOKUP(B403,cubo!$A$6:$BE$37,30,0)-VLOOKUP(B403,#REF!,$AC$2,0),0)</f>
        <v>0</v>
      </c>
      <c r="AD403" s="9">
        <f>IFERROR(VLOOKUP(B403,cubo!$A$6:$BE$37,31,0)-VLOOKUP(B403,#REF!,$AD$2,0),0)</f>
        <v>0</v>
      </c>
      <c r="AE403" s="9">
        <f>IFERROR(VLOOKUP(B403,cubo!$A$6:$BE$37,35,0)-VLOOKUP(B403,#REF!,$AE$2,0),0)</f>
        <v>0</v>
      </c>
      <c r="AF403" s="9" cm="1">
        <f t="array" aca="1" ref="AF403" ca="1">IFERROR(rrPROCV(B403,cubo!$A$6:$BE$37,48,0)-VLOOKUP(B403,#REF!,$AF$2,0),0)</f>
        <v>0</v>
      </c>
      <c r="AG403" s="9">
        <f>IFERROR(VLOOKUP(B403,cubo!$A$6:$BE$37,49,0)-VLOOKUP(B403,#REF!,$AG$2,0),0)</f>
        <v>0</v>
      </c>
      <c r="AH403" s="9">
        <f>IFERROR(VLOOKUP(B403,cubo!$A$6:$BE$37,50,0)-VLOOKUP(B403,#REF!,$AH$2,0),0)</f>
        <v>0</v>
      </c>
      <c r="AI403" s="9">
        <f>IFERROR(VLOOKUP(B403,cubo!$A$6:$BE$37,51,0)-VLOOKUP(B403,#REF!,$AI$2,0),0)</f>
        <v>0</v>
      </c>
      <c r="AJ403" s="9">
        <f>IFERROR(VLOOKUP(B403,cubo!$A$6:$BI$116,62,0)-VLOOKUP(B403,#REF!,$AJ$2,0),0)</f>
        <v>0</v>
      </c>
      <c r="AK403" s="9">
        <f>IFERROR(VLOOKUP(B403,cubo!$A$6:$BJ$37,63,0)-VLOOKUP(B403,#REF!,$AK$2,0),0)</f>
        <v>0</v>
      </c>
      <c r="AL403" s="9">
        <f>IFERROR(VLOOKUP(B403,cubo!$A$6:$BE$37,58,0)-VLOOKUP(B403,#REF!,$AL$2,0),0)</f>
        <v>0</v>
      </c>
      <c r="AM403" s="9">
        <f>IFERROR(VLOOKUP(B403,cubo!$A$6:$BK$37,64,0)-VLOOKUP(B403,#REF!,$AM$2,0),0)</f>
        <v>0</v>
      </c>
      <c r="AN403" s="9">
        <f>IFERROR(VLOOKUP(B403,cubo!$A$6:$AN$37,41,0)-VLOOKUP(B403,#REF!,$AN$2,0),0)</f>
        <v>0</v>
      </c>
    </row>
    <row r="404" spans="2:40" x14ac:dyDescent="0.25">
      <c r="B404" s="7">
        <f>[1]salario!A403</f>
        <v>0</v>
      </c>
      <c r="C404" s="8">
        <f>[1]salario!C403</f>
        <v>0</v>
      </c>
      <c r="D404" s="9">
        <f>IFERROR(VLOOKUP(B404,cubo!$A$6:$BE$37,3,0)-VLOOKUP(B404,#REF!,$D$2,0),0)</f>
        <v>0</v>
      </c>
      <c r="E404" s="10">
        <f>IFERROR(VLOOKUP(B404,cubo!$A$6:$BE$37,5,0)-VLOOKUP(B404,#REF!,$E$2,0),0)</f>
        <v>0</v>
      </c>
      <c r="F404" s="10">
        <f>IFERROR(VLOOKUP(B404,cubo!$A$6:$BE$37,8,0)-VLOOKUP(B404,#REF!,$F$2,0),0)</f>
        <v>0</v>
      </c>
      <c r="G404" s="9">
        <f>IFERROR(VLOOKUP(B404,cubo!$A$6:$BE$37,11,0)-VLOOKUP(B404,#REF!,$G$2,0),0)</f>
        <v>0</v>
      </c>
      <c r="H404" s="9">
        <f>IFERROR(VLOOKUP(B404,cubo!$A$6:$BE$37,53,0)-VLOOKUP(B404,#REF!,$H$2,0),0)</f>
        <v>0</v>
      </c>
      <c r="I404" s="10">
        <f>IFERROR(VLOOKUP(B404,cubo!$A$6:$BE$37,14,0)-VLOOKUP(B404,#REF!,$I$2,0),0)</f>
        <v>0</v>
      </c>
      <c r="J404" s="9">
        <f>IFERROR(VLOOKUP(B404,cubo!$A$6:$BE$37,16,0)-VLOOKUP(B404,#REF!,$J$2,0),0)</f>
        <v>0</v>
      </c>
      <c r="K404" s="9">
        <f>IFERROR(VLOOKUP(B404,cubo!$A$6:$BE$37,17,0)-VLOOKUP(B404,#REF!,$K$2,0),0)</f>
        <v>0</v>
      </c>
      <c r="L404" s="9">
        <f>IFERROR(VLOOKUP(B404,cubo!$A$6:$BE$37,19,0)-VLOOKUP(B404,#REF!,$L$2,0),0)</f>
        <v>0</v>
      </c>
      <c r="M404" s="9">
        <f>IFERROR(VLOOKUP(B404,cubo!$A$6:$BE$37,23,0)-VLOOKUP(B404,#REF!,$M$2,0),0)</f>
        <v>0</v>
      </c>
      <c r="N404" s="9">
        <f>IFERROR(VLOOKUP(B404,cubo!$A$6:$BE$37,25,0)-VLOOKUP(B404,#REF!,$N$2,0),0)</f>
        <v>0</v>
      </c>
      <c r="O404" s="9">
        <f>IFERROR(VLOOKUP(B404,cubo!$A$6:$BE$37,33,0)-VLOOKUP(B404,#REF!,$O$2,0),0)</f>
        <v>0</v>
      </c>
      <c r="P404" s="8">
        <f>IFERROR(VLOOKUP(B404,cubo!$A$6:$BE$37,37,0)-VLOOKUP(B404,#REF!,$P$2,0),0)</f>
        <v>0</v>
      </c>
      <c r="Q404" s="8">
        <f>IFERROR(VLOOKUP(B404,cubo!$A$6:$BE$37,56,0)-VLOOKUP(B404,#REF!,$Q$2,0),0)</f>
        <v>0</v>
      </c>
      <c r="R404" s="9">
        <f>IFERROR(VLOOKUP(B404,cubo!$A$6:$BE$37,40,0)-VLOOKUP(B404,#REF!,$R$2,0),0)</f>
        <v>0</v>
      </c>
      <c r="S404" s="9">
        <f>IFERROR(VLOOKUP(B404,cubo!$A$6:$BE$37,43,0)-VLOOKUP(B404,#REF!,$S$2,0),0)</f>
        <v>0</v>
      </c>
      <c r="T404" s="9">
        <f>IFERROR(VLOOKUP(B404,cubo!$A$6:$BE$37,46,0)-VLOOKUP(B404,#REF!,$T$2,0),0)</f>
        <v>0</v>
      </c>
      <c r="U404" s="9">
        <f>IFERROR(VLOOKUP(B404,cubo!$A$6:$BE$37,51,0)-VLOOKUP(B404,#REF!,$U$2,0),0)</f>
        <v>0</v>
      </c>
      <c r="V404" s="9">
        <f>IFERROR(VLOOKUP(B404,cubo!$A$6:$BJ$37,60,0)-VLOOKUP(B404,#REF!,$V$2,0),0)</f>
        <v>0</v>
      </c>
      <c r="W404" s="9">
        <f>IFERROR(VLOOKUP(B404,cubo!$A$6:$BE$37,26,0)-VLOOKUP(B404,#REF!,$W$2,0),0)</f>
        <v>0</v>
      </c>
      <c r="X404" s="9">
        <f>IFERROR(VLOOKUP(B404,cubo!$A$6:$BE$37,20,0)-VLOOKUP(B404,#REF!,$X$2,0),0)</f>
        <v>0</v>
      </c>
      <c r="Y404" s="9">
        <f>IFERROR(VLOOKUP(B404,cubo!$A$6:$BE$37,21,0)-VLOOKUP(B404,#REF!,$Y$2,0),0)</f>
        <v>0</v>
      </c>
      <c r="Z404" s="9">
        <f>IFERROR(VLOOKUP(B404,cubo!$A$6:$BE$37,27,0)-VLOOKUP(B404,#REF!,$Z$2,0),0)</f>
        <v>0</v>
      </c>
      <c r="AA404" s="9">
        <f>IFERROR(VLOOKUP(B404,cubo!$A$6:$BE$37,28,0)-VLOOKUP(B404,#REF!,$AA$2,0),0)</f>
        <v>0</v>
      </c>
      <c r="AB404" s="9">
        <f>IFERROR(VLOOKUP(B404,cubo!$A$6:$BE$37,29,0)-VLOOKUP(B404,#REF!,$AB$2,0),0)</f>
        <v>0</v>
      </c>
      <c r="AC404" s="9">
        <f>IFERROR(VLOOKUP(B404,cubo!$A$6:$BE$37,30,0)-VLOOKUP(B404,#REF!,$AC$2,0),0)</f>
        <v>0</v>
      </c>
      <c r="AD404" s="9">
        <f>IFERROR(VLOOKUP(B404,cubo!$A$6:$BE$37,31,0)-VLOOKUP(B404,#REF!,$AD$2,0),0)</f>
        <v>0</v>
      </c>
      <c r="AE404" s="9">
        <f>IFERROR(VLOOKUP(B404,cubo!$A$6:$BE$37,35,0)-VLOOKUP(B404,#REF!,$AE$2,0),0)</f>
        <v>0</v>
      </c>
      <c r="AF404" s="9" cm="1">
        <f t="array" aca="1" ref="AF404" ca="1">IFERROR(rrPROCV(B404,cubo!$A$6:$BE$37,48,0)-VLOOKUP(B404,#REF!,$AF$2,0),0)</f>
        <v>0</v>
      </c>
      <c r="AG404" s="9">
        <f>IFERROR(VLOOKUP(B404,cubo!$A$6:$BE$37,49,0)-VLOOKUP(B404,#REF!,$AG$2,0),0)</f>
        <v>0</v>
      </c>
      <c r="AH404" s="9">
        <f>IFERROR(VLOOKUP(B404,cubo!$A$6:$BE$37,50,0)-VLOOKUP(B404,#REF!,$AH$2,0),0)</f>
        <v>0</v>
      </c>
      <c r="AI404" s="9">
        <f>IFERROR(VLOOKUP(B404,cubo!$A$6:$BE$37,51,0)-VLOOKUP(B404,#REF!,$AI$2,0),0)</f>
        <v>0</v>
      </c>
      <c r="AJ404" s="9">
        <f>IFERROR(VLOOKUP(B404,cubo!$A$6:$BI$116,62,0)-VLOOKUP(B404,#REF!,$AJ$2,0),0)</f>
        <v>0</v>
      </c>
      <c r="AK404" s="9">
        <f>IFERROR(VLOOKUP(B404,cubo!$A$6:$BJ$37,63,0)-VLOOKUP(B404,#REF!,$AK$2,0),0)</f>
        <v>0</v>
      </c>
      <c r="AL404" s="9">
        <f>IFERROR(VLOOKUP(B404,cubo!$A$6:$BE$37,58,0)-VLOOKUP(B404,#REF!,$AL$2,0),0)</f>
        <v>0</v>
      </c>
      <c r="AM404" s="9">
        <f>IFERROR(VLOOKUP(B404,cubo!$A$6:$BK$37,64,0)-VLOOKUP(B404,#REF!,$AM$2,0),0)</f>
        <v>0</v>
      </c>
      <c r="AN404" s="9">
        <f>IFERROR(VLOOKUP(B404,cubo!$A$6:$AN$37,41,0)-VLOOKUP(B404,#REF!,$AN$2,0),0)</f>
        <v>0</v>
      </c>
    </row>
    <row r="405" spans="2:40" x14ac:dyDescent="0.25">
      <c r="B405" s="7">
        <f>[1]salario!A404</f>
        <v>0</v>
      </c>
      <c r="C405" s="8">
        <f>[1]salario!C404</f>
        <v>0</v>
      </c>
      <c r="D405" s="9">
        <f>IFERROR(VLOOKUP(B405,cubo!$A$6:$BE$37,3,0)-VLOOKUP(B405,#REF!,$D$2,0),0)</f>
        <v>0</v>
      </c>
      <c r="E405" s="10">
        <f>IFERROR(VLOOKUP(B405,cubo!$A$6:$BE$37,5,0)-VLOOKUP(B405,#REF!,$E$2,0),0)</f>
        <v>0</v>
      </c>
      <c r="F405" s="10">
        <f>IFERROR(VLOOKUP(B405,cubo!$A$6:$BE$37,8,0)-VLOOKUP(B405,#REF!,$F$2,0),0)</f>
        <v>0</v>
      </c>
      <c r="G405" s="9">
        <f>IFERROR(VLOOKUP(B405,cubo!$A$6:$BE$37,11,0)-VLOOKUP(B405,#REF!,$G$2,0),0)</f>
        <v>0</v>
      </c>
      <c r="H405" s="9">
        <f>IFERROR(VLOOKUP(B405,cubo!$A$6:$BE$37,53,0)-VLOOKUP(B405,#REF!,$H$2,0),0)</f>
        <v>0</v>
      </c>
      <c r="I405" s="10">
        <f>IFERROR(VLOOKUP(B405,cubo!$A$6:$BE$37,14,0)-VLOOKUP(B405,#REF!,$I$2,0),0)</f>
        <v>0</v>
      </c>
      <c r="J405" s="9">
        <f>IFERROR(VLOOKUP(B405,cubo!$A$6:$BE$37,16,0)-VLOOKUP(B405,#REF!,$J$2,0),0)</f>
        <v>0</v>
      </c>
      <c r="K405" s="9">
        <f>IFERROR(VLOOKUP(B405,cubo!$A$6:$BE$37,17,0)-VLOOKUP(B405,#REF!,$K$2,0),0)</f>
        <v>0</v>
      </c>
      <c r="L405" s="9">
        <f>IFERROR(VLOOKUP(B405,cubo!$A$6:$BE$37,19,0)-VLOOKUP(B405,#REF!,$L$2,0),0)</f>
        <v>0</v>
      </c>
      <c r="M405" s="9">
        <f>IFERROR(VLOOKUP(B405,cubo!$A$6:$BE$37,23,0)-VLOOKUP(B405,#REF!,$M$2,0),0)</f>
        <v>0</v>
      </c>
      <c r="N405" s="9">
        <f>IFERROR(VLOOKUP(B405,cubo!$A$6:$BE$37,25,0)-VLOOKUP(B405,#REF!,$N$2,0),0)</f>
        <v>0</v>
      </c>
      <c r="O405" s="9">
        <f>IFERROR(VLOOKUP(B405,cubo!$A$6:$BE$37,33,0)-VLOOKUP(B405,#REF!,$O$2,0),0)</f>
        <v>0</v>
      </c>
      <c r="P405" s="8">
        <f>IFERROR(VLOOKUP(B405,cubo!$A$6:$BE$37,37,0)-VLOOKUP(B405,#REF!,$P$2,0),0)</f>
        <v>0</v>
      </c>
      <c r="Q405" s="8">
        <f>IFERROR(VLOOKUP(B405,cubo!$A$6:$BE$37,56,0)-VLOOKUP(B405,#REF!,$Q$2,0),0)</f>
        <v>0</v>
      </c>
      <c r="R405" s="9">
        <f>IFERROR(VLOOKUP(B405,cubo!$A$6:$BE$37,40,0)-VLOOKUP(B405,#REF!,$R$2,0),0)</f>
        <v>0</v>
      </c>
      <c r="S405" s="9">
        <f>IFERROR(VLOOKUP(B405,cubo!$A$6:$BE$37,43,0)-VLOOKUP(B405,#REF!,$S$2,0),0)</f>
        <v>0</v>
      </c>
      <c r="T405" s="9">
        <f>IFERROR(VLOOKUP(B405,cubo!$A$6:$BE$37,46,0)-VLOOKUP(B405,#REF!,$T$2,0),0)</f>
        <v>0</v>
      </c>
      <c r="U405" s="9">
        <f>IFERROR(VLOOKUP(B405,cubo!$A$6:$BE$37,51,0)-VLOOKUP(B405,#REF!,$U$2,0),0)</f>
        <v>0</v>
      </c>
      <c r="V405" s="9">
        <f>IFERROR(VLOOKUP(B405,cubo!$A$6:$BJ$37,60,0)-VLOOKUP(B405,#REF!,$V$2,0),0)</f>
        <v>0</v>
      </c>
      <c r="W405" s="9">
        <f>IFERROR(VLOOKUP(B405,cubo!$A$6:$BE$37,26,0)-VLOOKUP(B405,#REF!,$W$2,0),0)</f>
        <v>0</v>
      </c>
      <c r="X405" s="9">
        <f>IFERROR(VLOOKUP(B405,cubo!$A$6:$BE$37,20,0)-VLOOKUP(B405,#REF!,$X$2,0),0)</f>
        <v>0</v>
      </c>
      <c r="Y405" s="9">
        <f>IFERROR(VLOOKUP(B405,cubo!$A$6:$BE$37,21,0)-VLOOKUP(B405,#REF!,$Y$2,0),0)</f>
        <v>0</v>
      </c>
      <c r="Z405" s="9">
        <f>IFERROR(VLOOKUP(B405,cubo!$A$6:$BE$37,27,0)-VLOOKUP(B405,#REF!,$Z$2,0),0)</f>
        <v>0</v>
      </c>
      <c r="AA405" s="9">
        <f>IFERROR(VLOOKUP(B405,cubo!$A$6:$BE$37,28,0)-VLOOKUP(B405,#REF!,$AA$2,0),0)</f>
        <v>0</v>
      </c>
      <c r="AB405" s="9">
        <f>IFERROR(VLOOKUP(B405,cubo!$A$6:$BE$37,29,0)-VLOOKUP(B405,#REF!,$AB$2,0),0)</f>
        <v>0</v>
      </c>
      <c r="AC405" s="9">
        <f>IFERROR(VLOOKUP(B405,cubo!$A$6:$BE$37,30,0)-VLOOKUP(B405,#REF!,$AC$2,0),0)</f>
        <v>0</v>
      </c>
      <c r="AD405" s="9">
        <f>IFERROR(VLOOKUP(B405,cubo!$A$6:$BE$37,31,0)-VLOOKUP(B405,#REF!,$AD$2,0),0)</f>
        <v>0</v>
      </c>
      <c r="AE405" s="9">
        <f>IFERROR(VLOOKUP(B405,cubo!$A$6:$BE$37,35,0)-VLOOKUP(B405,#REF!,$AE$2,0),0)</f>
        <v>0</v>
      </c>
      <c r="AF405" s="9" cm="1">
        <f t="array" aca="1" ref="AF405" ca="1">IFERROR(rrPROCV(B405,cubo!$A$6:$BE$37,48,0)-VLOOKUP(B405,#REF!,$AF$2,0),0)</f>
        <v>0</v>
      </c>
      <c r="AG405" s="9">
        <f>IFERROR(VLOOKUP(B405,cubo!$A$6:$BE$37,49,0)-VLOOKUP(B405,#REF!,$AG$2,0),0)</f>
        <v>0</v>
      </c>
      <c r="AH405" s="9">
        <f>IFERROR(VLOOKUP(B405,cubo!$A$6:$BE$37,50,0)-VLOOKUP(B405,#REF!,$AH$2,0),0)</f>
        <v>0</v>
      </c>
      <c r="AI405" s="9">
        <f>IFERROR(VLOOKUP(B405,cubo!$A$6:$BE$37,51,0)-VLOOKUP(B405,#REF!,$AI$2,0),0)</f>
        <v>0</v>
      </c>
      <c r="AJ405" s="9">
        <f>IFERROR(VLOOKUP(B405,cubo!$A$6:$BI$116,62,0)-VLOOKUP(B405,#REF!,$AJ$2,0),0)</f>
        <v>0</v>
      </c>
      <c r="AK405" s="9">
        <f>IFERROR(VLOOKUP(B405,cubo!$A$6:$BJ$37,63,0)-VLOOKUP(B405,#REF!,$AK$2,0),0)</f>
        <v>0</v>
      </c>
      <c r="AL405" s="9">
        <f>IFERROR(VLOOKUP(B405,cubo!$A$6:$BE$37,58,0)-VLOOKUP(B405,#REF!,$AL$2,0),0)</f>
        <v>0</v>
      </c>
      <c r="AM405" s="9">
        <f>IFERROR(VLOOKUP(B405,cubo!$A$6:$BK$37,64,0)-VLOOKUP(B405,#REF!,$AM$2,0),0)</f>
        <v>0</v>
      </c>
      <c r="AN405" s="9">
        <f>IFERROR(VLOOKUP(B405,cubo!$A$6:$AN$37,41,0)-VLOOKUP(B405,#REF!,$AN$2,0),0)</f>
        <v>0</v>
      </c>
    </row>
    <row r="406" spans="2:40" x14ac:dyDescent="0.25">
      <c r="B406" s="7">
        <f>[1]salario!A405</f>
        <v>0</v>
      </c>
      <c r="C406" s="8">
        <f>[1]salario!C405</f>
        <v>0</v>
      </c>
      <c r="D406" s="9">
        <f>IFERROR(VLOOKUP(B406,cubo!$A$6:$BE$37,3,0)-VLOOKUP(B406,#REF!,$D$2,0),0)</f>
        <v>0</v>
      </c>
      <c r="E406" s="10">
        <f>IFERROR(VLOOKUP(B406,cubo!$A$6:$BE$37,5,0)-VLOOKUP(B406,#REF!,$E$2,0),0)</f>
        <v>0</v>
      </c>
      <c r="F406" s="10">
        <f>IFERROR(VLOOKUP(B406,cubo!$A$6:$BE$37,8,0)-VLOOKUP(B406,#REF!,$F$2,0),0)</f>
        <v>0</v>
      </c>
      <c r="G406" s="9">
        <f>IFERROR(VLOOKUP(B406,cubo!$A$6:$BE$37,11,0)-VLOOKUP(B406,#REF!,$G$2,0),0)</f>
        <v>0</v>
      </c>
      <c r="H406" s="9">
        <f>IFERROR(VLOOKUP(B406,cubo!$A$6:$BE$37,53,0)-VLOOKUP(B406,#REF!,$H$2,0),0)</f>
        <v>0</v>
      </c>
      <c r="I406" s="10">
        <f>IFERROR(VLOOKUP(B406,cubo!$A$6:$BE$37,14,0)-VLOOKUP(B406,#REF!,$I$2,0),0)</f>
        <v>0</v>
      </c>
      <c r="J406" s="9">
        <f>IFERROR(VLOOKUP(B406,cubo!$A$6:$BE$37,16,0)-VLOOKUP(B406,#REF!,$J$2,0),0)</f>
        <v>0</v>
      </c>
      <c r="K406" s="9">
        <f>IFERROR(VLOOKUP(B406,cubo!$A$6:$BE$37,17,0)-VLOOKUP(B406,#REF!,$K$2,0),0)</f>
        <v>0</v>
      </c>
      <c r="L406" s="9">
        <f>IFERROR(VLOOKUP(B406,cubo!$A$6:$BE$37,19,0)-VLOOKUP(B406,#REF!,$L$2,0),0)</f>
        <v>0</v>
      </c>
      <c r="M406" s="9">
        <f>IFERROR(VLOOKUP(B406,cubo!$A$6:$BE$37,23,0)-VLOOKUP(B406,#REF!,$M$2,0),0)</f>
        <v>0</v>
      </c>
      <c r="N406" s="9">
        <f>IFERROR(VLOOKUP(B406,cubo!$A$6:$BE$37,25,0)-VLOOKUP(B406,#REF!,$N$2,0),0)</f>
        <v>0</v>
      </c>
      <c r="O406" s="9">
        <f>IFERROR(VLOOKUP(B406,cubo!$A$6:$BE$37,33,0)-VLOOKUP(B406,#REF!,$O$2,0),0)</f>
        <v>0</v>
      </c>
      <c r="P406" s="8">
        <f>IFERROR(VLOOKUP(B406,cubo!$A$6:$BE$37,37,0)-VLOOKUP(B406,#REF!,$P$2,0),0)</f>
        <v>0</v>
      </c>
      <c r="Q406" s="8">
        <f>IFERROR(VLOOKUP(B406,cubo!$A$6:$BE$37,56,0)-VLOOKUP(B406,#REF!,$Q$2,0),0)</f>
        <v>0</v>
      </c>
      <c r="R406" s="9">
        <f>IFERROR(VLOOKUP(B406,cubo!$A$6:$BE$37,40,0)-VLOOKUP(B406,#REF!,$R$2,0),0)</f>
        <v>0</v>
      </c>
      <c r="S406" s="9">
        <f>IFERROR(VLOOKUP(B406,cubo!$A$6:$BE$37,43,0)-VLOOKUP(B406,#REF!,$S$2,0),0)</f>
        <v>0</v>
      </c>
      <c r="T406" s="9">
        <f>IFERROR(VLOOKUP(B406,cubo!$A$6:$BE$37,46,0)-VLOOKUP(B406,#REF!,$T$2,0),0)</f>
        <v>0</v>
      </c>
      <c r="U406" s="9">
        <f>IFERROR(VLOOKUP(B406,cubo!$A$6:$BE$37,51,0)-VLOOKUP(B406,#REF!,$U$2,0),0)</f>
        <v>0</v>
      </c>
      <c r="V406" s="9">
        <f>IFERROR(VLOOKUP(B406,cubo!$A$6:$BJ$37,60,0)-VLOOKUP(B406,#REF!,$V$2,0),0)</f>
        <v>0</v>
      </c>
      <c r="W406" s="9">
        <f>IFERROR(VLOOKUP(B406,cubo!$A$6:$BE$37,26,0)-VLOOKUP(B406,#REF!,$W$2,0),0)</f>
        <v>0</v>
      </c>
      <c r="X406" s="9">
        <f>IFERROR(VLOOKUP(B406,cubo!$A$6:$BE$37,20,0)-VLOOKUP(B406,#REF!,$X$2,0),0)</f>
        <v>0</v>
      </c>
      <c r="Y406" s="9">
        <f>IFERROR(VLOOKUP(B406,cubo!$A$6:$BE$37,21,0)-VLOOKUP(B406,#REF!,$Y$2,0),0)</f>
        <v>0</v>
      </c>
      <c r="Z406" s="9">
        <f>IFERROR(VLOOKUP(B406,cubo!$A$6:$BE$37,27,0)-VLOOKUP(B406,#REF!,$Z$2,0),0)</f>
        <v>0</v>
      </c>
      <c r="AA406" s="9">
        <f>IFERROR(VLOOKUP(B406,cubo!$A$6:$BE$37,28,0)-VLOOKUP(B406,#REF!,$AA$2,0),0)</f>
        <v>0</v>
      </c>
      <c r="AB406" s="9">
        <f>IFERROR(VLOOKUP(B406,cubo!$A$6:$BE$37,29,0)-VLOOKUP(B406,#REF!,$AB$2,0),0)</f>
        <v>0</v>
      </c>
      <c r="AC406" s="9">
        <f>IFERROR(VLOOKUP(B406,cubo!$A$6:$BE$37,30,0)-VLOOKUP(B406,#REF!,$AC$2,0),0)</f>
        <v>0</v>
      </c>
      <c r="AD406" s="9">
        <f>IFERROR(VLOOKUP(B406,cubo!$A$6:$BE$37,31,0)-VLOOKUP(B406,#REF!,$AD$2,0),0)</f>
        <v>0</v>
      </c>
      <c r="AE406" s="9">
        <f>IFERROR(VLOOKUP(B406,cubo!$A$6:$BE$37,35,0)-VLOOKUP(B406,#REF!,$AE$2,0),0)</f>
        <v>0</v>
      </c>
      <c r="AF406" s="9" cm="1">
        <f t="array" aca="1" ref="AF406" ca="1">IFERROR(rrPROCV(B406,cubo!$A$6:$BE$37,48,0)-VLOOKUP(B406,#REF!,$AF$2,0),0)</f>
        <v>0</v>
      </c>
      <c r="AG406" s="9">
        <f>IFERROR(VLOOKUP(B406,cubo!$A$6:$BE$37,49,0)-VLOOKUP(B406,#REF!,$AG$2,0),0)</f>
        <v>0</v>
      </c>
      <c r="AH406" s="9">
        <f>IFERROR(VLOOKUP(B406,cubo!$A$6:$BE$37,50,0)-VLOOKUP(B406,#REF!,$AH$2,0),0)</f>
        <v>0</v>
      </c>
      <c r="AI406" s="9">
        <f>IFERROR(VLOOKUP(B406,cubo!$A$6:$BE$37,51,0)-VLOOKUP(B406,#REF!,$AI$2,0),0)</f>
        <v>0</v>
      </c>
      <c r="AJ406" s="9">
        <f>IFERROR(VLOOKUP(B406,cubo!$A$6:$BI$116,62,0)-VLOOKUP(B406,#REF!,$AJ$2,0),0)</f>
        <v>0</v>
      </c>
      <c r="AK406" s="9">
        <f>IFERROR(VLOOKUP(B406,cubo!$A$6:$BJ$37,63,0)-VLOOKUP(B406,#REF!,$AK$2,0),0)</f>
        <v>0</v>
      </c>
      <c r="AL406" s="9">
        <f>IFERROR(VLOOKUP(B406,cubo!$A$6:$BE$37,58,0)-VLOOKUP(B406,#REF!,$AL$2,0),0)</f>
        <v>0</v>
      </c>
      <c r="AM406" s="9">
        <f>IFERROR(VLOOKUP(B406,cubo!$A$6:$BK$37,64,0)-VLOOKUP(B406,#REF!,$AM$2,0),0)</f>
        <v>0</v>
      </c>
      <c r="AN406" s="9">
        <f>IFERROR(VLOOKUP(B406,cubo!$A$6:$AN$37,41,0)-VLOOKUP(B406,#REF!,$AN$2,0),0)</f>
        <v>0</v>
      </c>
    </row>
    <row r="407" spans="2:40" x14ac:dyDescent="0.25">
      <c r="B407" s="7">
        <f>[1]salario!A406</f>
        <v>0</v>
      </c>
      <c r="C407" s="8">
        <f>[1]salario!C406</f>
        <v>0</v>
      </c>
      <c r="D407" s="9">
        <f>IFERROR(VLOOKUP(B407,cubo!$A$6:$BE$37,3,0)-VLOOKUP(B407,#REF!,$D$2,0),0)</f>
        <v>0</v>
      </c>
      <c r="E407" s="10">
        <f>IFERROR(VLOOKUP(B407,cubo!$A$6:$BE$37,5,0)-VLOOKUP(B407,#REF!,$E$2,0),0)</f>
        <v>0</v>
      </c>
      <c r="F407" s="10">
        <f>IFERROR(VLOOKUP(B407,cubo!$A$6:$BE$37,8,0)-VLOOKUP(B407,#REF!,$F$2,0),0)</f>
        <v>0</v>
      </c>
      <c r="G407" s="9">
        <f>IFERROR(VLOOKUP(B407,cubo!$A$6:$BE$37,11,0)-VLOOKUP(B407,#REF!,$G$2,0),0)</f>
        <v>0</v>
      </c>
      <c r="H407" s="9">
        <f>IFERROR(VLOOKUP(B407,cubo!$A$6:$BE$37,53,0)-VLOOKUP(B407,#REF!,$H$2,0),0)</f>
        <v>0</v>
      </c>
      <c r="I407" s="10">
        <f>IFERROR(VLOOKUP(B407,cubo!$A$6:$BE$37,14,0)-VLOOKUP(B407,#REF!,$I$2,0),0)</f>
        <v>0</v>
      </c>
      <c r="J407" s="9">
        <f>IFERROR(VLOOKUP(B407,cubo!$A$6:$BE$37,16,0)-VLOOKUP(B407,#REF!,$J$2,0),0)</f>
        <v>0</v>
      </c>
      <c r="K407" s="9">
        <f>IFERROR(VLOOKUP(B407,cubo!$A$6:$BE$37,17,0)-VLOOKUP(B407,#REF!,$K$2,0),0)</f>
        <v>0</v>
      </c>
      <c r="L407" s="9">
        <f>IFERROR(VLOOKUP(B407,cubo!$A$6:$BE$37,19,0)-VLOOKUP(B407,#REF!,$L$2,0),0)</f>
        <v>0</v>
      </c>
      <c r="M407" s="9">
        <f>IFERROR(VLOOKUP(B407,cubo!$A$6:$BE$37,23,0)-VLOOKUP(B407,#REF!,$M$2,0),0)</f>
        <v>0</v>
      </c>
      <c r="N407" s="9">
        <f>IFERROR(VLOOKUP(B407,cubo!$A$6:$BE$37,25,0)-VLOOKUP(B407,#REF!,$N$2,0),0)</f>
        <v>0</v>
      </c>
      <c r="O407" s="9">
        <f>IFERROR(VLOOKUP(B407,cubo!$A$6:$BE$37,33,0)-VLOOKUP(B407,#REF!,$O$2,0),0)</f>
        <v>0</v>
      </c>
      <c r="P407" s="8">
        <f>IFERROR(VLOOKUP(B407,cubo!$A$6:$BE$37,37,0)-VLOOKUP(B407,#REF!,$P$2,0),0)</f>
        <v>0</v>
      </c>
      <c r="Q407" s="8">
        <f>IFERROR(VLOOKUP(B407,cubo!$A$6:$BE$37,56,0)-VLOOKUP(B407,#REF!,$Q$2,0),0)</f>
        <v>0</v>
      </c>
      <c r="R407" s="9">
        <f>IFERROR(VLOOKUP(B407,cubo!$A$6:$BE$37,40,0)-VLOOKUP(B407,#REF!,$R$2,0),0)</f>
        <v>0</v>
      </c>
      <c r="S407" s="9">
        <f>IFERROR(VLOOKUP(B407,cubo!$A$6:$BE$37,43,0)-VLOOKUP(B407,#REF!,$S$2,0),0)</f>
        <v>0</v>
      </c>
      <c r="T407" s="9">
        <f>IFERROR(VLOOKUP(B407,cubo!$A$6:$BE$37,46,0)-VLOOKUP(B407,#REF!,$T$2,0),0)</f>
        <v>0</v>
      </c>
      <c r="U407" s="9">
        <f>IFERROR(VLOOKUP(B407,cubo!$A$6:$BE$37,51,0)-VLOOKUP(B407,#REF!,$U$2,0),0)</f>
        <v>0</v>
      </c>
      <c r="V407" s="9">
        <f>IFERROR(VLOOKUP(B407,cubo!$A$6:$BJ$37,60,0)-VLOOKUP(B407,#REF!,$V$2,0),0)</f>
        <v>0</v>
      </c>
      <c r="W407" s="9">
        <f>IFERROR(VLOOKUP(B407,cubo!$A$6:$BE$37,26,0)-VLOOKUP(B407,#REF!,$W$2,0),0)</f>
        <v>0</v>
      </c>
      <c r="X407" s="9">
        <f>IFERROR(VLOOKUP(B407,cubo!$A$6:$BE$37,20,0)-VLOOKUP(B407,#REF!,$X$2,0),0)</f>
        <v>0</v>
      </c>
      <c r="Y407" s="9">
        <f>IFERROR(VLOOKUP(B407,cubo!$A$6:$BE$37,21,0)-VLOOKUP(B407,#REF!,$Y$2,0),0)</f>
        <v>0</v>
      </c>
      <c r="Z407" s="9">
        <f>IFERROR(VLOOKUP(B407,cubo!$A$6:$BE$37,27,0)-VLOOKUP(B407,#REF!,$Z$2,0),0)</f>
        <v>0</v>
      </c>
      <c r="AA407" s="9">
        <f>IFERROR(VLOOKUP(B407,cubo!$A$6:$BE$37,28,0)-VLOOKUP(B407,#REF!,$AA$2,0),0)</f>
        <v>0</v>
      </c>
      <c r="AB407" s="9">
        <f>IFERROR(VLOOKUP(B407,cubo!$A$6:$BE$37,29,0)-VLOOKUP(B407,#REF!,$AB$2,0),0)</f>
        <v>0</v>
      </c>
      <c r="AC407" s="9">
        <f>IFERROR(VLOOKUP(B407,cubo!$A$6:$BE$37,30,0)-VLOOKUP(B407,#REF!,$AC$2,0),0)</f>
        <v>0</v>
      </c>
      <c r="AD407" s="9">
        <f>IFERROR(VLOOKUP(B407,cubo!$A$6:$BE$37,31,0)-VLOOKUP(B407,#REF!,$AD$2,0),0)</f>
        <v>0</v>
      </c>
      <c r="AE407" s="9">
        <f>IFERROR(VLOOKUP(B407,cubo!$A$6:$BE$37,35,0)-VLOOKUP(B407,#REF!,$AE$2,0),0)</f>
        <v>0</v>
      </c>
      <c r="AF407" s="9" cm="1">
        <f t="array" aca="1" ref="AF407" ca="1">IFERROR(rrPROCV(B407,cubo!$A$6:$BE$37,48,0)-VLOOKUP(B407,#REF!,$AF$2,0),0)</f>
        <v>0</v>
      </c>
      <c r="AG407" s="9">
        <f>IFERROR(VLOOKUP(B407,cubo!$A$6:$BE$37,49,0)-VLOOKUP(B407,#REF!,$AG$2,0),0)</f>
        <v>0</v>
      </c>
      <c r="AH407" s="9">
        <f>IFERROR(VLOOKUP(B407,cubo!$A$6:$BE$37,50,0)-VLOOKUP(B407,#REF!,$AH$2,0),0)</f>
        <v>0</v>
      </c>
      <c r="AI407" s="9">
        <f>IFERROR(VLOOKUP(B407,cubo!$A$6:$BE$37,51,0)-VLOOKUP(B407,#REF!,$AI$2,0),0)</f>
        <v>0</v>
      </c>
      <c r="AJ407" s="9">
        <f>IFERROR(VLOOKUP(B407,cubo!$A$6:$BI$116,62,0)-VLOOKUP(B407,#REF!,$AJ$2,0),0)</f>
        <v>0</v>
      </c>
      <c r="AK407" s="9">
        <f>IFERROR(VLOOKUP(B407,cubo!$A$6:$BJ$37,63,0)-VLOOKUP(B407,#REF!,$AK$2,0),0)</f>
        <v>0</v>
      </c>
      <c r="AL407" s="9">
        <f>IFERROR(VLOOKUP(B407,cubo!$A$6:$BE$37,58,0)-VLOOKUP(B407,#REF!,$AL$2,0),0)</f>
        <v>0</v>
      </c>
      <c r="AM407" s="9">
        <f>IFERROR(VLOOKUP(B407,cubo!$A$6:$BK$37,64,0)-VLOOKUP(B407,#REF!,$AM$2,0),0)</f>
        <v>0</v>
      </c>
      <c r="AN407" s="9">
        <f>IFERROR(VLOOKUP(B407,cubo!$A$6:$AN$37,41,0)-VLOOKUP(B407,#REF!,$AN$2,0),0)</f>
        <v>0</v>
      </c>
    </row>
    <row r="408" spans="2:40" x14ac:dyDescent="0.25">
      <c r="B408" s="7">
        <f>[1]salario!A407</f>
        <v>0</v>
      </c>
      <c r="C408" s="8">
        <f>[1]salario!C407</f>
        <v>0</v>
      </c>
      <c r="D408" s="9">
        <f>IFERROR(VLOOKUP(B408,cubo!$A$6:$BE$37,3,0)-VLOOKUP(B408,#REF!,$D$2,0),0)</f>
        <v>0</v>
      </c>
      <c r="E408" s="10">
        <f>IFERROR(VLOOKUP(B408,cubo!$A$6:$BE$37,5,0)-VLOOKUP(B408,#REF!,$E$2,0),0)</f>
        <v>0</v>
      </c>
      <c r="F408" s="10">
        <f>IFERROR(VLOOKUP(B408,cubo!$A$6:$BE$37,8,0)-VLOOKUP(B408,#REF!,$F$2,0),0)</f>
        <v>0</v>
      </c>
      <c r="G408" s="9">
        <f>IFERROR(VLOOKUP(B408,cubo!$A$6:$BE$37,11,0)-VLOOKUP(B408,#REF!,$G$2,0),0)</f>
        <v>0</v>
      </c>
      <c r="H408" s="9">
        <f>IFERROR(VLOOKUP(B408,cubo!$A$6:$BE$37,53,0)-VLOOKUP(B408,#REF!,$H$2,0),0)</f>
        <v>0</v>
      </c>
      <c r="I408" s="10">
        <f>IFERROR(VLOOKUP(B408,cubo!$A$6:$BE$37,14,0)-VLOOKUP(B408,#REF!,$I$2,0),0)</f>
        <v>0</v>
      </c>
      <c r="J408" s="9">
        <f>IFERROR(VLOOKUP(B408,cubo!$A$6:$BE$37,16,0)-VLOOKUP(B408,#REF!,$J$2,0),0)</f>
        <v>0</v>
      </c>
      <c r="K408" s="9">
        <f>IFERROR(VLOOKUP(B408,cubo!$A$6:$BE$37,17,0)-VLOOKUP(B408,#REF!,$K$2,0),0)</f>
        <v>0</v>
      </c>
      <c r="L408" s="9">
        <f>IFERROR(VLOOKUP(B408,cubo!$A$6:$BE$37,19,0)-VLOOKUP(B408,#REF!,$L$2,0),0)</f>
        <v>0</v>
      </c>
      <c r="M408" s="9">
        <f>IFERROR(VLOOKUP(B408,cubo!$A$6:$BE$37,23,0)-VLOOKUP(B408,#REF!,$M$2,0),0)</f>
        <v>0</v>
      </c>
      <c r="N408" s="9">
        <f>IFERROR(VLOOKUP(B408,cubo!$A$6:$BE$37,25,0)-VLOOKUP(B408,#REF!,$N$2,0),0)</f>
        <v>0</v>
      </c>
      <c r="O408" s="9">
        <f>IFERROR(VLOOKUP(B408,cubo!$A$6:$BE$37,33,0)-VLOOKUP(B408,#REF!,$O$2,0),0)</f>
        <v>0</v>
      </c>
      <c r="P408" s="8">
        <f>IFERROR(VLOOKUP(B408,cubo!$A$6:$BE$37,37,0)-VLOOKUP(B408,#REF!,$P$2,0),0)</f>
        <v>0</v>
      </c>
      <c r="Q408" s="8">
        <f>IFERROR(VLOOKUP(B408,cubo!$A$6:$BE$37,56,0)-VLOOKUP(B408,#REF!,$Q$2,0),0)</f>
        <v>0</v>
      </c>
      <c r="R408" s="9">
        <f>IFERROR(VLOOKUP(B408,cubo!$A$6:$BE$37,40,0)-VLOOKUP(B408,#REF!,$R$2,0),0)</f>
        <v>0</v>
      </c>
      <c r="S408" s="9">
        <f>IFERROR(VLOOKUP(B408,cubo!$A$6:$BE$37,43,0)-VLOOKUP(B408,#REF!,$S$2,0),0)</f>
        <v>0</v>
      </c>
      <c r="T408" s="9">
        <f>IFERROR(VLOOKUP(B408,cubo!$A$6:$BE$37,46,0)-VLOOKUP(B408,#REF!,$T$2,0),0)</f>
        <v>0</v>
      </c>
      <c r="U408" s="9">
        <f>IFERROR(VLOOKUP(B408,cubo!$A$6:$BE$37,51,0)-VLOOKUP(B408,#REF!,$U$2,0),0)</f>
        <v>0</v>
      </c>
      <c r="V408" s="9">
        <f>IFERROR(VLOOKUP(B408,cubo!$A$6:$BJ$37,60,0)-VLOOKUP(B408,#REF!,$V$2,0),0)</f>
        <v>0</v>
      </c>
      <c r="W408" s="9">
        <f>IFERROR(VLOOKUP(B408,cubo!$A$6:$BE$37,26,0)-VLOOKUP(B408,#REF!,$W$2,0),0)</f>
        <v>0</v>
      </c>
      <c r="X408" s="9">
        <f>IFERROR(VLOOKUP(B408,cubo!$A$6:$BE$37,20,0)-VLOOKUP(B408,#REF!,$X$2,0),0)</f>
        <v>0</v>
      </c>
      <c r="Y408" s="9">
        <f>IFERROR(VLOOKUP(B408,cubo!$A$6:$BE$37,21,0)-VLOOKUP(B408,#REF!,$Y$2,0),0)</f>
        <v>0</v>
      </c>
      <c r="Z408" s="9">
        <f>IFERROR(VLOOKUP(B408,cubo!$A$6:$BE$37,27,0)-VLOOKUP(B408,#REF!,$Z$2,0),0)</f>
        <v>0</v>
      </c>
      <c r="AA408" s="9">
        <f>IFERROR(VLOOKUP(B408,cubo!$A$6:$BE$37,28,0)-VLOOKUP(B408,#REF!,$AA$2,0),0)</f>
        <v>0</v>
      </c>
      <c r="AB408" s="9">
        <f>IFERROR(VLOOKUP(B408,cubo!$A$6:$BE$37,29,0)-VLOOKUP(B408,#REF!,$AB$2,0),0)</f>
        <v>0</v>
      </c>
      <c r="AC408" s="9">
        <f>IFERROR(VLOOKUP(B408,cubo!$A$6:$BE$37,30,0)-VLOOKUP(B408,#REF!,$AC$2,0),0)</f>
        <v>0</v>
      </c>
      <c r="AD408" s="9">
        <f>IFERROR(VLOOKUP(B408,cubo!$A$6:$BE$37,31,0)-VLOOKUP(B408,#REF!,$AD$2,0),0)</f>
        <v>0</v>
      </c>
      <c r="AE408" s="9">
        <f>IFERROR(VLOOKUP(B408,cubo!$A$6:$BE$37,35,0)-VLOOKUP(B408,#REF!,$AE$2,0),0)</f>
        <v>0</v>
      </c>
      <c r="AF408" s="9" cm="1">
        <f t="array" aca="1" ref="AF408" ca="1">IFERROR(rrPROCV(B408,cubo!$A$6:$BE$37,48,0)-VLOOKUP(B408,#REF!,$AF$2,0),0)</f>
        <v>0</v>
      </c>
      <c r="AG408" s="9">
        <f>IFERROR(VLOOKUP(B408,cubo!$A$6:$BE$37,49,0)-VLOOKUP(B408,#REF!,$AG$2,0),0)</f>
        <v>0</v>
      </c>
      <c r="AH408" s="9">
        <f>IFERROR(VLOOKUP(B408,cubo!$A$6:$BE$37,50,0)-VLOOKUP(B408,#REF!,$AH$2,0),0)</f>
        <v>0</v>
      </c>
      <c r="AI408" s="9">
        <f>IFERROR(VLOOKUP(B408,cubo!$A$6:$BE$37,51,0)-VLOOKUP(B408,#REF!,$AI$2,0),0)</f>
        <v>0</v>
      </c>
      <c r="AJ408" s="9">
        <f>IFERROR(VLOOKUP(B408,cubo!$A$6:$BI$116,62,0)-VLOOKUP(B408,#REF!,$AJ$2,0),0)</f>
        <v>0</v>
      </c>
      <c r="AK408" s="9">
        <f>IFERROR(VLOOKUP(B408,cubo!$A$6:$BJ$37,63,0)-VLOOKUP(B408,#REF!,$AK$2,0),0)</f>
        <v>0</v>
      </c>
      <c r="AL408" s="9">
        <f>IFERROR(VLOOKUP(B408,cubo!$A$6:$BE$37,58,0)-VLOOKUP(B408,#REF!,$AL$2,0),0)</f>
        <v>0</v>
      </c>
      <c r="AM408" s="9">
        <f>IFERROR(VLOOKUP(B408,cubo!$A$6:$BK$37,64,0)-VLOOKUP(B408,#REF!,$AM$2,0),0)</f>
        <v>0</v>
      </c>
      <c r="AN408" s="9">
        <f>IFERROR(VLOOKUP(B408,cubo!$A$6:$AN$37,41,0)-VLOOKUP(B408,#REF!,$AN$2,0),0)</f>
        <v>0</v>
      </c>
    </row>
    <row r="409" spans="2:40" x14ac:dyDescent="0.25">
      <c r="B409" s="7">
        <f>[1]salario!A408</f>
        <v>0</v>
      </c>
      <c r="C409" s="8">
        <f>[1]salario!C408</f>
        <v>0</v>
      </c>
      <c r="D409" s="9">
        <f>IFERROR(VLOOKUP(B409,cubo!$A$6:$BE$37,3,0)-VLOOKUP(B409,#REF!,$D$2,0),0)</f>
        <v>0</v>
      </c>
      <c r="E409" s="10">
        <f>IFERROR(VLOOKUP(B409,cubo!$A$6:$BE$37,5,0)-VLOOKUP(B409,#REF!,$E$2,0),0)</f>
        <v>0</v>
      </c>
      <c r="F409" s="10">
        <f>IFERROR(VLOOKUP(B409,cubo!$A$6:$BE$37,8,0)-VLOOKUP(B409,#REF!,$F$2,0),0)</f>
        <v>0</v>
      </c>
      <c r="G409" s="9">
        <f>IFERROR(VLOOKUP(B409,cubo!$A$6:$BE$37,11,0)-VLOOKUP(B409,#REF!,$G$2,0),0)</f>
        <v>0</v>
      </c>
      <c r="H409" s="9">
        <f>IFERROR(VLOOKUP(B409,cubo!$A$6:$BE$37,53,0)-VLOOKUP(B409,#REF!,$H$2,0),0)</f>
        <v>0</v>
      </c>
      <c r="I409" s="10">
        <f>IFERROR(VLOOKUP(B409,cubo!$A$6:$BE$37,14,0)-VLOOKUP(B409,#REF!,$I$2,0),0)</f>
        <v>0</v>
      </c>
      <c r="J409" s="9">
        <f>IFERROR(VLOOKUP(B409,cubo!$A$6:$BE$37,16,0)-VLOOKUP(B409,#REF!,$J$2,0),0)</f>
        <v>0</v>
      </c>
      <c r="K409" s="9">
        <f>IFERROR(VLOOKUP(B409,cubo!$A$6:$BE$37,17,0)-VLOOKUP(B409,#REF!,$K$2,0),0)</f>
        <v>0</v>
      </c>
      <c r="L409" s="9">
        <f>IFERROR(VLOOKUP(B409,cubo!$A$6:$BE$37,19,0)-VLOOKUP(B409,#REF!,$L$2,0),0)</f>
        <v>0</v>
      </c>
      <c r="M409" s="9">
        <f>IFERROR(VLOOKUP(B409,cubo!$A$6:$BE$37,23,0)-VLOOKUP(B409,#REF!,$M$2,0),0)</f>
        <v>0</v>
      </c>
      <c r="N409" s="9">
        <f>IFERROR(VLOOKUP(B409,cubo!$A$6:$BE$37,25,0)-VLOOKUP(B409,#REF!,$N$2,0),0)</f>
        <v>0</v>
      </c>
      <c r="O409" s="9">
        <f>IFERROR(VLOOKUP(B409,cubo!$A$6:$BE$37,33,0)-VLOOKUP(B409,#REF!,$O$2,0),0)</f>
        <v>0</v>
      </c>
      <c r="P409" s="8">
        <f>IFERROR(VLOOKUP(B409,cubo!$A$6:$BE$37,37,0)-VLOOKUP(B409,#REF!,$P$2,0),0)</f>
        <v>0</v>
      </c>
      <c r="Q409" s="8">
        <f>IFERROR(VLOOKUP(B409,cubo!$A$6:$BE$37,56,0)-VLOOKUP(B409,#REF!,$Q$2,0),0)</f>
        <v>0</v>
      </c>
      <c r="R409" s="9">
        <f>IFERROR(VLOOKUP(B409,cubo!$A$6:$BE$37,40,0)-VLOOKUP(B409,#REF!,$R$2,0),0)</f>
        <v>0</v>
      </c>
      <c r="S409" s="9">
        <f>IFERROR(VLOOKUP(B409,cubo!$A$6:$BE$37,43,0)-VLOOKUP(B409,#REF!,$S$2,0),0)</f>
        <v>0</v>
      </c>
      <c r="T409" s="9">
        <f>IFERROR(VLOOKUP(B409,cubo!$A$6:$BE$37,46,0)-VLOOKUP(B409,#REF!,$T$2,0),0)</f>
        <v>0</v>
      </c>
      <c r="U409" s="9">
        <f>IFERROR(VLOOKUP(B409,cubo!$A$6:$BE$37,51,0)-VLOOKUP(B409,#REF!,$U$2,0),0)</f>
        <v>0</v>
      </c>
      <c r="V409" s="9">
        <f>IFERROR(VLOOKUP(B409,cubo!$A$6:$BJ$37,60,0)-VLOOKUP(B409,#REF!,$V$2,0),0)</f>
        <v>0</v>
      </c>
      <c r="W409" s="9">
        <f>IFERROR(VLOOKUP(B409,cubo!$A$6:$BE$37,26,0)-VLOOKUP(B409,#REF!,$W$2,0),0)</f>
        <v>0</v>
      </c>
      <c r="X409" s="9">
        <f>IFERROR(VLOOKUP(B409,cubo!$A$6:$BE$37,20,0)-VLOOKUP(B409,#REF!,$X$2,0),0)</f>
        <v>0</v>
      </c>
      <c r="Y409" s="9">
        <f>IFERROR(VLOOKUP(B409,cubo!$A$6:$BE$37,21,0)-VLOOKUP(B409,#REF!,$Y$2,0),0)</f>
        <v>0</v>
      </c>
      <c r="Z409" s="9">
        <f>IFERROR(VLOOKUP(B409,cubo!$A$6:$BE$37,27,0)-VLOOKUP(B409,#REF!,$Z$2,0),0)</f>
        <v>0</v>
      </c>
      <c r="AA409" s="9">
        <f>IFERROR(VLOOKUP(B409,cubo!$A$6:$BE$37,28,0)-VLOOKUP(B409,#REF!,$AA$2,0),0)</f>
        <v>0</v>
      </c>
      <c r="AB409" s="9">
        <f>IFERROR(VLOOKUP(B409,cubo!$A$6:$BE$37,29,0)-VLOOKUP(B409,#REF!,$AB$2,0),0)</f>
        <v>0</v>
      </c>
      <c r="AC409" s="9">
        <f>IFERROR(VLOOKUP(B409,cubo!$A$6:$BE$37,30,0)-VLOOKUP(B409,#REF!,$AC$2,0),0)</f>
        <v>0</v>
      </c>
      <c r="AD409" s="9">
        <f>IFERROR(VLOOKUP(B409,cubo!$A$6:$BE$37,31,0)-VLOOKUP(B409,#REF!,$AD$2,0),0)</f>
        <v>0</v>
      </c>
      <c r="AE409" s="9">
        <f>IFERROR(VLOOKUP(B409,cubo!$A$6:$BE$37,35,0)-VLOOKUP(B409,#REF!,$AE$2,0),0)</f>
        <v>0</v>
      </c>
      <c r="AF409" s="9" cm="1">
        <f t="array" aca="1" ref="AF409" ca="1">IFERROR(rrPROCV(B409,cubo!$A$6:$BE$37,48,0)-VLOOKUP(B409,#REF!,$AF$2,0),0)</f>
        <v>0</v>
      </c>
      <c r="AG409" s="9">
        <f>IFERROR(VLOOKUP(B409,cubo!$A$6:$BE$37,49,0)-VLOOKUP(B409,#REF!,$AG$2,0),0)</f>
        <v>0</v>
      </c>
      <c r="AH409" s="9">
        <f>IFERROR(VLOOKUP(B409,cubo!$A$6:$BE$37,50,0)-VLOOKUP(B409,#REF!,$AH$2,0),0)</f>
        <v>0</v>
      </c>
      <c r="AI409" s="9">
        <f>IFERROR(VLOOKUP(B409,cubo!$A$6:$BE$37,51,0)-VLOOKUP(B409,#REF!,$AI$2,0),0)</f>
        <v>0</v>
      </c>
      <c r="AJ409" s="9">
        <f>IFERROR(VLOOKUP(B409,cubo!$A$6:$BI$116,62,0)-VLOOKUP(B409,#REF!,$AJ$2,0),0)</f>
        <v>0</v>
      </c>
      <c r="AK409" s="9">
        <f>IFERROR(VLOOKUP(B409,cubo!$A$6:$BJ$37,63,0)-VLOOKUP(B409,#REF!,$AK$2,0),0)</f>
        <v>0</v>
      </c>
      <c r="AL409" s="9">
        <f>IFERROR(VLOOKUP(B409,cubo!$A$6:$BE$37,58,0)-VLOOKUP(B409,#REF!,$AL$2,0),0)</f>
        <v>0</v>
      </c>
      <c r="AM409" s="9">
        <f>IFERROR(VLOOKUP(B409,cubo!$A$6:$BK$37,64,0)-VLOOKUP(B409,#REF!,$AM$2,0),0)</f>
        <v>0</v>
      </c>
      <c r="AN409" s="9">
        <f>IFERROR(VLOOKUP(B409,cubo!$A$6:$AN$37,41,0)-VLOOKUP(B409,#REF!,$AN$2,0),0)</f>
        <v>0</v>
      </c>
    </row>
    <row r="410" spans="2:40" x14ac:dyDescent="0.25">
      <c r="B410" s="7">
        <f>[1]salario!A409</f>
        <v>0</v>
      </c>
      <c r="C410" s="8">
        <f>[1]salario!C409</f>
        <v>0</v>
      </c>
      <c r="D410" s="9">
        <f>IFERROR(VLOOKUP(B410,cubo!$A$6:$BE$37,3,0)-VLOOKUP(B410,#REF!,$D$2,0),0)</f>
        <v>0</v>
      </c>
      <c r="E410" s="10">
        <f>IFERROR(VLOOKUP(B410,cubo!$A$6:$BE$37,5,0)-VLOOKUP(B410,#REF!,$E$2,0),0)</f>
        <v>0</v>
      </c>
      <c r="F410" s="10">
        <f>IFERROR(VLOOKUP(B410,cubo!$A$6:$BE$37,8,0)-VLOOKUP(B410,#REF!,$F$2,0),0)</f>
        <v>0</v>
      </c>
      <c r="G410" s="9">
        <f>IFERROR(VLOOKUP(B410,cubo!$A$6:$BE$37,11,0)-VLOOKUP(B410,#REF!,$G$2,0),0)</f>
        <v>0</v>
      </c>
      <c r="H410" s="9">
        <f>IFERROR(VLOOKUP(B410,cubo!$A$6:$BE$37,53,0)-VLOOKUP(B410,#REF!,$H$2,0),0)</f>
        <v>0</v>
      </c>
      <c r="I410" s="10">
        <f>IFERROR(VLOOKUP(B410,cubo!$A$6:$BE$37,14,0)-VLOOKUP(B410,#REF!,$I$2,0),0)</f>
        <v>0</v>
      </c>
      <c r="J410" s="9">
        <f>IFERROR(VLOOKUP(B410,cubo!$A$6:$BE$37,16,0)-VLOOKUP(B410,#REF!,$J$2,0),0)</f>
        <v>0</v>
      </c>
      <c r="K410" s="9">
        <f>IFERROR(VLOOKUP(B410,cubo!$A$6:$BE$37,17,0)-VLOOKUP(B410,#REF!,$K$2,0),0)</f>
        <v>0</v>
      </c>
      <c r="L410" s="9">
        <f>IFERROR(VLOOKUP(B410,cubo!$A$6:$BE$37,19,0)-VLOOKUP(B410,#REF!,$L$2,0),0)</f>
        <v>0</v>
      </c>
      <c r="M410" s="9">
        <f>IFERROR(VLOOKUP(B410,cubo!$A$6:$BE$37,23,0)-VLOOKUP(B410,#REF!,$M$2,0),0)</f>
        <v>0</v>
      </c>
      <c r="N410" s="9">
        <f>IFERROR(VLOOKUP(B410,cubo!$A$6:$BE$37,25,0)-VLOOKUP(B410,#REF!,$N$2,0),0)</f>
        <v>0</v>
      </c>
      <c r="O410" s="9">
        <f>IFERROR(VLOOKUP(B410,cubo!$A$6:$BE$37,33,0)-VLOOKUP(B410,#REF!,$O$2,0),0)</f>
        <v>0</v>
      </c>
      <c r="P410" s="8">
        <f>IFERROR(VLOOKUP(B410,cubo!$A$6:$BE$37,37,0)-VLOOKUP(B410,#REF!,$P$2,0),0)</f>
        <v>0</v>
      </c>
      <c r="Q410" s="8">
        <f>IFERROR(VLOOKUP(B410,cubo!$A$6:$BE$37,56,0)-VLOOKUP(B410,#REF!,$Q$2,0),0)</f>
        <v>0</v>
      </c>
      <c r="R410" s="9">
        <f>IFERROR(VLOOKUP(B410,cubo!$A$6:$BE$37,40,0)-VLOOKUP(B410,#REF!,$R$2,0),0)</f>
        <v>0</v>
      </c>
      <c r="S410" s="9">
        <f>IFERROR(VLOOKUP(B410,cubo!$A$6:$BE$37,43,0)-VLOOKUP(B410,#REF!,$S$2,0),0)</f>
        <v>0</v>
      </c>
      <c r="T410" s="9">
        <f>IFERROR(VLOOKUP(B410,cubo!$A$6:$BE$37,46,0)-VLOOKUP(B410,#REF!,$T$2,0),0)</f>
        <v>0</v>
      </c>
      <c r="U410" s="9">
        <f>IFERROR(VLOOKUP(B410,cubo!$A$6:$BE$37,51,0)-VLOOKUP(B410,#REF!,$U$2,0),0)</f>
        <v>0</v>
      </c>
      <c r="V410" s="9">
        <f>IFERROR(VLOOKUP(B410,cubo!$A$6:$BJ$37,60,0)-VLOOKUP(B410,#REF!,$V$2,0),0)</f>
        <v>0</v>
      </c>
      <c r="W410" s="9">
        <f>IFERROR(VLOOKUP(B410,cubo!$A$6:$BE$37,26,0)-VLOOKUP(B410,#REF!,$W$2,0),0)</f>
        <v>0</v>
      </c>
      <c r="X410" s="9">
        <f>IFERROR(VLOOKUP(B410,cubo!$A$6:$BE$37,20,0)-VLOOKUP(B410,#REF!,$X$2,0),0)</f>
        <v>0</v>
      </c>
      <c r="Y410" s="9">
        <f>IFERROR(VLOOKUP(B410,cubo!$A$6:$BE$37,21,0)-VLOOKUP(B410,#REF!,$Y$2,0),0)</f>
        <v>0</v>
      </c>
      <c r="Z410" s="9">
        <f>IFERROR(VLOOKUP(B410,cubo!$A$6:$BE$37,27,0)-VLOOKUP(B410,#REF!,$Z$2,0),0)</f>
        <v>0</v>
      </c>
      <c r="AA410" s="9">
        <f>IFERROR(VLOOKUP(B410,cubo!$A$6:$BE$37,28,0)-VLOOKUP(B410,#REF!,$AA$2,0),0)</f>
        <v>0</v>
      </c>
      <c r="AB410" s="9">
        <f>IFERROR(VLOOKUP(B410,cubo!$A$6:$BE$37,29,0)-VLOOKUP(B410,#REF!,$AB$2,0),0)</f>
        <v>0</v>
      </c>
      <c r="AC410" s="9">
        <f>IFERROR(VLOOKUP(B410,cubo!$A$6:$BE$37,30,0)-VLOOKUP(B410,#REF!,$AC$2,0),0)</f>
        <v>0</v>
      </c>
      <c r="AD410" s="9">
        <f>IFERROR(VLOOKUP(B410,cubo!$A$6:$BE$37,31,0)-VLOOKUP(B410,#REF!,$AD$2,0),0)</f>
        <v>0</v>
      </c>
      <c r="AE410" s="9">
        <f>IFERROR(VLOOKUP(B410,cubo!$A$6:$BE$37,35,0)-VLOOKUP(B410,#REF!,$AE$2,0),0)</f>
        <v>0</v>
      </c>
      <c r="AF410" s="9" cm="1">
        <f t="array" aca="1" ref="AF410" ca="1">IFERROR(rrPROCV(B410,cubo!$A$6:$BE$37,48,0)-VLOOKUP(B410,#REF!,$AF$2,0),0)</f>
        <v>0</v>
      </c>
      <c r="AG410" s="9">
        <f>IFERROR(VLOOKUP(B410,cubo!$A$6:$BE$37,49,0)-VLOOKUP(B410,#REF!,$AG$2,0),0)</f>
        <v>0</v>
      </c>
      <c r="AH410" s="9">
        <f>IFERROR(VLOOKUP(B410,cubo!$A$6:$BE$37,50,0)-VLOOKUP(B410,#REF!,$AH$2,0),0)</f>
        <v>0</v>
      </c>
      <c r="AI410" s="9">
        <f>IFERROR(VLOOKUP(B410,cubo!$A$6:$BE$37,51,0)-VLOOKUP(B410,#REF!,$AI$2,0),0)</f>
        <v>0</v>
      </c>
      <c r="AJ410" s="9">
        <f>IFERROR(VLOOKUP(B410,cubo!$A$6:$BI$116,62,0)-VLOOKUP(B410,#REF!,$AJ$2,0),0)</f>
        <v>0</v>
      </c>
      <c r="AK410" s="9">
        <f>IFERROR(VLOOKUP(B410,cubo!$A$6:$BJ$37,63,0)-VLOOKUP(B410,#REF!,$AK$2,0),0)</f>
        <v>0</v>
      </c>
      <c r="AL410" s="9">
        <f>IFERROR(VLOOKUP(B410,cubo!$A$6:$BE$37,58,0)-VLOOKUP(B410,#REF!,$AL$2,0),0)</f>
        <v>0</v>
      </c>
      <c r="AM410" s="9">
        <f>IFERROR(VLOOKUP(B410,cubo!$A$6:$BK$37,64,0)-VLOOKUP(B410,#REF!,$AM$2,0),0)</f>
        <v>0</v>
      </c>
      <c r="AN410" s="9">
        <f>IFERROR(VLOOKUP(B410,cubo!$A$6:$AN$37,41,0)-VLOOKUP(B410,#REF!,$AN$2,0),0)</f>
        <v>0</v>
      </c>
    </row>
    <row r="411" spans="2:40" x14ac:dyDescent="0.25">
      <c r="B411" s="7">
        <f>[1]salario!A410</f>
        <v>0</v>
      </c>
      <c r="C411" s="8">
        <f>[1]salario!C410</f>
        <v>0</v>
      </c>
      <c r="D411" s="9">
        <f>IFERROR(VLOOKUP(B411,cubo!$A$6:$BE$37,3,0)-VLOOKUP(B411,#REF!,$D$2,0),0)</f>
        <v>0</v>
      </c>
      <c r="E411" s="10">
        <f>IFERROR(VLOOKUP(B411,cubo!$A$6:$BE$37,5,0)-VLOOKUP(B411,#REF!,$E$2,0),0)</f>
        <v>0</v>
      </c>
      <c r="F411" s="10">
        <f>IFERROR(VLOOKUP(B411,cubo!$A$6:$BE$37,8,0)-VLOOKUP(B411,#REF!,$F$2,0),0)</f>
        <v>0</v>
      </c>
      <c r="G411" s="9">
        <f>IFERROR(VLOOKUP(B411,cubo!$A$6:$BE$37,11,0)-VLOOKUP(B411,#REF!,$G$2,0),0)</f>
        <v>0</v>
      </c>
      <c r="H411" s="9">
        <f>IFERROR(VLOOKUP(B411,cubo!$A$6:$BE$37,53,0)-VLOOKUP(B411,#REF!,$H$2,0),0)</f>
        <v>0</v>
      </c>
      <c r="I411" s="10">
        <f>IFERROR(VLOOKUP(B411,cubo!$A$6:$BE$37,14,0)-VLOOKUP(B411,#REF!,$I$2,0),0)</f>
        <v>0</v>
      </c>
      <c r="J411" s="9">
        <f>IFERROR(VLOOKUP(B411,cubo!$A$6:$BE$37,16,0)-VLOOKUP(B411,#REF!,$J$2,0),0)</f>
        <v>0</v>
      </c>
      <c r="K411" s="9">
        <f>IFERROR(VLOOKUP(B411,cubo!$A$6:$BE$37,17,0)-VLOOKUP(B411,#REF!,$K$2,0),0)</f>
        <v>0</v>
      </c>
      <c r="L411" s="9">
        <f>IFERROR(VLOOKUP(B411,cubo!$A$6:$BE$37,19,0)-VLOOKUP(B411,#REF!,$L$2,0),0)</f>
        <v>0</v>
      </c>
      <c r="M411" s="9">
        <f>IFERROR(VLOOKUP(B411,cubo!$A$6:$BE$37,23,0)-VLOOKUP(B411,#REF!,$M$2,0),0)</f>
        <v>0</v>
      </c>
      <c r="N411" s="9">
        <f>IFERROR(VLOOKUP(B411,cubo!$A$6:$BE$37,25,0)-VLOOKUP(B411,#REF!,$N$2,0),0)</f>
        <v>0</v>
      </c>
      <c r="O411" s="9">
        <f>IFERROR(VLOOKUP(B411,cubo!$A$6:$BE$37,33,0)-VLOOKUP(B411,#REF!,$O$2,0),0)</f>
        <v>0</v>
      </c>
      <c r="P411" s="8">
        <f>IFERROR(VLOOKUP(B411,cubo!$A$6:$BE$37,37,0)-VLOOKUP(B411,#REF!,$P$2,0),0)</f>
        <v>0</v>
      </c>
      <c r="Q411" s="8">
        <f>IFERROR(VLOOKUP(B411,cubo!$A$6:$BE$37,56,0)-VLOOKUP(B411,#REF!,$Q$2,0),0)</f>
        <v>0</v>
      </c>
      <c r="R411" s="9">
        <f>IFERROR(VLOOKUP(B411,cubo!$A$6:$BE$37,40,0)-VLOOKUP(B411,#REF!,$R$2,0),0)</f>
        <v>0</v>
      </c>
      <c r="S411" s="9">
        <f>IFERROR(VLOOKUP(B411,cubo!$A$6:$BE$37,43,0)-VLOOKUP(B411,#REF!,$S$2,0),0)</f>
        <v>0</v>
      </c>
      <c r="T411" s="9">
        <f>IFERROR(VLOOKUP(B411,cubo!$A$6:$BE$37,46,0)-VLOOKUP(B411,#REF!,$T$2,0),0)</f>
        <v>0</v>
      </c>
      <c r="U411" s="9">
        <f>IFERROR(VLOOKUP(B411,cubo!$A$6:$BE$37,51,0)-VLOOKUP(B411,#REF!,$U$2,0),0)</f>
        <v>0</v>
      </c>
      <c r="V411" s="9">
        <f>IFERROR(VLOOKUP(B411,cubo!$A$6:$BJ$37,60,0)-VLOOKUP(B411,#REF!,$V$2,0),0)</f>
        <v>0</v>
      </c>
      <c r="W411" s="9">
        <f>IFERROR(VLOOKUP(B411,cubo!$A$6:$BE$37,26,0)-VLOOKUP(B411,#REF!,$W$2,0),0)</f>
        <v>0</v>
      </c>
      <c r="X411" s="9">
        <f>IFERROR(VLOOKUP(B411,cubo!$A$6:$BE$37,20,0)-VLOOKUP(B411,#REF!,$X$2,0),0)</f>
        <v>0</v>
      </c>
      <c r="Y411" s="9">
        <f>IFERROR(VLOOKUP(B411,cubo!$A$6:$BE$37,21,0)-VLOOKUP(B411,#REF!,$Y$2,0),0)</f>
        <v>0</v>
      </c>
      <c r="Z411" s="9">
        <f>IFERROR(VLOOKUP(B411,cubo!$A$6:$BE$37,27,0)-VLOOKUP(B411,#REF!,$Z$2,0),0)</f>
        <v>0</v>
      </c>
      <c r="AA411" s="9">
        <f>IFERROR(VLOOKUP(B411,cubo!$A$6:$BE$37,28,0)-VLOOKUP(B411,#REF!,$AA$2,0),0)</f>
        <v>0</v>
      </c>
      <c r="AB411" s="9">
        <f>IFERROR(VLOOKUP(B411,cubo!$A$6:$BE$37,29,0)-VLOOKUP(B411,#REF!,$AB$2,0),0)</f>
        <v>0</v>
      </c>
      <c r="AC411" s="9">
        <f>IFERROR(VLOOKUP(B411,cubo!$A$6:$BE$37,30,0)-VLOOKUP(B411,#REF!,$AC$2,0),0)</f>
        <v>0</v>
      </c>
      <c r="AD411" s="9">
        <f>IFERROR(VLOOKUP(B411,cubo!$A$6:$BE$37,31,0)-VLOOKUP(B411,#REF!,$AD$2,0),0)</f>
        <v>0</v>
      </c>
      <c r="AE411" s="9">
        <f>IFERROR(VLOOKUP(B411,cubo!$A$6:$BE$37,35,0)-VLOOKUP(B411,#REF!,$AE$2,0),0)</f>
        <v>0</v>
      </c>
      <c r="AF411" s="9" cm="1">
        <f t="array" aca="1" ref="AF411" ca="1">IFERROR(rrPROCV(B411,cubo!$A$6:$BE$37,48,0)-VLOOKUP(B411,#REF!,$AF$2,0),0)</f>
        <v>0</v>
      </c>
      <c r="AG411" s="9">
        <f>IFERROR(VLOOKUP(B411,cubo!$A$6:$BE$37,49,0)-VLOOKUP(B411,#REF!,$AG$2,0),0)</f>
        <v>0</v>
      </c>
      <c r="AH411" s="9">
        <f>IFERROR(VLOOKUP(B411,cubo!$A$6:$BE$37,50,0)-VLOOKUP(B411,#REF!,$AH$2,0),0)</f>
        <v>0</v>
      </c>
      <c r="AI411" s="9">
        <f>IFERROR(VLOOKUP(B411,cubo!$A$6:$BE$37,51,0)-VLOOKUP(B411,#REF!,$AI$2,0),0)</f>
        <v>0</v>
      </c>
      <c r="AJ411" s="9">
        <f>IFERROR(VLOOKUP(B411,cubo!$A$6:$BI$116,62,0)-VLOOKUP(B411,#REF!,$AJ$2,0),0)</f>
        <v>0</v>
      </c>
      <c r="AK411" s="9">
        <f>IFERROR(VLOOKUP(B411,cubo!$A$6:$BJ$37,63,0)-VLOOKUP(B411,#REF!,$AK$2,0),0)</f>
        <v>0</v>
      </c>
      <c r="AL411" s="9">
        <f>IFERROR(VLOOKUP(B411,cubo!$A$6:$BE$37,58,0)-VLOOKUP(B411,#REF!,$AL$2,0),0)</f>
        <v>0</v>
      </c>
      <c r="AM411" s="9">
        <f>IFERROR(VLOOKUP(B411,cubo!$A$6:$BK$37,64,0)-VLOOKUP(B411,#REF!,$AM$2,0),0)</f>
        <v>0</v>
      </c>
      <c r="AN411" s="9">
        <f>IFERROR(VLOOKUP(B411,cubo!$A$6:$AN$37,41,0)-VLOOKUP(B411,#REF!,$AN$2,0),0)</f>
        <v>0</v>
      </c>
    </row>
    <row r="412" spans="2:40" x14ac:dyDescent="0.25">
      <c r="B412" s="7">
        <f>[1]salario!A411</f>
        <v>0</v>
      </c>
      <c r="C412" s="8">
        <f>[1]salario!C411</f>
        <v>0</v>
      </c>
      <c r="D412" s="9">
        <f>IFERROR(VLOOKUP(B412,cubo!$A$6:$BE$37,3,0)-VLOOKUP(B412,#REF!,$D$2,0),0)</f>
        <v>0</v>
      </c>
      <c r="E412" s="10">
        <f>IFERROR(VLOOKUP(B412,cubo!$A$6:$BE$37,5,0)-VLOOKUP(B412,#REF!,$E$2,0),0)</f>
        <v>0</v>
      </c>
      <c r="F412" s="10">
        <f>IFERROR(VLOOKUP(B412,cubo!$A$6:$BE$37,8,0)-VLOOKUP(B412,#REF!,$F$2,0),0)</f>
        <v>0</v>
      </c>
      <c r="G412" s="9">
        <f>IFERROR(VLOOKUP(B412,cubo!$A$6:$BE$37,11,0)-VLOOKUP(B412,#REF!,$G$2,0),0)</f>
        <v>0</v>
      </c>
      <c r="H412" s="9">
        <f>IFERROR(VLOOKUP(B412,cubo!$A$6:$BE$37,53,0)-VLOOKUP(B412,#REF!,$H$2,0),0)</f>
        <v>0</v>
      </c>
      <c r="I412" s="10">
        <f>IFERROR(VLOOKUP(B412,cubo!$A$6:$BE$37,14,0)-VLOOKUP(B412,#REF!,$I$2,0),0)</f>
        <v>0</v>
      </c>
      <c r="J412" s="9">
        <f>IFERROR(VLOOKUP(B412,cubo!$A$6:$BE$37,16,0)-VLOOKUP(B412,#REF!,$J$2,0),0)</f>
        <v>0</v>
      </c>
      <c r="K412" s="9">
        <f>IFERROR(VLOOKUP(B412,cubo!$A$6:$BE$37,17,0)-VLOOKUP(B412,#REF!,$K$2,0),0)</f>
        <v>0</v>
      </c>
      <c r="L412" s="9">
        <f>IFERROR(VLOOKUP(B412,cubo!$A$6:$BE$37,19,0)-VLOOKUP(B412,#REF!,$L$2,0),0)</f>
        <v>0</v>
      </c>
      <c r="M412" s="9">
        <f>IFERROR(VLOOKUP(B412,cubo!$A$6:$BE$37,23,0)-VLOOKUP(B412,#REF!,$M$2,0),0)</f>
        <v>0</v>
      </c>
      <c r="N412" s="9">
        <f>IFERROR(VLOOKUP(B412,cubo!$A$6:$BE$37,25,0)-VLOOKUP(B412,#REF!,$N$2,0),0)</f>
        <v>0</v>
      </c>
      <c r="O412" s="9">
        <f>IFERROR(VLOOKUP(B412,cubo!$A$6:$BE$37,33,0)-VLOOKUP(B412,#REF!,$O$2,0),0)</f>
        <v>0</v>
      </c>
      <c r="P412" s="8">
        <f>IFERROR(VLOOKUP(B412,cubo!$A$6:$BE$37,37,0)-VLOOKUP(B412,#REF!,$P$2,0),0)</f>
        <v>0</v>
      </c>
      <c r="Q412" s="8">
        <f>IFERROR(VLOOKUP(B412,cubo!$A$6:$BE$37,56,0)-VLOOKUP(B412,#REF!,$Q$2,0),0)</f>
        <v>0</v>
      </c>
      <c r="R412" s="9">
        <f>IFERROR(VLOOKUP(B412,cubo!$A$6:$BE$37,40,0)-VLOOKUP(B412,#REF!,$R$2,0),0)</f>
        <v>0</v>
      </c>
      <c r="S412" s="9">
        <f>IFERROR(VLOOKUP(B412,cubo!$A$6:$BE$37,43,0)-VLOOKUP(B412,#REF!,$S$2,0),0)</f>
        <v>0</v>
      </c>
      <c r="T412" s="9">
        <f>IFERROR(VLOOKUP(B412,cubo!$A$6:$BE$37,46,0)-VLOOKUP(B412,#REF!,$T$2,0),0)</f>
        <v>0</v>
      </c>
      <c r="U412" s="9">
        <f>IFERROR(VLOOKUP(B412,cubo!$A$6:$BE$37,51,0)-VLOOKUP(B412,#REF!,$U$2,0),0)</f>
        <v>0</v>
      </c>
      <c r="V412" s="9">
        <f>IFERROR(VLOOKUP(B412,cubo!$A$6:$BJ$37,60,0)-VLOOKUP(B412,#REF!,$V$2,0),0)</f>
        <v>0</v>
      </c>
      <c r="W412" s="9">
        <f>IFERROR(VLOOKUP(B412,cubo!$A$6:$BE$37,26,0)-VLOOKUP(B412,#REF!,$W$2,0),0)</f>
        <v>0</v>
      </c>
      <c r="X412" s="9">
        <f>IFERROR(VLOOKUP(B412,cubo!$A$6:$BE$37,20,0)-VLOOKUP(B412,#REF!,$X$2,0),0)</f>
        <v>0</v>
      </c>
      <c r="Y412" s="9">
        <f>IFERROR(VLOOKUP(B412,cubo!$A$6:$BE$37,21,0)-VLOOKUP(B412,#REF!,$Y$2,0),0)</f>
        <v>0</v>
      </c>
      <c r="Z412" s="9">
        <f>IFERROR(VLOOKUP(B412,cubo!$A$6:$BE$37,27,0)-VLOOKUP(B412,#REF!,$Z$2,0),0)</f>
        <v>0</v>
      </c>
      <c r="AA412" s="9">
        <f>IFERROR(VLOOKUP(B412,cubo!$A$6:$BE$37,28,0)-VLOOKUP(B412,#REF!,$AA$2,0),0)</f>
        <v>0</v>
      </c>
      <c r="AB412" s="9">
        <f>IFERROR(VLOOKUP(B412,cubo!$A$6:$BE$37,29,0)-VLOOKUP(B412,#REF!,$AB$2,0),0)</f>
        <v>0</v>
      </c>
      <c r="AC412" s="9">
        <f>IFERROR(VLOOKUP(B412,cubo!$A$6:$BE$37,30,0)-VLOOKUP(B412,#REF!,$AC$2,0),0)</f>
        <v>0</v>
      </c>
      <c r="AD412" s="9">
        <f>IFERROR(VLOOKUP(B412,cubo!$A$6:$BE$37,31,0)-VLOOKUP(B412,#REF!,$AD$2,0),0)</f>
        <v>0</v>
      </c>
      <c r="AE412" s="9">
        <f>IFERROR(VLOOKUP(B412,cubo!$A$6:$BE$37,35,0)-VLOOKUP(B412,#REF!,$AE$2,0),0)</f>
        <v>0</v>
      </c>
      <c r="AF412" s="9" cm="1">
        <f t="array" aca="1" ref="AF412" ca="1">IFERROR(rrPROCV(B412,cubo!$A$6:$BE$37,48,0)-VLOOKUP(B412,#REF!,$AF$2,0),0)</f>
        <v>0</v>
      </c>
      <c r="AG412" s="9">
        <f>IFERROR(VLOOKUP(B412,cubo!$A$6:$BE$37,49,0)-VLOOKUP(B412,#REF!,$AG$2,0),0)</f>
        <v>0</v>
      </c>
      <c r="AH412" s="9">
        <f>IFERROR(VLOOKUP(B412,cubo!$A$6:$BE$37,50,0)-VLOOKUP(B412,#REF!,$AH$2,0),0)</f>
        <v>0</v>
      </c>
      <c r="AI412" s="9">
        <f>IFERROR(VLOOKUP(B412,cubo!$A$6:$BE$37,51,0)-VLOOKUP(B412,#REF!,$AI$2,0),0)</f>
        <v>0</v>
      </c>
      <c r="AJ412" s="9">
        <f>IFERROR(VLOOKUP(B412,cubo!$A$6:$BI$116,62,0)-VLOOKUP(B412,#REF!,$AJ$2,0),0)</f>
        <v>0</v>
      </c>
      <c r="AK412" s="9">
        <f>IFERROR(VLOOKUP(B412,cubo!$A$6:$BJ$37,63,0)-VLOOKUP(B412,#REF!,$AK$2,0),0)</f>
        <v>0</v>
      </c>
      <c r="AL412" s="9">
        <f>IFERROR(VLOOKUP(B412,cubo!$A$6:$BE$37,58,0)-VLOOKUP(B412,#REF!,$AL$2,0),0)</f>
        <v>0</v>
      </c>
      <c r="AM412" s="9">
        <f>IFERROR(VLOOKUP(B412,cubo!$A$6:$BK$37,64,0)-VLOOKUP(B412,#REF!,$AM$2,0),0)</f>
        <v>0</v>
      </c>
      <c r="AN412" s="9">
        <f>IFERROR(VLOOKUP(B412,cubo!$A$6:$AN$37,41,0)-VLOOKUP(B412,#REF!,$AN$2,0),0)</f>
        <v>0</v>
      </c>
    </row>
    <row r="413" spans="2:40" x14ac:dyDescent="0.25">
      <c r="B413" s="7">
        <f>[1]salario!A412</f>
        <v>0</v>
      </c>
      <c r="C413" s="8">
        <f>[1]salario!C412</f>
        <v>0</v>
      </c>
      <c r="D413" s="9">
        <f>IFERROR(VLOOKUP(B413,cubo!$A$6:$BE$37,3,0)-VLOOKUP(B413,#REF!,$D$2,0),0)</f>
        <v>0</v>
      </c>
      <c r="E413" s="10">
        <f>IFERROR(VLOOKUP(B413,cubo!$A$6:$BE$37,5,0)-VLOOKUP(B413,#REF!,$E$2,0),0)</f>
        <v>0</v>
      </c>
      <c r="F413" s="10">
        <f>IFERROR(VLOOKUP(B413,cubo!$A$6:$BE$37,8,0)-VLOOKUP(B413,#REF!,$F$2,0),0)</f>
        <v>0</v>
      </c>
      <c r="G413" s="9">
        <f>IFERROR(VLOOKUP(B413,cubo!$A$6:$BE$37,11,0)-VLOOKUP(B413,#REF!,$G$2,0),0)</f>
        <v>0</v>
      </c>
      <c r="H413" s="9">
        <f>IFERROR(VLOOKUP(B413,cubo!$A$6:$BE$37,53,0)-VLOOKUP(B413,#REF!,$H$2,0),0)</f>
        <v>0</v>
      </c>
      <c r="I413" s="10">
        <f>IFERROR(VLOOKUP(B413,cubo!$A$6:$BE$37,14,0)-VLOOKUP(B413,#REF!,$I$2,0),0)</f>
        <v>0</v>
      </c>
      <c r="J413" s="9">
        <f>IFERROR(VLOOKUP(B413,cubo!$A$6:$BE$37,16,0)-VLOOKUP(B413,#REF!,$J$2,0),0)</f>
        <v>0</v>
      </c>
      <c r="K413" s="9">
        <f>IFERROR(VLOOKUP(B413,cubo!$A$6:$BE$37,17,0)-VLOOKUP(B413,#REF!,$K$2,0),0)</f>
        <v>0</v>
      </c>
      <c r="L413" s="9">
        <f>IFERROR(VLOOKUP(B413,cubo!$A$6:$BE$37,19,0)-VLOOKUP(B413,#REF!,$L$2,0),0)</f>
        <v>0</v>
      </c>
      <c r="M413" s="9">
        <f>IFERROR(VLOOKUP(B413,cubo!$A$6:$BE$37,23,0)-VLOOKUP(B413,#REF!,$M$2,0),0)</f>
        <v>0</v>
      </c>
      <c r="N413" s="9">
        <f>IFERROR(VLOOKUP(B413,cubo!$A$6:$BE$37,25,0)-VLOOKUP(B413,#REF!,$N$2,0),0)</f>
        <v>0</v>
      </c>
      <c r="O413" s="9">
        <f>IFERROR(VLOOKUP(B413,cubo!$A$6:$BE$37,33,0)-VLOOKUP(B413,#REF!,$O$2,0),0)</f>
        <v>0</v>
      </c>
      <c r="P413" s="8">
        <f>IFERROR(VLOOKUP(B413,cubo!$A$6:$BE$37,37,0)-VLOOKUP(B413,#REF!,$P$2,0),0)</f>
        <v>0</v>
      </c>
      <c r="Q413" s="8">
        <f>IFERROR(VLOOKUP(B413,cubo!$A$6:$BE$37,56,0)-VLOOKUP(B413,#REF!,$Q$2,0),0)</f>
        <v>0</v>
      </c>
      <c r="R413" s="9">
        <f>IFERROR(VLOOKUP(B413,cubo!$A$6:$BE$37,40,0)-VLOOKUP(B413,#REF!,$R$2,0),0)</f>
        <v>0</v>
      </c>
      <c r="S413" s="9">
        <f>IFERROR(VLOOKUP(B413,cubo!$A$6:$BE$37,43,0)-VLOOKUP(B413,#REF!,$S$2,0),0)</f>
        <v>0</v>
      </c>
      <c r="T413" s="9">
        <f>IFERROR(VLOOKUP(B413,cubo!$A$6:$BE$37,46,0)-VLOOKUP(B413,#REF!,$T$2,0),0)</f>
        <v>0</v>
      </c>
      <c r="U413" s="9">
        <f>IFERROR(VLOOKUP(B413,cubo!$A$6:$BE$37,51,0)-VLOOKUP(B413,#REF!,$U$2,0),0)</f>
        <v>0</v>
      </c>
      <c r="V413" s="9">
        <f>IFERROR(VLOOKUP(B413,cubo!$A$6:$BJ$37,60,0)-VLOOKUP(B413,#REF!,$V$2,0),0)</f>
        <v>0</v>
      </c>
      <c r="W413" s="9">
        <f>IFERROR(VLOOKUP(B413,cubo!$A$6:$BE$37,26,0)-VLOOKUP(B413,#REF!,$W$2,0),0)</f>
        <v>0</v>
      </c>
      <c r="X413" s="9">
        <f>IFERROR(VLOOKUP(B413,cubo!$A$6:$BE$37,20,0)-VLOOKUP(B413,#REF!,$X$2,0),0)</f>
        <v>0</v>
      </c>
      <c r="Y413" s="9">
        <f>IFERROR(VLOOKUP(B413,cubo!$A$6:$BE$37,21,0)-VLOOKUP(B413,#REF!,$Y$2,0),0)</f>
        <v>0</v>
      </c>
      <c r="Z413" s="9">
        <f>IFERROR(VLOOKUP(B413,cubo!$A$6:$BE$37,27,0)-VLOOKUP(B413,#REF!,$Z$2,0),0)</f>
        <v>0</v>
      </c>
      <c r="AA413" s="9">
        <f>IFERROR(VLOOKUP(B413,cubo!$A$6:$BE$37,28,0)-VLOOKUP(B413,#REF!,$AA$2,0),0)</f>
        <v>0</v>
      </c>
      <c r="AB413" s="9">
        <f>IFERROR(VLOOKUP(B413,cubo!$A$6:$BE$37,29,0)-VLOOKUP(B413,#REF!,$AB$2,0),0)</f>
        <v>0</v>
      </c>
      <c r="AC413" s="9">
        <f>IFERROR(VLOOKUP(B413,cubo!$A$6:$BE$37,30,0)-VLOOKUP(B413,#REF!,$AC$2,0),0)</f>
        <v>0</v>
      </c>
      <c r="AD413" s="9">
        <f>IFERROR(VLOOKUP(B413,cubo!$A$6:$BE$37,31,0)-VLOOKUP(B413,#REF!,$AD$2,0),0)</f>
        <v>0</v>
      </c>
      <c r="AE413" s="9">
        <f>IFERROR(VLOOKUP(B413,cubo!$A$6:$BE$37,35,0)-VLOOKUP(B413,#REF!,$AE$2,0),0)</f>
        <v>0</v>
      </c>
      <c r="AF413" s="9" cm="1">
        <f t="array" aca="1" ref="AF413" ca="1">IFERROR(rrPROCV(B413,cubo!$A$6:$BE$37,48,0)-VLOOKUP(B413,#REF!,$AF$2,0),0)</f>
        <v>0</v>
      </c>
      <c r="AG413" s="9">
        <f>IFERROR(VLOOKUP(B413,cubo!$A$6:$BE$37,49,0)-VLOOKUP(B413,#REF!,$AG$2,0),0)</f>
        <v>0</v>
      </c>
      <c r="AH413" s="9">
        <f>IFERROR(VLOOKUP(B413,cubo!$A$6:$BE$37,50,0)-VLOOKUP(B413,#REF!,$AH$2,0),0)</f>
        <v>0</v>
      </c>
      <c r="AI413" s="9">
        <f>IFERROR(VLOOKUP(B413,cubo!$A$6:$BE$37,51,0)-VLOOKUP(B413,#REF!,$AI$2,0),0)</f>
        <v>0</v>
      </c>
      <c r="AJ413" s="9">
        <f>IFERROR(VLOOKUP(B413,cubo!$A$6:$BI$116,62,0)-VLOOKUP(B413,#REF!,$AJ$2,0),0)</f>
        <v>0</v>
      </c>
      <c r="AK413" s="9">
        <f>IFERROR(VLOOKUP(B413,cubo!$A$6:$BJ$37,63,0)-VLOOKUP(B413,#REF!,$AK$2,0),0)</f>
        <v>0</v>
      </c>
      <c r="AL413" s="9">
        <f>IFERROR(VLOOKUP(B413,cubo!$A$6:$BE$37,58,0)-VLOOKUP(B413,#REF!,$AL$2,0),0)</f>
        <v>0</v>
      </c>
      <c r="AM413" s="9">
        <f>IFERROR(VLOOKUP(B413,cubo!$A$6:$BK$37,64,0)-VLOOKUP(B413,#REF!,$AM$2,0),0)</f>
        <v>0</v>
      </c>
      <c r="AN413" s="9">
        <f>IFERROR(VLOOKUP(B413,cubo!$A$6:$AN$37,41,0)-VLOOKUP(B413,#REF!,$AN$2,0),0)</f>
        <v>0</v>
      </c>
    </row>
    <row r="414" spans="2:40" x14ac:dyDescent="0.25">
      <c r="B414" s="7">
        <f>[1]salario!A413</f>
        <v>0</v>
      </c>
      <c r="C414" s="8">
        <f>[1]salario!C413</f>
        <v>0</v>
      </c>
      <c r="D414" s="9">
        <f>IFERROR(VLOOKUP(B414,cubo!$A$6:$BE$37,3,0)-VLOOKUP(B414,#REF!,$D$2,0),0)</f>
        <v>0</v>
      </c>
      <c r="E414" s="10">
        <f>IFERROR(VLOOKUP(B414,cubo!$A$6:$BE$37,5,0)-VLOOKUP(B414,#REF!,$E$2,0),0)</f>
        <v>0</v>
      </c>
      <c r="F414" s="10">
        <f>IFERROR(VLOOKUP(B414,cubo!$A$6:$BE$37,8,0)-VLOOKUP(B414,#REF!,$F$2,0),0)</f>
        <v>0</v>
      </c>
      <c r="G414" s="9">
        <f>IFERROR(VLOOKUP(B414,cubo!$A$6:$BE$37,11,0)-VLOOKUP(B414,#REF!,$G$2,0),0)</f>
        <v>0</v>
      </c>
      <c r="H414" s="9">
        <f>IFERROR(VLOOKUP(B414,cubo!$A$6:$BE$37,53,0)-VLOOKUP(B414,#REF!,$H$2,0),0)</f>
        <v>0</v>
      </c>
      <c r="I414" s="10">
        <f>IFERROR(VLOOKUP(B414,cubo!$A$6:$BE$37,14,0)-VLOOKUP(B414,#REF!,$I$2,0),0)</f>
        <v>0</v>
      </c>
      <c r="J414" s="9">
        <f>IFERROR(VLOOKUP(B414,cubo!$A$6:$BE$37,16,0)-VLOOKUP(B414,#REF!,$J$2,0),0)</f>
        <v>0</v>
      </c>
      <c r="K414" s="9">
        <f>IFERROR(VLOOKUP(B414,cubo!$A$6:$BE$37,17,0)-VLOOKUP(B414,#REF!,$K$2,0),0)</f>
        <v>0</v>
      </c>
      <c r="L414" s="9">
        <f>IFERROR(VLOOKUP(B414,cubo!$A$6:$BE$37,19,0)-VLOOKUP(B414,#REF!,$L$2,0),0)</f>
        <v>0</v>
      </c>
      <c r="M414" s="9">
        <f>IFERROR(VLOOKUP(B414,cubo!$A$6:$BE$37,23,0)-VLOOKUP(B414,#REF!,$M$2,0),0)</f>
        <v>0</v>
      </c>
      <c r="N414" s="9">
        <f>IFERROR(VLOOKUP(B414,cubo!$A$6:$BE$37,25,0)-VLOOKUP(B414,#REF!,$N$2,0),0)</f>
        <v>0</v>
      </c>
      <c r="O414" s="9">
        <f>IFERROR(VLOOKUP(B414,cubo!$A$6:$BE$37,33,0)-VLOOKUP(B414,#REF!,$O$2,0),0)</f>
        <v>0</v>
      </c>
      <c r="P414" s="8">
        <f>IFERROR(VLOOKUP(B414,cubo!$A$6:$BE$37,37,0)-VLOOKUP(B414,#REF!,$P$2,0),0)</f>
        <v>0</v>
      </c>
      <c r="Q414" s="8">
        <f>IFERROR(VLOOKUP(B414,cubo!$A$6:$BE$37,56,0)-VLOOKUP(B414,#REF!,$Q$2,0),0)</f>
        <v>0</v>
      </c>
      <c r="R414" s="9">
        <f>IFERROR(VLOOKUP(B414,cubo!$A$6:$BE$37,40,0)-VLOOKUP(B414,#REF!,$R$2,0),0)</f>
        <v>0</v>
      </c>
      <c r="S414" s="9">
        <f>IFERROR(VLOOKUP(B414,cubo!$A$6:$BE$37,43,0)-VLOOKUP(B414,#REF!,$S$2,0),0)</f>
        <v>0</v>
      </c>
      <c r="T414" s="9">
        <f>IFERROR(VLOOKUP(B414,cubo!$A$6:$BE$37,46,0)-VLOOKUP(B414,#REF!,$T$2,0),0)</f>
        <v>0</v>
      </c>
      <c r="U414" s="9">
        <f>IFERROR(VLOOKUP(B414,cubo!$A$6:$BE$37,51,0)-VLOOKUP(B414,#REF!,$U$2,0),0)</f>
        <v>0</v>
      </c>
      <c r="V414" s="9">
        <f>IFERROR(VLOOKUP(B414,cubo!$A$6:$BJ$37,60,0)-VLOOKUP(B414,#REF!,$V$2,0),0)</f>
        <v>0</v>
      </c>
      <c r="W414" s="9">
        <f>IFERROR(VLOOKUP(B414,cubo!$A$6:$BE$37,26,0)-VLOOKUP(B414,#REF!,$W$2,0),0)</f>
        <v>0</v>
      </c>
      <c r="X414" s="9">
        <f>IFERROR(VLOOKUP(B414,cubo!$A$6:$BE$37,20,0)-VLOOKUP(B414,#REF!,$X$2,0),0)</f>
        <v>0</v>
      </c>
      <c r="Y414" s="9">
        <f>IFERROR(VLOOKUP(B414,cubo!$A$6:$BE$37,21,0)-VLOOKUP(B414,#REF!,$Y$2,0),0)</f>
        <v>0</v>
      </c>
      <c r="Z414" s="9">
        <f>IFERROR(VLOOKUP(B414,cubo!$A$6:$BE$37,27,0)-VLOOKUP(B414,#REF!,$Z$2,0),0)</f>
        <v>0</v>
      </c>
      <c r="AA414" s="9">
        <f>IFERROR(VLOOKUP(B414,cubo!$A$6:$BE$37,28,0)-VLOOKUP(B414,#REF!,$AA$2,0),0)</f>
        <v>0</v>
      </c>
      <c r="AB414" s="9">
        <f>IFERROR(VLOOKUP(B414,cubo!$A$6:$BE$37,29,0)-VLOOKUP(B414,#REF!,$AB$2,0),0)</f>
        <v>0</v>
      </c>
      <c r="AC414" s="9">
        <f>IFERROR(VLOOKUP(B414,cubo!$A$6:$BE$37,30,0)-VLOOKUP(B414,#REF!,$AC$2,0),0)</f>
        <v>0</v>
      </c>
      <c r="AD414" s="9">
        <f>IFERROR(VLOOKUP(B414,cubo!$A$6:$BE$37,31,0)-VLOOKUP(B414,#REF!,$AD$2,0),0)</f>
        <v>0</v>
      </c>
      <c r="AE414" s="9">
        <f>IFERROR(VLOOKUP(B414,cubo!$A$6:$BE$37,35,0)-VLOOKUP(B414,#REF!,$AE$2,0),0)</f>
        <v>0</v>
      </c>
      <c r="AF414" s="9" cm="1">
        <f t="array" aca="1" ref="AF414" ca="1">IFERROR(rrPROCV(B414,cubo!$A$6:$BE$37,48,0)-VLOOKUP(B414,#REF!,$AF$2,0),0)</f>
        <v>0</v>
      </c>
      <c r="AG414" s="9">
        <f>IFERROR(VLOOKUP(B414,cubo!$A$6:$BE$37,49,0)-VLOOKUP(B414,#REF!,$AG$2,0),0)</f>
        <v>0</v>
      </c>
      <c r="AH414" s="9">
        <f>IFERROR(VLOOKUP(B414,cubo!$A$6:$BE$37,50,0)-VLOOKUP(B414,#REF!,$AH$2,0),0)</f>
        <v>0</v>
      </c>
      <c r="AI414" s="9">
        <f>IFERROR(VLOOKUP(B414,cubo!$A$6:$BE$37,51,0)-VLOOKUP(B414,#REF!,$AI$2,0),0)</f>
        <v>0</v>
      </c>
      <c r="AJ414" s="9">
        <f>IFERROR(VLOOKUP(B414,cubo!$A$6:$BI$116,62,0)-VLOOKUP(B414,#REF!,$AJ$2,0),0)</f>
        <v>0</v>
      </c>
      <c r="AK414" s="9">
        <f>IFERROR(VLOOKUP(B414,cubo!$A$6:$BJ$37,63,0)-VLOOKUP(B414,#REF!,$AK$2,0),0)</f>
        <v>0</v>
      </c>
      <c r="AL414" s="9">
        <f>IFERROR(VLOOKUP(B414,cubo!$A$6:$BE$37,58,0)-VLOOKUP(B414,#REF!,$AL$2,0),0)</f>
        <v>0</v>
      </c>
      <c r="AM414" s="9">
        <f>IFERROR(VLOOKUP(B414,cubo!$A$6:$BK$37,64,0)-VLOOKUP(B414,#REF!,$AM$2,0),0)</f>
        <v>0</v>
      </c>
      <c r="AN414" s="9">
        <f>IFERROR(VLOOKUP(B414,cubo!$A$6:$AN$37,41,0)-VLOOKUP(B414,#REF!,$AN$2,0),0)</f>
        <v>0</v>
      </c>
    </row>
    <row r="415" spans="2:40" x14ac:dyDescent="0.25">
      <c r="B415" s="7">
        <f>[1]salario!A414</f>
        <v>0</v>
      </c>
      <c r="C415" s="8">
        <f>[1]salario!C414</f>
        <v>0</v>
      </c>
      <c r="D415" s="9">
        <f>IFERROR(VLOOKUP(B415,cubo!$A$6:$BE$37,3,0)-VLOOKUP(B415,#REF!,$D$2,0),0)</f>
        <v>0</v>
      </c>
      <c r="E415" s="10">
        <f>IFERROR(VLOOKUP(B415,cubo!$A$6:$BE$37,5,0)-VLOOKUP(B415,#REF!,$E$2,0),0)</f>
        <v>0</v>
      </c>
      <c r="F415" s="10">
        <f>IFERROR(VLOOKUP(B415,cubo!$A$6:$BE$37,8,0)-VLOOKUP(B415,#REF!,$F$2,0),0)</f>
        <v>0</v>
      </c>
      <c r="G415" s="9">
        <f>IFERROR(VLOOKUP(B415,cubo!$A$6:$BE$37,11,0)-VLOOKUP(B415,#REF!,$G$2,0),0)</f>
        <v>0</v>
      </c>
      <c r="H415" s="9">
        <f>IFERROR(VLOOKUP(B415,cubo!$A$6:$BE$37,53,0)-VLOOKUP(B415,#REF!,$H$2,0),0)</f>
        <v>0</v>
      </c>
      <c r="I415" s="10">
        <f>IFERROR(VLOOKUP(B415,cubo!$A$6:$BE$37,14,0)-VLOOKUP(B415,#REF!,$I$2,0),0)</f>
        <v>0</v>
      </c>
      <c r="J415" s="9">
        <f>IFERROR(VLOOKUP(B415,cubo!$A$6:$BE$37,16,0)-VLOOKUP(B415,#REF!,$J$2,0),0)</f>
        <v>0</v>
      </c>
      <c r="K415" s="9">
        <f>IFERROR(VLOOKUP(B415,cubo!$A$6:$BE$37,17,0)-VLOOKUP(B415,#REF!,$K$2,0),0)</f>
        <v>0</v>
      </c>
      <c r="L415" s="9">
        <f>IFERROR(VLOOKUP(B415,cubo!$A$6:$BE$37,19,0)-VLOOKUP(B415,#REF!,$L$2,0),0)</f>
        <v>0</v>
      </c>
      <c r="M415" s="9">
        <f>IFERROR(VLOOKUP(B415,cubo!$A$6:$BE$37,23,0)-VLOOKUP(B415,#REF!,$M$2,0),0)</f>
        <v>0</v>
      </c>
      <c r="N415" s="9">
        <f>IFERROR(VLOOKUP(B415,cubo!$A$6:$BE$37,25,0)-VLOOKUP(B415,#REF!,$N$2,0),0)</f>
        <v>0</v>
      </c>
      <c r="O415" s="9">
        <f>IFERROR(VLOOKUP(B415,cubo!$A$6:$BE$37,33,0)-VLOOKUP(B415,#REF!,$O$2,0),0)</f>
        <v>0</v>
      </c>
      <c r="P415" s="8">
        <f>IFERROR(VLOOKUP(B415,cubo!$A$6:$BE$37,37,0)-VLOOKUP(B415,#REF!,$P$2,0),0)</f>
        <v>0</v>
      </c>
      <c r="Q415" s="8">
        <f>IFERROR(VLOOKUP(B415,cubo!$A$6:$BE$37,56,0)-VLOOKUP(B415,#REF!,$Q$2,0),0)</f>
        <v>0</v>
      </c>
      <c r="R415" s="9">
        <f>IFERROR(VLOOKUP(B415,cubo!$A$6:$BE$37,40,0)-VLOOKUP(B415,#REF!,$R$2,0),0)</f>
        <v>0</v>
      </c>
      <c r="S415" s="9">
        <f>IFERROR(VLOOKUP(B415,cubo!$A$6:$BE$37,43,0)-VLOOKUP(B415,#REF!,$S$2,0),0)</f>
        <v>0</v>
      </c>
      <c r="T415" s="9">
        <f>IFERROR(VLOOKUP(B415,cubo!$A$6:$BE$37,46,0)-VLOOKUP(B415,#REF!,$T$2,0),0)</f>
        <v>0</v>
      </c>
      <c r="U415" s="9">
        <f>IFERROR(VLOOKUP(B415,cubo!$A$6:$BE$37,51,0)-VLOOKUP(B415,#REF!,$U$2,0),0)</f>
        <v>0</v>
      </c>
      <c r="V415" s="9">
        <f>IFERROR(VLOOKUP(B415,cubo!$A$6:$BJ$37,60,0)-VLOOKUP(B415,#REF!,$V$2,0),0)</f>
        <v>0</v>
      </c>
      <c r="W415" s="9">
        <f>IFERROR(VLOOKUP(B415,cubo!$A$6:$BE$37,26,0)-VLOOKUP(B415,#REF!,$W$2,0),0)</f>
        <v>0</v>
      </c>
      <c r="X415" s="9">
        <f>IFERROR(VLOOKUP(B415,cubo!$A$6:$BE$37,20,0)-VLOOKUP(B415,#REF!,$X$2,0),0)</f>
        <v>0</v>
      </c>
      <c r="Y415" s="9">
        <f>IFERROR(VLOOKUP(B415,cubo!$A$6:$BE$37,21,0)-VLOOKUP(B415,#REF!,$Y$2,0),0)</f>
        <v>0</v>
      </c>
      <c r="Z415" s="9">
        <f>IFERROR(VLOOKUP(B415,cubo!$A$6:$BE$37,27,0)-VLOOKUP(B415,#REF!,$Z$2,0),0)</f>
        <v>0</v>
      </c>
      <c r="AA415" s="9">
        <f>IFERROR(VLOOKUP(B415,cubo!$A$6:$BE$37,28,0)-VLOOKUP(B415,#REF!,$AA$2,0),0)</f>
        <v>0</v>
      </c>
      <c r="AB415" s="9">
        <f>IFERROR(VLOOKUP(B415,cubo!$A$6:$BE$37,29,0)-VLOOKUP(B415,#REF!,$AB$2,0),0)</f>
        <v>0</v>
      </c>
      <c r="AC415" s="9">
        <f>IFERROR(VLOOKUP(B415,cubo!$A$6:$BE$37,30,0)-VLOOKUP(B415,#REF!,$AC$2,0),0)</f>
        <v>0</v>
      </c>
      <c r="AD415" s="9">
        <f>IFERROR(VLOOKUP(B415,cubo!$A$6:$BE$37,31,0)-VLOOKUP(B415,#REF!,$AD$2,0),0)</f>
        <v>0</v>
      </c>
      <c r="AE415" s="9">
        <f>IFERROR(VLOOKUP(B415,cubo!$A$6:$BE$37,35,0)-VLOOKUP(B415,#REF!,$AE$2,0),0)</f>
        <v>0</v>
      </c>
      <c r="AF415" s="9" cm="1">
        <f t="array" aca="1" ref="AF415" ca="1">IFERROR(rrPROCV(B415,cubo!$A$6:$BE$37,48,0)-VLOOKUP(B415,#REF!,$AF$2,0),0)</f>
        <v>0</v>
      </c>
      <c r="AG415" s="9">
        <f>IFERROR(VLOOKUP(B415,cubo!$A$6:$BE$37,49,0)-VLOOKUP(B415,#REF!,$AG$2,0),0)</f>
        <v>0</v>
      </c>
      <c r="AH415" s="9">
        <f>IFERROR(VLOOKUP(B415,cubo!$A$6:$BE$37,50,0)-VLOOKUP(B415,#REF!,$AH$2,0),0)</f>
        <v>0</v>
      </c>
      <c r="AI415" s="9">
        <f>IFERROR(VLOOKUP(B415,cubo!$A$6:$BE$37,51,0)-VLOOKUP(B415,#REF!,$AI$2,0),0)</f>
        <v>0</v>
      </c>
      <c r="AJ415" s="9">
        <f>IFERROR(VLOOKUP(B415,cubo!$A$6:$BI$116,62,0)-VLOOKUP(B415,#REF!,$AJ$2,0),0)</f>
        <v>0</v>
      </c>
      <c r="AK415" s="9">
        <f>IFERROR(VLOOKUP(B415,cubo!$A$6:$BJ$37,63,0)-VLOOKUP(B415,#REF!,$AK$2,0),0)</f>
        <v>0</v>
      </c>
      <c r="AL415" s="9">
        <f>IFERROR(VLOOKUP(B415,cubo!$A$6:$BE$37,58,0)-VLOOKUP(B415,#REF!,$AL$2,0),0)</f>
        <v>0</v>
      </c>
      <c r="AM415" s="9">
        <f>IFERROR(VLOOKUP(B415,cubo!$A$6:$BK$37,64,0)-VLOOKUP(B415,#REF!,$AM$2,0),0)</f>
        <v>0</v>
      </c>
      <c r="AN415" s="9">
        <f>IFERROR(VLOOKUP(B415,cubo!$A$6:$AN$37,41,0)-VLOOKUP(B415,#REF!,$AN$2,0),0)</f>
        <v>0</v>
      </c>
    </row>
    <row r="416" spans="2:40" x14ac:dyDescent="0.25">
      <c r="B416" s="7">
        <f>[1]salario!A415</f>
        <v>0</v>
      </c>
      <c r="C416" s="8">
        <f>[1]salario!C415</f>
        <v>0</v>
      </c>
      <c r="D416" s="9">
        <f>IFERROR(VLOOKUP(B416,cubo!$A$6:$BE$37,3,0)-VLOOKUP(B416,#REF!,$D$2,0),0)</f>
        <v>0</v>
      </c>
      <c r="E416" s="10">
        <f>IFERROR(VLOOKUP(B416,cubo!$A$6:$BE$37,5,0)-VLOOKUP(B416,#REF!,$E$2,0),0)</f>
        <v>0</v>
      </c>
      <c r="F416" s="10">
        <f>IFERROR(VLOOKUP(B416,cubo!$A$6:$BE$37,8,0)-VLOOKUP(B416,#REF!,$F$2,0),0)</f>
        <v>0</v>
      </c>
      <c r="G416" s="9">
        <f>IFERROR(VLOOKUP(B416,cubo!$A$6:$BE$37,11,0)-VLOOKUP(B416,#REF!,$G$2,0),0)</f>
        <v>0</v>
      </c>
      <c r="H416" s="9">
        <f>IFERROR(VLOOKUP(B416,cubo!$A$6:$BE$37,53,0)-VLOOKUP(B416,#REF!,$H$2,0),0)</f>
        <v>0</v>
      </c>
      <c r="I416" s="10">
        <f>IFERROR(VLOOKUP(B416,cubo!$A$6:$BE$37,14,0)-VLOOKUP(B416,#REF!,$I$2,0),0)</f>
        <v>0</v>
      </c>
      <c r="J416" s="9">
        <f>IFERROR(VLOOKUP(B416,cubo!$A$6:$BE$37,16,0)-VLOOKUP(B416,#REF!,$J$2,0),0)</f>
        <v>0</v>
      </c>
      <c r="K416" s="9">
        <f>IFERROR(VLOOKUP(B416,cubo!$A$6:$BE$37,17,0)-VLOOKUP(B416,#REF!,$K$2,0),0)</f>
        <v>0</v>
      </c>
      <c r="L416" s="9">
        <f>IFERROR(VLOOKUP(B416,cubo!$A$6:$BE$37,19,0)-VLOOKUP(B416,#REF!,$L$2,0),0)</f>
        <v>0</v>
      </c>
      <c r="M416" s="9">
        <f>IFERROR(VLOOKUP(B416,cubo!$A$6:$BE$37,23,0)-VLOOKUP(B416,#REF!,$M$2,0),0)</f>
        <v>0</v>
      </c>
      <c r="N416" s="9">
        <f>IFERROR(VLOOKUP(B416,cubo!$A$6:$BE$37,25,0)-VLOOKUP(B416,#REF!,$N$2,0),0)</f>
        <v>0</v>
      </c>
      <c r="O416" s="9">
        <f>IFERROR(VLOOKUP(B416,cubo!$A$6:$BE$37,33,0)-VLOOKUP(B416,#REF!,$O$2,0),0)</f>
        <v>0</v>
      </c>
      <c r="P416" s="8">
        <f>IFERROR(VLOOKUP(B416,cubo!$A$6:$BE$37,37,0)-VLOOKUP(B416,#REF!,$P$2,0),0)</f>
        <v>0</v>
      </c>
      <c r="Q416" s="8">
        <f>IFERROR(VLOOKUP(B416,cubo!$A$6:$BE$37,56,0)-VLOOKUP(B416,#REF!,$Q$2,0),0)</f>
        <v>0</v>
      </c>
      <c r="R416" s="9">
        <f>IFERROR(VLOOKUP(B416,cubo!$A$6:$BE$37,40,0)-VLOOKUP(B416,#REF!,$R$2,0),0)</f>
        <v>0</v>
      </c>
      <c r="S416" s="9">
        <f>IFERROR(VLOOKUP(B416,cubo!$A$6:$BE$37,43,0)-VLOOKUP(B416,#REF!,$S$2,0),0)</f>
        <v>0</v>
      </c>
      <c r="T416" s="9">
        <f>IFERROR(VLOOKUP(B416,cubo!$A$6:$BE$37,46,0)-VLOOKUP(B416,#REF!,$T$2,0),0)</f>
        <v>0</v>
      </c>
      <c r="U416" s="9">
        <f>IFERROR(VLOOKUP(B416,cubo!$A$6:$BE$37,51,0)-VLOOKUP(B416,#REF!,$U$2,0),0)</f>
        <v>0</v>
      </c>
      <c r="V416" s="9">
        <f>IFERROR(VLOOKUP(B416,cubo!$A$6:$BJ$37,60,0)-VLOOKUP(B416,#REF!,$V$2,0),0)</f>
        <v>0</v>
      </c>
      <c r="W416" s="9">
        <f>IFERROR(VLOOKUP(B416,cubo!$A$6:$BE$37,26,0)-VLOOKUP(B416,#REF!,$W$2,0),0)</f>
        <v>0</v>
      </c>
      <c r="X416" s="9">
        <f>IFERROR(VLOOKUP(B416,cubo!$A$6:$BE$37,20,0)-VLOOKUP(B416,#REF!,$X$2,0),0)</f>
        <v>0</v>
      </c>
      <c r="Y416" s="9">
        <f>IFERROR(VLOOKUP(B416,cubo!$A$6:$BE$37,21,0)-VLOOKUP(B416,#REF!,$Y$2,0),0)</f>
        <v>0</v>
      </c>
      <c r="Z416" s="9">
        <f>IFERROR(VLOOKUP(B416,cubo!$A$6:$BE$37,27,0)-VLOOKUP(B416,#REF!,$Z$2,0),0)</f>
        <v>0</v>
      </c>
      <c r="AA416" s="9">
        <f>IFERROR(VLOOKUP(B416,cubo!$A$6:$BE$37,28,0)-VLOOKUP(B416,#REF!,$AA$2,0),0)</f>
        <v>0</v>
      </c>
      <c r="AB416" s="9">
        <f>IFERROR(VLOOKUP(B416,cubo!$A$6:$BE$37,29,0)-VLOOKUP(B416,#REF!,$AB$2,0),0)</f>
        <v>0</v>
      </c>
      <c r="AC416" s="9">
        <f>IFERROR(VLOOKUP(B416,cubo!$A$6:$BE$37,30,0)-VLOOKUP(B416,#REF!,$AC$2,0),0)</f>
        <v>0</v>
      </c>
      <c r="AD416" s="9">
        <f>IFERROR(VLOOKUP(B416,cubo!$A$6:$BE$37,31,0)-VLOOKUP(B416,#REF!,$AD$2,0),0)</f>
        <v>0</v>
      </c>
      <c r="AE416" s="9">
        <f>IFERROR(VLOOKUP(B416,cubo!$A$6:$BE$37,35,0)-VLOOKUP(B416,#REF!,$AE$2,0),0)</f>
        <v>0</v>
      </c>
      <c r="AF416" s="9" cm="1">
        <f t="array" aca="1" ref="AF416" ca="1">IFERROR(rrPROCV(B416,cubo!$A$6:$BE$37,48,0)-VLOOKUP(B416,#REF!,$AF$2,0),0)</f>
        <v>0</v>
      </c>
      <c r="AG416" s="9">
        <f>IFERROR(VLOOKUP(B416,cubo!$A$6:$BE$37,49,0)-VLOOKUP(B416,#REF!,$AG$2,0),0)</f>
        <v>0</v>
      </c>
      <c r="AH416" s="9">
        <f>IFERROR(VLOOKUP(B416,cubo!$A$6:$BE$37,50,0)-VLOOKUP(B416,#REF!,$AH$2,0),0)</f>
        <v>0</v>
      </c>
      <c r="AI416" s="9">
        <f>IFERROR(VLOOKUP(B416,cubo!$A$6:$BE$37,51,0)-VLOOKUP(B416,#REF!,$AI$2,0),0)</f>
        <v>0</v>
      </c>
      <c r="AJ416" s="9">
        <f>IFERROR(VLOOKUP(B416,cubo!$A$6:$BI$116,62,0)-VLOOKUP(B416,#REF!,$AJ$2,0),0)</f>
        <v>0</v>
      </c>
      <c r="AK416" s="9">
        <f>IFERROR(VLOOKUP(B416,cubo!$A$6:$BJ$37,63,0)-VLOOKUP(B416,#REF!,$AK$2,0),0)</f>
        <v>0</v>
      </c>
      <c r="AL416" s="9">
        <f>IFERROR(VLOOKUP(B416,cubo!$A$6:$BE$37,58,0)-VLOOKUP(B416,#REF!,$AL$2,0),0)</f>
        <v>0</v>
      </c>
      <c r="AM416" s="9">
        <f>IFERROR(VLOOKUP(B416,cubo!$A$6:$BK$37,64,0)-VLOOKUP(B416,#REF!,$AM$2,0),0)</f>
        <v>0</v>
      </c>
      <c r="AN416" s="9">
        <f>IFERROR(VLOOKUP(B416,cubo!$A$6:$AN$37,41,0)-VLOOKUP(B416,#REF!,$AN$2,0),0)</f>
        <v>0</v>
      </c>
    </row>
    <row r="417" spans="2:40" x14ac:dyDescent="0.25">
      <c r="B417" s="7">
        <f>[1]salario!A416</f>
        <v>0</v>
      </c>
      <c r="C417" s="8">
        <f>[1]salario!C416</f>
        <v>0</v>
      </c>
      <c r="D417" s="9">
        <f>IFERROR(VLOOKUP(B417,cubo!$A$6:$BE$37,3,0)-VLOOKUP(B417,#REF!,$D$2,0),0)</f>
        <v>0</v>
      </c>
      <c r="E417" s="10">
        <f>IFERROR(VLOOKUP(B417,cubo!$A$6:$BE$37,5,0)-VLOOKUP(B417,#REF!,$E$2,0),0)</f>
        <v>0</v>
      </c>
      <c r="F417" s="10">
        <f>IFERROR(VLOOKUP(B417,cubo!$A$6:$BE$37,8,0)-VLOOKUP(B417,#REF!,$F$2,0),0)</f>
        <v>0</v>
      </c>
      <c r="G417" s="9">
        <f>IFERROR(VLOOKUP(B417,cubo!$A$6:$BE$37,11,0)-VLOOKUP(B417,#REF!,$G$2,0),0)</f>
        <v>0</v>
      </c>
      <c r="H417" s="9">
        <f>IFERROR(VLOOKUP(B417,cubo!$A$6:$BE$37,53,0)-VLOOKUP(B417,#REF!,$H$2,0),0)</f>
        <v>0</v>
      </c>
      <c r="I417" s="10">
        <f>IFERROR(VLOOKUP(B417,cubo!$A$6:$BE$37,14,0)-VLOOKUP(B417,#REF!,$I$2,0),0)</f>
        <v>0</v>
      </c>
      <c r="J417" s="9">
        <f>IFERROR(VLOOKUP(B417,cubo!$A$6:$BE$37,16,0)-VLOOKUP(B417,#REF!,$J$2,0),0)</f>
        <v>0</v>
      </c>
      <c r="K417" s="9">
        <f>IFERROR(VLOOKUP(B417,cubo!$A$6:$BE$37,17,0)-VLOOKUP(B417,#REF!,$K$2,0),0)</f>
        <v>0</v>
      </c>
      <c r="L417" s="9">
        <f>IFERROR(VLOOKUP(B417,cubo!$A$6:$BE$37,19,0)-VLOOKUP(B417,#REF!,$L$2,0),0)</f>
        <v>0</v>
      </c>
      <c r="M417" s="9">
        <f>IFERROR(VLOOKUP(B417,cubo!$A$6:$BE$37,23,0)-VLOOKUP(B417,#REF!,$M$2,0),0)</f>
        <v>0</v>
      </c>
      <c r="N417" s="9">
        <f>IFERROR(VLOOKUP(B417,cubo!$A$6:$BE$37,25,0)-VLOOKUP(B417,#REF!,$N$2,0),0)</f>
        <v>0</v>
      </c>
      <c r="O417" s="9">
        <f>IFERROR(VLOOKUP(B417,cubo!$A$6:$BE$37,33,0)-VLOOKUP(B417,#REF!,$O$2,0),0)</f>
        <v>0</v>
      </c>
      <c r="P417" s="8">
        <f>IFERROR(VLOOKUP(B417,cubo!$A$6:$BE$37,37,0)-VLOOKUP(B417,#REF!,$P$2,0),0)</f>
        <v>0</v>
      </c>
      <c r="Q417" s="8">
        <f>IFERROR(VLOOKUP(B417,cubo!$A$6:$BE$37,56,0)-VLOOKUP(B417,#REF!,$Q$2,0),0)</f>
        <v>0</v>
      </c>
      <c r="R417" s="9">
        <f>IFERROR(VLOOKUP(B417,cubo!$A$6:$BE$37,40,0)-VLOOKUP(B417,#REF!,$R$2,0),0)</f>
        <v>0</v>
      </c>
      <c r="S417" s="9">
        <f>IFERROR(VLOOKUP(B417,cubo!$A$6:$BE$37,43,0)-VLOOKUP(B417,#REF!,$S$2,0),0)</f>
        <v>0</v>
      </c>
      <c r="T417" s="9">
        <f>IFERROR(VLOOKUP(B417,cubo!$A$6:$BE$37,46,0)-VLOOKUP(B417,#REF!,$T$2,0),0)</f>
        <v>0</v>
      </c>
      <c r="U417" s="9">
        <f>IFERROR(VLOOKUP(B417,cubo!$A$6:$BE$37,51,0)-VLOOKUP(B417,#REF!,$U$2,0),0)</f>
        <v>0</v>
      </c>
      <c r="V417" s="9">
        <f>IFERROR(VLOOKUP(B417,cubo!$A$6:$BJ$37,60,0)-VLOOKUP(B417,#REF!,$V$2,0),0)</f>
        <v>0</v>
      </c>
      <c r="W417" s="9">
        <f>IFERROR(VLOOKUP(B417,cubo!$A$6:$BE$37,26,0)-VLOOKUP(B417,#REF!,$W$2,0),0)</f>
        <v>0</v>
      </c>
      <c r="X417" s="9">
        <f>IFERROR(VLOOKUP(B417,cubo!$A$6:$BE$37,20,0)-VLOOKUP(B417,#REF!,$X$2,0),0)</f>
        <v>0</v>
      </c>
      <c r="Y417" s="9">
        <f>IFERROR(VLOOKUP(B417,cubo!$A$6:$BE$37,21,0)-VLOOKUP(B417,#REF!,$Y$2,0),0)</f>
        <v>0</v>
      </c>
      <c r="Z417" s="9">
        <f>IFERROR(VLOOKUP(B417,cubo!$A$6:$BE$37,27,0)-VLOOKUP(B417,#REF!,$Z$2,0),0)</f>
        <v>0</v>
      </c>
      <c r="AA417" s="9">
        <f>IFERROR(VLOOKUP(B417,cubo!$A$6:$BE$37,28,0)-VLOOKUP(B417,#REF!,$AA$2,0),0)</f>
        <v>0</v>
      </c>
      <c r="AB417" s="9">
        <f>IFERROR(VLOOKUP(B417,cubo!$A$6:$BE$37,29,0)-VLOOKUP(B417,#REF!,$AB$2,0),0)</f>
        <v>0</v>
      </c>
      <c r="AC417" s="9">
        <f>IFERROR(VLOOKUP(B417,cubo!$A$6:$BE$37,30,0)-VLOOKUP(B417,#REF!,$AC$2,0),0)</f>
        <v>0</v>
      </c>
      <c r="AD417" s="9">
        <f>IFERROR(VLOOKUP(B417,cubo!$A$6:$BE$37,31,0)-VLOOKUP(B417,#REF!,$AD$2,0),0)</f>
        <v>0</v>
      </c>
      <c r="AE417" s="9">
        <f>IFERROR(VLOOKUP(B417,cubo!$A$6:$BE$37,35,0)-VLOOKUP(B417,#REF!,$AE$2,0),0)</f>
        <v>0</v>
      </c>
      <c r="AF417" s="9" cm="1">
        <f t="array" aca="1" ref="AF417" ca="1">IFERROR(rrPROCV(B417,cubo!$A$6:$BE$37,48,0)-VLOOKUP(B417,#REF!,$AF$2,0),0)</f>
        <v>0</v>
      </c>
      <c r="AG417" s="9">
        <f>IFERROR(VLOOKUP(B417,cubo!$A$6:$BE$37,49,0)-VLOOKUP(B417,#REF!,$AG$2,0),0)</f>
        <v>0</v>
      </c>
      <c r="AH417" s="9">
        <f>IFERROR(VLOOKUP(B417,cubo!$A$6:$BE$37,50,0)-VLOOKUP(B417,#REF!,$AH$2,0),0)</f>
        <v>0</v>
      </c>
      <c r="AI417" s="9">
        <f>IFERROR(VLOOKUP(B417,cubo!$A$6:$BE$37,51,0)-VLOOKUP(B417,#REF!,$AI$2,0),0)</f>
        <v>0</v>
      </c>
      <c r="AJ417" s="9">
        <f>IFERROR(VLOOKUP(B417,cubo!$A$6:$BI$116,62,0)-VLOOKUP(B417,#REF!,$AJ$2,0),0)</f>
        <v>0</v>
      </c>
      <c r="AK417" s="9">
        <f>IFERROR(VLOOKUP(B417,cubo!$A$6:$BJ$37,63,0)-VLOOKUP(B417,#REF!,$AK$2,0),0)</f>
        <v>0</v>
      </c>
      <c r="AL417" s="9">
        <f>IFERROR(VLOOKUP(B417,cubo!$A$6:$BE$37,58,0)-VLOOKUP(B417,#REF!,$AL$2,0),0)</f>
        <v>0</v>
      </c>
      <c r="AM417" s="9">
        <f>IFERROR(VLOOKUP(B417,cubo!$A$6:$BK$37,64,0)-VLOOKUP(B417,#REF!,$AM$2,0),0)</f>
        <v>0</v>
      </c>
      <c r="AN417" s="9">
        <f>IFERROR(VLOOKUP(B417,cubo!$A$6:$AN$37,41,0)-VLOOKUP(B417,#REF!,$AN$2,0),0)</f>
        <v>0</v>
      </c>
    </row>
    <row r="418" spans="2:40" x14ac:dyDescent="0.25">
      <c r="B418" s="7">
        <f>[1]salario!A417</f>
        <v>0</v>
      </c>
      <c r="C418" s="8">
        <f>[1]salario!C417</f>
        <v>0</v>
      </c>
      <c r="D418" s="9">
        <f>IFERROR(VLOOKUP(B418,cubo!$A$6:$BE$37,3,0)-VLOOKUP(B418,#REF!,$D$2,0),0)</f>
        <v>0</v>
      </c>
      <c r="E418" s="10">
        <f>IFERROR(VLOOKUP(B418,cubo!$A$6:$BE$37,5,0)-VLOOKUP(B418,#REF!,$E$2,0),0)</f>
        <v>0</v>
      </c>
      <c r="F418" s="10">
        <f>IFERROR(VLOOKUP(B418,cubo!$A$6:$BE$37,8,0)-VLOOKUP(B418,#REF!,$F$2,0),0)</f>
        <v>0</v>
      </c>
      <c r="G418" s="9">
        <f>IFERROR(VLOOKUP(B418,cubo!$A$6:$BE$37,11,0)-VLOOKUP(B418,#REF!,$G$2,0),0)</f>
        <v>0</v>
      </c>
      <c r="H418" s="9">
        <f>IFERROR(VLOOKUP(B418,cubo!$A$6:$BE$37,53,0)-VLOOKUP(B418,#REF!,$H$2,0),0)</f>
        <v>0</v>
      </c>
      <c r="I418" s="10">
        <f>IFERROR(VLOOKUP(B418,cubo!$A$6:$BE$37,14,0)-VLOOKUP(B418,#REF!,$I$2,0),0)</f>
        <v>0</v>
      </c>
      <c r="J418" s="9">
        <f>IFERROR(VLOOKUP(B418,cubo!$A$6:$BE$37,16,0)-VLOOKUP(B418,#REF!,$J$2,0),0)</f>
        <v>0</v>
      </c>
      <c r="K418" s="9">
        <f>IFERROR(VLOOKUP(B418,cubo!$A$6:$BE$37,17,0)-VLOOKUP(B418,#REF!,$K$2,0),0)</f>
        <v>0</v>
      </c>
      <c r="L418" s="9">
        <f>IFERROR(VLOOKUP(B418,cubo!$A$6:$BE$37,19,0)-VLOOKUP(B418,#REF!,$L$2,0),0)</f>
        <v>0</v>
      </c>
      <c r="M418" s="9">
        <f>IFERROR(VLOOKUP(B418,cubo!$A$6:$BE$37,23,0)-VLOOKUP(B418,#REF!,$M$2,0),0)</f>
        <v>0</v>
      </c>
      <c r="N418" s="9">
        <f>IFERROR(VLOOKUP(B418,cubo!$A$6:$BE$37,25,0)-VLOOKUP(B418,#REF!,$N$2,0),0)</f>
        <v>0</v>
      </c>
      <c r="O418" s="9">
        <f>IFERROR(VLOOKUP(B418,cubo!$A$6:$BE$37,33,0)-VLOOKUP(B418,#REF!,$O$2,0),0)</f>
        <v>0</v>
      </c>
      <c r="P418" s="8">
        <f>IFERROR(VLOOKUP(B418,cubo!$A$6:$BE$37,37,0)-VLOOKUP(B418,#REF!,$P$2,0),0)</f>
        <v>0</v>
      </c>
      <c r="Q418" s="8">
        <f>IFERROR(VLOOKUP(B418,cubo!$A$6:$BE$37,56,0)-VLOOKUP(B418,#REF!,$Q$2,0),0)</f>
        <v>0</v>
      </c>
      <c r="R418" s="9">
        <f>IFERROR(VLOOKUP(B418,cubo!$A$6:$BE$37,40,0)-VLOOKUP(B418,#REF!,$R$2,0),0)</f>
        <v>0</v>
      </c>
      <c r="S418" s="9">
        <f>IFERROR(VLOOKUP(B418,cubo!$A$6:$BE$37,43,0)-VLOOKUP(B418,#REF!,$S$2,0),0)</f>
        <v>0</v>
      </c>
      <c r="T418" s="9">
        <f>IFERROR(VLOOKUP(B418,cubo!$A$6:$BE$37,46,0)-VLOOKUP(B418,#REF!,$T$2,0),0)</f>
        <v>0</v>
      </c>
      <c r="U418" s="9">
        <f>IFERROR(VLOOKUP(B418,cubo!$A$6:$BE$37,51,0)-VLOOKUP(B418,#REF!,$U$2,0),0)</f>
        <v>0</v>
      </c>
      <c r="V418" s="9">
        <f>IFERROR(VLOOKUP(B418,cubo!$A$6:$BJ$37,60,0)-VLOOKUP(B418,#REF!,$V$2,0),0)</f>
        <v>0</v>
      </c>
      <c r="W418" s="9">
        <f>IFERROR(VLOOKUP(B418,cubo!$A$6:$BE$37,26,0)-VLOOKUP(B418,#REF!,$W$2,0),0)</f>
        <v>0</v>
      </c>
      <c r="X418" s="9">
        <f>IFERROR(VLOOKUP(B418,cubo!$A$6:$BE$37,20,0)-VLOOKUP(B418,#REF!,$X$2,0),0)</f>
        <v>0</v>
      </c>
      <c r="Y418" s="9">
        <f>IFERROR(VLOOKUP(B418,cubo!$A$6:$BE$37,21,0)-VLOOKUP(B418,#REF!,$Y$2,0),0)</f>
        <v>0</v>
      </c>
      <c r="Z418" s="9">
        <f>IFERROR(VLOOKUP(B418,cubo!$A$6:$BE$37,27,0)-VLOOKUP(B418,#REF!,$Z$2,0),0)</f>
        <v>0</v>
      </c>
      <c r="AA418" s="9">
        <f>IFERROR(VLOOKUP(B418,cubo!$A$6:$BE$37,28,0)-VLOOKUP(B418,#REF!,$AA$2,0),0)</f>
        <v>0</v>
      </c>
      <c r="AB418" s="9">
        <f>IFERROR(VLOOKUP(B418,cubo!$A$6:$BE$37,29,0)-VLOOKUP(B418,#REF!,$AB$2,0),0)</f>
        <v>0</v>
      </c>
      <c r="AC418" s="9">
        <f>IFERROR(VLOOKUP(B418,cubo!$A$6:$BE$37,30,0)-VLOOKUP(B418,#REF!,$AC$2,0),0)</f>
        <v>0</v>
      </c>
      <c r="AD418" s="9">
        <f>IFERROR(VLOOKUP(B418,cubo!$A$6:$BE$37,31,0)-VLOOKUP(B418,#REF!,$AD$2,0),0)</f>
        <v>0</v>
      </c>
      <c r="AE418" s="9">
        <f>IFERROR(VLOOKUP(B418,cubo!$A$6:$BE$37,35,0)-VLOOKUP(B418,#REF!,$AE$2,0),0)</f>
        <v>0</v>
      </c>
      <c r="AF418" s="9" cm="1">
        <f t="array" aca="1" ref="AF418" ca="1">IFERROR(rrPROCV(B418,cubo!$A$6:$BE$37,48,0)-VLOOKUP(B418,#REF!,$AF$2,0),0)</f>
        <v>0</v>
      </c>
      <c r="AG418" s="9">
        <f>IFERROR(VLOOKUP(B418,cubo!$A$6:$BE$37,49,0)-VLOOKUP(B418,#REF!,$AG$2,0),0)</f>
        <v>0</v>
      </c>
      <c r="AH418" s="9">
        <f>IFERROR(VLOOKUP(B418,cubo!$A$6:$BE$37,50,0)-VLOOKUP(B418,#REF!,$AH$2,0),0)</f>
        <v>0</v>
      </c>
      <c r="AI418" s="9">
        <f>IFERROR(VLOOKUP(B418,cubo!$A$6:$BE$37,51,0)-VLOOKUP(B418,#REF!,$AI$2,0),0)</f>
        <v>0</v>
      </c>
      <c r="AJ418" s="9">
        <f>IFERROR(VLOOKUP(B418,cubo!$A$6:$BI$116,62,0)-VLOOKUP(B418,#REF!,$AJ$2,0),0)</f>
        <v>0</v>
      </c>
      <c r="AK418" s="9">
        <f>IFERROR(VLOOKUP(B418,cubo!$A$6:$BJ$37,63,0)-VLOOKUP(B418,#REF!,$AK$2,0),0)</f>
        <v>0</v>
      </c>
      <c r="AL418" s="9">
        <f>IFERROR(VLOOKUP(B418,cubo!$A$6:$BE$37,58,0)-VLOOKUP(B418,#REF!,$AL$2,0),0)</f>
        <v>0</v>
      </c>
      <c r="AM418" s="9">
        <f>IFERROR(VLOOKUP(B418,cubo!$A$6:$BK$37,64,0)-VLOOKUP(B418,#REF!,$AM$2,0),0)</f>
        <v>0</v>
      </c>
      <c r="AN418" s="9">
        <f>IFERROR(VLOOKUP(B418,cubo!$A$6:$AN$37,41,0)-VLOOKUP(B418,#REF!,$AN$2,0),0)</f>
        <v>0</v>
      </c>
    </row>
    <row r="419" spans="2:40" x14ac:dyDescent="0.25">
      <c r="B419" s="7">
        <f>[1]salario!A418</f>
        <v>0</v>
      </c>
      <c r="C419" s="8">
        <f>[1]salario!C418</f>
        <v>0</v>
      </c>
      <c r="D419" s="9">
        <f>IFERROR(VLOOKUP(B419,cubo!$A$6:$BE$37,3,0)-VLOOKUP(B419,#REF!,$D$2,0),0)</f>
        <v>0</v>
      </c>
      <c r="E419" s="10">
        <f>IFERROR(VLOOKUP(B419,cubo!$A$6:$BE$37,5,0)-VLOOKUP(B419,#REF!,$E$2,0),0)</f>
        <v>0</v>
      </c>
      <c r="F419" s="10">
        <f>IFERROR(VLOOKUP(B419,cubo!$A$6:$BE$37,8,0)-VLOOKUP(B419,#REF!,$F$2,0),0)</f>
        <v>0</v>
      </c>
      <c r="G419" s="9">
        <f>IFERROR(VLOOKUP(B419,cubo!$A$6:$BE$37,11,0)-VLOOKUP(B419,#REF!,$G$2,0),0)</f>
        <v>0</v>
      </c>
      <c r="H419" s="9">
        <f>IFERROR(VLOOKUP(B419,cubo!$A$6:$BE$37,53,0)-VLOOKUP(B419,#REF!,$H$2,0),0)</f>
        <v>0</v>
      </c>
      <c r="I419" s="10">
        <f>IFERROR(VLOOKUP(B419,cubo!$A$6:$BE$37,14,0)-VLOOKUP(B419,#REF!,$I$2,0),0)</f>
        <v>0</v>
      </c>
      <c r="J419" s="9">
        <f>IFERROR(VLOOKUP(B419,cubo!$A$6:$BE$37,16,0)-VLOOKUP(B419,#REF!,$J$2,0),0)</f>
        <v>0</v>
      </c>
      <c r="K419" s="9">
        <f>IFERROR(VLOOKUP(B419,cubo!$A$6:$BE$37,17,0)-VLOOKUP(B419,#REF!,$K$2,0),0)</f>
        <v>0</v>
      </c>
      <c r="L419" s="9">
        <f>IFERROR(VLOOKUP(B419,cubo!$A$6:$BE$37,19,0)-VLOOKUP(B419,#REF!,$L$2,0),0)</f>
        <v>0</v>
      </c>
      <c r="M419" s="9">
        <f>IFERROR(VLOOKUP(B419,cubo!$A$6:$BE$37,23,0)-VLOOKUP(B419,#REF!,$M$2,0),0)</f>
        <v>0</v>
      </c>
      <c r="N419" s="9">
        <f>IFERROR(VLOOKUP(B419,cubo!$A$6:$BE$37,25,0)-VLOOKUP(B419,#REF!,$N$2,0),0)</f>
        <v>0</v>
      </c>
      <c r="O419" s="9">
        <f>IFERROR(VLOOKUP(B419,cubo!$A$6:$BE$37,33,0)-VLOOKUP(B419,#REF!,$O$2,0),0)</f>
        <v>0</v>
      </c>
      <c r="P419" s="8">
        <f>IFERROR(VLOOKUP(B419,cubo!$A$6:$BE$37,37,0)-VLOOKUP(B419,#REF!,$P$2,0),0)</f>
        <v>0</v>
      </c>
      <c r="Q419" s="8">
        <f>IFERROR(VLOOKUP(B419,cubo!$A$6:$BE$37,56,0)-VLOOKUP(B419,#REF!,$Q$2,0),0)</f>
        <v>0</v>
      </c>
      <c r="R419" s="9">
        <f>IFERROR(VLOOKUP(B419,cubo!$A$6:$BE$37,40,0)-VLOOKUP(B419,#REF!,$R$2,0),0)</f>
        <v>0</v>
      </c>
      <c r="S419" s="9">
        <f>IFERROR(VLOOKUP(B419,cubo!$A$6:$BE$37,43,0)-VLOOKUP(B419,#REF!,$S$2,0),0)</f>
        <v>0</v>
      </c>
      <c r="T419" s="9">
        <f>IFERROR(VLOOKUP(B419,cubo!$A$6:$BE$37,46,0)-VLOOKUP(B419,#REF!,$T$2,0),0)</f>
        <v>0</v>
      </c>
      <c r="U419" s="9">
        <f>IFERROR(VLOOKUP(B419,cubo!$A$6:$BE$37,51,0)-VLOOKUP(B419,#REF!,$U$2,0),0)</f>
        <v>0</v>
      </c>
      <c r="V419" s="9">
        <f>IFERROR(VLOOKUP(B419,cubo!$A$6:$BJ$37,60,0)-VLOOKUP(B419,#REF!,$V$2,0),0)</f>
        <v>0</v>
      </c>
      <c r="W419" s="9">
        <f>IFERROR(VLOOKUP(B419,cubo!$A$6:$BE$37,26,0)-VLOOKUP(B419,#REF!,$W$2,0),0)</f>
        <v>0</v>
      </c>
      <c r="X419" s="9">
        <f>IFERROR(VLOOKUP(B419,cubo!$A$6:$BE$37,20,0)-VLOOKUP(B419,#REF!,$X$2,0),0)</f>
        <v>0</v>
      </c>
      <c r="Y419" s="9">
        <f>IFERROR(VLOOKUP(B419,cubo!$A$6:$BE$37,21,0)-VLOOKUP(B419,#REF!,$Y$2,0),0)</f>
        <v>0</v>
      </c>
      <c r="Z419" s="9">
        <f>IFERROR(VLOOKUP(B419,cubo!$A$6:$BE$37,27,0)-VLOOKUP(B419,#REF!,$Z$2,0),0)</f>
        <v>0</v>
      </c>
      <c r="AA419" s="9">
        <f>IFERROR(VLOOKUP(B419,cubo!$A$6:$BE$37,28,0)-VLOOKUP(B419,#REF!,$AA$2,0),0)</f>
        <v>0</v>
      </c>
      <c r="AB419" s="9">
        <f>IFERROR(VLOOKUP(B419,cubo!$A$6:$BE$37,29,0)-VLOOKUP(B419,#REF!,$AB$2,0),0)</f>
        <v>0</v>
      </c>
      <c r="AC419" s="9">
        <f>IFERROR(VLOOKUP(B419,cubo!$A$6:$BE$37,30,0)-VLOOKUP(B419,#REF!,$AC$2,0),0)</f>
        <v>0</v>
      </c>
      <c r="AD419" s="9">
        <f>IFERROR(VLOOKUP(B419,cubo!$A$6:$BE$37,31,0)-VLOOKUP(B419,#REF!,$AD$2,0),0)</f>
        <v>0</v>
      </c>
      <c r="AE419" s="9">
        <f>IFERROR(VLOOKUP(B419,cubo!$A$6:$BE$37,35,0)-VLOOKUP(B419,#REF!,$AE$2,0),0)</f>
        <v>0</v>
      </c>
      <c r="AF419" s="9" cm="1">
        <f t="array" aca="1" ref="AF419" ca="1">IFERROR(rrPROCV(B419,cubo!$A$6:$BE$37,48,0)-VLOOKUP(B419,#REF!,$AF$2,0),0)</f>
        <v>0</v>
      </c>
      <c r="AG419" s="9">
        <f>IFERROR(VLOOKUP(B419,cubo!$A$6:$BE$37,49,0)-VLOOKUP(B419,#REF!,$AG$2,0),0)</f>
        <v>0</v>
      </c>
      <c r="AH419" s="9">
        <f>IFERROR(VLOOKUP(B419,cubo!$A$6:$BE$37,50,0)-VLOOKUP(B419,#REF!,$AH$2,0),0)</f>
        <v>0</v>
      </c>
      <c r="AI419" s="9">
        <f>IFERROR(VLOOKUP(B419,cubo!$A$6:$BE$37,51,0)-VLOOKUP(B419,#REF!,$AI$2,0),0)</f>
        <v>0</v>
      </c>
      <c r="AJ419" s="9">
        <f>IFERROR(VLOOKUP(B419,cubo!$A$6:$BI$116,62,0)-VLOOKUP(B419,#REF!,$AJ$2,0),0)</f>
        <v>0</v>
      </c>
      <c r="AK419" s="9">
        <f>IFERROR(VLOOKUP(B419,cubo!$A$6:$BJ$37,63,0)-VLOOKUP(B419,#REF!,$AK$2,0),0)</f>
        <v>0</v>
      </c>
      <c r="AL419" s="9">
        <f>IFERROR(VLOOKUP(B419,cubo!$A$6:$BE$37,58,0)-VLOOKUP(B419,#REF!,$AL$2,0),0)</f>
        <v>0</v>
      </c>
      <c r="AM419" s="9">
        <f>IFERROR(VLOOKUP(B419,cubo!$A$6:$BK$37,64,0)-VLOOKUP(B419,#REF!,$AM$2,0),0)</f>
        <v>0</v>
      </c>
      <c r="AN419" s="9">
        <f>IFERROR(VLOOKUP(B419,cubo!$A$6:$AN$37,41,0)-VLOOKUP(B419,#REF!,$AN$2,0),0)</f>
        <v>0</v>
      </c>
    </row>
    <row r="420" spans="2:40" x14ac:dyDescent="0.25">
      <c r="B420" s="7">
        <f>[1]salario!A419</f>
        <v>0</v>
      </c>
      <c r="C420" s="8">
        <f>[1]salario!C419</f>
        <v>0</v>
      </c>
      <c r="D420" s="9">
        <f>IFERROR(VLOOKUP(B420,cubo!$A$6:$BE$37,3,0)-VLOOKUP(B420,#REF!,$D$2,0),0)</f>
        <v>0</v>
      </c>
      <c r="E420" s="10">
        <f>IFERROR(VLOOKUP(B420,cubo!$A$6:$BE$37,5,0)-VLOOKUP(B420,#REF!,$E$2,0),0)</f>
        <v>0</v>
      </c>
      <c r="F420" s="10">
        <f>IFERROR(VLOOKUP(B420,cubo!$A$6:$BE$37,8,0)-VLOOKUP(B420,#REF!,$F$2,0),0)</f>
        <v>0</v>
      </c>
      <c r="G420" s="9">
        <f>IFERROR(VLOOKUP(B420,cubo!$A$6:$BE$37,11,0)-VLOOKUP(B420,#REF!,$G$2,0),0)</f>
        <v>0</v>
      </c>
      <c r="H420" s="9">
        <f>IFERROR(VLOOKUP(B420,cubo!$A$6:$BE$37,53,0)-VLOOKUP(B420,#REF!,$H$2,0),0)</f>
        <v>0</v>
      </c>
      <c r="I420" s="10">
        <f>IFERROR(VLOOKUP(B420,cubo!$A$6:$BE$37,14,0)-VLOOKUP(B420,#REF!,$I$2,0),0)</f>
        <v>0</v>
      </c>
      <c r="J420" s="9">
        <f>IFERROR(VLOOKUP(B420,cubo!$A$6:$BE$37,16,0)-VLOOKUP(B420,#REF!,$J$2,0),0)</f>
        <v>0</v>
      </c>
      <c r="K420" s="9">
        <f>IFERROR(VLOOKUP(B420,cubo!$A$6:$BE$37,17,0)-VLOOKUP(B420,#REF!,$K$2,0),0)</f>
        <v>0</v>
      </c>
      <c r="L420" s="9">
        <f>IFERROR(VLOOKUP(B420,cubo!$A$6:$BE$37,19,0)-VLOOKUP(B420,#REF!,$L$2,0),0)</f>
        <v>0</v>
      </c>
      <c r="M420" s="9">
        <f>IFERROR(VLOOKUP(B420,cubo!$A$6:$BE$37,23,0)-VLOOKUP(B420,#REF!,$M$2,0),0)</f>
        <v>0</v>
      </c>
      <c r="N420" s="9">
        <f>IFERROR(VLOOKUP(B420,cubo!$A$6:$BE$37,25,0)-VLOOKUP(B420,#REF!,$N$2,0),0)</f>
        <v>0</v>
      </c>
      <c r="O420" s="9">
        <f>IFERROR(VLOOKUP(B420,cubo!$A$6:$BE$37,33,0)-VLOOKUP(B420,#REF!,$O$2,0),0)</f>
        <v>0</v>
      </c>
      <c r="P420" s="8">
        <f>IFERROR(VLOOKUP(B420,cubo!$A$6:$BE$37,37,0)-VLOOKUP(B420,#REF!,$P$2,0),0)</f>
        <v>0</v>
      </c>
      <c r="Q420" s="8">
        <f>IFERROR(VLOOKUP(B420,cubo!$A$6:$BE$37,56,0)-VLOOKUP(B420,#REF!,$Q$2,0),0)</f>
        <v>0</v>
      </c>
      <c r="R420" s="9">
        <f>IFERROR(VLOOKUP(B420,cubo!$A$6:$BE$37,40,0)-VLOOKUP(B420,#REF!,$R$2,0),0)</f>
        <v>0</v>
      </c>
      <c r="S420" s="9">
        <f>IFERROR(VLOOKUP(B420,cubo!$A$6:$BE$37,43,0)-VLOOKUP(B420,#REF!,$S$2,0),0)</f>
        <v>0</v>
      </c>
      <c r="T420" s="9">
        <f>IFERROR(VLOOKUP(B420,cubo!$A$6:$BE$37,46,0)-VLOOKUP(B420,#REF!,$T$2,0),0)</f>
        <v>0</v>
      </c>
      <c r="U420" s="9">
        <f>IFERROR(VLOOKUP(B420,cubo!$A$6:$BE$37,51,0)-VLOOKUP(B420,#REF!,$U$2,0),0)</f>
        <v>0</v>
      </c>
      <c r="V420" s="9">
        <f>IFERROR(VLOOKUP(B420,cubo!$A$6:$BJ$37,60,0)-VLOOKUP(B420,#REF!,$V$2,0),0)</f>
        <v>0</v>
      </c>
      <c r="W420" s="9">
        <f>IFERROR(VLOOKUP(B420,cubo!$A$6:$BE$37,26,0)-VLOOKUP(B420,#REF!,$W$2,0),0)</f>
        <v>0</v>
      </c>
      <c r="X420" s="9">
        <f>IFERROR(VLOOKUP(B420,cubo!$A$6:$BE$37,20,0)-VLOOKUP(B420,#REF!,$X$2,0),0)</f>
        <v>0</v>
      </c>
      <c r="Y420" s="9">
        <f>IFERROR(VLOOKUP(B420,cubo!$A$6:$BE$37,21,0)-VLOOKUP(B420,#REF!,$Y$2,0),0)</f>
        <v>0</v>
      </c>
      <c r="Z420" s="9">
        <f>IFERROR(VLOOKUP(B420,cubo!$A$6:$BE$37,27,0)-VLOOKUP(B420,#REF!,$Z$2,0),0)</f>
        <v>0</v>
      </c>
      <c r="AA420" s="9">
        <f>IFERROR(VLOOKUP(B420,cubo!$A$6:$BE$37,28,0)-VLOOKUP(B420,#REF!,$AA$2,0),0)</f>
        <v>0</v>
      </c>
      <c r="AB420" s="9">
        <f>IFERROR(VLOOKUP(B420,cubo!$A$6:$BE$37,29,0)-VLOOKUP(B420,#REF!,$AB$2,0),0)</f>
        <v>0</v>
      </c>
      <c r="AC420" s="9">
        <f>IFERROR(VLOOKUP(B420,cubo!$A$6:$BE$37,30,0)-VLOOKUP(B420,#REF!,$AC$2,0),0)</f>
        <v>0</v>
      </c>
      <c r="AD420" s="9">
        <f>IFERROR(VLOOKUP(B420,cubo!$A$6:$BE$37,31,0)-VLOOKUP(B420,#REF!,$AD$2,0),0)</f>
        <v>0</v>
      </c>
      <c r="AE420" s="9">
        <f>IFERROR(VLOOKUP(B420,cubo!$A$6:$BE$37,35,0)-VLOOKUP(B420,#REF!,$AE$2,0),0)</f>
        <v>0</v>
      </c>
      <c r="AF420" s="9" cm="1">
        <f t="array" aca="1" ref="AF420" ca="1">IFERROR(rrPROCV(B420,cubo!$A$6:$BE$37,48,0)-VLOOKUP(B420,#REF!,$AF$2,0),0)</f>
        <v>0</v>
      </c>
      <c r="AG420" s="9">
        <f>IFERROR(VLOOKUP(B420,cubo!$A$6:$BE$37,49,0)-VLOOKUP(B420,#REF!,$AG$2,0),0)</f>
        <v>0</v>
      </c>
      <c r="AH420" s="9">
        <f>IFERROR(VLOOKUP(B420,cubo!$A$6:$BE$37,50,0)-VLOOKUP(B420,#REF!,$AH$2,0),0)</f>
        <v>0</v>
      </c>
      <c r="AI420" s="9">
        <f>IFERROR(VLOOKUP(B420,cubo!$A$6:$BE$37,51,0)-VLOOKUP(B420,#REF!,$AI$2,0),0)</f>
        <v>0</v>
      </c>
      <c r="AJ420" s="9">
        <f>IFERROR(VLOOKUP(B420,cubo!$A$6:$BI$116,62,0)-VLOOKUP(B420,#REF!,$AJ$2,0),0)</f>
        <v>0</v>
      </c>
      <c r="AK420" s="9">
        <f>IFERROR(VLOOKUP(B420,cubo!$A$6:$BJ$37,63,0)-VLOOKUP(B420,#REF!,$AK$2,0),0)</f>
        <v>0</v>
      </c>
      <c r="AL420" s="9">
        <f>IFERROR(VLOOKUP(B420,cubo!$A$6:$BE$37,58,0)-VLOOKUP(B420,#REF!,$AL$2,0),0)</f>
        <v>0</v>
      </c>
      <c r="AM420" s="9">
        <f>IFERROR(VLOOKUP(B420,cubo!$A$6:$BK$37,64,0)-VLOOKUP(B420,#REF!,$AM$2,0),0)</f>
        <v>0</v>
      </c>
      <c r="AN420" s="9">
        <f>IFERROR(VLOOKUP(B420,cubo!$A$6:$AN$37,41,0)-VLOOKUP(B420,#REF!,$AN$2,0),0)</f>
        <v>0</v>
      </c>
    </row>
    <row r="421" spans="2:40" x14ac:dyDescent="0.25">
      <c r="B421" s="7">
        <f>[1]salario!A420</f>
        <v>0</v>
      </c>
      <c r="C421" s="8">
        <f>[1]salario!C420</f>
        <v>0</v>
      </c>
      <c r="D421" s="9">
        <f>IFERROR(VLOOKUP(B421,cubo!$A$6:$BE$37,3,0)-VLOOKUP(B421,#REF!,$D$2,0),0)</f>
        <v>0</v>
      </c>
      <c r="E421" s="10">
        <f>IFERROR(VLOOKUP(B421,cubo!$A$6:$BE$37,5,0)-VLOOKUP(B421,#REF!,$E$2,0),0)</f>
        <v>0</v>
      </c>
      <c r="F421" s="10">
        <f>IFERROR(VLOOKUP(B421,cubo!$A$6:$BE$37,8,0)-VLOOKUP(B421,#REF!,$F$2,0),0)</f>
        <v>0</v>
      </c>
      <c r="G421" s="9">
        <f>IFERROR(VLOOKUP(B421,cubo!$A$6:$BE$37,11,0)-VLOOKUP(B421,#REF!,$G$2,0),0)</f>
        <v>0</v>
      </c>
      <c r="H421" s="9">
        <f>IFERROR(VLOOKUP(B421,cubo!$A$6:$BE$37,53,0)-VLOOKUP(B421,#REF!,$H$2,0),0)</f>
        <v>0</v>
      </c>
      <c r="I421" s="10">
        <f>IFERROR(VLOOKUP(B421,cubo!$A$6:$BE$37,14,0)-VLOOKUP(B421,#REF!,$I$2,0),0)</f>
        <v>0</v>
      </c>
      <c r="J421" s="9">
        <f>IFERROR(VLOOKUP(B421,cubo!$A$6:$BE$37,16,0)-VLOOKUP(B421,#REF!,$J$2,0),0)</f>
        <v>0</v>
      </c>
      <c r="K421" s="9">
        <f>IFERROR(VLOOKUP(B421,cubo!$A$6:$BE$37,17,0)-VLOOKUP(B421,#REF!,$K$2,0),0)</f>
        <v>0</v>
      </c>
      <c r="L421" s="9">
        <f>IFERROR(VLOOKUP(B421,cubo!$A$6:$BE$37,19,0)-VLOOKUP(B421,#REF!,$L$2,0),0)</f>
        <v>0</v>
      </c>
      <c r="M421" s="9">
        <f>IFERROR(VLOOKUP(B421,cubo!$A$6:$BE$37,23,0)-VLOOKUP(B421,#REF!,$M$2,0),0)</f>
        <v>0</v>
      </c>
      <c r="N421" s="9">
        <f>IFERROR(VLOOKUP(B421,cubo!$A$6:$BE$37,25,0)-VLOOKUP(B421,#REF!,$N$2,0),0)</f>
        <v>0</v>
      </c>
      <c r="O421" s="9">
        <f>IFERROR(VLOOKUP(B421,cubo!$A$6:$BE$37,33,0)-VLOOKUP(B421,#REF!,$O$2,0),0)</f>
        <v>0</v>
      </c>
      <c r="P421" s="8">
        <f>IFERROR(VLOOKUP(B421,cubo!$A$6:$BE$37,37,0)-VLOOKUP(B421,#REF!,$P$2,0),0)</f>
        <v>0</v>
      </c>
      <c r="Q421" s="8">
        <f>IFERROR(VLOOKUP(B421,cubo!$A$6:$BE$37,56,0)-VLOOKUP(B421,#REF!,$Q$2,0),0)</f>
        <v>0</v>
      </c>
      <c r="R421" s="9">
        <f>IFERROR(VLOOKUP(B421,cubo!$A$6:$BE$37,40,0)-VLOOKUP(B421,#REF!,$R$2,0),0)</f>
        <v>0</v>
      </c>
      <c r="S421" s="9">
        <f>IFERROR(VLOOKUP(B421,cubo!$A$6:$BE$37,43,0)-VLOOKUP(B421,#REF!,$S$2,0),0)</f>
        <v>0</v>
      </c>
      <c r="T421" s="9">
        <f>IFERROR(VLOOKUP(B421,cubo!$A$6:$BE$37,46,0)-VLOOKUP(B421,#REF!,$T$2,0),0)</f>
        <v>0</v>
      </c>
      <c r="U421" s="9">
        <f>IFERROR(VLOOKUP(B421,cubo!$A$6:$BE$37,51,0)-VLOOKUP(B421,#REF!,$U$2,0),0)</f>
        <v>0</v>
      </c>
      <c r="V421" s="9">
        <f>IFERROR(VLOOKUP(B421,cubo!$A$6:$BJ$37,60,0)-VLOOKUP(B421,#REF!,$V$2,0),0)</f>
        <v>0</v>
      </c>
      <c r="W421" s="9">
        <f>IFERROR(VLOOKUP(B421,cubo!$A$6:$BE$37,26,0)-VLOOKUP(B421,#REF!,$W$2,0),0)</f>
        <v>0</v>
      </c>
      <c r="X421" s="9">
        <f>IFERROR(VLOOKUP(B421,cubo!$A$6:$BE$37,20,0)-VLOOKUP(B421,#REF!,$X$2,0),0)</f>
        <v>0</v>
      </c>
      <c r="Y421" s="9">
        <f>IFERROR(VLOOKUP(B421,cubo!$A$6:$BE$37,21,0)-VLOOKUP(B421,#REF!,$Y$2,0),0)</f>
        <v>0</v>
      </c>
      <c r="Z421" s="9">
        <f>IFERROR(VLOOKUP(B421,cubo!$A$6:$BE$37,27,0)-VLOOKUP(B421,#REF!,$Z$2,0),0)</f>
        <v>0</v>
      </c>
      <c r="AA421" s="9">
        <f>IFERROR(VLOOKUP(B421,cubo!$A$6:$BE$37,28,0)-VLOOKUP(B421,#REF!,$AA$2,0),0)</f>
        <v>0</v>
      </c>
      <c r="AB421" s="9">
        <f>IFERROR(VLOOKUP(B421,cubo!$A$6:$BE$37,29,0)-VLOOKUP(B421,#REF!,$AB$2,0),0)</f>
        <v>0</v>
      </c>
      <c r="AC421" s="9">
        <f>IFERROR(VLOOKUP(B421,cubo!$A$6:$BE$37,30,0)-VLOOKUP(B421,#REF!,$AC$2,0),0)</f>
        <v>0</v>
      </c>
      <c r="AD421" s="9">
        <f>IFERROR(VLOOKUP(B421,cubo!$A$6:$BE$37,31,0)-VLOOKUP(B421,#REF!,$AD$2,0),0)</f>
        <v>0</v>
      </c>
      <c r="AE421" s="9">
        <f>IFERROR(VLOOKUP(B421,cubo!$A$6:$BE$37,35,0)-VLOOKUP(B421,#REF!,$AE$2,0),0)</f>
        <v>0</v>
      </c>
      <c r="AF421" s="9" cm="1">
        <f t="array" aca="1" ref="AF421" ca="1">IFERROR(rrPROCV(B421,cubo!$A$6:$BE$37,48,0)-VLOOKUP(B421,#REF!,$AF$2,0),0)</f>
        <v>0</v>
      </c>
      <c r="AG421" s="9">
        <f>IFERROR(VLOOKUP(B421,cubo!$A$6:$BE$37,49,0)-VLOOKUP(B421,#REF!,$AG$2,0),0)</f>
        <v>0</v>
      </c>
      <c r="AH421" s="9">
        <f>IFERROR(VLOOKUP(B421,cubo!$A$6:$BE$37,50,0)-VLOOKUP(B421,#REF!,$AH$2,0),0)</f>
        <v>0</v>
      </c>
      <c r="AI421" s="9">
        <f>IFERROR(VLOOKUP(B421,cubo!$A$6:$BE$37,51,0)-VLOOKUP(B421,#REF!,$AI$2,0),0)</f>
        <v>0</v>
      </c>
      <c r="AJ421" s="9">
        <f>IFERROR(VLOOKUP(B421,cubo!$A$6:$BI$116,62,0)-VLOOKUP(B421,#REF!,$AJ$2,0),0)</f>
        <v>0</v>
      </c>
      <c r="AK421" s="9">
        <f>IFERROR(VLOOKUP(B421,cubo!$A$6:$BJ$37,63,0)-VLOOKUP(B421,#REF!,$AK$2,0),0)</f>
        <v>0</v>
      </c>
      <c r="AL421" s="9">
        <f>IFERROR(VLOOKUP(B421,cubo!$A$6:$BE$37,58,0)-VLOOKUP(B421,#REF!,$AL$2,0),0)</f>
        <v>0</v>
      </c>
      <c r="AM421" s="9">
        <f>IFERROR(VLOOKUP(B421,cubo!$A$6:$BK$37,64,0)-VLOOKUP(B421,#REF!,$AM$2,0),0)</f>
        <v>0</v>
      </c>
      <c r="AN421" s="9">
        <f>IFERROR(VLOOKUP(B421,cubo!$A$6:$AN$37,41,0)-VLOOKUP(B421,#REF!,$AN$2,0),0)</f>
        <v>0</v>
      </c>
    </row>
    <row r="422" spans="2:40" x14ac:dyDescent="0.25">
      <c r="B422" s="7">
        <f>[1]salario!A421</f>
        <v>0</v>
      </c>
      <c r="C422" s="8">
        <f>[1]salario!C421</f>
        <v>0</v>
      </c>
      <c r="D422" s="9">
        <f>IFERROR(VLOOKUP(B422,cubo!$A$6:$BE$37,3,0)-VLOOKUP(B422,#REF!,$D$2,0),0)</f>
        <v>0</v>
      </c>
      <c r="E422" s="10">
        <f>IFERROR(VLOOKUP(B422,cubo!$A$6:$BE$37,5,0)-VLOOKUP(B422,#REF!,$E$2,0),0)</f>
        <v>0</v>
      </c>
      <c r="F422" s="10">
        <f>IFERROR(VLOOKUP(B422,cubo!$A$6:$BE$37,8,0)-VLOOKUP(B422,#REF!,$F$2,0),0)</f>
        <v>0</v>
      </c>
      <c r="G422" s="9">
        <f>IFERROR(VLOOKUP(B422,cubo!$A$6:$BE$37,11,0)-VLOOKUP(B422,#REF!,$G$2,0),0)</f>
        <v>0</v>
      </c>
      <c r="H422" s="9">
        <f>IFERROR(VLOOKUP(B422,cubo!$A$6:$BE$37,53,0)-VLOOKUP(B422,#REF!,$H$2,0),0)</f>
        <v>0</v>
      </c>
      <c r="I422" s="10">
        <f>IFERROR(VLOOKUP(B422,cubo!$A$6:$BE$37,14,0)-VLOOKUP(B422,#REF!,$I$2,0),0)</f>
        <v>0</v>
      </c>
      <c r="J422" s="9">
        <f>IFERROR(VLOOKUP(B422,cubo!$A$6:$BE$37,16,0)-VLOOKUP(B422,#REF!,$J$2,0),0)</f>
        <v>0</v>
      </c>
      <c r="K422" s="9">
        <f>IFERROR(VLOOKUP(B422,cubo!$A$6:$BE$37,17,0)-VLOOKUP(B422,#REF!,$K$2,0),0)</f>
        <v>0</v>
      </c>
      <c r="L422" s="9">
        <f>IFERROR(VLOOKUP(B422,cubo!$A$6:$BE$37,19,0)-VLOOKUP(B422,#REF!,$L$2,0),0)</f>
        <v>0</v>
      </c>
      <c r="M422" s="9">
        <f>IFERROR(VLOOKUP(B422,cubo!$A$6:$BE$37,23,0)-VLOOKUP(B422,#REF!,$M$2,0),0)</f>
        <v>0</v>
      </c>
      <c r="N422" s="9">
        <f>IFERROR(VLOOKUP(B422,cubo!$A$6:$BE$37,25,0)-VLOOKUP(B422,#REF!,$N$2,0),0)</f>
        <v>0</v>
      </c>
      <c r="O422" s="9">
        <f>IFERROR(VLOOKUP(B422,cubo!$A$6:$BE$37,33,0)-VLOOKUP(B422,#REF!,$O$2,0),0)</f>
        <v>0</v>
      </c>
      <c r="P422" s="8">
        <f>IFERROR(VLOOKUP(B422,cubo!$A$6:$BE$37,37,0)-VLOOKUP(B422,#REF!,$P$2,0),0)</f>
        <v>0</v>
      </c>
      <c r="Q422" s="8">
        <f>IFERROR(VLOOKUP(B422,cubo!$A$6:$BE$37,56,0)-VLOOKUP(B422,#REF!,$Q$2,0),0)</f>
        <v>0</v>
      </c>
      <c r="R422" s="9">
        <f>IFERROR(VLOOKUP(B422,cubo!$A$6:$BE$37,40,0)-VLOOKUP(B422,#REF!,$R$2,0),0)</f>
        <v>0</v>
      </c>
      <c r="S422" s="9">
        <f>IFERROR(VLOOKUP(B422,cubo!$A$6:$BE$37,43,0)-VLOOKUP(B422,#REF!,$S$2,0),0)</f>
        <v>0</v>
      </c>
      <c r="T422" s="9">
        <f>IFERROR(VLOOKUP(B422,cubo!$A$6:$BE$37,46,0)-VLOOKUP(B422,#REF!,$T$2,0),0)</f>
        <v>0</v>
      </c>
      <c r="U422" s="9">
        <f>IFERROR(VLOOKUP(B422,cubo!$A$6:$BE$37,51,0)-VLOOKUP(B422,#REF!,$U$2,0),0)</f>
        <v>0</v>
      </c>
      <c r="V422" s="9">
        <f>IFERROR(VLOOKUP(B422,cubo!$A$6:$BJ$37,60,0)-VLOOKUP(B422,#REF!,$V$2,0),0)</f>
        <v>0</v>
      </c>
      <c r="W422" s="9">
        <f>IFERROR(VLOOKUP(B422,cubo!$A$6:$BE$37,26,0)-VLOOKUP(B422,#REF!,$W$2,0),0)</f>
        <v>0</v>
      </c>
      <c r="X422" s="9">
        <f>IFERROR(VLOOKUP(B422,cubo!$A$6:$BE$37,20,0)-VLOOKUP(B422,#REF!,$X$2,0),0)</f>
        <v>0</v>
      </c>
      <c r="Y422" s="9">
        <f>IFERROR(VLOOKUP(B422,cubo!$A$6:$BE$37,21,0)-VLOOKUP(B422,#REF!,$Y$2,0),0)</f>
        <v>0</v>
      </c>
      <c r="Z422" s="9">
        <f>IFERROR(VLOOKUP(B422,cubo!$A$6:$BE$37,27,0)-VLOOKUP(B422,#REF!,$Z$2,0),0)</f>
        <v>0</v>
      </c>
      <c r="AA422" s="9">
        <f>IFERROR(VLOOKUP(B422,cubo!$A$6:$BE$37,28,0)-VLOOKUP(B422,#REF!,$AA$2,0),0)</f>
        <v>0</v>
      </c>
      <c r="AB422" s="9">
        <f>IFERROR(VLOOKUP(B422,cubo!$A$6:$BE$37,29,0)-VLOOKUP(B422,#REF!,$AB$2,0),0)</f>
        <v>0</v>
      </c>
      <c r="AC422" s="9">
        <f>IFERROR(VLOOKUP(B422,cubo!$A$6:$BE$37,30,0)-VLOOKUP(B422,#REF!,$AC$2,0),0)</f>
        <v>0</v>
      </c>
      <c r="AD422" s="9">
        <f>IFERROR(VLOOKUP(B422,cubo!$A$6:$BE$37,31,0)-VLOOKUP(B422,#REF!,$AD$2,0),0)</f>
        <v>0</v>
      </c>
      <c r="AE422" s="9">
        <f>IFERROR(VLOOKUP(B422,cubo!$A$6:$BE$37,35,0)-VLOOKUP(B422,#REF!,$AE$2,0),0)</f>
        <v>0</v>
      </c>
      <c r="AF422" s="9" cm="1">
        <f t="array" aca="1" ref="AF422" ca="1">IFERROR(rrPROCV(B422,cubo!$A$6:$BE$37,48,0)-VLOOKUP(B422,#REF!,$AF$2,0),0)</f>
        <v>0</v>
      </c>
      <c r="AG422" s="9">
        <f>IFERROR(VLOOKUP(B422,cubo!$A$6:$BE$37,49,0)-VLOOKUP(B422,#REF!,$AG$2,0),0)</f>
        <v>0</v>
      </c>
      <c r="AH422" s="9">
        <f>IFERROR(VLOOKUP(B422,cubo!$A$6:$BE$37,50,0)-VLOOKUP(B422,#REF!,$AH$2,0),0)</f>
        <v>0</v>
      </c>
      <c r="AI422" s="9">
        <f>IFERROR(VLOOKUP(B422,cubo!$A$6:$BE$37,51,0)-VLOOKUP(B422,#REF!,$AI$2,0),0)</f>
        <v>0</v>
      </c>
      <c r="AJ422" s="9">
        <f>IFERROR(VLOOKUP(B422,cubo!$A$6:$BI$116,62,0)-VLOOKUP(B422,#REF!,$AJ$2,0),0)</f>
        <v>0</v>
      </c>
      <c r="AK422" s="9">
        <f>IFERROR(VLOOKUP(B422,cubo!$A$6:$BJ$37,63,0)-VLOOKUP(B422,#REF!,$AK$2,0),0)</f>
        <v>0</v>
      </c>
      <c r="AL422" s="9">
        <f>IFERROR(VLOOKUP(B422,cubo!$A$6:$BE$37,58,0)-VLOOKUP(B422,#REF!,$AL$2,0),0)</f>
        <v>0</v>
      </c>
      <c r="AM422" s="9">
        <f>IFERROR(VLOOKUP(B422,cubo!$A$6:$BK$37,64,0)-VLOOKUP(B422,#REF!,$AM$2,0),0)</f>
        <v>0</v>
      </c>
      <c r="AN422" s="9">
        <f>IFERROR(VLOOKUP(B422,cubo!$A$6:$AN$37,41,0)-VLOOKUP(B422,#REF!,$AN$2,0),0)</f>
        <v>0</v>
      </c>
    </row>
    <row r="423" spans="2:40" x14ac:dyDescent="0.25">
      <c r="B423" s="7">
        <f>[1]salario!A422</f>
        <v>0</v>
      </c>
      <c r="C423" s="8">
        <f>[1]salario!C422</f>
        <v>0</v>
      </c>
      <c r="D423" s="9">
        <f>IFERROR(VLOOKUP(B423,cubo!$A$6:$BE$37,3,0)-VLOOKUP(B423,#REF!,$D$2,0),0)</f>
        <v>0</v>
      </c>
      <c r="E423" s="10">
        <f>IFERROR(VLOOKUP(B423,cubo!$A$6:$BE$37,5,0)-VLOOKUP(B423,#REF!,$E$2,0),0)</f>
        <v>0</v>
      </c>
      <c r="F423" s="10">
        <f>IFERROR(VLOOKUP(B423,cubo!$A$6:$BE$37,8,0)-VLOOKUP(B423,#REF!,$F$2,0),0)</f>
        <v>0</v>
      </c>
      <c r="G423" s="9">
        <f>IFERROR(VLOOKUP(B423,cubo!$A$6:$BE$37,11,0)-VLOOKUP(B423,#REF!,$G$2,0),0)</f>
        <v>0</v>
      </c>
      <c r="H423" s="9">
        <f>IFERROR(VLOOKUP(B423,cubo!$A$6:$BE$37,53,0)-VLOOKUP(B423,#REF!,$H$2,0),0)</f>
        <v>0</v>
      </c>
      <c r="I423" s="10">
        <f>IFERROR(VLOOKUP(B423,cubo!$A$6:$BE$37,14,0)-VLOOKUP(B423,#REF!,$I$2,0),0)</f>
        <v>0</v>
      </c>
      <c r="J423" s="9">
        <f>IFERROR(VLOOKUP(B423,cubo!$A$6:$BE$37,16,0)-VLOOKUP(B423,#REF!,$J$2,0),0)</f>
        <v>0</v>
      </c>
      <c r="K423" s="9">
        <f>IFERROR(VLOOKUP(B423,cubo!$A$6:$BE$37,17,0)-VLOOKUP(B423,#REF!,$K$2,0),0)</f>
        <v>0</v>
      </c>
      <c r="L423" s="9">
        <f>IFERROR(VLOOKUP(B423,cubo!$A$6:$BE$37,19,0)-VLOOKUP(B423,#REF!,$L$2,0),0)</f>
        <v>0</v>
      </c>
      <c r="M423" s="9">
        <f>IFERROR(VLOOKUP(B423,cubo!$A$6:$BE$37,23,0)-VLOOKUP(B423,#REF!,$M$2,0),0)</f>
        <v>0</v>
      </c>
      <c r="N423" s="9">
        <f>IFERROR(VLOOKUP(B423,cubo!$A$6:$BE$37,25,0)-VLOOKUP(B423,#REF!,$N$2,0),0)</f>
        <v>0</v>
      </c>
      <c r="O423" s="9">
        <f>IFERROR(VLOOKUP(B423,cubo!$A$6:$BE$37,33,0)-VLOOKUP(B423,#REF!,$O$2,0),0)</f>
        <v>0</v>
      </c>
      <c r="P423" s="8">
        <f>IFERROR(VLOOKUP(B423,cubo!$A$6:$BE$37,37,0)-VLOOKUP(B423,#REF!,$P$2,0),0)</f>
        <v>0</v>
      </c>
      <c r="Q423" s="8">
        <f>IFERROR(VLOOKUP(B423,cubo!$A$6:$BE$37,56,0)-VLOOKUP(B423,#REF!,$Q$2,0),0)</f>
        <v>0</v>
      </c>
      <c r="R423" s="9">
        <f>IFERROR(VLOOKUP(B423,cubo!$A$6:$BE$37,40,0)-VLOOKUP(B423,#REF!,$R$2,0),0)</f>
        <v>0</v>
      </c>
      <c r="S423" s="9">
        <f>IFERROR(VLOOKUP(B423,cubo!$A$6:$BE$37,43,0)-VLOOKUP(B423,#REF!,$S$2,0),0)</f>
        <v>0</v>
      </c>
      <c r="T423" s="9">
        <f>IFERROR(VLOOKUP(B423,cubo!$A$6:$BE$37,46,0)-VLOOKUP(B423,#REF!,$T$2,0),0)</f>
        <v>0</v>
      </c>
      <c r="U423" s="9">
        <f>IFERROR(VLOOKUP(B423,cubo!$A$6:$BE$37,51,0)-VLOOKUP(B423,#REF!,$U$2,0),0)</f>
        <v>0</v>
      </c>
      <c r="V423" s="9">
        <f>IFERROR(VLOOKUP(B423,cubo!$A$6:$BJ$37,60,0)-VLOOKUP(B423,#REF!,$V$2,0),0)</f>
        <v>0</v>
      </c>
      <c r="W423" s="9">
        <f>IFERROR(VLOOKUP(B423,cubo!$A$6:$BE$37,26,0)-VLOOKUP(B423,#REF!,$W$2,0),0)</f>
        <v>0</v>
      </c>
      <c r="X423" s="9">
        <f>IFERROR(VLOOKUP(B423,cubo!$A$6:$BE$37,20,0)-VLOOKUP(B423,#REF!,$X$2,0),0)</f>
        <v>0</v>
      </c>
      <c r="Y423" s="9">
        <f>IFERROR(VLOOKUP(B423,cubo!$A$6:$BE$37,21,0)-VLOOKUP(B423,#REF!,$Y$2,0),0)</f>
        <v>0</v>
      </c>
      <c r="Z423" s="9">
        <f>IFERROR(VLOOKUP(B423,cubo!$A$6:$BE$37,27,0)-VLOOKUP(B423,#REF!,$Z$2,0),0)</f>
        <v>0</v>
      </c>
      <c r="AA423" s="9">
        <f>IFERROR(VLOOKUP(B423,cubo!$A$6:$BE$37,28,0)-VLOOKUP(B423,#REF!,$AA$2,0),0)</f>
        <v>0</v>
      </c>
      <c r="AB423" s="9">
        <f>IFERROR(VLOOKUP(B423,cubo!$A$6:$BE$37,29,0)-VLOOKUP(B423,#REF!,$AB$2,0),0)</f>
        <v>0</v>
      </c>
      <c r="AC423" s="9">
        <f>IFERROR(VLOOKUP(B423,cubo!$A$6:$BE$37,30,0)-VLOOKUP(B423,#REF!,$AC$2,0),0)</f>
        <v>0</v>
      </c>
      <c r="AD423" s="9">
        <f>IFERROR(VLOOKUP(B423,cubo!$A$6:$BE$37,31,0)-VLOOKUP(B423,#REF!,$AD$2,0),0)</f>
        <v>0</v>
      </c>
      <c r="AE423" s="9">
        <f>IFERROR(VLOOKUP(B423,cubo!$A$6:$BE$37,35,0)-VLOOKUP(B423,#REF!,$AE$2,0),0)</f>
        <v>0</v>
      </c>
      <c r="AF423" s="9" cm="1">
        <f t="array" aca="1" ref="AF423" ca="1">IFERROR(rrPROCV(B423,cubo!$A$6:$BE$37,48,0)-VLOOKUP(B423,#REF!,$AF$2,0),0)</f>
        <v>0</v>
      </c>
      <c r="AG423" s="9">
        <f>IFERROR(VLOOKUP(B423,cubo!$A$6:$BE$37,49,0)-VLOOKUP(B423,#REF!,$AG$2,0),0)</f>
        <v>0</v>
      </c>
      <c r="AH423" s="9">
        <f>IFERROR(VLOOKUP(B423,cubo!$A$6:$BE$37,50,0)-VLOOKUP(B423,#REF!,$AH$2,0),0)</f>
        <v>0</v>
      </c>
      <c r="AI423" s="9">
        <f>IFERROR(VLOOKUP(B423,cubo!$A$6:$BE$37,51,0)-VLOOKUP(B423,#REF!,$AI$2,0),0)</f>
        <v>0</v>
      </c>
      <c r="AJ423" s="9">
        <f>IFERROR(VLOOKUP(B423,cubo!$A$6:$BI$116,62,0)-VLOOKUP(B423,#REF!,$AJ$2,0),0)</f>
        <v>0</v>
      </c>
      <c r="AK423" s="9">
        <f>IFERROR(VLOOKUP(B423,cubo!$A$6:$BJ$37,63,0)-VLOOKUP(B423,#REF!,$AK$2,0),0)</f>
        <v>0</v>
      </c>
      <c r="AL423" s="9">
        <f>IFERROR(VLOOKUP(B423,cubo!$A$6:$BE$37,58,0)-VLOOKUP(B423,#REF!,$AL$2,0),0)</f>
        <v>0</v>
      </c>
      <c r="AM423" s="9">
        <f>IFERROR(VLOOKUP(B423,cubo!$A$6:$BK$37,64,0)-VLOOKUP(B423,#REF!,$AM$2,0),0)</f>
        <v>0</v>
      </c>
      <c r="AN423" s="9">
        <f>IFERROR(VLOOKUP(B423,cubo!$A$6:$AN$37,41,0)-VLOOKUP(B423,#REF!,$AN$2,0),0)</f>
        <v>0</v>
      </c>
    </row>
    <row r="424" spans="2:40" x14ac:dyDescent="0.25">
      <c r="B424" s="7">
        <f>[1]salario!A423</f>
        <v>0</v>
      </c>
      <c r="C424" s="8">
        <f>[1]salario!C423</f>
        <v>0</v>
      </c>
      <c r="D424" s="9">
        <f>IFERROR(VLOOKUP(B424,cubo!$A$6:$BE$37,3,0)-VLOOKUP(B424,#REF!,$D$2,0),0)</f>
        <v>0</v>
      </c>
      <c r="E424" s="10">
        <f>IFERROR(VLOOKUP(B424,cubo!$A$6:$BE$37,5,0)-VLOOKUP(B424,#REF!,$E$2,0),0)</f>
        <v>0</v>
      </c>
      <c r="F424" s="10">
        <f>IFERROR(VLOOKUP(B424,cubo!$A$6:$BE$37,8,0)-VLOOKUP(B424,#REF!,$F$2,0),0)</f>
        <v>0</v>
      </c>
      <c r="G424" s="9">
        <f>IFERROR(VLOOKUP(B424,cubo!$A$6:$BE$37,11,0)-VLOOKUP(B424,#REF!,$G$2,0),0)</f>
        <v>0</v>
      </c>
      <c r="H424" s="9">
        <f>IFERROR(VLOOKUP(B424,cubo!$A$6:$BE$37,53,0)-VLOOKUP(B424,#REF!,$H$2,0),0)</f>
        <v>0</v>
      </c>
      <c r="I424" s="10">
        <f>IFERROR(VLOOKUP(B424,cubo!$A$6:$BE$37,14,0)-VLOOKUP(B424,#REF!,$I$2,0),0)</f>
        <v>0</v>
      </c>
      <c r="J424" s="9">
        <f>IFERROR(VLOOKUP(B424,cubo!$A$6:$BE$37,16,0)-VLOOKUP(B424,#REF!,$J$2,0),0)</f>
        <v>0</v>
      </c>
      <c r="K424" s="9">
        <f>IFERROR(VLOOKUP(B424,cubo!$A$6:$BE$37,17,0)-VLOOKUP(B424,#REF!,$K$2,0),0)</f>
        <v>0</v>
      </c>
      <c r="L424" s="9">
        <f>IFERROR(VLOOKUP(B424,cubo!$A$6:$BE$37,19,0)-VLOOKUP(B424,#REF!,$L$2,0),0)</f>
        <v>0</v>
      </c>
      <c r="M424" s="9">
        <f>IFERROR(VLOOKUP(B424,cubo!$A$6:$BE$37,23,0)-VLOOKUP(B424,#REF!,$M$2,0),0)</f>
        <v>0</v>
      </c>
      <c r="N424" s="9">
        <f>IFERROR(VLOOKUP(B424,cubo!$A$6:$BE$37,25,0)-VLOOKUP(B424,#REF!,$N$2,0),0)</f>
        <v>0</v>
      </c>
      <c r="O424" s="9">
        <f>IFERROR(VLOOKUP(B424,cubo!$A$6:$BE$37,33,0)-VLOOKUP(B424,#REF!,$O$2,0),0)</f>
        <v>0</v>
      </c>
      <c r="P424" s="8">
        <f>IFERROR(VLOOKUP(B424,cubo!$A$6:$BE$37,37,0)-VLOOKUP(B424,#REF!,$P$2,0),0)</f>
        <v>0</v>
      </c>
      <c r="Q424" s="8">
        <f>IFERROR(VLOOKUP(B424,cubo!$A$6:$BE$37,56,0)-VLOOKUP(B424,#REF!,$Q$2,0),0)</f>
        <v>0</v>
      </c>
      <c r="R424" s="9">
        <f>IFERROR(VLOOKUP(B424,cubo!$A$6:$BE$37,40,0)-VLOOKUP(B424,#REF!,$R$2,0),0)</f>
        <v>0</v>
      </c>
      <c r="S424" s="9">
        <f>IFERROR(VLOOKUP(B424,cubo!$A$6:$BE$37,43,0)-VLOOKUP(B424,#REF!,$S$2,0),0)</f>
        <v>0</v>
      </c>
      <c r="T424" s="9">
        <f>IFERROR(VLOOKUP(B424,cubo!$A$6:$BE$37,46,0)-VLOOKUP(B424,#REF!,$T$2,0),0)</f>
        <v>0</v>
      </c>
      <c r="U424" s="9">
        <f>IFERROR(VLOOKUP(B424,cubo!$A$6:$BE$37,51,0)-VLOOKUP(B424,#REF!,$U$2,0),0)</f>
        <v>0</v>
      </c>
      <c r="V424" s="9">
        <f>IFERROR(VLOOKUP(B424,cubo!$A$6:$BJ$37,60,0)-VLOOKUP(B424,#REF!,$V$2,0),0)</f>
        <v>0</v>
      </c>
      <c r="W424" s="9">
        <f>IFERROR(VLOOKUP(B424,cubo!$A$6:$BE$37,26,0)-VLOOKUP(B424,#REF!,$W$2,0),0)</f>
        <v>0</v>
      </c>
      <c r="X424" s="9">
        <f>IFERROR(VLOOKUP(B424,cubo!$A$6:$BE$37,20,0)-VLOOKUP(B424,#REF!,$X$2,0),0)</f>
        <v>0</v>
      </c>
      <c r="Y424" s="9">
        <f>IFERROR(VLOOKUP(B424,cubo!$A$6:$BE$37,21,0)-VLOOKUP(B424,#REF!,$Y$2,0),0)</f>
        <v>0</v>
      </c>
      <c r="Z424" s="9">
        <f>IFERROR(VLOOKUP(B424,cubo!$A$6:$BE$37,27,0)-VLOOKUP(B424,#REF!,$Z$2,0),0)</f>
        <v>0</v>
      </c>
      <c r="AA424" s="9">
        <f>IFERROR(VLOOKUP(B424,cubo!$A$6:$BE$37,28,0)-VLOOKUP(B424,#REF!,$AA$2,0),0)</f>
        <v>0</v>
      </c>
      <c r="AB424" s="9">
        <f>IFERROR(VLOOKUP(B424,cubo!$A$6:$BE$37,29,0)-VLOOKUP(B424,#REF!,$AB$2,0),0)</f>
        <v>0</v>
      </c>
      <c r="AC424" s="9">
        <f>IFERROR(VLOOKUP(B424,cubo!$A$6:$BE$37,30,0)-VLOOKUP(B424,#REF!,$AC$2,0),0)</f>
        <v>0</v>
      </c>
      <c r="AD424" s="9">
        <f>IFERROR(VLOOKUP(B424,cubo!$A$6:$BE$37,31,0)-VLOOKUP(B424,#REF!,$AD$2,0),0)</f>
        <v>0</v>
      </c>
      <c r="AE424" s="9">
        <f>IFERROR(VLOOKUP(B424,cubo!$A$6:$BE$37,35,0)-VLOOKUP(B424,#REF!,$AE$2,0),0)</f>
        <v>0</v>
      </c>
      <c r="AF424" s="9" cm="1">
        <f t="array" aca="1" ref="AF424" ca="1">IFERROR(rrPROCV(B424,cubo!$A$6:$BE$37,48,0)-VLOOKUP(B424,#REF!,$AF$2,0),0)</f>
        <v>0</v>
      </c>
      <c r="AG424" s="9">
        <f>IFERROR(VLOOKUP(B424,cubo!$A$6:$BE$37,49,0)-VLOOKUP(B424,#REF!,$AG$2,0),0)</f>
        <v>0</v>
      </c>
      <c r="AH424" s="9">
        <f>IFERROR(VLOOKUP(B424,cubo!$A$6:$BE$37,50,0)-VLOOKUP(B424,#REF!,$AH$2,0),0)</f>
        <v>0</v>
      </c>
      <c r="AI424" s="9">
        <f>IFERROR(VLOOKUP(B424,cubo!$A$6:$BE$37,51,0)-VLOOKUP(B424,#REF!,$AI$2,0),0)</f>
        <v>0</v>
      </c>
      <c r="AJ424" s="9">
        <f>IFERROR(VLOOKUP(B424,cubo!$A$6:$BI$116,62,0)-VLOOKUP(B424,#REF!,$AJ$2,0),0)</f>
        <v>0</v>
      </c>
      <c r="AK424" s="9">
        <f>IFERROR(VLOOKUP(B424,cubo!$A$6:$BJ$37,63,0)-VLOOKUP(B424,#REF!,$AK$2,0),0)</f>
        <v>0</v>
      </c>
      <c r="AL424" s="9">
        <f>IFERROR(VLOOKUP(B424,cubo!$A$6:$BE$37,58,0)-VLOOKUP(B424,#REF!,$AL$2,0),0)</f>
        <v>0</v>
      </c>
      <c r="AM424" s="9">
        <f>IFERROR(VLOOKUP(B424,cubo!$A$6:$BK$37,64,0)-VLOOKUP(B424,#REF!,$AM$2,0),0)</f>
        <v>0</v>
      </c>
      <c r="AN424" s="9">
        <f>IFERROR(VLOOKUP(B424,cubo!$A$6:$AN$37,41,0)-VLOOKUP(B424,#REF!,$AN$2,0),0)</f>
        <v>0</v>
      </c>
    </row>
    <row r="425" spans="2:40" x14ac:dyDescent="0.25">
      <c r="B425" s="7">
        <f>[1]salario!A424</f>
        <v>0</v>
      </c>
      <c r="C425" s="8">
        <f>[1]salario!C424</f>
        <v>0</v>
      </c>
      <c r="D425" s="9">
        <f>IFERROR(VLOOKUP(B425,cubo!$A$6:$BE$37,3,0)-VLOOKUP(B425,#REF!,$D$2,0),0)</f>
        <v>0</v>
      </c>
      <c r="E425" s="10">
        <f>IFERROR(VLOOKUP(B425,cubo!$A$6:$BE$37,5,0)-VLOOKUP(B425,#REF!,$E$2,0),0)</f>
        <v>0</v>
      </c>
      <c r="F425" s="10">
        <f>IFERROR(VLOOKUP(B425,cubo!$A$6:$BE$37,8,0)-VLOOKUP(B425,#REF!,$F$2,0),0)</f>
        <v>0</v>
      </c>
      <c r="G425" s="9">
        <f>IFERROR(VLOOKUP(B425,cubo!$A$6:$BE$37,11,0)-VLOOKUP(B425,#REF!,$G$2,0),0)</f>
        <v>0</v>
      </c>
      <c r="H425" s="9">
        <f>IFERROR(VLOOKUP(B425,cubo!$A$6:$BE$37,53,0)-VLOOKUP(B425,#REF!,$H$2,0),0)</f>
        <v>0</v>
      </c>
      <c r="I425" s="10">
        <f>IFERROR(VLOOKUP(B425,cubo!$A$6:$BE$37,14,0)-VLOOKUP(B425,#REF!,$I$2,0),0)</f>
        <v>0</v>
      </c>
      <c r="J425" s="9">
        <f>IFERROR(VLOOKUP(B425,cubo!$A$6:$BE$37,16,0)-VLOOKUP(B425,#REF!,$J$2,0),0)</f>
        <v>0</v>
      </c>
      <c r="K425" s="9">
        <f>IFERROR(VLOOKUP(B425,cubo!$A$6:$BE$37,17,0)-VLOOKUP(B425,#REF!,$K$2,0),0)</f>
        <v>0</v>
      </c>
      <c r="L425" s="9">
        <f>IFERROR(VLOOKUP(B425,cubo!$A$6:$BE$37,19,0)-VLOOKUP(B425,#REF!,$L$2,0),0)</f>
        <v>0</v>
      </c>
      <c r="M425" s="9">
        <f>IFERROR(VLOOKUP(B425,cubo!$A$6:$BE$37,23,0)-VLOOKUP(B425,#REF!,$M$2,0),0)</f>
        <v>0</v>
      </c>
      <c r="N425" s="9">
        <f>IFERROR(VLOOKUP(B425,cubo!$A$6:$BE$37,25,0)-VLOOKUP(B425,#REF!,$N$2,0),0)</f>
        <v>0</v>
      </c>
      <c r="O425" s="9">
        <f>IFERROR(VLOOKUP(B425,cubo!$A$6:$BE$37,33,0)-VLOOKUP(B425,#REF!,$O$2,0),0)</f>
        <v>0</v>
      </c>
      <c r="P425" s="8">
        <f>IFERROR(VLOOKUP(B425,cubo!$A$6:$BE$37,37,0)-VLOOKUP(B425,#REF!,$P$2,0),0)</f>
        <v>0</v>
      </c>
      <c r="Q425" s="8">
        <f>IFERROR(VLOOKUP(B425,cubo!$A$6:$BE$37,56,0)-VLOOKUP(B425,#REF!,$Q$2,0),0)</f>
        <v>0</v>
      </c>
      <c r="R425" s="9">
        <f>IFERROR(VLOOKUP(B425,cubo!$A$6:$BE$37,40,0)-VLOOKUP(B425,#REF!,$R$2,0),0)</f>
        <v>0</v>
      </c>
      <c r="S425" s="9">
        <f>IFERROR(VLOOKUP(B425,cubo!$A$6:$BE$37,43,0)-VLOOKUP(B425,#REF!,$S$2,0),0)</f>
        <v>0</v>
      </c>
      <c r="T425" s="9">
        <f>IFERROR(VLOOKUP(B425,cubo!$A$6:$BE$37,46,0)-VLOOKUP(B425,#REF!,$T$2,0),0)</f>
        <v>0</v>
      </c>
      <c r="U425" s="9">
        <f>IFERROR(VLOOKUP(B425,cubo!$A$6:$BE$37,51,0)-VLOOKUP(B425,#REF!,$U$2,0),0)</f>
        <v>0</v>
      </c>
      <c r="V425" s="9">
        <f>IFERROR(VLOOKUP(B425,cubo!$A$6:$BJ$37,60,0)-VLOOKUP(B425,#REF!,$V$2,0),0)</f>
        <v>0</v>
      </c>
      <c r="W425" s="9">
        <f>IFERROR(VLOOKUP(B425,cubo!$A$6:$BE$37,26,0)-VLOOKUP(B425,#REF!,$W$2,0),0)</f>
        <v>0</v>
      </c>
      <c r="X425" s="9">
        <f>IFERROR(VLOOKUP(B425,cubo!$A$6:$BE$37,20,0)-VLOOKUP(B425,#REF!,$X$2,0),0)</f>
        <v>0</v>
      </c>
      <c r="Y425" s="9">
        <f>IFERROR(VLOOKUP(B425,cubo!$A$6:$BE$37,21,0)-VLOOKUP(B425,#REF!,$Y$2,0),0)</f>
        <v>0</v>
      </c>
      <c r="Z425" s="9">
        <f>IFERROR(VLOOKUP(B425,cubo!$A$6:$BE$37,27,0)-VLOOKUP(B425,#REF!,$Z$2,0),0)</f>
        <v>0</v>
      </c>
      <c r="AA425" s="9">
        <f>IFERROR(VLOOKUP(B425,cubo!$A$6:$BE$37,28,0)-VLOOKUP(B425,#REF!,$AA$2,0),0)</f>
        <v>0</v>
      </c>
      <c r="AB425" s="9">
        <f>IFERROR(VLOOKUP(B425,cubo!$A$6:$BE$37,29,0)-VLOOKUP(B425,#REF!,$AB$2,0),0)</f>
        <v>0</v>
      </c>
      <c r="AC425" s="9">
        <f>IFERROR(VLOOKUP(B425,cubo!$A$6:$BE$37,30,0)-VLOOKUP(B425,#REF!,$AC$2,0),0)</f>
        <v>0</v>
      </c>
      <c r="AD425" s="9">
        <f>IFERROR(VLOOKUP(B425,cubo!$A$6:$BE$37,31,0)-VLOOKUP(B425,#REF!,$AD$2,0),0)</f>
        <v>0</v>
      </c>
      <c r="AE425" s="9">
        <f>IFERROR(VLOOKUP(B425,cubo!$A$6:$BE$37,35,0)-VLOOKUP(B425,#REF!,$AE$2,0),0)</f>
        <v>0</v>
      </c>
      <c r="AF425" s="9" cm="1">
        <f t="array" aca="1" ref="AF425" ca="1">IFERROR(rrPROCV(B425,cubo!$A$6:$BE$37,48,0)-VLOOKUP(B425,#REF!,$AF$2,0),0)</f>
        <v>0</v>
      </c>
      <c r="AG425" s="9">
        <f>IFERROR(VLOOKUP(B425,cubo!$A$6:$BE$37,49,0)-VLOOKUP(B425,#REF!,$AG$2,0),0)</f>
        <v>0</v>
      </c>
      <c r="AH425" s="9">
        <f>IFERROR(VLOOKUP(B425,cubo!$A$6:$BE$37,50,0)-VLOOKUP(B425,#REF!,$AH$2,0),0)</f>
        <v>0</v>
      </c>
      <c r="AI425" s="9">
        <f>IFERROR(VLOOKUP(B425,cubo!$A$6:$BE$37,51,0)-VLOOKUP(B425,#REF!,$AI$2,0),0)</f>
        <v>0</v>
      </c>
      <c r="AJ425" s="9">
        <f>IFERROR(VLOOKUP(B425,cubo!$A$6:$BI$116,62,0)-VLOOKUP(B425,#REF!,$AJ$2,0),0)</f>
        <v>0</v>
      </c>
      <c r="AK425" s="9">
        <f>IFERROR(VLOOKUP(B425,cubo!$A$6:$BJ$37,63,0)-VLOOKUP(B425,#REF!,$AK$2,0),0)</f>
        <v>0</v>
      </c>
      <c r="AL425" s="9">
        <f>IFERROR(VLOOKUP(B425,cubo!$A$6:$BE$37,58,0)-VLOOKUP(B425,#REF!,$AL$2,0),0)</f>
        <v>0</v>
      </c>
      <c r="AM425" s="9">
        <f>IFERROR(VLOOKUP(B425,cubo!$A$6:$BK$37,64,0)-VLOOKUP(B425,#REF!,$AM$2,0),0)</f>
        <v>0</v>
      </c>
      <c r="AN425" s="9">
        <f>IFERROR(VLOOKUP(B425,cubo!$A$6:$AN$37,41,0)-VLOOKUP(B425,#REF!,$AN$2,0),0)</f>
        <v>0</v>
      </c>
    </row>
    <row r="426" spans="2:40" x14ac:dyDescent="0.25">
      <c r="B426" s="7">
        <f>[1]salario!A425</f>
        <v>0</v>
      </c>
      <c r="C426" s="8">
        <f>[1]salario!C425</f>
        <v>0</v>
      </c>
      <c r="D426" s="9">
        <f>IFERROR(VLOOKUP(B426,cubo!$A$6:$BE$37,3,0)-VLOOKUP(B426,#REF!,$D$2,0),0)</f>
        <v>0</v>
      </c>
      <c r="E426" s="10">
        <f>IFERROR(VLOOKUP(B426,cubo!$A$6:$BE$37,5,0)-VLOOKUP(B426,#REF!,$E$2,0),0)</f>
        <v>0</v>
      </c>
      <c r="F426" s="10">
        <f>IFERROR(VLOOKUP(B426,cubo!$A$6:$BE$37,8,0)-VLOOKUP(B426,#REF!,$F$2,0),0)</f>
        <v>0</v>
      </c>
      <c r="G426" s="9">
        <f>IFERROR(VLOOKUP(B426,cubo!$A$6:$BE$37,11,0)-VLOOKUP(B426,#REF!,$G$2,0),0)</f>
        <v>0</v>
      </c>
      <c r="H426" s="9">
        <f>IFERROR(VLOOKUP(B426,cubo!$A$6:$BE$37,53,0)-VLOOKUP(B426,#REF!,$H$2,0),0)</f>
        <v>0</v>
      </c>
      <c r="I426" s="10">
        <f>IFERROR(VLOOKUP(B426,cubo!$A$6:$BE$37,14,0)-VLOOKUP(B426,#REF!,$I$2,0),0)</f>
        <v>0</v>
      </c>
      <c r="J426" s="9">
        <f>IFERROR(VLOOKUP(B426,cubo!$A$6:$BE$37,16,0)-VLOOKUP(B426,#REF!,$J$2,0),0)</f>
        <v>0</v>
      </c>
      <c r="K426" s="9">
        <f>IFERROR(VLOOKUP(B426,cubo!$A$6:$BE$37,17,0)-VLOOKUP(B426,#REF!,$K$2,0),0)</f>
        <v>0</v>
      </c>
      <c r="L426" s="9">
        <f>IFERROR(VLOOKUP(B426,cubo!$A$6:$BE$37,19,0)-VLOOKUP(B426,#REF!,$L$2,0),0)</f>
        <v>0</v>
      </c>
      <c r="M426" s="9">
        <f>IFERROR(VLOOKUP(B426,cubo!$A$6:$BE$37,23,0)-VLOOKUP(B426,#REF!,$M$2,0),0)</f>
        <v>0</v>
      </c>
      <c r="N426" s="9">
        <f>IFERROR(VLOOKUP(B426,cubo!$A$6:$BE$37,25,0)-VLOOKUP(B426,#REF!,$N$2,0),0)</f>
        <v>0</v>
      </c>
      <c r="O426" s="9">
        <f>IFERROR(VLOOKUP(B426,cubo!$A$6:$BE$37,33,0)-VLOOKUP(B426,#REF!,$O$2,0),0)</f>
        <v>0</v>
      </c>
      <c r="P426" s="8">
        <f>IFERROR(VLOOKUP(B426,cubo!$A$6:$BE$37,37,0)-VLOOKUP(B426,#REF!,$P$2,0),0)</f>
        <v>0</v>
      </c>
      <c r="Q426" s="8">
        <f>IFERROR(VLOOKUP(B426,cubo!$A$6:$BE$37,56,0)-VLOOKUP(B426,#REF!,$Q$2,0),0)</f>
        <v>0</v>
      </c>
      <c r="R426" s="9">
        <f>IFERROR(VLOOKUP(B426,cubo!$A$6:$BE$37,40,0)-VLOOKUP(B426,#REF!,$R$2,0),0)</f>
        <v>0</v>
      </c>
      <c r="S426" s="9">
        <f>IFERROR(VLOOKUP(B426,cubo!$A$6:$BE$37,43,0)-VLOOKUP(B426,#REF!,$S$2,0),0)</f>
        <v>0</v>
      </c>
      <c r="T426" s="9">
        <f>IFERROR(VLOOKUP(B426,cubo!$A$6:$BE$37,46,0)-VLOOKUP(B426,#REF!,$T$2,0),0)</f>
        <v>0</v>
      </c>
      <c r="U426" s="9">
        <f>IFERROR(VLOOKUP(B426,cubo!$A$6:$BE$37,51,0)-VLOOKUP(B426,#REF!,$U$2,0),0)</f>
        <v>0</v>
      </c>
      <c r="V426" s="9">
        <f>IFERROR(VLOOKUP(B426,cubo!$A$6:$BJ$37,60,0)-VLOOKUP(B426,#REF!,$V$2,0),0)</f>
        <v>0</v>
      </c>
      <c r="W426" s="9">
        <f>IFERROR(VLOOKUP(B426,cubo!$A$6:$BE$37,26,0)-VLOOKUP(B426,#REF!,$W$2,0),0)</f>
        <v>0</v>
      </c>
      <c r="X426" s="9">
        <f>IFERROR(VLOOKUP(B426,cubo!$A$6:$BE$37,20,0)-VLOOKUP(B426,#REF!,$X$2,0),0)</f>
        <v>0</v>
      </c>
      <c r="Y426" s="9">
        <f>IFERROR(VLOOKUP(B426,cubo!$A$6:$BE$37,21,0)-VLOOKUP(B426,#REF!,$Y$2,0),0)</f>
        <v>0</v>
      </c>
      <c r="Z426" s="9">
        <f>IFERROR(VLOOKUP(B426,cubo!$A$6:$BE$37,27,0)-VLOOKUP(B426,#REF!,$Z$2,0),0)</f>
        <v>0</v>
      </c>
      <c r="AA426" s="9">
        <f>IFERROR(VLOOKUP(B426,cubo!$A$6:$BE$37,28,0)-VLOOKUP(B426,#REF!,$AA$2,0),0)</f>
        <v>0</v>
      </c>
      <c r="AB426" s="9">
        <f>IFERROR(VLOOKUP(B426,cubo!$A$6:$BE$37,29,0)-VLOOKUP(B426,#REF!,$AB$2,0),0)</f>
        <v>0</v>
      </c>
      <c r="AC426" s="9">
        <f>IFERROR(VLOOKUP(B426,cubo!$A$6:$BE$37,30,0)-VLOOKUP(B426,#REF!,$AC$2,0),0)</f>
        <v>0</v>
      </c>
      <c r="AD426" s="9">
        <f>IFERROR(VLOOKUP(B426,cubo!$A$6:$BE$37,31,0)-VLOOKUP(B426,#REF!,$AD$2,0),0)</f>
        <v>0</v>
      </c>
      <c r="AE426" s="9">
        <f>IFERROR(VLOOKUP(B426,cubo!$A$6:$BE$37,35,0)-VLOOKUP(B426,#REF!,$AE$2,0),0)</f>
        <v>0</v>
      </c>
      <c r="AF426" s="9" cm="1">
        <f t="array" aca="1" ref="AF426" ca="1">IFERROR(rrPROCV(B426,cubo!$A$6:$BE$37,48,0)-VLOOKUP(B426,#REF!,$AF$2,0),0)</f>
        <v>0</v>
      </c>
      <c r="AG426" s="9">
        <f>IFERROR(VLOOKUP(B426,cubo!$A$6:$BE$37,49,0)-VLOOKUP(B426,#REF!,$AG$2,0),0)</f>
        <v>0</v>
      </c>
      <c r="AH426" s="9">
        <f>IFERROR(VLOOKUP(B426,cubo!$A$6:$BE$37,50,0)-VLOOKUP(B426,#REF!,$AH$2,0),0)</f>
        <v>0</v>
      </c>
      <c r="AI426" s="9">
        <f>IFERROR(VLOOKUP(B426,cubo!$A$6:$BE$37,51,0)-VLOOKUP(B426,#REF!,$AI$2,0),0)</f>
        <v>0</v>
      </c>
      <c r="AJ426" s="9">
        <f>IFERROR(VLOOKUP(B426,cubo!$A$6:$BI$116,62,0)-VLOOKUP(B426,#REF!,$AJ$2,0),0)</f>
        <v>0</v>
      </c>
      <c r="AK426" s="9">
        <f>IFERROR(VLOOKUP(B426,cubo!$A$6:$BJ$37,63,0)-VLOOKUP(B426,#REF!,$AK$2,0),0)</f>
        <v>0</v>
      </c>
      <c r="AL426" s="9">
        <f>IFERROR(VLOOKUP(B426,cubo!$A$6:$BE$37,58,0)-VLOOKUP(B426,#REF!,$AL$2,0),0)</f>
        <v>0</v>
      </c>
      <c r="AM426" s="9">
        <f>IFERROR(VLOOKUP(B426,cubo!$A$6:$BK$37,64,0)-VLOOKUP(B426,#REF!,$AM$2,0),0)</f>
        <v>0</v>
      </c>
      <c r="AN426" s="9">
        <f>IFERROR(VLOOKUP(B426,cubo!$A$6:$AN$37,41,0)-VLOOKUP(B426,#REF!,$AN$2,0),0)</f>
        <v>0</v>
      </c>
    </row>
    <row r="427" spans="2:40" x14ac:dyDescent="0.25">
      <c r="B427" s="7">
        <f>[1]salario!A426</f>
        <v>0</v>
      </c>
      <c r="C427" s="8">
        <f>[1]salario!C426</f>
        <v>0</v>
      </c>
      <c r="D427" s="9">
        <f>IFERROR(VLOOKUP(B427,cubo!$A$6:$BE$37,3,0)-VLOOKUP(B427,#REF!,$D$2,0),0)</f>
        <v>0</v>
      </c>
      <c r="E427" s="10">
        <f>IFERROR(VLOOKUP(B427,cubo!$A$6:$BE$37,5,0)-VLOOKUP(B427,#REF!,$E$2,0),0)</f>
        <v>0</v>
      </c>
      <c r="F427" s="10">
        <f>IFERROR(VLOOKUP(B427,cubo!$A$6:$BE$37,8,0)-VLOOKUP(B427,#REF!,$F$2,0),0)</f>
        <v>0</v>
      </c>
      <c r="G427" s="9">
        <f>IFERROR(VLOOKUP(B427,cubo!$A$6:$BE$37,11,0)-VLOOKUP(B427,#REF!,$G$2,0),0)</f>
        <v>0</v>
      </c>
      <c r="H427" s="9">
        <f>IFERROR(VLOOKUP(B427,cubo!$A$6:$BE$37,53,0)-VLOOKUP(B427,#REF!,$H$2,0),0)</f>
        <v>0</v>
      </c>
      <c r="I427" s="10">
        <f>IFERROR(VLOOKUP(B427,cubo!$A$6:$BE$37,14,0)-VLOOKUP(B427,#REF!,$I$2,0),0)</f>
        <v>0</v>
      </c>
      <c r="J427" s="9">
        <f>IFERROR(VLOOKUP(B427,cubo!$A$6:$BE$37,16,0)-VLOOKUP(B427,#REF!,$J$2,0),0)</f>
        <v>0</v>
      </c>
      <c r="K427" s="9">
        <f>IFERROR(VLOOKUP(B427,cubo!$A$6:$BE$37,17,0)-VLOOKUP(B427,#REF!,$K$2,0),0)</f>
        <v>0</v>
      </c>
      <c r="L427" s="9">
        <f>IFERROR(VLOOKUP(B427,cubo!$A$6:$BE$37,19,0)-VLOOKUP(B427,#REF!,$L$2,0),0)</f>
        <v>0</v>
      </c>
      <c r="M427" s="9">
        <f>IFERROR(VLOOKUP(B427,cubo!$A$6:$BE$37,23,0)-VLOOKUP(B427,#REF!,$M$2,0),0)</f>
        <v>0</v>
      </c>
      <c r="N427" s="9">
        <f>IFERROR(VLOOKUP(B427,cubo!$A$6:$BE$37,25,0)-VLOOKUP(B427,#REF!,$N$2,0),0)</f>
        <v>0</v>
      </c>
      <c r="O427" s="9">
        <f>IFERROR(VLOOKUP(B427,cubo!$A$6:$BE$37,33,0)-VLOOKUP(B427,#REF!,$O$2,0),0)</f>
        <v>0</v>
      </c>
      <c r="P427" s="8">
        <f>IFERROR(VLOOKUP(B427,cubo!$A$6:$BE$37,37,0)-VLOOKUP(B427,#REF!,$P$2,0),0)</f>
        <v>0</v>
      </c>
      <c r="Q427" s="8">
        <f>IFERROR(VLOOKUP(B427,cubo!$A$6:$BE$37,56,0)-VLOOKUP(B427,#REF!,$Q$2,0),0)</f>
        <v>0</v>
      </c>
      <c r="R427" s="9">
        <f>IFERROR(VLOOKUP(B427,cubo!$A$6:$BE$37,40,0)-VLOOKUP(B427,#REF!,$R$2,0),0)</f>
        <v>0</v>
      </c>
      <c r="S427" s="9">
        <f>IFERROR(VLOOKUP(B427,cubo!$A$6:$BE$37,43,0)-VLOOKUP(B427,#REF!,$S$2,0),0)</f>
        <v>0</v>
      </c>
      <c r="T427" s="9">
        <f>IFERROR(VLOOKUP(B427,cubo!$A$6:$BE$37,46,0)-VLOOKUP(B427,#REF!,$T$2,0),0)</f>
        <v>0</v>
      </c>
      <c r="U427" s="9">
        <f>IFERROR(VLOOKUP(B427,cubo!$A$6:$BE$37,51,0)-VLOOKUP(B427,#REF!,$U$2,0),0)</f>
        <v>0</v>
      </c>
      <c r="V427" s="9">
        <f>IFERROR(VLOOKUP(B427,cubo!$A$6:$BJ$37,60,0)-VLOOKUP(B427,#REF!,$V$2,0),0)</f>
        <v>0</v>
      </c>
      <c r="W427" s="9">
        <f>IFERROR(VLOOKUP(B427,cubo!$A$6:$BE$37,26,0)-VLOOKUP(B427,#REF!,$W$2,0),0)</f>
        <v>0</v>
      </c>
      <c r="X427" s="9">
        <f>IFERROR(VLOOKUP(B427,cubo!$A$6:$BE$37,20,0)-VLOOKUP(B427,#REF!,$X$2,0),0)</f>
        <v>0</v>
      </c>
      <c r="Y427" s="9">
        <f>IFERROR(VLOOKUP(B427,cubo!$A$6:$BE$37,21,0)-VLOOKUP(B427,#REF!,$Y$2,0),0)</f>
        <v>0</v>
      </c>
      <c r="Z427" s="9">
        <f>IFERROR(VLOOKUP(B427,cubo!$A$6:$BE$37,27,0)-VLOOKUP(B427,#REF!,$Z$2,0),0)</f>
        <v>0</v>
      </c>
      <c r="AA427" s="9">
        <f>IFERROR(VLOOKUP(B427,cubo!$A$6:$BE$37,28,0)-VLOOKUP(B427,#REF!,$AA$2,0),0)</f>
        <v>0</v>
      </c>
      <c r="AB427" s="9">
        <f>IFERROR(VLOOKUP(B427,cubo!$A$6:$BE$37,29,0)-VLOOKUP(B427,#REF!,$AB$2,0),0)</f>
        <v>0</v>
      </c>
      <c r="AC427" s="9">
        <f>IFERROR(VLOOKUP(B427,cubo!$A$6:$BE$37,30,0)-VLOOKUP(B427,#REF!,$AC$2,0),0)</f>
        <v>0</v>
      </c>
      <c r="AD427" s="9">
        <f>IFERROR(VLOOKUP(B427,cubo!$A$6:$BE$37,31,0)-VLOOKUP(B427,#REF!,$AD$2,0),0)</f>
        <v>0</v>
      </c>
      <c r="AE427" s="9">
        <f>IFERROR(VLOOKUP(B427,cubo!$A$6:$BE$37,35,0)-VLOOKUP(B427,#REF!,$AE$2,0),0)</f>
        <v>0</v>
      </c>
      <c r="AF427" s="9" cm="1">
        <f t="array" aca="1" ref="AF427" ca="1">IFERROR(rrPROCV(B427,cubo!$A$6:$BE$37,48,0)-VLOOKUP(B427,#REF!,$AF$2,0),0)</f>
        <v>0</v>
      </c>
      <c r="AG427" s="9">
        <f>IFERROR(VLOOKUP(B427,cubo!$A$6:$BE$37,49,0)-VLOOKUP(B427,#REF!,$AG$2,0),0)</f>
        <v>0</v>
      </c>
      <c r="AH427" s="9">
        <f>IFERROR(VLOOKUP(B427,cubo!$A$6:$BE$37,50,0)-VLOOKUP(B427,#REF!,$AH$2,0),0)</f>
        <v>0</v>
      </c>
      <c r="AI427" s="9">
        <f>IFERROR(VLOOKUP(B427,cubo!$A$6:$BE$37,51,0)-VLOOKUP(B427,#REF!,$AI$2,0),0)</f>
        <v>0</v>
      </c>
      <c r="AJ427" s="9">
        <f>IFERROR(VLOOKUP(B427,cubo!$A$6:$BI$116,62,0)-VLOOKUP(B427,#REF!,$AJ$2,0),0)</f>
        <v>0</v>
      </c>
      <c r="AK427" s="9">
        <f>IFERROR(VLOOKUP(B427,cubo!$A$6:$BJ$37,63,0)-VLOOKUP(B427,#REF!,$AK$2,0),0)</f>
        <v>0</v>
      </c>
      <c r="AL427" s="9">
        <f>IFERROR(VLOOKUP(B427,cubo!$A$6:$BE$37,58,0)-VLOOKUP(B427,#REF!,$AL$2,0),0)</f>
        <v>0</v>
      </c>
      <c r="AM427" s="9">
        <f>IFERROR(VLOOKUP(B427,cubo!$A$6:$BK$37,64,0)-VLOOKUP(B427,#REF!,$AM$2,0),0)</f>
        <v>0</v>
      </c>
      <c r="AN427" s="9">
        <f>IFERROR(VLOOKUP(B427,cubo!$A$6:$AN$37,41,0)-VLOOKUP(B427,#REF!,$AN$2,0),0)</f>
        <v>0</v>
      </c>
    </row>
    <row r="428" spans="2:40" x14ac:dyDescent="0.25">
      <c r="B428" s="7">
        <f>[1]salario!A427</f>
        <v>0</v>
      </c>
      <c r="C428" s="8">
        <f>[1]salario!C427</f>
        <v>0</v>
      </c>
      <c r="D428" s="9">
        <f>IFERROR(VLOOKUP(B428,cubo!$A$6:$BE$37,3,0)-VLOOKUP(B428,#REF!,$D$2,0),0)</f>
        <v>0</v>
      </c>
      <c r="E428" s="10">
        <f>IFERROR(VLOOKUP(B428,cubo!$A$6:$BE$37,5,0)-VLOOKUP(B428,#REF!,$E$2,0),0)</f>
        <v>0</v>
      </c>
      <c r="F428" s="10">
        <f>IFERROR(VLOOKUP(B428,cubo!$A$6:$BE$37,8,0)-VLOOKUP(B428,#REF!,$F$2,0),0)</f>
        <v>0</v>
      </c>
      <c r="G428" s="9">
        <f>IFERROR(VLOOKUP(B428,cubo!$A$6:$BE$37,11,0)-VLOOKUP(B428,#REF!,$G$2,0),0)</f>
        <v>0</v>
      </c>
      <c r="H428" s="9">
        <f>IFERROR(VLOOKUP(B428,cubo!$A$6:$BE$37,53,0)-VLOOKUP(B428,#REF!,$H$2,0),0)</f>
        <v>0</v>
      </c>
      <c r="I428" s="10">
        <f>IFERROR(VLOOKUP(B428,cubo!$A$6:$BE$37,14,0)-VLOOKUP(B428,#REF!,$I$2,0),0)</f>
        <v>0</v>
      </c>
      <c r="J428" s="9">
        <f>IFERROR(VLOOKUP(B428,cubo!$A$6:$BE$37,16,0)-VLOOKUP(B428,#REF!,$J$2,0),0)</f>
        <v>0</v>
      </c>
      <c r="K428" s="9">
        <f>IFERROR(VLOOKUP(B428,cubo!$A$6:$BE$37,17,0)-VLOOKUP(B428,#REF!,$K$2,0),0)</f>
        <v>0</v>
      </c>
      <c r="L428" s="9">
        <f>IFERROR(VLOOKUP(B428,cubo!$A$6:$BE$37,19,0)-VLOOKUP(B428,#REF!,$L$2,0),0)</f>
        <v>0</v>
      </c>
      <c r="M428" s="9">
        <f>IFERROR(VLOOKUP(B428,cubo!$A$6:$BE$37,23,0)-VLOOKUP(B428,#REF!,$M$2,0),0)</f>
        <v>0</v>
      </c>
      <c r="N428" s="9">
        <f>IFERROR(VLOOKUP(B428,cubo!$A$6:$BE$37,25,0)-VLOOKUP(B428,#REF!,$N$2,0),0)</f>
        <v>0</v>
      </c>
      <c r="O428" s="9">
        <f>IFERROR(VLOOKUP(B428,cubo!$A$6:$BE$37,33,0)-VLOOKUP(B428,#REF!,$O$2,0),0)</f>
        <v>0</v>
      </c>
      <c r="P428" s="8">
        <f>IFERROR(VLOOKUP(B428,cubo!$A$6:$BE$37,37,0)-VLOOKUP(B428,#REF!,$P$2,0),0)</f>
        <v>0</v>
      </c>
      <c r="Q428" s="8">
        <f>IFERROR(VLOOKUP(B428,cubo!$A$6:$BE$37,56,0)-VLOOKUP(B428,#REF!,$Q$2,0),0)</f>
        <v>0</v>
      </c>
      <c r="R428" s="9">
        <f>IFERROR(VLOOKUP(B428,cubo!$A$6:$BE$37,40,0)-VLOOKUP(B428,#REF!,$R$2,0),0)</f>
        <v>0</v>
      </c>
      <c r="S428" s="9">
        <f>IFERROR(VLOOKUP(B428,cubo!$A$6:$BE$37,43,0)-VLOOKUP(B428,#REF!,$S$2,0),0)</f>
        <v>0</v>
      </c>
      <c r="T428" s="9">
        <f>IFERROR(VLOOKUP(B428,cubo!$A$6:$BE$37,46,0)-VLOOKUP(B428,#REF!,$T$2,0),0)</f>
        <v>0</v>
      </c>
      <c r="U428" s="9">
        <f>IFERROR(VLOOKUP(B428,cubo!$A$6:$BE$37,51,0)-VLOOKUP(B428,#REF!,$U$2,0),0)</f>
        <v>0</v>
      </c>
      <c r="V428" s="9">
        <f>IFERROR(VLOOKUP(B428,cubo!$A$6:$BJ$37,60,0)-VLOOKUP(B428,#REF!,$V$2,0),0)</f>
        <v>0</v>
      </c>
      <c r="W428" s="9">
        <f>IFERROR(VLOOKUP(B428,cubo!$A$6:$BE$37,26,0)-VLOOKUP(B428,#REF!,$W$2,0),0)</f>
        <v>0</v>
      </c>
      <c r="X428" s="9">
        <f>IFERROR(VLOOKUP(B428,cubo!$A$6:$BE$37,20,0)-VLOOKUP(B428,#REF!,$X$2,0),0)</f>
        <v>0</v>
      </c>
      <c r="Y428" s="9">
        <f>IFERROR(VLOOKUP(B428,cubo!$A$6:$BE$37,21,0)-VLOOKUP(B428,#REF!,$Y$2,0),0)</f>
        <v>0</v>
      </c>
      <c r="Z428" s="9">
        <f>IFERROR(VLOOKUP(B428,cubo!$A$6:$BE$37,27,0)-VLOOKUP(B428,#REF!,$Z$2,0),0)</f>
        <v>0</v>
      </c>
      <c r="AA428" s="9">
        <f>IFERROR(VLOOKUP(B428,cubo!$A$6:$BE$37,28,0)-VLOOKUP(B428,#REF!,$AA$2,0),0)</f>
        <v>0</v>
      </c>
      <c r="AB428" s="9">
        <f>IFERROR(VLOOKUP(B428,cubo!$A$6:$BE$37,29,0)-VLOOKUP(B428,#REF!,$AB$2,0),0)</f>
        <v>0</v>
      </c>
      <c r="AC428" s="9">
        <f>IFERROR(VLOOKUP(B428,cubo!$A$6:$BE$37,30,0)-VLOOKUP(B428,#REF!,$AC$2,0),0)</f>
        <v>0</v>
      </c>
      <c r="AD428" s="9">
        <f>IFERROR(VLOOKUP(B428,cubo!$A$6:$BE$37,31,0)-VLOOKUP(B428,#REF!,$AD$2,0),0)</f>
        <v>0</v>
      </c>
      <c r="AE428" s="9">
        <f>IFERROR(VLOOKUP(B428,cubo!$A$6:$BE$37,35,0)-VLOOKUP(B428,#REF!,$AE$2,0),0)</f>
        <v>0</v>
      </c>
      <c r="AF428" s="9" cm="1">
        <f t="array" aca="1" ref="AF428" ca="1">IFERROR(rrPROCV(B428,cubo!$A$6:$BE$37,48,0)-VLOOKUP(B428,#REF!,$AF$2,0),0)</f>
        <v>0</v>
      </c>
      <c r="AG428" s="9">
        <f>IFERROR(VLOOKUP(B428,cubo!$A$6:$BE$37,49,0)-VLOOKUP(B428,#REF!,$AG$2,0),0)</f>
        <v>0</v>
      </c>
      <c r="AH428" s="9">
        <f>IFERROR(VLOOKUP(B428,cubo!$A$6:$BE$37,50,0)-VLOOKUP(B428,#REF!,$AH$2,0),0)</f>
        <v>0</v>
      </c>
      <c r="AI428" s="9">
        <f>IFERROR(VLOOKUP(B428,cubo!$A$6:$BE$37,51,0)-VLOOKUP(B428,#REF!,$AI$2,0),0)</f>
        <v>0</v>
      </c>
      <c r="AJ428" s="9">
        <f>IFERROR(VLOOKUP(B428,cubo!$A$6:$BI$116,62,0)-VLOOKUP(B428,#REF!,$AJ$2,0),0)</f>
        <v>0</v>
      </c>
      <c r="AK428" s="9">
        <f>IFERROR(VLOOKUP(B428,cubo!$A$6:$BJ$37,63,0)-VLOOKUP(B428,#REF!,$AK$2,0),0)</f>
        <v>0</v>
      </c>
      <c r="AL428" s="9">
        <f>IFERROR(VLOOKUP(B428,cubo!$A$6:$BE$37,58,0)-VLOOKUP(B428,#REF!,$AL$2,0),0)</f>
        <v>0</v>
      </c>
      <c r="AM428" s="9">
        <f>IFERROR(VLOOKUP(B428,cubo!$A$6:$BK$37,64,0)-VLOOKUP(B428,#REF!,$AM$2,0),0)</f>
        <v>0</v>
      </c>
      <c r="AN428" s="9">
        <f>IFERROR(VLOOKUP(B428,cubo!$A$6:$AN$37,41,0)-VLOOKUP(B428,#REF!,$AN$2,0),0)</f>
        <v>0</v>
      </c>
    </row>
    <row r="429" spans="2:40" x14ac:dyDescent="0.25">
      <c r="B429" s="7">
        <f>[1]salario!A428</f>
        <v>0</v>
      </c>
      <c r="C429" s="8">
        <f>[1]salario!C428</f>
        <v>0</v>
      </c>
      <c r="D429" s="9">
        <f>IFERROR(VLOOKUP(B429,cubo!$A$6:$BE$37,3,0)-VLOOKUP(B429,#REF!,$D$2,0),0)</f>
        <v>0</v>
      </c>
      <c r="E429" s="10">
        <f>IFERROR(VLOOKUP(B429,cubo!$A$6:$BE$37,5,0)-VLOOKUP(B429,#REF!,$E$2,0),0)</f>
        <v>0</v>
      </c>
      <c r="F429" s="10">
        <f>IFERROR(VLOOKUP(B429,cubo!$A$6:$BE$37,8,0)-VLOOKUP(B429,#REF!,$F$2,0),0)</f>
        <v>0</v>
      </c>
      <c r="G429" s="9">
        <f>IFERROR(VLOOKUP(B429,cubo!$A$6:$BE$37,11,0)-VLOOKUP(B429,#REF!,$G$2,0),0)</f>
        <v>0</v>
      </c>
      <c r="H429" s="9">
        <f>IFERROR(VLOOKUP(B429,cubo!$A$6:$BE$37,53,0)-VLOOKUP(B429,#REF!,$H$2,0),0)</f>
        <v>0</v>
      </c>
      <c r="I429" s="10">
        <f>IFERROR(VLOOKUP(B429,cubo!$A$6:$BE$37,14,0)-VLOOKUP(B429,#REF!,$I$2,0),0)</f>
        <v>0</v>
      </c>
      <c r="J429" s="9">
        <f>IFERROR(VLOOKUP(B429,cubo!$A$6:$BE$37,16,0)-VLOOKUP(B429,#REF!,$J$2,0),0)</f>
        <v>0</v>
      </c>
      <c r="K429" s="9">
        <f>IFERROR(VLOOKUP(B429,cubo!$A$6:$BE$37,17,0)-VLOOKUP(B429,#REF!,$K$2,0),0)</f>
        <v>0</v>
      </c>
      <c r="L429" s="9">
        <f>IFERROR(VLOOKUP(B429,cubo!$A$6:$BE$37,19,0)-VLOOKUP(B429,#REF!,$L$2,0),0)</f>
        <v>0</v>
      </c>
      <c r="M429" s="9">
        <f>IFERROR(VLOOKUP(B429,cubo!$A$6:$BE$37,23,0)-VLOOKUP(B429,#REF!,$M$2,0),0)</f>
        <v>0</v>
      </c>
      <c r="N429" s="9">
        <f>IFERROR(VLOOKUP(B429,cubo!$A$6:$BE$37,25,0)-VLOOKUP(B429,#REF!,$N$2,0),0)</f>
        <v>0</v>
      </c>
      <c r="O429" s="9">
        <f>IFERROR(VLOOKUP(B429,cubo!$A$6:$BE$37,33,0)-VLOOKUP(B429,#REF!,$O$2,0),0)</f>
        <v>0</v>
      </c>
      <c r="P429" s="8">
        <f>IFERROR(VLOOKUP(B429,cubo!$A$6:$BE$37,37,0)-VLOOKUP(B429,#REF!,$P$2,0),0)</f>
        <v>0</v>
      </c>
      <c r="Q429" s="8">
        <f>IFERROR(VLOOKUP(B429,cubo!$A$6:$BE$37,56,0)-VLOOKUP(B429,#REF!,$Q$2,0),0)</f>
        <v>0</v>
      </c>
      <c r="R429" s="9">
        <f>IFERROR(VLOOKUP(B429,cubo!$A$6:$BE$37,40,0)-VLOOKUP(B429,#REF!,$R$2,0),0)</f>
        <v>0</v>
      </c>
      <c r="S429" s="9">
        <f>IFERROR(VLOOKUP(B429,cubo!$A$6:$BE$37,43,0)-VLOOKUP(B429,#REF!,$S$2,0),0)</f>
        <v>0</v>
      </c>
      <c r="T429" s="9">
        <f>IFERROR(VLOOKUP(B429,cubo!$A$6:$BE$37,46,0)-VLOOKUP(B429,#REF!,$T$2,0),0)</f>
        <v>0</v>
      </c>
      <c r="U429" s="9">
        <f>IFERROR(VLOOKUP(B429,cubo!$A$6:$BE$37,51,0)-VLOOKUP(B429,#REF!,$U$2,0),0)</f>
        <v>0</v>
      </c>
      <c r="V429" s="9">
        <f>IFERROR(VLOOKUP(B429,cubo!$A$6:$BJ$37,60,0)-VLOOKUP(B429,#REF!,$V$2,0),0)</f>
        <v>0</v>
      </c>
      <c r="W429" s="9">
        <f>IFERROR(VLOOKUP(B429,cubo!$A$6:$BE$37,26,0)-VLOOKUP(B429,#REF!,$W$2,0),0)</f>
        <v>0</v>
      </c>
      <c r="X429" s="9">
        <f>IFERROR(VLOOKUP(B429,cubo!$A$6:$BE$37,20,0)-VLOOKUP(B429,#REF!,$X$2,0),0)</f>
        <v>0</v>
      </c>
      <c r="Y429" s="9">
        <f>IFERROR(VLOOKUP(B429,cubo!$A$6:$BE$37,21,0)-VLOOKUP(B429,#REF!,$Y$2,0),0)</f>
        <v>0</v>
      </c>
      <c r="Z429" s="9">
        <f>IFERROR(VLOOKUP(B429,cubo!$A$6:$BE$37,27,0)-VLOOKUP(B429,#REF!,$Z$2,0),0)</f>
        <v>0</v>
      </c>
      <c r="AA429" s="9">
        <f>IFERROR(VLOOKUP(B429,cubo!$A$6:$BE$37,28,0)-VLOOKUP(B429,#REF!,$AA$2,0),0)</f>
        <v>0</v>
      </c>
      <c r="AB429" s="9">
        <f>IFERROR(VLOOKUP(B429,cubo!$A$6:$BE$37,29,0)-VLOOKUP(B429,#REF!,$AB$2,0),0)</f>
        <v>0</v>
      </c>
      <c r="AC429" s="9">
        <f>IFERROR(VLOOKUP(B429,cubo!$A$6:$BE$37,30,0)-VLOOKUP(B429,#REF!,$AC$2,0),0)</f>
        <v>0</v>
      </c>
      <c r="AD429" s="9">
        <f>IFERROR(VLOOKUP(B429,cubo!$A$6:$BE$37,31,0)-VLOOKUP(B429,#REF!,$AD$2,0),0)</f>
        <v>0</v>
      </c>
      <c r="AE429" s="9">
        <f>IFERROR(VLOOKUP(B429,cubo!$A$6:$BE$37,35,0)-VLOOKUP(B429,#REF!,$AE$2,0),0)</f>
        <v>0</v>
      </c>
      <c r="AF429" s="9" cm="1">
        <f t="array" aca="1" ref="AF429" ca="1">IFERROR(rrPROCV(B429,cubo!$A$6:$BE$37,48,0)-VLOOKUP(B429,#REF!,$AF$2,0),0)</f>
        <v>0</v>
      </c>
      <c r="AG429" s="9">
        <f>IFERROR(VLOOKUP(B429,cubo!$A$6:$BE$37,49,0)-VLOOKUP(B429,#REF!,$AG$2,0),0)</f>
        <v>0</v>
      </c>
      <c r="AH429" s="9">
        <f>IFERROR(VLOOKUP(B429,cubo!$A$6:$BE$37,50,0)-VLOOKUP(B429,#REF!,$AH$2,0),0)</f>
        <v>0</v>
      </c>
      <c r="AI429" s="9">
        <f>IFERROR(VLOOKUP(B429,cubo!$A$6:$BE$37,51,0)-VLOOKUP(B429,#REF!,$AI$2,0),0)</f>
        <v>0</v>
      </c>
      <c r="AJ429" s="9">
        <f>IFERROR(VLOOKUP(B429,cubo!$A$6:$BI$116,62,0)-VLOOKUP(B429,#REF!,$AJ$2,0),0)</f>
        <v>0</v>
      </c>
      <c r="AK429" s="9">
        <f>IFERROR(VLOOKUP(B429,cubo!$A$6:$BJ$37,63,0)-VLOOKUP(B429,#REF!,$AK$2,0),0)</f>
        <v>0</v>
      </c>
      <c r="AL429" s="9">
        <f>IFERROR(VLOOKUP(B429,cubo!$A$6:$BE$37,58,0)-VLOOKUP(B429,#REF!,$AL$2,0),0)</f>
        <v>0</v>
      </c>
      <c r="AM429" s="9">
        <f>IFERROR(VLOOKUP(B429,cubo!$A$6:$BK$37,64,0)-VLOOKUP(B429,#REF!,$AM$2,0),0)</f>
        <v>0</v>
      </c>
      <c r="AN429" s="9">
        <f>IFERROR(VLOOKUP(B429,cubo!$A$6:$AN$37,41,0)-VLOOKUP(B429,#REF!,$AN$2,0),0)</f>
        <v>0</v>
      </c>
    </row>
    <row r="430" spans="2:40" x14ac:dyDescent="0.25">
      <c r="B430" s="7">
        <f>[1]salario!A429</f>
        <v>0</v>
      </c>
      <c r="C430" s="8">
        <f>[1]salario!C429</f>
        <v>0</v>
      </c>
      <c r="D430" s="9">
        <f>IFERROR(VLOOKUP(B430,cubo!$A$6:$BE$37,3,0)-VLOOKUP(B430,#REF!,$D$2,0),0)</f>
        <v>0</v>
      </c>
      <c r="E430" s="10">
        <f>IFERROR(VLOOKUP(B430,cubo!$A$6:$BE$37,5,0)-VLOOKUP(B430,#REF!,$E$2,0),0)</f>
        <v>0</v>
      </c>
      <c r="F430" s="10">
        <f>IFERROR(VLOOKUP(B430,cubo!$A$6:$BE$37,8,0)-VLOOKUP(B430,#REF!,$F$2,0),0)</f>
        <v>0</v>
      </c>
      <c r="G430" s="9">
        <f>IFERROR(VLOOKUP(B430,cubo!$A$6:$BE$37,11,0)-VLOOKUP(B430,#REF!,$G$2,0),0)</f>
        <v>0</v>
      </c>
      <c r="H430" s="9">
        <f>IFERROR(VLOOKUP(B430,cubo!$A$6:$BE$37,53,0)-VLOOKUP(B430,#REF!,$H$2,0),0)</f>
        <v>0</v>
      </c>
      <c r="I430" s="10">
        <f>IFERROR(VLOOKUP(B430,cubo!$A$6:$BE$37,14,0)-VLOOKUP(B430,#REF!,$I$2,0),0)</f>
        <v>0</v>
      </c>
      <c r="J430" s="9">
        <f>IFERROR(VLOOKUP(B430,cubo!$A$6:$BE$37,16,0)-VLOOKUP(B430,#REF!,$J$2,0),0)</f>
        <v>0</v>
      </c>
      <c r="K430" s="9">
        <f>IFERROR(VLOOKUP(B430,cubo!$A$6:$BE$37,17,0)-VLOOKUP(B430,#REF!,$K$2,0),0)</f>
        <v>0</v>
      </c>
      <c r="L430" s="9">
        <f>IFERROR(VLOOKUP(B430,cubo!$A$6:$BE$37,19,0)-VLOOKUP(B430,#REF!,$L$2,0),0)</f>
        <v>0</v>
      </c>
      <c r="M430" s="9">
        <f>IFERROR(VLOOKUP(B430,cubo!$A$6:$BE$37,23,0)-VLOOKUP(B430,#REF!,$M$2,0),0)</f>
        <v>0</v>
      </c>
      <c r="N430" s="9">
        <f>IFERROR(VLOOKUP(B430,cubo!$A$6:$BE$37,25,0)-VLOOKUP(B430,#REF!,$N$2,0),0)</f>
        <v>0</v>
      </c>
      <c r="O430" s="9">
        <f>IFERROR(VLOOKUP(B430,cubo!$A$6:$BE$37,33,0)-VLOOKUP(B430,#REF!,$O$2,0),0)</f>
        <v>0</v>
      </c>
      <c r="P430" s="8">
        <f>IFERROR(VLOOKUP(B430,cubo!$A$6:$BE$37,37,0)-VLOOKUP(B430,#REF!,$P$2,0),0)</f>
        <v>0</v>
      </c>
      <c r="Q430" s="8">
        <f>IFERROR(VLOOKUP(B430,cubo!$A$6:$BE$37,56,0)-VLOOKUP(B430,#REF!,$Q$2,0),0)</f>
        <v>0</v>
      </c>
      <c r="R430" s="9">
        <f>IFERROR(VLOOKUP(B430,cubo!$A$6:$BE$37,40,0)-VLOOKUP(B430,#REF!,$R$2,0),0)</f>
        <v>0</v>
      </c>
      <c r="S430" s="9">
        <f>IFERROR(VLOOKUP(B430,cubo!$A$6:$BE$37,43,0)-VLOOKUP(B430,#REF!,$S$2,0),0)</f>
        <v>0</v>
      </c>
      <c r="T430" s="9">
        <f>IFERROR(VLOOKUP(B430,cubo!$A$6:$BE$37,46,0)-VLOOKUP(B430,#REF!,$T$2,0),0)</f>
        <v>0</v>
      </c>
      <c r="U430" s="9">
        <f>IFERROR(VLOOKUP(B430,cubo!$A$6:$BE$37,51,0)-VLOOKUP(B430,#REF!,$U$2,0),0)</f>
        <v>0</v>
      </c>
      <c r="V430" s="9">
        <f>IFERROR(VLOOKUP(B430,cubo!$A$6:$BJ$37,60,0)-VLOOKUP(B430,#REF!,$V$2,0),0)</f>
        <v>0</v>
      </c>
      <c r="W430" s="9">
        <f>IFERROR(VLOOKUP(B430,cubo!$A$6:$BE$37,26,0)-VLOOKUP(B430,#REF!,$W$2,0),0)</f>
        <v>0</v>
      </c>
      <c r="X430" s="9">
        <f>IFERROR(VLOOKUP(B430,cubo!$A$6:$BE$37,20,0)-VLOOKUP(B430,#REF!,$X$2,0),0)</f>
        <v>0</v>
      </c>
      <c r="Y430" s="9">
        <f>IFERROR(VLOOKUP(B430,cubo!$A$6:$BE$37,21,0)-VLOOKUP(B430,#REF!,$Y$2,0),0)</f>
        <v>0</v>
      </c>
      <c r="Z430" s="9">
        <f>IFERROR(VLOOKUP(B430,cubo!$A$6:$BE$37,27,0)-VLOOKUP(B430,#REF!,$Z$2,0),0)</f>
        <v>0</v>
      </c>
      <c r="AA430" s="9">
        <f>IFERROR(VLOOKUP(B430,cubo!$A$6:$BE$37,28,0)-VLOOKUP(B430,#REF!,$AA$2,0),0)</f>
        <v>0</v>
      </c>
      <c r="AB430" s="9">
        <f>IFERROR(VLOOKUP(B430,cubo!$A$6:$BE$37,29,0)-VLOOKUP(B430,#REF!,$AB$2,0),0)</f>
        <v>0</v>
      </c>
      <c r="AC430" s="9">
        <f>IFERROR(VLOOKUP(B430,cubo!$A$6:$BE$37,30,0)-VLOOKUP(B430,#REF!,$AC$2,0),0)</f>
        <v>0</v>
      </c>
      <c r="AD430" s="9">
        <f>IFERROR(VLOOKUP(B430,cubo!$A$6:$BE$37,31,0)-VLOOKUP(B430,#REF!,$AD$2,0),0)</f>
        <v>0</v>
      </c>
      <c r="AE430" s="9">
        <f>IFERROR(VLOOKUP(B430,cubo!$A$6:$BE$37,35,0)-VLOOKUP(B430,#REF!,$AE$2,0),0)</f>
        <v>0</v>
      </c>
      <c r="AF430" s="9" cm="1">
        <f t="array" aca="1" ref="AF430" ca="1">IFERROR(rrPROCV(B430,cubo!$A$6:$BE$37,48,0)-VLOOKUP(B430,#REF!,$AF$2,0),0)</f>
        <v>0</v>
      </c>
      <c r="AG430" s="9">
        <f>IFERROR(VLOOKUP(B430,cubo!$A$6:$BE$37,49,0)-VLOOKUP(B430,#REF!,$AG$2,0),0)</f>
        <v>0</v>
      </c>
      <c r="AH430" s="9">
        <f>IFERROR(VLOOKUP(B430,cubo!$A$6:$BE$37,50,0)-VLOOKUP(B430,#REF!,$AH$2,0),0)</f>
        <v>0</v>
      </c>
      <c r="AI430" s="9">
        <f>IFERROR(VLOOKUP(B430,cubo!$A$6:$BE$37,51,0)-VLOOKUP(B430,#REF!,$AI$2,0),0)</f>
        <v>0</v>
      </c>
      <c r="AJ430" s="9">
        <f>IFERROR(VLOOKUP(B430,cubo!$A$6:$BI$116,62,0)-VLOOKUP(B430,#REF!,$AJ$2,0),0)</f>
        <v>0</v>
      </c>
      <c r="AK430" s="9">
        <f>IFERROR(VLOOKUP(B430,cubo!$A$6:$BJ$37,63,0)-VLOOKUP(B430,#REF!,$AK$2,0),0)</f>
        <v>0</v>
      </c>
      <c r="AL430" s="9">
        <f>IFERROR(VLOOKUP(B430,cubo!$A$6:$BE$37,58,0)-VLOOKUP(B430,#REF!,$AL$2,0),0)</f>
        <v>0</v>
      </c>
      <c r="AM430" s="9">
        <f>IFERROR(VLOOKUP(B430,cubo!$A$6:$BK$37,64,0)-VLOOKUP(B430,#REF!,$AM$2,0),0)</f>
        <v>0</v>
      </c>
      <c r="AN430" s="9">
        <f>IFERROR(VLOOKUP(B430,cubo!$A$6:$AN$37,41,0)-VLOOKUP(B430,#REF!,$AN$2,0),0)</f>
        <v>0</v>
      </c>
    </row>
    <row r="431" spans="2:40" x14ac:dyDescent="0.25">
      <c r="B431" s="7">
        <f>[1]salario!A430</f>
        <v>0</v>
      </c>
      <c r="C431" s="8">
        <f>[1]salario!C430</f>
        <v>0</v>
      </c>
      <c r="D431" s="9">
        <f>IFERROR(VLOOKUP(B431,cubo!$A$6:$BE$37,3,0)-VLOOKUP(B431,#REF!,$D$2,0),0)</f>
        <v>0</v>
      </c>
      <c r="E431" s="10">
        <f>IFERROR(VLOOKUP(B431,cubo!$A$6:$BE$37,5,0)-VLOOKUP(B431,#REF!,$E$2,0),0)</f>
        <v>0</v>
      </c>
      <c r="F431" s="10">
        <f>IFERROR(VLOOKUP(B431,cubo!$A$6:$BE$37,8,0)-VLOOKUP(B431,#REF!,$F$2,0),0)</f>
        <v>0</v>
      </c>
      <c r="G431" s="9">
        <f>IFERROR(VLOOKUP(B431,cubo!$A$6:$BE$37,11,0)-VLOOKUP(B431,#REF!,$G$2,0),0)</f>
        <v>0</v>
      </c>
      <c r="H431" s="9">
        <f>IFERROR(VLOOKUP(B431,cubo!$A$6:$BE$37,53,0)-VLOOKUP(B431,#REF!,$H$2,0),0)</f>
        <v>0</v>
      </c>
      <c r="I431" s="10">
        <f>IFERROR(VLOOKUP(B431,cubo!$A$6:$BE$37,14,0)-VLOOKUP(B431,#REF!,$I$2,0),0)</f>
        <v>0</v>
      </c>
      <c r="J431" s="9">
        <f>IFERROR(VLOOKUP(B431,cubo!$A$6:$BE$37,16,0)-VLOOKUP(B431,#REF!,$J$2,0),0)</f>
        <v>0</v>
      </c>
      <c r="K431" s="9">
        <f>IFERROR(VLOOKUP(B431,cubo!$A$6:$BE$37,17,0)-VLOOKUP(B431,#REF!,$K$2,0),0)</f>
        <v>0</v>
      </c>
      <c r="L431" s="9">
        <f>IFERROR(VLOOKUP(B431,cubo!$A$6:$BE$37,19,0)-VLOOKUP(B431,#REF!,$L$2,0),0)</f>
        <v>0</v>
      </c>
      <c r="M431" s="9">
        <f>IFERROR(VLOOKUP(B431,cubo!$A$6:$BE$37,23,0)-VLOOKUP(B431,#REF!,$M$2,0),0)</f>
        <v>0</v>
      </c>
      <c r="N431" s="9">
        <f>IFERROR(VLOOKUP(B431,cubo!$A$6:$BE$37,25,0)-VLOOKUP(B431,#REF!,$N$2,0),0)</f>
        <v>0</v>
      </c>
      <c r="O431" s="9">
        <f>IFERROR(VLOOKUP(B431,cubo!$A$6:$BE$37,33,0)-VLOOKUP(B431,#REF!,$O$2,0),0)</f>
        <v>0</v>
      </c>
      <c r="P431" s="8">
        <f>IFERROR(VLOOKUP(B431,cubo!$A$6:$BE$37,37,0)-VLOOKUP(B431,#REF!,$P$2,0),0)</f>
        <v>0</v>
      </c>
      <c r="Q431" s="8">
        <f>IFERROR(VLOOKUP(B431,cubo!$A$6:$BE$37,56,0)-VLOOKUP(B431,#REF!,$Q$2,0),0)</f>
        <v>0</v>
      </c>
      <c r="R431" s="9">
        <f>IFERROR(VLOOKUP(B431,cubo!$A$6:$BE$37,40,0)-VLOOKUP(B431,#REF!,$R$2,0),0)</f>
        <v>0</v>
      </c>
      <c r="S431" s="9">
        <f>IFERROR(VLOOKUP(B431,cubo!$A$6:$BE$37,43,0)-VLOOKUP(B431,#REF!,$S$2,0),0)</f>
        <v>0</v>
      </c>
      <c r="T431" s="9">
        <f>IFERROR(VLOOKUP(B431,cubo!$A$6:$BE$37,46,0)-VLOOKUP(B431,#REF!,$T$2,0),0)</f>
        <v>0</v>
      </c>
      <c r="U431" s="9">
        <f>IFERROR(VLOOKUP(B431,cubo!$A$6:$BE$37,51,0)-VLOOKUP(B431,#REF!,$U$2,0),0)</f>
        <v>0</v>
      </c>
      <c r="V431" s="9">
        <f>IFERROR(VLOOKUP(B431,cubo!$A$6:$BJ$37,60,0)-VLOOKUP(B431,#REF!,$V$2,0),0)</f>
        <v>0</v>
      </c>
      <c r="W431" s="9">
        <f>IFERROR(VLOOKUP(B431,cubo!$A$6:$BE$37,26,0)-VLOOKUP(B431,#REF!,$W$2,0),0)</f>
        <v>0</v>
      </c>
      <c r="X431" s="9">
        <f>IFERROR(VLOOKUP(B431,cubo!$A$6:$BE$37,20,0)-VLOOKUP(B431,#REF!,$X$2,0),0)</f>
        <v>0</v>
      </c>
      <c r="Y431" s="9">
        <f>IFERROR(VLOOKUP(B431,cubo!$A$6:$BE$37,21,0)-VLOOKUP(B431,#REF!,$Y$2,0),0)</f>
        <v>0</v>
      </c>
      <c r="Z431" s="9">
        <f>IFERROR(VLOOKUP(B431,cubo!$A$6:$BE$37,27,0)-VLOOKUP(B431,#REF!,$Z$2,0),0)</f>
        <v>0</v>
      </c>
      <c r="AA431" s="9">
        <f>IFERROR(VLOOKUP(B431,cubo!$A$6:$BE$37,28,0)-VLOOKUP(B431,#REF!,$AA$2,0),0)</f>
        <v>0</v>
      </c>
      <c r="AB431" s="9">
        <f>IFERROR(VLOOKUP(B431,cubo!$A$6:$BE$37,29,0)-VLOOKUP(B431,#REF!,$AB$2,0),0)</f>
        <v>0</v>
      </c>
      <c r="AC431" s="9">
        <f>IFERROR(VLOOKUP(B431,cubo!$A$6:$BE$37,30,0)-VLOOKUP(B431,#REF!,$AC$2,0),0)</f>
        <v>0</v>
      </c>
      <c r="AD431" s="9">
        <f>IFERROR(VLOOKUP(B431,cubo!$A$6:$BE$37,31,0)-VLOOKUP(B431,#REF!,$AD$2,0),0)</f>
        <v>0</v>
      </c>
      <c r="AE431" s="9">
        <f>IFERROR(VLOOKUP(B431,cubo!$A$6:$BE$37,35,0)-VLOOKUP(B431,#REF!,$AE$2,0),0)</f>
        <v>0</v>
      </c>
      <c r="AF431" s="9" cm="1">
        <f t="array" aca="1" ref="AF431" ca="1">IFERROR(rrPROCV(B431,cubo!$A$6:$BE$37,48,0)-VLOOKUP(B431,#REF!,$AF$2,0),0)</f>
        <v>0</v>
      </c>
      <c r="AG431" s="9">
        <f>IFERROR(VLOOKUP(B431,cubo!$A$6:$BE$37,49,0)-VLOOKUP(B431,#REF!,$AG$2,0),0)</f>
        <v>0</v>
      </c>
      <c r="AH431" s="9">
        <f>IFERROR(VLOOKUP(B431,cubo!$A$6:$BE$37,50,0)-VLOOKUP(B431,#REF!,$AH$2,0),0)</f>
        <v>0</v>
      </c>
      <c r="AI431" s="9">
        <f>IFERROR(VLOOKUP(B431,cubo!$A$6:$BE$37,51,0)-VLOOKUP(B431,#REF!,$AI$2,0),0)</f>
        <v>0</v>
      </c>
      <c r="AJ431" s="9">
        <f>IFERROR(VLOOKUP(B431,cubo!$A$6:$BI$116,62,0)-VLOOKUP(B431,#REF!,$AJ$2,0),0)</f>
        <v>0</v>
      </c>
      <c r="AK431" s="9">
        <f>IFERROR(VLOOKUP(B431,cubo!$A$6:$BJ$37,63,0)-VLOOKUP(B431,#REF!,$AK$2,0),0)</f>
        <v>0</v>
      </c>
      <c r="AL431" s="9">
        <f>IFERROR(VLOOKUP(B431,cubo!$A$6:$BE$37,58,0)-VLOOKUP(B431,#REF!,$AL$2,0),0)</f>
        <v>0</v>
      </c>
      <c r="AM431" s="9">
        <f>IFERROR(VLOOKUP(B431,cubo!$A$6:$BK$37,64,0)-VLOOKUP(B431,#REF!,$AM$2,0),0)</f>
        <v>0</v>
      </c>
      <c r="AN431" s="9">
        <f>IFERROR(VLOOKUP(B431,cubo!$A$6:$AN$37,41,0)-VLOOKUP(B431,#REF!,$AN$2,0),0)</f>
        <v>0</v>
      </c>
    </row>
    <row r="432" spans="2:40" x14ac:dyDescent="0.25">
      <c r="B432" s="7">
        <f>[1]salario!A431</f>
        <v>0</v>
      </c>
      <c r="C432" s="8">
        <f>[1]salario!C431</f>
        <v>0</v>
      </c>
      <c r="D432" s="9">
        <f>IFERROR(VLOOKUP(B432,cubo!$A$6:$BE$37,3,0)-VLOOKUP(B432,#REF!,$D$2,0),0)</f>
        <v>0</v>
      </c>
      <c r="E432" s="10">
        <f>IFERROR(VLOOKUP(B432,cubo!$A$6:$BE$37,5,0)-VLOOKUP(B432,#REF!,$E$2,0),0)</f>
        <v>0</v>
      </c>
      <c r="F432" s="10">
        <f>IFERROR(VLOOKUP(B432,cubo!$A$6:$BE$37,8,0)-VLOOKUP(B432,#REF!,$F$2,0),0)</f>
        <v>0</v>
      </c>
      <c r="G432" s="9">
        <f>IFERROR(VLOOKUP(B432,cubo!$A$6:$BE$37,11,0)-VLOOKUP(B432,#REF!,$G$2,0),0)</f>
        <v>0</v>
      </c>
      <c r="H432" s="9">
        <f>IFERROR(VLOOKUP(B432,cubo!$A$6:$BE$37,53,0)-VLOOKUP(B432,#REF!,$H$2,0),0)</f>
        <v>0</v>
      </c>
      <c r="I432" s="10">
        <f>IFERROR(VLOOKUP(B432,cubo!$A$6:$BE$37,14,0)-VLOOKUP(B432,#REF!,$I$2,0),0)</f>
        <v>0</v>
      </c>
      <c r="J432" s="9">
        <f>IFERROR(VLOOKUP(B432,cubo!$A$6:$BE$37,16,0)-VLOOKUP(B432,#REF!,$J$2,0),0)</f>
        <v>0</v>
      </c>
      <c r="K432" s="9">
        <f>IFERROR(VLOOKUP(B432,cubo!$A$6:$BE$37,17,0)-VLOOKUP(B432,#REF!,$K$2,0),0)</f>
        <v>0</v>
      </c>
      <c r="L432" s="9">
        <f>IFERROR(VLOOKUP(B432,cubo!$A$6:$BE$37,19,0)-VLOOKUP(B432,#REF!,$L$2,0),0)</f>
        <v>0</v>
      </c>
      <c r="M432" s="9">
        <f>IFERROR(VLOOKUP(B432,cubo!$A$6:$BE$37,23,0)-VLOOKUP(B432,#REF!,$M$2,0),0)</f>
        <v>0</v>
      </c>
      <c r="N432" s="9">
        <f>IFERROR(VLOOKUP(B432,cubo!$A$6:$BE$37,25,0)-VLOOKUP(B432,#REF!,$N$2,0),0)</f>
        <v>0</v>
      </c>
      <c r="O432" s="9">
        <f>IFERROR(VLOOKUP(B432,cubo!$A$6:$BE$37,33,0)-VLOOKUP(B432,#REF!,$O$2,0),0)</f>
        <v>0</v>
      </c>
      <c r="P432" s="8">
        <f>IFERROR(VLOOKUP(B432,cubo!$A$6:$BE$37,37,0)-VLOOKUP(B432,#REF!,$P$2,0),0)</f>
        <v>0</v>
      </c>
      <c r="Q432" s="8">
        <f>IFERROR(VLOOKUP(B432,cubo!$A$6:$BE$37,56,0)-VLOOKUP(B432,#REF!,$Q$2,0),0)</f>
        <v>0</v>
      </c>
      <c r="R432" s="9">
        <f>IFERROR(VLOOKUP(B432,cubo!$A$6:$BE$37,40,0)-VLOOKUP(B432,#REF!,$R$2,0),0)</f>
        <v>0</v>
      </c>
      <c r="S432" s="9">
        <f>IFERROR(VLOOKUP(B432,cubo!$A$6:$BE$37,43,0)-VLOOKUP(B432,#REF!,$S$2,0),0)</f>
        <v>0</v>
      </c>
      <c r="T432" s="9">
        <f>IFERROR(VLOOKUP(B432,cubo!$A$6:$BE$37,46,0)-VLOOKUP(B432,#REF!,$T$2,0),0)</f>
        <v>0</v>
      </c>
      <c r="U432" s="9">
        <f>IFERROR(VLOOKUP(B432,cubo!$A$6:$BE$37,51,0)-VLOOKUP(B432,#REF!,$U$2,0),0)</f>
        <v>0</v>
      </c>
      <c r="V432" s="9">
        <f>IFERROR(VLOOKUP(B432,cubo!$A$6:$BJ$37,60,0)-VLOOKUP(B432,#REF!,$V$2,0),0)</f>
        <v>0</v>
      </c>
      <c r="W432" s="9">
        <f>IFERROR(VLOOKUP(B432,cubo!$A$6:$BE$37,26,0)-VLOOKUP(B432,#REF!,$W$2,0),0)</f>
        <v>0</v>
      </c>
      <c r="X432" s="9">
        <f>IFERROR(VLOOKUP(B432,cubo!$A$6:$BE$37,20,0)-VLOOKUP(B432,#REF!,$X$2,0),0)</f>
        <v>0</v>
      </c>
      <c r="Y432" s="9">
        <f>IFERROR(VLOOKUP(B432,cubo!$A$6:$BE$37,21,0)-VLOOKUP(B432,#REF!,$Y$2,0),0)</f>
        <v>0</v>
      </c>
      <c r="Z432" s="9">
        <f>IFERROR(VLOOKUP(B432,cubo!$A$6:$BE$37,27,0)-VLOOKUP(B432,#REF!,$Z$2,0),0)</f>
        <v>0</v>
      </c>
      <c r="AA432" s="9">
        <f>IFERROR(VLOOKUP(B432,cubo!$A$6:$BE$37,28,0)-VLOOKUP(B432,#REF!,$AA$2,0),0)</f>
        <v>0</v>
      </c>
      <c r="AB432" s="9">
        <f>IFERROR(VLOOKUP(B432,cubo!$A$6:$BE$37,29,0)-VLOOKUP(B432,#REF!,$AB$2,0),0)</f>
        <v>0</v>
      </c>
      <c r="AC432" s="9">
        <f>IFERROR(VLOOKUP(B432,cubo!$A$6:$BE$37,30,0)-VLOOKUP(B432,#REF!,$AC$2,0),0)</f>
        <v>0</v>
      </c>
      <c r="AD432" s="9">
        <f>IFERROR(VLOOKUP(B432,cubo!$A$6:$BE$37,31,0)-VLOOKUP(B432,#REF!,$AD$2,0),0)</f>
        <v>0</v>
      </c>
      <c r="AE432" s="9">
        <f>IFERROR(VLOOKUP(B432,cubo!$A$6:$BE$37,35,0)-VLOOKUP(B432,#REF!,$AE$2,0),0)</f>
        <v>0</v>
      </c>
      <c r="AF432" s="9" cm="1">
        <f t="array" aca="1" ref="AF432" ca="1">IFERROR(rrPROCV(B432,cubo!$A$6:$BE$37,48,0)-VLOOKUP(B432,#REF!,$AF$2,0),0)</f>
        <v>0</v>
      </c>
      <c r="AG432" s="9">
        <f>IFERROR(VLOOKUP(B432,cubo!$A$6:$BE$37,49,0)-VLOOKUP(B432,#REF!,$AG$2,0),0)</f>
        <v>0</v>
      </c>
      <c r="AH432" s="9">
        <f>IFERROR(VLOOKUP(B432,cubo!$A$6:$BE$37,50,0)-VLOOKUP(B432,#REF!,$AH$2,0),0)</f>
        <v>0</v>
      </c>
      <c r="AI432" s="9">
        <f>IFERROR(VLOOKUP(B432,cubo!$A$6:$BE$37,51,0)-VLOOKUP(B432,#REF!,$AI$2,0),0)</f>
        <v>0</v>
      </c>
      <c r="AJ432" s="9">
        <f>IFERROR(VLOOKUP(B432,cubo!$A$6:$BI$116,62,0)-VLOOKUP(B432,#REF!,$AJ$2,0),0)</f>
        <v>0</v>
      </c>
      <c r="AK432" s="9">
        <f>IFERROR(VLOOKUP(B432,cubo!$A$6:$BJ$37,63,0)-VLOOKUP(B432,#REF!,$AK$2,0),0)</f>
        <v>0</v>
      </c>
      <c r="AL432" s="9">
        <f>IFERROR(VLOOKUP(B432,cubo!$A$6:$BE$37,58,0)-VLOOKUP(B432,#REF!,$AL$2,0),0)</f>
        <v>0</v>
      </c>
      <c r="AM432" s="9">
        <f>IFERROR(VLOOKUP(B432,cubo!$A$6:$BK$37,64,0)-VLOOKUP(B432,#REF!,$AM$2,0),0)</f>
        <v>0</v>
      </c>
      <c r="AN432" s="9">
        <f>IFERROR(VLOOKUP(B432,cubo!$A$6:$AN$37,41,0)-VLOOKUP(B432,#REF!,$AN$2,0),0)</f>
        <v>0</v>
      </c>
    </row>
    <row r="433" spans="2:40" x14ac:dyDescent="0.25">
      <c r="B433" s="7">
        <f>[1]salario!A432</f>
        <v>0</v>
      </c>
      <c r="C433" s="8">
        <f>[1]salario!C432</f>
        <v>0</v>
      </c>
      <c r="D433" s="9">
        <f>IFERROR(VLOOKUP(B433,cubo!$A$6:$BE$37,3,0)-VLOOKUP(B433,#REF!,$D$2,0),0)</f>
        <v>0</v>
      </c>
      <c r="E433" s="10">
        <f>IFERROR(VLOOKUP(B433,cubo!$A$6:$BE$37,5,0)-VLOOKUP(B433,#REF!,$E$2,0),0)</f>
        <v>0</v>
      </c>
      <c r="F433" s="10">
        <f>IFERROR(VLOOKUP(B433,cubo!$A$6:$BE$37,8,0)-VLOOKUP(B433,#REF!,$F$2,0),0)</f>
        <v>0</v>
      </c>
      <c r="G433" s="9">
        <f>IFERROR(VLOOKUP(B433,cubo!$A$6:$BE$37,11,0)-VLOOKUP(B433,#REF!,$G$2,0),0)</f>
        <v>0</v>
      </c>
      <c r="H433" s="9">
        <f>IFERROR(VLOOKUP(B433,cubo!$A$6:$BE$37,53,0)-VLOOKUP(B433,#REF!,$H$2,0),0)</f>
        <v>0</v>
      </c>
      <c r="I433" s="10">
        <f>IFERROR(VLOOKUP(B433,cubo!$A$6:$BE$37,14,0)-VLOOKUP(B433,#REF!,$I$2,0),0)</f>
        <v>0</v>
      </c>
      <c r="J433" s="9">
        <f>IFERROR(VLOOKUP(B433,cubo!$A$6:$BE$37,16,0)-VLOOKUP(B433,#REF!,$J$2,0),0)</f>
        <v>0</v>
      </c>
      <c r="K433" s="9">
        <f>IFERROR(VLOOKUP(B433,cubo!$A$6:$BE$37,17,0)-VLOOKUP(B433,#REF!,$K$2,0),0)</f>
        <v>0</v>
      </c>
      <c r="L433" s="9">
        <f>IFERROR(VLOOKUP(B433,cubo!$A$6:$BE$37,19,0)-VLOOKUP(B433,#REF!,$L$2,0),0)</f>
        <v>0</v>
      </c>
      <c r="M433" s="9">
        <f>IFERROR(VLOOKUP(B433,cubo!$A$6:$BE$37,23,0)-VLOOKUP(B433,#REF!,$M$2,0),0)</f>
        <v>0</v>
      </c>
      <c r="N433" s="9">
        <f>IFERROR(VLOOKUP(B433,cubo!$A$6:$BE$37,25,0)-VLOOKUP(B433,#REF!,$N$2,0),0)</f>
        <v>0</v>
      </c>
      <c r="O433" s="9">
        <f>IFERROR(VLOOKUP(B433,cubo!$A$6:$BE$37,33,0)-VLOOKUP(B433,#REF!,$O$2,0),0)</f>
        <v>0</v>
      </c>
      <c r="P433" s="8">
        <f>IFERROR(VLOOKUP(B433,cubo!$A$6:$BE$37,37,0)-VLOOKUP(B433,#REF!,$P$2,0),0)</f>
        <v>0</v>
      </c>
      <c r="Q433" s="8">
        <f>IFERROR(VLOOKUP(B433,cubo!$A$6:$BE$37,56,0)-VLOOKUP(B433,#REF!,$Q$2,0),0)</f>
        <v>0</v>
      </c>
      <c r="R433" s="9">
        <f>IFERROR(VLOOKUP(B433,cubo!$A$6:$BE$37,40,0)-VLOOKUP(B433,#REF!,$R$2,0),0)</f>
        <v>0</v>
      </c>
      <c r="S433" s="9">
        <f>IFERROR(VLOOKUP(B433,cubo!$A$6:$BE$37,43,0)-VLOOKUP(B433,#REF!,$S$2,0),0)</f>
        <v>0</v>
      </c>
      <c r="T433" s="9">
        <f>IFERROR(VLOOKUP(B433,cubo!$A$6:$BE$37,46,0)-VLOOKUP(B433,#REF!,$T$2,0),0)</f>
        <v>0</v>
      </c>
      <c r="U433" s="9">
        <f>IFERROR(VLOOKUP(B433,cubo!$A$6:$BE$37,51,0)-VLOOKUP(B433,#REF!,$U$2,0),0)</f>
        <v>0</v>
      </c>
      <c r="V433" s="9">
        <f>IFERROR(VLOOKUP(B433,cubo!$A$6:$BJ$37,60,0)-VLOOKUP(B433,#REF!,$V$2,0),0)</f>
        <v>0</v>
      </c>
      <c r="W433" s="9">
        <f>IFERROR(VLOOKUP(B433,cubo!$A$6:$BE$37,26,0)-VLOOKUP(B433,#REF!,$W$2,0),0)</f>
        <v>0</v>
      </c>
      <c r="X433" s="9">
        <f>IFERROR(VLOOKUP(B433,cubo!$A$6:$BE$37,20,0)-VLOOKUP(B433,#REF!,$X$2,0),0)</f>
        <v>0</v>
      </c>
      <c r="Y433" s="9">
        <f>IFERROR(VLOOKUP(B433,cubo!$A$6:$BE$37,21,0)-VLOOKUP(B433,#REF!,$Y$2,0),0)</f>
        <v>0</v>
      </c>
      <c r="Z433" s="9">
        <f>IFERROR(VLOOKUP(B433,cubo!$A$6:$BE$37,27,0)-VLOOKUP(B433,#REF!,$Z$2,0),0)</f>
        <v>0</v>
      </c>
      <c r="AA433" s="9">
        <f>IFERROR(VLOOKUP(B433,cubo!$A$6:$BE$37,28,0)-VLOOKUP(B433,#REF!,$AA$2,0),0)</f>
        <v>0</v>
      </c>
      <c r="AB433" s="9">
        <f>IFERROR(VLOOKUP(B433,cubo!$A$6:$BE$37,29,0)-VLOOKUP(B433,#REF!,$AB$2,0),0)</f>
        <v>0</v>
      </c>
      <c r="AC433" s="9">
        <f>IFERROR(VLOOKUP(B433,cubo!$A$6:$BE$37,30,0)-VLOOKUP(B433,#REF!,$AC$2,0),0)</f>
        <v>0</v>
      </c>
      <c r="AD433" s="9">
        <f>IFERROR(VLOOKUP(B433,cubo!$A$6:$BE$37,31,0)-VLOOKUP(B433,#REF!,$AD$2,0),0)</f>
        <v>0</v>
      </c>
      <c r="AE433" s="9">
        <f>IFERROR(VLOOKUP(B433,cubo!$A$6:$BE$37,35,0)-VLOOKUP(B433,#REF!,$AE$2,0),0)</f>
        <v>0</v>
      </c>
      <c r="AF433" s="9" cm="1">
        <f t="array" aca="1" ref="AF433" ca="1">IFERROR(rrPROCV(B433,cubo!$A$6:$BE$37,48,0)-VLOOKUP(B433,#REF!,$AF$2,0),0)</f>
        <v>0</v>
      </c>
      <c r="AG433" s="9">
        <f>IFERROR(VLOOKUP(B433,cubo!$A$6:$BE$37,49,0)-VLOOKUP(B433,#REF!,$AG$2,0),0)</f>
        <v>0</v>
      </c>
      <c r="AH433" s="9">
        <f>IFERROR(VLOOKUP(B433,cubo!$A$6:$BE$37,50,0)-VLOOKUP(B433,#REF!,$AH$2,0),0)</f>
        <v>0</v>
      </c>
      <c r="AI433" s="9">
        <f>IFERROR(VLOOKUP(B433,cubo!$A$6:$BE$37,51,0)-VLOOKUP(B433,#REF!,$AI$2,0),0)</f>
        <v>0</v>
      </c>
      <c r="AJ433" s="9">
        <f>IFERROR(VLOOKUP(B433,cubo!$A$6:$BI$116,62,0)-VLOOKUP(B433,#REF!,$AJ$2,0),0)</f>
        <v>0</v>
      </c>
      <c r="AK433" s="9">
        <f>IFERROR(VLOOKUP(B433,cubo!$A$6:$BJ$37,63,0)-VLOOKUP(B433,#REF!,$AK$2,0),0)</f>
        <v>0</v>
      </c>
      <c r="AL433" s="9">
        <f>IFERROR(VLOOKUP(B433,cubo!$A$6:$BE$37,58,0)-VLOOKUP(B433,#REF!,$AL$2,0),0)</f>
        <v>0</v>
      </c>
      <c r="AM433" s="9">
        <f>IFERROR(VLOOKUP(B433,cubo!$A$6:$BK$37,64,0)-VLOOKUP(B433,#REF!,$AM$2,0),0)</f>
        <v>0</v>
      </c>
      <c r="AN433" s="9">
        <f>IFERROR(VLOOKUP(B433,cubo!$A$6:$AN$37,41,0)-VLOOKUP(B433,#REF!,$AN$2,0),0)</f>
        <v>0</v>
      </c>
    </row>
    <row r="434" spans="2:40" x14ac:dyDescent="0.25">
      <c r="B434" s="7">
        <f>[1]salario!A433</f>
        <v>0</v>
      </c>
      <c r="C434" s="8">
        <f>[1]salario!C433</f>
        <v>0</v>
      </c>
      <c r="D434" s="9">
        <f>IFERROR(VLOOKUP(B434,cubo!$A$6:$BE$37,3,0)-VLOOKUP(B434,#REF!,$D$2,0),0)</f>
        <v>0</v>
      </c>
      <c r="E434" s="10">
        <f>IFERROR(VLOOKUP(B434,cubo!$A$6:$BE$37,5,0)-VLOOKUP(B434,#REF!,$E$2,0),0)</f>
        <v>0</v>
      </c>
      <c r="F434" s="10">
        <f>IFERROR(VLOOKUP(B434,cubo!$A$6:$BE$37,8,0)-VLOOKUP(B434,#REF!,$F$2,0),0)</f>
        <v>0</v>
      </c>
      <c r="G434" s="9">
        <f>IFERROR(VLOOKUP(B434,cubo!$A$6:$BE$37,11,0)-VLOOKUP(B434,#REF!,$G$2,0),0)</f>
        <v>0</v>
      </c>
      <c r="H434" s="9">
        <f>IFERROR(VLOOKUP(B434,cubo!$A$6:$BE$37,53,0)-VLOOKUP(B434,#REF!,$H$2,0),0)</f>
        <v>0</v>
      </c>
      <c r="I434" s="10">
        <f>IFERROR(VLOOKUP(B434,cubo!$A$6:$BE$37,14,0)-VLOOKUP(B434,#REF!,$I$2,0),0)</f>
        <v>0</v>
      </c>
      <c r="J434" s="9">
        <f>IFERROR(VLOOKUP(B434,cubo!$A$6:$BE$37,16,0)-VLOOKUP(B434,#REF!,$J$2,0),0)</f>
        <v>0</v>
      </c>
      <c r="K434" s="9">
        <f>IFERROR(VLOOKUP(B434,cubo!$A$6:$BE$37,17,0)-VLOOKUP(B434,#REF!,$K$2,0),0)</f>
        <v>0</v>
      </c>
      <c r="L434" s="9">
        <f>IFERROR(VLOOKUP(B434,cubo!$A$6:$BE$37,19,0)-VLOOKUP(B434,#REF!,$L$2,0),0)</f>
        <v>0</v>
      </c>
      <c r="M434" s="9">
        <f>IFERROR(VLOOKUP(B434,cubo!$A$6:$BE$37,23,0)-VLOOKUP(B434,#REF!,$M$2,0),0)</f>
        <v>0</v>
      </c>
      <c r="N434" s="9">
        <f>IFERROR(VLOOKUP(B434,cubo!$A$6:$BE$37,25,0)-VLOOKUP(B434,#REF!,$N$2,0),0)</f>
        <v>0</v>
      </c>
      <c r="O434" s="9">
        <f>IFERROR(VLOOKUP(B434,cubo!$A$6:$BE$37,33,0)-VLOOKUP(B434,#REF!,$O$2,0),0)</f>
        <v>0</v>
      </c>
      <c r="P434" s="8">
        <f>IFERROR(VLOOKUP(B434,cubo!$A$6:$BE$37,37,0)-VLOOKUP(B434,#REF!,$P$2,0),0)</f>
        <v>0</v>
      </c>
      <c r="Q434" s="8">
        <f>IFERROR(VLOOKUP(B434,cubo!$A$6:$BE$37,56,0)-VLOOKUP(B434,#REF!,$Q$2,0),0)</f>
        <v>0</v>
      </c>
      <c r="R434" s="9">
        <f>IFERROR(VLOOKUP(B434,cubo!$A$6:$BE$37,40,0)-VLOOKUP(B434,#REF!,$R$2,0),0)</f>
        <v>0</v>
      </c>
      <c r="S434" s="9">
        <f>IFERROR(VLOOKUP(B434,cubo!$A$6:$BE$37,43,0)-VLOOKUP(B434,#REF!,$S$2,0),0)</f>
        <v>0</v>
      </c>
      <c r="T434" s="9">
        <f>IFERROR(VLOOKUP(B434,cubo!$A$6:$BE$37,46,0)-VLOOKUP(B434,#REF!,$T$2,0),0)</f>
        <v>0</v>
      </c>
      <c r="U434" s="9">
        <f>IFERROR(VLOOKUP(B434,cubo!$A$6:$BE$37,51,0)-VLOOKUP(B434,#REF!,$U$2,0),0)</f>
        <v>0</v>
      </c>
      <c r="V434" s="9">
        <f>IFERROR(VLOOKUP(B434,cubo!$A$6:$BJ$37,60,0)-VLOOKUP(B434,#REF!,$V$2,0),0)</f>
        <v>0</v>
      </c>
      <c r="W434" s="9">
        <f>IFERROR(VLOOKUP(B434,cubo!$A$6:$BE$37,26,0)-VLOOKUP(B434,#REF!,$W$2,0),0)</f>
        <v>0</v>
      </c>
      <c r="X434" s="9">
        <f>IFERROR(VLOOKUP(B434,cubo!$A$6:$BE$37,20,0)-VLOOKUP(B434,#REF!,$X$2,0),0)</f>
        <v>0</v>
      </c>
      <c r="Y434" s="9">
        <f>IFERROR(VLOOKUP(B434,cubo!$A$6:$BE$37,21,0)-VLOOKUP(B434,#REF!,$Y$2,0),0)</f>
        <v>0</v>
      </c>
      <c r="Z434" s="9">
        <f>IFERROR(VLOOKUP(B434,cubo!$A$6:$BE$37,27,0)-VLOOKUP(B434,#REF!,$Z$2,0),0)</f>
        <v>0</v>
      </c>
      <c r="AA434" s="9">
        <f>IFERROR(VLOOKUP(B434,cubo!$A$6:$BE$37,28,0)-VLOOKUP(B434,#REF!,$AA$2,0),0)</f>
        <v>0</v>
      </c>
      <c r="AB434" s="9">
        <f>IFERROR(VLOOKUP(B434,cubo!$A$6:$BE$37,29,0)-VLOOKUP(B434,#REF!,$AB$2,0),0)</f>
        <v>0</v>
      </c>
      <c r="AC434" s="9">
        <f>IFERROR(VLOOKUP(B434,cubo!$A$6:$BE$37,30,0)-VLOOKUP(B434,#REF!,$AC$2,0),0)</f>
        <v>0</v>
      </c>
      <c r="AD434" s="9">
        <f>IFERROR(VLOOKUP(B434,cubo!$A$6:$BE$37,31,0)-VLOOKUP(B434,#REF!,$AD$2,0),0)</f>
        <v>0</v>
      </c>
      <c r="AE434" s="9">
        <f>IFERROR(VLOOKUP(B434,cubo!$A$6:$BE$37,35,0)-VLOOKUP(B434,#REF!,$AE$2,0),0)</f>
        <v>0</v>
      </c>
      <c r="AF434" s="9" cm="1">
        <f t="array" aca="1" ref="AF434" ca="1">IFERROR(rrPROCV(B434,cubo!$A$6:$BE$37,48,0)-VLOOKUP(B434,#REF!,$AF$2,0),0)</f>
        <v>0</v>
      </c>
      <c r="AG434" s="9">
        <f>IFERROR(VLOOKUP(B434,cubo!$A$6:$BE$37,49,0)-VLOOKUP(B434,#REF!,$AG$2,0),0)</f>
        <v>0</v>
      </c>
      <c r="AH434" s="9">
        <f>IFERROR(VLOOKUP(B434,cubo!$A$6:$BE$37,50,0)-VLOOKUP(B434,#REF!,$AH$2,0),0)</f>
        <v>0</v>
      </c>
      <c r="AI434" s="9">
        <f>IFERROR(VLOOKUP(B434,cubo!$A$6:$BE$37,51,0)-VLOOKUP(B434,#REF!,$AI$2,0),0)</f>
        <v>0</v>
      </c>
      <c r="AJ434" s="9">
        <f>IFERROR(VLOOKUP(B434,cubo!$A$6:$BI$116,62,0)-VLOOKUP(B434,#REF!,$AJ$2,0),0)</f>
        <v>0</v>
      </c>
      <c r="AK434" s="9">
        <f>IFERROR(VLOOKUP(B434,cubo!$A$6:$BJ$37,63,0)-VLOOKUP(B434,#REF!,$AK$2,0),0)</f>
        <v>0</v>
      </c>
      <c r="AL434" s="9">
        <f>IFERROR(VLOOKUP(B434,cubo!$A$6:$BE$37,58,0)-VLOOKUP(B434,#REF!,$AL$2,0),0)</f>
        <v>0</v>
      </c>
      <c r="AM434" s="9">
        <f>IFERROR(VLOOKUP(B434,cubo!$A$6:$BK$37,64,0)-VLOOKUP(B434,#REF!,$AM$2,0),0)</f>
        <v>0</v>
      </c>
      <c r="AN434" s="9">
        <f>IFERROR(VLOOKUP(B434,cubo!$A$6:$AN$37,41,0)-VLOOKUP(B434,#REF!,$AN$2,0),0)</f>
        <v>0</v>
      </c>
    </row>
    <row r="435" spans="2:40" x14ac:dyDescent="0.25">
      <c r="B435" s="7">
        <f>[1]salario!A434</f>
        <v>0</v>
      </c>
      <c r="C435" s="8">
        <f>[1]salario!C434</f>
        <v>0</v>
      </c>
      <c r="D435" s="9">
        <f>IFERROR(VLOOKUP(B435,cubo!$A$6:$BE$37,3,0)-VLOOKUP(B435,#REF!,$D$2,0),0)</f>
        <v>0</v>
      </c>
      <c r="E435" s="10">
        <f>IFERROR(VLOOKUP(B435,cubo!$A$6:$BE$37,5,0)-VLOOKUP(B435,#REF!,$E$2,0),0)</f>
        <v>0</v>
      </c>
      <c r="F435" s="10">
        <f>IFERROR(VLOOKUP(B435,cubo!$A$6:$BE$37,8,0)-VLOOKUP(B435,#REF!,$F$2,0),0)</f>
        <v>0</v>
      </c>
      <c r="G435" s="9">
        <f>IFERROR(VLOOKUP(B435,cubo!$A$6:$BE$37,11,0)-VLOOKUP(B435,#REF!,$G$2,0),0)</f>
        <v>0</v>
      </c>
      <c r="H435" s="9">
        <f>IFERROR(VLOOKUP(B435,cubo!$A$6:$BE$37,53,0)-VLOOKUP(B435,#REF!,$H$2,0),0)</f>
        <v>0</v>
      </c>
      <c r="I435" s="10">
        <f>IFERROR(VLOOKUP(B435,cubo!$A$6:$BE$37,14,0)-VLOOKUP(B435,#REF!,$I$2,0),0)</f>
        <v>0</v>
      </c>
      <c r="J435" s="9">
        <f>IFERROR(VLOOKUP(B435,cubo!$A$6:$BE$37,16,0)-VLOOKUP(B435,#REF!,$J$2,0),0)</f>
        <v>0</v>
      </c>
      <c r="K435" s="9">
        <f>IFERROR(VLOOKUP(B435,cubo!$A$6:$BE$37,17,0)-VLOOKUP(B435,#REF!,$K$2,0),0)</f>
        <v>0</v>
      </c>
      <c r="L435" s="9">
        <f>IFERROR(VLOOKUP(B435,cubo!$A$6:$BE$37,19,0)-VLOOKUP(B435,#REF!,$L$2,0),0)</f>
        <v>0</v>
      </c>
      <c r="M435" s="9">
        <f>IFERROR(VLOOKUP(B435,cubo!$A$6:$BE$37,23,0)-VLOOKUP(B435,#REF!,$M$2,0),0)</f>
        <v>0</v>
      </c>
      <c r="N435" s="9">
        <f>IFERROR(VLOOKUP(B435,cubo!$A$6:$BE$37,25,0)-VLOOKUP(B435,#REF!,$N$2,0),0)</f>
        <v>0</v>
      </c>
      <c r="O435" s="9">
        <f>IFERROR(VLOOKUP(B435,cubo!$A$6:$BE$37,33,0)-VLOOKUP(B435,#REF!,$O$2,0),0)</f>
        <v>0</v>
      </c>
      <c r="P435" s="8">
        <f>IFERROR(VLOOKUP(B435,cubo!$A$6:$BE$37,37,0)-VLOOKUP(B435,#REF!,$P$2,0),0)</f>
        <v>0</v>
      </c>
      <c r="Q435" s="8">
        <f>IFERROR(VLOOKUP(B435,cubo!$A$6:$BE$37,56,0)-VLOOKUP(B435,#REF!,$Q$2,0),0)</f>
        <v>0</v>
      </c>
      <c r="R435" s="9">
        <f>IFERROR(VLOOKUP(B435,cubo!$A$6:$BE$37,40,0)-VLOOKUP(B435,#REF!,$R$2,0),0)</f>
        <v>0</v>
      </c>
      <c r="S435" s="9">
        <f>IFERROR(VLOOKUP(B435,cubo!$A$6:$BE$37,43,0)-VLOOKUP(B435,#REF!,$S$2,0),0)</f>
        <v>0</v>
      </c>
      <c r="T435" s="9">
        <f>IFERROR(VLOOKUP(B435,cubo!$A$6:$BE$37,46,0)-VLOOKUP(B435,#REF!,$T$2,0),0)</f>
        <v>0</v>
      </c>
      <c r="U435" s="9">
        <f>IFERROR(VLOOKUP(B435,cubo!$A$6:$BE$37,51,0)-VLOOKUP(B435,#REF!,$U$2,0),0)</f>
        <v>0</v>
      </c>
      <c r="V435" s="9">
        <f>IFERROR(VLOOKUP(B435,cubo!$A$6:$BJ$37,60,0)-VLOOKUP(B435,#REF!,$V$2,0),0)</f>
        <v>0</v>
      </c>
      <c r="W435" s="9">
        <f>IFERROR(VLOOKUP(B435,cubo!$A$6:$BE$37,26,0)-VLOOKUP(B435,#REF!,$W$2,0),0)</f>
        <v>0</v>
      </c>
      <c r="X435" s="9">
        <f>IFERROR(VLOOKUP(B435,cubo!$A$6:$BE$37,20,0)-VLOOKUP(B435,#REF!,$X$2,0),0)</f>
        <v>0</v>
      </c>
      <c r="Y435" s="9">
        <f>IFERROR(VLOOKUP(B435,cubo!$A$6:$BE$37,21,0)-VLOOKUP(B435,#REF!,$Y$2,0),0)</f>
        <v>0</v>
      </c>
      <c r="Z435" s="9">
        <f>IFERROR(VLOOKUP(B435,cubo!$A$6:$BE$37,27,0)-VLOOKUP(B435,#REF!,$Z$2,0),0)</f>
        <v>0</v>
      </c>
      <c r="AA435" s="9">
        <f>IFERROR(VLOOKUP(B435,cubo!$A$6:$BE$37,28,0)-VLOOKUP(B435,#REF!,$AA$2,0),0)</f>
        <v>0</v>
      </c>
      <c r="AB435" s="9">
        <f>IFERROR(VLOOKUP(B435,cubo!$A$6:$BE$37,29,0)-VLOOKUP(B435,#REF!,$AB$2,0),0)</f>
        <v>0</v>
      </c>
      <c r="AC435" s="9">
        <f>IFERROR(VLOOKUP(B435,cubo!$A$6:$BE$37,30,0)-VLOOKUP(B435,#REF!,$AC$2,0),0)</f>
        <v>0</v>
      </c>
      <c r="AD435" s="9">
        <f>IFERROR(VLOOKUP(B435,cubo!$A$6:$BE$37,31,0)-VLOOKUP(B435,#REF!,$AD$2,0),0)</f>
        <v>0</v>
      </c>
      <c r="AE435" s="9">
        <f>IFERROR(VLOOKUP(B435,cubo!$A$6:$BE$37,35,0)-VLOOKUP(B435,#REF!,$AE$2,0),0)</f>
        <v>0</v>
      </c>
      <c r="AF435" s="9" cm="1">
        <f t="array" aca="1" ref="AF435" ca="1">IFERROR(rrPROCV(B435,cubo!$A$6:$BE$37,48,0)-VLOOKUP(B435,#REF!,$AF$2,0),0)</f>
        <v>0</v>
      </c>
      <c r="AG435" s="9">
        <f>IFERROR(VLOOKUP(B435,cubo!$A$6:$BE$37,49,0)-VLOOKUP(B435,#REF!,$AG$2,0),0)</f>
        <v>0</v>
      </c>
      <c r="AH435" s="9">
        <f>IFERROR(VLOOKUP(B435,cubo!$A$6:$BE$37,50,0)-VLOOKUP(B435,#REF!,$AH$2,0),0)</f>
        <v>0</v>
      </c>
      <c r="AI435" s="9">
        <f>IFERROR(VLOOKUP(B435,cubo!$A$6:$BE$37,51,0)-VLOOKUP(B435,#REF!,$AI$2,0),0)</f>
        <v>0</v>
      </c>
      <c r="AJ435" s="9">
        <f>IFERROR(VLOOKUP(B435,cubo!$A$6:$BI$116,62,0)-VLOOKUP(B435,#REF!,$AJ$2,0),0)</f>
        <v>0</v>
      </c>
      <c r="AK435" s="9">
        <f>IFERROR(VLOOKUP(B435,cubo!$A$6:$BJ$37,63,0)-VLOOKUP(B435,#REF!,$AK$2,0),0)</f>
        <v>0</v>
      </c>
      <c r="AL435" s="9">
        <f>IFERROR(VLOOKUP(B435,cubo!$A$6:$BE$37,58,0)-VLOOKUP(B435,#REF!,$AL$2,0),0)</f>
        <v>0</v>
      </c>
      <c r="AM435" s="9">
        <f>IFERROR(VLOOKUP(B435,cubo!$A$6:$BK$37,64,0)-VLOOKUP(B435,#REF!,$AM$2,0),0)</f>
        <v>0</v>
      </c>
      <c r="AN435" s="9">
        <f>IFERROR(VLOOKUP(B435,cubo!$A$6:$AN$37,41,0)-VLOOKUP(B435,#REF!,$AN$2,0),0)</f>
        <v>0</v>
      </c>
    </row>
    <row r="436" spans="2:40" x14ac:dyDescent="0.25">
      <c r="B436" s="7">
        <f>[1]salario!A435</f>
        <v>0</v>
      </c>
      <c r="C436" s="8">
        <f>[1]salario!C435</f>
        <v>0</v>
      </c>
      <c r="D436" s="9">
        <f>IFERROR(VLOOKUP(B436,cubo!$A$6:$BE$37,3,0)-VLOOKUP(B436,#REF!,$D$2,0),0)</f>
        <v>0</v>
      </c>
      <c r="E436" s="10">
        <f>IFERROR(VLOOKUP(B436,cubo!$A$6:$BE$37,5,0)-VLOOKUP(B436,#REF!,$E$2,0),0)</f>
        <v>0</v>
      </c>
      <c r="F436" s="10">
        <f>IFERROR(VLOOKUP(B436,cubo!$A$6:$BE$37,8,0)-VLOOKUP(B436,#REF!,$F$2,0),0)</f>
        <v>0</v>
      </c>
      <c r="G436" s="9">
        <f>IFERROR(VLOOKUP(B436,cubo!$A$6:$BE$37,11,0)-VLOOKUP(B436,#REF!,$G$2,0),0)</f>
        <v>0</v>
      </c>
      <c r="H436" s="9">
        <f>IFERROR(VLOOKUP(B436,cubo!$A$6:$BE$37,53,0)-VLOOKUP(B436,#REF!,$H$2,0),0)</f>
        <v>0</v>
      </c>
      <c r="I436" s="10">
        <f>IFERROR(VLOOKUP(B436,cubo!$A$6:$BE$37,14,0)-VLOOKUP(B436,#REF!,$I$2,0),0)</f>
        <v>0</v>
      </c>
      <c r="J436" s="9">
        <f>IFERROR(VLOOKUP(B436,cubo!$A$6:$BE$37,16,0)-VLOOKUP(B436,#REF!,$J$2,0),0)</f>
        <v>0</v>
      </c>
      <c r="K436" s="9">
        <f>IFERROR(VLOOKUP(B436,cubo!$A$6:$BE$37,17,0)-VLOOKUP(B436,#REF!,$K$2,0),0)</f>
        <v>0</v>
      </c>
      <c r="L436" s="9">
        <f>IFERROR(VLOOKUP(B436,cubo!$A$6:$BE$37,19,0)-VLOOKUP(B436,#REF!,$L$2,0),0)</f>
        <v>0</v>
      </c>
      <c r="M436" s="9">
        <f>IFERROR(VLOOKUP(B436,cubo!$A$6:$BE$37,23,0)-VLOOKUP(B436,#REF!,$M$2,0),0)</f>
        <v>0</v>
      </c>
      <c r="N436" s="9">
        <f>IFERROR(VLOOKUP(B436,cubo!$A$6:$BE$37,25,0)-VLOOKUP(B436,#REF!,$N$2,0),0)</f>
        <v>0</v>
      </c>
      <c r="O436" s="9">
        <f>IFERROR(VLOOKUP(B436,cubo!$A$6:$BE$37,33,0)-VLOOKUP(B436,#REF!,$O$2,0),0)</f>
        <v>0</v>
      </c>
      <c r="P436" s="8">
        <f>IFERROR(VLOOKUP(B436,cubo!$A$6:$BE$37,37,0)-VLOOKUP(B436,#REF!,$P$2,0),0)</f>
        <v>0</v>
      </c>
      <c r="Q436" s="8">
        <f>IFERROR(VLOOKUP(B436,cubo!$A$6:$BE$37,56,0)-VLOOKUP(B436,#REF!,$Q$2,0),0)</f>
        <v>0</v>
      </c>
      <c r="R436" s="9">
        <f>IFERROR(VLOOKUP(B436,cubo!$A$6:$BE$37,40,0)-VLOOKUP(B436,#REF!,$R$2,0),0)</f>
        <v>0</v>
      </c>
      <c r="S436" s="9">
        <f>IFERROR(VLOOKUP(B436,cubo!$A$6:$BE$37,43,0)-VLOOKUP(B436,#REF!,$S$2,0),0)</f>
        <v>0</v>
      </c>
      <c r="T436" s="9">
        <f>IFERROR(VLOOKUP(B436,cubo!$A$6:$BE$37,46,0)-VLOOKUP(B436,#REF!,$T$2,0),0)</f>
        <v>0</v>
      </c>
      <c r="U436" s="9">
        <f>IFERROR(VLOOKUP(B436,cubo!$A$6:$BE$37,51,0)-VLOOKUP(B436,#REF!,$U$2,0),0)</f>
        <v>0</v>
      </c>
      <c r="V436" s="9">
        <f>IFERROR(VLOOKUP(B436,cubo!$A$6:$BJ$37,60,0)-VLOOKUP(B436,#REF!,$V$2,0),0)</f>
        <v>0</v>
      </c>
      <c r="W436" s="9">
        <f>IFERROR(VLOOKUP(B436,cubo!$A$6:$BE$37,26,0)-VLOOKUP(B436,#REF!,$W$2,0),0)</f>
        <v>0</v>
      </c>
      <c r="X436" s="9">
        <f>IFERROR(VLOOKUP(B436,cubo!$A$6:$BE$37,20,0)-VLOOKUP(B436,#REF!,$X$2,0),0)</f>
        <v>0</v>
      </c>
      <c r="Y436" s="9">
        <f>IFERROR(VLOOKUP(B436,cubo!$A$6:$BE$37,21,0)-VLOOKUP(B436,#REF!,$Y$2,0),0)</f>
        <v>0</v>
      </c>
      <c r="Z436" s="9">
        <f>IFERROR(VLOOKUP(B436,cubo!$A$6:$BE$37,27,0)-VLOOKUP(B436,#REF!,$Z$2,0),0)</f>
        <v>0</v>
      </c>
      <c r="AA436" s="9">
        <f>IFERROR(VLOOKUP(B436,cubo!$A$6:$BE$37,28,0)-VLOOKUP(B436,#REF!,$AA$2,0),0)</f>
        <v>0</v>
      </c>
      <c r="AB436" s="9">
        <f>IFERROR(VLOOKUP(B436,cubo!$A$6:$BE$37,29,0)-VLOOKUP(B436,#REF!,$AB$2,0),0)</f>
        <v>0</v>
      </c>
      <c r="AC436" s="9">
        <f>IFERROR(VLOOKUP(B436,cubo!$A$6:$BE$37,30,0)-VLOOKUP(B436,#REF!,$AC$2,0),0)</f>
        <v>0</v>
      </c>
      <c r="AD436" s="9">
        <f>IFERROR(VLOOKUP(B436,cubo!$A$6:$BE$37,31,0)-VLOOKUP(B436,#REF!,$AD$2,0),0)</f>
        <v>0</v>
      </c>
      <c r="AE436" s="9">
        <f>IFERROR(VLOOKUP(B436,cubo!$A$6:$BE$37,35,0)-VLOOKUP(B436,#REF!,$AE$2,0),0)</f>
        <v>0</v>
      </c>
      <c r="AF436" s="9" cm="1">
        <f t="array" aca="1" ref="AF436" ca="1">IFERROR(rrPROCV(B436,cubo!$A$6:$BE$37,48,0)-VLOOKUP(B436,#REF!,$AF$2,0),0)</f>
        <v>0</v>
      </c>
      <c r="AG436" s="9">
        <f>IFERROR(VLOOKUP(B436,cubo!$A$6:$BE$37,49,0)-VLOOKUP(B436,#REF!,$AG$2,0),0)</f>
        <v>0</v>
      </c>
      <c r="AH436" s="9">
        <f>IFERROR(VLOOKUP(B436,cubo!$A$6:$BE$37,50,0)-VLOOKUP(B436,#REF!,$AH$2,0),0)</f>
        <v>0</v>
      </c>
      <c r="AI436" s="9">
        <f>IFERROR(VLOOKUP(B436,cubo!$A$6:$BE$37,51,0)-VLOOKUP(B436,#REF!,$AI$2,0),0)</f>
        <v>0</v>
      </c>
      <c r="AJ436" s="9">
        <f>IFERROR(VLOOKUP(B436,cubo!$A$6:$BI$116,62,0)-VLOOKUP(B436,#REF!,$AJ$2,0),0)</f>
        <v>0</v>
      </c>
      <c r="AK436" s="9">
        <f>IFERROR(VLOOKUP(B436,cubo!$A$6:$BJ$37,63,0)-VLOOKUP(B436,#REF!,$AK$2,0),0)</f>
        <v>0</v>
      </c>
      <c r="AL436" s="9">
        <f>IFERROR(VLOOKUP(B436,cubo!$A$6:$BE$37,58,0)-VLOOKUP(B436,#REF!,$AL$2,0),0)</f>
        <v>0</v>
      </c>
      <c r="AM436" s="9">
        <f>IFERROR(VLOOKUP(B436,cubo!$A$6:$BK$37,64,0)-VLOOKUP(B436,#REF!,$AM$2,0),0)</f>
        <v>0</v>
      </c>
      <c r="AN436" s="9">
        <f>IFERROR(VLOOKUP(B436,cubo!$A$6:$AN$37,41,0)-VLOOKUP(B436,#REF!,$AN$2,0),0)</f>
        <v>0</v>
      </c>
    </row>
    <row r="437" spans="2:40" x14ac:dyDescent="0.25">
      <c r="B437" s="7">
        <f>[1]salario!A436</f>
        <v>0</v>
      </c>
      <c r="C437" s="8">
        <f>[1]salario!C436</f>
        <v>0</v>
      </c>
      <c r="D437" s="9">
        <f>IFERROR(VLOOKUP(B437,cubo!$A$6:$BE$37,3,0)-VLOOKUP(B437,#REF!,$D$2,0),0)</f>
        <v>0</v>
      </c>
      <c r="E437" s="10">
        <f>IFERROR(VLOOKUP(B437,cubo!$A$6:$BE$37,5,0)-VLOOKUP(B437,#REF!,$E$2,0),0)</f>
        <v>0</v>
      </c>
      <c r="F437" s="10">
        <f>IFERROR(VLOOKUP(B437,cubo!$A$6:$BE$37,8,0)-VLOOKUP(B437,#REF!,$F$2,0),0)</f>
        <v>0</v>
      </c>
      <c r="G437" s="9">
        <f>IFERROR(VLOOKUP(B437,cubo!$A$6:$BE$37,11,0)-VLOOKUP(B437,#REF!,$G$2,0),0)</f>
        <v>0</v>
      </c>
      <c r="H437" s="9">
        <f>IFERROR(VLOOKUP(B437,cubo!$A$6:$BE$37,53,0)-VLOOKUP(B437,#REF!,$H$2,0),0)</f>
        <v>0</v>
      </c>
      <c r="I437" s="10">
        <f>IFERROR(VLOOKUP(B437,cubo!$A$6:$BE$37,14,0)-VLOOKUP(B437,#REF!,$I$2,0),0)</f>
        <v>0</v>
      </c>
      <c r="J437" s="9">
        <f>IFERROR(VLOOKUP(B437,cubo!$A$6:$BE$37,16,0)-VLOOKUP(B437,#REF!,$J$2,0),0)</f>
        <v>0</v>
      </c>
      <c r="K437" s="9">
        <f>IFERROR(VLOOKUP(B437,cubo!$A$6:$BE$37,17,0)-VLOOKUP(B437,#REF!,$K$2,0),0)</f>
        <v>0</v>
      </c>
      <c r="L437" s="9">
        <f>IFERROR(VLOOKUP(B437,cubo!$A$6:$BE$37,19,0)-VLOOKUP(B437,#REF!,$L$2,0),0)</f>
        <v>0</v>
      </c>
      <c r="M437" s="9">
        <f>IFERROR(VLOOKUP(B437,cubo!$A$6:$BE$37,23,0)-VLOOKUP(B437,#REF!,$M$2,0),0)</f>
        <v>0</v>
      </c>
      <c r="N437" s="9">
        <f>IFERROR(VLOOKUP(B437,cubo!$A$6:$BE$37,25,0)-VLOOKUP(B437,#REF!,$N$2,0),0)</f>
        <v>0</v>
      </c>
      <c r="O437" s="9">
        <f>IFERROR(VLOOKUP(B437,cubo!$A$6:$BE$37,33,0)-VLOOKUP(B437,#REF!,$O$2,0),0)</f>
        <v>0</v>
      </c>
      <c r="P437" s="8">
        <f>IFERROR(VLOOKUP(B437,cubo!$A$6:$BE$37,37,0)-VLOOKUP(B437,#REF!,$P$2,0),0)</f>
        <v>0</v>
      </c>
      <c r="Q437" s="8">
        <f>IFERROR(VLOOKUP(B437,cubo!$A$6:$BE$37,56,0)-VLOOKUP(B437,#REF!,$Q$2,0),0)</f>
        <v>0</v>
      </c>
      <c r="R437" s="9">
        <f>IFERROR(VLOOKUP(B437,cubo!$A$6:$BE$37,40,0)-VLOOKUP(B437,#REF!,$R$2,0),0)</f>
        <v>0</v>
      </c>
      <c r="S437" s="9">
        <f>IFERROR(VLOOKUP(B437,cubo!$A$6:$BE$37,43,0)-VLOOKUP(B437,#REF!,$S$2,0),0)</f>
        <v>0</v>
      </c>
      <c r="T437" s="9">
        <f>IFERROR(VLOOKUP(B437,cubo!$A$6:$BE$37,46,0)-VLOOKUP(B437,#REF!,$T$2,0),0)</f>
        <v>0</v>
      </c>
      <c r="U437" s="9">
        <f>IFERROR(VLOOKUP(B437,cubo!$A$6:$BE$37,51,0)-VLOOKUP(B437,#REF!,$U$2,0),0)</f>
        <v>0</v>
      </c>
      <c r="V437" s="9">
        <f>IFERROR(VLOOKUP(B437,cubo!$A$6:$BJ$37,60,0)-VLOOKUP(B437,#REF!,$V$2,0),0)</f>
        <v>0</v>
      </c>
      <c r="W437" s="9">
        <f>IFERROR(VLOOKUP(B437,cubo!$A$6:$BE$37,26,0)-VLOOKUP(B437,#REF!,$W$2,0),0)</f>
        <v>0</v>
      </c>
      <c r="X437" s="9">
        <f>IFERROR(VLOOKUP(B437,cubo!$A$6:$BE$37,20,0)-VLOOKUP(B437,#REF!,$X$2,0),0)</f>
        <v>0</v>
      </c>
      <c r="Y437" s="9">
        <f>IFERROR(VLOOKUP(B437,cubo!$A$6:$BE$37,21,0)-VLOOKUP(B437,#REF!,$Y$2,0),0)</f>
        <v>0</v>
      </c>
      <c r="Z437" s="9">
        <f>IFERROR(VLOOKUP(B437,cubo!$A$6:$BE$37,27,0)-VLOOKUP(B437,#REF!,$Z$2,0),0)</f>
        <v>0</v>
      </c>
      <c r="AA437" s="9">
        <f>IFERROR(VLOOKUP(B437,cubo!$A$6:$BE$37,28,0)-VLOOKUP(B437,#REF!,$AA$2,0),0)</f>
        <v>0</v>
      </c>
      <c r="AB437" s="9">
        <f>IFERROR(VLOOKUP(B437,cubo!$A$6:$BE$37,29,0)-VLOOKUP(B437,#REF!,$AB$2,0),0)</f>
        <v>0</v>
      </c>
      <c r="AC437" s="9">
        <f>IFERROR(VLOOKUP(B437,cubo!$A$6:$BE$37,30,0)-VLOOKUP(B437,#REF!,$AC$2,0),0)</f>
        <v>0</v>
      </c>
      <c r="AD437" s="9">
        <f>IFERROR(VLOOKUP(B437,cubo!$A$6:$BE$37,31,0)-VLOOKUP(B437,#REF!,$AD$2,0),0)</f>
        <v>0</v>
      </c>
      <c r="AE437" s="9">
        <f>IFERROR(VLOOKUP(B437,cubo!$A$6:$BE$37,35,0)-VLOOKUP(B437,#REF!,$AE$2,0),0)</f>
        <v>0</v>
      </c>
      <c r="AF437" s="9" cm="1">
        <f t="array" aca="1" ref="AF437" ca="1">IFERROR(rrPROCV(B437,cubo!$A$6:$BE$37,48,0)-VLOOKUP(B437,#REF!,$AF$2,0),0)</f>
        <v>0</v>
      </c>
      <c r="AG437" s="9">
        <f>IFERROR(VLOOKUP(B437,cubo!$A$6:$BE$37,49,0)-VLOOKUP(B437,#REF!,$AG$2,0),0)</f>
        <v>0</v>
      </c>
      <c r="AH437" s="9">
        <f>IFERROR(VLOOKUP(B437,cubo!$A$6:$BE$37,50,0)-VLOOKUP(B437,#REF!,$AH$2,0),0)</f>
        <v>0</v>
      </c>
      <c r="AI437" s="9">
        <f>IFERROR(VLOOKUP(B437,cubo!$A$6:$BE$37,51,0)-VLOOKUP(B437,#REF!,$AI$2,0),0)</f>
        <v>0</v>
      </c>
      <c r="AJ437" s="9">
        <f>IFERROR(VLOOKUP(B437,cubo!$A$6:$BI$116,62,0)-VLOOKUP(B437,#REF!,$AJ$2,0),0)</f>
        <v>0</v>
      </c>
      <c r="AK437" s="9">
        <f>IFERROR(VLOOKUP(B437,cubo!$A$6:$BJ$37,63,0)-VLOOKUP(B437,#REF!,$AK$2,0),0)</f>
        <v>0</v>
      </c>
      <c r="AL437" s="9">
        <f>IFERROR(VLOOKUP(B437,cubo!$A$6:$BE$37,58,0)-VLOOKUP(B437,#REF!,$AL$2,0),0)</f>
        <v>0</v>
      </c>
      <c r="AM437" s="9">
        <f>IFERROR(VLOOKUP(B437,cubo!$A$6:$BK$37,64,0)-VLOOKUP(B437,#REF!,$AM$2,0),0)</f>
        <v>0</v>
      </c>
      <c r="AN437" s="9">
        <f>IFERROR(VLOOKUP(B437,cubo!$A$6:$AN$37,41,0)-VLOOKUP(B437,#REF!,$AN$2,0),0)</f>
        <v>0</v>
      </c>
    </row>
    <row r="438" spans="2:40" x14ac:dyDescent="0.25">
      <c r="B438" s="7">
        <f>[1]salario!A437</f>
        <v>0</v>
      </c>
      <c r="C438" s="8">
        <f>[1]salario!C437</f>
        <v>0</v>
      </c>
      <c r="D438" s="9">
        <f>IFERROR(VLOOKUP(B438,cubo!$A$6:$BE$37,3,0)-VLOOKUP(B438,#REF!,$D$2,0),0)</f>
        <v>0</v>
      </c>
      <c r="E438" s="10">
        <f>IFERROR(VLOOKUP(B438,cubo!$A$6:$BE$37,5,0)-VLOOKUP(B438,#REF!,$E$2,0),0)</f>
        <v>0</v>
      </c>
      <c r="F438" s="10">
        <f>IFERROR(VLOOKUP(B438,cubo!$A$6:$BE$37,8,0)-VLOOKUP(B438,#REF!,$F$2,0),0)</f>
        <v>0</v>
      </c>
      <c r="G438" s="9">
        <f>IFERROR(VLOOKUP(B438,cubo!$A$6:$BE$37,11,0)-VLOOKUP(B438,#REF!,$G$2,0),0)</f>
        <v>0</v>
      </c>
      <c r="H438" s="9">
        <f>IFERROR(VLOOKUP(B438,cubo!$A$6:$BE$37,53,0)-VLOOKUP(B438,#REF!,$H$2,0),0)</f>
        <v>0</v>
      </c>
      <c r="I438" s="10">
        <f>IFERROR(VLOOKUP(B438,cubo!$A$6:$BE$37,14,0)-VLOOKUP(B438,#REF!,$I$2,0),0)</f>
        <v>0</v>
      </c>
      <c r="J438" s="9">
        <f>IFERROR(VLOOKUP(B438,cubo!$A$6:$BE$37,16,0)-VLOOKUP(B438,#REF!,$J$2,0),0)</f>
        <v>0</v>
      </c>
      <c r="K438" s="9">
        <f>IFERROR(VLOOKUP(B438,cubo!$A$6:$BE$37,17,0)-VLOOKUP(B438,#REF!,$K$2,0),0)</f>
        <v>0</v>
      </c>
      <c r="L438" s="9">
        <f>IFERROR(VLOOKUP(B438,cubo!$A$6:$BE$37,19,0)-VLOOKUP(B438,#REF!,$L$2,0),0)</f>
        <v>0</v>
      </c>
      <c r="M438" s="9">
        <f>IFERROR(VLOOKUP(B438,cubo!$A$6:$BE$37,23,0)-VLOOKUP(B438,#REF!,$M$2,0),0)</f>
        <v>0</v>
      </c>
      <c r="N438" s="9">
        <f>IFERROR(VLOOKUP(B438,cubo!$A$6:$BE$37,25,0)-VLOOKUP(B438,#REF!,$N$2,0),0)</f>
        <v>0</v>
      </c>
      <c r="O438" s="9">
        <f>IFERROR(VLOOKUP(B438,cubo!$A$6:$BE$37,33,0)-VLOOKUP(B438,#REF!,$O$2,0),0)</f>
        <v>0</v>
      </c>
      <c r="P438" s="8">
        <f>IFERROR(VLOOKUP(B438,cubo!$A$6:$BE$37,37,0)-VLOOKUP(B438,#REF!,$P$2,0),0)</f>
        <v>0</v>
      </c>
      <c r="Q438" s="8">
        <f>IFERROR(VLOOKUP(B438,cubo!$A$6:$BE$37,56,0)-VLOOKUP(B438,#REF!,$Q$2,0),0)</f>
        <v>0</v>
      </c>
      <c r="R438" s="9">
        <f>IFERROR(VLOOKUP(B438,cubo!$A$6:$BE$37,40,0)-VLOOKUP(B438,#REF!,$R$2,0),0)</f>
        <v>0</v>
      </c>
      <c r="S438" s="9">
        <f>IFERROR(VLOOKUP(B438,cubo!$A$6:$BE$37,43,0)-VLOOKUP(B438,#REF!,$S$2,0),0)</f>
        <v>0</v>
      </c>
      <c r="T438" s="9">
        <f>IFERROR(VLOOKUP(B438,cubo!$A$6:$BE$37,46,0)-VLOOKUP(B438,#REF!,$T$2,0),0)</f>
        <v>0</v>
      </c>
      <c r="U438" s="9">
        <f>IFERROR(VLOOKUP(B438,cubo!$A$6:$BE$37,51,0)-VLOOKUP(B438,#REF!,$U$2,0),0)</f>
        <v>0</v>
      </c>
      <c r="V438" s="9">
        <f>IFERROR(VLOOKUP(B438,cubo!$A$6:$BJ$37,60,0)-VLOOKUP(B438,#REF!,$V$2,0),0)</f>
        <v>0</v>
      </c>
      <c r="W438" s="9">
        <f>IFERROR(VLOOKUP(B438,cubo!$A$6:$BE$37,26,0)-VLOOKUP(B438,#REF!,$W$2,0),0)</f>
        <v>0</v>
      </c>
      <c r="X438" s="9">
        <f>IFERROR(VLOOKUP(B438,cubo!$A$6:$BE$37,20,0)-VLOOKUP(B438,#REF!,$X$2,0),0)</f>
        <v>0</v>
      </c>
      <c r="Y438" s="9">
        <f>IFERROR(VLOOKUP(B438,cubo!$A$6:$BE$37,21,0)-VLOOKUP(B438,#REF!,$Y$2,0),0)</f>
        <v>0</v>
      </c>
      <c r="Z438" s="9">
        <f>IFERROR(VLOOKUP(B438,cubo!$A$6:$BE$37,27,0)-VLOOKUP(B438,#REF!,$Z$2,0),0)</f>
        <v>0</v>
      </c>
      <c r="AA438" s="9">
        <f>IFERROR(VLOOKUP(B438,cubo!$A$6:$BE$37,28,0)-VLOOKUP(B438,#REF!,$AA$2,0),0)</f>
        <v>0</v>
      </c>
      <c r="AB438" s="9">
        <f>IFERROR(VLOOKUP(B438,cubo!$A$6:$BE$37,29,0)-VLOOKUP(B438,#REF!,$AB$2,0),0)</f>
        <v>0</v>
      </c>
      <c r="AC438" s="9">
        <f>IFERROR(VLOOKUP(B438,cubo!$A$6:$BE$37,30,0)-VLOOKUP(B438,#REF!,$AC$2,0),0)</f>
        <v>0</v>
      </c>
      <c r="AD438" s="9">
        <f>IFERROR(VLOOKUP(B438,cubo!$A$6:$BE$37,31,0)-VLOOKUP(B438,#REF!,$AD$2,0),0)</f>
        <v>0</v>
      </c>
      <c r="AE438" s="9">
        <f>IFERROR(VLOOKUP(B438,cubo!$A$6:$BE$37,35,0)-VLOOKUP(B438,#REF!,$AE$2,0),0)</f>
        <v>0</v>
      </c>
      <c r="AF438" s="9" cm="1">
        <f t="array" aca="1" ref="AF438" ca="1">IFERROR(rrPROCV(B438,cubo!$A$6:$BE$37,48,0)-VLOOKUP(B438,#REF!,$AF$2,0),0)</f>
        <v>0</v>
      </c>
      <c r="AG438" s="9">
        <f>IFERROR(VLOOKUP(B438,cubo!$A$6:$BE$37,49,0)-VLOOKUP(B438,#REF!,$AG$2,0),0)</f>
        <v>0</v>
      </c>
      <c r="AH438" s="9">
        <f>IFERROR(VLOOKUP(B438,cubo!$A$6:$BE$37,50,0)-VLOOKUP(B438,#REF!,$AH$2,0),0)</f>
        <v>0</v>
      </c>
      <c r="AI438" s="9">
        <f>IFERROR(VLOOKUP(B438,cubo!$A$6:$BE$37,51,0)-VLOOKUP(B438,#REF!,$AI$2,0),0)</f>
        <v>0</v>
      </c>
      <c r="AJ438" s="9">
        <f>IFERROR(VLOOKUP(B438,cubo!$A$6:$BI$116,62,0)-VLOOKUP(B438,#REF!,$AJ$2,0),0)</f>
        <v>0</v>
      </c>
      <c r="AK438" s="9">
        <f>IFERROR(VLOOKUP(B438,cubo!$A$6:$BJ$37,63,0)-VLOOKUP(B438,#REF!,$AK$2,0),0)</f>
        <v>0</v>
      </c>
      <c r="AL438" s="9">
        <f>IFERROR(VLOOKUP(B438,cubo!$A$6:$BE$37,58,0)-VLOOKUP(B438,#REF!,$AL$2,0),0)</f>
        <v>0</v>
      </c>
      <c r="AM438" s="9">
        <f>IFERROR(VLOOKUP(B438,cubo!$A$6:$BK$37,64,0)-VLOOKUP(B438,#REF!,$AM$2,0),0)</f>
        <v>0</v>
      </c>
      <c r="AN438" s="9">
        <f>IFERROR(VLOOKUP(B438,cubo!$A$6:$AN$37,41,0)-VLOOKUP(B438,#REF!,$AN$2,0),0)</f>
        <v>0</v>
      </c>
    </row>
    <row r="439" spans="2:40" x14ac:dyDescent="0.25">
      <c r="B439" s="7">
        <f>[1]salario!A438</f>
        <v>0</v>
      </c>
      <c r="C439" s="8">
        <f>[1]salario!C438</f>
        <v>0</v>
      </c>
      <c r="D439" s="9">
        <f>IFERROR(VLOOKUP(B439,cubo!$A$6:$BE$37,3,0)-VLOOKUP(B439,#REF!,$D$2,0),0)</f>
        <v>0</v>
      </c>
      <c r="E439" s="10">
        <f>IFERROR(VLOOKUP(B439,cubo!$A$6:$BE$37,5,0)-VLOOKUP(B439,#REF!,$E$2,0),0)</f>
        <v>0</v>
      </c>
      <c r="F439" s="10">
        <f>IFERROR(VLOOKUP(B439,cubo!$A$6:$BE$37,8,0)-VLOOKUP(B439,#REF!,$F$2,0),0)</f>
        <v>0</v>
      </c>
      <c r="G439" s="9">
        <f>IFERROR(VLOOKUP(B439,cubo!$A$6:$BE$37,11,0)-VLOOKUP(B439,#REF!,$G$2,0),0)</f>
        <v>0</v>
      </c>
      <c r="H439" s="9">
        <f>IFERROR(VLOOKUP(B439,cubo!$A$6:$BE$37,53,0)-VLOOKUP(B439,#REF!,$H$2,0),0)</f>
        <v>0</v>
      </c>
      <c r="I439" s="10">
        <f>IFERROR(VLOOKUP(B439,cubo!$A$6:$BE$37,14,0)-VLOOKUP(B439,#REF!,$I$2,0),0)</f>
        <v>0</v>
      </c>
      <c r="J439" s="9">
        <f>IFERROR(VLOOKUP(B439,cubo!$A$6:$BE$37,16,0)-VLOOKUP(B439,#REF!,$J$2,0),0)</f>
        <v>0</v>
      </c>
      <c r="K439" s="9">
        <f>IFERROR(VLOOKUP(B439,cubo!$A$6:$BE$37,17,0)-VLOOKUP(B439,#REF!,$K$2,0),0)</f>
        <v>0</v>
      </c>
      <c r="L439" s="9">
        <f>IFERROR(VLOOKUP(B439,cubo!$A$6:$BE$37,19,0)-VLOOKUP(B439,#REF!,$L$2,0),0)</f>
        <v>0</v>
      </c>
      <c r="M439" s="9">
        <f>IFERROR(VLOOKUP(B439,cubo!$A$6:$BE$37,23,0)-VLOOKUP(B439,#REF!,$M$2,0),0)</f>
        <v>0</v>
      </c>
      <c r="N439" s="9">
        <f>IFERROR(VLOOKUP(B439,cubo!$A$6:$BE$37,25,0)-VLOOKUP(B439,#REF!,$N$2,0),0)</f>
        <v>0</v>
      </c>
      <c r="O439" s="9">
        <f>IFERROR(VLOOKUP(B439,cubo!$A$6:$BE$37,33,0)-VLOOKUP(B439,#REF!,$O$2,0),0)</f>
        <v>0</v>
      </c>
      <c r="P439" s="8">
        <f>IFERROR(VLOOKUP(B439,cubo!$A$6:$BE$37,37,0)-VLOOKUP(B439,#REF!,$P$2,0),0)</f>
        <v>0</v>
      </c>
      <c r="Q439" s="8">
        <f>IFERROR(VLOOKUP(B439,cubo!$A$6:$BE$37,56,0)-VLOOKUP(B439,#REF!,$Q$2,0),0)</f>
        <v>0</v>
      </c>
      <c r="R439" s="9">
        <f>IFERROR(VLOOKUP(B439,cubo!$A$6:$BE$37,40,0)-VLOOKUP(B439,#REF!,$R$2,0),0)</f>
        <v>0</v>
      </c>
      <c r="S439" s="9">
        <f>IFERROR(VLOOKUP(B439,cubo!$A$6:$BE$37,43,0)-VLOOKUP(B439,#REF!,$S$2,0),0)</f>
        <v>0</v>
      </c>
      <c r="T439" s="9">
        <f>IFERROR(VLOOKUP(B439,cubo!$A$6:$BE$37,46,0)-VLOOKUP(B439,#REF!,$T$2,0),0)</f>
        <v>0</v>
      </c>
      <c r="U439" s="9">
        <f>IFERROR(VLOOKUP(B439,cubo!$A$6:$BE$37,51,0)-VLOOKUP(B439,#REF!,$U$2,0),0)</f>
        <v>0</v>
      </c>
      <c r="V439" s="9">
        <f>IFERROR(VLOOKUP(B439,cubo!$A$6:$BJ$37,60,0)-VLOOKUP(B439,#REF!,$V$2,0),0)</f>
        <v>0</v>
      </c>
      <c r="W439" s="9">
        <f>IFERROR(VLOOKUP(B439,cubo!$A$6:$BE$37,26,0)-VLOOKUP(B439,#REF!,$W$2,0),0)</f>
        <v>0</v>
      </c>
      <c r="X439" s="9">
        <f>IFERROR(VLOOKUP(B439,cubo!$A$6:$BE$37,20,0)-VLOOKUP(B439,#REF!,$X$2,0),0)</f>
        <v>0</v>
      </c>
      <c r="Y439" s="9">
        <f>IFERROR(VLOOKUP(B439,cubo!$A$6:$BE$37,21,0)-VLOOKUP(B439,#REF!,$Y$2,0),0)</f>
        <v>0</v>
      </c>
      <c r="Z439" s="9">
        <f>IFERROR(VLOOKUP(B439,cubo!$A$6:$BE$37,27,0)-VLOOKUP(B439,#REF!,$Z$2,0),0)</f>
        <v>0</v>
      </c>
      <c r="AA439" s="9">
        <f>IFERROR(VLOOKUP(B439,cubo!$A$6:$BE$37,28,0)-VLOOKUP(B439,#REF!,$AA$2,0),0)</f>
        <v>0</v>
      </c>
      <c r="AB439" s="9">
        <f>IFERROR(VLOOKUP(B439,cubo!$A$6:$BE$37,29,0)-VLOOKUP(B439,#REF!,$AB$2,0),0)</f>
        <v>0</v>
      </c>
      <c r="AC439" s="9">
        <f>IFERROR(VLOOKUP(B439,cubo!$A$6:$BE$37,30,0)-VLOOKUP(B439,#REF!,$AC$2,0),0)</f>
        <v>0</v>
      </c>
      <c r="AD439" s="9">
        <f>IFERROR(VLOOKUP(B439,cubo!$A$6:$BE$37,31,0)-VLOOKUP(B439,#REF!,$AD$2,0),0)</f>
        <v>0</v>
      </c>
      <c r="AE439" s="9">
        <f>IFERROR(VLOOKUP(B439,cubo!$A$6:$BE$37,35,0)-VLOOKUP(B439,#REF!,$AE$2,0),0)</f>
        <v>0</v>
      </c>
      <c r="AF439" s="9" cm="1">
        <f t="array" aca="1" ref="AF439" ca="1">IFERROR(rrPROCV(B439,cubo!$A$6:$BE$37,48,0)-VLOOKUP(B439,#REF!,$AF$2,0),0)</f>
        <v>0</v>
      </c>
      <c r="AG439" s="9">
        <f>IFERROR(VLOOKUP(B439,cubo!$A$6:$BE$37,49,0)-VLOOKUP(B439,#REF!,$AG$2,0),0)</f>
        <v>0</v>
      </c>
      <c r="AH439" s="9">
        <f>IFERROR(VLOOKUP(B439,cubo!$A$6:$BE$37,50,0)-VLOOKUP(B439,#REF!,$AH$2,0),0)</f>
        <v>0</v>
      </c>
      <c r="AI439" s="9">
        <f>IFERROR(VLOOKUP(B439,cubo!$A$6:$BE$37,51,0)-VLOOKUP(B439,#REF!,$AI$2,0),0)</f>
        <v>0</v>
      </c>
      <c r="AJ439" s="9">
        <f>IFERROR(VLOOKUP(B439,cubo!$A$6:$BI$116,62,0)-VLOOKUP(B439,#REF!,$AJ$2,0),0)</f>
        <v>0</v>
      </c>
      <c r="AK439" s="9">
        <f>IFERROR(VLOOKUP(B439,cubo!$A$6:$BJ$37,63,0)-VLOOKUP(B439,#REF!,$AK$2,0),0)</f>
        <v>0</v>
      </c>
      <c r="AL439" s="9">
        <f>IFERROR(VLOOKUP(B439,cubo!$A$6:$BE$37,58,0)-VLOOKUP(B439,#REF!,$AL$2,0),0)</f>
        <v>0</v>
      </c>
      <c r="AM439" s="9">
        <f>IFERROR(VLOOKUP(B439,cubo!$A$6:$BK$37,64,0)-VLOOKUP(B439,#REF!,$AM$2,0),0)</f>
        <v>0</v>
      </c>
      <c r="AN439" s="9">
        <f>IFERROR(VLOOKUP(B439,cubo!$A$6:$AN$37,41,0)-VLOOKUP(B439,#REF!,$AN$2,0),0)</f>
        <v>0</v>
      </c>
    </row>
    <row r="440" spans="2:40" x14ac:dyDescent="0.25">
      <c r="B440" s="7">
        <f>[1]salario!A439</f>
        <v>0</v>
      </c>
      <c r="C440" s="8">
        <f>[1]salario!C439</f>
        <v>0</v>
      </c>
      <c r="D440" s="9">
        <f>IFERROR(VLOOKUP(B440,cubo!$A$6:$BE$37,3,0)-VLOOKUP(B440,#REF!,$D$2,0),0)</f>
        <v>0</v>
      </c>
      <c r="E440" s="10">
        <f>IFERROR(VLOOKUP(B440,cubo!$A$6:$BE$37,5,0)-VLOOKUP(B440,#REF!,$E$2,0),0)</f>
        <v>0</v>
      </c>
      <c r="F440" s="10">
        <f>IFERROR(VLOOKUP(B440,cubo!$A$6:$BE$37,8,0)-VLOOKUP(B440,#REF!,$F$2,0),0)</f>
        <v>0</v>
      </c>
      <c r="G440" s="9">
        <f>IFERROR(VLOOKUP(B440,cubo!$A$6:$BE$37,11,0)-VLOOKUP(B440,#REF!,$G$2,0),0)</f>
        <v>0</v>
      </c>
      <c r="H440" s="9">
        <f>IFERROR(VLOOKUP(B440,cubo!$A$6:$BE$37,53,0)-VLOOKUP(B440,#REF!,$H$2,0),0)</f>
        <v>0</v>
      </c>
      <c r="I440" s="10">
        <f>IFERROR(VLOOKUP(B440,cubo!$A$6:$BE$37,14,0)-VLOOKUP(B440,#REF!,$I$2,0),0)</f>
        <v>0</v>
      </c>
      <c r="J440" s="9">
        <f>IFERROR(VLOOKUP(B440,cubo!$A$6:$BE$37,16,0)-VLOOKUP(B440,#REF!,$J$2,0),0)</f>
        <v>0</v>
      </c>
      <c r="K440" s="9">
        <f>IFERROR(VLOOKUP(B440,cubo!$A$6:$BE$37,17,0)-VLOOKUP(B440,#REF!,$K$2,0),0)</f>
        <v>0</v>
      </c>
      <c r="L440" s="9">
        <f>IFERROR(VLOOKUP(B440,cubo!$A$6:$BE$37,19,0)-VLOOKUP(B440,#REF!,$L$2,0),0)</f>
        <v>0</v>
      </c>
      <c r="M440" s="9">
        <f>IFERROR(VLOOKUP(B440,cubo!$A$6:$BE$37,23,0)-VLOOKUP(B440,#REF!,$M$2,0),0)</f>
        <v>0</v>
      </c>
      <c r="N440" s="9">
        <f>IFERROR(VLOOKUP(B440,cubo!$A$6:$BE$37,25,0)-VLOOKUP(B440,#REF!,$N$2,0),0)</f>
        <v>0</v>
      </c>
      <c r="O440" s="9">
        <f>IFERROR(VLOOKUP(B440,cubo!$A$6:$BE$37,33,0)-VLOOKUP(B440,#REF!,$O$2,0),0)</f>
        <v>0</v>
      </c>
      <c r="P440" s="8">
        <f>IFERROR(VLOOKUP(B440,cubo!$A$6:$BE$37,37,0)-VLOOKUP(B440,#REF!,$P$2,0),0)</f>
        <v>0</v>
      </c>
      <c r="Q440" s="8">
        <f>IFERROR(VLOOKUP(B440,cubo!$A$6:$BE$37,56,0)-VLOOKUP(B440,#REF!,$Q$2,0),0)</f>
        <v>0</v>
      </c>
      <c r="R440" s="9">
        <f>IFERROR(VLOOKUP(B440,cubo!$A$6:$BE$37,40,0)-VLOOKUP(B440,#REF!,$R$2,0),0)</f>
        <v>0</v>
      </c>
      <c r="S440" s="9">
        <f>IFERROR(VLOOKUP(B440,cubo!$A$6:$BE$37,43,0)-VLOOKUP(B440,#REF!,$S$2,0),0)</f>
        <v>0</v>
      </c>
      <c r="T440" s="9">
        <f>IFERROR(VLOOKUP(B440,cubo!$A$6:$BE$37,46,0)-VLOOKUP(B440,#REF!,$T$2,0),0)</f>
        <v>0</v>
      </c>
      <c r="U440" s="9">
        <f>IFERROR(VLOOKUP(B440,cubo!$A$6:$BE$37,51,0)-VLOOKUP(B440,#REF!,$U$2,0),0)</f>
        <v>0</v>
      </c>
      <c r="V440" s="9">
        <f>IFERROR(VLOOKUP(B440,cubo!$A$6:$BJ$37,60,0)-VLOOKUP(B440,#REF!,$V$2,0),0)</f>
        <v>0</v>
      </c>
      <c r="W440" s="9">
        <f>IFERROR(VLOOKUP(B440,cubo!$A$6:$BE$37,26,0)-VLOOKUP(B440,#REF!,$W$2,0),0)</f>
        <v>0</v>
      </c>
      <c r="X440" s="9">
        <f>IFERROR(VLOOKUP(B440,cubo!$A$6:$BE$37,20,0)-VLOOKUP(B440,#REF!,$X$2,0),0)</f>
        <v>0</v>
      </c>
      <c r="Y440" s="9">
        <f>IFERROR(VLOOKUP(B440,cubo!$A$6:$BE$37,21,0)-VLOOKUP(B440,#REF!,$Y$2,0),0)</f>
        <v>0</v>
      </c>
      <c r="Z440" s="9">
        <f>IFERROR(VLOOKUP(B440,cubo!$A$6:$BE$37,27,0)-VLOOKUP(B440,#REF!,$Z$2,0),0)</f>
        <v>0</v>
      </c>
      <c r="AA440" s="9">
        <f>IFERROR(VLOOKUP(B440,cubo!$A$6:$BE$37,28,0)-VLOOKUP(B440,#REF!,$AA$2,0),0)</f>
        <v>0</v>
      </c>
      <c r="AB440" s="9">
        <f>IFERROR(VLOOKUP(B440,cubo!$A$6:$BE$37,29,0)-VLOOKUP(B440,#REF!,$AB$2,0),0)</f>
        <v>0</v>
      </c>
      <c r="AC440" s="9">
        <f>IFERROR(VLOOKUP(B440,cubo!$A$6:$BE$37,30,0)-VLOOKUP(B440,#REF!,$AC$2,0),0)</f>
        <v>0</v>
      </c>
      <c r="AD440" s="9">
        <f>IFERROR(VLOOKUP(B440,cubo!$A$6:$BE$37,31,0)-VLOOKUP(B440,#REF!,$AD$2,0),0)</f>
        <v>0</v>
      </c>
      <c r="AE440" s="9">
        <f>IFERROR(VLOOKUP(B440,cubo!$A$6:$BE$37,35,0)-VLOOKUP(B440,#REF!,$AE$2,0),0)</f>
        <v>0</v>
      </c>
      <c r="AF440" s="9" cm="1">
        <f t="array" aca="1" ref="AF440" ca="1">IFERROR(rrPROCV(B440,cubo!$A$6:$BE$37,48,0)-VLOOKUP(B440,#REF!,$AF$2,0),0)</f>
        <v>0</v>
      </c>
      <c r="AG440" s="9">
        <f>IFERROR(VLOOKUP(B440,cubo!$A$6:$BE$37,49,0)-VLOOKUP(B440,#REF!,$AG$2,0),0)</f>
        <v>0</v>
      </c>
      <c r="AH440" s="9">
        <f>IFERROR(VLOOKUP(B440,cubo!$A$6:$BE$37,50,0)-VLOOKUP(B440,#REF!,$AH$2,0),0)</f>
        <v>0</v>
      </c>
      <c r="AI440" s="9">
        <f>IFERROR(VLOOKUP(B440,cubo!$A$6:$BE$37,51,0)-VLOOKUP(B440,#REF!,$AI$2,0),0)</f>
        <v>0</v>
      </c>
      <c r="AJ440" s="9">
        <f>IFERROR(VLOOKUP(B440,cubo!$A$6:$BI$116,62,0)-VLOOKUP(B440,#REF!,$AJ$2,0),0)</f>
        <v>0</v>
      </c>
      <c r="AK440" s="9">
        <f>IFERROR(VLOOKUP(B440,cubo!$A$6:$BJ$37,63,0)-VLOOKUP(B440,#REF!,$AK$2,0),0)</f>
        <v>0</v>
      </c>
      <c r="AL440" s="9">
        <f>IFERROR(VLOOKUP(B440,cubo!$A$6:$BE$37,58,0)-VLOOKUP(B440,#REF!,$AL$2,0),0)</f>
        <v>0</v>
      </c>
      <c r="AM440" s="9">
        <f>IFERROR(VLOOKUP(B440,cubo!$A$6:$BK$37,64,0)-VLOOKUP(B440,#REF!,$AM$2,0),0)</f>
        <v>0</v>
      </c>
      <c r="AN440" s="9">
        <f>IFERROR(VLOOKUP(B440,cubo!$A$6:$AN$37,41,0)-VLOOKUP(B440,#REF!,$AN$2,0),0)</f>
        <v>0</v>
      </c>
    </row>
    <row r="441" spans="2:40" x14ac:dyDescent="0.25">
      <c r="B441" s="7">
        <f>[1]salario!A440</f>
        <v>0</v>
      </c>
      <c r="C441" s="8">
        <f>[1]salario!C440</f>
        <v>0</v>
      </c>
      <c r="D441" s="9">
        <f>IFERROR(VLOOKUP(B441,cubo!$A$6:$BE$37,3,0)-VLOOKUP(B441,#REF!,$D$2,0),0)</f>
        <v>0</v>
      </c>
      <c r="E441" s="10">
        <f>IFERROR(VLOOKUP(B441,cubo!$A$6:$BE$37,5,0)-VLOOKUP(B441,#REF!,$E$2,0),0)</f>
        <v>0</v>
      </c>
      <c r="F441" s="10">
        <f>IFERROR(VLOOKUP(B441,cubo!$A$6:$BE$37,8,0)-VLOOKUP(B441,#REF!,$F$2,0),0)</f>
        <v>0</v>
      </c>
      <c r="G441" s="9">
        <f>IFERROR(VLOOKUP(B441,cubo!$A$6:$BE$37,11,0)-VLOOKUP(B441,#REF!,$G$2,0),0)</f>
        <v>0</v>
      </c>
      <c r="H441" s="9">
        <f>IFERROR(VLOOKUP(B441,cubo!$A$6:$BE$37,53,0)-VLOOKUP(B441,#REF!,$H$2,0),0)</f>
        <v>0</v>
      </c>
      <c r="I441" s="10">
        <f>IFERROR(VLOOKUP(B441,cubo!$A$6:$BE$37,14,0)-VLOOKUP(B441,#REF!,$I$2,0),0)</f>
        <v>0</v>
      </c>
      <c r="J441" s="9">
        <f>IFERROR(VLOOKUP(B441,cubo!$A$6:$BE$37,16,0)-VLOOKUP(B441,#REF!,$J$2,0),0)</f>
        <v>0</v>
      </c>
      <c r="K441" s="9">
        <f>IFERROR(VLOOKUP(B441,cubo!$A$6:$BE$37,17,0)-VLOOKUP(B441,#REF!,$K$2,0),0)</f>
        <v>0</v>
      </c>
      <c r="L441" s="9">
        <f>IFERROR(VLOOKUP(B441,cubo!$A$6:$BE$37,19,0)-VLOOKUP(B441,#REF!,$L$2,0),0)</f>
        <v>0</v>
      </c>
      <c r="M441" s="9">
        <f>IFERROR(VLOOKUP(B441,cubo!$A$6:$BE$37,23,0)-VLOOKUP(B441,#REF!,$M$2,0),0)</f>
        <v>0</v>
      </c>
      <c r="N441" s="9">
        <f>IFERROR(VLOOKUP(B441,cubo!$A$6:$BE$37,25,0)-VLOOKUP(B441,#REF!,$N$2,0),0)</f>
        <v>0</v>
      </c>
      <c r="O441" s="9">
        <f>IFERROR(VLOOKUP(B441,cubo!$A$6:$BE$37,33,0)-VLOOKUP(B441,#REF!,$O$2,0),0)</f>
        <v>0</v>
      </c>
      <c r="P441" s="8">
        <f>IFERROR(VLOOKUP(B441,cubo!$A$6:$BE$37,37,0)-VLOOKUP(B441,#REF!,$P$2,0),0)</f>
        <v>0</v>
      </c>
      <c r="Q441" s="8">
        <f>IFERROR(VLOOKUP(B441,cubo!$A$6:$BE$37,56,0)-VLOOKUP(B441,#REF!,$Q$2,0),0)</f>
        <v>0</v>
      </c>
      <c r="R441" s="9">
        <f>IFERROR(VLOOKUP(B441,cubo!$A$6:$BE$37,40,0)-VLOOKUP(B441,#REF!,$R$2,0),0)</f>
        <v>0</v>
      </c>
      <c r="S441" s="9">
        <f>IFERROR(VLOOKUP(B441,cubo!$A$6:$BE$37,43,0)-VLOOKUP(B441,#REF!,$S$2,0),0)</f>
        <v>0</v>
      </c>
      <c r="T441" s="9">
        <f>IFERROR(VLOOKUP(B441,cubo!$A$6:$BE$37,46,0)-VLOOKUP(B441,#REF!,$T$2,0),0)</f>
        <v>0</v>
      </c>
      <c r="U441" s="9">
        <f>IFERROR(VLOOKUP(B441,cubo!$A$6:$BE$37,51,0)-VLOOKUP(B441,#REF!,$U$2,0),0)</f>
        <v>0</v>
      </c>
      <c r="V441" s="9">
        <f>IFERROR(VLOOKUP(B441,cubo!$A$6:$BJ$37,60,0)-VLOOKUP(B441,#REF!,$V$2,0),0)</f>
        <v>0</v>
      </c>
      <c r="W441" s="9">
        <f>IFERROR(VLOOKUP(B441,cubo!$A$6:$BE$37,26,0)-VLOOKUP(B441,#REF!,$W$2,0),0)</f>
        <v>0</v>
      </c>
      <c r="X441" s="9">
        <f>IFERROR(VLOOKUP(B441,cubo!$A$6:$BE$37,20,0)-VLOOKUP(B441,#REF!,$X$2,0),0)</f>
        <v>0</v>
      </c>
      <c r="Y441" s="9">
        <f>IFERROR(VLOOKUP(B441,cubo!$A$6:$BE$37,21,0)-VLOOKUP(B441,#REF!,$Y$2,0),0)</f>
        <v>0</v>
      </c>
      <c r="Z441" s="9">
        <f>IFERROR(VLOOKUP(B441,cubo!$A$6:$BE$37,27,0)-VLOOKUP(B441,#REF!,$Z$2,0),0)</f>
        <v>0</v>
      </c>
      <c r="AA441" s="9">
        <f>IFERROR(VLOOKUP(B441,cubo!$A$6:$BE$37,28,0)-VLOOKUP(B441,#REF!,$AA$2,0),0)</f>
        <v>0</v>
      </c>
      <c r="AB441" s="9">
        <f>IFERROR(VLOOKUP(B441,cubo!$A$6:$BE$37,29,0)-VLOOKUP(B441,#REF!,$AB$2,0),0)</f>
        <v>0</v>
      </c>
      <c r="AC441" s="9">
        <f>IFERROR(VLOOKUP(B441,cubo!$A$6:$BE$37,30,0)-VLOOKUP(B441,#REF!,$AC$2,0),0)</f>
        <v>0</v>
      </c>
      <c r="AD441" s="9">
        <f>IFERROR(VLOOKUP(B441,cubo!$A$6:$BE$37,31,0)-VLOOKUP(B441,#REF!,$AD$2,0),0)</f>
        <v>0</v>
      </c>
      <c r="AE441" s="9">
        <f>IFERROR(VLOOKUP(B441,cubo!$A$6:$BE$37,35,0)-VLOOKUP(B441,#REF!,$AE$2,0),0)</f>
        <v>0</v>
      </c>
      <c r="AF441" s="9" cm="1">
        <f t="array" aca="1" ref="AF441" ca="1">IFERROR(rrPROCV(B441,cubo!$A$6:$BE$37,48,0)-VLOOKUP(B441,#REF!,$AF$2,0),0)</f>
        <v>0</v>
      </c>
      <c r="AG441" s="9">
        <f>IFERROR(VLOOKUP(B441,cubo!$A$6:$BE$37,49,0)-VLOOKUP(B441,#REF!,$AG$2,0),0)</f>
        <v>0</v>
      </c>
      <c r="AH441" s="9">
        <f>IFERROR(VLOOKUP(B441,cubo!$A$6:$BE$37,50,0)-VLOOKUP(B441,#REF!,$AH$2,0),0)</f>
        <v>0</v>
      </c>
      <c r="AI441" s="9">
        <f>IFERROR(VLOOKUP(B441,cubo!$A$6:$BE$37,51,0)-VLOOKUP(B441,#REF!,$AI$2,0),0)</f>
        <v>0</v>
      </c>
      <c r="AJ441" s="9">
        <f>IFERROR(VLOOKUP(B441,cubo!$A$6:$BI$116,62,0)-VLOOKUP(B441,#REF!,$AJ$2,0),0)</f>
        <v>0</v>
      </c>
      <c r="AK441" s="9">
        <f>IFERROR(VLOOKUP(B441,cubo!$A$6:$BJ$37,63,0)-VLOOKUP(B441,#REF!,$AK$2,0),0)</f>
        <v>0</v>
      </c>
      <c r="AL441" s="9">
        <f>IFERROR(VLOOKUP(B441,cubo!$A$6:$BE$37,58,0)-VLOOKUP(B441,#REF!,$AL$2,0),0)</f>
        <v>0</v>
      </c>
      <c r="AM441" s="9">
        <f>IFERROR(VLOOKUP(B441,cubo!$A$6:$BK$37,64,0)-VLOOKUP(B441,#REF!,$AM$2,0),0)</f>
        <v>0</v>
      </c>
      <c r="AN441" s="9">
        <f>IFERROR(VLOOKUP(B441,cubo!$A$6:$AN$37,41,0)-VLOOKUP(B441,#REF!,$AN$2,0),0)</f>
        <v>0</v>
      </c>
    </row>
    <row r="442" spans="2:40" x14ac:dyDescent="0.25">
      <c r="B442" s="7">
        <f>[1]salario!A441</f>
        <v>0</v>
      </c>
      <c r="C442" s="8">
        <f>[1]salario!C441</f>
        <v>0</v>
      </c>
      <c r="D442" s="9">
        <f>IFERROR(VLOOKUP(B442,cubo!$A$6:$BE$37,3,0)-VLOOKUP(B442,#REF!,$D$2,0),0)</f>
        <v>0</v>
      </c>
      <c r="E442" s="10">
        <f>IFERROR(VLOOKUP(B442,cubo!$A$6:$BE$37,5,0)-VLOOKUP(B442,#REF!,$E$2,0),0)</f>
        <v>0</v>
      </c>
      <c r="F442" s="10">
        <f>IFERROR(VLOOKUP(B442,cubo!$A$6:$BE$37,8,0)-VLOOKUP(B442,#REF!,$F$2,0),0)</f>
        <v>0</v>
      </c>
      <c r="G442" s="9">
        <f>IFERROR(VLOOKUP(B442,cubo!$A$6:$BE$37,11,0)-VLOOKUP(B442,#REF!,$G$2,0),0)</f>
        <v>0</v>
      </c>
      <c r="H442" s="9">
        <f>IFERROR(VLOOKUP(B442,cubo!$A$6:$BE$37,53,0)-VLOOKUP(B442,#REF!,$H$2,0),0)</f>
        <v>0</v>
      </c>
      <c r="I442" s="10">
        <f>IFERROR(VLOOKUP(B442,cubo!$A$6:$BE$37,14,0)-VLOOKUP(B442,#REF!,$I$2,0),0)</f>
        <v>0</v>
      </c>
      <c r="J442" s="9">
        <f>IFERROR(VLOOKUP(B442,cubo!$A$6:$BE$37,16,0)-VLOOKUP(B442,#REF!,$J$2,0),0)</f>
        <v>0</v>
      </c>
      <c r="K442" s="9">
        <f>IFERROR(VLOOKUP(B442,cubo!$A$6:$BE$37,17,0)-VLOOKUP(B442,#REF!,$K$2,0),0)</f>
        <v>0</v>
      </c>
      <c r="L442" s="9">
        <f>IFERROR(VLOOKUP(B442,cubo!$A$6:$BE$37,19,0)-VLOOKUP(B442,#REF!,$L$2,0),0)</f>
        <v>0</v>
      </c>
      <c r="M442" s="9">
        <f>IFERROR(VLOOKUP(B442,cubo!$A$6:$BE$37,23,0)-VLOOKUP(B442,#REF!,$M$2,0),0)</f>
        <v>0</v>
      </c>
      <c r="N442" s="9">
        <f>IFERROR(VLOOKUP(B442,cubo!$A$6:$BE$37,25,0)-VLOOKUP(B442,#REF!,$N$2,0),0)</f>
        <v>0</v>
      </c>
      <c r="O442" s="9">
        <f>IFERROR(VLOOKUP(B442,cubo!$A$6:$BE$37,33,0)-VLOOKUP(B442,#REF!,$O$2,0),0)</f>
        <v>0</v>
      </c>
      <c r="P442" s="8">
        <f>IFERROR(VLOOKUP(B442,cubo!$A$6:$BE$37,37,0)-VLOOKUP(B442,#REF!,$P$2,0),0)</f>
        <v>0</v>
      </c>
      <c r="Q442" s="8">
        <f>IFERROR(VLOOKUP(B442,cubo!$A$6:$BE$37,56,0)-VLOOKUP(B442,#REF!,$Q$2,0),0)</f>
        <v>0</v>
      </c>
      <c r="R442" s="9">
        <f>IFERROR(VLOOKUP(B442,cubo!$A$6:$BE$37,40,0)-VLOOKUP(B442,#REF!,$R$2,0),0)</f>
        <v>0</v>
      </c>
      <c r="S442" s="9">
        <f>IFERROR(VLOOKUP(B442,cubo!$A$6:$BE$37,43,0)-VLOOKUP(B442,#REF!,$S$2,0),0)</f>
        <v>0</v>
      </c>
      <c r="T442" s="9">
        <f>IFERROR(VLOOKUP(B442,cubo!$A$6:$BE$37,46,0)-VLOOKUP(B442,#REF!,$T$2,0),0)</f>
        <v>0</v>
      </c>
      <c r="U442" s="9">
        <f>IFERROR(VLOOKUP(B442,cubo!$A$6:$BE$37,51,0)-VLOOKUP(B442,#REF!,$U$2,0),0)</f>
        <v>0</v>
      </c>
      <c r="V442" s="9">
        <f>IFERROR(VLOOKUP(B442,cubo!$A$6:$BJ$37,60,0)-VLOOKUP(B442,#REF!,$V$2,0),0)</f>
        <v>0</v>
      </c>
      <c r="W442" s="9">
        <f>IFERROR(VLOOKUP(B442,cubo!$A$6:$BE$37,26,0)-VLOOKUP(B442,#REF!,$W$2,0),0)</f>
        <v>0</v>
      </c>
      <c r="X442" s="9">
        <f>IFERROR(VLOOKUP(B442,cubo!$A$6:$BE$37,20,0)-VLOOKUP(B442,#REF!,$X$2,0),0)</f>
        <v>0</v>
      </c>
      <c r="Y442" s="9">
        <f>IFERROR(VLOOKUP(B442,cubo!$A$6:$BE$37,21,0)-VLOOKUP(B442,#REF!,$Y$2,0),0)</f>
        <v>0</v>
      </c>
      <c r="Z442" s="9">
        <f>IFERROR(VLOOKUP(B442,cubo!$A$6:$BE$37,27,0)-VLOOKUP(B442,#REF!,$Z$2,0),0)</f>
        <v>0</v>
      </c>
      <c r="AA442" s="9">
        <f>IFERROR(VLOOKUP(B442,cubo!$A$6:$BE$37,28,0)-VLOOKUP(B442,#REF!,$AA$2,0),0)</f>
        <v>0</v>
      </c>
      <c r="AB442" s="9">
        <f>IFERROR(VLOOKUP(B442,cubo!$A$6:$BE$37,29,0)-VLOOKUP(B442,#REF!,$AB$2,0),0)</f>
        <v>0</v>
      </c>
      <c r="AC442" s="9">
        <f>IFERROR(VLOOKUP(B442,cubo!$A$6:$BE$37,30,0)-VLOOKUP(B442,#REF!,$AC$2,0),0)</f>
        <v>0</v>
      </c>
      <c r="AD442" s="9">
        <f>IFERROR(VLOOKUP(B442,cubo!$A$6:$BE$37,31,0)-VLOOKUP(B442,#REF!,$AD$2,0),0)</f>
        <v>0</v>
      </c>
      <c r="AE442" s="9">
        <f>IFERROR(VLOOKUP(B442,cubo!$A$6:$BE$37,35,0)-VLOOKUP(B442,#REF!,$AE$2,0),0)</f>
        <v>0</v>
      </c>
      <c r="AF442" s="9" cm="1">
        <f t="array" aca="1" ref="AF442" ca="1">IFERROR(rrPROCV(B442,cubo!$A$6:$BE$37,48,0)-VLOOKUP(B442,#REF!,$AF$2,0),0)</f>
        <v>0</v>
      </c>
      <c r="AG442" s="9">
        <f>IFERROR(VLOOKUP(B442,cubo!$A$6:$BE$37,49,0)-VLOOKUP(B442,#REF!,$AG$2,0),0)</f>
        <v>0</v>
      </c>
      <c r="AH442" s="9">
        <f>IFERROR(VLOOKUP(B442,cubo!$A$6:$BE$37,50,0)-VLOOKUP(B442,#REF!,$AH$2,0),0)</f>
        <v>0</v>
      </c>
      <c r="AI442" s="9">
        <f>IFERROR(VLOOKUP(B442,cubo!$A$6:$BE$37,51,0)-VLOOKUP(B442,#REF!,$AI$2,0),0)</f>
        <v>0</v>
      </c>
      <c r="AJ442" s="9">
        <f>IFERROR(VLOOKUP(B442,cubo!$A$6:$BI$116,62,0)-VLOOKUP(B442,#REF!,$AJ$2,0),0)</f>
        <v>0</v>
      </c>
      <c r="AK442" s="9">
        <f>IFERROR(VLOOKUP(B442,cubo!$A$6:$BJ$37,63,0)-VLOOKUP(B442,#REF!,$AK$2,0),0)</f>
        <v>0</v>
      </c>
      <c r="AL442" s="9">
        <f>IFERROR(VLOOKUP(B442,cubo!$A$6:$BE$37,58,0)-VLOOKUP(B442,#REF!,$AL$2,0),0)</f>
        <v>0</v>
      </c>
      <c r="AM442" s="9">
        <f>IFERROR(VLOOKUP(B442,cubo!$A$6:$BK$37,64,0)-VLOOKUP(B442,#REF!,$AM$2,0),0)</f>
        <v>0</v>
      </c>
      <c r="AN442" s="9">
        <f>IFERROR(VLOOKUP(B442,cubo!$A$6:$AN$37,41,0)-VLOOKUP(B442,#REF!,$AN$2,0),0)</f>
        <v>0</v>
      </c>
    </row>
    <row r="443" spans="2:40" x14ac:dyDescent="0.25">
      <c r="B443" s="7">
        <f>[1]salario!A442</f>
        <v>0</v>
      </c>
      <c r="C443" s="8">
        <f>[1]salario!C442</f>
        <v>0</v>
      </c>
      <c r="D443" s="9">
        <f>IFERROR(VLOOKUP(B443,cubo!$A$6:$BE$37,3,0)-VLOOKUP(B443,#REF!,$D$2,0),0)</f>
        <v>0</v>
      </c>
      <c r="E443" s="10">
        <f>IFERROR(VLOOKUP(B443,cubo!$A$6:$BE$37,5,0)-VLOOKUP(B443,#REF!,$E$2,0),0)</f>
        <v>0</v>
      </c>
      <c r="F443" s="10">
        <f>IFERROR(VLOOKUP(B443,cubo!$A$6:$BE$37,8,0)-VLOOKUP(B443,#REF!,$F$2,0),0)</f>
        <v>0</v>
      </c>
      <c r="G443" s="9">
        <f>IFERROR(VLOOKUP(B443,cubo!$A$6:$BE$37,11,0)-VLOOKUP(B443,#REF!,$G$2,0),0)</f>
        <v>0</v>
      </c>
      <c r="H443" s="9">
        <f>IFERROR(VLOOKUP(B443,cubo!$A$6:$BE$37,53,0)-VLOOKUP(B443,#REF!,$H$2,0),0)</f>
        <v>0</v>
      </c>
      <c r="I443" s="10">
        <f>IFERROR(VLOOKUP(B443,cubo!$A$6:$BE$37,14,0)-VLOOKUP(B443,#REF!,$I$2,0),0)</f>
        <v>0</v>
      </c>
      <c r="J443" s="9">
        <f>IFERROR(VLOOKUP(B443,cubo!$A$6:$BE$37,16,0)-VLOOKUP(B443,#REF!,$J$2,0),0)</f>
        <v>0</v>
      </c>
      <c r="K443" s="9">
        <f>IFERROR(VLOOKUP(B443,cubo!$A$6:$BE$37,17,0)-VLOOKUP(B443,#REF!,$K$2,0),0)</f>
        <v>0</v>
      </c>
      <c r="L443" s="9">
        <f>IFERROR(VLOOKUP(B443,cubo!$A$6:$BE$37,19,0)-VLOOKUP(B443,#REF!,$L$2,0),0)</f>
        <v>0</v>
      </c>
      <c r="M443" s="9">
        <f>IFERROR(VLOOKUP(B443,cubo!$A$6:$BE$37,23,0)-VLOOKUP(B443,#REF!,$M$2,0),0)</f>
        <v>0</v>
      </c>
      <c r="N443" s="9">
        <f>IFERROR(VLOOKUP(B443,cubo!$A$6:$BE$37,25,0)-VLOOKUP(B443,#REF!,$N$2,0),0)</f>
        <v>0</v>
      </c>
      <c r="O443" s="9">
        <f>IFERROR(VLOOKUP(B443,cubo!$A$6:$BE$37,33,0)-VLOOKUP(B443,#REF!,$O$2,0),0)</f>
        <v>0</v>
      </c>
      <c r="P443" s="8">
        <f>IFERROR(VLOOKUP(B443,cubo!$A$6:$BE$37,37,0)-VLOOKUP(B443,#REF!,$P$2,0),0)</f>
        <v>0</v>
      </c>
      <c r="Q443" s="8">
        <f>IFERROR(VLOOKUP(B443,cubo!$A$6:$BE$37,56,0)-VLOOKUP(B443,#REF!,$Q$2,0),0)</f>
        <v>0</v>
      </c>
      <c r="R443" s="9">
        <f>IFERROR(VLOOKUP(B443,cubo!$A$6:$BE$37,40,0)-VLOOKUP(B443,#REF!,$R$2,0),0)</f>
        <v>0</v>
      </c>
      <c r="S443" s="9">
        <f>IFERROR(VLOOKUP(B443,cubo!$A$6:$BE$37,43,0)-VLOOKUP(B443,#REF!,$S$2,0),0)</f>
        <v>0</v>
      </c>
      <c r="T443" s="9">
        <f>IFERROR(VLOOKUP(B443,cubo!$A$6:$BE$37,46,0)-VLOOKUP(B443,#REF!,$T$2,0),0)</f>
        <v>0</v>
      </c>
      <c r="U443" s="9">
        <f>IFERROR(VLOOKUP(B443,cubo!$A$6:$BE$37,51,0)-VLOOKUP(B443,#REF!,$U$2,0),0)</f>
        <v>0</v>
      </c>
      <c r="V443" s="9">
        <f>IFERROR(VLOOKUP(B443,cubo!$A$6:$BJ$37,60,0)-VLOOKUP(B443,#REF!,$V$2,0),0)</f>
        <v>0</v>
      </c>
      <c r="W443" s="9">
        <f>IFERROR(VLOOKUP(B443,cubo!$A$6:$BE$37,26,0)-VLOOKUP(B443,#REF!,$W$2,0),0)</f>
        <v>0</v>
      </c>
      <c r="X443" s="9">
        <f>IFERROR(VLOOKUP(B443,cubo!$A$6:$BE$37,20,0)-VLOOKUP(B443,#REF!,$X$2,0),0)</f>
        <v>0</v>
      </c>
      <c r="Y443" s="9">
        <f>IFERROR(VLOOKUP(B443,cubo!$A$6:$BE$37,21,0)-VLOOKUP(B443,#REF!,$Y$2,0),0)</f>
        <v>0</v>
      </c>
      <c r="Z443" s="9">
        <f>IFERROR(VLOOKUP(B443,cubo!$A$6:$BE$37,27,0)-VLOOKUP(B443,#REF!,$Z$2,0),0)</f>
        <v>0</v>
      </c>
      <c r="AA443" s="9">
        <f>IFERROR(VLOOKUP(B443,cubo!$A$6:$BE$37,28,0)-VLOOKUP(B443,#REF!,$AA$2,0),0)</f>
        <v>0</v>
      </c>
      <c r="AB443" s="9">
        <f>IFERROR(VLOOKUP(B443,cubo!$A$6:$BE$37,29,0)-VLOOKUP(B443,#REF!,$AB$2,0),0)</f>
        <v>0</v>
      </c>
      <c r="AC443" s="9">
        <f>IFERROR(VLOOKUP(B443,cubo!$A$6:$BE$37,30,0)-VLOOKUP(B443,#REF!,$AC$2,0),0)</f>
        <v>0</v>
      </c>
      <c r="AD443" s="9">
        <f>IFERROR(VLOOKUP(B443,cubo!$A$6:$BE$37,31,0)-VLOOKUP(B443,#REF!,$AD$2,0),0)</f>
        <v>0</v>
      </c>
      <c r="AE443" s="9">
        <f>IFERROR(VLOOKUP(B443,cubo!$A$6:$BE$37,35,0)-VLOOKUP(B443,#REF!,$AE$2,0),0)</f>
        <v>0</v>
      </c>
      <c r="AF443" s="9" cm="1">
        <f t="array" aca="1" ref="AF443" ca="1">IFERROR(rrPROCV(B443,cubo!$A$6:$BE$37,48,0)-VLOOKUP(B443,#REF!,$AF$2,0),0)</f>
        <v>0</v>
      </c>
      <c r="AG443" s="9">
        <f>IFERROR(VLOOKUP(B443,cubo!$A$6:$BE$37,49,0)-VLOOKUP(B443,#REF!,$AG$2,0),0)</f>
        <v>0</v>
      </c>
      <c r="AH443" s="9">
        <f>IFERROR(VLOOKUP(B443,cubo!$A$6:$BE$37,50,0)-VLOOKUP(B443,#REF!,$AH$2,0),0)</f>
        <v>0</v>
      </c>
      <c r="AI443" s="9">
        <f>IFERROR(VLOOKUP(B443,cubo!$A$6:$BE$37,51,0)-VLOOKUP(B443,#REF!,$AI$2,0),0)</f>
        <v>0</v>
      </c>
      <c r="AJ443" s="9">
        <f>IFERROR(VLOOKUP(B443,cubo!$A$6:$BI$116,62,0)-VLOOKUP(B443,#REF!,$AJ$2,0),0)</f>
        <v>0</v>
      </c>
      <c r="AK443" s="9">
        <f>IFERROR(VLOOKUP(B443,cubo!$A$6:$BJ$37,63,0)-VLOOKUP(B443,#REF!,$AK$2,0),0)</f>
        <v>0</v>
      </c>
      <c r="AL443" s="9">
        <f>IFERROR(VLOOKUP(B443,cubo!$A$6:$BE$37,58,0)-VLOOKUP(B443,#REF!,$AL$2,0),0)</f>
        <v>0</v>
      </c>
      <c r="AM443" s="9">
        <f>IFERROR(VLOOKUP(B443,cubo!$A$6:$BK$37,64,0)-VLOOKUP(B443,#REF!,$AM$2,0),0)</f>
        <v>0</v>
      </c>
      <c r="AN443" s="9">
        <f>IFERROR(VLOOKUP(B443,cubo!$A$6:$AN$37,41,0)-VLOOKUP(B443,#REF!,$AN$2,0),0)</f>
        <v>0</v>
      </c>
    </row>
    <row r="444" spans="2:40" x14ac:dyDescent="0.25">
      <c r="B444" s="7">
        <f>[1]salario!A443</f>
        <v>0</v>
      </c>
      <c r="C444" s="8">
        <f>[1]salario!C443</f>
        <v>0</v>
      </c>
      <c r="D444" s="9">
        <f>IFERROR(VLOOKUP(B444,cubo!$A$6:$BE$37,3,0)-VLOOKUP(B444,#REF!,$D$2,0),0)</f>
        <v>0</v>
      </c>
      <c r="E444" s="10">
        <f>IFERROR(VLOOKUP(B444,cubo!$A$6:$BE$37,5,0)-VLOOKUP(B444,#REF!,$E$2,0),0)</f>
        <v>0</v>
      </c>
      <c r="F444" s="10">
        <f>IFERROR(VLOOKUP(B444,cubo!$A$6:$BE$37,8,0)-VLOOKUP(B444,#REF!,$F$2,0),0)</f>
        <v>0</v>
      </c>
      <c r="G444" s="9">
        <f>IFERROR(VLOOKUP(B444,cubo!$A$6:$BE$37,11,0)-VLOOKUP(B444,#REF!,$G$2,0),0)</f>
        <v>0</v>
      </c>
      <c r="H444" s="9">
        <f>IFERROR(VLOOKUP(B444,cubo!$A$6:$BE$37,53,0)-VLOOKUP(B444,#REF!,$H$2,0),0)</f>
        <v>0</v>
      </c>
      <c r="I444" s="10">
        <f>IFERROR(VLOOKUP(B444,cubo!$A$6:$BE$37,14,0)-VLOOKUP(B444,#REF!,$I$2,0),0)</f>
        <v>0</v>
      </c>
      <c r="J444" s="9">
        <f>IFERROR(VLOOKUP(B444,cubo!$A$6:$BE$37,16,0)-VLOOKUP(B444,#REF!,$J$2,0),0)</f>
        <v>0</v>
      </c>
      <c r="K444" s="9">
        <f>IFERROR(VLOOKUP(B444,cubo!$A$6:$BE$37,17,0)-VLOOKUP(B444,#REF!,$K$2,0),0)</f>
        <v>0</v>
      </c>
      <c r="L444" s="9">
        <f>IFERROR(VLOOKUP(B444,cubo!$A$6:$BE$37,19,0)-VLOOKUP(B444,#REF!,$L$2,0),0)</f>
        <v>0</v>
      </c>
      <c r="M444" s="9">
        <f>IFERROR(VLOOKUP(B444,cubo!$A$6:$BE$37,23,0)-VLOOKUP(B444,#REF!,$M$2,0),0)</f>
        <v>0</v>
      </c>
      <c r="N444" s="9">
        <f>IFERROR(VLOOKUP(B444,cubo!$A$6:$BE$37,25,0)-VLOOKUP(B444,#REF!,$N$2,0),0)</f>
        <v>0</v>
      </c>
      <c r="O444" s="9">
        <f>IFERROR(VLOOKUP(B444,cubo!$A$6:$BE$37,33,0)-VLOOKUP(B444,#REF!,$O$2,0),0)</f>
        <v>0</v>
      </c>
      <c r="P444" s="8">
        <f>IFERROR(VLOOKUP(B444,cubo!$A$6:$BE$37,37,0)-VLOOKUP(B444,#REF!,$P$2,0),0)</f>
        <v>0</v>
      </c>
      <c r="Q444" s="8">
        <f>IFERROR(VLOOKUP(B444,cubo!$A$6:$BE$37,56,0)-VLOOKUP(B444,#REF!,$Q$2,0),0)</f>
        <v>0</v>
      </c>
      <c r="R444" s="9">
        <f>IFERROR(VLOOKUP(B444,cubo!$A$6:$BE$37,40,0)-VLOOKUP(B444,#REF!,$R$2,0),0)</f>
        <v>0</v>
      </c>
      <c r="S444" s="9">
        <f>IFERROR(VLOOKUP(B444,cubo!$A$6:$BE$37,43,0)-VLOOKUP(B444,#REF!,$S$2,0),0)</f>
        <v>0</v>
      </c>
      <c r="T444" s="9">
        <f>IFERROR(VLOOKUP(B444,cubo!$A$6:$BE$37,46,0)-VLOOKUP(B444,#REF!,$T$2,0),0)</f>
        <v>0</v>
      </c>
      <c r="U444" s="9">
        <f>IFERROR(VLOOKUP(B444,cubo!$A$6:$BE$37,51,0)-VLOOKUP(B444,#REF!,$U$2,0),0)</f>
        <v>0</v>
      </c>
      <c r="V444" s="9">
        <f>IFERROR(VLOOKUP(B444,cubo!$A$6:$BJ$37,60,0)-VLOOKUP(B444,#REF!,$V$2,0),0)</f>
        <v>0</v>
      </c>
      <c r="W444" s="9">
        <f>IFERROR(VLOOKUP(B444,cubo!$A$6:$BE$37,26,0)-VLOOKUP(B444,#REF!,$W$2,0),0)</f>
        <v>0</v>
      </c>
      <c r="X444" s="9">
        <f>IFERROR(VLOOKUP(B444,cubo!$A$6:$BE$37,20,0)-VLOOKUP(B444,#REF!,$X$2,0),0)</f>
        <v>0</v>
      </c>
      <c r="Y444" s="9">
        <f>IFERROR(VLOOKUP(B444,cubo!$A$6:$BE$37,21,0)-VLOOKUP(B444,#REF!,$Y$2,0),0)</f>
        <v>0</v>
      </c>
      <c r="Z444" s="9">
        <f>IFERROR(VLOOKUP(B444,cubo!$A$6:$BE$37,27,0)-VLOOKUP(B444,#REF!,$Z$2,0),0)</f>
        <v>0</v>
      </c>
      <c r="AA444" s="9">
        <f>IFERROR(VLOOKUP(B444,cubo!$A$6:$BE$37,28,0)-VLOOKUP(B444,#REF!,$AA$2,0),0)</f>
        <v>0</v>
      </c>
      <c r="AB444" s="9">
        <f>IFERROR(VLOOKUP(B444,cubo!$A$6:$BE$37,29,0)-VLOOKUP(B444,#REF!,$AB$2,0),0)</f>
        <v>0</v>
      </c>
      <c r="AC444" s="9">
        <f>IFERROR(VLOOKUP(B444,cubo!$A$6:$BE$37,30,0)-VLOOKUP(B444,#REF!,$AC$2,0),0)</f>
        <v>0</v>
      </c>
      <c r="AD444" s="9">
        <f>IFERROR(VLOOKUP(B444,cubo!$A$6:$BE$37,31,0)-VLOOKUP(B444,#REF!,$AD$2,0),0)</f>
        <v>0</v>
      </c>
      <c r="AE444" s="9">
        <f>IFERROR(VLOOKUP(B444,cubo!$A$6:$BE$37,35,0)-VLOOKUP(B444,#REF!,$AE$2,0),0)</f>
        <v>0</v>
      </c>
      <c r="AF444" s="9" cm="1">
        <f t="array" aca="1" ref="AF444" ca="1">IFERROR(rrPROCV(B444,cubo!$A$6:$BE$37,48,0)-VLOOKUP(B444,#REF!,$AF$2,0),0)</f>
        <v>0</v>
      </c>
      <c r="AG444" s="9">
        <f>IFERROR(VLOOKUP(B444,cubo!$A$6:$BE$37,49,0)-VLOOKUP(B444,#REF!,$AG$2,0),0)</f>
        <v>0</v>
      </c>
      <c r="AH444" s="9">
        <f>IFERROR(VLOOKUP(B444,cubo!$A$6:$BE$37,50,0)-VLOOKUP(B444,#REF!,$AH$2,0),0)</f>
        <v>0</v>
      </c>
      <c r="AI444" s="9">
        <f>IFERROR(VLOOKUP(B444,cubo!$A$6:$BE$37,51,0)-VLOOKUP(B444,#REF!,$AI$2,0),0)</f>
        <v>0</v>
      </c>
      <c r="AJ444" s="9">
        <f>IFERROR(VLOOKUP(B444,cubo!$A$6:$BI$116,62,0)-VLOOKUP(B444,#REF!,$AJ$2,0),0)</f>
        <v>0</v>
      </c>
      <c r="AK444" s="9">
        <f>IFERROR(VLOOKUP(B444,cubo!$A$6:$BJ$37,63,0)-VLOOKUP(B444,#REF!,$AK$2,0),0)</f>
        <v>0</v>
      </c>
      <c r="AL444" s="9">
        <f>IFERROR(VLOOKUP(B444,cubo!$A$6:$BE$37,58,0)-VLOOKUP(B444,#REF!,$AL$2,0),0)</f>
        <v>0</v>
      </c>
      <c r="AM444" s="9">
        <f>IFERROR(VLOOKUP(B444,cubo!$A$6:$BK$37,64,0)-VLOOKUP(B444,#REF!,$AM$2,0),0)</f>
        <v>0</v>
      </c>
      <c r="AN444" s="9">
        <f>IFERROR(VLOOKUP(B444,cubo!$A$6:$AN$37,41,0)-VLOOKUP(B444,#REF!,$AN$2,0),0)</f>
        <v>0</v>
      </c>
    </row>
    <row r="445" spans="2:40" x14ac:dyDescent="0.25">
      <c r="B445" s="7">
        <f>[1]salario!A444</f>
        <v>0</v>
      </c>
      <c r="C445" s="8">
        <f>[1]salario!C444</f>
        <v>0</v>
      </c>
      <c r="D445" s="9">
        <f>IFERROR(VLOOKUP(B445,cubo!$A$6:$BE$37,3,0)-VLOOKUP(B445,#REF!,$D$2,0),0)</f>
        <v>0</v>
      </c>
      <c r="E445" s="10">
        <f>IFERROR(VLOOKUP(B445,cubo!$A$6:$BE$37,5,0)-VLOOKUP(B445,#REF!,$E$2,0),0)</f>
        <v>0</v>
      </c>
      <c r="F445" s="10">
        <f>IFERROR(VLOOKUP(B445,cubo!$A$6:$BE$37,8,0)-VLOOKUP(B445,#REF!,$F$2,0),0)</f>
        <v>0</v>
      </c>
      <c r="G445" s="9">
        <f>IFERROR(VLOOKUP(B445,cubo!$A$6:$BE$37,11,0)-VLOOKUP(B445,#REF!,$G$2,0),0)</f>
        <v>0</v>
      </c>
      <c r="H445" s="9">
        <f>IFERROR(VLOOKUP(B445,cubo!$A$6:$BE$37,53,0)-VLOOKUP(B445,#REF!,$H$2,0),0)</f>
        <v>0</v>
      </c>
      <c r="I445" s="10">
        <f>IFERROR(VLOOKUP(B445,cubo!$A$6:$BE$37,14,0)-VLOOKUP(B445,#REF!,$I$2,0),0)</f>
        <v>0</v>
      </c>
      <c r="J445" s="9">
        <f>IFERROR(VLOOKUP(B445,cubo!$A$6:$BE$37,16,0)-VLOOKUP(B445,#REF!,$J$2,0),0)</f>
        <v>0</v>
      </c>
      <c r="K445" s="9">
        <f>IFERROR(VLOOKUP(B445,cubo!$A$6:$BE$37,17,0)-VLOOKUP(B445,#REF!,$K$2,0),0)</f>
        <v>0</v>
      </c>
      <c r="L445" s="9">
        <f>IFERROR(VLOOKUP(B445,cubo!$A$6:$BE$37,19,0)-VLOOKUP(B445,#REF!,$L$2,0),0)</f>
        <v>0</v>
      </c>
      <c r="M445" s="9">
        <f>IFERROR(VLOOKUP(B445,cubo!$A$6:$BE$37,23,0)-VLOOKUP(B445,#REF!,$M$2,0),0)</f>
        <v>0</v>
      </c>
      <c r="N445" s="9">
        <f>IFERROR(VLOOKUP(B445,cubo!$A$6:$BE$37,25,0)-VLOOKUP(B445,#REF!,$N$2,0),0)</f>
        <v>0</v>
      </c>
      <c r="O445" s="9">
        <f>IFERROR(VLOOKUP(B445,cubo!$A$6:$BE$37,33,0)-VLOOKUP(B445,#REF!,$O$2,0),0)</f>
        <v>0</v>
      </c>
      <c r="P445" s="8">
        <f>IFERROR(VLOOKUP(B445,cubo!$A$6:$BE$37,37,0)-VLOOKUP(B445,#REF!,$P$2,0),0)</f>
        <v>0</v>
      </c>
      <c r="Q445" s="8">
        <f>IFERROR(VLOOKUP(B445,cubo!$A$6:$BE$37,56,0)-VLOOKUP(B445,#REF!,$Q$2,0),0)</f>
        <v>0</v>
      </c>
      <c r="R445" s="9">
        <f>IFERROR(VLOOKUP(B445,cubo!$A$6:$BE$37,40,0)-VLOOKUP(B445,#REF!,$R$2,0),0)</f>
        <v>0</v>
      </c>
      <c r="S445" s="9">
        <f>IFERROR(VLOOKUP(B445,cubo!$A$6:$BE$37,43,0)-VLOOKUP(B445,#REF!,$S$2,0),0)</f>
        <v>0</v>
      </c>
      <c r="T445" s="9">
        <f>IFERROR(VLOOKUP(B445,cubo!$A$6:$BE$37,46,0)-VLOOKUP(B445,#REF!,$T$2,0),0)</f>
        <v>0</v>
      </c>
      <c r="U445" s="9">
        <f>IFERROR(VLOOKUP(B445,cubo!$A$6:$BE$37,51,0)-VLOOKUP(B445,#REF!,$U$2,0),0)</f>
        <v>0</v>
      </c>
      <c r="V445" s="9">
        <f>IFERROR(VLOOKUP(B445,cubo!$A$6:$BJ$37,60,0)-VLOOKUP(B445,#REF!,$V$2,0),0)</f>
        <v>0</v>
      </c>
      <c r="W445" s="9">
        <f>IFERROR(VLOOKUP(B445,cubo!$A$6:$BE$37,26,0)-VLOOKUP(B445,#REF!,$W$2,0),0)</f>
        <v>0</v>
      </c>
      <c r="X445" s="9">
        <f>IFERROR(VLOOKUP(B445,cubo!$A$6:$BE$37,20,0)-VLOOKUP(B445,#REF!,$X$2,0),0)</f>
        <v>0</v>
      </c>
      <c r="Y445" s="9">
        <f>IFERROR(VLOOKUP(B445,cubo!$A$6:$BE$37,21,0)-VLOOKUP(B445,#REF!,$Y$2,0),0)</f>
        <v>0</v>
      </c>
      <c r="Z445" s="9">
        <f>IFERROR(VLOOKUP(B445,cubo!$A$6:$BE$37,27,0)-VLOOKUP(B445,#REF!,$Z$2,0),0)</f>
        <v>0</v>
      </c>
      <c r="AA445" s="9">
        <f>IFERROR(VLOOKUP(B445,cubo!$A$6:$BE$37,28,0)-VLOOKUP(B445,#REF!,$AA$2,0),0)</f>
        <v>0</v>
      </c>
      <c r="AB445" s="9">
        <f>IFERROR(VLOOKUP(B445,cubo!$A$6:$BE$37,29,0)-VLOOKUP(B445,#REF!,$AB$2,0),0)</f>
        <v>0</v>
      </c>
      <c r="AC445" s="9">
        <f>IFERROR(VLOOKUP(B445,cubo!$A$6:$BE$37,30,0)-VLOOKUP(B445,#REF!,$AC$2,0),0)</f>
        <v>0</v>
      </c>
      <c r="AD445" s="9">
        <f>IFERROR(VLOOKUP(B445,cubo!$A$6:$BE$37,31,0)-VLOOKUP(B445,#REF!,$AD$2,0),0)</f>
        <v>0</v>
      </c>
      <c r="AE445" s="9">
        <f>IFERROR(VLOOKUP(B445,cubo!$A$6:$BE$37,35,0)-VLOOKUP(B445,#REF!,$AE$2,0),0)</f>
        <v>0</v>
      </c>
      <c r="AF445" s="9" cm="1">
        <f t="array" aca="1" ref="AF445" ca="1">IFERROR(rrPROCV(B445,cubo!$A$6:$BE$37,48,0)-VLOOKUP(B445,#REF!,$AF$2,0),0)</f>
        <v>0</v>
      </c>
      <c r="AG445" s="9">
        <f>IFERROR(VLOOKUP(B445,cubo!$A$6:$BE$37,49,0)-VLOOKUP(B445,#REF!,$AG$2,0),0)</f>
        <v>0</v>
      </c>
      <c r="AH445" s="9">
        <f>IFERROR(VLOOKUP(B445,cubo!$A$6:$BE$37,50,0)-VLOOKUP(B445,#REF!,$AH$2,0),0)</f>
        <v>0</v>
      </c>
      <c r="AI445" s="9">
        <f>IFERROR(VLOOKUP(B445,cubo!$A$6:$BE$37,51,0)-VLOOKUP(B445,#REF!,$AI$2,0),0)</f>
        <v>0</v>
      </c>
      <c r="AJ445" s="9">
        <f>IFERROR(VLOOKUP(B445,cubo!$A$6:$BI$116,62,0)-VLOOKUP(B445,#REF!,$AJ$2,0),0)</f>
        <v>0</v>
      </c>
      <c r="AK445" s="9">
        <f>IFERROR(VLOOKUP(B445,cubo!$A$6:$BJ$37,63,0)-VLOOKUP(B445,#REF!,$AK$2,0),0)</f>
        <v>0</v>
      </c>
      <c r="AL445" s="9">
        <f>IFERROR(VLOOKUP(B445,cubo!$A$6:$BE$37,58,0)-VLOOKUP(B445,#REF!,$AL$2,0),0)</f>
        <v>0</v>
      </c>
      <c r="AM445" s="9">
        <f>IFERROR(VLOOKUP(B445,cubo!$A$6:$BK$37,64,0)-VLOOKUP(B445,#REF!,$AM$2,0),0)</f>
        <v>0</v>
      </c>
      <c r="AN445" s="9">
        <f>IFERROR(VLOOKUP(B445,cubo!$A$6:$AN$37,41,0)-VLOOKUP(B445,#REF!,$AN$2,0),0)</f>
        <v>0</v>
      </c>
    </row>
    <row r="446" spans="2:40" x14ac:dyDescent="0.25">
      <c r="B446" s="7">
        <f>[1]salario!A445</f>
        <v>0</v>
      </c>
      <c r="C446" s="8">
        <f>[1]salario!C445</f>
        <v>0</v>
      </c>
      <c r="D446" s="9">
        <f>IFERROR(VLOOKUP(B446,cubo!$A$6:$BE$37,3,0)-VLOOKUP(B446,#REF!,$D$2,0),0)</f>
        <v>0</v>
      </c>
      <c r="E446" s="10">
        <f>IFERROR(VLOOKUP(B446,cubo!$A$6:$BE$37,5,0)-VLOOKUP(B446,#REF!,$E$2,0),0)</f>
        <v>0</v>
      </c>
      <c r="F446" s="10">
        <f>IFERROR(VLOOKUP(B446,cubo!$A$6:$BE$37,8,0)-VLOOKUP(B446,#REF!,$F$2,0),0)</f>
        <v>0</v>
      </c>
      <c r="G446" s="9">
        <f>IFERROR(VLOOKUP(B446,cubo!$A$6:$BE$37,11,0)-VLOOKUP(B446,#REF!,$G$2,0),0)</f>
        <v>0</v>
      </c>
      <c r="H446" s="9">
        <f>IFERROR(VLOOKUP(B446,cubo!$A$6:$BE$37,53,0)-VLOOKUP(B446,#REF!,$H$2,0),0)</f>
        <v>0</v>
      </c>
      <c r="I446" s="10">
        <f>IFERROR(VLOOKUP(B446,cubo!$A$6:$BE$37,14,0)-VLOOKUP(B446,#REF!,$I$2,0),0)</f>
        <v>0</v>
      </c>
      <c r="J446" s="9">
        <f>IFERROR(VLOOKUP(B446,cubo!$A$6:$BE$37,16,0)-VLOOKUP(B446,#REF!,$J$2,0),0)</f>
        <v>0</v>
      </c>
      <c r="K446" s="9">
        <f>IFERROR(VLOOKUP(B446,cubo!$A$6:$BE$37,17,0)-VLOOKUP(B446,#REF!,$K$2,0),0)</f>
        <v>0</v>
      </c>
      <c r="L446" s="9">
        <f>IFERROR(VLOOKUP(B446,cubo!$A$6:$BE$37,19,0)-VLOOKUP(B446,#REF!,$L$2,0),0)</f>
        <v>0</v>
      </c>
      <c r="M446" s="9">
        <f>IFERROR(VLOOKUP(B446,cubo!$A$6:$BE$37,23,0)-VLOOKUP(B446,#REF!,$M$2,0),0)</f>
        <v>0</v>
      </c>
      <c r="N446" s="9">
        <f>IFERROR(VLOOKUP(B446,cubo!$A$6:$BE$37,25,0)-VLOOKUP(B446,#REF!,$N$2,0),0)</f>
        <v>0</v>
      </c>
      <c r="O446" s="9">
        <f>IFERROR(VLOOKUP(B446,cubo!$A$6:$BE$37,33,0)-VLOOKUP(B446,#REF!,$O$2,0),0)</f>
        <v>0</v>
      </c>
      <c r="P446" s="8">
        <f>IFERROR(VLOOKUP(B446,cubo!$A$6:$BE$37,37,0)-VLOOKUP(B446,#REF!,$P$2,0),0)</f>
        <v>0</v>
      </c>
      <c r="Q446" s="8">
        <f>IFERROR(VLOOKUP(B446,cubo!$A$6:$BE$37,56,0)-VLOOKUP(B446,#REF!,$Q$2,0),0)</f>
        <v>0</v>
      </c>
      <c r="R446" s="9">
        <f>IFERROR(VLOOKUP(B446,cubo!$A$6:$BE$37,40,0)-VLOOKUP(B446,#REF!,$R$2,0),0)</f>
        <v>0</v>
      </c>
      <c r="S446" s="9">
        <f>IFERROR(VLOOKUP(B446,cubo!$A$6:$BE$37,43,0)-VLOOKUP(B446,#REF!,$S$2,0),0)</f>
        <v>0</v>
      </c>
      <c r="T446" s="9">
        <f>IFERROR(VLOOKUP(B446,cubo!$A$6:$BE$37,46,0)-VLOOKUP(B446,#REF!,$T$2,0),0)</f>
        <v>0</v>
      </c>
      <c r="U446" s="9">
        <f>IFERROR(VLOOKUP(B446,cubo!$A$6:$BE$37,51,0)-VLOOKUP(B446,#REF!,$U$2,0),0)</f>
        <v>0</v>
      </c>
      <c r="V446" s="9">
        <f>IFERROR(VLOOKUP(B446,cubo!$A$6:$BJ$37,60,0)-VLOOKUP(B446,#REF!,$V$2,0),0)</f>
        <v>0</v>
      </c>
      <c r="W446" s="9">
        <f>IFERROR(VLOOKUP(B446,cubo!$A$6:$BE$37,26,0)-VLOOKUP(B446,#REF!,$W$2,0),0)</f>
        <v>0</v>
      </c>
      <c r="X446" s="9">
        <f>IFERROR(VLOOKUP(B446,cubo!$A$6:$BE$37,20,0)-VLOOKUP(B446,#REF!,$X$2,0),0)</f>
        <v>0</v>
      </c>
      <c r="Y446" s="9">
        <f>IFERROR(VLOOKUP(B446,cubo!$A$6:$BE$37,21,0)-VLOOKUP(B446,#REF!,$Y$2,0),0)</f>
        <v>0</v>
      </c>
      <c r="Z446" s="9">
        <f>IFERROR(VLOOKUP(B446,cubo!$A$6:$BE$37,27,0)-VLOOKUP(B446,#REF!,$Z$2,0),0)</f>
        <v>0</v>
      </c>
      <c r="AA446" s="9">
        <f>IFERROR(VLOOKUP(B446,cubo!$A$6:$BE$37,28,0)-VLOOKUP(B446,#REF!,$AA$2,0),0)</f>
        <v>0</v>
      </c>
      <c r="AB446" s="9">
        <f>IFERROR(VLOOKUP(B446,cubo!$A$6:$BE$37,29,0)-VLOOKUP(B446,#REF!,$AB$2,0),0)</f>
        <v>0</v>
      </c>
      <c r="AC446" s="9">
        <f>IFERROR(VLOOKUP(B446,cubo!$A$6:$BE$37,30,0)-VLOOKUP(B446,#REF!,$AC$2,0),0)</f>
        <v>0</v>
      </c>
      <c r="AD446" s="9">
        <f>IFERROR(VLOOKUP(B446,cubo!$A$6:$BE$37,31,0)-VLOOKUP(B446,#REF!,$AD$2,0),0)</f>
        <v>0</v>
      </c>
      <c r="AE446" s="9">
        <f>IFERROR(VLOOKUP(B446,cubo!$A$6:$BE$37,35,0)-VLOOKUP(B446,#REF!,$AE$2,0),0)</f>
        <v>0</v>
      </c>
      <c r="AF446" s="9" cm="1">
        <f t="array" aca="1" ref="AF446" ca="1">IFERROR(rrPROCV(B446,cubo!$A$6:$BE$37,48,0)-VLOOKUP(B446,#REF!,$AF$2,0),0)</f>
        <v>0</v>
      </c>
      <c r="AG446" s="9">
        <f>IFERROR(VLOOKUP(B446,cubo!$A$6:$BE$37,49,0)-VLOOKUP(B446,#REF!,$AG$2,0),0)</f>
        <v>0</v>
      </c>
      <c r="AH446" s="9">
        <f>IFERROR(VLOOKUP(B446,cubo!$A$6:$BE$37,50,0)-VLOOKUP(B446,#REF!,$AH$2,0),0)</f>
        <v>0</v>
      </c>
      <c r="AI446" s="9">
        <f>IFERROR(VLOOKUP(B446,cubo!$A$6:$BE$37,51,0)-VLOOKUP(B446,#REF!,$AI$2,0),0)</f>
        <v>0</v>
      </c>
      <c r="AJ446" s="9">
        <f>IFERROR(VLOOKUP(B446,cubo!$A$6:$BI$116,62,0)-VLOOKUP(B446,#REF!,$AJ$2,0),0)</f>
        <v>0</v>
      </c>
      <c r="AK446" s="9">
        <f>IFERROR(VLOOKUP(B446,cubo!$A$6:$BJ$37,63,0)-VLOOKUP(B446,#REF!,$AK$2,0),0)</f>
        <v>0</v>
      </c>
      <c r="AL446" s="9">
        <f>IFERROR(VLOOKUP(B446,cubo!$A$6:$BE$37,58,0)-VLOOKUP(B446,#REF!,$AL$2,0),0)</f>
        <v>0</v>
      </c>
      <c r="AM446" s="9">
        <f>IFERROR(VLOOKUP(B446,cubo!$A$6:$BK$37,64,0)-VLOOKUP(B446,#REF!,$AM$2,0),0)</f>
        <v>0</v>
      </c>
      <c r="AN446" s="9">
        <f>IFERROR(VLOOKUP(B446,cubo!$A$6:$AN$37,41,0)-VLOOKUP(B446,#REF!,$AN$2,0),0)</f>
        <v>0</v>
      </c>
    </row>
    <row r="447" spans="2:40" x14ac:dyDescent="0.25">
      <c r="B447" s="7">
        <f>[1]salario!A446</f>
        <v>0</v>
      </c>
      <c r="C447" s="8">
        <f>[1]salario!C446</f>
        <v>0</v>
      </c>
      <c r="D447" s="9">
        <f>IFERROR(VLOOKUP(B447,cubo!$A$6:$BE$37,3,0)-VLOOKUP(B447,#REF!,$D$2,0),0)</f>
        <v>0</v>
      </c>
      <c r="E447" s="10">
        <f>IFERROR(VLOOKUP(B447,cubo!$A$6:$BE$37,5,0)-VLOOKUP(B447,#REF!,$E$2,0),0)</f>
        <v>0</v>
      </c>
      <c r="F447" s="10">
        <f>IFERROR(VLOOKUP(B447,cubo!$A$6:$BE$37,8,0)-VLOOKUP(B447,#REF!,$F$2,0),0)</f>
        <v>0</v>
      </c>
      <c r="G447" s="9">
        <f>IFERROR(VLOOKUP(B447,cubo!$A$6:$BE$37,11,0)-VLOOKUP(B447,#REF!,$G$2,0),0)</f>
        <v>0</v>
      </c>
      <c r="H447" s="9">
        <f>IFERROR(VLOOKUP(B447,cubo!$A$6:$BE$37,53,0)-VLOOKUP(B447,#REF!,$H$2,0),0)</f>
        <v>0</v>
      </c>
      <c r="I447" s="10">
        <f>IFERROR(VLOOKUP(B447,cubo!$A$6:$BE$37,14,0)-VLOOKUP(B447,#REF!,$I$2,0),0)</f>
        <v>0</v>
      </c>
      <c r="J447" s="9">
        <f>IFERROR(VLOOKUP(B447,cubo!$A$6:$BE$37,16,0)-VLOOKUP(B447,#REF!,$J$2,0),0)</f>
        <v>0</v>
      </c>
      <c r="K447" s="9">
        <f>IFERROR(VLOOKUP(B447,cubo!$A$6:$BE$37,17,0)-VLOOKUP(B447,#REF!,$K$2,0),0)</f>
        <v>0</v>
      </c>
      <c r="L447" s="9">
        <f>IFERROR(VLOOKUP(B447,cubo!$A$6:$BE$37,19,0)-VLOOKUP(B447,#REF!,$L$2,0),0)</f>
        <v>0</v>
      </c>
      <c r="M447" s="9">
        <f>IFERROR(VLOOKUP(B447,cubo!$A$6:$BE$37,23,0)-VLOOKUP(B447,#REF!,$M$2,0),0)</f>
        <v>0</v>
      </c>
      <c r="N447" s="9">
        <f>IFERROR(VLOOKUP(B447,cubo!$A$6:$BE$37,25,0)-VLOOKUP(B447,#REF!,$N$2,0),0)</f>
        <v>0</v>
      </c>
      <c r="O447" s="9">
        <f>IFERROR(VLOOKUP(B447,cubo!$A$6:$BE$37,33,0)-VLOOKUP(B447,#REF!,$O$2,0),0)</f>
        <v>0</v>
      </c>
      <c r="P447" s="8">
        <f>IFERROR(VLOOKUP(B447,cubo!$A$6:$BE$37,37,0)-VLOOKUP(B447,#REF!,$P$2,0),0)</f>
        <v>0</v>
      </c>
      <c r="Q447" s="8">
        <f>IFERROR(VLOOKUP(B447,cubo!$A$6:$BE$37,56,0)-VLOOKUP(B447,#REF!,$Q$2,0),0)</f>
        <v>0</v>
      </c>
      <c r="R447" s="9">
        <f>IFERROR(VLOOKUP(B447,cubo!$A$6:$BE$37,40,0)-VLOOKUP(B447,#REF!,$R$2,0),0)</f>
        <v>0</v>
      </c>
      <c r="S447" s="9">
        <f>IFERROR(VLOOKUP(B447,cubo!$A$6:$BE$37,43,0)-VLOOKUP(B447,#REF!,$S$2,0),0)</f>
        <v>0</v>
      </c>
      <c r="T447" s="9">
        <f>IFERROR(VLOOKUP(B447,cubo!$A$6:$BE$37,46,0)-VLOOKUP(B447,#REF!,$T$2,0),0)</f>
        <v>0</v>
      </c>
      <c r="U447" s="9">
        <f>IFERROR(VLOOKUP(B447,cubo!$A$6:$BE$37,51,0)-VLOOKUP(B447,#REF!,$U$2,0),0)</f>
        <v>0</v>
      </c>
      <c r="V447" s="9">
        <f>IFERROR(VLOOKUP(B447,cubo!$A$6:$BJ$37,60,0)-VLOOKUP(B447,#REF!,$V$2,0),0)</f>
        <v>0</v>
      </c>
      <c r="W447" s="9">
        <f>IFERROR(VLOOKUP(B447,cubo!$A$6:$BE$37,26,0)-VLOOKUP(B447,#REF!,$W$2,0),0)</f>
        <v>0</v>
      </c>
      <c r="X447" s="9">
        <f>IFERROR(VLOOKUP(B447,cubo!$A$6:$BE$37,20,0)-VLOOKUP(B447,#REF!,$X$2,0),0)</f>
        <v>0</v>
      </c>
      <c r="Y447" s="9">
        <f>IFERROR(VLOOKUP(B447,cubo!$A$6:$BE$37,21,0)-VLOOKUP(B447,#REF!,$Y$2,0),0)</f>
        <v>0</v>
      </c>
      <c r="Z447" s="9">
        <f>IFERROR(VLOOKUP(B447,cubo!$A$6:$BE$37,27,0)-VLOOKUP(B447,#REF!,$Z$2,0),0)</f>
        <v>0</v>
      </c>
      <c r="AA447" s="9">
        <f>IFERROR(VLOOKUP(B447,cubo!$A$6:$BE$37,28,0)-VLOOKUP(B447,#REF!,$AA$2,0),0)</f>
        <v>0</v>
      </c>
      <c r="AB447" s="9">
        <f>IFERROR(VLOOKUP(B447,cubo!$A$6:$BE$37,29,0)-VLOOKUP(B447,#REF!,$AB$2,0),0)</f>
        <v>0</v>
      </c>
      <c r="AC447" s="9">
        <f>IFERROR(VLOOKUP(B447,cubo!$A$6:$BE$37,30,0)-VLOOKUP(B447,#REF!,$AC$2,0),0)</f>
        <v>0</v>
      </c>
      <c r="AD447" s="9">
        <f>IFERROR(VLOOKUP(B447,cubo!$A$6:$BE$37,31,0)-VLOOKUP(B447,#REF!,$AD$2,0),0)</f>
        <v>0</v>
      </c>
      <c r="AE447" s="9">
        <f>IFERROR(VLOOKUP(B447,cubo!$A$6:$BE$37,35,0)-VLOOKUP(B447,#REF!,$AE$2,0),0)</f>
        <v>0</v>
      </c>
      <c r="AF447" s="9" cm="1">
        <f t="array" aca="1" ref="AF447" ca="1">IFERROR(rrPROCV(B447,cubo!$A$6:$BE$37,48,0)-VLOOKUP(B447,#REF!,$AF$2,0),0)</f>
        <v>0</v>
      </c>
      <c r="AG447" s="9">
        <f>IFERROR(VLOOKUP(B447,cubo!$A$6:$BE$37,49,0)-VLOOKUP(B447,#REF!,$AG$2,0),0)</f>
        <v>0</v>
      </c>
      <c r="AH447" s="9">
        <f>IFERROR(VLOOKUP(B447,cubo!$A$6:$BE$37,50,0)-VLOOKUP(B447,#REF!,$AH$2,0),0)</f>
        <v>0</v>
      </c>
      <c r="AI447" s="9">
        <f>IFERROR(VLOOKUP(B447,cubo!$A$6:$BE$37,51,0)-VLOOKUP(B447,#REF!,$AI$2,0),0)</f>
        <v>0</v>
      </c>
      <c r="AJ447" s="9">
        <f>IFERROR(VLOOKUP(B447,cubo!$A$6:$BI$116,62,0)-VLOOKUP(B447,#REF!,$AJ$2,0),0)</f>
        <v>0</v>
      </c>
      <c r="AK447" s="9">
        <f>IFERROR(VLOOKUP(B447,cubo!$A$6:$BJ$37,63,0)-VLOOKUP(B447,#REF!,$AK$2,0),0)</f>
        <v>0</v>
      </c>
      <c r="AL447" s="9">
        <f>IFERROR(VLOOKUP(B447,cubo!$A$6:$BE$37,58,0)-VLOOKUP(B447,#REF!,$AL$2,0),0)</f>
        <v>0</v>
      </c>
      <c r="AM447" s="9">
        <f>IFERROR(VLOOKUP(B447,cubo!$A$6:$BK$37,64,0)-VLOOKUP(B447,#REF!,$AM$2,0),0)</f>
        <v>0</v>
      </c>
      <c r="AN447" s="9">
        <f>IFERROR(VLOOKUP(B447,cubo!$A$6:$AN$37,41,0)-VLOOKUP(B447,#REF!,$AN$2,0),0)</f>
        <v>0</v>
      </c>
    </row>
    <row r="448" spans="2:40" x14ac:dyDescent="0.25">
      <c r="B448" s="7">
        <f>[1]salario!A447</f>
        <v>0</v>
      </c>
      <c r="C448" s="8">
        <f>[1]salario!C447</f>
        <v>0</v>
      </c>
      <c r="D448" s="9">
        <f>IFERROR(VLOOKUP(B448,cubo!$A$6:$BE$37,3,0)-VLOOKUP(B448,#REF!,$D$2,0),0)</f>
        <v>0</v>
      </c>
      <c r="E448" s="10">
        <f>IFERROR(VLOOKUP(B448,cubo!$A$6:$BE$37,5,0)-VLOOKUP(B448,#REF!,$E$2,0),0)</f>
        <v>0</v>
      </c>
      <c r="F448" s="10">
        <f>IFERROR(VLOOKUP(B448,cubo!$A$6:$BE$37,8,0)-VLOOKUP(B448,#REF!,$F$2,0),0)</f>
        <v>0</v>
      </c>
      <c r="G448" s="9">
        <f>IFERROR(VLOOKUP(B448,cubo!$A$6:$BE$37,11,0)-VLOOKUP(B448,#REF!,$G$2,0),0)</f>
        <v>0</v>
      </c>
      <c r="H448" s="9">
        <f>IFERROR(VLOOKUP(B448,cubo!$A$6:$BE$37,53,0)-VLOOKUP(B448,#REF!,$H$2,0),0)</f>
        <v>0</v>
      </c>
      <c r="I448" s="10">
        <f>IFERROR(VLOOKUP(B448,cubo!$A$6:$BE$37,14,0)-VLOOKUP(B448,#REF!,$I$2,0),0)</f>
        <v>0</v>
      </c>
      <c r="J448" s="9">
        <f>IFERROR(VLOOKUP(B448,cubo!$A$6:$BE$37,16,0)-VLOOKUP(B448,#REF!,$J$2,0),0)</f>
        <v>0</v>
      </c>
      <c r="K448" s="9">
        <f>IFERROR(VLOOKUP(B448,cubo!$A$6:$BE$37,17,0)-VLOOKUP(B448,#REF!,$K$2,0),0)</f>
        <v>0</v>
      </c>
      <c r="L448" s="9">
        <f>IFERROR(VLOOKUP(B448,cubo!$A$6:$BE$37,19,0)-VLOOKUP(B448,#REF!,$L$2,0),0)</f>
        <v>0</v>
      </c>
      <c r="M448" s="9">
        <f>IFERROR(VLOOKUP(B448,cubo!$A$6:$BE$37,23,0)-VLOOKUP(B448,#REF!,$M$2,0),0)</f>
        <v>0</v>
      </c>
      <c r="N448" s="9">
        <f>IFERROR(VLOOKUP(B448,cubo!$A$6:$BE$37,25,0)-VLOOKUP(B448,#REF!,$N$2,0),0)</f>
        <v>0</v>
      </c>
      <c r="O448" s="9">
        <f>IFERROR(VLOOKUP(B448,cubo!$A$6:$BE$37,33,0)-VLOOKUP(B448,#REF!,$O$2,0),0)</f>
        <v>0</v>
      </c>
      <c r="P448" s="8">
        <f>IFERROR(VLOOKUP(B448,cubo!$A$6:$BE$37,37,0)-VLOOKUP(B448,#REF!,$P$2,0),0)</f>
        <v>0</v>
      </c>
      <c r="Q448" s="8">
        <f>IFERROR(VLOOKUP(B448,cubo!$A$6:$BE$37,56,0)-VLOOKUP(B448,#REF!,$Q$2,0),0)</f>
        <v>0</v>
      </c>
      <c r="R448" s="9">
        <f>IFERROR(VLOOKUP(B448,cubo!$A$6:$BE$37,40,0)-VLOOKUP(B448,#REF!,$R$2,0),0)</f>
        <v>0</v>
      </c>
      <c r="S448" s="9">
        <f>IFERROR(VLOOKUP(B448,cubo!$A$6:$BE$37,43,0)-VLOOKUP(B448,#REF!,$S$2,0),0)</f>
        <v>0</v>
      </c>
      <c r="T448" s="9">
        <f>IFERROR(VLOOKUP(B448,cubo!$A$6:$BE$37,46,0)-VLOOKUP(B448,#REF!,$T$2,0),0)</f>
        <v>0</v>
      </c>
      <c r="U448" s="9">
        <f>IFERROR(VLOOKUP(B448,cubo!$A$6:$BE$37,51,0)-VLOOKUP(B448,#REF!,$U$2,0),0)</f>
        <v>0</v>
      </c>
      <c r="V448" s="9">
        <f>IFERROR(VLOOKUP(B448,cubo!$A$6:$BJ$37,60,0)-VLOOKUP(B448,#REF!,$V$2,0),0)</f>
        <v>0</v>
      </c>
      <c r="W448" s="9">
        <f>IFERROR(VLOOKUP(B448,cubo!$A$6:$BE$37,26,0)-VLOOKUP(B448,#REF!,$W$2,0),0)</f>
        <v>0</v>
      </c>
      <c r="X448" s="9">
        <f>IFERROR(VLOOKUP(B448,cubo!$A$6:$BE$37,20,0)-VLOOKUP(B448,#REF!,$X$2,0),0)</f>
        <v>0</v>
      </c>
      <c r="Y448" s="9">
        <f>IFERROR(VLOOKUP(B448,cubo!$A$6:$BE$37,21,0)-VLOOKUP(B448,#REF!,$Y$2,0),0)</f>
        <v>0</v>
      </c>
      <c r="Z448" s="9">
        <f>IFERROR(VLOOKUP(B448,cubo!$A$6:$BE$37,27,0)-VLOOKUP(B448,#REF!,$Z$2,0),0)</f>
        <v>0</v>
      </c>
      <c r="AA448" s="9">
        <f>IFERROR(VLOOKUP(B448,cubo!$A$6:$BE$37,28,0)-VLOOKUP(B448,#REF!,$AA$2,0),0)</f>
        <v>0</v>
      </c>
      <c r="AB448" s="9">
        <f>IFERROR(VLOOKUP(B448,cubo!$A$6:$BE$37,29,0)-VLOOKUP(B448,#REF!,$AB$2,0),0)</f>
        <v>0</v>
      </c>
      <c r="AC448" s="9">
        <f>IFERROR(VLOOKUP(B448,cubo!$A$6:$BE$37,30,0)-VLOOKUP(B448,#REF!,$AC$2,0),0)</f>
        <v>0</v>
      </c>
      <c r="AD448" s="9">
        <f>IFERROR(VLOOKUP(B448,cubo!$A$6:$BE$37,31,0)-VLOOKUP(B448,#REF!,$AD$2,0),0)</f>
        <v>0</v>
      </c>
      <c r="AE448" s="9">
        <f>IFERROR(VLOOKUP(B448,cubo!$A$6:$BE$37,35,0)-VLOOKUP(B448,#REF!,$AE$2,0),0)</f>
        <v>0</v>
      </c>
      <c r="AF448" s="9" cm="1">
        <f t="array" aca="1" ref="AF448" ca="1">IFERROR(rrPROCV(B448,cubo!$A$6:$BE$37,48,0)-VLOOKUP(B448,#REF!,$AF$2,0),0)</f>
        <v>0</v>
      </c>
      <c r="AG448" s="9">
        <f>IFERROR(VLOOKUP(B448,cubo!$A$6:$BE$37,49,0)-VLOOKUP(B448,#REF!,$AG$2,0),0)</f>
        <v>0</v>
      </c>
      <c r="AH448" s="9">
        <f>IFERROR(VLOOKUP(B448,cubo!$A$6:$BE$37,50,0)-VLOOKUP(B448,#REF!,$AH$2,0),0)</f>
        <v>0</v>
      </c>
      <c r="AI448" s="9">
        <f>IFERROR(VLOOKUP(B448,cubo!$A$6:$BE$37,51,0)-VLOOKUP(B448,#REF!,$AI$2,0),0)</f>
        <v>0</v>
      </c>
      <c r="AJ448" s="9">
        <f>IFERROR(VLOOKUP(B448,cubo!$A$6:$BI$116,62,0)-VLOOKUP(B448,#REF!,$AJ$2,0),0)</f>
        <v>0</v>
      </c>
      <c r="AK448" s="9">
        <f>IFERROR(VLOOKUP(B448,cubo!$A$6:$BJ$37,63,0)-VLOOKUP(B448,#REF!,$AK$2,0),0)</f>
        <v>0</v>
      </c>
      <c r="AL448" s="9">
        <f>IFERROR(VLOOKUP(B448,cubo!$A$6:$BE$37,58,0)-VLOOKUP(B448,#REF!,$AL$2,0),0)</f>
        <v>0</v>
      </c>
      <c r="AM448" s="9">
        <f>IFERROR(VLOOKUP(B448,cubo!$A$6:$BK$37,64,0)-VLOOKUP(B448,#REF!,$AM$2,0),0)</f>
        <v>0</v>
      </c>
      <c r="AN448" s="9">
        <f>IFERROR(VLOOKUP(B448,cubo!$A$6:$AN$37,41,0)-VLOOKUP(B448,#REF!,$AN$2,0),0)</f>
        <v>0</v>
      </c>
    </row>
    <row r="449" spans="2:40" x14ac:dyDescent="0.25">
      <c r="B449" s="7">
        <f>[1]salario!A448</f>
        <v>0</v>
      </c>
      <c r="C449" s="8">
        <f>[1]salario!C448</f>
        <v>0</v>
      </c>
      <c r="D449" s="9">
        <f>IFERROR(VLOOKUP(B449,cubo!$A$6:$BE$37,3,0)-VLOOKUP(B449,#REF!,$D$2,0),0)</f>
        <v>0</v>
      </c>
      <c r="E449" s="10">
        <f>IFERROR(VLOOKUP(B449,cubo!$A$6:$BE$37,5,0)-VLOOKUP(B449,#REF!,$E$2,0),0)</f>
        <v>0</v>
      </c>
      <c r="F449" s="10">
        <f>IFERROR(VLOOKUP(B449,cubo!$A$6:$BE$37,8,0)-VLOOKUP(B449,#REF!,$F$2,0),0)</f>
        <v>0</v>
      </c>
      <c r="G449" s="9">
        <f>IFERROR(VLOOKUP(B449,cubo!$A$6:$BE$37,11,0)-VLOOKUP(B449,#REF!,$G$2,0),0)</f>
        <v>0</v>
      </c>
      <c r="H449" s="9">
        <f>IFERROR(VLOOKUP(B449,cubo!$A$6:$BE$37,53,0)-VLOOKUP(B449,#REF!,$H$2,0),0)</f>
        <v>0</v>
      </c>
      <c r="I449" s="10">
        <f>IFERROR(VLOOKUP(B449,cubo!$A$6:$BE$37,14,0)-VLOOKUP(B449,#REF!,$I$2,0),0)</f>
        <v>0</v>
      </c>
      <c r="J449" s="9">
        <f>IFERROR(VLOOKUP(B449,cubo!$A$6:$BE$37,16,0)-VLOOKUP(B449,#REF!,$J$2,0),0)</f>
        <v>0</v>
      </c>
      <c r="K449" s="9">
        <f>IFERROR(VLOOKUP(B449,cubo!$A$6:$BE$37,17,0)-VLOOKUP(B449,#REF!,$K$2,0),0)</f>
        <v>0</v>
      </c>
      <c r="L449" s="9">
        <f>IFERROR(VLOOKUP(B449,cubo!$A$6:$BE$37,19,0)-VLOOKUP(B449,#REF!,$L$2,0),0)</f>
        <v>0</v>
      </c>
      <c r="M449" s="9">
        <f>IFERROR(VLOOKUP(B449,cubo!$A$6:$BE$37,23,0)-VLOOKUP(B449,#REF!,$M$2,0),0)</f>
        <v>0</v>
      </c>
      <c r="N449" s="9">
        <f>IFERROR(VLOOKUP(B449,cubo!$A$6:$BE$37,25,0)-VLOOKUP(B449,#REF!,$N$2,0),0)</f>
        <v>0</v>
      </c>
      <c r="O449" s="9">
        <f>IFERROR(VLOOKUP(B449,cubo!$A$6:$BE$37,33,0)-VLOOKUP(B449,#REF!,$O$2,0),0)</f>
        <v>0</v>
      </c>
      <c r="P449" s="8">
        <f>IFERROR(VLOOKUP(B449,cubo!$A$6:$BE$37,37,0)-VLOOKUP(B449,#REF!,$P$2,0),0)</f>
        <v>0</v>
      </c>
      <c r="Q449" s="8">
        <f>IFERROR(VLOOKUP(B449,cubo!$A$6:$BE$37,56,0)-VLOOKUP(B449,#REF!,$Q$2,0),0)</f>
        <v>0</v>
      </c>
      <c r="R449" s="9">
        <f>IFERROR(VLOOKUP(B449,cubo!$A$6:$BE$37,40,0)-VLOOKUP(B449,#REF!,$R$2,0),0)</f>
        <v>0</v>
      </c>
      <c r="S449" s="9">
        <f>IFERROR(VLOOKUP(B449,cubo!$A$6:$BE$37,43,0)-VLOOKUP(B449,#REF!,$S$2,0),0)</f>
        <v>0</v>
      </c>
      <c r="T449" s="9">
        <f>IFERROR(VLOOKUP(B449,cubo!$A$6:$BE$37,46,0)-VLOOKUP(B449,#REF!,$T$2,0),0)</f>
        <v>0</v>
      </c>
      <c r="U449" s="9">
        <f>IFERROR(VLOOKUP(B449,cubo!$A$6:$BE$37,51,0)-VLOOKUP(B449,#REF!,$U$2,0),0)</f>
        <v>0</v>
      </c>
      <c r="V449" s="9">
        <f>IFERROR(VLOOKUP(B449,cubo!$A$6:$BJ$37,60,0)-VLOOKUP(B449,#REF!,$V$2,0),0)</f>
        <v>0</v>
      </c>
      <c r="W449" s="9">
        <f>IFERROR(VLOOKUP(B449,cubo!$A$6:$BE$37,26,0)-VLOOKUP(B449,#REF!,$W$2,0),0)</f>
        <v>0</v>
      </c>
      <c r="X449" s="9">
        <f>IFERROR(VLOOKUP(B449,cubo!$A$6:$BE$37,20,0)-VLOOKUP(B449,#REF!,$X$2,0),0)</f>
        <v>0</v>
      </c>
      <c r="Y449" s="9">
        <f>IFERROR(VLOOKUP(B449,cubo!$A$6:$BE$37,21,0)-VLOOKUP(B449,#REF!,$Y$2,0),0)</f>
        <v>0</v>
      </c>
      <c r="Z449" s="9">
        <f>IFERROR(VLOOKUP(B449,cubo!$A$6:$BE$37,27,0)-VLOOKUP(B449,#REF!,$Z$2,0),0)</f>
        <v>0</v>
      </c>
      <c r="AA449" s="9">
        <f>IFERROR(VLOOKUP(B449,cubo!$A$6:$BE$37,28,0)-VLOOKUP(B449,#REF!,$AA$2,0),0)</f>
        <v>0</v>
      </c>
      <c r="AB449" s="9">
        <f>IFERROR(VLOOKUP(B449,cubo!$A$6:$BE$37,29,0)-VLOOKUP(B449,#REF!,$AB$2,0),0)</f>
        <v>0</v>
      </c>
      <c r="AC449" s="9">
        <f>IFERROR(VLOOKUP(B449,cubo!$A$6:$BE$37,30,0)-VLOOKUP(B449,#REF!,$AC$2,0),0)</f>
        <v>0</v>
      </c>
      <c r="AD449" s="9">
        <f>IFERROR(VLOOKUP(B449,cubo!$A$6:$BE$37,31,0)-VLOOKUP(B449,#REF!,$AD$2,0),0)</f>
        <v>0</v>
      </c>
      <c r="AE449" s="9">
        <f>IFERROR(VLOOKUP(B449,cubo!$A$6:$BE$37,35,0)-VLOOKUP(B449,#REF!,$AE$2,0),0)</f>
        <v>0</v>
      </c>
      <c r="AF449" s="9" cm="1">
        <f t="array" aca="1" ref="AF449" ca="1">IFERROR(rrPROCV(B449,cubo!$A$6:$BE$37,48,0)-VLOOKUP(B449,#REF!,$AF$2,0),0)</f>
        <v>0</v>
      </c>
      <c r="AG449" s="9">
        <f>IFERROR(VLOOKUP(B449,cubo!$A$6:$BE$37,49,0)-VLOOKUP(B449,#REF!,$AG$2,0),0)</f>
        <v>0</v>
      </c>
      <c r="AH449" s="9">
        <f>IFERROR(VLOOKUP(B449,cubo!$A$6:$BE$37,50,0)-VLOOKUP(B449,#REF!,$AH$2,0),0)</f>
        <v>0</v>
      </c>
      <c r="AI449" s="9">
        <f>IFERROR(VLOOKUP(B449,cubo!$A$6:$BE$37,51,0)-VLOOKUP(B449,#REF!,$AI$2,0),0)</f>
        <v>0</v>
      </c>
      <c r="AJ449" s="9">
        <f>IFERROR(VLOOKUP(B449,cubo!$A$6:$BI$116,62,0)-VLOOKUP(B449,#REF!,$AJ$2,0),0)</f>
        <v>0</v>
      </c>
      <c r="AK449" s="9">
        <f>IFERROR(VLOOKUP(B449,cubo!$A$6:$BJ$37,63,0)-VLOOKUP(B449,#REF!,$AK$2,0),0)</f>
        <v>0</v>
      </c>
      <c r="AL449" s="9">
        <f>IFERROR(VLOOKUP(B449,cubo!$A$6:$BE$37,58,0)-VLOOKUP(B449,#REF!,$AL$2,0),0)</f>
        <v>0</v>
      </c>
      <c r="AM449" s="9">
        <f>IFERROR(VLOOKUP(B449,cubo!$A$6:$BK$37,64,0)-VLOOKUP(B449,#REF!,$AM$2,0),0)</f>
        <v>0</v>
      </c>
      <c r="AN449" s="9">
        <f>IFERROR(VLOOKUP(B449,cubo!$A$6:$AN$37,41,0)-VLOOKUP(B449,#REF!,$AN$2,0),0)</f>
        <v>0</v>
      </c>
    </row>
    <row r="450" spans="2:40" x14ac:dyDescent="0.25">
      <c r="B450" s="7">
        <f>[1]salario!A449</f>
        <v>0</v>
      </c>
      <c r="C450" s="8">
        <f>[1]salario!C449</f>
        <v>0</v>
      </c>
      <c r="D450" s="9">
        <f>IFERROR(VLOOKUP(B450,cubo!$A$6:$BE$37,3,0)-VLOOKUP(B450,#REF!,$D$2,0),0)</f>
        <v>0</v>
      </c>
      <c r="E450" s="10">
        <f>IFERROR(VLOOKUP(B450,cubo!$A$6:$BE$37,5,0)-VLOOKUP(B450,#REF!,$E$2,0),0)</f>
        <v>0</v>
      </c>
      <c r="F450" s="10">
        <f>IFERROR(VLOOKUP(B450,cubo!$A$6:$BE$37,8,0)-VLOOKUP(B450,#REF!,$F$2,0),0)</f>
        <v>0</v>
      </c>
      <c r="G450" s="9">
        <f>IFERROR(VLOOKUP(B450,cubo!$A$6:$BE$37,11,0)-VLOOKUP(B450,#REF!,$G$2,0),0)</f>
        <v>0</v>
      </c>
      <c r="H450" s="9">
        <f>IFERROR(VLOOKUP(B450,cubo!$A$6:$BE$37,53,0)-VLOOKUP(B450,#REF!,$H$2,0),0)</f>
        <v>0</v>
      </c>
      <c r="I450" s="10">
        <f>IFERROR(VLOOKUP(B450,cubo!$A$6:$BE$37,14,0)-VLOOKUP(B450,#REF!,$I$2,0),0)</f>
        <v>0</v>
      </c>
      <c r="J450" s="9">
        <f>IFERROR(VLOOKUP(B450,cubo!$A$6:$BE$37,16,0)-VLOOKUP(B450,#REF!,$J$2,0),0)</f>
        <v>0</v>
      </c>
      <c r="K450" s="9">
        <f>IFERROR(VLOOKUP(B450,cubo!$A$6:$BE$37,17,0)-VLOOKUP(B450,#REF!,$K$2,0),0)</f>
        <v>0</v>
      </c>
      <c r="L450" s="9">
        <f>IFERROR(VLOOKUP(B450,cubo!$A$6:$BE$37,19,0)-VLOOKUP(B450,#REF!,$L$2,0),0)</f>
        <v>0</v>
      </c>
      <c r="M450" s="9">
        <f>IFERROR(VLOOKUP(B450,cubo!$A$6:$BE$37,23,0)-VLOOKUP(B450,#REF!,$M$2,0),0)</f>
        <v>0</v>
      </c>
      <c r="N450" s="9">
        <f>IFERROR(VLOOKUP(B450,cubo!$A$6:$BE$37,25,0)-VLOOKUP(B450,#REF!,$N$2,0),0)</f>
        <v>0</v>
      </c>
      <c r="O450" s="9">
        <f>IFERROR(VLOOKUP(B450,cubo!$A$6:$BE$37,33,0)-VLOOKUP(B450,#REF!,$O$2,0),0)</f>
        <v>0</v>
      </c>
      <c r="P450" s="8">
        <f>IFERROR(VLOOKUP(B450,cubo!$A$6:$BE$37,37,0)-VLOOKUP(B450,#REF!,$P$2,0),0)</f>
        <v>0</v>
      </c>
      <c r="Q450" s="8">
        <f>IFERROR(VLOOKUP(B450,cubo!$A$6:$BE$37,56,0)-VLOOKUP(B450,#REF!,$Q$2,0),0)</f>
        <v>0</v>
      </c>
      <c r="R450" s="9">
        <f>IFERROR(VLOOKUP(B450,cubo!$A$6:$BE$37,40,0)-VLOOKUP(B450,#REF!,$R$2,0),0)</f>
        <v>0</v>
      </c>
      <c r="S450" s="9">
        <f>IFERROR(VLOOKUP(B450,cubo!$A$6:$BE$37,43,0)-VLOOKUP(B450,#REF!,$S$2,0),0)</f>
        <v>0</v>
      </c>
      <c r="T450" s="9">
        <f>IFERROR(VLOOKUP(B450,cubo!$A$6:$BE$37,46,0)-VLOOKUP(B450,#REF!,$T$2,0),0)</f>
        <v>0</v>
      </c>
      <c r="U450" s="9">
        <f>IFERROR(VLOOKUP(B450,cubo!$A$6:$BE$37,51,0)-VLOOKUP(B450,#REF!,$U$2,0),0)</f>
        <v>0</v>
      </c>
      <c r="V450" s="9">
        <f>IFERROR(VLOOKUP(B450,cubo!$A$6:$BJ$37,60,0)-VLOOKUP(B450,#REF!,$V$2,0),0)</f>
        <v>0</v>
      </c>
      <c r="W450" s="9">
        <f>IFERROR(VLOOKUP(B450,cubo!$A$6:$BE$37,26,0)-VLOOKUP(B450,#REF!,$W$2,0),0)</f>
        <v>0</v>
      </c>
      <c r="X450" s="9">
        <f>IFERROR(VLOOKUP(B450,cubo!$A$6:$BE$37,20,0)-VLOOKUP(B450,#REF!,$X$2,0),0)</f>
        <v>0</v>
      </c>
      <c r="Y450" s="9">
        <f>IFERROR(VLOOKUP(B450,cubo!$A$6:$BE$37,21,0)-VLOOKUP(B450,#REF!,$Y$2,0),0)</f>
        <v>0</v>
      </c>
      <c r="Z450" s="9">
        <f>IFERROR(VLOOKUP(B450,cubo!$A$6:$BE$37,27,0)-VLOOKUP(B450,#REF!,$Z$2,0),0)</f>
        <v>0</v>
      </c>
      <c r="AA450" s="9">
        <f>IFERROR(VLOOKUP(B450,cubo!$A$6:$BE$37,28,0)-VLOOKUP(B450,#REF!,$AA$2,0),0)</f>
        <v>0</v>
      </c>
      <c r="AB450" s="9">
        <f>IFERROR(VLOOKUP(B450,cubo!$A$6:$BE$37,29,0)-VLOOKUP(B450,#REF!,$AB$2,0),0)</f>
        <v>0</v>
      </c>
      <c r="AC450" s="9">
        <f>IFERROR(VLOOKUP(B450,cubo!$A$6:$BE$37,30,0)-VLOOKUP(B450,#REF!,$AC$2,0),0)</f>
        <v>0</v>
      </c>
      <c r="AD450" s="9">
        <f>IFERROR(VLOOKUP(B450,cubo!$A$6:$BE$37,31,0)-VLOOKUP(B450,#REF!,$AD$2,0),0)</f>
        <v>0</v>
      </c>
      <c r="AE450" s="9">
        <f>IFERROR(VLOOKUP(B450,cubo!$A$6:$BE$37,35,0)-VLOOKUP(B450,#REF!,$AE$2,0),0)</f>
        <v>0</v>
      </c>
      <c r="AF450" s="9" cm="1">
        <f t="array" aca="1" ref="AF450" ca="1">IFERROR(rrPROCV(B450,cubo!$A$6:$BE$37,48,0)-VLOOKUP(B450,#REF!,$AF$2,0),0)</f>
        <v>0</v>
      </c>
      <c r="AG450" s="9">
        <f>IFERROR(VLOOKUP(B450,cubo!$A$6:$BE$37,49,0)-VLOOKUP(B450,#REF!,$AG$2,0),0)</f>
        <v>0</v>
      </c>
      <c r="AH450" s="9">
        <f>IFERROR(VLOOKUP(B450,cubo!$A$6:$BE$37,50,0)-VLOOKUP(B450,#REF!,$AH$2,0),0)</f>
        <v>0</v>
      </c>
      <c r="AI450" s="9">
        <f>IFERROR(VLOOKUP(B450,cubo!$A$6:$BE$37,51,0)-VLOOKUP(B450,#REF!,$AI$2,0),0)</f>
        <v>0</v>
      </c>
      <c r="AJ450" s="9">
        <f>IFERROR(VLOOKUP(B450,cubo!$A$6:$BI$116,62,0)-VLOOKUP(B450,#REF!,$AJ$2,0),0)</f>
        <v>0</v>
      </c>
      <c r="AK450" s="9">
        <f>IFERROR(VLOOKUP(B450,cubo!$A$6:$BJ$37,63,0)-VLOOKUP(B450,#REF!,$AK$2,0),0)</f>
        <v>0</v>
      </c>
      <c r="AL450" s="9">
        <f>IFERROR(VLOOKUP(B450,cubo!$A$6:$BE$37,58,0)-VLOOKUP(B450,#REF!,$AL$2,0),0)</f>
        <v>0</v>
      </c>
      <c r="AM450" s="9">
        <f>IFERROR(VLOOKUP(B450,cubo!$A$6:$BK$37,64,0)-VLOOKUP(B450,#REF!,$AM$2,0),0)</f>
        <v>0</v>
      </c>
      <c r="AN450" s="9">
        <f>IFERROR(VLOOKUP(B450,cubo!$A$6:$AN$37,41,0)-VLOOKUP(B450,#REF!,$AN$2,0),0)</f>
        <v>0</v>
      </c>
    </row>
    <row r="451" spans="2:40" x14ac:dyDescent="0.25">
      <c r="B451" s="7">
        <f>[1]salario!A450</f>
        <v>0</v>
      </c>
      <c r="C451" s="8">
        <f>[1]salario!C450</f>
        <v>0</v>
      </c>
      <c r="D451" s="9">
        <f>IFERROR(VLOOKUP(B451,cubo!$A$6:$BE$37,3,0)-VLOOKUP(B451,#REF!,$D$2,0),0)</f>
        <v>0</v>
      </c>
      <c r="E451" s="10">
        <f>IFERROR(VLOOKUP(B451,cubo!$A$6:$BE$37,5,0)-VLOOKUP(B451,#REF!,$E$2,0),0)</f>
        <v>0</v>
      </c>
      <c r="F451" s="10">
        <f>IFERROR(VLOOKUP(B451,cubo!$A$6:$BE$37,8,0)-VLOOKUP(B451,#REF!,$F$2,0),0)</f>
        <v>0</v>
      </c>
      <c r="G451" s="9">
        <f>IFERROR(VLOOKUP(B451,cubo!$A$6:$BE$37,11,0)-VLOOKUP(B451,#REF!,$G$2,0),0)</f>
        <v>0</v>
      </c>
      <c r="H451" s="9">
        <f>IFERROR(VLOOKUP(B451,cubo!$A$6:$BE$37,53,0)-VLOOKUP(B451,#REF!,$H$2,0),0)</f>
        <v>0</v>
      </c>
      <c r="I451" s="10">
        <f>IFERROR(VLOOKUP(B451,cubo!$A$6:$BE$37,14,0)-VLOOKUP(B451,#REF!,$I$2,0),0)</f>
        <v>0</v>
      </c>
      <c r="J451" s="9">
        <f>IFERROR(VLOOKUP(B451,cubo!$A$6:$BE$37,16,0)-VLOOKUP(B451,#REF!,$J$2,0),0)</f>
        <v>0</v>
      </c>
      <c r="K451" s="9">
        <f>IFERROR(VLOOKUP(B451,cubo!$A$6:$BE$37,17,0)-VLOOKUP(B451,#REF!,$K$2,0),0)</f>
        <v>0</v>
      </c>
      <c r="L451" s="9">
        <f>IFERROR(VLOOKUP(B451,cubo!$A$6:$BE$37,19,0)-VLOOKUP(B451,#REF!,$L$2,0),0)</f>
        <v>0</v>
      </c>
      <c r="M451" s="9">
        <f>IFERROR(VLOOKUP(B451,cubo!$A$6:$BE$37,23,0)-VLOOKUP(B451,#REF!,$M$2,0),0)</f>
        <v>0</v>
      </c>
      <c r="N451" s="9">
        <f>IFERROR(VLOOKUP(B451,cubo!$A$6:$BE$37,25,0)-VLOOKUP(B451,#REF!,$N$2,0),0)</f>
        <v>0</v>
      </c>
      <c r="O451" s="9">
        <f>IFERROR(VLOOKUP(B451,cubo!$A$6:$BE$37,33,0)-VLOOKUP(B451,#REF!,$O$2,0),0)</f>
        <v>0</v>
      </c>
      <c r="P451" s="8">
        <f>IFERROR(VLOOKUP(B451,cubo!$A$6:$BE$37,37,0)-VLOOKUP(B451,#REF!,$P$2,0),0)</f>
        <v>0</v>
      </c>
      <c r="Q451" s="8">
        <f>IFERROR(VLOOKUP(B451,cubo!$A$6:$BE$37,56,0)-VLOOKUP(B451,#REF!,$Q$2,0),0)</f>
        <v>0</v>
      </c>
      <c r="R451" s="9">
        <f>IFERROR(VLOOKUP(B451,cubo!$A$6:$BE$37,40,0)-VLOOKUP(B451,#REF!,$R$2,0),0)</f>
        <v>0</v>
      </c>
      <c r="S451" s="9">
        <f>IFERROR(VLOOKUP(B451,cubo!$A$6:$BE$37,43,0)-VLOOKUP(B451,#REF!,$S$2,0),0)</f>
        <v>0</v>
      </c>
      <c r="T451" s="9">
        <f>IFERROR(VLOOKUP(B451,cubo!$A$6:$BE$37,46,0)-VLOOKUP(B451,#REF!,$T$2,0),0)</f>
        <v>0</v>
      </c>
      <c r="U451" s="9">
        <f>IFERROR(VLOOKUP(B451,cubo!$A$6:$BE$37,51,0)-VLOOKUP(B451,#REF!,$U$2,0),0)</f>
        <v>0</v>
      </c>
      <c r="V451" s="9">
        <f>IFERROR(VLOOKUP(B451,cubo!$A$6:$BJ$37,60,0)-VLOOKUP(B451,#REF!,$V$2,0),0)</f>
        <v>0</v>
      </c>
      <c r="W451" s="9">
        <f>IFERROR(VLOOKUP(B451,cubo!$A$6:$BE$37,26,0)-VLOOKUP(B451,#REF!,$W$2,0),0)</f>
        <v>0</v>
      </c>
      <c r="X451" s="9">
        <f>IFERROR(VLOOKUP(B451,cubo!$A$6:$BE$37,20,0)-VLOOKUP(B451,#REF!,$X$2,0),0)</f>
        <v>0</v>
      </c>
      <c r="Y451" s="9">
        <f>IFERROR(VLOOKUP(B451,cubo!$A$6:$BE$37,21,0)-VLOOKUP(B451,#REF!,$Y$2,0),0)</f>
        <v>0</v>
      </c>
      <c r="Z451" s="9">
        <f>IFERROR(VLOOKUP(B451,cubo!$A$6:$BE$37,27,0)-VLOOKUP(B451,#REF!,$Z$2,0),0)</f>
        <v>0</v>
      </c>
      <c r="AA451" s="9">
        <f>IFERROR(VLOOKUP(B451,cubo!$A$6:$BE$37,28,0)-VLOOKUP(B451,#REF!,$AA$2,0),0)</f>
        <v>0</v>
      </c>
      <c r="AB451" s="9">
        <f>IFERROR(VLOOKUP(B451,cubo!$A$6:$BE$37,29,0)-VLOOKUP(B451,#REF!,$AB$2,0),0)</f>
        <v>0</v>
      </c>
      <c r="AC451" s="9">
        <f>IFERROR(VLOOKUP(B451,cubo!$A$6:$BE$37,30,0)-VLOOKUP(B451,#REF!,$AC$2,0),0)</f>
        <v>0</v>
      </c>
      <c r="AD451" s="9">
        <f>IFERROR(VLOOKUP(B451,cubo!$A$6:$BE$37,31,0)-VLOOKUP(B451,#REF!,$AD$2,0),0)</f>
        <v>0</v>
      </c>
      <c r="AE451" s="9">
        <f>IFERROR(VLOOKUP(B451,cubo!$A$6:$BE$37,35,0)-VLOOKUP(B451,#REF!,$AE$2,0),0)</f>
        <v>0</v>
      </c>
      <c r="AF451" s="9" cm="1">
        <f t="array" aca="1" ref="AF451" ca="1">IFERROR(rrPROCV(B451,cubo!$A$6:$BE$37,48,0)-VLOOKUP(B451,#REF!,$AF$2,0),0)</f>
        <v>0</v>
      </c>
      <c r="AG451" s="9">
        <f>IFERROR(VLOOKUP(B451,cubo!$A$6:$BE$37,49,0)-VLOOKUP(B451,#REF!,$AG$2,0),0)</f>
        <v>0</v>
      </c>
      <c r="AH451" s="9">
        <f>IFERROR(VLOOKUP(B451,cubo!$A$6:$BE$37,50,0)-VLOOKUP(B451,#REF!,$AH$2,0),0)</f>
        <v>0</v>
      </c>
      <c r="AI451" s="9">
        <f>IFERROR(VLOOKUP(B451,cubo!$A$6:$BE$37,51,0)-VLOOKUP(B451,#REF!,$AI$2,0),0)</f>
        <v>0</v>
      </c>
      <c r="AJ451" s="9">
        <f>IFERROR(VLOOKUP(B451,cubo!$A$6:$BI$116,62,0)-VLOOKUP(B451,#REF!,$AJ$2,0),0)</f>
        <v>0</v>
      </c>
      <c r="AK451" s="9">
        <f>IFERROR(VLOOKUP(B451,cubo!$A$6:$BJ$37,63,0)-VLOOKUP(B451,#REF!,$AK$2,0),0)</f>
        <v>0</v>
      </c>
      <c r="AL451" s="9">
        <f>IFERROR(VLOOKUP(B451,cubo!$A$6:$BE$37,58,0)-VLOOKUP(B451,#REF!,$AL$2,0),0)</f>
        <v>0</v>
      </c>
      <c r="AM451" s="9">
        <f>IFERROR(VLOOKUP(B451,cubo!$A$6:$BK$37,64,0)-VLOOKUP(B451,#REF!,$AM$2,0),0)</f>
        <v>0</v>
      </c>
      <c r="AN451" s="9">
        <f>IFERROR(VLOOKUP(B451,cubo!$A$6:$AN$37,41,0)-VLOOKUP(B451,#REF!,$AN$2,0),0)</f>
        <v>0</v>
      </c>
    </row>
    <row r="452" spans="2:40" x14ac:dyDescent="0.25">
      <c r="B452" s="7">
        <f>[1]salario!A451</f>
        <v>0</v>
      </c>
      <c r="C452" s="8">
        <f>[1]salario!C451</f>
        <v>0</v>
      </c>
      <c r="D452" s="9">
        <f>IFERROR(VLOOKUP(B452,cubo!$A$6:$BE$37,3,0)-VLOOKUP(B452,#REF!,$D$2,0),0)</f>
        <v>0</v>
      </c>
      <c r="E452" s="10">
        <f>IFERROR(VLOOKUP(B452,cubo!$A$6:$BE$37,5,0)-VLOOKUP(B452,#REF!,$E$2,0),0)</f>
        <v>0</v>
      </c>
      <c r="F452" s="10">
        <f>IFERROR(VLOOKUP(B452,cubo!$A$6:$BE$37,8,0)-VLOOKUP(B452,#REF!,$F$2,0),0)</f>
        <v>0</v>
      </c>
      <c r="G452" s="9">
        <f>IFERROR(VLOOKUP(B452,cubo!$A$6:$BE$37,11,0)-VLOOKUP(B452,#REF!,$G$2,0),0)</f>
        <v>0</v>
      </c>
      <c r="H452" s="9">
        <f>IFERROR(VLOOKUP(B452,cubo!$A$6:$BE$37,53,0)-VLOOKUP(B452,#REF!,$H$2,0),0)</f>
        <v>0</v>
      </c>
      <c r="I452" s="10">
        <f>IFERROR(VLOOKUP(B452,cubo!$A$6:$BE$37,14,0)-VLOOKUP(B452,#REF!,$I$2,0),0)</f>
        <v>0</v>
      </c>
      <c r="J452" s="9">
        <f>IFERROR(VLOOKUP(B452,cubo!$A$6:$BE$37,16,0)-VLOOKUP(B452,#REF!,$J$2,0),0)</f>
        <v>0</v>
      </c>
      <c r="K452" s="9">
        <f>IFERROR(VLOOKUP(B452,cubo!$A$6:$BE$37,17,0)-VLOOKUP(B452,#REF!,$K$2,0),0)</f>
        <v>0</v>
      </c>
      <c r="L452" s="9">
        <f>IFERROR(VLOOKUP(B452,cubo!$A$6:$BE$37,19,0)-VLOOKUP(B452,#REF!,$L$2,0),0)</f>
        <v>0</v>
      </c>
      <c r="M452" s="9">
        <f>IFERROR(VLOOKUP(B452,cubo!$A$6:$BE$37,23,0)-VLOOKUP(B452,#REF!,$M$2,0),0)</f>
        <v>0</v>
      </c>
      <c r="N452" s="9">
        <f>IFERROR(VLOOKUP(B452,cubo!$A$6:$BE$37,25,0)-VLOOKUP(B452,#REF!,$N$2,0),0)</f>
        <v>0</v>
      </c>
      <c r="O452" s="9">
        <f>IFERROR(VLOOKUP(B452,cubo!$A$6:$BE$37,33,0)-VLOOKUP(B452,#REF!,$O$2,0),0)</f>
        <v>0</v>
      </c>
      <c r="P452" s="8">
        <f>IFERROR(VLOOKUP(B452,cubo!$A$6:$BE$37,37,0)-VLOOKUP(B452,#REF!,$P$2,0),0)</f>
        <v>0</v>
      </c>
      <c r="Q452" s="8">
        <f>IFERROR(VLOOKUP(B452,cubo!$A$6:$BE$37,56,0)-VLOOKUP(B452,#REF!,$Q$2,0),0)</f>
        <v>0</v>
      </c>
      <c r="R452" s="9">
        <f>IFERROR(VLOOKUP(B452,cubo!$A$6:$BE$37,40,0)-VLOOKUP(B452,#REF!,$R$2,0),0)</f>
        <v>0</v>
      </c>
      <c r="S452" s="9">
        <f>IFERROR(VLOOKUP(B452,cubo!$A$6:$BE$37,43,0)-VLOOKUP(B452,#REF!,$S$2,0),0)</f>
        <v>0</v>
      </c>
      <c r="T452" s="9">
        <f>IFERROR(VLOOKUP(B452,cubo!$A$6:$BE$37,46,0)-VLOOKUP(B452,#REF!,$T$2,0),0)</f>
        <v>0</v>
      </c>
      <c r="U452" s="9">
        <f>IFERROR(VLOOKUP(B452,cubo!$A$6:$BE$37,51,0)-VLOOKUP(B452,#REF!,$U$2,0),0)</f>
        <v>0</v>
      </c>
      <c r="V452" s="9">
        <f>IFERROR(VLOOKUP(B452,cubo!$A$6:$BJ$37,60,0)-VLOOKUP(B452,#REF!,$V$2,0),0)</f>
        <v>0</v>
      </c>
      <c r="W452" s="9">
        <f>IFERROR(VLOOKUP(B452,cubo!$A$6:$BE$37,26,0)-VLOOKUP(B452,#REF!,$W$2,0),0)</f>
        <v>0</v>
      </c>
      <c r="X452" s="9">
        <f>IFERROR(VLOOKUP(B452,cubo!$A$6:$BE$37,20,0)-VLOOKUP(B452,#REF!,$X$2,0),0)</f>
        <v>0</v>
      </c>
      <c r="Y452" s="9">
        <f>IFERROR(VLOOKUP(B452,cubo!$A$6:$BE$37,21,0)-VLOOKUP(B452,#REF!,$Y$2,0),0)</f>
        <v>0</v>
      </c>
      <c r="Z452" s="9">
        <f>IFERROR(VLOOKUP(B452,cubo!$A$6:$BE$37,27,0)-VLOOKUP(B452,#REF!,$Z$2,0),0)</f>
        <v>0</v>
      </c>
      <c r="AA452" s="9">
        <f>IFERROR(VLOOKUP(B452,cubo!$A$6:$BE$37,28,0)-VLOOKUP(B452,#REF!,$AA$2,0),0)</f>
        <v>0</v>
      </c>
      <c r="AB452" s="9">
        <f>IFERROR(VLOOKUP(B452,cubo!$A$6:$BE$37,29,0)-VLOOKUP(B452,#REF!,$AB$2,0),0)</f>
        <v>0</v>
      </c>
      <c r="AC452" s="9">
        <f>IFERROR(VLOOKUP(B452,cubo!$A$6:$BE$37,30,0)-VLOOKUP(B452,#REF!,$AC$2,0),0)</f>
        <v>0</v>
      </c>
      <c r="AD452" s="9">
        <f>IFERROR(VLOOKUP(B452,cubo!$A$6:$BE$37,31,0)-VLOOKUP(B452,#REF!,$AD$2,0),0)</f>
        <v>0</v>
      </c>
      <c r="AE452" s="9">
        <f>IFERROR(VLOOKUP(B452,cubo!$A$6:$BE$37,35,0)-VLOOKUP(B452,#REF!,$AE$2,0),0)</f>
        <v>0</v>
      </c>
      <c r="AF452" s="9" cm="1">
        <f t="array" aca="1" ref="AF452" ca="1">IFERROR(rrPROCV(B452,cubo!$A$6:$BE$37,48,0)-VLOOKUP(B452,#REF!,$AF$2,0),0)</f>
        <v>0</v>
      </c>
      <c r="AG452" s="9">
        <f>IFERROR(VLOOKUP(B452,cubo!$A$6:$BE$37,49,0)-VLOOKUP(B452,#REF!,$AG$2,0),0)</f>
        <v>0</v>
      </c>
      <c r="AH452" s="9">
        <f>IFERROR(VLOOKUP(B452,cubo!$A$6:$BE$37,50,0)-VLOOKUP(B452,#REF!,$AH$2,0),0)</f>
        <v>0</v>
      </c>
      <c r="AI452" s="9">
        <f>IFERROR(VLOOKUP(B452,cubo!$A$6:$BE$37,51,0)-VLOOKUP(B452,#REF!,$AI$2,0),0)</f>
        <v>0</v>
      </c>
      <c r="AJ452" s="9">
        <f>IFERROR(VLOOKUP(B452,cubo!$A$6:$BI$116,62,0)-VLOOKUP(B452,#REF!,$AJ$2,0),0)</f>
        <v>0</v>
      </c>
      <c r="AK452" s="9">
        <f>IFERROR(VLOOKUP(B452,cubo!$A$6:$BJ$37,63,0)-VLOOKUP(B452,#REF!,$AK$2,0),0)</f>
        <v>0</v>
      </c>
      <c r="AL452" s="9">
        <f>IFERROR(VLOOKUP(B452,cubo!$A$6:$BE$37,58,0)-VLOOKUP(B452,#REF!,$AL$2,0),0)</f>
        <v>0</v>
      </c>
      <c r="AM452" s="9">
        <f>IFERROR(VLOOKUP(B452,cubo!$A$6:$BK$37,64,0)-VLOOKUP(B452,#REF!,$AM$2,0),0)</f>
        <v>0</v>
      </c>
      <c r="AN452" s="9">
        <f>IFERROR(VLOOKUP(B452,cubo!$A$6:$AN$37,41,0)-VLOOKUP(B452,#REF!,$AN$2,0),0)</f>
        <v>0</v>
      </c>
    </row>
    <row r="453" spans="2:40" x14ac:dyDescent="0.25">
      <c r="B453" s="7">
        <f>[1]salario!A452</f>
        <v>0</v>
      </c>
      <c r="C453" s="8">
        <f>[1]salario!C452</f>
        <v>0</v>
      </c>
      <c r="D453" s="9">
        <f>IFERROR(VLOOKUP(B453,cubo!$A$6:$BE$37,3,0)-VLOOKUP(B453,#REF!,$D$2,0),0)</f>
        <v>0</v>
      </c>
      <c r="E453" s="10">
        <f>IFERROR(VLOOKUP(B453,cubo!$A$6:$BE$37,5,0)-VLOOKUP(B453,#REF!,$E$2,0),0)</f>
        <v>0</v>
      </c>
      <c r="F453" s="10">
        <f>IFERROR(VLOOKUP(B453,cubo!$A$6:$BE$37,8,0)-VLOOKUP(B453,#REF!,$F$2,0),0)</f>
        <v>0</v>
      </c>
      <c r="G453" s="9">
        <f>IFERROR(VLOOKUP(B453,cubo!$A$6:$BE$37,11,0)-VLOOKUP(B453,#REF!,$G$2,0),0)</f>
        <v>0</v>
      </c>
      <c r="H453" s="9">
        <f>IFERROR(VLOOKUP(B453,cubo!$A$6:$BE$37,53,0)-VLOOKUP(B453,#REF!,$H$2,0),0)</f>
        <v>0</v>
      </c>
      <c r="I453" s="10">
        <f>IFERROR(VLOOKUP(B453,cubo!$A$6:$BE$37,14,0)-VLOOKUP(B453,#REF!,$I$2,0),0)</f>
        <v>0</v>
      </c>
      <c r="J453" s="9">
        <f>IFERROR(VLOOKUP(B453,cubo!$A$6:$BE$37,16,0)-VLOOKUP(B453,#REF!,$J$2,0),0)</f>
        <v>0</v>
      </c>
      <c r="K453" s="9">
        <f>IFERROR(VLOOKUP(B453,cubo!$A$6:$BE$37,17,0)-VLOOKUP(B453,#REF!,$K$2,0),0)</f>
        <v>0</v>
      </c>
      <c r="L453" s="9">
        <f>IFERROR(VLOOKUP(B453,cubo!$A$6:$BE$37,19,0)-VLOOKUP(B453,#REF!,$L$2,0),0)</f>
        <v>0</v>
      </c>
      <c r="M453" s="9">
        <f>IFERROR(VLOOKUP(B453,cubo!$A$6:$BE$37,23,0)-VLOOKUP(B453,#REF!,$M$2,0),0)</f>
        <v>0</v>
      </c>
      <c r="N453" s="9">
        <f>IFERROR(VLOOKUP(B453,cubo!$A$6:$BE$37,25,0)-VLOOKUP(B453,#REF!,$N$2,0),0)</f>
        <v>0</v>
      </c>
      <c r="O453" s="9">
        <f>IFERROR(VLOOKUP(B453,cubo!$A$6:$BE$37,33,0)-VLOOKUP(B453,#REF!,$O$2,0),0)</f>
        <v>0</v>
      </c>
      <c r="P453" s="8">
        <f>IFERROR(VLOOKUP(B453,cubo!$A$6:$BE$37,37,0)-VLOOKUP(B453,#REF!,$P$2,0),0)</f>
        <v>0</v>
      </c>
      <c r="Q453" s="8">
        <f>IFERROR(VLOOKUP(B453,cubo!$A$6:$BE$37,56,0)-VLOOKUP(B453,#REF!,$Q$2,0),0)</f>
        <v>0</v>
      </c>
      <c r="R453" s="9">
        <f>IFERROR(VLOOKUP(B453,cubo!$A$6:$BE$37,40,0)-VLOOKUP(B453,#REF!,$R$2,0),0)</f>
        <v>0</v>
      </c>
      <c r="S453" s="9">
        <f>IFERROR(VLOOKUP(B453,cubo!$A$6:$BE$37,43,0)-VLOOKUP(B453,#REF!,$S$2,0),0)</f>
        <v>0</v>
      </c>
      <c r="T453" s="9">
        <f>IFERROR(VLOOKUP(B453,cubo!$A$6:$BE$37,46,0)-VLOOKUP(B453,#REF!,$T$2,0),0)</f>
        <v>0</v>
      </c>
      <c r="U453" s="9">
        <f>IFERROR(VLOOKUP(B453,cubo!$A$6:$BE$37,51,0)-VLOOKUP(B453,#REF!,$U$2,0),0)</f>
        <v>0</v>
      </c>
      <c r="V453" s="9">
        <f>IFERROR(VLOOKUP(B453,cubo!$A$6:$BJ$37,60,0)-VLOOKUP(B453,#REF!,$V$2,0),0)</f>
        <v>0</v>
      </c>
      <c r="W453" s="9">
        <f>IFERROR(VLOOKUP(B453,cubo!$A$6:$BE$37,26,0)-VLOOKUP(B453,#REF!,$W$2,0),0)</f>
        <v>0</v>
      </c>
      <c r="X453" s="9">
        <f>IFERROR(VLOOKUP(B453,cubo!$A$6:$BE$37,20,0)-VLOOKUP(B453,#REF!,$X$2,0),0)</f>
        <v>0</v>
      </c>
      <c r="Y453" s="9">
        <f>IFERROR(VLOOKUP(B453,cubo!$A$6:$BE$37,21,0)-VLOOKUP(B453,#REF!,$Y$2,0),0)</f>
        <v>0</v>
      </c>
      <c r="Z453" s="9">
        <f>IFERROR(VLOOKUP(B453,cubo!$A$6:$BE$37,27,0)-VLOOKUP(B453,#REF!,$Z$2,0),0)</f>
        <v>0</v>
      </c>
      <c r="AA453" s="9">
        <f>IFERROR(VLOOKUP(B453,cubo!$A$6:$BE$37,28,0)-VLOOKUP(B453,#REF!,$AA$2,0),0)</f>
        <v>0</v>
      </c>
      <c r="AB453" s="9">
        <f>IFERROR(VLOOKUP(B453,cubo!$A$6:$BE$37,29,0)-VLOOKUP(B453,#REF!,$AB$2,0),0)</f>
        <v>0</v>
      </c>
      <c r="AC453" s="9">
        <f>IFERROR(VLOOKUP(B453,cubo!$A$6:$BE$37,30,0)-VLOOKUP(B453,#REF!,$AC$2,0),0)</f>
        <v>0</v>
      </c>
      <c r="AD453" s="9">
        <f>IFERROR(VLOOKUP(B453,cubo!$A$6:$BE$37,31,0)-VLOOKUP(B453,#REF!,$AD$2,0),0)</f>
        <v>0</v>
      </c>
      <c r="AE453" s="9">
        <f>IFERROR(VLOOKUP(B453,cubo!$A$6:$BE$37,35,0)-VLOOKUP(B453,#REF!,$AE$2,0),0)</f>
        <v>0</v>
      </c>
      <c r="AF453" s="9" cm="1">
        <f t="array" aca="1" ref="AF453" ca="1">IFERROR(rrPROCV(B453,cubo!$A$6:$BE$37,48,0)-VLOOKUP(B453,#REF!,$AF$2,0),0)</f>
        <v>0</v>
      </c>
      <c r="AG453" s="9">
        <f>IFERROR(VLOOKUP(B453,cubo!$A$6:$BE$37,49,0)-VLOOKUP(B453,#REF!,$AG$2,0),0)</f>
        <v>0</v>
      </c>
      <c r="AH453" s="9">
        <f>IFERROR(VLOOKUP(B453,cubo!$A$6:$BE$37,50,0)-VLOOKUP(B453,#REF!,$AH$2,0),0)</f>
        <v>0</v>
      </c>
      <c r="AI453" s="9">
        <f>IFERROR(VLOOKUP(B453,cubo!$A$6:$BE$37,51,0)-VLOOKUP(B453,#REF!,$AI$2,0),0)</f>
        <v>0</v>
      </c>
      <c r="AJ453" s="9">
        <f>IFERROR(VLOOKUP(B453,cubo!$A$6:$BI$116,62,0)-VLOOKUP(B453,#REF!,$AJ$2,0),0)</f>
        <v>0</v>
      </c>
      <c r="AK453" s="9">
        <f>IFERROR(VLOOKUP(B453,cubo!$A$6:$BJ$37,63,0)-VLOOKUP(B453,#REF!,$AK$2,0),0)</f>
        <v>0</v>
      </c>
      <c r="AL453" s="9">
        <f>IFERROR(VLOOKUP(B453,cubo!$A$6:$BE$37,58,0)-VLOOKUP(B453,#REF!,$AL$2,0),0)</f>
        <v>0</v>
      </c>
      <c r="AM453" s="9">
        <f>IFERROR(VLOOKUP(B453,cubo!$A$6:$BK$37,64,0)-VLOOKUP(B453,#REF!,$AM$2,0),0)</f>
        <v>0</v>
      </c>
      <c r="AN453" s="9">
        <f>IFERROR(VLOOKUP(B453,cubo!$A$6:$AN$37,41,0)-VLOOKUP(B453,#REF!,$AN$2,0),0)</f>
        <v>0</v>
      </c>
    </row>
    <row r="454" spans="2:40" x14ac:dyDescent="0.25">
      <c r="B454" s="7">
        <f>[1]salario!A453</f>
        <v>0</v>
      </c>
      <c r="C454" s="8">
        <f>[1]salario!C453</f>
        <v>0</v>
      </c>
      <c r="D454" s="9">
        <f>IFERROR(VLOOKUP(B454,cubo!$A$6:$BE$37,3,0)-VLOOKUP(B454,#REF!,$D$2,0),0)</f>
        <v>0</v>
      </c>
      <c r="E454" s="10">
        <f>IFERROR(VLOOKUP(B454,cubo!$A$6:$BE$37,5,0)-VLOOKUP(B454,#REF!,$E$2,0),0)</f>
        <v>0</v>
      </c>
      <c r="F454" s="10">
        <f>IFERROR(VLOOKUP(B454,cubo!$A$6:$BE$37,8,0)-VLOOKUP(B454,#REF!,$F$2,0),0)</f>
        <v>0</v>
      </c>
      <c r="G454" s="9">
        <f>IFERROR(VLOOKUP(B454,cubo!$A$6:$BE$37,11,0)-VLOOKUP(B454,#REF!,$G$2,0),0)</f>
        <v>0</v>
      </c>
      <c r="H454" s="9">
        <f>IFERROR(VLOOKUP(B454,cubo!$A$6:$BE$37,53,0)-VLOOKUP(B454,#REF!,$H$2,0),0)</f>
        <v>0</v>
      </c>
      <c r="I454" s="10">
        <f>IFERROR(VLOOKUP(B454,cubo!$A$6:$BE$37,14,0)-VLOOKUP(B454,#REF!,$I$2,0),0)</f>
        <v>0</v>
      </c>
      <c r="J454" s="9">
        <f>IFERROR(VLOOKUP(B454,cubo!$A$6:$BE$37,16,0)-VLOOKUP(B454,#REF!,$J$2,0),0)</f>
        <v>0</v>
      </c>
      <c r="K454" s="9">
        <f>IFERROR(VLOOKUP(B454,cubo!$A$6:$BE$37,17,0)-VLOOKUP(B454,#REF!,$K$2,0),0)</f>
        <v>0</v>
      </c>
      <c r="L454" s="9">
        <f>IFERROR(VLOOKUP(B454,cubo!$A$6:$BE$37,19,0)-VLOOKUP(B454,#REF!,$L$2,0),0)</f>
        <v>0</v>
      </c>
      <c r="M454" s="9">
        <f>IFERROR(VLOOKUP(B454,cubo!$A$6:$BE$37,23,0)-VLOOKUP(B454,#REF!,$M$2,0),0)</f>
        <v>0</v>
      </c>
      <c r="N454" s="9">
        <f>IFERROR(VLOOKUP(B454,cubo!$A$6:$BE$37,25,0)-VLOOKUP(B454,#REF!,$N$2,0),0)</f>
        <v>0</v>
      </c>
      <c r="O454" s="9">
        <f>IFERROR(VLOOKUP(B454,cubo!$A$6:$BE$37,33,0)-VLOOKUP(B454,#REF!,$O$2,0),0)</f>
        <v>0</v>
      </c>
      <c r="P454" s="8">
        <f>IFERROR(VLOOKUP(B454,cubo!$A$6:$BE$37,37,0)-VLOOKUP(B454,#REF!,$P$2,0),0)</f>
        <v>0</v>
      </c>
      <c r="Q454" s="8">
        <f>IFERROR(VLOOKUP(B454,cubo!$A$6:$BE$37,56,0)-VLOOKUP(B454,#REF!,$Q$2,0),0)</f>
        <v>0</v>
      </c>
      <c r="R454" s="9">
        <f>IFERROR(VLOOKUP(B454,cubo!$A$6:$BE$37,40,0)-VLOOKUP(B454,#REF!,$R$2,0),0)</f>
        <v>0</v>
      </c>
      <c r="S454" s="9">
        <f>IFERROR(VLOOKUP(B454,cubo!$A$6:$BE$37,43,0)-VLOOKUP(B454,#REF!,$S$2,0),0)</f>
        <v>0</v>
      </c>
      <c r="T454" s="9">
        <f>IFERROR(VLOOKUP(B454,cubo!$A$6:$BE$37,46,0)-VLOOKUP(B454,#REF!,$T$2,0),0)</f>
        <v>0</v>
      </c>
      <c r="U454" s="9">
        <f>IFERROR(VLOOKUP(B454,cubo!$A$6:$BE$37,51,0)-VLOOKUP(B454,#REF!,$U$2,0),0)</f>
        <v>0</v>
      </c>
      <c r="V454" s="9">
        <f>IFERROR(VLOOKUP(B454,cubo!$A$6:$BJ$37,60,0)-VLOOKUP(B454,#REF!,$V$2,0),0)</f>
        <v>0</v>
      </c>
      <c r="W454" s="9">
        <f>IFERROR(VLOOKUP(B454,cubo!$A$6:$BE$37,26,0)-VLOOKUP(B454,#REF!,$W$2,0),0)</f>
        <v>0</v>
      </c>
      <c r="X454" s="9">
        <f>IFERROR(VLOOKUP(B454,cubo!$A$6:$BE$37,20,0)-VLOOKUP(B454,#REF!,$X$2,0),0)</f>
        <v>0</v>
      </c>
      <c r="Y454" s="9">
        <f>IFERROR(VLOOKUP(B454,cubo!$A$6:$BE$37,21,0)-VLOOKUP(B454,#REF!,$Y$2,0),0)</f>
        <v>0</v>
      </c>
      <c r="Z454" s="9">
        <f>IFERROR(VLOOKUP(B454,cubo!$A$6:$BE$37,27,0)-VLOOKUP(B454,#REF!,$Z$2,0),0)</f>
        <v>0</v>
      </c>
      <c r="AA454" s="9">
        <f>IFERROR(VLOOKUP(B454,cubo!$A$6:$BE$37,28,0)-VLOOKUP(B454,#REF!,$AA$2,0),0)</f>
        <v>0</v>
      </c>
      <c r="AB454" s="9">
        <f>IFERROR(VLOOKUP(B454,cubo!$A$6:$BE$37,29,0)-VLOOKUP(B454,#REF!,$AB$2,0),0)</f>
        <v>0</v>
      </c>
      <c r="AC454" s="9">
        <f>IFERROR(VLOOKUP(B454,cubo!$A$6:$BE$37,30,0)-VLOOKUP(B454,#REF!,$AC$2,0),0)</f>
        <v>0</v>
      </c>
      <c r="AD454" s="9">
        <f>IFERROR(VLOOKUP(B454,cubo!$A$6:$BE$37,31,0)-VLOOKUP(B454,#REF!,$AD$2,0),0)</f>
        <v>0</v>
      </c>
      <c r="AE454" s="9">
        <f>IFERROR(VLOOKUP(B454,cubo!$A$6:$BE$37,35,0)-VLOOKUP(B454,#REF!,$AE$2,0),0)</f>
        <v>0</v>
      </c>
      <c r="AF454" s="9" cm="1">
        <f t="array" aca="1" ref="AF454" ca="1">IFERROR(rrPROCV(B454,cubo!$A$6:$BE$37,48,0)-VLOOKUP(B454,#REF!,$AF$2,0),0)</f>
        <v>0</v>
      </c>
      <c r="AG454" s="9">
        <f>IFERROR(VLOOKUP(B454,cubo!$A$6:$BE$37,49,0)-VLOOKUP(B454,#REF!,$AG$2,0),0)</f>
        <v>0</v>
      </c>
      <c r="AH454" s="9">
        <f>IFERROR(VLOOKUP(B454,cubo!$A$6:$BE$37,50,0)-VLOOKUP(B454,#REF!,$AH$2,0),0)</f>
        <v>0</v>
      </c>
      <c r="AI454" s="9">
        <f>IFERROR(VLOOKUP(B454,cubo!$A$6:$BE$37,51,0)-VLOOKUP(B454,#REF!,$AI$2,0),0)</f>
        <v>0</v>
      </c>
      <c r="AJ454" s="9">
        <f>IFERROR(VLOOKUP(B454,cubo!$A$6:$BI$116,62,0)-VLOOKUP(B454,#REF!,$AJ$2,0),0)</f>
        <v>0</v>
      </c>
      <c r="AK454" s="9">
        <f>IFERROR(VLOOKUP(B454,cubo!$A$6:$BJ$37,63,0)-VLOOKUP(B454,#REF!,$AK$2,0),0)</f>
        <v>0</v>
      </c>
      <c r="AL454" s="9">
        <f>IFERROR(VLOOKUP(B454,cubo!$A$6:$BE$37,58,0)-VLOOKUP(B454,#REF!,$AL$2,0),0)</f>
        <v>0</v>
      </c>
      <c r="AM454" s="9">
        <f>IFERROR(VLOOKUP(B454,cubo!$A$6:$BK$37,64,0)-VLOOKUP(B454,#REF!,$AM$2,0),0)</f>
        <v>0</v>
      </c>
      <c r="AN454" s="9">
        <f>IFERROR(VLOOKUP(B454,cubo!$A$6:$AN$37,41,0)-VLOOKUP(B454,#REF!,$AN$2,0),0)</f>
        <v>0</v>
      </c>
    </row>
    <row r="455" spans="2:40" x14ac:dyDescent="0.25">
      <c r="B455" s="7">
        <f>[1]salario!A454</f>
        <v>0</v>
      </c>
      <c r="C455" s="8">
        <f>[1]salario!C454</f>
        <v>0</v>
      </c>
      <c r="D455" s="9">
        <f>IFERROR(VLOOKUP(B455,cubo!$A$6:$BE$37,3,0)-VLOOKUP(B455,#REF!,$D$2,0),0)</f>
        <v>0</v>
      </c>
      <c r="E455" s="10">
        <f>IFERROR(VLOOKUP(B455,cubo!$A$6:$BE$37,5,0)-VLOOKUP(B455,#REF!,$E$2,0),0)</f>
        <v>0</v>
      </c>
      <c r="F455" s="10">
        <f>IFERROR(VLOOKUP(B455,cubo!$A$6:$BE$37,8,0)-VLOOKUP(B455,#REF!,$F$2,0),0)</f>
        <v>0</v>
      </c>
      <c r="G455" s="9">
        <f>IFERROR(VLOOKUP(B455,cubo!$A$6:$BE$37,11,0)-VLOOKUP(B455,#REF!,$G$2,0),0)</f>
        <v>0</v>
      </c>
      <c r="H455" s="9">
        <f>IFERROR(VLOOKUP(B455,cubo!$A$6:$BE$37,53,0)-VLOOKUP(B455,#REF!,$H$2,0),0)</f>
        <v>0</v>
      </c>
      <c r="I455" s="10">
        <f>IFERROR(VLOOKUP(B455,cubo!$A$6:$BE$37,14,0)-VLOOKUP(B455,#REF!,$I$2,0),0)</f>
        <v>0</v>
      </c>
      <c r="J455" s="9">
        <f>IFERROR(VLOOKUP(B455,cubo!$A$6:$BE$37,16,0)-VLOOKUP(B455,#REF!,$J$2,0),0)</f>
        <v>0</v>
      </c>
      <c r="K455" s="9">
        <f>IFERROR(VLOOKUP(B455,cubo!$A$6:$BE$37,17,0)-VLOOKUP(B455,#REF!,$K$2,0),0)</f>
        <v>0</v>
      </c>
      <c r="L455" s="9">
        <f>IFERROR(VLOOKUP(B455,cubo!$A$6:$BE$37,19,0)-VLOOKUP(B455,#REF!,$L$2,0),0)</f>
        <v>0</v>
      </c>
      <c r="M455" s="9">
        <f>IFERROR(VLOOKUP(B455,cubo!$A$6:$BE$37,23,0)-VLOOKUP(B455,#REF!,$M$2,0),0)</f>
        <v>0</v>
      </c>
      <c r="N455" s="9">
        <f>IFERROR(VLOOKUP(B455,cubo!$A$6:$BE$37,25,0)-VLOOKUP(B455,#REF!,$N$2,0),0)</f>
        <v>0</v>
      </c>
      <c r="O455" s="9">
        <f>IFERROR(VLOOKUP(B455,cubo!$A$6:$BE$37,33,0)-VLOOKUP(B455,#REF!,$O$2,0),0)</f>
        <v>0</v>
      </c>
      <c r="P455" s="8">
        <f>IFERROR(VLOOKUP(B455,cubo!$A$6:$BE$37,37,0)-VLOOKUP(B455,#REF!,$P$2,0),0)</f>
        <v>0</v>
      </c>
      <c r="Q455" s="8">
        <f>IFERROR(VLOOKUP(B455,cubo!$A$6:$BE$37,56,0)-VLOOKUP(B455,#REF!,$Q$2,0),0)</f>
        <v>0</v>
      </c>
      <c r="R455" s="9">
        <f>IFERROR(VLOOKUP(B455,cubo!$A$6:$BE$37,40,0)-VLOOKUP(B455,#REF!,$R$2,0),0)</f>
        <v>0</v>
      </c>
      <c r="S455" s="9">
        <f>IFERROR(VLOOKUP(B455,cubo!$A$6:$BE$37,43,0)-VLOOKUP(B455,#REF!,$S$2,0),0)</f>
        <v>0</v>
      </c>
      <c r="T455" s="9">
        <f>IFERROR(VLOOKUP(B455,cubo!$A$6:$BE$37,46,0)-VLOOKUP(B455,#REF!,$T$2,0),0)</f>
        <v>0</v>
      </c>
      <c r="U455" s="9">
        <f>IFERROR(VLOOKUP(B455,cubo!$A$6:$BE$37,51,0)-VLOOKUP(B455,#REF!,$U$2,0),0)</f>
        <v>0</v>
      </c>
      <c r="V455" s="9">
        <f>IFERROR(VLOOKUP(B455,cubo!$A$6:$BJ$37,60,0)-VLOOKUP(B455,#REF!,$V$2,0),0)</f>
        <v>0</v>
      </c>
      <c r="W455" s="9">
        <f>IFERROR(VLOOKUP(B455,cubo!$A$6:$BE$37,26,0)-VLOOKUP(B455,#REF!,$W$2,0),0)</f>
        <v>0</v>
      </c>
      <c r="X455" s="9">
        <f>IFERROR(VLOOKUP(B455,cubo!$A$6:$BE$37,20,0)-VLOOKUP(B455,#REF!,$X$2,0),0)</f>
        <v>0</v>
      </c>
      <c r="Y455" s="9">
        <f>IFERROR(VLOOKUP(B455,cubo!$A$6:$BE$37,21,0)-VLOOKUP(B455,#REF!,$Y$2,0),0)</f>
        <v>0</v>
      </c>
      <c r="Z455" s="9">
        <f>IFERROR(VLOOKUP(B455,cubo!$A$6:$BE$37,27,0)-VLOOKUP(B455,#REF!,$Z$2,0),0)</f>
        <v>0</v>
      </c>
      <c r="AA455" s="9">
        <f>IFERROR(VLOOKUP(B455,cubo!$A$6:$BE$37,28,0)-VLOOKUP(B455,#REF!,$AA$2,0),0)</f>
        <v>0</v>
      </c>
      <c r="AB455" s="9">
        <f>IFERROR(VLOOKUP(B455,cubo!$A$6:$BE$37,29,0)-VLOOKUP(B455,#REF!,$AB$2,0),0)</f>
        <v>0</v>
      </c>
      <c r="AC455" s="9">
        <f>IFERROR(VLOOKUP(B455,cubo!$A$6:$BE$37,30,0)-VLOOKUP(B455,#REF!,$AC$2,0),0)</f>
        <v>0</v>
      </c>
      <c r="AD455" s="9">
        <f>IFERROR(VLOOKUP(B455,cubo!$A$6:$BE$37,31,0)-VLOOKUP(B455,#REF!,$AD$2,0),0)</f>
        <v>0</v>
      </c>
      <c r="AE455" s="9">
        <f>IFERROR(VLOOKUP(B455,cubo!$A$6:$BE$37,35,0)-VLOOKUP(B455,#REF!,$AE$2,0),0)</f>
        <v>0</v>
      </c>
      <c r="AF455" s="9" cm="1">
        <f t="array" aca="1" ref="AF455" ca="1">IFERROR(rrPROCV(B455,cubo!$A$6:$BE$37,48,0)-VLOOKUP(B455,#REF!,$AF$2,0),0)</f>
        <v>0</v>
      </c>
      <c r="AG455" s="9">
        <f>IFERROR(VLOOKUP(B455,cubo!$A$6:$BE$37,49,0)-VLOOKUP(B455,#REF!,$AG$2,0),0)</f>
        <v>0</v>
      </c>
      <c r="AH455" s="9">
        <f>IFERROR(VLOOKUP(B455,cubo!$A$6:$BE$37,50,0)-VLOOKUP(B455,#REF!,$AH$2,0),0)</f>
        <v>0</v>
      </c>
      <c r="AI455" s="9">
        <f>IFERROR(VLOOKUP(B455,cubo!$A$6:$BE$37,51,0)-VLOOKUP(B455,#REF!,$AI$2,0),0)</f>
        <v>0</v>
      </c>
      <c r="AJ455" s="9">
        <f>IFERROR(VLOOKUP(B455,cubo!$A$6:$BI$116,62,0)-VLOOKUP(B455,#REF!,$AJ$2,0),0)</f>
        <v>0</v>
      </c>
      <c r="AK455" s="9">
        <f>IFERROR(VLOOKUP(B455,cubo!$A$6:$BJ$37,63,0)-VLOOKUP(B455,#REF!,$AK$2,0),0)</f>
        <v>0</v>
      </c>
      <c r="AL455" s="9">
        <f>IFERROR(VLOOKUP(B455,cubo!$A$6:$BE$37,58,0)-VLOOKUP(B455,#REF!,$AL$2,0),0)</f>
        <v>0</v>
      </c>
      <c r="AM455" s="9">
        <f>IFERROR(VLOOKUP(B455,cubo!$A$6:$BK$37,64,0)-VLOOKUP(B455,#REF!,$AM$2,0),0)</f>
        <v>0</v>
      </c>
      <c r="AN455" s="9">
        <f>IFERROR(VLOOKUP(B455,cubo!$A$6:$AN$37,41,0)-VLOOKUP(B455,#REF!,$AN$2,0),0)</f>
        <v>0</v>
      </c>
    </row>
    <row r="456" spans="2:40" x14ac:dyDescent="0.25">
      <c r="B456" s="7">
        <f>[1]salario!A455</f>
        <v>0</v>
      </c>
      <c r="C456" s="8">
        <f>[1]salario!C455</f>
        <v>0</v>
      </c>
      <c r="D456" s="9">
        <f>IFERROR(VLOOKUP(B456,cubo!$A$6:$BE$37,3,0)-VLOOKUP(B456,#REF!,$D$2,0),0)</f>
        <v>0</v>
      </c>
      <c r="E456" s="10">
        <f>IFERROR(VLOOKUP(B456,cubo!$A$6:$BE$37,5,0)-VLOOKUP(B456,#REF!,$E$2,0),0)</f>
        <v>0</v>
      </c>
      <c r="F456" s="10">
        <f>IFERROR(VLOOKUP(B456,cubo!$A$6:$BE$37,8,0)-VLOOKUP(B456,#REF!,$F$2,0),0)</f>
        <v>0</v>
      </c>
      <c r="G456" s="9">
        <f>IFERROR(VLOOKUP(B456,cubo!$A$6:$BE$37,11,0)-VLOOKUP(B456,#REF!,$G$2,0),0)</f>
        <v>0</v>
      </c>
      <c r="H456" s="9">
        <f>IFERROR(VLOOKUP(B456,cubo!$A$6:$BE$37,53,0)-VLOOKUP(B456,#REF!,$H$2,0),0)</f>
        <v>0</v>
      </c>
      <c r="I456" s="10">
        <f>IFERROR(VLOOKUP(B456,cubo!$A$6:$BE$37,14,0)-VLOOKUP(B456,#REF!,$I$2,0),0)</f>
        <v>0</v>
      </c>
      <c r="J456" s="9">
        <f>IFERROR(VLOOKUP(B456,cubo!$A$6:$BE$37,16,0)-VLOOKUP(B456,#REF!,$J$2,0),0)</f>
        <v>0</v>
      </c>
      <c r="K456" s="9">
        <f>IFERROR(VLOOKUP(B456,cubo!$A$6:$BE$37,17,0)-VLOOKUP(B456,#REF!,$K$2,0),0)</f>
        <v>0</v>
      </c>
      <c r="L456" s="9">
        <f>IFERROR(VLOOKUP(B456,cubo!$A$6:$BE$37,19,0)-VLOOKUP(B456,#REF!,$L$2,0),0)</f>
        <v>0</v>
      </c>
      <c r="M456" s="9">
        <f>IFERROR(VLOOKUP(B456,cubo!$A$6:$BE$37,23,0)-VLOOKUP(B456,#REF!,$M$2,0),0)</f>
        <v>0</v>
      </c>
      <c r="N456" s="9">
        <f>IFERROR(VLOOKUP(B456,cubo!$A$6:$BE$37,25,0)-VLOOKUP(B456,#REF!,$N$2,0),0)</f>
        <v>0</v>
      </c>
      <c r="O456" s="9">
        <f>IFERROR(VLOOKUP(B456,cubo!$A$6:$BE$37,33,0)-VLOOKUP(B456,#REF!,$O$2,0),0)</f>
        <v>0</v>
      </c>
      <c r="P456" s="8">
        <f>IFERROR(VLOOKUP(B456,cubo!$A$6:$BE$37,37,0)-VLOOKUP(B456,#REF!,$P$2,0),0)</f>
        <v>0</v>
      </c>
      <c r="Q456" s="8">
        <f>IFERROR(VLOOKUP(B456,cubo!$A$6:$BE$37,56,0)-VLOOKUP(B456,#REF!,$Q$2,0),0)</f>
        <v>0</v>
      </c>
      <c r="R456" s="9">
        <f>IFERROR(VLOOKUP(B456,cubo!$A$6:$BE$37,40,0)-VLOOKUP(B456,#REF!,$R$2,0),0)</f>
        <v>0</v>
      </c>
      <c r="S456" s="9">
        <f>IFERROR(VLOOKUP(B456,cubo!$A$6:$BE$37,43,0)-VLOOKUP(B456,#REF!,$S$2,0),0)</f>
        <v>0</v>
      </c>
      <c r="T456" s="9">
        <f>IFERROR(VLOOKUP(B456,cubo!$A$6:$BE$37,46,0)-VLOOKUP(B456,#REF!,$T$2,0),0)</f>
        <v>0</v>
      </c>
      <c r="U456" s="9">
        <f>IFERROR(VLOOKUP(B456,cubo!$A$6:$BE$37,51,0)-VLOOKUP(B456,#REF!,$U$2,0),0)</f>
        <v>0</v>
      </c>
      <c r="V456" s="9">
        <f>IFERROR(VLOOKUP(B456,cubo!$A$6:$BJ$37,60,0)-VLOOKUP(B456,#REF!,$V$2,0),0)</f>
        <v>0</v>
      </c>
      <c r="W456" s="9">
        <f>IFERROR(VLOOKUP(B456,cubo!$A$6:$BE$37,26,0)-VLOOKUP(B456,#REF!,$W$2,0),0)</f>
        <v>0</v>
      </c>
      <c r="X456" s="9">
        <f>IFERROR(VLOOKUP(B456,cubo!$A$6:$BE$37,20,0)-VLOOKUP(B456,#REF!,$X$2,0),0)</f>
        <v>0</v>
      </c>
      <c r="Y456" s="9">
        <f>IFERROR(VLOOKUP(B456,cubo!$A$6:$BE$37,21,0)-VLOOKUP(B456,#REF!,$Y$2,0),0)</f>
        <v>0</v>
      </c>
      <c r="Z456" s="9">
        <f>IFERROR(VLOOKUP(B456,cubo!$A$6:$BE$37,27,0)-VLOOKUP(B456,#REF!,$Z$2,0),0)</f>
        <v>0</v>
      </c>
      <c r="AA456" s="9">
        <f>IFERROR(VLOOKUP(B456,cubo!$A$6:$BE$37,28,0)-VLOOKUP(B456,#REF!,$AA$2,0),0)</f>
        <v>0</v>
      </c>
      <c r="AB456" s="9">
        <f>IFERROR(VLOOKUP(B456,cubo!$A$6:$BE$37,29,0)-VLOOKUP(B456,#REF!,$AB$2,0),0)</f>
        <v>0</v>
      </c>
      <c r="AC456" s="9">
        <f>IFERROR(VLOOKUP(B456,cubo!$A$6:$BE$37,30,0)-VLOOKUP(B456,#REF!,$AC$2,0),0)</f>
        <v>0</v>
      </c>
      <c r="AD456" s="9">
        <f>IFERROR(VLOOKUP(B456,cubo!$A$6:$BE$37,31,0)-VLOOKUP(B456,#REF!,$AD$2,0),0)</f>
        <v>0</v>
      </c>
      <c r="AE456" s="9">
        <f>IFERROR(VLOOKUP(B456,cubo!$A$6:$BE$37,35,0)-VLOOKUP(B456,#REF!,$AE$2,0),0)</f>
        <v>0</v>
      </c>
      <c r="AF456" s="9" cm="1">
        <f t="array" aca="1" ref="AF456" ca="1">IFERROR(rrPROCV(B456,cubo!$A$6:$BE$37,48,0)-VLOOKUP(B456,#REF!,$AF$2,0),0)</f>
        <v>0</v>
      </c>
      <c r="AG456" s="9">
        <f>IFERROR(VLOOKUP(B456,cubo!$A$6:$BE$37,49,0)-VLOOKUP(B456,#REF!,$AG$2,0),0)</f>
        <v>0</v>
      </c>
      <c r="AH456" s="9">
        <f>IFERROR(VLOOKUP(B456,cubo!$A$6:$BE$37,50,0)-VLOOKUP(B456,#REF!,$AH$2,0),0)</f>
        <v>0</v>
      </c>
      <c r="AI456" s="9">
        <f>IFERROR(VLOOKUP(B456,cubo!$A$6:$BE$37,51,0)-VLOOKUP(B456,#REF!,$AI$2,0),0)</f>
        <v>0</v>
      </c>
      <c r="AJ456" s="9">
        <f>IFERROR(VLOOKUP(B456,cubo!$A$6:$BI$116,62,0)-VLOOKUP(B456,#REF!,$AJ$2,0),0)</f>
        <v>0</v>
      </c>
      <c r="AK456" s="9">
        <f>IFERROR(VLOOKUP(B456,cubo!$A$6:$BJ$37,63,0)-VLOOKUP(B456,#REF!,$AK$2,0),0)</f>
        <v>0</v>
      </c>
      <c r="AL456" s="9">
        <f>IFERROR(VLOOKUP(B456,cubo!$A$6:$BE$37,58,0)-VLOOKUP(B456,#REF!,$AL$2,0),0)</f>
        <v>0</v>
      </c>
      <c r="AM456" s="9">
        <f>IFERROR(VLOOKUP(B456,cubo!$A$6:$BK$37,64,0)-VLOOKUP(B456,#REF!,$AM$2,0),0)</f>
        <v>0</v>
      </c>
      <c r="AN456" s="9">
        <f>IFERROR(VLOOKUP(B456,cubo!$A$6:$AN$37,41,0)-VLOOKUP(B456,#REF!,$AN$2,0),0)</f>
        <v>0</v>
      </c>
    </row>
    <row r="457" spans="2:40" x14ac:dyDescent="0.25">
      <c r="B457" s="7">
        <f>[1]salario!A456</f>
        <v>0</v>
      </c>
      <c r="C457" s="8">
        <f>[1]salario!C456</f>
        <v>0</v>
      </c>
      <c r="D457" s="9">
        <f>IFERROR(VLOOKUP(B457,cubo!$A$6:$BE$37,3,0)-VLOOKUP(B457,#REF!,$D$2,0),0)</f>
        <v>0</v>
      </c>
      <c r="E457" s="10">
        <f>IFERROR(VLOOKUP(B457,cubo!$A$6:$BE$37,5,0)-VLOOKUP(B457,#REF!,$E$2,0),0)</f>
        <v>0</v>
      </c>
      <c r="F457" s="10">
        <f>IFERROR(VLOOKUP(B457,cubo!$A$6:$BE$37,8,0)-VLOOKUP(B457,#REF!,$F$2,0),0)</f>
        <v>0</v>
      </c>
      <c r="G457" s="9">
        <f>IFERROR(VLOOKUP(B457,cubo!$A$6:$BE$37,11,0)-VLOOKUP(B457,#REF!,$G$2,0),0)</f>
        <v>0</v>
      </c>
      <c r="H457" s="9">
        <f>IFERROR(VLOOKUP(B457,cubo!$A$6:$BE$37,53,0)-VLOOKUP(B457,#REF!,$H$2,0),0)</f>
        <v>0</v>
      </c>
      <c r="I457" s="10">
        <f>IFERROR(VLOOKUP(B457,cubo!$A$6:$BE$37,14,0)-VLOOKUP(B457,#REF!,$I$2,0),0)</f>
        <v>0</v>
      </c>
      <c r="J457" s="9">
        <f>IFERROR(VLOOKUP(B457,cubo!$A$6:$BE$37,16,0)-VLOOKUP(B457,#REF!,$J$2,0),0)</f>
        <v>0</v>
      </c>
      <c r="K457" s="9">
        <f>IFERROR(VLOOKUP(B457,cubo!$A$6:$BE$37,17,0)-VLOOKUP(B457,#REF!,$K$2,0),0)</f>
        <v>0</v>
      </c>
      <c r="L457" s="9">
        <f>IFERROR(VLOOKUP(B457,cubo!$A$6:$BE$37,19,0)-VLOOKUP(B457,#REF!,$L$2,0),0)</f>
        <v>0</v>
      </c>
      <c r="M457" s="9">
        <f>IFERROR(VLOOKUP(B457,cubo!$A$6:$BE$37,23,0)-VLOOKUP(B457,#REF!,$M$2,0),0)</f>
        <v>0</v>
      </c>
      <c r="N457" s="9">
        <f>IFERROR(VLOOKUP(B457,cubo!$A$6:$BE$37,25,0)-VLOOKUP(B457,#REF!,$N$2,0),0)</f>
        <v>0</v>
      </c>
      <c r="O457" s="9">
        <f>IFERROR(VLOOKUP(B457,cubo!$A$6:$BE$37,33,0)-VLOOKUP(B457,#REF!,$O$2,0),0)</f>
        <v>0</v>
      </c>
      <c r="P457" s="8">
        <f>IFERROR(VLOOKUP(B457,cubo!$A$6:$BE$37,37,0)-VLOOKUP(B457,#REF!,$P$2,0),0)</f>
        <v>0</v>
      </c>
      <c r="Q457" s="8">
        <f>IFERROR(VLOOKUP(B457,cubo!$A$6:$BE$37,56,0)-VLOOKUP(B457,#REF!,$Q$2,0),0)</f>
        <v>0</v>
      </c>
      <c r="R457" s="9">
        <f>IFERROR(VLOOKUP(B457,cubo!$A$6:$BE$37,40,0)-VLOOKUP(B457,#REF!,$R$2,0),0)</f>
        <v>0</v>
      </c>
      <c r="S457" s="9">
        <f>IFERROR(VLOOKUP(B457,cubo!$A$6:$BE$37,43,0)-VLOOKUP(B457,#REF!,$S$2,0),0)</f>
        <v>0</v>
      </c>
      <c r="T457" s="9">
        <f>IFERROR(VLOOKUP(B457,cubo!$A$6:$BE$37,46,0)-VLOOKUP(B457,#REF!,$T$2,0),0)</f>
        <v>0</v>
      </c>
      <c r="U457" s="9">
        <f>IFERROR(VLOOKUP(B457,cubo!$A$6:$BE$37,51,0)-VLOOKUP(B457,#REF!,$U$2,0),0)</f>
        <v>0</v>
      </c>
      <c r="V457" s="9">
        <f>IFERROR(VLOOKUP(B457,cubo!$A$6:$BJ$37,60,0)-VLOOKUP(B457,#REF!,$V$2,0),0)</f>
        <v>0</v>
      </c>
      <c r="W457" s="9">
        <f>IFERROR(VLOOKUP(B457,cubo!$A$6:$BE$37,26,0)-VLOOKUP(B457,#REF!,$W$2,0),0)</f>
        <v>0</v>
      </c>
      <c r="X457" s="9">
        <f>IFERROR(VLOOKUP(B457,cubo!$A$6:$BE$37,20,0)-VLOOKUP(B457,#REF!,$X$2,0),0)</f>
        <v>0</v>
      </c>
      <c r="Y457" s="9">
        <f>IFERROR(VLOOKUP(B457,cubo!$A$6:$BE$37,21,0)-VLOOKUP(B457,#REF!,$Y$2,0),0)</f>
        <v>0</v>
      </c>
      <c r="Z457" s="9">
        <f>IFERROR(VLOOKUP(B457,cubo!$A$6:$BE$37,27,0)-VLOOKUP(B457,#REF!,$Z$2,0),0)</f>
        <v>0</v>
      </c>
      <c r="AA457" s="9">
        <f>IFERROR(VLOOKUP(B457,cubo!$A$6:$BE$37,28,0)-VLOOKUP(B457,#REF!,$AA$2,0),0)</f>
        <v>0</v>
      </c>
      <c r="AB457" s="9">
        <f>IFERROR(VLOOKUP(B457,cubo!$A$6:$BE$37,29,0)-VLOOKUP(B457,#REF!,$AB$2,0),0)</f>
        <v>0</v>
      </c>
      <c r="AC457" s="9">
        <f>IFERROR(VLOOKUP(B457,cubo!$A$6:$BE$37,30,0)-VLOOKUP(B457,#REF!,$AC$2,0),0)</f>
        <v>0</v>
      </c>
      <c r="AD457" s="9">
        <f>IFERROR(VLOOKUP(B457,cubo!$A$6:$BE$37,31,0)-VLOOKUP(B457,#REF!,$AD$2,0),0)</f>
        <v>0</v>
      </c>
      <c r="AE457" s="9">
        <f>IFERROR(VLOOKUP(B457,cubo!$A$6:$BE$37,35,0)-VLOOKUP(B457,#REF!,$AE$2,0),0)</f>
        <v>0</v>
      </c>
      <c r="AF457" s="9" cm="1">
        <f t="array" aca="1" ref="AF457" ca="1">IFERROR(rrPROCV(B457,cubo!$A$6:$BE$37,48,0)-VLOOKUP(B457,#REF!,$AF$2,0),0)</f>
        <v>0</v>
      </c>
      <c r="AG457" s="9">
        <f>IFERROR(VLOOKUP(B457,cubo!$A$6:$BE$37,49,0)-VLOOKUP(B457,#REF!,$AG$2,0),0)</f>
        <v>0</v>
      </c>
      <c r="AH457" s="9">
        <f>IFERROR(VLOOKUP(B457,cubo!$A$6:$BE$37,50,0)-VLOOKUP(B457,#REF!,$AH$2,0),0)</f>
        <v>0</v>
      </c>
      <c r="AI457" s="9">
        <f>IFERROR(VLOOKUP(B457,cubo!$A$6:$BE$37,51,0)-VLOOKUP(B457,#REF!,$AI$2,0),0)</f>
        <v>0</v>
      </c>
      <c r="AJ457" s="9">
        <f>IFERROR(VLOOKUP(B457,cubo!$A$6:$BI$116,62,0)-VLOOKUP(B457,#REF!,$AJ$2,0),0)</f>
        <v>0</v>
      </c>
      <c r="AK457" s="9">
        <f>IFERROR(VLOOKUP(B457,cubo!$A$6:$BJ$37,63,0)-VLOOKUP(B457,#REF!,$AK$2,0),0)</f>
        <v>0</v>
      </c>
      <c r="AL457" s="9">
        <f>IFERROR(VLOOKUP(B457,cubo!$A$6:$BE$37,58,0)-VLOOKUP(B457,#REF!,$AL$2,0),0)</f>
        <v>0</v>
      </c>
      <c r="AM457" s="9">
        <f>IFERROR(VLOOKUP(B457,cubo!$A$6:$BK$37,64,0)-VLOOKUP(B457,#REF!,$AM$2,0),0)</f>
        <v>0</v>
      </c>
      <c r="AN457" s="9">
        <f>IFERROR(VLOOKUP(B457,cubo!$A$6:$AN$37,41,0)-VLOOKUP(B457,#REF!,$AN$2,0),0)</f>
        <v>0</v>
      </c>
    </row>
    <row r="458" spans="2:40" x14ac:dyDescent="0.25">
      <c r="B458" s="7">
        <f>[1]salario!A457</f>
        <v>0</v>
      </c>
      <c r="C458" s="8">
        <f>[1]salario!C457</f>
        <v>0</v>
      </c>
      <c r="D458" s="9">
        <f>IFERROR(VLOOKUP(B458,cubo!$A$6:$BE$37,3,0)-VLOOKUP(B458,#REF!,$D$2,0),0)</f>
        <v>0</v>
      </c>
      <c r="E458" s="10">
        <f>IFERROR(VLOOKUP(B458,cubo!$A$6:$BE$37,5,0)-VLOOKUP(B458,#REF!,$E$2,0),0)</f>
        <v>0</v>
      </c>
      <c r="F458" s="10">
        <f>IFERROR(VLOOKUP(B458,cubo!$A$6:$BE$37,8,0)-VLOOKUP(B458,#REF!,$F$2,0),0)</f>
        <v>0</v>
      </c>
      <c r="G458" s="9">
        <f>IFERROR(VLOOKUP(B458,cubo!$A$6:$BE$37,11,0)-VLOOKUP(B458,#REF!,$G$2,0),0)</f>
        <v>0</v>
      </c>
      <c r="H458" s="9">
        <f>IFERROR(VLOOKUP(B458,cubo!$A$6:$BE$37,53,0)-VLOOKUP(B458,#REF!,$H$2,0),0)</f>
        <v>0</v>
      </c>
      <c r="I458" s="10">
        <f>IFERROR(VLOOKUP(B458,cubo!$A$6:$BE$37,14,0)-VLOOKUP(B458,#REF!,$I$2,0),0)</f>
        <v>0</v>
      </c>
      <c r="J458" s="9">
        <f>IFERROR(VLOOKUP(B458,cubo!$A$6:$BE$37,16,0)-VLOOKUP(B458,#REF!,$J$2,0),0)</f>
        <v>0</v>
      </c>
      <c r="K458" s="9">
        <f>IFERROR(VLOOKUP(B458,cubo!$A$6:$BE$37,17,0)-VLOOKUP(B458,#REF!,$K$2,0),0)</f>
        <v>0</v>
      </c>
      <c r="L458" s="9">
        <f>IFERROR(VLOOKUP(B458,cubo!$A$6:$BE$37,19,0)-VLOOKUP(B458,#REF!,$L$2,0),0)</f>
        <v>0</v>
      </c>
      <c r="M458" s="9">
        <f>IFERROR(VLOOKUP(B458,cubo!$A$6:$BE$37,23,0)-VLOOKUP(B458,#REF!,$M$2,0),0)</f>
        <v>0</v>
      </c>
      <c r="N458" s="9">
        <f>IFERROR(VLOOKUP(B458,cubo!$A$6:$BE$37,25,0)-VLOOKUP(B458,#REF!,$N$2,0),0)</f>
        <v>0</v>
      </c>
      <c r="O458" s="9">
        <f>IFERROR(VLOOKUP(B458,cubo!$A$6:$BE$37,33,0)-VLOOKUP(B458,#REF!,$O$2,0),0)</f>
        <v>0</v>
      </c>
      <c r="P458" s="8">
        <f>IFERROR(VLOOKUP(B458,cubo!$A$6:$BE$37,37,0)-VLOOKUP(B458,#REF!,$P$2,0),0)</f>
        <v>0</v>
      </c>
      <c r="Q458" s="8">
        <f>IFERROR(VLOOKUP(B458,cubo!$A$6:$BE$37,56,0)-VLOOKUP(B458,#REF!,$Q$2,0),0)</f>
        <v>0</v>
      </c>
      <c r="R458" s="9">
        <f>IFERROR(VLOOKUP(B458,cubo!$A$6:$BE$37,40,0)-VLOOKUP(B458,#REF!,$R$2,0),0)</f>
        <v>0</v>
      </c>
      <c r="S458" s="9">
        <f>IFERROR(VLOOKUP(B458,cubo!$A$6:$BE$37,43,0)-VLOOKUP(B458,#REF!,$S$2,0),0)</f>
        <v>0</v>
      </c>
      <c r="T458" s="9">
        <f>IFERROR(VLOOKUP(B458,cubo!$A$6:$BE$37,46,0)-VLOOKUP(B458,#REF!,$T$2,0),0)</f>
        <v>0</v>
      </c>
      <c r="U458" s="9">
        <f>IFERROR(VLOOKUP(B458,cubo!$A$6:$BE$37,51,0)-VLOOKUP(B458,#REF!,$U$2,0),0)</f>
        <v>0</v>
      </c>
      <c r="V458" s="9">
        <f>IFERROR(VLOOKUP(B458,cubo!$A$6:$BJ$37,60,0)-VLOOKUP(B458,#REF!,$V$2,0),0)</f>
        <v>0</v>
      </c>
      <c r="W458" s="9">
        <f>IFERROR(VLOOKUP(B458,cubo!$A$6:$BE$37,26,0)-VLOOKUP(B458,#REF!,$W$2,0),0)</f>
        <v>0</v>
      </c>
      <c r="X458" s="9">
        <f>IFERROR(VLOOKUP(B458,cubo!$A$6:$BE$37,20,0)-VLOOKUP(B458,#REF!,$X$2,0),0)</f>
        <v>0</v>
      </c>
      <c r="Y458" s="9">
        <f>IFERROR(VLOOKUP(B458,cubo!$A$6:$BE$37,21,0)-VLOOKUP(B458,#REF!,$Y$2,0),0)</f>
        <v>0</v>
      </c>
      <c r="Z458" s="9">
        <f>IFERROR(VLOOKUP(B458,cubo!$A$6:$BE$37,27,0)-VLOOKUP(B458,#REF!,$Z$2,0),0)</f>
        <v>0</v>
      </c>
      <c r="AA458" s="9">
        <f>IFERROR(VLOOKUP(B458,cubo!$A$6:$BE$37,28,0)-VLOOKUP(B458,#REF!,$AA$2,0),0)</f>
        <v>0</v>
      </c>
      <c r="AB458" s="9">
        <f>IFERROR(VLOOKUP(B458,cubo!$A$6:$BE$37,29,0)-VLOOKUP(B458,#REF!,$AB$2,0),0)</f>
        <v>0</v>
      </c>
      <c r="AC458" s="9">
        <f>IFERROR(VLOOKUP(B458,cubo!$A$6:$BE$37,30,0)-VLOOKUP(B458,#REF!,$AC$2,0),0)</f>
        <v>0</v>
      </c>
      <c r="AD458" s="9">
        <f>IFERROR(VLOOKUP(B458,cubo!$A$6:$BE$37,31,0)-VLOOKUP(B458,#REF!,$AD$2,0),0)</f>
        <v>0</v>
      </c>
      <c r="AE458" s="9">
        <f>IFERROR(VLOOKUP(B458,cubo!$A$6:$BE$37,35,0)-VLOOKUP(B458,#REF!,$AE$2,0),0)</f>
        <v>0</v>
      </c>
      <c r="AF458" s="9" cm="1">
        <f t="array" aca="1" ref="AF458" ca="1">IFERROR(rrPROCV(B458,cubo!$A$6:$BE$37,48,0)-VLOOKUP(B458,#REF!,$AF$2,0),0)</f>
        <v>0</v>
      </c>
      <c r="AG458" s="9">
        <f>IFERROR(VLOOKUP(B458,cubo!$A$6:$BE$37,49,0)-VLOOKUP(B458,#REF!,$AG$2,0),0)</f>
        <v>0</v>
      </c>
      <c r="AH458" s="9">
        <f>IFERROR(VLOOKUP(B458,cubo!$A$6:$BE$37,50,0)-VLOOKUP(B458,#REF!,$AH$2,0),0)</f>
        <v>0</v>
      </c>
      <c r="AI458" s="9">
        <f>IFERROR(VLOOKUP(B458,cubo!$A$6:$BE$37,51,0)-VLOOKUP(B458,#REF!,$AI$2,0),0)</f>
        <v>0</v>
      </c>
      <c r="AJ458" s="9">
        <f>IFERROR(VLOOKUP(B458,cubo!$A$6:$BI$116,62,0)-VLOOKUP(B458,#REF!,$AJ$2,0),0)</f>
        <v>0</v>
      </c>
      <c r="AK458" s="9">
        <f>IFERROR(VLOOKUP(B458,cubo!$A$6:$BJ$37,63,0)-VLOOKUP(B458,#REF!,$AK$2,0),0)</f>
        <v>0</v>
      </c>
      <c r="AL458" s="9">
        <f>IFERROR(VLOOKUP(B458,cubo!$A$6:$BE$37,58,0)-VLOOKUP(B458,#REF!,$AL$2,0),0)</f>
        <v>0</v>
      </c>
      <c r="AM458" s="9">
        <f>IFERROR(VLOOKUP(B458,cubo!$A$6:$BK$37,64,0)-VLOOKUP(B458,#REF!,$AM$2,0),0)</f>
        <v>0</v>
      </c>
      <c r="AN458" s="9">
        <f>IFERROR(VLOOKUP(B458,cubo!$A$6:$AN$37,41,0)-VLOOKUP(B458,#REF!,$AN$2,0),0)</f>
        <v>0</v>
      </c>
    </row>
    <row r="459" spans="2:40" x14ac:dyDescent="0.25">
      <c r="B459" s="7">
        <f>[1]salario!A458</f>
        <v>0</v>
      </c>
      <c r="C459" s="8">
        <f>[1]salario!C458</f>
        <v>0</v>
      </c>
      <c r="D459" s="9">
        <f>IFERROR(VLOOKUP(B459,cubo!$A$6:$BE$37,3,0)-VLOOKUP(B459,#REF!,$D$2,0),0)</f>
        <v>0</v>
      </c>
      <c r="E459" s="10">
        <f>IFERROR(VLOOKUP(B459,cubo!$A$6:$BE$37,5,0)-VLOOKUP(B459,#REF!,$E$2,0),0)</f>
        <v>0</v>
      </c>
      <c r="F459" s="10">
        <f>IFERROR(VLOOKUP(B459,cubo!$A$6:$BE$37,8,0)-VLOOKUP(B459,#REF!,$F$2,0),0)</f>
        <v>0</v>
      </c>
      <c r="G459" s="9">
        <f>IFERROR(VLOOKUP(B459,cubo!$A$6:$BE$37,11,0)-VLOOKUP(B459,#REF!,$G$2,0),0)</f>
        <v>0</v>
      </c>
      <c r="H459" s="9">
        <f>IFERROR(VLOOKUP(B459,cubo!$A$6:$BE$37,53,0)-VLOOKUP(B459,#REF!,$H$2,0),0)</f>
        <v>0</v>
      </c>
      <c r="I459" s="10">
        <f>IFERROR(VLOOKUP(B459,cubo!$A$6:$BE$37,14,0)-VLOOKUP(B459,#REF!,$I$2,0),0)</f>
        <v>0</v>
      </c>
      <c r="J459" s="9">
        <f>IFERROR(VLOOKUP(B459,cubo!$A$6:$BE$37,16,0)-VLOOKUP(B459,#REF!,$J$2,0),0)</f>
        <v>0</v>
      </c>
      <c r="K459" s="9">
        <f>IFERROR(VLOOKUP(B459,cubo!$A$6:$BE$37,17,0)-VLOOKUP(B459,#REF!,$K$2,0),0)</f>
        <v>0</v>
      </c>
      <c r="L459" s="9">
        <f>IFERROR(VLOOKUP(B459,cubo!$A$6:$BE$37,19,0)-VLOOKUP(B459,#REF!,$L$2,0),0)</f>
        <v>0</v>
      </c>
      <c r="M459" s="9">
        <f>IFERROR(VLOOKUP(B459,cubo!$A$6:$BE$37,23,0)-VLOOKUP(B459,#REF!,$M$2,0),0)</f>
        <v>0</v>
      </c>
      <c r="N459" s="9">
        <f>IFERROR(VLOOKUP(B459,cubo!$A$6:$BE$37,25,0)-VLOOKUP(B459,#REF!,$N$2,0),0)</f>
        <v>0</v>
      </c>
      <c r="O459" s="9">
        <f>IFERROR(VLOOKUP(B459,cubo!$A$6:$BE$37,33,0)-VLOOKUP(B459,#REF!,$O$2,0),0)</f>
        <v>0</v>
      </c>
      <c r="P459" s="8">
        <f>IFERROR(VLOOKUP(B459,cubo!$A$6:$BE$37,37,0)-VLOOKUP(B459,#REF!,$P$2,0),0)</f>
        <v>0</v>
      </c>
      <c r="Q459" s="8">
        <f>IFERROR(VLOOKUP(B459,cubo!$A$6:$BE$37,56,0)-VLOOKUP(B459,#REF!,$Q$2,0),0)</f>
        <v>0</v>
      </c>
      <c r="R459" s="9">
        <f>IFERROR(VLOOKUP(B459,cubo!$A$6:$BE$37,40,0)-VLOOKUP(B459,#REF!,$R$2,0),0)</f>
        <v>0</v>
      </c>
      <c r="S459" s="9">
        <f>IFERROR(VLOOKUP(B459,cubo!$A$6:$BE$37,43,0)-VLOOKUP(B459,#REF!,$S$2,0),0)</f>
        <v>0</v>
      </c>
      <c r="T459" s="9">
        <f>IFERROR(VLOOKUP(B459,cubo!$A$6:$BE$37,46,0)-VLOOKUP(B459,#REF!,$T$2,0),0)</f>
        <v>0</v>
      </c>
      <c r="U459" s="9">
        <f>IFERROR(VLOOKUP(B459,cubo!$A$6:$BE$37,51,0)-VLOOKUP(B459,#REF!,$U$2,0),0)</f>
        <v>0</v>
      </c>
      <c r="V459" s="9">
        <f>IFERROR(VLOOKUP(B459,cubo!$A$6:$BJ$37,60,0)-VLOOKUP(B459,#REF!,$V$2,0),0)</f>
        <v>0</v>
      </c>
      <c r="W459" s="9">
        <f>IFERROR(VLOOKUP(B459,cubo!$A$6:$BE$37,26,0)-VLOOKUP(B459,#REF!,$W$2,0),0)</f>
        <v>0</v>
      </c>
      <c r="X459" s="9">
        <f>IFERROR(VLOOKUP(B459,cubo!$A$6:$BE$37,20,0)-VLOOKUP(B459,#REF!,$X$2,0),0)</f>
        <v>0</v>
      </c>
      <c r="Y459" s="9">
        <f>IFERROR(VLOOKUP(B459,cubo!$A$6:$BE$37,21,0)-VLOOKUP(B459,#REF!,$Y$2,0),0)</f>
        <v>0</v>
      </c>
      <c r="Z459" s="9">
        <f>IFERROR(VLOOKUP(B459,cubo!$A$6:$BE$37,27,0)-VLOOKUP(B459,#REF!,$Z$2,0),0)</f>
        <v>0</v>
      </c>
      <c r="AA459" s="9">
        <f>IFERROR(VLOOKUP(B459,cubo!$A$6:$BE$37,28,0)-VLOOKUP(B459,#REF!,$AA$2,0),0)</f>
        <v>0</v>
      </c>
      <c r="AB459" s="9">
        <f>IFERROR(VLOOKUP(B459,cubo!$A$6:$BE$37,29,0)-VLOOKUP(B459,#REF!,$AB$2,0),0)</f>
        <v>0</v>
      </c>
      <c r="AC459" s="9">
        <f>IFERROR(VLOOKUP(B459,cubo!$A$6:$BE$37,30,0)-VLOOKUP(B459,#REF!,$AC$2,0),0)</f>
        <v>0</v>
      </c>
      <c r="AD459" s="9">
        <f>IFERROR(VLOOKUP(B459,cubo!$A$6:$BE$37,31,0)-VLOOKUP(B459,#REF!,$AD$2,0),0)</f>
        <v>0</v>
      </c>
      <c r="AE459" s="9">
        <f>IFERROR(VLOOKUP(B459,cubo!$A$6:$BE$37,35,0)-VLOOKUP(B459,#REF!,$AE$2,0),0)</f>
        <v>0</v>
      </c>
      <c r="AF459" s="9" cm="1">
        <f t="array" aca="1" ref="AF459" ca="1">IFERROR(rrPROCV(B459,cubo!$A$6:$BE$37,48,0)-VLOOKUP(B459,#REF!,$AF$2,0),0)</f>
        <v>0</v>
      </c>
      <c r="AG459" s="9">
        <f>IFERROR(VLOOKUP(B459,cubo!$A$6:$BE$37,49,0)-VLOOKUP(B459,#REF!,$AG$2,0),0)</f>
        <v>0</v>
      </c>
      <c r="AH459" s="9">
        <f>IFERROR(VLOOKUP(B459,cubo!$A$6:$BE$37,50,0)-VLOOKUP(B459,#REF!,$AH$2,0),0)</f>
        <v>0</v>
      </c>
      <c r="AI459" s="9">
        <f>IFERROR(VLOOKUP(B459,cubo!$A$6:$BE$37,51,0)-VLOOKUP(B459,#REF!,$AI$2,0),0)</f>
        <v>0</v>
      </c>
      <c r="AJ459" s="9">
        <f>IFERROR(VLOOKUP(B459,cubo!$A$6:$BI$116,62,0)-VLOOKUP(B459,#REF!,$AJ$2,0),0)</f>
        <v>0</v>
      </c>
      <c r="AK459" s="9">
        <f>IFERROR(VLOOKUP(B459,cubo!$A$6:$BJ$37,63,0)-VLOOKUP(B459,#REF!,$AK$2,0),0)</f>
        <v>0</v>
      </c>
      <c r="AL459" s="9">
        <f>IFERROR(VLOOKUP(B459,cubo!$A$6:$BE$37,58,0)-VLOOKUP(B459,#REF!,$AL$2,0),0)</f>
        <v>0</v>
      </c>
      <c r="AM459" s="9">
        <f>IFERROR(VLOOKUP(B459,cubo!$A$6:$BK$37,64,0)-VLOOKUP(B459,#REF!,$AM$2,0),0)</f>
        <v>0</v>
      </c>
      <c r="AN459" s="9">
        <f>IFERROR(VLOOKUP(B459,cubo!$A$6:$AN$37,41,0)-VLOOKUP(B459,#REF!,$AN$2,0),0)</f>
        <v>0</v>
      </c>
    </row>
    <row r="460" spans="2:40" x14ac:dyDescent="0.25">
      <c r="B460" s="7">
        <f>[1]salario!A459</f>
        <v>0</v>
      </c>
      <c r="C460" s="8">
        <f>[1]salario!C459</f>
        <v>0</v>
      </c>
      <c r="D460" s="9">
        <f>IFERROR(VLOOKUP(B460,cubo!$A$6:$BE$37,3,0)-VLOOKUP(B460,#REF!,$D$2,0),0)</f>
        <v>0</v>
      </c>
      <c r="E460" s="10">
        <f>IFERROR(VLOOKUP(B460,cubo!$A$6:$BE$37,5,0)-VLOOKUP(B460,#REF!,$E$2,0),0)</f>
        <v>0</v>
      </c>
      <c r="F460" s="10">
        <f>IFERROR(VLOOKUP(B460,cubo!$A$6:$BE$37,8,0)-VLOOKUP(B460,#REF!,$F$2,0),0)</f>
        <v>0</v>
      </c>
      <c r="G460" s="9">
        <f>IFERROR(VLOOKUP(B460,cubo!$A$6:$BE$37,11,0)-VLOOKUP(B460,#REF!,$G$2,0),0)</f>
        <v>0</v>
      </c>
      <c r="H460" s="9">
        <f>IFERROR(VLOOKUP(B460,cubo!$A$6:$BE$37,53,0)-VLOOKUP(B460,#REF!,$H$2,0),0)</f>
        <v>0</v>
      </c>
      <c r="I460" s="10">
        <f>IFERROR(VLOOKUP(B460,cubo!$A$6:$BE$37,14,0)-VLOOKUP(B460,#REF!,$I$2,0),0)</f>
        <v>0</v>
      </c>
      <c r="J460" s="9">
        <f>IFERROR(VLOOKUP(B460,cubo!$A$6:$BE$37,16,0)-VLOOKUP(B460,#REF!,$J$2,0),0)</f>
        <v>0</v>
      </c>
      <c r="K460" s="9">
        <f>IFERROR(VLOOKUP(B460,cubo!$A$6:$BE$37,17,0)-VLOOKUP(B460,#REF!,$K$2,0),0)</f>
        <v>0</v>
      </c>
      <c r="L460" s="9">
        <f>IFERROR(VLOOKUP(B460,cubo!$A$6:$BE$37,19,0)-VLOOKUP(B460,#REF!,$L$2,0),0)</f>
        <v>0</v>
      </c>
      <c r="M460" s="9">
        <f>IFERROR(VLOOKUP(B460,cubo!$A$6:$BE$37,23,0)-VLOOKUP(B460,#REF!,$M$2,0),0)</f>
        <v>0</v>
      </c>
      <c r="N460" s="9">
        <f>IFERROR(VLOOKUP(B460,cubo!$A$6:$BE$37,25,0)-VLOOKUP(B460,#REF!,$N$2,0),0)</f>
        <v>0</v>
      </c>
      <c r="O460" s="9">
        <f>IFERROR(VLOOKUP(B460,cubo!$A$6:$BE$37,33,0)-VLOOKUP(B460,#REF!,$O$2,0),0)</f>
        <v>0</v>
      </c>
      <c r="P460" s="8">
        <f>IFERROR(VLOOKUP(B460,cubo!$A$6:$BE$37,37,0)-VLOOKUP(B460,#REF!,$P$2,0),0)</f>
        <v>0</v>
      </c>
      <c r="Q460" s="8">
        <f>IFERROR(VLOOKUP(B460,cubo!$A$6:$BE$37,56,0)-VLOOKUP(B460,#REF!,$Q$2,0),0)</f>
        <v>0</v>
      </c>
      <c r="R460" s="9">
        <f>IFERROR(VLOOKUP(B460,cubo!$A$6:$BE$37,40,0)-VLOOKUP(B460,#REF!,$R$2,0),0)</f>
        <v>0</v>
      </c>
      <c r="S460" s="9">
        <f>IFERROR(VLOOKUP(B460,cubo!$A$6:$BE$37,43,0)-VLOOKUP(B460,#REF!,$S$2,0),0)</f>
        <v>0</v>
      </c>
      <c r="T460" s="9">
        <f>IFERROR(VLOOKUP(B460,cubo!$A$6:$BE$37,46,0)-VLOOKUP(B460,#REF!,$T$2,0),0)</f>
        <v>0</v>
      </c>
      <c r="U460" s="9">
        <f>IFERROR(VLOOKUP(B460,cubo!$A$6:$BE$37,51,0)-VLOOKUP(B460,#REF!,$U$2,0),0)</f>
        <v>0</v>
      </c>
      <c r="V460" s="9">
        <f>IFERROR(VLOOKUP(B460,cubo!$A$6:$BJ$37,60,0)-VLOOKUP(B460,#REF!,$V$2,0),0)</f>
        <v>0</v>
      </c>
      <c r="W460" s="9">
        <f>IFERROR(VLOOKUP(B460,cubo!$A$6:$BE$37,26,0)-VLOOKUP(B460,#REF!,$W$2,0),0)</f>
        <v>0</v>
      </c>
      <c r="X460" s="9">
        <f>IFERROR(VLOOKUP(B460,cubo!$A$6:$BE$37,20,0)-VLOOKUP(B460,#REF!,$X$2,0),0)</f>
        <v>0</v>
      </c>
      <c r="Y460" s="9">
        <f>IFERROR(VLOOKUP(B460,cubo!$A$6:$BE$37,21,0)-VLOOKUP(B460,#REF!,$Y$2,0),0)</f>
        <v>0</v>
      </c>
      <c r="Z460" s="9">
        <f>IFERROR(VLOOKUP(B460,cubo!$A$6:$BE$37,27,0)-VLOOKUP(B460,#REF!,$Z$2,0),0)</f>
        <v>0</v>
      </c>
      <c r="AA460" s="9">
        <f>IFERROR(VLOOKUP(B460,cubo!$A$6:$BE$37,28,0)-VLOOKUP(B460,#REF!,$AA$2,0),0)</f>
        <v>0</v>
      </c>
      <c r="AB460" s="9">
        <f>IFERROR(VLOOKUP(B460,cubo!$A$6:$BE$37,29,0)-VLOOKUP(B460,#REF!,$AB$2,0),0)</f>
        <v>0</v>
      </c>
      <c r="AC460" s="9">
        <f>IFERROR(VLOOKUP(B460,cubo!$A$6:$BE$37,30,0)-VLOOKUP(B460,#REF!,$AC$2,0),0)</f>
        <v>0</v>
      </c>
      <c r="AD460" s="9">
        <f>IFERROR(VLOOKUP(B460,cubo!$A$6:$BE$37,31,0)-VLOOKUP(B460,#REF!,$AD$2,0),0)</f>
        <v>0</v>
      </c>
      <c r="AE460" s="9">
        <f>IFERROR(VLOOKUP(B460,cubo!$A$6:$BE$37,35,0)-VLOOKUP(B460,#REF!,$AE$2,0),0)</f>
        <v>0</v>
      </c>
      <c r="AF460" s="9" cm="1">
        <f t="array" aca="1" ref="AF460" ca="1">IFERROR(rrPROCV(B460,cubo!$A$6:$BE$37,48,0)-VLOOKUP(B460,#REF!,$AF$2,0),0)</f>
        <v>0</v>
      </c>
      <c r="AG460" s="9">
        <f>IFERROR(VLOOKUP(B460,cubo!$A$6:$BE$37,49,0)-VLOOKUP(B460,#REF!,$AG$2,0),0)</f>
        <v>0</v>
      </c>
      <c r="AH460" s="9">
        <f>IFERROR(VLOOKUP(B460,cubo!$A$6:$BE$37,50,0)-VLOOKUP(B460,#REF!,$AH$2,0),0)</f>
        <v>0</v>
      </c>
      <c r="AI460" s="9">
        <f>IFERROR(VLOOKUP(B460,cubo!$A$6:$BE$37,51,0)-VLOOKUP(B460,#REF!,$AI$2,0),0)</f>
        <v>0</v>
      </c>
      <c r="AJ460" s="9">
        <f>IFERROR(VLOOKUP(B460,cubo!$A$6:$BI$116,62,0)-VLOOKUP(B460,#REF!,$AJ$2,0),0)</f>
        <v>0</v>
      </c>
      <c r="AK460" s="9">
        <f>IFERROR(VLOOKUP(B460,cubo!$A$6:$BJ$37,63,0)-VLOOKUP(B460,#REF!,$AK$2,0),0)</f>
        <v>0</v>
      </c>
      <c r="AL460" s="9">
        <f>IFERROR(VLOOKUP(B460,cubo!$A$6:$BE$37,58,0)-VLOOKUP(B460,#REF!,$AL$2,0),0)</f>
        <v>0</v>
      </c>
      <c r="AM460" s="9">
        <f>IFERROR(VLOOKUP(B460,cubo!$A$6:$BK$37,64,0)-VLOOKUP(B460,#REF!,$AM$2,0),0)</f>
        <v>0</v>
      </c>
      <c r="AN460" s="9">
        <f>IFERROR(VLOOKUP(B460,cubo!$A$6:$AN$37,41,0)-VLOOKUP(B460,#REF!,$AN$2,0),0)</f>
        <v>0</v>
      </c>
    </row>
    <row r="461" spans="2:40" x14ac:dyDescent="0.25">
      <c r="B461" s="7">
        <f>[1]salario!A460</f>
        <v>0</v>
      </c>
      <c r="C461" s="8">
        <f>[1]salario!C460</f>
        <v>0</v>
      </c>
      <c r="D461" s="9">
        <f>IFERROR(VLOOKUP(B461,cubo!$A$6:$BE$37,3,0)-VLOOKUP(B461,#REF!,$D$2,0),0)</f>
        <v>0</v>
      </c>
      <c r="E461" s="10">
        <f>IFERROR(VLOOKUP(B461,cubo!$A$6:$BE$37,5,0)-VLOOKUP(B461,#REF!,$E$2,0),0)</f>
        <v>0</v>
      </c>
      <c r="F461" s="10">
        <f>IFERROR(VLOOKUP(B461,cubo!$A$6:$BE$37,8,0)-VLOOKUP(B461,#REF!,$F$2,0),0)</f>
        <v>0</v>
      </c>
      <c r="G461" s="9">
        <f>IFERROR(VLOOKUP(B461,cubo!$A$6:$BE$37,11,0)-VLOOKUP(B461,#REF!,$G$2,0),0)</f>
        <v>0</v>
      </c>
      <c r="H461" s="9">
        <f>IFERROR(VLOOKUP(B461,cubo!$A$6:$BE$37,53,0)-VLOOKUP(B461,#REF!,$H$2,0),0)</f>
        <v>0</v>
      </c>
      <c r="I461" s="10">
        <f>IFERROR(VLOOKUP(B461,cubo!$A$6:$BE$37,14,0)-VLOOKUP(B461,#REF!,$I$2,0),0)</f>
        <v>0</v>
      </c>
      <c r="J461" s="9">
        <f>IFERROR(VLOOKUP(B461,cubo!$A$6:$BE$37,16,0)-VLOOKUP(B461,#REF!,$J$2,0),0)</f>
        <v>0</v>
      </c>
      <c r="K461" s="9">
        <f>IFERROR(VLOOKUP(B461,cubo!$A$6:$BE$37,17,0)-VLOOKUP(B461,#REF!,$K$2,0),0)</f>
        <v>0</v>
      </c>
      <c r="L461" s="9">
        <f>IFERROR(VLOOKUP(B461,cubo!$A$6:$BE$37,19,0)-VLOOKUP(B461,#REF!,$L$2,0),0)</f>
        <v>0</v>
      </c>
      <c r="M461" s="9">
        <f>IFERROR(VLOOKUP(B461,cubo!$A$6:$BE$37,23,0)-VLOOKUP(B461,#REF!,$M$2,0),0)</f>
        <v>0</v>
      </c>
      <c r="N461" s="9">
        <f>IFERROR(VLOOKUP(B461,cubo!$A$6:$BE$37,25,0)-VLOOKUP(B461,#REF!,$N$2,0),0)</f>
        <v>0</v>
      </c>
      <c r="O461" s="9">
        <f>IFERROR(VLOOKUP(B461,cubo!$A$6:$BE$37,33,0)-VLOOKUP(B461,#REF!,$O$2,0),0)</f>
        <v>0</v>
      </c>
      <c r="P461" s="8">
        <f>IFERROR(VLOOKUP(B461,cubo!$A$6:$BE$37,37,0)-VLOOKUP(B461,#REF!,$P$2,0),0)</f>
        <v>0</v>
      </c>
      <c r="Q461" s="8">
        <f>IFERROR(VLOOKUP(B461,cubo!$A$6:$BE$37,56,0)-VLOOKUP(B461,#REF!,$Q$2,0),0)</f>
        <v>0</v>
      </c>
      <c r="R461" s="9">
        <f>IFERROR(VLOOKUP(B461,cubo!$A$6:$BE$37,40,0)-VLOOKUP(B461,#REF!,$R$2,0),0)</f>
        <v>0</v>
      </c>
      <c r="S461" s="9">
        <f>IFERROR(VLOOKUP(B461,cubo!$A$6:$BE$37,43,0)-VLOOKUP(B461,#REF!,$S$2,0),0)</f>
        <v>0</v>
      </c>
      <c r="T461" s="9">
        <f>IFERROR(VLOOKUP(B461,cubo!$A$6:$BE$37,46,0)-VLOOKUP(B461,#REF!,$T$2,0),0)</f>
        <v>0</v>
      </c>
      <c r="U461" s="9">
        <f>IFERROR(VLOOKUP(B461,cubo!$A$6:$BE$37,51,0)-VLOOKUP(B461,#REF!,$U$2,0),0)</f>
        <v>0</v>
      </c>
      <c r="V461" s="9">
        <f>IFERROR(VLOOKUP(B461,cubo!$A$6:$BJ$37,60,0)-VLOOKUP(B461,#REF!,$V$2,0),0)</f>
        <v>0</v>
      </c>
      <c r="W461" s="9">
        <f>IFERROR(VLOOKUP(B461,cubo!$A$6:$BE$37,26,0)-VLOOKUP(B461,#REF!,$W$2,0),0)</f>
        <v>0</v>
      </c>
      <c r="X461" s="9">
        <f>IFERROR(VLOOKUP(B461,cubo!$A$6:$BE$37,20,0)-VLOOKUP(B461,#REF!,$X$2,0),0)</f>
        <v>0</v>
      </c>
      <c r="Y461" s="9">
        <f>IFERROR(VLOOKUP(B461,cubo!$A$6:$BE$37,21,0)-VLOOKUP(B461,#REF!,$Y$2,0),0)</f>
        <v>0</v>
      </c>
      <c r="Z461" s="9">
        <f>IFERROR(VLOOKUP(B461,cubo!$A$6:$BE$37,27,0)-VLOOKUP(B461,#REF!,$Z$2,0),0)</f>
        <v>0</v>
      </c>
      <c r="AA461" s="9">
        <f>IFERROR(VLOOKUP(B461,cubo!$A$6:$BE$37,28,0)-VLOOKUP(B461,#REF!,$AA$2,0),0)</f>
        <v>0</v>
      </c>
      <c r="AB461" s="9">
        <f>IFERROR(VLOOKUP(B461,cubo!$A$6:$BE$37,29,0)-VLOOKUP(B461,#REF!,$AB$2,0),0)</f>
        <v>0</v>
      </c>
      <c r="AC461" s="9">
        <f>IFERROR(VLOOKUP(B461,cubo!$A$6:$BE$37,30,0)-VLOOKUP(B461,#REF!,$AC$2,0),0)</f>
        <v>0</v>
      </c>
      <c r="AD461" s="9">
        <f>IFERROR(VLOOKUP(B461,cubo!$A$6:$BE$37,31,0)-VLOOKUP(B461,#REF!,$AD$2,0),0)</f>
        <v>0</v>
      </c>
      <c r="AE461" s="9">
        <f>IFERROR(VLOOKUP(B461,cubo!$A$6:$BE$37,35,0)-VLOOKUP(B461,#REF!,$AE$2,0),0)</f>
        <v>0</v>
      </c>
      <c r="AF461" s="9" cm="1">
        <f t="array" aca="1" ref="AF461" ca="1">IFERROR(rrPROCV(B461,cubo!$A$6:$BE$37,48,0)-VLOOKUP(B461,#REF!,$AF$2,0),0)</f>
        <v>0</v>
      </c>
      <c r="AG461" s="9">
        <f>IFERROR(VLOOKUP(B461,cubo!$A$6:$BE$37,49,0)-VLOOKUP(B461,#REF!,$AG$2,0),0)</f>
        <v>0</v>
      </c>
      <c r="AH461" s="9">
        <f>IFERROR(VLOOKUP(B461,cubo!$A$6:$BE$37,50,0)-VLOOKUP(B461,#REF!,$AH$2,0),0)</f>
        <v>0</v>
      </c>
      <c r="AI461" s="9">
        <f>IFERROR(VLOOKUP(B461,cubo!$A$6:$BE$37,51,0)-VLOOKUP(B461,#REF!,$AI$2,0),0)</f>
        <v>0</v>
      </c>
      <c r="AJ461" s="9">
        <f>IFERROR(VLOOKUP(B461,cubo!$A$6:$BI$116,62,0)-VLOOKUP(B461,#REF!,$AJ$2,0),0)</f>
        <v>0</v>
      </c>
      <c r="AK461" s="9">
        <f>IFERROR(VLOOKUP(B461,cubo!$A$6:$BJ$37,63,0)-VLOOKUP(B461,#REF!,$AK$2,0),0)</f>
        <v>0</v>
      </c>
      <c r="AL461" s="9">
        <f>IFERROR(VLOOKUP(B461,cubo!$A$6:$BE$37,58,0)-VLOOKUP(B461,#REF!,$AL$2,0),0)</f>
        <v>0</v>
      </c>
      <c r="AM461" s="9">
        <f>IFERROR(VLOOKUP(B461,cubo!$A$6:$BK$37,64,0)-VLOOKUP(B461,#REF!,$AM$2,0),0)</f>
        <v>0</v>
      </c>
      <c r="AN461" s="9">
        <f>IFERROR(VLOOKUP(B461,cubo!$A$6:$AN$37,41,0)-VLOOKUP(B461,#REF!,$AN$2,0),0)</f>
        <v>0</v>
      </c>
    </row>
    <row r="462" spans="2:40" x14ac:dyDescent="0.25">
      <c r="B462" s="7">
        <f>[1]salario!A461</f>
        <v>0</v>
      </c>
      <c r="C462" s="8">
        <f>[1]salario!C461</f>
        <v>0</v>
      </c>
      <c r="D462" s="9">
        <f>IFERROR(VLOOKUP(B462,cubo!$A$6:$BE$37,3,0)-VLOOKUP(B462,#REF!,$D$2,0),0)</f>
        <v>0</v>
      </c>
      <c r="E462" s="10">
        <f>IFERROR(VLOOKUP(B462,cubo!$A$6:$BE$37,5,0)-VLOOKUP(B462,#REF!,$E$2,0),0)</f>
        <v>0</v>
      </c>
      <c r="F462" s="10">
        <f>IFERROR(VLOOKUP(B462,cubo!$A$6:$BE$37,8,0)-VLOOKUP(B462,#REF!,$F$2,0),0)</f>
        <v>0</v>
      </c>
      <c r="G462" s="9">
        <f>IFERROR(VLOOKUP(B462,cubo!$A$6:$BE$37,11,0)-VLOOKUP(B462,#REF!,$G$2,0),0)</f>
        <v>0</v>
      </c>
      <c r="H462" s="9">
        <f>IFERROR(VLOOKUP(B462,cubo!$A$6:$BE$37,53,0)-VLOOKUP(B462,#REF!,$H$2,0),0)</f>
        <v>0</v>
      </c>
      <c r="I462" s="10">
        <f>IFERROR(VLOOKUP(B462,cubo!$A$6:$BE$37,14,0)-VLOOKUP(B462,#REF!,$I$2,0),0)</f>
        <v>0</v>
      </c>
      <c r="J462" s="9">
        <f>IFERROR(VLOOKUP(B462,cubo!$A$6:$BE$37,16,0)-VLOOKUP(B462,#REF!,$J$2,0),0)</f>
        <v>0</v>
      </c>
      <c r="K462" s="9">
        <f>IFERROR(VLOOKUP(B462,cubo!$A$6:$BE$37,17,0)-VLOOKUP(B462,#REF!,$K$2,0),0)</f>
        <v>0</v>
      </c>
      <c r="L462" s="9">
        <f>IFERROR(VLOOKUP(B462,cubo!$A$6:$BE$37,19,0)-VLOOKUP(B462,#REF!,$L$2,0),0)</f>
        <v>0</v>
      </c>
      <c r="M462" s="9">
        <f>IFERROR(VLOOKUP(B462,cubo!$A$6:$BE$37,23,0)-VLOOKUP(B462,#REF!,$M$2,0),0)</f>
        <v>0</v>
      </c>
      <c r="N462" s="9">
        <f>IFERROR(VLOOKUP(B462,cubo!$A$6:$BE$37,25,0)-VLOOKUP(B462,#REF!,$N$2,0),0)</f>
        <v>0</v>
      </c>
      <c r="O462" s="9">
        <f>IFERROR(VLOOKUP(B462,cubo!$A$6:$BE$37,33,0)-VLOOKUP(B462,#REF!,$O$2,0),0)</f>
        <v>0</v>
      </c>
      <c r="P462" s="8">
        <f>IFERROR(VLOOKUP(B462,cubo!$A$6:$BE$37,37,0)-VLOOKUP(B462,#REF!,$P$2,0),0)</f>
        <v>0</v>
      </c>
      <c r="Q462" s="8">
        <f>IFERROR(VLOOKUP(B462,cubo!$A$6:$BE$37,56,0)-VLOOKUP(B462,#REF!,$Q$2,0),0)</f>
        <v>0</v>
      </c>
      <c r="R462" s="9">
        <f>IFERROR(VLOOKUP(B462,cubo!$A$6:$BE$37,40,0)-VLOOKUP(B462,#REF!,$R$2,0),0)</f>
        <v>0</v>
      </c>
      <c r="S462" s="9">
        <f>IFERROR(VLOOKUP(B462,cubo!$A$6:$BE$37,43,0)-VLOOKUP(B462,#REF!,$S$2,0),0)</f>
        <v>0</v>
      </c>
      <c r="T462" s="9">
        <f>IFERROR(VLOOKUP(B462,cubo!$A$6:$BE$37,46,0)-VLOOKUP(B462,#REF!,$T$2,0),0)</f>
        <v>0</v>
      </c>
      <c r="U462" s="9">
        <f>IFERROR(VLOOKUP(B462,cubo!$A$6:$BE$37,51,0)-VLOOKUP(B462,#REF!,$U$2,0),0)</f>
        <v>0</v>
      </c>
      <c r="V462" s="9">
        <f>IFERROR(VLOOKUP(B462,cubo!$A$6:$BJ$37,60,0)-VLOOKUP(B462,#REF!,$V$2,0),0)</f>
        <v>0</v>
      </c>
      <c r="W462" s="9">
        <f>IFERROR(VLOOKUP(B462,cubo!$A$6:$BE$37,26,0)-VLOOKUP(B462,#REF!,$W$2,0),0)</f>
        <v>0</v>
      </c>
      <c r="X462" s="9">
        <f>IFERROR(VLOOKUP(B462,cubo!$A$6:$BE$37,20,0)-VLOOKUP(B462,#REF!,$X$2,0),0)</f>
        <v>0</v>
      </c>
      <c r="Y462" s="9">
        <f>IFERROR(VLOOKUP(B462,cubo!$A$6:$BE$37,21,0)-VLOOKUP(B462,#REF!,$Y$2,0),0)</f>
        <v>0</v>
      </c>
      <c r="Z462" s="9">
        <f>IFERROR(VLOOKUP(B462,cubo!$A$6:$BE$37,27,0)-VLOOKUP(B462,#REF!,$Z$2,0),0)</f>
        <v>0</v>
      </c>
      <c r="AA462" s="9">
        <f>IFERROR(VLOOKUP(B462,cubo!$A$6:$BE$37,28,0)-VLOOKUP(B462,#REF!,$AA$2,0),0)</f>
        <v>0</v>
      </c>
      <c r="AB462" s="9">
        <f>IFERROR(VLOOKUP(B462,cubo!$A$6:$BE$37,29,0)-VLOOKUP(B462,#REF!,$AB$2,0),0)</f>
        <v>0</v>
      </c>
      <c r="AC462" s="9">
        <f>IFERROR(VLOOKUP(B462,cubo!$A$6:$BE$37,30,0)-VLOOKUP(B462,#REF!,$AC$2,0),0)</f>
        <v>0</v>
      </c>
      <c r="AD462" s="9">
        <f>IFERROR(VLOOKUP(B462,cubo!$A$6:$BE$37,31,0)-VLOOKUP(B462,#REF!,$AD$2,0),0)</f>
        <v>0</v>
      </c>
      <c r="AE462" s="9">
        <f>IFERROR(VLOOKUP(B462,cubo!$A$6:$BE$37,35,0)-VLOOKUP(B462,#REF!,$AE$2,0),0)</f>
        <v>0</v>
      </c>
      <c r="AF462" s="9" cm="1">
        <f t="array" aca="1" ref="AF462" ca="1">IFERROR(rrPROCV(B462,cubo!$A$6:$BE$37,48,0)-VLOOKUP(B462,#REF!,$AF$2,0),0)</f>
        <v>0</v>
      </c>
      <c r="AG462" s="9">
        <f>IFERROR(VLOOKUP(B462,cubo!$A$6:$BE$37,49,0)-VLOOKUP(B462,#REF!,$AG$2,0),0)</f>
        <v>0</v>
      </c>
      <c r="AH462" s="9">
        <f>IFERROR(VLOOKUP(B462,cubo!$A$6:$BE$37,50,0)-VLOOKUP(B462,#REF!,$AH$2,0),0)</f>
        <v>0</v>
      </c>
      <c r="AI462" s="9">
        <f>IFERROR(VLOOKUP(B462,cubo!$A$6:$BE$37,51,0)-VLOOKUP(B462,#REF!,$AI$2,0),0)</f>
        <v>0</v>
      </c>
      <c r="AJ462" s="9">
        <f>IFERROR(VLOOKUP(B462,cubo!$A$6:$BI$116,62,0)-VLOOKUP(B462,#REF!,$AJ$2,0),0)</f>
        <v>0</v>
      </c>
      <c r="AK462" s="9">
        <f>IFERROR(VLOOKUP(B462,cubo!$A$6:$BJ$37,63,0)-VLOOKUP(B462,#REF!,$AK$2,0),0)</f>
        <v>0</v>
      </c>
      <c r="AL462" s="9">
        <f>IFERROR(VLOOKUP(B462,cubo!$A$6:$BE$37,58,0)-VLOOKUP(B462,#REF!,$AL$2,0),0)</f>
        <v>0</v>
      </c>
      <c r="AM462" s="9">
        <f>IFERROR(VLOOKUP(B462,cubo!$A$6:$BK$37,64,0)-VLOOKUP(B462,#REF!,$AM$2,0),0)</f>
        <v>0</v>
      </c>
      <c r="AN462" s="9">
        <f>IFERROR(VLOOKUP(B462,cubo!$A$6:$AN$37,41,0)-VLOOKUP(B462,#REF!,$AN$2,0),0)</f>
        <v>0</v>
      </c>
    </row>
    <row r="463" spans="2:40" x14ac:dyDescent="0.25">
      <c r="B463" s="7">
        <f>[1]salario!A462</f>
        <v>0</v>
      </c>
      <c r="C463" s="8">
        <f>[1]salario!C462</f>
        <v>0</v>
      </c>
      <c r="D463" s="9">
        <f>IFERROR(VLOOKUP(B463,cubo!$A$6:$BE$37,3,0)-VLOOKUP(B463,#REF!,$D$2,0),0)</f>
        <v>0</v>
      </c>
      <c r="E463" s="10">
        <f>IFERROR(VLOOKUP(B463,cubo!$A$6:$BE$37,5,0)-VLOOKUP(B463,#REF!,$E$2,0),0)</f>
        <v>0</v>
      </c>
      <c r="F463" s="10">
        <f>IFERROR(VLOOKUP(B463,cubo!$A$6:$BE$37,8,0)-VLOOKUP(B463,#REF!,$F$2,0),0)</f>
        <v>0</v>
      </c>
      <c r="G463" s="9">
        <f>IFERROR(VLOOKUP(B463,cubo!$A$6:$BE$37,11,0)-VLOOKUP(B463,#REF!,$G$2,0),0)</f>
        <v>0</v>
      </c>
      <c r="H463" s="9">
        <f>IFERROR(VLOOKUP(B463,cubo!$A$6:$BE$37,53,0)-VLOOKUP(B463,#REF!,$H$2,0),0)</f>
        <v>0</v>
      </c>
      <c r="I463" s="10">
        <f>IFERROR(VLOOKUP(B463,cubo!$A$6:$BE$37,14,0)-VLOOKUP(B463,#REF!,$I$2,0),0)</f>
        <v>0</v>
      </c>
      <c r="J463" s="9">
        <f>IFERROR(VLOOKUP(B463,cubo!$A$6:$BE$37,16,0)-VLOOKUP(B463,#REF!,$J$2,0),0)</f>
        <v>0</v>
      </c>
      <c r="K463" s="9">
        <f>IFERROR(VLOOKUP(B463,cubo!$A$6:$BE$37,17,0)-VLOOKUP(B463,#REF!,$K$2,0),0)</f>
        <v>0</v>
      </c>
      <c r="L463" s="9">
        <f>IFERROR(VLOOKUP(B463,cubo!$A$6:$BE$37,19,0)-VLOOKUP(B463,#REF!,$L$2,0),0)</f>
        <v>0</v>
      </c>
      <c r="M463" s="9">
        <f>IFERROR(VLOOKUP(B463,cubo!$A$6:$BE$37,23,0)-VLOOKUP(B463,#REF!,$M$2,0),0)</f>
        <v>0</v>
      </c>
      <c r="N463" s="9">
        <f>IFERROR(VLOOKUP(B463,cubo!$A$6:$BE$37,25,0)-VLOOKUP(B463,#REF!,$N$2,0),0)</f>
        <v>0</v>
      </c>
      <c r="O463" s="9">
        <f>IFERROR(VLOOKUP(B463,cubo!$A$6:$BE$37,33,0)-VLOOKUP(B463,#REF!,$O$2,0),0)</f>
        <v>0</v>
      </c>
      <c r="P463" s="8">
        <f>IFERROR(VLOOKUP(B463,cubo!$A$6:$BE$37,37,0)-VLOOKUP(B463,#REF!,$P$2,0),0)</f>
        <v>0</v>
      </c>
      <c r="Q463" s="8">
        <f>IFERROR(VLOOKUP(B463,cubo!$A$6:$BE$37,56,0)-VLOOKUP(B463,#REF!,$Q$2,0),0)</f>
        <v>0</v>
      </c>
      <c r="R463" s="9">
        <f>IFERROR(VLOOKUP(B463,cubo!$A$6:$BE$37,40,0)-VLOOKUP(B463,#REF!,$R$2,0),0)</f>
        <v>0</v>
      </c>
      <c r="S463" s="9">
        <f>IFERROR(VLOOKUP(B463,cubo!$A$6:$BE$37,43,0)-VLOOKUP(B463,#REF!,$S$2,0),0)</f>
        <v>0</v>
      </c>
      <c r="T463" s="9">
        <f>IFERROR(VLOOKUP(B463,cubo!$A$6:$BE$37,46,0)-VLOOKUP(B463,#REF!,$T$2,0),0)</f>
        <v>0</v>
      </c>
      <c r="U463" s="9">
        <f>IFERROR(VLOOKUP(B463,cubo!$A$6:$BE$37,51,0)-VLOOKUP(B463,#REF!,$U$2,0),0)</f>
        <v>0</v>
      </c>
      <c r="V463" s="9">
        <f>IFERROR(VLOOKUP(B463,cubo!$A$6:$BJ$37,60,0)-VLOOKUP(B463,#REF!,$V$2,0),0)</f>
        <v>0</v>
      </c>
      <c r="W463" s="9">
        <f>IFERROR(VLOOKUP(B463,cubo!$A$6:$BE$37,26,0)-VLOOKUP(B463,#REF!,$W$2,0),0)</f>
        <v>0</v>
      </c>
      <c r="X463" s="9">
        <f>IFERROR(VLOOKUP(B463,cubo!$A$6:$BE$37,20,0)-VLOOKUP(B463,#REF!,$X$2,0),0)</f>
        <v>0</v>
      </c>
      <c r="Y463" s="9">
        <f>IFERROR(VLOOKUP(B463,cubo!$A$6:$BE$37,21,0)-VLOOKUP(B463,#REF!,$Y$2,0),0)</f>
        <v>0</v>
      </c>
      <c r="Z463" s="9">
        <f>IFERROR(VLOOKUP(B463,cubo!$A$6:$BE$37,27,0)-VLOOKUP(B463,#REF!,$Z$2,0),0)</f>
        <v>0</v>
      </c>
      <c r="AA463" s="9">
        <f>IFERROR(VLOOKUP(B463,cubo!$A$6:$BE$37,28,0)-VLOOKUP(B463,#REF!,$AA$2,0),0)</f>
        <v>0</v>
      </c>
      <c r="AB463" s="9">
        <f>IFERROR(VLOOKUP(B463,cubo!$A$6:$BE$37,29,0)-VLOOKUP(B463,#REF!,$AB$2,0),0)</f>
        <v>0</v>
      </c>
      <c r="AC463" s="9">
        <f>IFERROR(VLOOKUP(B463,cubo!$A$6:$BE$37,30,0)-VLOOKUP(B463,#REF!,$AC$2,0),0)</f>
        <v>0</v>
      </c>
      <c r="AD463" s="9">
        <f>IFERROR(VLOOKUP(B463,cubo!$A$6:$BE$37,31,0)-VLOOKUP(B463,#REF!,$AD$2,0),0)</f>
        <v>0</v>
      </c>
      <c r="AE463" s="9">
        <f>IFERROR(VLOOKUP(B463,cubo!$A$6:$BE$37,35,0)-VLOOKUP(B463,#REF!,$AE$2,0),0)</f>
        <v>0</v>
      </c>
      <c r="AF463" s="9" cm="1">
        <f t="array" aca="1" ref="AF463" ca="1">IFERROR(rrPROCV(B463,cubo!$A$6:$BE$37,48,0)-VLOOKUP(B463,#REF!,$AF$2,0),0)</f>
        <v>0</v>
      </c>
      <c r="AG463" s="9">
        <f>IFERROR(VLOOKUP(B463,cubo!$A$6:$BE$37,49,0)-VLOOKUP(B463,#REF!,$AG$2,0),0)</f>
        <v>0</v>
      </c>
      <c r="AH463" s="9">
        <f>IFERROR(VLOOKUP(B463,cubo!$A$6:$BE$37,50,0)-VLOOKUP(B463,#REF!,$AH$2,0),0)</f>
        <v>0</v>
      </c>
      <c r="AI463" s="9">
        <f>IFERROR(VLOOKUP(B463,cubo!$A$6:$BE$37,51,0)-VLOOKUP(B463,#REF!,$AI$2,0),0)</f>
        <v>0</v>
      </c>
      <c r="AJ463" s="9">
        <f>IFERROR(VLOOKUP(B463,cubo!$A$6:$BI$116,62,0)-VLOOKUP(B463,#REF!,$AJ$2,0),0)</f>
        <v>0</v>
      </c>
      <c r="AK463" s="9">
        <f>IFERROR(VLOOKUP(B463,cubo!$A$6:$BJ$37,63,0)-VLOOKUP(B463,#REF!,$AK$2,0),0)</f>
        <v>0</v>
      </c>
      <c r="AL463" s="9">
        <f>IFERROR(VLOOKUP(B463,cubo!$A$6:$BE$37,58,0)-VLOOKUP(B463,#REF!,$AL$2,0),0)</f>
        <v>0</v>
      </c>
      <c r="AM463" s="9">
        <f>IFERROR(VLOOKUP(B463,cubo!$A$6:$BK$37,64,0)-VLOOKUP(B463,#REF!,$AM$2,0),0)</f>
        <v>0</v>
      </c>
      <c r="AN463" s="9">
        <f>IFERROR(VLOOKUP(B463,cubo!$A$6:$AN$37,41,0)-VLOOKUP(B463,#REF!,$AN$2,0),0)</f>
        <v>0</v>
      </c>
    </row>
    <row r="464" spans="2:40" x14ac:dyDescent="0.25">
      <c r="B464" s="7">
        <f>[1]salario!A463</f>
        <v>0</v>
      </c>
      <c r="C464" s="8">
        <f>[1]salario!C463</f>
        <v>0</v>
      </c>
      <c r="D464" s="9">
        <f>IFERROR(VLOOKUP(B464,cubo!$A$6:$BE$37,3,0)-VLOOKUP(B464,#REF!,$D$2,0),0)</f>
        <v>0</v>
      </c>
      <c r="E464" s="10">
        <f>IFERROR(VLOOKUP(B464,cubo!$A$6:$BE$37,5,0)-VLOOKUP(B464,#REF!,$E$2,0),0)</f>
        <v>0</v>
      </c>
      <c r="F464" s="10">
        <f>IFERROR(VLOOKUP(B464,cubo!$A$6:$BE$37,8,0)-VLOOKUP(B464,#REF!,$F$2,0),0)</f>
        <v>0</v>
      </c>
      <c r="G464" s="9">
        <f>IFERROR(VLOOKUP(B464,cubo!$A$6:$BE$37,11,0)-VLOOKUP(B464,#REF!,$G$2,0),0)</f>
        <v>0</v>
      </c>
      <c r="H464" s="9">
        <f>IFERROR(VLOOKUP(B464,cubo!$A$6:$BE$37,53,0)-VLOOKUP(B464,#REF!,$H$2,0),0)</f>
        <v>0</v>
      </c>
      <c r="I464" s="10">
        <f>IFERROR(VLOOKUP(B464,cubo!$A$6:$BE$37,14,0)-VLOOKUP(B464,#REF!,$I$2,0),0)</f>
        <v>0</v>
      </c>
      <c r="J464" s="9">
        <f>IFERROR(VLOOKUP(B464,cubo!$A$6:$BE$37,16,0)-VLOOKUP(B464,#REF!,$J$2,0),0)</f>
        <v>0</v>
      </c>
      <c r="K464" s="9">
        <f>IFERROR(VLOOKUP(B464,cubo!$A$6:$BE$37,17,0)-VLOOKUP(B464,#REF!,$K$2,0),0)</f>
        <v>0</v>
      </c>
      <c r="L464" s="9">
        <f>IFERROR(VLOOKUP(B464,cubo!$A$6:$BE$37,19,0)-VLOOKUP(B464,#REF!,$L$2,0),0)</f>
        <v>0</v>
      </c>
      <c r="M464" s="9">
        <f>IFERROR(VLOOKUP(B464,cubo!$A$6:$BE$37,23,0)-VLOOKUP(B464,#REF!,$M$2,0),0)</f>
        <v>0</v>
      </c>
      <c r="N464" s="9">
        <f>IFERROR(VLOOKUP(B464,cubo!$A$6:$BE$37,25,0)-VLOOKUP(B464,#REF!,$N$2,0),0)</f>
        <v>0</v>
      </c>
      <c r="O464" s="9">
        <f>IFERROR(VLOOKUP(B464,cubo!$A$6:$BE$37,33,0)-VLOOKUP(B464,#REF!,$O$2,0),0)</f>
        <v>0</v>
      </c>
      <c r="P464" s="8">
        <f>IFERROR(VLOOKUP(B464,cubo!$A$6:$BE$37,37,0)-VLOOKUP(B464,#REF!,$P$2,0),0)</f>
        <v>0</v>
      </c>
      <c r="Q464" s="8">
        <f>IFERROR(VLOOKUP(B464,cubo!$A$6:$BE$37,56,0)-VLOOKUP(B464,#REF!,$Q$2,0),0)</f>
        <v>0</v>
      </c>
      <c r="R464" s="9">
        <f>IFERROR(VLOOKUP(B464,cubo!$A$6:$BE$37,40,0)-VLOOKUP(B464,#REF!,$R$2,0),0)</f>
        <v>0</v>
      </c>
      <c r="S464" s="9">
        <f>IFERROR(VLOOKUP(B464,cubo!$A$6:$BE$37,43,0)-VLOOKUP(B464,#REF!,$S$2,0),0)</f>
        <v>0</v>
      </c>
      <c r="T464" s="9">
        <f>IFERROR(VLOOKUP(B464,cubo!$A$6:$BE$37,46,0)-VLOOKUP(B464,#REF!,$T$2,0),0)</f>
        <v>0</v>
      </c>
      <c r="U464" s="9">
        <f>IFERROR(VLOOKUP(B464,cubo!$A$6:$BE$37,51,0)-VLOOKUP(B464,#REF!,$U$2,0),0)</f>
        <v>0</v>
      </c>
      <c r="V464" s="9">
        <f>IFERROR(VLOOKUP(B464,cubo!$A$6:$BJ$37,60,0)-VLOOKUP(B464,#REF!,$V$2,0),0)</f>
        <v>0</v>
      </c>
      <c r="W464" s="9">
        <f>IFERROR(VLOOKUP(B464,cubo!$A$6:$BE$37,26,0)-VLOOKUP(B464,#REF!,$W$2,0),0)</f>
        <v>0</v>
      </c>
      <c r="X464" s="9">
        <f>IFERROR(VLOOKUP(B464,cubo!$A$6:$BE$37,20,0)-VLOOKUP(B464,#REF!,$X$2,0),0)</f>
        <v>0</v>
      </c>
      <c r="Y464" s="9">
        <f>IFERROR(VLOOKUP(B464,cubo!$A$6:$BE$37,21,0)-VLOOKUP(B464,#REF!,$Y$2,0),0)</f>
        <v>0</v>
      </c>
      <c r="Z464" s="9">
        <f>IFERROR(VLOOKUP(B464,cubo!$A$6:$BE$37,27,0)-VLOOKUP(B464,#REF!,$Z$2,0),0)</f>
        <v>0</v>
      </c>
      <c r="AA464" s="9">
        <f>IFERROR(VLOOKUP(B464,cubo!$A$6:$BE$37,28,0)-VLOOKUP(B464,#REF!,$AA$2,0),0)</f>
        <v>0</v>
      </c>
      <c r="AB464" s="9">
        <f>IFERROR(VLOOKUP(B464,cubo!$A$6:$BE$37,29,0)-VLOOKUP(B464,#REF!,$AB$2,0),0)</f>
        <v>0</v>
      </c>
      <c r="AC464" s="9">
        <f>IFERROR(VLOOKUP(B464,cubo!$A$6:$BE$37,30,0)-VLOOKUP(B464,#REF!,$AC$2,0),0)</f>
        <v>0</v>
      </c>
      <c r="AD464" s="9">
        <f>IFERROR(VLOOKUP(B464,cubo!$A$6:$BE$37,31,0)-VLOOKUP(B464,#REF!,$AD$2,0),0)</f>
        <v>0</v>
      </c>
      <c r="AE464" s="9">
        <f>IFERROR(VLOOKUP(B464,cubo!$A$6:$BE$37,35,0)-VLOOKUP(B464,#REF!,$AE$2,0),0)</f>
        <v>0</v>
      </c>
      <c r="AF464" s="9" cm="1">
        <f t="array" aca="1" ref="AF464" ca="1">IFERROR(rrPROCV(B464,cubo!$A$6:$BE$37,48,0)-VLOOKUP(B464,#REF!,$AF$2,0),0)</f>
        <v>0</v>
      </c>
      <c r="AG464" s="9">
        <f>IFERROR(VLOOKUP(B464,cubo!$A$6:$BE$37,49,0)-VLOOKUP(B464,#REF!,$AG$2,0),0)</f>
        <v>0</v>
      </c>
      <c r="AH464" s="9">
        <f>IFERROR(VLOOKUP(B464,cubo!$A$6:$BE$37,50,0)-VLOOKUP(B464,#REF!,$AH$2,0),0)</f>
        <v>0</v>
      </c>
      <c r="AI464" s="9">
        <f>IFERROR(VLOOKUP(B464,cubo!$A$6:$BE$37,51,0)-VLOOKUP(B464,#REF!,$AI$2,0),0)</f>
        <v>0</v>
      </c>
      <c r="AJ464" s="9">
        <f>IFERROR(VLOOKUP(B464,cubo!$A$6:$BI$116,62,0)-VLOOKUP(B464,#REF!,$AJ$2,0),0)</f>
        <v>0</v>
      </c>
      <c r="AK464" s="9">
        <f>IFERROR(VLOOKUP(B464,cubo!$A$6:$BJ$37,63,0)-VLOOKUP(B464,#REF!,$AK$2,0),0)</f>
        <v>0</v>
      </c>
      <c r="AL464" s="9">
        <f>IFERROR(VLOOKUP(B464,cubo!$A$6:$BE$37,58,0)-VLOOKUP(B464,#REF!,$AL$2,0),0)</f>
        <v>0</v>
      </c>
      <c r="AM464" s="9">
        <f>IFERROR(VLOOKUP(B464,cubo!$A$6:$BK$37,64,0)-VLOOKUP(B464,#REF!,$AM$2,0),0)</f>
        <v>0</v>
      </c>
      <c r="AN464" s="9">
        <f>IFERROR(VLOOKUP(B464,cubo!$A$6:$AN$37,41,0)-VLOOKUP(B464,#REF!,$AN$2,0),0)</f>
        <v>0</v>
      </c>
    </row>
    <row r="465" spans="2:40" x14ac:dyDescent="0.25">
      <c r="B465" s="7">
        <f>[1]salario!A464</f>
        <v>0</v>
      </c>
      <c r="C465" s="8">
        <f>[1]salario!C464</f>
        <v>0</v>
      </c>
      <c r="D465" s="9">
        <f>IFERROR(VLOOKUP(B465,cubo!$A$6:$BE$37,3,0)-VLOOKUP(B465,#REF!,$D$2,0),0)</f>
        <v>0</v>
      </c>
      <c r="E465" s="10">
        <f>IFERROR(VLOOKUP(B465,cubo!$A$6:$BE$37,5,0)-VLOOKUP(B465,#REF!,$E$2,0),0)</f>
        <v>0</v>
      </c>
      <c r="F465" s="10">
        <f>IFERROR(VLOOKUP(B465,cubo!$A$6:$BE$37,8,0)-VLOOKUP(B465,#REF!,$F$2,0),0)</f>
        <v>0</v>
      </c>
      <c r="G465" s="9">
        <f>IFERROR(VLOOKUP(B465,cubo!$A$6:$BE$37,11,0)-VLOOKUP(B465,#REF!,$G$2,0),0)</f>
        <v>0</v>
      </c>
      <c r="H465" s="9">
        <f>IFERROR(VLOOKUP(B465,cubo!$A$6:$BE$37,53,0)-VLOOKUP(B465,#REF!,$H$2,0),0)</f>
        <v>0</v>
      </c>
      <c r="I465" s="10">
        <f>IFERROR(VLOOKUP(B465,cubo!$A$6:$BE$37,14,0)-VLOOKUP(B465,#REF!,$I$2,0),0)</f>
        <v>0</v>
      </c>
      <c r="J465" s="9">
        <f>IFERROR(VLOOKUP(B465,cubo!$A$6:$BE$37,16,0)-VLOOKUP(B465,#REF!,$J$2,0),0)</f>
        <v>0</v>
      </c>
      <c r="K465" s="9">
        <f>IFERROR(VLOOKUP(B465,cubo!$A$6:$BE$37,17,0)-VLOOKUP(B465,#REF!,$K$2,0),0)</f>
        <v>0</v>
      </c>
      <c r="L465" s="9">
        <f>IFERROR(VLOOKUP(B465,cubo!$A$6:$BE$37,19,0)-VLOOKUP(B465,#REF!,$L$2,0),0)</f>
        <v>0</v>
      </c>
      <c r="M465" s="9">
        <f>IFERROR(VLOOKUP(B465,cubo!$A$6:$BE$37,23,0)-VLOOKUP(B465,#REF!,$M$2,0),0)</f>
        <v>0</v>
      </c>
      <c r="N465" s="9">
        <f>IFERROR(VLOOKUP(B465,cubo!$A$6:$BE$37,25,0)-VLOOKUP(B465,#REF!,$N$2,0),0)</f>
        <v>0</v>
      </c>
      <c r="O465" s="9">
        <f>IFERROR(VLOOKUP(B465,cubo!$A$6:$BE$37,33,0)-VLOOKUP(B465,#REF!,$O$2,0),0)</f>
        <v>0</v>
      </c>
      <c r="P465" s="8">
        <f>IFERROR(VLOOKUP(B465,cubo!$A$6:$BE$37,37,0)-VLOOKUP(B465,#REF!,$P$2,0),0)</f>
        <v>0</v>
      </c>
      <c r="Q465" s="8">
        <f>IFERROR(VLOOKUP(B465,cubo!$A$6:$BE$37,56,0)-VLOOKUP(B465,#REF!,$Q$2,0),0)</f>
        <v>0</v>
      </c>
      <c r="R465" s="9">
        <f>IFERROR(VLOOKUP(B465,cubo!$A$6:$BE$37,40,0)-VLOOKUP(B465,#REF!,$R$2,0),0)</f>
        <v>0</v>
      </c>
      <c r="S465" s="9">
        <f>IFERROR(VLOOKUP(B465,cubo!$A$6:$BE$37,43,0)-VLOOKUP(B465,#REF!,$S$2,0),0)</f>
        <v>0</v>
      </c>
      <c r="T465" s="9">
        <f>IFERROR(VLOOKUP(B465,cubo!$A$6:$BE$37,46,0)-VLOOKUP(B465,#REF!,$T$2,0),0)</f>
        <v>0</v>
      </c>
      <c r="U465" s="9">
        <f>IFERROR(VLOOKUP(B465,cubo!$A$6:$BE$37,51,0)-VLOOKUP(B465,#REF!,$U$2,0),0)</f>
        <v>0</v>
      </c>
      <c r="V465" s="9">
        <f>IFERROR(VLOOKUP(B465,cubo!$A$6:$BJ$37,60,0)-VLOOKUP(B465,#REF!,$V$2,0),0)</f>
        <v>0</v>
      </c>
      <c r="W465" s="9">
        <f>IFERROR(VLOOKUP(B465,cubo!$A$6:$BE$37,26,0)-VLOOKUP(B465,#REF!,$W$2,0),0)</f>
        <v>0</v>
      </c>
      <c r="X465" s="9">
        <f>IFERROR(VLOOKUP(B465,cubo!$A$6:$BE$37,20,0)-VLOOKUP(B465,#REF!,$X$2,0),0)</f>
        <v>0</v>
      </c>
      <c r="Y465" s="9">
        <f>IFERROR(VLOOKUP(B465,cubo!$A$6:$BE$37,21,0)-VLOOKUP(B465,#REF!,$Y$2,0),0)</f>
        <v>0</v>
      </c>
      <c r="Z465" s="9">
        <f>IFERROR(VLOOKUP(B465,cubo!$A$6:$BE$37,27,0)-VLOOKUP(B465,#REF!,$Z$2,0),0)</f>
        <v>0</v>
      </c>
      <c r="AA465" s="9">
        <f>IFERROR(VLOOKUP(B465,cubo!$A$6:$BE$37,28,0)-VLOOKUP(B465,#REF!,$AA$2,0),0)</f>
        <v>0</v>
      </c>
      <c r="AB465" s="9">
        <f>IFERROR(VLOOKUP(B465,cubo!$A$6:$BE$37,29,0)-VLOOKUP(B465,#REF!,$AB$2,0),0)</f>
        <v>0</v>
      </c>
      <c r="AC465" s="9">
        <f>IFERROR(VLOOKUP(B465,cubo!$A$6:$BE$37,30,0)-VLOOKUP(B465,#REF!,$AC$2,0),0)</f>
        <v>0</v>
      </c>
      <c r="AD465" s="9">
        <f>IFERROR(VLOOKUP(B465,cubo!$A$6:$BE$37,31,0)-VLOOKUP(B465,#REF!,$AD$2,0),0)</f>
        <v>0</v>
      </c>
      <c r="AE465" s="9">
        <f>IFERROR(VLOOKUP(B465,cubo!$A$6:$BE$37,35,0)-VLOOKUP(B465,#REF!,$AE$2,0),0)</f>
        <v>0</v>
      </c>
      <c r="AF465" s="9" cm="1">
        <f t="array" aca="1" ref="AF465" ca="1">IFERROR(rrPROCV(B465,cubo!$A$6:$BE$37,48,0)-VLOOKUP(B465,#REF!,$AF$2,0),0)</f>
        <v>0</v>
      </c>
      <c r="AG465" s="9">
        <f>IFERROR(VLOOKUP(B465,cubo!$A$6:$BE$37,49,0)-VLOOKUP(B465,#REF!,$AG$2,0),0)</f>
        <v>0</v>
      </c>
      <c r="AH465" s="9">
        <f>IFERROR(VLOOKUP(B465,cubo!$A$6:$BE$37,50,0)-VLOOKUP(B465,#REF!,$AH$2,0),0)</f>
        <v>0</v>
      </c>
      <c r="AI465" s="9">
        <f>IFERROR(VLOOKUP(B465,cubo!$A$6:$BE$37,51,0)-VLOOKUP(B465,#REF!,$AI$2,0),0)</f>
        <v>0</v>
      </c>
      <c r="AJ465" s="9">
        <f>IFERROR(VLOOKUP(B465,cubo!$A$6:$BI$116,62,0)-VLOOKUP(B465,#REF!,$AJ$2,0),0)</f>
        <v>0</v>
      </c>
      <c r="AK465" s="9">
        <f>IFERROR(VLOOKUP(B465,cubo!$A$6:$BJ$37,63,0)-VLOOKUP(B465,#REF!,$AK$2,0),0)</f>
        <v>0</v>
      </c>
      <c r="AL465" s="9">
        <f>IFERROR(VLOOKUP(B465,cubo!$A$6:$BE$37,58,0)-VLOOKUP(B465,#REF!,$AL$2,0),0)</f>
        <v>0</v>
      </c>
      <c r="AM465" s="9">
        <f>IFERROR(VLOOKUP(B465,cubo!$A$6:$BK$37,64,0)-VLOOKUP(B465,#REF!,$AM$2,0),0)</f>
        <v>0</v>
      </c>
      <c r="AN465" s="9">
        <f>IFERROR(VLOOKUP(B465,cubo!$A$6:$AN$37,41,0)-VLOOKUP(B465,#REF!,$AN$2,0),0)</f>
        <v>0</v>
      </c>
    </row>
    <row r="466" spans="2:40" x14ac:dyDescent="0.25">
      <c r="B466" s="7">
        <f>[1]salario!A465</f>
        <v>0</v>
      </c>
      <c r="C466" s="8">
        <f>[1]salario!C465</f>
        <v>0</v>
      </c>
      <c r="D466" s="9">
        <f>IFERROR(VLOOKUP(B466,cubo!$A$6:$BE$37,3,0)-VLOOKUP(B466,#REF!,$D$2,0),0)</f>
        <v>0</v>
      </c>
      <c r="E466" s="10">
        <f>IFERROR(VLOOKUP(B466,cubo!$A$6:$BE$37,5,0)-VLOOKUP(B466,#REF!,$E$2,0),0)</f>
        <v>0</v>
      </c>
      <c r="F466" s="10">
        <f>IFERROR(VLOOKUP(B466,cubo!$A$6:$BE$37,8,0)-VLOOKUP(B466,#REF!,$F$2,0),0)</f>
        <v>0</v>
      </c>
      <c r="G466" s="9">
        <f>IFERROR(VLOOKUP(B466,cubo!$A$6:$BE$37,11,0)-VLOOKUP(B466,#REF!,$G$2,0),0)</f>
        <v>0</v>
      </c>
      <c r="H466" s="9">
        <f>IFERROR(VLOOKUP(B466,cubo!$A$6:$BE$37,53,0)-VLOOKUP(B466,#REF!,$H$2,0),0)</f>
        <v>0</v>
      </c>
      <c r="I466" s="10">
        <f>IFERROR(VLOOKUP(B466,cubo!$A$6:$BE$37,14,0)-VLOOKUP(B466,#REF!,$I$2,0),0)</f>
        <v>0</v>
      </c>
      <c r="J466" s="9">
        <f>IFERROR(VLOOKUP(B466,cubo!$A$6:$BE$37,16,0)-VLOOKUP(B466,#REF!,$J$2,0),0)</f>
        <v>0</v>
      </c>
      <c r="K466" s="9">
        <f>IFERROR(VLOOKUP(B466,cubo!$A$6:$BE$37,17,0)-VLOOKUP(B466,#REF!,$K$2,0),0)</f>
        <v>0</v>
      </c>
      <c r="L466" s="9">
        <f>IFERROR(VLOOKUP(B466,cubo!$A$6:$BE$37,19,0)-VLOOKUP(B466,#REF!,$L$2,0),0)</f>
        <v>0</v>
      </c>
      <c r="M466" s="9">
        <f>IFERROR(VLOOKUP(B466,cubo!$A$6:$BE$37,23,0)-VLOOKUP(B466,#REF!,$M$2,0),0)</f>
        <v>0</v>
      </c>
      <c r="N466" s="9">
        <f>IFERROR(VLOOKUP(B466,cubo!$A$6:$BE$37,25,0)-VLOOKUP(B466,#REF!,$N$2,0),0)</f>
        <v>0</v>
      </c>
      <c r="O466" s="9">
        <f>IFERROR(VLOOKUP(B466,cubo!$A$6:$BE$37,33,0)-VLOOKUP(B466,#REF!,$O$2,0),0)</f>
        <v>0</v>
      </c>
      <c r="P466" s="8">
        <f>IFERROR(VLOOKUP(B466,cubo!$A$6:$BE$37,37,0)-VLOOKUP(B466,#REF!,$P$2,0),0)</f>
        <v>0</v>
      </c>
      <c r="Q466" s="8">
        <f>IFERROR(VLOOKUP(B466,cubo!$A$6:$BE$37,56,0)-VLOOKUP(B466,#REF!,$Q$2,0),0)</f>
        <v>0</v>
      </c>
      <c r="R466" s="9">
        <f>IFERROR(VLOOKUP(B466,cubo!$A$6:$BE$37,40,0)-VLOOKUP(B466,#REF!,$R$2,0),0)</f>
        <v>0</v>
      </c>
      <c r="S466" s="9">
        <f>IFERROR(VLOOKUP(B466,cubo!$A$6:$BE$37,43,0)-VLOOKUP(B466,#REF!,$S$2,0),0)</f>
        <v>0</v>
      </c>
      <c r="T466" s="9">
        <f>IFERROR(VLOOKUP(B466,cubo!$A$6:$BE$37,46,0)-VLOOKUP(B466,#REF!,$T$2,0),0)</f>
        <v>0</v>
      </c>
      <c r="U466" s="9">
        <f>IFERROR(VLOOKUP(B466,cubo!$A$6:$BE$37,51,0)-VLOOKUP(B466,#REF!,$U$2,0),0)</f>
        <v>0</v>
      </c>
      <c r="V466" s="9">
        <f>IFERROR(VLOOKUP(B466,cubo!$A$6:$BJ$37,60,0)-VLOOKUP(B466,#REF!,$V$2,0),0)</f>
        <v>0</v>
      </c>
      <c r="W466" s="9">
        <f>IFERROR(VLOOKUP(B466,cubo!$A$6:$BE$37,26,0)-VLOOKUP(B466,#REF!,$W$2,0),0)</f>
        <v>0</v>
      </c>
      <c r="X466" s="9">
        <f>IFERROR(VLOOKUP(B466,cubo!$A$6:$BE$37,20,0)-VLOOKUP(B466,#REF!,$X$2,0),0)</f>
        <v>0</v>
      </c>
      <c r="Y466" s="9">
        <f>IFERROR(VLOOKUP(B466,cubo!$A$6:$BE$37,21,0)-VLOOKUP(B466,#REF!,$Y$2,0),0)</f>
        <v>0</v>
      </c>
      <c r="Z466" s="9">
        <f>IFERROR(VLOOKUP(B466,cubo!$A$6:$BE$37,27,0)-VLOOKUP(B466,#REF!,$Z$2,0),0)</f>
        <v>0</v>
      </c>
      <c r="AA466" s="9">
        <f>IFERROR(VLOOKUP(B466,cubo!$A$6:$BE$37,28,0)-VLOOKUP(B466,#REF!,$AA$2,0),0)</f>
        <v>0</v>
      </c>
      <c r="AB466" s="9">
        <f>IFERROR(VLOOKUP(B466,cubo!$A$6:$BE$37,29,0)-VLOOKUP(B466,#REF!,$AB$2,0),0)</f>
        <v>0</v>
      </c>
      <c r="AC466" s="9">
        <f>IFERROR(VLOOKUP(B466,cubo!$A$6:$BE$37,30,0)-VLOOKUP(B466,#REF!,$AC$2,0),0)</f>
        <v>0</v>
      </c>
      <c r="AD466" s="9">
        <f>IFERROR(VLOOKUP(B466,cubo!$A$6:$BE$37,31,0)-VLOOKUP(B466,#REF!,$AD$2,0),0)</f>
        <v>0</v>
      </c>
      <c r="AE466" s="9">
        <f>IFERROR(VLOOKUP(B466,cubo!$A$6:$BE$37,35,0)-VLOOKUP(B466,#REF!,$AE$2,0),0)</f>
        <v>0</v>
      </c>
      <c r="AF466" s="9" cm="1">
        <f t="array" aca="1" ref="AF466" ca="1">IFERROR(rrPROCV(B466,cubo!$A$6:$BE$37,48,0)-VLOOKUP(B466,#REF!,$AF$2,0),0)</f>
        <v>0</v>
      </c>
      <c r="AG466" s="9">
        <f>IFERROR(VLOOKUP(B466,cubo!$A$6:$BE$37,49,0)-VLOOKUP(B466,#REF!,$AG$2,0),0)</f>
        <v>0</v>
      </c>
      <c r="AH466" s="9">
        <f>IFERROR(VLOOKUP(B466,cubo!$A$6:$BE$37,50,0)-VLOOKUP(B466,#REF!,$AH$2,0),0)</f>
        <v>0</v>
      </c>
      <c r="AI466" s="9">
        <f>IFERROR(VLOOKUP(B466,cubo!$A$6:$BE$37,51,0)-VLOOKUP(B466,#REF!,$AI$2,0),0)</f>
        <v>0</v>
      </c>
      <c r="AJ466" s="9">
        <f>IFERROR(VLOOKUP(B466,cubo!$A$6:$BI$116,62,0)-VLOOKUP(B466,#REF!,$AJ$2,0),0)</f>
        <v>0</v>
      </c>
      <c r="AK466" s="9">
        <f>IFERROR(VLOOKUP(B466,cubo!$A$6:$BJ$37,63,0)-VLOOKUP(B466,#REF!,$AK$2,0),0)</f>
        <v>0</v>
      </c>
      <c r="AL466" s="9">
        <f>IFERROR(VLOOKUP(B466,cubo!$A$6:$BE$37,58,0)-VLOOKUP(B466,#REF!,$AL$2,0),0)</f>
        <v>0</v>
      </c>
      <c r="AM466" s="9">
        <f>IFERROR(VLOOKUP(B466,cubo!$A$6:$BK$37,64,0)-VLOOKUP(B466,#REF!,$AM$2,0),0)</f>
        <v>0</v>
      </c>
      <c r="AN466" s="9">
        <f>IFERROR(VLOOKUP(B466,cubo!$A$6:$AN$37,41,0)-VLOOKUP(B466,#REF!,$AN$2,0),0)</f>
        <v>0</v>
      </c>
    </row>
    <row r="467" spans="2:40" x14ac:dyDescent="0.25">
      <c r="B467" s="7">
        <f>[1]salario!A466</f>
        <v>0</v>
      </c>
      <c r="C467" s="8">
        <f>[1]salario!C466</f>
        <v>0</v>
      </c>
      <c r="D467" s="9">
        <f>IFERROR(VLOOKUP(B467,cubo!$A$6:$BE$37,3,0)-VLOOKUP(B467,#REF!,$D$2,0),0)</f>
        <v>0</v>
      </c>
      <c r="E467" s="10">
        <f>IFERROR(VLOOKUP(B467,cubo!$A$6:$BE$37,5,0)-VLOOKUP(B467,#REF!,$E$2,0),0)</f>
        <v>0</v>
      </c>
      <c r="F467" s="10">
        <f>IFERROR(VLOOKUP(B467,cubo!$A$6:$BE$37,8,0)-VLOOKUP(B467,#REF!,$F$2,0),0)</f>
        <v>0</v>
      </c>
      <c r="G467" s="9">
        <f>IFERROR(VLOOKUP(B467,cubo!$A$6:$BE$37,11,0)-VLOOKUP(B467,#REF!,$G$2,0),0)</f>
        <v>0</v>
      </c>
      <c r="H467" s="9">
        <f>IFERROR(VLOOKUP(B467,cubo!$A$6:$BE$37,53,0)-VLOOKUP(B467,#REF!,$H$2,0),0)</f>
        <v>0</v>
      </c>
      <c r="I467" s="10">
        <f>IFERROR(VLOOKUP(B467,cubo!$A$6:$BE$37,14,0)-VLOOKUP(B467,#REF!,$I$2,0),0)</f>
        <v>0</v>
      </c>
      <c r="J467" s="9">
        <f>IFERROR(VLOOKUP(B467,cubo!$A$6:$BE$37,16,0)-VLOOKUP(B467,#REF!,$J$2,0),0)</f>
        <v>0</v>
      </c>
      <c r="K467" s="9">
        <f>IFERROR(VLOOKUP(B467,cubo!$A$6:$BE$37,17,0)-VLOOKUP(B467,#REF!,$K$2,0),0)</f>
        <v>0</v>
      </c>
      <c r="L467" s="9">
        <f>IFERROR(VLOOKUP(B467,cubo!$A$6:$BE$37,19,0)-VLOOKUP(B467,#REF!,$L$2,0),0)</f>
        <v>0</v>
      </c>
      <c r="M467" s="9">
        <f>IFERROR(VLOOKUP(B467,cubo!$A$6:$BE$37,23,0)-VLOOKUP(B467,#REF!,$M$2,0),0)</f>
        <v>0</v>
      </c>
      <c r="N467" s="9">
        <f>IFERROR(VLOOKUP(B467,cubo!$A$6:$BE$37,25,0)-VLOOKUP(B467,#REF!,$N$2,0),0)</f>
        <v>0</v>
      </c>
      <c r="O467" s="9">
        <f>IFERROR(VLOOKUP(B467,cubo!$A$6:$BE$37,33,0)-VLOOKUP(B467,#REF!,$O$2,0),0)</f>
        <v>0</v>
      </c>
      <c r="P467" s="8">
        <f>IFERROR(VLOOKUP(B467,cubo!$A$6:$BE$37,37,0)-VLOOKUP(B467,#REF!,$P$2,0),0)</f>
        <v>0</v>
      </c>
      <c r="Q467" s="8">
        <f>IFERROR(VLOOKUP(B467,cubo!$A$6:$BE$37,56,0)-VLOOKUP(B467,#REF!,$Q$2,0),0)</f>
        <v>0</v>
      </c>
      <c r="R467" s="9">
        <f>IFERROR(VLOOKUP(B467,cubo!$A$6:$BE$37,40,0)-VLOOKUP(B467,#REF!,$R$2,0),0)</f>
        <v>0</v>
      </c>
      <c r="S467" s="9">
        <f>IFERROR(VLOOKUP(B467,cubo!$A$6:$BE$37,43,0)-VLOOKUP(B467,#REF!,$S$2,0),0)</f>
        <v>0</v>
      </c>
      <c r="T467" s="9">
        <f>IFERROR(VLOOKUP(B467,cubo!$A$6:$BE$37,46,0)-VLOOKUP(B467,#REF!,$T$2,0),0)</f>
        <v>0</v>
      </c>
      <c r="U467" s="9">
        <f>IFERROR(VLOOKUP(B467,cubo!$A$6:$BE$37,51,0)-VLOOKUP(B467,#REF!,$U$2,0),0)</f>
        <v>0</v>
      </c>
      <c r="V467" s="9">
        <f>IFERROR(VLOOKUP(B467,cubo!$A$6:$BJ$37,60,0)-VLOOKUP(B467,#REF!,$V$2,0),0)</f>
        <v>0</v>
      </c>
      <c r="W467" s="9">
        <f>IFERROR(VLOOKUP(B467,cubo!$A$6:$BE$37,26,0)-VLOOKUP(B467,#REF!,$W$2,0),0)</f>
        <v>0</v>
      </c>
      <c r="X467" s="9">
        <f>IFERROR(VLOOKUP(B467,cubo!$A$6:$BE$37,20,0)-VLOOKUP(B467,#REF!,$X$2,0),0)</f>
        <v>0</v>
      </c>
      <c r="Y467" s="9">
        <f>IFERROR(VLOOKUP(B467,cubo!$A$6:$BE$37,21,0)-VLOOKUP(B467,#REF!,$Y$2,0),0)</f>
        <v>0</v>
      </c>
      <c r="Z467" s="9">
        <f>IFERROR(VLOOKUP(B467,cubo!$A$6:$BE$37,27,0)-VLOOKUP(B467,#REF!,$Z$2,0),0)</f>
        <v>0</v>
      </c>
      <c r="AA467" s="9">
        <f>IFERROR(VLOOKUP(B467,cubo!$A$6:$BE$37,28,0)-VLOOKUP(B467,#REF!,$AA$2,0),0)</f>
        <v>0</v>
      </c>
      <c r="AB467" s="9">
        <f>IFERROR(VLOOKUP(B467,cubo!$A$6:$BE$37,29,0)-VLOOKUP(B467,#REF!,$AB$2,0),0)</f>
        <v>0</v>
      </c>
      <c r="AC467" s="9">
        <f>IFERROR(VLOOKUP(B467,cubo!$A$6:$BE$37,30,0)-VLOOKUP(B467,#REF!,$AC$2,0),0)</f>
        <v>0</v>
      </c>
      <c r="AD467" s="9">
        <f>IFERROR(VLOOKUP(B467,cubo!$A$6:$BE$37,31,0)-VLOOKUP(B467,#REF!,$AD$2,0),0)</f>
        <v>0</v>
      </c>
      <c r="AE467" s="9">
        <f>IFERROR(VLOOKUP(B467,cubo!$A$6:$BE$37,35,0)-VLOOKUP(B467,#REF!,$AE$2,0),0)</f>
        <v>0</v>
      </c>
      <c r="AF467" s="9" cm="1">
        <f t="array" aca="1" ref="AF467" ca="1">IFERROR(rrPROCV(B467,cubo!$A$6:$BE$37,48,0)-VLOOKUP(B467,#REF!,$AF$2,0),0)</f>
        <v>0</v>
      </c>
      <c r="AG467" s="9">
        <f>IFERROR(VLOOKUP(B467,cubo!$A$6:$BE$37,49,0)-VLOOKUP(B467,#REF!,$AG$2,0),0)</f>
        <v>0</v>
      </c>
      <c r="AH467" s="9">
        <f>IFERROR(VLOOKUP(B467,cubo!$A$6:$BE$37,50,0)-VLOOKUP(B467,#REF!,$AH$2,0),0)</f>
        <v>0</v>
      </c>
      <c r="AI467" s="9">
        <f>IFERROR(VLOOKUP(B467,cubo!$A$6:$BE$37,51,0)-VLOOKUP(B467,#REF!,$AI$2,0),0)</f>
        <v>0</v>
      </c>
      <c r="AJ467" s="9">
        <f>IFERROR(VLOOKUP(B467,cubo!$A$6:$BI$116,62,0)-VLOOKUP(B467,#REF!,$AJ$2,0),0)</f>
        <v>0</v>
      </c>
      <c r="AK467" s="9">
        <f>IFERROR(VLOOKUP(B467,cubo!$A$6:$BJ$37,63,0)-VLOOKUP(B467,#REF!,$AK$2,0),0)</f>
        <v>0</v>
      </c>
      <c r="AL467" s="9">
        <f>IFERROR(VLOOKUP(B467,cubo!$A$6:$BE$37,58,0)-VLOOKUP(B467,#REF!,$AL$2,0),0)</f>
        <v>0</v>
      </c>
      <c r="AM467" s="9">
        <f>IFERROR(VLOOKUP(B467,cubo!$A$6:$BK$37,64,0)-VLOOKUP(B467,#REF!,$AM$2,0),0)</f>
        <v>0</v>
      </c>
      <c r="AN467" s="9">
        <f>IFERROR(VLOOKUP(B467,cubo!$A$6:$AN$37,41,0)-VLOOKUP(B467,#REF!,$AN$2,0),0)</f>
        <v>0</v>
      </c>
    </row>
    <row r="468" spans="2:40" x14ac:dyDescent="0.25">
      <c r="B468" s="7">
        <f>[1]salario!A467</f>
        <v>0</v>
      </c>
      <c r="C468" s="8">
        <f>[1]salario!C467</f>
        <v>0</v>
      </c>
      <c r="D468" s="9">
        <f>IFERROR(VLOOKUP(B468,cubo!$A$6:$BE$37,3,0)-VLOOKUP(B468,#REF!,$D$2,0),0)</f>
        <v>0</v>
      </c>
      <c r="E468" s="10">
        <f>IFERROR(VLOOKUP(B468,cubo!$A$6:$BE$37,5,0)-VLOOKUP(B468,#REF!,$E$2,0),0)</f>
        <v>0</v>
      </c>
      <c r="F468" s="10">
        <f>IFERROR(VLOOKUP(B468,cubo!$A$6:$BE$37,8,0)-VLOOKUP(B468,#REF!,$F$2,0),0)</f>
        <v>0</v>
      </c>
      <c r="G468" s="9">
        <f>IFERROR(VLOOKUP(B468,cubo!$A$6:$BE$37,11,0)-VLOOKUP(B468,#REF!,$G$2,0),0)</f>
        <v>0</v>
      </c>
      <c r="H468" s="9">
        <f>IFERROR(VLOOKUP(B468,cubo!$A$6:$BE$37,53,0)-VLOOKUP(B468,#REF!,$H$2,0),0)</f>
        <v>0</v>
      </c>
      <c r="I468" s="10">
        <f>IFERROR(VLOOKUP(B468,cubo!$A$6:$BE$37,14,0)-VLOOKUP(B468,#REF!,$I$2,0),0)</f>
        <v>0</v>
      </c>
      <c r="J468" s="9">
        <f>IFERROR(VLOOKUP(B468,cubo!$A$6:$BE$37,16,0)-VLOOKUP(B468,#REF!,$J$2,0),0)</f>
        <v>0</v>
      </c>
      <c r="K468" s="9">
        <f>IFERROR(VLOOKUP(B468,cubo!$A$6:$BE$37,17,0)-VLOOKUP(B468,#REF!,$K$2,0),0)</f>
        <v>0</v>
      </c>
      <c r="L468" s="9">
        <f>IFERROR(VLOOKUP(B468,cubo!$A$6:$BE$37,19,0)-VLOOKUP(B468,#REF!,$L$2,0),0)</f>
        <v>0</v>
      </c>
      <c r="M468" s="9">
        <f>IFERROR(VLOOKUP(B468,cubo!$A$6:$BE$37,23,0)-VLOOKUP(B468,#REF!,$M$2,0),0)</f>
        <v>0</v>
      </c>
      <c r="N468" s="9">
        <f>IFERROR(VLOOKUP(B468,cubo!$A$6:$BE$37,25,0)-VLOOKUP(B468,#REF!,$N$2,0),0)</f>
        <v>0</v>
      </c>
      <c r="O468" s="9">
        <f>IFERROR(VLOOKUP(B468,cubo!$A$6:$BE$37,33,0)-VLOOKUP(B468,#REF!,$O$2,0),0)</f>
        <v>0</v>
      </c>
      <c r="P468" s="8">
        <f>IFERROR(VLOOKUP(B468,cubo!$A$6:$BE$37,37,0)-VLOOKUP(B468,#REF!,$P$2,0),0)</f>
        <v>0</v>
      </c>
      <c r="Q468" s="8">
        <f>IFERROR(VLOOKUP(B468,cubo!$A$6:$BE$37,56,0)-VLOOKUP(B468,#REF!,$Q$2,0),0)</f>
        <v>0</v>
      </c>
      <c r="R468" s="9">
        <f>IFERROR(VLOOKUP(B468,cubo!$A$6:$BE$37,40,0)-VLOOKUP(B468,#REF!,$R$2,0),0)</f>
        <v>0</v>
      </c>
      <c r="S468" s="9">
        <f>IFERROR(VLOOKUP(B468,cubo!$A$6:$BE$37,43,0)-VLOOKUP(B468,#REF!,$S$2,0),0)</f>
        <v>0</v>
      </c>
      <c r="T468" s="9">
        <f>IFERROR(VLOOKUP(B468,cubo!$A$6:$BE$37,46,0)-VLOOKUP(B468,#REF!,$T$2,0),0)</f>
        <v>0</v>
      </c>
      <c r="U468" s="9">
        <f>IFERROR(VLOOKUP(B468,cubo!$A$6:$BE$37,51,0)-VLOOKUP(B468,#REF!,$U$2,0),0)</f>
        <v>0</v>
      </c>
      <c r="V468" s="9">
        <f>IFERROR(VLOOKUP(B468,cubo!$A$6:$BJ$37,60,0)-VLOOKUP(B468,#REF!,$V$2,0),0)</f>
        <v>0</v>
      </c>
      <c r="W468" s="9">
        <f>IFERROR(VLOOKUP(B468,cubo!$A$6:$BE$37,26,0)-VLOOKUP(B468,#REF!,$W$2,0),0)</f>
        <v>0</v>
      </c>
      <c r="X468" s="9">
        <f>IFERROR(VLOOKUP(B468,cubo!$A$6:$BE$37,20,0)-VLOOKUP(B468,#REF!,$X$2,0),0)</f>
        <v>0</v>
      </c>
      <c r="Y468" s="9">
        <f>IFERROR(VLOOKUP(B468,cubo!$A$6:$BE$37,21,0)-VLOOKUP(B468,#REF!,$Y$2,0),0)</f>
        <v>0</v>
      </c>
      <c r="Z468" s="9">
        <f>IFERROR(VLOOKUP(B468,cubo!$A$6:$BE$37,27,0)-VLOOKUP(B468,#REF!,$Z$2,0),0)</f>
        <v>0</v>
      </c>
      <c r="AA468" s="9">
        <f>IFERROR(VLOOKUP(B468,cubo!$A$6:$BE$37,28,0)-VLOOKUP(B468,#REF!,$AA$2,0),0)</f>
        <v>0</v>
      </c>
      <c r="AB468" s="9">
        <f>IFERROR(VLOOKUP(B468,cubo!$A$6:$BE$37,29,0)-VLOOKUP(B468,#REF!,$AB$2,0),0)</f>
        <v>0</v>
      </c>
      <c r="AC468" s="9">
        <f>IFERROR(VLOOKUP(B468,cubo!$A$6:$BE$37,30,0)-VLOOKUP(B468,#REF!,$AC$2,0),0)</f>
        <v>0</v>
      </c>
      <c r="AD468" s="9">
        <f>IFERROR(VLOOKUP(B468,cubo!$A$6:$BE$37,31,0)-VLOOKUP(B468,#REF!,$AD$2,0),0)</f>
        <v>0</v>
      </c>
      <c r="AE468" s="9">
        <f>IFERROR(VLOOKUP(B468,cubo!$A$6:$BE$37,35,0)-VLOOKUP(B468,#REF!,$AE$2,0),0)</f>
        <v>0</v>
      </c>
      <c r="AF468" s="9" cm="1">
        <f t="array" aca="1" ref="AF468" ca="1">IFERROR(rrPROCV(B468,cubo!$A$6:$BE$37,48,0)-VLOOKUP(B468,#REF!,$AF$2,0),0)</f>
        <v>0</v>
      </c>
      <c r="AG468" s="9">
        <f>IFERROR(VLOOKUP(B468,cubo!$A$6:$BE$37,49,0)-VLOOKUP(B468,#REF!,$AG$2,0),0)</f>
        <v>0</v>
      </c>
      <c r="AH468" s="9">
        <f>IFERROR(VLOOKUP(B468,cubo!$A$6:$BE$37,50,0)-VLOOKUP(B468,#REF!,$AH$2,0),0)</f>
        <v>0</v>
      </c>
      <c r="AI468" s="9">
        <f>IFERROR(VLOOKUP(B468,cubo!$A$6:$BE$37,51,0)-VLOOKUP(B468,#REF!,$AI$2,0),0)</f>
        <v>0</v>
      </c>
      <c r="AJ468" s="9">
        <f>IFERROR(VLOOKUP(B468,cubo!$A$6:$BI$116,62,0)-VLOOKUP(B468,#REF!,$AJ$2,0),0)</f>
        <v>0</v>
      </c>
      <c r="AK468" s="9">
        <f>IFERROR(VLOOKUP(B468,cubo!$A$6:$BJ$37,63,0)-VLOOKUP(B468,#REF!,$AK$2,0),0)</f>
        <v>0</v>
      </c>
      <c r="AL468" s="9">
        <f>IFERROR(VLOOKUP(B468,cubo!$A$6:$BE$37,58,0)-VLOOKUP(B468,#REF!,$AL$2,0),0)</f>
        <v>0</v>
      </c>
      <c r="AM468" s="9">
        <f>IFERROR(VLOOKUP(B468,cubo!$A$6:$BK$37,64,0)-VLOOKUP(B468,#REF!,$AM$2,0),0)</f>
        <v>0</v>
      </c>
      <c r="AN468" s="9">
        <f>IFERROR(VLOOKUP(B468,cubo!$A$6:$AN$37,41,0)-VLOOKUP(B468,#REF!,$AN$2,0),0)</f>
        <v>0</v>
      </c>
    </row>
    <row r="469" spans="2:40" x14ac:dyDescent="0.25">
      <c r="B469" s="7">
        <f>[1]salario!A468</f>
        <v>0</v>
      </c>
      <c r="C469" s="8">
        <f>[1]salario!C468</f>
        <v>0</v>
      </c>
      <c r="D469" s="9">
        <f>IFERROR(VLOOKUP(B469,cubo!$A$6:$BE$37,3,0)-VLOOKUP(B469,#REF!,$D$2,0),0)</f>
        <v>0</v>
      </c>
      <c r="E469" s="10">
        <f>IFERROR(VLOOKUP(B469,cubo!$A$6:$BE$37,5,0)-VLOOKUP(B469,#REF!,$E$2,0),0)</f>
        <v>0</v>
      </c>
      <c r="F469" s="10">
        <f>IFERROR(VLOOKUP(B469,cubo!$A$6:$BE$37,8,0)-VLOOKUP(B469,#REF!,$F$2,0),0)</f>
        <v>0</v>
      </c>
      <c r="G469" s="9">
        <f>IFERROR(VLOOKUP(B469,cubo!$A$6:$BE$37,11,0)-VLOOKUP(B469,#REF!,$G$2,0),0)</f>
        <v>0</v>
      </c>
      <c r="H469" s="9">
        <f>IFERROR(VLOOKUP(B469,cubo!$A$6:$BE$37,53,0)-VLOOKUP(B469,#REF!,$H$2,0),0)</f>
        <v>0</v>
      </c>
      <c r="I469" s="10">
        <f>IFERROR(VLOOKUP(B469,cubo!$A$6:$BE$37,14,0)-VLOOKUP(B469,#REF!,$I$2,0),0)</f>
        <v>0</v>
      </c>
      <c r="J469" s="9">
        <f>IFERROR(VLOOKUP(B469,cubo!$A$6:$BE$37,16,0)-VLOOKUP(B469,#REF!,$J$2,0),0)</f>
        <v>0</v>
      </c>
      <c r="K469" s="9">
        <f>IFERROR(VLOOKUP(B469,cubo!$A$6:$BE$37,17,0)-VLOOKUP(B469,#REF!,$K$2,0),0)</f>
        <v>0</v>
      </c>
      <c r="L469" s="9">
        <f>IFERROR(VLOOKUP(B469,cubo!$A$6:$BE$37,19,0)-VLOOKUP(B469,#REF!,$L$2,0),0)</f>
        <v>0</v>
      </c>
      <c r="M469" s="9">
        <f>IFERROR(VLOOKUP(B469,cubo!$A$6:$BE$37,23,0)-VLOOKUP(B469,#REF!,$M$2,0),0)</f>
        <v>0</v>
      </c>
      <c r="N469" s="9">
        <f>IFERROR(VLOOKUP(B469,cubo!$A$6:$BE$37,25,0)-VLOOKUP(B469,#REF!,$N$2,0),0)</f>
        <v>0</v>
      </c>
      <c r="O469" s="9">
        <f>IFERROR(VLOOKUP(B469,cubo!$A$6:$BE$37,33,0)-VLOOKUP(B469,#REF!,$O$2,0),0)</f>
        <v>0</v>
      </c>
      <c r="P469" s="8">
        <f>IFERROR(VLOOKUP(B469,cubo!$A$6:$BE$37,37,0)-VLOOKUP(B469,#REF!,$P$2,0),0)</f>
        <v>0</v>
      </c>
      <c r="Q469" s="8">
        <f>IFERROR(VLOOKUP(B469,cubo!$A$6:$BE$37,56,0)-VLOOKUP(B469,#REF!,$Q$2,0),0)</f>
        <v>0</v>
      </c>
      <c r="R469" s="9">
        <f>IFERROR(VLOOKUP(B469,cubo!$A$6:$BE$37,40,0)-VLOOKUP(B469,#REF!,$R$2,0),0)</f>
        <v>0</v>
      </c>
      <c r="S469" s="9">
        <f>IFERROR(VLOOKUP(B469,cubo!$A$6:$BE$37,43,0)-VLOOKUP(B469,#REF!,$S$2,0),0)</f>
        <v>0</v>
      </c>
      <c r="T469" s="9">
        <f>IFERROR(VLOOKUP(B469,cubo!$A$6:$BE$37,46,0)-VLOOKUP(B469,#REF!,$T$2,0),0)</f>
        <v>0</v>
      </c>
      <c r="U469" s="9">
        <f>IFERROR(VLOOKUP(B469,cubo!$A$6:$BE$37,51,0)-VLOOKUP(B469,#REF!,$U$2,0),0)</f>
        <v>0</v>
      </c>
      <c r="V469" s="9">
        <f>IFERROR(VLOOKUP(B469,cubo!$A$6:$BJ$37,60,0)-VLOOKUP(B469,#REF!,$V$2,0),0)</f>
        <v>0</v>
      </c>
      <c r="W469" s="9">
        <f>IFERROR(VLOOKUP(B469,cubo!$A$6:$BE$37,26,0)-VLOOKUP(B469,#REF!,$W$2,0),0)</f>
        <v>0</v>
      </c>
      <c r="X469" s="9">
        <f>IFERROR(VLOOKUP(B469,cubo!$A$6:$BE$37,20,0)-VLOOKUP(B469,#REF!,$X$2,0),0)</f>
        <v>0</v>
      </c>
      <c r="Y469" s="9">
        <f>IFERROR(VLOOKUP(B469,cubo!$A$6:$BE$37,21,0)-VLOOKUP(B469,#REF!,$Y$2,0),0)</f>
        <v>0</v>
      </c>
      <c r="Z469" s="9">
        <f>IFERROR(VLOOKUP(B469,cubo!$A$6:$BE$37,27,0)-VLOOKUP(B469,#REF!,$Z$2,0),0)</f>
        <v>0</v>
      </c>
      <c r="AA469" s="9">
        <f>IFERROR(VLOOKUP(B469,cubo!$A$6:$BE$37,28,0)-VLOOKUP(B469,#REF!,$AA$2,0),0)</f>
        <v>0</v>
      </c>
      <c r="AB469" s="9">
        <f>IFERROR(VLOOKUP(B469,cubo!$A$6:$BE$37,29,0)-VLOOKUP(B469,#REF!,$AB$2,0),0)</f>
        <v>0</v>
      </c>
      <c r="AC469" s="9">
        <f>IFERROR(VLOOKUP(B469,cubo!$A$6:$BE$37,30,0)-VLOOKUP(B469,#REF!,$AC$2,0),0)</f>
        <v>0</v>
      </c>
      <c r="AD469" s="9">
        <f>IFERROR(VLOOKUP(B469,cubo!$A$6:$BE$37,31,0)-VLOOKUP(B469,#REF!,$AD$2,0),0)</f>
        <v>0</v>
      </c>
      <c r="AE469" s="9">
        <f>IFERROR(VLOOKUP(B469,cubo!$A$6:$BE$37,35,0)-VLOOKUP(B469,#REF!,$AE$2,0),0)</f>
        <v>0</v>
      </c>
      <c r="AF469" s="9" cm="1">
        <f t="array" aca="1" ref="AF469" ca="1">IFERROR(rrPROCV(B469,cubo!$A$6:$BE$37,48,0)-VLOOKUP(B469,#REF!,$AF$2,0),0)</f>
        <v>0</v>
      </c>
      <c r="AG469" s="9">
        <f>IFERROR(VLOOKUP(B469,cubo!$A$6:$BE$37,49,0)-VLOOKUP(B469,#REF!,$AG$2,0),0)</f>
        <v>0</v>
      </c>
      <c r="AH469" s="9">
        <f>IFERROR(VLOOKUP(B469,cubo!$A$6:$BE$37,50,0)-VLOOKUP(B469,#REF!,$AH$2,0),0)</f>
        <v>0</v>
      </c>
      <c r="AI469" s="9">
        <f>IFERROR(VLOOKUP(B469,cubo!$A$6:$BE$37,51,0)-VLOOKUP(B469,#REF!,$AI$2,0),0)</f>
        <v>0</v>
      </c>
      <c r="AJ469" s="9">
        <f>IFERROR(VLOOKUP(B469,cubo!$A$6:$BI$116,62,0)-VLOOKUP(B469,#REF!,$AJ$2,0),0)</f>
        <v>0</v>
      </c>
      <c r="AK469" s="9">
        <f>IFERROR(VLOOKUP(B469,cubo!$A$6:$BJ$37,63,0)-VLOOKUP(B469,#REF!,$AK$2,0),0)</f>
        <v>0</v>
      </c>
      <c r="AL469" s="9">
        <f>IFERROR(VLOOKUP(B469,cubo!$A$6:$BE$37,58,0)-VLOOKUP(B469,#REF!,$AL$2,0),0)</f>
        <v>0</v>
      </c>
      <c r="AM469" s="9">
        <f>IFERROR(VLOOKUP(B469,cubo!$A$6:$BK$37,64,0)-VLOOKUP(B469,#REF!,$AM$2,0),0)</f>
        <v>0</v>
      </c>
      <c r="AN469" s="9">
        <f>IFERROR(VLOOKUP(B469,cubo!$A$6:$AN$37,41,0)-VLOOKUP(B469,#REF!,$AN$2,0),0)</f>
        <v>0</v>
      </c>
    </row>
    <row r="470" spans="2:40" x14ac:dyDescent="0.25">
      <c r="B470" s="7">
        <f>[1]salario!A469</f>
        <v>0</v>
      </c>
      <c r="C470" s="8">
        <f>[1]salario!C469</f>
        <v>0</v>
      </c>
      <c r="D470" s="9">
        <f>IFERROR(VLOOKUP(B470,cubo!$A$6:$BE$37,3,0)-VLOOKUP(B470,#REF!,$D$2,0),0)</f>
        <v>0</v>
      </c>
      <c r="E470" s="10">
        <f>IFERROR(VLOOKUP(B470,cubo!$A$6:$BE$37,5,0)-VLOOKUP(B470,#REF!,$E$2,0),0)</f>
        <v>0</v>
      </c>
      <c r="F470" s="10">
        <f>IFERROR(VLOOKUP(B470,cubo!$A$6:$BE$37,8,0)-VLOOKUP(B470,#REF!,$F$2,0),0)</f>
        <v>0</v>
      </c>
      <c r="G470" s="9">
        <f>IFERROR(VLOOKUP(B470,cubo!$A$6:$BE$37,11,0)-VLOOKUP(B470,#REF!,$G$2,0),0)</f>
        <v>0</v>
      </c>
      <c r="H470" s="9">
        <f>IFERROR(VLOOKUP(B470,cubo!$A$6:$BE$37,53,0)-VLOOKUP(B470,#REF!,$H$2,0),0)</f>
        <v>0</v>
      </c>
      <c r="I470" s="10">
        <f>IFERROR(VLOOKUP(B470,cubo!$A$6:$BE$37,14,0)-VLOOKUP(B470,#REF!,$I$2,0),0)</f>
        <v>0</v>
      </c>
      <c r="J470" s="9">
        <f>IFERROR(VLOOKUP(B470,cubo!$A$6:$BE$37,16,0)-VLOOKUP(B470,#REF!,$J$2,0),0)</f>
        <v>0</v>
      </c>
      <c r="K470" s="9">
        <f>IFERROR(VLOOKUP(B470,cubo!$A$6:$BE$37,17,0)-VLOOKUP(B470,#REF!,$K$2,0),0)</f>
        <v>0</v>
      </c>
      <c r="L470" s="9">
        <f>IFERROR(VLOOKUP(B470,cubo!$A$6:$BE$37,19,0)-VLOOKUP(B470,#REF!,$L$2,0),0)</f>
        <v>0</v>
      </c>
      <c r="M470" s="9">
        <f>IFERROR(VLOOKUP(B470,cubo!$A$6:$BE$37,23,0)-VLOOKUP(B470,#REF!,$M$2,0),0)</f>
        <v>0</v>
      </c>
      <c r="N470" s="9">
        <f>IFERROR(VLOOKUP(B470,cubo!$A$6:$BE$37,25,0)-VLOOKUP(B470,#REF!,$N$2,0),0)</f>
        <v>0</v>
      </c>
      <c r="O470" s="9">
        <f>IFERROR(VLOOKUP(B470,cubo!$A$6:$BE$37,33,0)-VLOOKUP(B470,#REF!,$O$2,0),0)</f>
        <v>0</v>
      </c>
      <c r="P470" s="8">
        <f>IFERROR(VLOOKUP(B470,cubo!$A$6:$BE$37,37,0)-VLOOKUP(B470,#REF!,$P$2,0),0)</f>
        <v>0</v>
      </c>
      <c r="Q470" s="8">
        <f>IFERROR(VLOOKUP(B470,cubo!$A$6:$BE$37,56,0)-VLOOKUP(B470,#REF!,$Q$2,0),0)</f>
        <v>0</v>
      </c>
      <c r="R470" s="9">
        <f>IFERROR(VLOOKUP(B470,cubo!$A$6:$BE$37,40,0)-VLOOKUP(B470,#REF!,$R$2,0),0)</f>
        <v>0</v>
      </c>
      <c r="S470" s="9">
        <f>IFERROR(VLOOKUP(B470,cubo!$A$6:$BE$37,43,0)-VLOOKUP(B470,#REF!,$S$2,0),0)</f>
        <v>0</v>
      </c>
      <c r="T470" s="9">
        <f>IFERROR(VLOOKUP(B470,cubo!$A$6:$BE$37,46,0)-VLOOKUP(B470,#REF!,$T$2,0),0)</f>
        <v>0</v>
      </c>
      <c r="U470" s="9">
        <f>IFERROR(VLOOKUP(B470,cubo!$A$6:$BE$37,51,0)-VLOOKUP(B470,#REF!,$U$2,0),0)</f>
        <v>0</v>
      </c>
      <c r="V470" s="9">
        <f>IFERROR(VLOOKUP(B470,cubo!$A$6:$BJ$37,60,0)-VLOOKUP(B470,#REF!,$V$2,0),0)</f>
        <v>0</v>
      </c>
      <c r="W470" s="9">
        <f>IFERROR(VLOOKUP(B470,cubo!$A$6:$BE$37,26,0)-VLOOKUP(B470,#REF!,$W$2,0),0)</f>
        <v>0</v>
      </c>
      <c r="X470" s="9">
        <f>IFERROR(VLOOKUP(B470,cubo!$A$6:$BE$37,20,0)-VLOOKUP(B470,#REF!,$X$2,0),0)</f>
        <v>0</v>
      </c>
      <c r="Y470" s="9">
        <f>IFERROR(VLOOKUP(B470,cubo!$A$6:$BE$37,21,0)-VLOOKUP(B470,#REF!,$Y$2,0),0)</f>
        <v>0</v>
      </c>
      <c r="Z470" s="9">
        <f>IFERROR(VLOOKUP(B470,cubo!$A$6:$BE$37,27,0)-VLOOKUP(B470,#REF!,$Z$2,0),0)</f>
        <v>0</v>
      </c>
      <c r="AA470" s="9">
        <f>IFERROR(VLOOKUP(B470,cubo!$A$6:$BE$37,28,0)-VLOOKUP(B470,#REF!,$AA$2,0),0)</f>
        <v>0</v>
      </c>
      <c r="AB470" s="9">
        <f>IFERROR(VLOOKUP(B470,cubo!$A$6:$BE$37,29,0)-VLOOKUP(B470,#REF!,$AB$2,0),0)</f>
        <v>0</v>
      </c>
      <c r="AC470" s="9">
        <f>IFERROR(VLOOKUP(B470,cubo!$A$6:$BE$37,30,0)-VLOOKUP(B470,#REF!,$AC$2,0),0)</f>
        <v>0</v>
      </c>
      <c r="AD470" s="9">
        <f>IFERROR(VLOOKUP(B470,cubo!$A$6:$BE$37,31,0)-VLOOKUP(B470,#REF!,$AD$2,0),0)</f>
        <v>0</v>
      </c>
      <c r="AE470" s="9">
        <f>IFERROR(VLOOKUP(B470,cubo!$A$6:$BE$37,35,0)-VLOOKUP(B470,#REF!,$AE$2,0),0)</f>
        <v>0</v>
      </c>
      <c r="AF470" s="9" cm="1">
        <f t="array" aca="1" ref="AF470" ca="1">IFERROR(rrPROCV(B470,cubo!$A$6:$BE$37,48,0)-VLOOKUP(B470,#REF!,$AF$2,0),0)</f>
        <v>0</v>
      </c>
      <c r="AG470" s="9">
        <f>IFERROR(VLOOKUP(B470,cubo!$A$6:$BE$37,49,0)-VLOOKUP(B470,#REF!,$AG$2,0),0)</f>
        <v>0</v>
      </c>
      <c r="AH470" s="9">
        <f>IFERROR(VLOOKUP(B470,cubo!$A$6:$BE$37,50,0)-VLOOKUP(B470,#REF!,$AH$2,0),0)</f>
        <v>0</v>
      </c>
      <c r="AI470" s="9">
        <f>IFERROR(VLOOKUP(B470,cubo!$A$6:$BE$37,51,0)-VLOOKUP(B470,#REF!,$AI$2,0),0)</f>
        <v>0</v>
      </c>
      <c r="AJ470" s="9">
        <f>IFERROR(VLOOKUP(B470,cubo!$A$6:$BI$116,62,0)-VLOOKUP(B470,#REF!,$AJ$2,0),0)</f>
        <v>0</v>
      </c>
      <c r="AK470" s="9">
        <f>IFERROR(VLOOKUP(B470,cubo!$A$6:$BJ$37,63,0)-VLOOKUP(B470,#REF!,$AK$2,0),0)</f>
        <v>0</v>
      </c>
      <c r="AL470" s="9">
        <f>IFERROR(VLOOKUP(B470,cubo!$A$6:$BE$37,58,0)-VLOOKUP(B470,#REF!,$AL$2,0),0)</f>
        <v>0</v>
      </c>
      <c r="AM470" s="9">
        <f>IFERROR(VLOOKUP(B470,cubo!$A$6:$BK$37,64,0)-VLOOKUP(B470,#REF!,$AM$2,0),0)</f>
        <v>0</v>
      </c>
      <c r="AN470" s="9">
        <f>IFERROR(VLOOKUP(B470,cubo!$A$6:$AN$37,41,0)-VLOOKUP(B470,#REF!,$AN$2,0),0)</f>
        <v>0</v>
      </c>
    </row>
    <row r="471" spans="2:40" x14ac:dyDescent="0.25">
      <c r="B471" s="7">
        <f>[1]salario!A470</f>
        <v>0</v>
      </c>
      <c r="C471" s="8">
        <f>[1]salario!C470</f>
        <v>0</v>
      </c>
      <c r="D471" s="9">
        <f>IFERROR(VLOOKUP(B471,cubo!$A$6:$BE$37,3,0)-VLOOKUP(B471,#REF!,$D$2,0),0)</f>
        <v>0</v>
      </c>
      <c r="E471" s="10">
        <f>IFERROR(VLOOKUP(B471,cubo!$A$6:$BE$37,5,0)-VLOOKUP(B471,#REF!,$E$2,0),0)</f>
        <v>0</v>
      </c>
      <c r="F471" s="10">
        <f>IFERROR(VLOOKUP(B471,cubo!$A$6:$BE$37,8,0)-VLOOKUP(B471,#REF!,$F$2,0),0)</f>
        <v>0</v>
      </c>
      <c r="G471" s="9">
        <f>IFERROR(VLOOKUP(B471,cubo!$A$6:$BE$37,11,0)-VLOOKUP(B471,#REF!,$G$2,0),0)</f>
        <v>0</v>
      </c>
      <c r="H471" s="9">
        <f>IFERROR(VLOOKUP(B471,cubo!$A$6:$BE$37,53,0)-VLOOKUP(B471,#REF!,$H$2,0),0)</f>
        <v>0</v>
      </c>
      <c r="I471" s="10">
        <f>IFERROR(VLOOKUP(B471,cubo!$A$6:$BE$37,14,0)-VLOOKUP(B471,#REF!,$I$2,0),0)</f>
        <v>0</v>
      </c>
      <c r="J471" s="9">
        <f>IFERROR(VLOOKUP(B471,cubo!$A$6:$BE$37,16,0)-VLOOKUP(B471,#REF!,$J$2,0),0)</f>
        <v>0</v>
      </c>
      <c r="K471" s="9">
        <f>IFERROR(VLOOKUP(B471,cubo!$A$6:$BE$37,17,0)-VLOOKUP(B471,#REF!,$K$2,0),0)</f>
        <v>0</v>
      </c>
      <c r="L471" s="9">
        <f>IFERROR(VLOOKUP(B471,cubo!$A$6:$BE$37,19,0)-VLOOKUP(B471,#REF!,$L$2,0),0)</f>
        <v>0</v>
      </c>
      <c r="M471" s="9">
        <f>IFERROR(VLOOKUP(B471,cubo!$A$6:$BE$37,23,0)-VLOOKUP(B471,#REF!,$M$2,0),0)</f>
        <v>0</v>
      </c>
      <c r="N471" s="9">
        <f>IFERROR(VLOOKUP(B471,cubo!$A$6:$BE$37,25,0)-VLOOKUP(B471,#REF!,$N$2,0),0)</f>
        <v>0</v>
      </c>
      <c r="O471" s="9">
        <f>IFERROR(VLOOKUP(B471,cubo!$A$6:$BE$37,33,0)-VLOOKUP(B471,#REF!,$O$2,0),0)</f>
        <v>0</v>
      </c>
      <c r="P471" s="8">
        <f>IFERROR(VLOOKUP(B471,cubo!$A$6:$BE$37,37,0)-VLOOKUP(B471,#REF!,$P$2,0),0)</f>
        <v>0</v>
      </c>
      <c r="Q471" s="8">
        <f>IFERROR(VLOOKUP(B471,cubo!$A$6:$BE$37,56,0)-VLOOKUP(B471,#REF!,$Q$2,0),0)</f>
        <v>0</v>
      </c>
      <c r="R471" s="9">
        <f>IFERROR(VLOOKUP(B471,cubo!$A$6:$BE$37,40,0)-VLOOKUP(B471,#REF!,$R$2,0),0)</f>
        <v>0</v>
      </c>
      <c r="S471" s="9">
        <f>IFERROR(VLOOKUP(B471,cubo!$A$6:$BE$37,43,0)-VLOOKUP(B471,#REF!,$S$2,0),0)</f>
        <v>0</v>
      </c>
      <c r="T471" s="9">
        <f>IFERROR(VLOOKUP(B471,cubo!$A$6:$BE$37,46,0)-VLOOKUP(B471,#REF!,$T$2,0),0)</f>
        <v>0</v>
      </c>
      <c r="U471" s="9">
        <f>IFERROR(VLOOKUP(B471,cubo!$A$6:$BE$37,51,0)-VLOOKUP(B471,#REF!,$U$2,0),0)</f>
        <v>0</v>
      </c>
      <c r="V471" s="9">
        <f>IFERROR(VLOOKUP(B471,cubo!$A$6:$BJ$37,60,0)-VLOOKUP(B471,#REF!,$V$2,0),0)</f>
        <v>0</v>
      </c>
      <c r="W471" s="9">
        <f>IFERROR(VLOOKUP(B471,cubo!$A$6:$BE$37,26,0)-VLOOKUP(B471,#REF!,$W$2,0),0)</f>
        <v>0</v>
      </c>
      <c r="X471" s="9">
        <f>IFERROR(VLOOKUP(B471,cubo!$A$6:$BE$37,20,0)-VLOOKUP(B471,#REF!,$X$2,0),0)</f>
        <v>0</v>
      </c>
      <c r="Y471" s="9">
        <f>IFERROR(VLOOKUP(B471,cubo!$A$6:$BE$37,21,0)-VLOOKUP(B471,#REF!,$Y$2,0),0)</f>
        <v>0</v>
      </c>
      <c r="Z471" s="9">
        <f>IFERROR(VLOOKUP(B471,cubo!$A$6:$BE$37,27,0)-VLOOKUP(B471,#REF!,$Z$2,0),0)</f>
        <v>0</v>
      </c>
      <c r="AA471" s="9">
        <f>IFERROR(VLOOKUP(B471,cubo!$A$6:$BE$37,28,0)-VLOOKUP(B471,#REF!,$AA$2,0),0)</f>
        <v>0</v>
      </c>
      <c r="AB471" s="9">
        <f>IFERROR(VLOOKUP(B471,cubo!$A$6:$BE$37,29,0)-VLOOKUP(B471,#REF!,$AB$2,0),0)</f>
        <v>0</v>
      </c>
      <c r="AC471" s="9">
        <f>IFERROR(VLOOKUP(B471,cubo!$A$6:$BE$37,30,0)-VLOOKUP(B471,#REF!,$AC$2,0),0)</f>
        <v>0</v>
      </c>
      <c r="AD471" s="9">
        <f>IFERROR(VLOOKUP(B471,cubo!$A$6:$BE$37,31,0)-VLOOKUP(B471,#REF!,$AD$2,0),0)</f>
        <v>0</v>
      </c>
      <c r="AE471" s="9">
        <f>IFERROR(VLOOKUP(B471,cubo!$A$6:$BE$37,35,0)-VLOOKUP(B471,#REF!,$AE$2,0),0)</f>
        <v>0</v>
      </c>
      <c r="AF471" s="9" cm="1">
        <f t="array" aca="1" ref="AF471" ca="1">IFERROR(rrPROCV(B471,cubo!$A$6:$BE$37,48,0)-VLOOKUP(B471,#REF!,$AF$2,0),0)</f>
        <v>0</v>
      </c>
      <c r="AG471" s="9">
        <f>IFERROR(VLOOKUP(B471,cubo!$A$6:$BE$37,49,0)-VLOOKUP(B471,#REF!,$AG$2,0),0)</f>
        <v>0</v>
      </c>
      <c r="AH471" s="9">
        <f>IFERROR(VLOOKUP(B471,cubo!$A$6:$BE$37,50,0)-VLOOKUP(B471,#REF!,$AH$2,0),0)</f>
        <v>0</v>
      </c>
      <c r="AI471" s="9">
        <f>IFERROR(VLOOKUP(B471,cubo!$A$6:$BE$37,51,0)-VLOOKUP(B471,#REF!,$AI$2,0),0)</f>
        <v>0</v>
      </c>
      <c r="AJ471" s="9">
        <f>IFERROR(VLOOKUP(B471,cubo!$A$6:$BI$116,62,0)-VLOOKUP(B471,#REF!,$AJ$2,0),0)</f>
        <v>0</v>
      </c>
      <c r="AK471" s="9">
        <f>IFERROR(VLOOKUP(B471,cubo!$A$6:$BJ$37,63,0)-VLOOKUP(B471,#REF!,$AK$2,0),0)</f>
        <v>0</v>
      </c>
      <c r="AL471" s="9">
        <f>IFERROR(VLOOKUP(B471,cubo!$A$6:$BE$37,58,0)-VLOOKUP(B471,#REF!,$AL$2,0),0)</f>
        <v>0</v>
      </c>
      <c r="AM471" s="9">
        <f>IFERROR(VLOOKUP(B471,cubo!$A$6:$BK$37,64,0)-VLOOKUP(B471,#REF!,$AM$2,0),0)</f>
        <v>0</v>
      </c>
      <c r="AN471" s="9">
        <f>IFERROR(VLOOKUP(B471,cubo!$A$6:$AN$37,41,0)-VLOOKUP(B471,#REF!,$AN$2,0),0)</f>
        <v>0</v>
      </c>
    </row>
    <row r="472" spans="2:40" x14ac:dyDescent="0.25">
      <c r="B472" s="7">
        <f>[1]salario!A471</f>
        <v>0</v>
      </c>
      <c r="C472" s="8">
        <f>[1]salario!C471</f>
        <v>0</v>
      </c>
      <c r="D472" s="9">
        <f>IFERROR(VLOOKUP(B472,cubo!$A$6:$BE$37,3,0)-VLOOKUP(B472,#REF!,$D$2,0),0)</f>
        <v>0</v>
      </c>
      <c r="E472" s="10">
        <f>IFERROR(VLOOKUP(B472,cubo!$A$6:$BE$37,5,0)-VLOOKUP(B472,#REF!,$E$2,0),0)</f>
        <v>0</v>
      </c>
      <c r="F472" s="10">
        <f>IFERROR(VLOOKUP(B472,cubo!$A$6:$BE$37,8,0)-VLOOKUP(B472,#REF!,$F$2,0),0)</f>
        <v>0</v>
      </c>
      <c r="G472" s="9">
        <f>IFERROR(VLOOKUP(B472,cubo!$A$6:$BE$37,11,0)-VLOOKUP(B472,#REF!,$G$2,0),0)</f>
        <v>0</v>
      </c>
      <c r="H472" s="9">
        <f>IFERROR(VLOOKUP(B472,cubo!$A$6:$BE$37,53,0)-VLOOKUP(B472,#REF!,$H$2,0),0)</f>
        <v>0</v>
      </c>
      <c r="I472" s="10">
        <f>IFERROR(VLOOKUP(B472,cubo!$A$6:$BE$37,14,0)-VLOOKUP(B472,#REF!,$I$2,0),0)</f>
        <v>0</v>
      </c>
      <c r="J472" s="9">
        <f>IFERROR(VLOOKUP(B472,cubo!$A$6:$BE$37,16,0)-VLOOKUP(B472,#REF!,$J$2,0),0)</f>
        <v>0</v>
      </c>
      <c r="K472" s="9">
        <f>IFERROR(VLOOKUP(B472,cubo!$A$6:$BE$37,17,0)-VLOOKUP(B472,#REF!,$K$2,0),0)</f>
        <v>0</v>
      </c>
      <c r="L472" s="9">
        <f>IFERROR(VLOOKUP(B472,cubo!$A$6:$BE$37,19,0)-VLOOKUP(B472,#REF!,$L$2,0),0)</f>
        <v>0</v>
      </c>
      <c r="M472" s="9">
        <f>IFERROR(VLOOKUP(B472,cubo!$A$6:$BE$37,23,0)-VLOOKUP(B472,#REF!,$M$2,0),0)</f>
        <v>0</v>
      </c>
      <c r="N472" s="9">
        <f>IFERROR(VLOOKUP(B472,cubo!$A$6:$BE$37,25,0)-VLOOKUP(B472,#REF!,$N$2,0),0)</f>
        <v>0</v>
      </c>
      <c r="O472" s="9">
        <f>IFERROR(VLOOKUP(B472,cubo!$A$6:$BE$37,33,0)-VLOOKUP(B472,#REF!,$O$2,0),0)</f>
        <v>0</v>
      </c>
      <c r="P472" s="8">
        <f>IFERROR(VLOOKUP(B472,cubo!$A$6:$BE$37,37,0)-VLOOKUP(B472,#REF!,$P$2,0),0)</f>
        <v>0</v>
      </c>
      <c r="Q472" s="8">
        <f>IFERROR(VLOOKUP(B472,cubo!$A$6:$BE$37,56,0)-VLOOKUP(B472,#REF!,$Q$2,0),0)</f>
        <v>0</v>
      </c>
      <c r="R472" s="9">
        <f>IFERROR(VLOOKUP(B472,cubo!$A$6:$BE$37,40,0)-VLOOKUP(B472,#REF!,$R$2,0),0)</f>
        <v>0</v>
      </c>
      <c r="S472" s="9">
        <f>IFERROR(VLOOKUP(B472,cubo!$A$6:$BE$37,43,0)-VLOOKUP(B472,#REF!,$S$2,0),0)</f>
        <v>0</v>
      </c>
      <c r="T472" s="9">
        <f>IFERROR(VLOOKUP(B472,cubo!$A$6:$BE$37,46,0)-VLOOKUP(B472,#REF!,$T$2,0),0)</f>
        <v>0</v>
      </c>
      <c r="U472" s="9">
        <f>IFERROR(VLOOKUP(B472,cubo!$A$6:$BE$37,51,0)-VLOOKUP(B472,#REF!,$U$2,0),0)</f>
        <v>0</v>
      </c>
      <c r="V472" s="9">
        <f>IFERROR(VLOOKUP(B472,cubo!$A$6:$BJ$37,60,0)-VLOOKUP(B472,#REF!,$V$2,0),0)</f>
        <v>0</v>
      </c>
      <c r="W472" s="9">
        <f>IFERROR(VLOOKUP(B472,cubo!$A$6:$BE$37,26,0)-VLOOKUP(B472,#REF!,$W$2,0),0)</f>
        <v>0</v>
      </c>
      <c r="X472" s="9">
        <f>IFERROR(VLOOKUP(B472,cubo!$A$6:$BE$37,20,0)-VLOOKUP(B472,#REF!,$X$2,0),0)</f>
        <v>0</v>
      </c>
      <c r="Y472" s="9">
        <f>IFERROR(VLOOKUP(B472,cubo!$A$6:$BE$37,21,0)-VLOOKUP(B472,#REF!,$Y$2,0),0)</f>
        <v>0</v>
      </c>
      <c r="Z472" s="9">
        <f>IFERROR(VLOOKUP(B472,cubo!$A$6:$BE$37,27,0)-VLOOKUP(B472,#REF!,$Z$2,0),0)</f>
        <v>0</v>
      </c>
      <c r="AA472" s="9">
        <f>IFERROR(VLOOKUP(B472,cubo!$A$6:$BE$37,28,0)-VLOOKUP(B472,#REF!,$AA$2,0),0)</f>
        <v>0</v>
      </c>
      <c r="AB472" s="9">
        <f>IFERROR(VLOOKUP(B472,cubo!$A$6:$BE$37,29,0)-VLOOKUP(B472,#REF!,$AB$2,0),0)</f>
        <v>0</v>
      </c>
      <c r="AC472" s="9">
        <f>IFERROR(VLOOKUP(B472,cubo!$A$6:$BE$37,30,0)-VLOOKUP(B472,#REF!,$AC$2,0),0)</f>
        <v>0</v>
      </c>
      <c r="AD472" s="9">
        <f>IFERROR(VLOOKUP(B472,cubo!$A$6:$BE$37,31,0)-VLOOKUP(B472,#REF!,$AD$2,0),0)</f>
        <v>0</v>
      </c>
      <c r="AE472" s="9">
        <f>IFERROR(VLOOKUP(B472,cubo!$A$6:$BE$37,35,0)-VLOOKUP(B472,#REF!,$AE$2,0),0)</f>
        <v>0</v>
      </c>
      <c r="AF472" s="9" cm="1">
        <f t="array" aca="1" ref="AF472" ca="1">IFERROR(rrPROCV(B472,cubo!$A$6:$BE$37,48,0)-VLOOKUP(B472,#REF!,$AF$2,0),0)</f>
        <v>0</v>
      </c>
      <c r="AG472" s="9">
        <f>IFERROR(VLOOKUP(B472,cubo!$A$6:$BE$37,49,0)-VLOOKUP(B472,#REF!,$AG$2,0),0)</f>
        <v>0</v>
      </c>
      <c r="AH472" s="9">
        <f>IFERROR(VLOOKUP(B472,cubo!$A$6:$BE$37,50,0)-VLOOKUP(B472,#REF!,$AH$2,0),0)</f>
        <v>0</v>
      </c>
      <c r="AI472" s="9">
        <f>IFERROR(VLOOKUP(B472,cubo!$A$6:$BE$37,51,0)-VLOOKUP(B472,#REF!,$AI$2,0),0)</f>
        <v>0</v>
      </c>
      <c r="AJ472" s="9">
        <f>IFERROR(VLOOKUP(B472,cubo!$A$6:$BI$116,62,0)-VLOOKUP(B472,#REF!,$AJ$2,0),0)</f>
        <v>0</v>
      </c>
      <c r="AK472" s="9">
        <f>IFERROR(VLOOKUP(B472,cubo!$A$6:$BJ$37,63,0)-VLOOKUP(B472,#REF!,$AK$2,0),0)</f>
        <v>0</v>
      </c>
      <c r="AL472" s="9">
        <f>IFERROR(VLOOKUP(B472,cubo!$A$6:$BE$37,58,0)-VLOOKUP(B472,#REF!,$AL$2,0),0)</f>
        <v>0</v>
      </c>
      <c r="AM472" s="9">
        <f>IFERROR(VLOOKUP(B472,cubo!$A$6:$BK$37,64,0)-VLOOKUP(B472,#REF!,$AM$2,0),0)</f>
        <v>0</v>
      </c>
      <c r="AN472" s="9">
        <f>IFERROR(VLOOKUP(B472,cubo!$A$6:$AN$37,41,0)-VLOOKUP(B472,#REF!,$AN$2,0),0)</f>
        <v>0</v>
      </c>
    </row>
    <row r="473" spans="2:40" x14ac:dyDescent="0.25">
      <c r="B473" s="7">
        <f>[1]salario!A472</f>
        <v>0</v>
      </c>
      <c r="C473" s="8">
        <f>[1]salario!C472</f>
        <v>0</v>
      </c>
      <c r="D473" s="9">
        <f>IFERROR(VLOOKUP(B473,cubo!$A$6:$BE$37,3,0)-VLOOKUP(B473,#REF!,$D$2,0),0)</f>
        <v>0</v>
      </c>
      <c r="E473" s="10">
        <f>IFERROR(VLOOKUP(B473,cubo!$A$6:$BE$37,5,0)-VLOOKUP(B473,#REF!,$E$2,0),0)</f>
        <v>0</v>
      </c>
      <c r="F473" s="10">
        <f>IFERROR(VLOOKUP(B473,cubo!$A$6:$BE$37,8,0)-VLOOKUP(B473,#REF!,$F$2,0),0)</f>
        <v>0</v>
      </c>
      <c r="G473" s="9">
        <f>IFERROR(VLOOKUP(B473,cubo!$A$6:$BE$37,11,0)-VLOOKUP(B473,#REF!,$G$2,0),0)</f>
        <v>0</v>
      </c>
      <c r="H473" s="9">
        <f>IFERROR(VLOOKUP(B473,cubo!$A$6:$BE$37,53,0)-VLOOKUP(B473,#REF!,$H$2,0),0)</f>
        <v>0</v>
      </c>
      <c r="I473" s="10">
        <f>IFERROR(VLOOKUP(B473,cubo!$A$6:$BE$37,14,0)-VLOOKUP(B473,#REF!,$I$2,0),0)</f>
        <v>0</v>
      </c>
      <c r="J473" s="9">
        <f>IFERROR(VLOOKUP(B473,cubo!$A$6:$BE$37,16,0)-VLOOKUP(B473,#REF!,$J$2,0),0)</f>
        <v>0</v>
      </c>
      <c r="K473" s="9">
        <f>IFERROR(VLOOKUP(B473,cubo!$A$6:$BE$37,17,0)-VLOOKUP(B473,#REF!,$K$2,0),0)</f>
        <v>0</v>
      </c>
      <c r="L473" s="9">
        <f>IFERROR(VLOOKUP(B473,cubo!$A$6:$BE$37,19,0)-VLOOKUP(B473,#REF!,$L$2,0),0)</f>
        <v>0</v>
      </c>
      <c r="M473" s="9">
        <f>IFERROR(VLOOKUP(B473,cubo!$A$6:$BE$37,23,0)-VLOOKUP(B473,#REF!,$M$2,0),0)</f>
        <v>0</v>
      </c>
      <c r="N473" s="9">
        <f>IFERROR(VLOOKUP(B473,cubo!$A$6:$BE$37,25,0)-VLOOKUP(B473,#REF!,$N$2,0),0)</f>
        <v>0</v>
      </c>
      <c r="O473" s="9">
        <f>IFERROR(VLOOKUP(B473,cubo!$A$6:$BE$37,33,0)-VLOOKUP(B473,#REF!,$O$2,0),0)</f>
        <v>0</v>
      </c>
      <c r="P473" s="8">
        <f>IFERROR(VLOOKUP(B473,cubo!$A$6:$BE$37,37,0)-VLOOKUP(B473,#REF!,$P$2,0),0)</f>
        <v>0</v>
      </c>
      <c r="Q473" s="8">
        <f>IFERROR(VLOOKUP(B473,cubo!$A$6:$BE$37,56,0)-VLOOKUP(B473,#REF!,$Q$2,0),0)</f>
        <v>0</v>
      </c>
      <c r="R473" s="9">
        <f>IFERROR(VLOOKUP(B473,cubo!$A$6:$BE$37,40,0)-VLOOKUP(B473,#REF!,$R$2,0),0)</f>
        <v>0</v>
      </c>
      <c r="S473" s="9">
        <f>IFERROR(VLOOKUP(B473,cubo!$A$6:$BE$37,43,0)-VLOOKUP(B473,#REF!,$S$2,0),0)</f>
        <v>0</v>
      </c>
      <c r="T473" s="9">
        <f>IFERROR(VLOOKUP(B473,cubo!$A$6:$BE$37,46,0)-VLOOKUP(B473,#REF!,$T$2,0),0)</f>
        <v>0</v>
      </c>
      <c r="U473" s="9">
        <f>IFERROR(VLOOKUP(B473,cubo!$A$6:$BE$37,51,0)-VLOOKUP(B473,#REF!,$U$2,0),0)</f>
        <v>0</v>
      </c>
      <c r="V473" s="9">
        <f>IFERROR(VLOOKUP(B473,cubo!$A$6:$BJ$37,60,0)-VLOOKUP(B473,#REF!,$V$2,0),0)</f>
        <v>0</v>
      </c>
      <c r="W473" s="9">
        <f>IFERROR(VLOOKUP(B473,cubo!$A$6:$BE$37,26,0)-VLOOKUP(B473,#REF!,$W$2,0),0)</f>
        <v>0</v>
      </c>
      <c r="X473" s="9">
        <f>IFERROR(VLOOKUP(B473,cubo!$A$6:$BE$37,20,0)-VLOOKUP(B473,#REF!,$X$2,0),0)</f>
        <v>0</v>
      </c>
      <c r="Y473" s="9">
        <f>IFERROR(VLOOKUP(B473,cubo!$A$6:$BE$37,21,0)-VLOOKUP(B473,#REF!,$Y$2,0),0)</f>
        <v>0</v>
      </c>
      <c r="Z473" s="9">
        <f>IFERROR(VLOOKUP(B473,cubo!$A$6:$BE$37,27,0)-VLOOKUP(B473,#REF!,$Z$2,0),0)</f>
        <v>0</v>
      </c>
      <c r="AA473" s="9">
        <f>IFERROR(VLOOKUP(B473,cubo!$A$6:$BE$37,28,0)-VLOOKUP(B473,#REF!,$AA$2,0),0)</f>
        <v>0</v>
      </c>
      <c r="AB473" s="9">
        <f>IFERROR(VLOOKUP(B473,cubo!$A$6:$BE$37,29,0)-VLOOKUP(B473,#REF!,$AB$2,0),0)</f>
        <v>0</v>
      </c>
      <c r="AC473" s="9">
        <f>IFERROR(VLOOKUP(B473,cubo!$A$6:$BE$37,30,0)-VLOOKUP(B473,#REF!,$AC$2,0),0)</f>
        <v>0</v>
      </c>
      <c r="AD473" s="9">
        <f>IFERROR(VLOOKUP(B473,cubo!$A$6:$BE$37,31,0)-VLOOKUP(B473,#REF!,$AD$2,0),0)</f>
        <v>0</v>
      </c>
      <c r="AE473" s="9">
        <f>IFERROR(VLOOKUP(B473,cubo!$A$6:$BE$37,35,0)-VLOOKUP(B473,#REF!,$AE$2,0),0)</f>
        <v>0</v>
      </c>
      <c r="AF473" s="9" cm="1">
        <f t="array" aca="1" ref="AF473" ca="1">IFERROR(rrPROCV(B473,cubo!$A$6:$BE$37,48,0)-VLOOKUP(B473,#REF!,$AF$2,0),0)</f>
        <v>0</v>
      </c>
      <c r="AG473" s="9">
        <f>IFERROR(VLOOKUP(B473,cubo!$A$6:$BE$37,49,0)-VLOOKUP(B473,#REF!,$AG$2,0),0)</f>
        <v>0</v>
      </c>
      <c r="AH473" s="9">
        <f>IFERROR(VLOOKUP(B473,cubo!$A$6:$BE$37,50,0)-VLOOKUP(B473,#REF!,$AH$2,0),0)</f>
        <v>0</v>
      </c>
      <c r="AI473" s="9">
        <f>IFERROR(VLOOKUP(B473,cubo!$A$6:$BE$37,51,0)-VLOOKUP(B473,#REF!,$AI$2,0),0)</f>
        <v>0</v>
      </c>
      <c r="AJ473" s="9">
        <f>IFERROR(VLOOKUP(B473,cubo!$A$6:$BI$116,62,0)-VLOOKUP(B473,#REF!,$AJ$2,0),0)</f>
        <v>0</v>
      </c>
      <c r="AK473" s="9">
        <f>IFERROR(VLOOKUP(B473,cubo!$A$6:$BJ$37,63,0)-VLOOKUP(B473,#REF!,$AK$2,0),0)</f>
        <v>0</v>
      </c>
      <c r="AL473" s="9">
        <f>IFERROR(VLOOKUP(B473,cubo!$A$6:$BE$37,58,0)-VLOOKUP(B473,#REF!,$AL$2,0),0)</f>
        <v>0</v>
      </c>
      <c r="AM473" s="9">
        <f>IFERROR(VLOOKUP(B473,cubo!$A$6:$BK$37,64,0)-VLOOKUP(B473,#REF!,$AM$2,0),0)</f>
        <v>0</v>
      </c>
      <c r="AN473" s="9">
        <f>IFERROR(VLOOKUP(B473,cubo!$A$6:$AN$37,41,0)-VLOOKUP(B473,#REF!,$AN$2,0),0)</f>
        <v>0</v>
      </c>
    </row>
    <row r="474" spans="2:40" x14ac:dyDescent="0.25">
      <c r="B474" s="7">
        <f>[1]salario!A473</f>
        <v>0</v>
      </c>
      <c r="C474" s="8">
        <f>[1]salario!C473</f>
        <v>0</v>
      </c>
      <c r="D474" s="9">
        <f>IFERROR(VLOOKUP(B474,cubo!$A$6:$BE$37,3,0)-VLOOKUP(B474,#REF!,$D$2,0),0)</f>
        <v>0</v>
      </c>
      <c r="E474" s="10">
        <f>IFERROR(VLOOKUP(B474,cubo!$A$6:$BE$37,5,0)-VLOOKUP(B474,#REF!,$E$2,0),0)</f>
        <v>0</v>
      </c>
      <c r="F474" s="10">
        <f>IFERROR(VLOOKUP(B474,cubo!$A$6:$BE$37,8,0)-VLOOKUP(B474,#REF!,$F$2,0),0)</f>
        <v>0</v>
      </c>
      <c r="G474" s="9">
        <f>IFERROR(VLOOKUP(B474,cubo!$A$6:$BE$37,11,0)-VLOOKUP(B474,#REF!,$G$2,0),0)</f>
        <v>0</v>
      </c>
      <c r="H474" s="9">
        <f>IFERROR(VLOOKUP(B474,cubo!$A$6:$BE$37,53,0)-VLOOKUP(B474,#REF!,$H$2,0),0)</f>
        <v>0</v>
      </c>
      <c r="I474" s="10">
        <f>IFERROR(VLOOKUP(B474,cubo!$A$6:$BE$37,14,0)-VLOOKUP(B474,#REF!,$I$2,0),0)</f>
        <v>0</v>
      </c>
      <c r="J474" s="9">
        <f>IFERROR(VLOOKUP(B474,cubo!$A$6:$BE$37,16,0)-VLOOKUP(B474,#REF!,$J$2,0),0)</f>
        <v>0</v>
      </c>
      <c r="K474" s="9">
        <f>IFERROR(VLOOKUP(B474,cubo!$A$6:$BE$37,17,0)-VLOOKUP(B474,#REF!,$K$2,0),0)</f>
        <v>0</v>
      </c>
      <c r="L474" s="9">
        <f>IFERROR(VLOOKUP(B474,cubo!$A$6:$BE$37,19,0)-VLOOKUP(B474,#REF!,$L$2,0),0)</f>
        <v>0</v>
      </c>
      <c r="M474" s="9">
        <f>IFERROR(VLOOKUP(B474,cubo!$A$6:$BE$37,23,0)-VLOOKUP(B474,#REF!,$M$2,0),0)</f>
        <v>0</v>
      </c>
      <c r="N474" s="9">
        <f>IFERROR(VLOOKUP(B474,cubo!$A$6:$BE$37,25,0)-VLOOKUP(B474,#REF!,$N$2,0),0)</f>
        <v>0</v>
      </c>
      <c r="O474" s="9">
        <f>IFERROR(VLOOKUP(B474,cubo!$A$6:$BE$37,33,0)-VLOOKUP(B474,#REF!,$O$2,0),0)</f>
        <v>0</v>
      </c>
      <c r="P474" s="8">
        <f>IFERROR(VLOOKUP(B474,cubo!$A$6:$BE$37,37,0)-VLOOKUP(B474,#REF!,$P$2,0),0)</f>
        <v>0</v>
      </c>
      <c r="Q474" s="8">
        <f>IFERROR(VLOOKUP(B474,cubo!$A$6:$BE$37,56,0)-VLOOKUP(B474,#REF!,$Q$2,0),0)</f>
        <v>0</v>
      </c>
      <c r="R474" s="9">
        <f>IFERROR(VLOOKUP(B474,cubo!$A$6:$BE$37,40,0)-VLOOKUP(B474,#REF!,$R$2,0),0)</f>
        <v>0</v>
      </c>
      <c r="S474" s="9">
        <f>IFERROR(VLOOKUP(B474,cubo!$A$6:$BE$37,43,0)-VLOOKUP(B474,#REF!,$S$2,0),0)</f>
        <v>0</v>
      </c>
      <c r="T474" s="9">
        <f>IFERROR(VLOOKUP(B474,cubo!$A$6:$BE$37,46,0)-VLOOKUP(B474,#REF!,$T$2,0),0)</f>
        <v>0</v>
      </c>
      <c r="U474" s="9">
        <f>IFERROR(VLOOKUP(B474,cubo!$A$6:$BE$37,51,0)-VLOOKUP(B474,#REF!,$U$2,0),0)</f>
        <v>0</v>
      </c>
      <c r="V474" s="9">
        <f>IFERROR(VLOOKUP(B474,cubo!$A$6:$BJ$37,60,0)-VLOOKUP(B474,#REF!,$V$2,0),0)</f>
        <v>0</v>
      </c>
      <c r="W474" s="9">
        <f>IFERROR(VLOOKUP(B474,cubo!$A$6:$BE$37,26,0)-VLOOKUP(B474,#REF!,$W$2,0),0)</f>
        <v>0</v>
      </c>
      <c r="X474" s="9">
        <f>IFERROR(VLOOKUP(B474,cubo!$A$6:$BE$37,20,0)-VLOOKUP(B474,#REF!,$X$2,0),0)</f>
        <v>0</v>
      </c>
      <c r="Y474" s="9">
        <f>IFERROR(VLOOKUP(B474,cubo!$A$6:$BE$37,21,0)-VLOOKUP(B474,#REF!,$Y$2,0),0)</f>
        <v>0</v>
      </c>
      <c r="Z474" s="9">
        <f>IFERROR(VLOOKUP(B474,cubo!$A$6:$BE$37,27,0)-VLOOKUP(B474,#REF!,$Z$2,0),0)</f>
        <v>0</v>
      </c>
      <c r="AA474" s="9">
        <f>IFERROR(VLOOKUP(B474,cubo!$A$6:$BE$37,28,0)-VLOOKUP(B474,#REF!,$AA$2,0),0)</f>
        <v>0</v>
      </c>
      <c r="AB474" s="9">
        <f>IFERROR(VLOOKUP(B474,cubo!$A$6:$BE$37,29,0)-VLOOKUP(B474,#REF!,$AB$2,0),0)</f>
        <v>0</v>
      </c>
      <c r="AC474" s="9">
        <f>IFERROR(VLOOKUP(B474,cubo!$A$6:$BE$37,30,0)-VLOOKUP(B474,#REF!,$AC$2,0),0)</f>
        <v>0</v>
      </c>
      <c r="AD474" s="9">
        <f>IFERROR(VLOOKUP(B474,cubo!$A$6:$BE$37,31,0)-VLOOKUP(B474,#REF!,$AD$2,0),0)</f>
        <v>0</v>
      </c>
      <c r="AE474" s="9">
        <f>IFERROR(VLOOKUP(B474,cubo!$A$6:$BE$37,35,0)-VLOOKUP(B474,#REF!,$AE$2,0),0)</f>
        <v>0</v>
      </c>
      <c r="AF474" s="9" cm="1">
        <f t="array" aca="1" ref="AF474" ca="1">IFERROR(rrPROCV(B474,cubo!$A$6:$BE$37,48,0)-VLOOKUP(B474,#REF!,$AF$2,0),0)</f>
        <v>0</v>
      </c>
      <c r="AG474" s="9">
        <f>IFERROR(VLOOKUP(B474,cubo!$A$6:$BE$37,49,0)-VLOOKUP(B474,#REF!,$AG$2,0),0)</f>
        <v>0</v>
      </c>
      <c r="AH474" s="9">
        <f>IFERROR(VLOOKUP(B474,cubo!$A$6:$BE$37,50,0)-VLOOKUP(B474,#REF!,$AH$2,0),0)</f>
        <v>0</v>
      </c>
      <c r="AI474" s="9">
        <f>IFERROR(VLOOKUP(B474,cubo!$A$6:$BE$37,51,0)-VLOOKUP(B474,#REF!,$AI$2,0),0)</f>
        <v>0</v>
      </c>
      <c r="AJ474" s="9">
        <f>IFERROR(VLOOKUP(B474,cubo!$A$6:$BI$116,62,0)-VLOOKUP(B474,#REF!,$AJ$2,0),0)</f>
        <v>0</v>
      </c>
      <c r="AK474" s="9">
        <f>IFERROR(VLOOKUP(B474,cubo!$A$6:$BJ$37,63,0)-VLOOKUP(B474,#REF!,$AK$2,0),0)</f>
        <v>0</v>
      </c>
      <c r="AL474" s="9">
        <f>IFERROR(VLOOKUP(B474,cubo!$A$6:$BE$37,58,0)-VLOOKUP(B474,#REF!,$AL$2,0),0)</f>
        <v>0</v>
      </c>
      <c r="AM474" s="9">
        <f>IFERROR(VLOOKUP(B474,cubo!$A$6:$BK$37,64,0)-VLOOKUP(B474,#REF!,$AM$2,0),0)</f>
        <v>0</v>
      </c>
      <c r="AN474" s="9">
        <f>IFERROR(VLOOKUP(B474,cubo!$A$6:$AN$37,41,0)-VLOOKUP(B474,#REF!,$AN$2,0),0)</f>
        <v>0</v>
      </c>
    </row>
    <row r="475" spans="2:40" x14ac:dyDescent="0.25">
      <c r="B475" s="7">
        <f>[1]salario!A474</f>
        <v>0</v>
      </c>
      <c r="C475" s="8">
        <f>[1]salario!C474</f>
        <v>0</v>
      </c>
      <c r="D475" s="9">
        <f>IFERROR(VLOOKUP(B475,cubo!$A$6:$BE$37,3,0)-VLOOKUP(B475,#REF!,$D$2,0),0)</f>
        <v>0</v>
      </c>
      <c r="E475" s="10">
        <f>IFERROR(VLOOKUP(B475,cubo!$A$6:$BE$37,5,0)-VLOOKUP(B475,#REF!,$E$2,0),0)</f>
        <v>0</v>
      </c>
      <c r="F475" s="10">
        <f>IFERROR(VLOOKUP(B475,cubo!$A$6:$BE$37,8,0)-VLOOKUP(B475,#REF!,$F$2,0),0)</f>
        <v>0</v>
      </c>
      <c r="G475" s="9">
        <f>IFERROR(VLOOKUP(B475,cubo!$A$6:$BE$37,11,0)-VLOOKUP(B475,#REF!,$G$2,0),0)</f>
        <v>0</v>
      </c>
      <c r="H475" s="9">
        <f>IFERROR(VLOOKUP(B475,cubo!$A$6:$BE$37,53,0)-VLOOKUP(B475,#REF!,$H$2,0),0)</f>
        <v>0</v>
      </c>
      <c r="I475" s="10">
        <f>IFERROR(VLOOKUP(B475,cubo!$A$6:$BE$37,14,0)-VLOOKUP(B475,#REF!,$I$2,0),0)</f>
        <v>0</v>
      </c>
      <c r="J475" s="9">
        <f>IFERROR(VLOOKUP(B475,cubo!$A$6:$BE$37,16,0)-VLOOKUP(B475,#REF!,$J$2,0),0)</f>
        <v>0</v>
      </c>
      <c r="K475" s="9">
        <f>IFERROR(VLOOKUP(B475,cubo!$A$6:$BE$37,17,0)-VLOOKUP(B475,#REF!,$K$2,0),0)</f>
        <v>0</v>
      </c>
      <c r="L475" s="9">
        <f>IFERROR(VLOOKUP(B475,cubo!$A$6:$BE$37,19,0)-VLOOKUP(B475,#REF!,$L$2,0),0)</f>
        <v>0</v>
      </c>
      <c r="M475" s="9">
        <f>IFERROR(VLOOKUP(B475,cubo!$A$6:$BE$37,23,0)-VLOOKUP(B475,#REF!,$M$2,0),0)</f>
        <v>0</v>
      </c>
      <c r="N475" s="9">
        <f>IFERROR(VLOOKUP(B475,cubo!$A$6:$BE$37,25,0)-VLOOKUP(B475,#REF!,$N$2,0),0)</f>
        <v>0</v>
      </c>
      <c r="O475" s="9">
        <f>IFERROR(VLOOKUP(B475,cubo!$A$6:$BE$37,33,0)-VLOOKUP(B475,#REF!,$O$2,0),0)</f>
        <v>0</v>
      </c>
      <c r="P475" s="8">
        <f>IFERROR(VLOOKUP(B475,cubo!$A$6:$BE$37,37,0)-VLOOKUP(B475,#REF!,$P$2,0),0)</f>
        <v>0</v>
      </c>
      <c r="Q475" s="8">
        <f>IFERROR(VLOOKUP(B475,cubo!$A$6:$BE$37,56,0)-VLOOKUP(B475,#REF!,$Q$2,0),0)</f>
        <v>0</v>
      </c>
      <c r="R475" s="9">
        <f>IFERROR(VLOOKUP(B475,cubo!$A$6:$BE$37,40,0)-VLOOKUP(B475,#REF!,$R$2,0),0)</f>
        <v>0</v>
      </c>
      <c r="S475" s="9">
        <f>IFERROR(VLOOKUP(B475,cubo!$A$6:$BE$37,43,0)-VLOOKUP(B475,#REF!,$S$2,0),0)</f>
        <v>0</v>
      </c>
      <c r="T475" s="9">
        <f>IFERROR(VLOOKUP(B475,cubo!$A$6:$BE$37,46,0)-VLOOKUP(B475,#REF!,$T$2,0),0)</f>
        <v>0</v>
      </c>
      <c r="U475" s="9">
        <f>IFERROR(VLOOKUP(B475,cubo!$A$6:$BE$37,51,0)-VLOOKUP(B475,#REF!,$U$2,0),0)</f>
        <v>0</v>
      </c>
      <c r="V475" s="9">
        <f>IFERROR(VLOOKUP(B475,cubo!$A$6:$BJ$37,60,0)-VLOOKUP(B475,#REF!,$V$2,0),0)</f>
        <v>0</v>
      </c>
      <c r="W475" s="9">
        <f>IFERROR(VLOOKUP(B475,cubo!$A$6:$BE$37,26,0)-VLOOKUP(B475,#REF!,$W$2,0),0)</f>
        <v>0</v>
      </c>
      <c r="X475" s="9">
        <f>IFERROR(VLOOKUP(B475,cubo!$A$6:$BE$37,20,0)-VLOOKUP(B475,#REF!,$X$2,0),0)</f>
        <v>0</v>
      </c>
      <c r="Y475" s="9">
        <f>IFERROR(VLOOKUP(B475,cubo!$A$6:$BE$37,21,0)-VLOOKUP(B475,#REF!,$Y$2,0),0)</f>
        <v>0</v>
      </c>
      <c r="Z475" s="9">
        <f>IFERROR(VLOOKUP(B475,cubo!$A$6:$BE$37,27,0)-VLOOKUP(B475,#REF!,$Z$2,0),0)</f>
        <v>0</v>
      </c>
      <c r="AA475" s="9">
        <f>IFERROR(VLOOKUP(B475,cubo!$A$6:$BE$37,28,0)-VLOOKUP(B475,#REF!,$AA$2,0),0)</f>
        <v>0</v>
      </c>
      <c r="AB475" s="9">
        <f>IFERROR(VLOOKUP(B475,cubo!$A$6:$BE$37,29,0)-VLOOKUP(B475,#REF!,$AB$2,0),0)</f>
        <v>0</v>
      </c>
      <c r="AC475" s="9">
        <f>IFERROR(VLOOKUP(B475,cubo!$A$6:$BE$37,30,0)-VLOOKUP(B475,#REF!,$AC$2,0),0)</f>
        <v>0</v>
      </c>
      <c r="AD475" s="9">
        <f>IFERROR(VLOOKUP(B475,cubo!$A$6:$BE$37,31,0)-VLOOKUP(B475,#REF!,$AD$2,0),0)</f>
        <v>0</v>
      </c>
      <c r="AE475" s="9">
        <f>IFERROR(VLOOKUP(B475,cubo!$A$6:$BE$37,35,0)-VLOOKUP(B475,#REF!,$AE$2,0),0)</f>
        <v>0</v>
      </c>
      <c r="AF475" s="9" cm="1">
        <f t="array" aca="1" ref="AF475" ca="1">IFERROR(rrPROCV(B475,cubo!$A$6:$BE$37,48,0)-VLOOKUP(B475,#REF!,$AF$2,0),0)</f>
        <v>0</v>
      </c>
      <c r="AG475" s="9">
        <f>IFERROR(VLOOKUP(B475,cubo!$A$6:$BE$37,49,0)-VLOOKUP(B475,#REF!,$AG$2,0),0)</f>
        <v>0</v>
      </c>
      <c r="AH475" s="9">
        <f>IFERROR(VLOOKUP(B475,cubo!$A$6:$BE$37,50,0)-VLOOKUP(B475,#REF!,$AH$2,0),0)</f>
        <v>0</v>
      </c>
      <c r="AI475" s="9">
        <f>IFERROR(VLOOKUP(B475,cubo!$A$6:$BE$37,51,0)-VLOOKUP(B475,#REF!,$AI$2,0),0)</f>
        <v>0</v>
      </c>
      <c r="AJ475" s="9">
        <f>IFERROR(VLOOKUP(B475,cubo!$A$6:$BI$116,62,0)-VLOOKUP(B475,#REF!,$AJ$2,0),0)</f>
        <v>0</v>
      </c>
      <c r="AK475" s="9">
        <f>IFERROR(VLOOKUP(B475,cubo!$A$6:$BJ$37,63,0)-VLOOKUP(B475,#REF!,$AK$2,0),0)</f>
        <v>0</v>
      </c>
      <c r="AL475" s="9">
        <f>IFERROR(VLOOKUP(B475,cubo!$A$6:$BE$37,58,0)-VLOOKUP(B475,#REF!,$AL$2,0),0)</f>
        <v>0</v>
      </c>
      <c r="AM475" s="9">
        <f>IFERROR(VLOOKUP(B475,cubo!$A$6:$BK$37,64,0)-VLOOKUP(B475,#REF!,$AM$2,0),0)</f>
        <v>0</v>
      </c>
      <c r="AN475" s="9">
        <f>IFERROR(VLOOKUP(B475,cubo!$A$6:$AN$37,41,0)-VLOOKUP(B475,#REF!,$AN$2,0),0)</f>
        <v>0</v>
      </c>
    </row>
    <row r="476" spans="2:40" x14ac:dyDescent="0.25">
      <c r="B476" s="7">
        <f>[1]salario!A475</f>
        <v>0</v>
      </c>
      <c r="C476" s="8">
        <f>[1]salario!C475</f>
        <v>0</v>
      </c>
      <c r="D476" s="9">
        <f>IFERROR(VLOOKUP(B476,cubo!$A$6:$BE$37,3,0)-VLOOKUP(B476,#REF!,$D$2,0),0)</f>
        <v>0</v>
      </c>
      <c r="E476" s="10">
        <f>IFERROR(VLOOKUP(B476,cubo!$A$6:$BE$37,5,0)-VLOOKUP(B476,#REF!,$E$2,0),0)</f>
        <v>0</v>
      </c>
      <c r="F476" s="10">
        <f>IFERROR(VLOOKUP(B476,cubo!$A$6:$BE$37,8,0)-VLOOKUP(B476,#REF!,$F$2,0),0)</f>
        <v>0</v>
      </c>
      <c r="G476" s="9">
        <f>IFERROR(VLOOKUP(B476,cubo!$A$6:$BE$37,11,0)-VLOOKUP(B476,#REF!,$G$2,0),0)</f>
        <v>0</v>
      </c>
      <c r="H476" s="9">
        <f>IFERROR(VLOOKUP(B476,cubo!$A$6:$BE$37,53,0)-VLOOKUP(B476,#REF!,$H$2,0),0)</f>
        <v>0</v>
      </c>
      <c r="I476" s="10">
        <f>IFERROR(VLOOKUP(B476,cubo!$A$6:$BE$37,14,0)-VLOOKUP(B476,#REF!,$I$2,0),0)</f>
        <v>0</v>
      </c>
      <c r="J476" s="9">
        <f>IFERROR(VLOOKUP(B476,cubo!$A$6:$BE$37,16,0)-VLOOKUP(B476,#REF!,$J$2,0),0)</f>
        <v>0</v>
      </c>
      <c r="K476" s="9">
        <f>IFERROR(VLOOKUP(B476,cubo!$A$6:$BE$37,17,0)-VLOOKUP(B476,#REF!,$K$2,0),0)</f>
        <v>0</v>
      </c>
      <c r="L476" s="9">
        <f>IFERROR(VLOOKUP(B476,cubo!$A$6:$BE$37,19,0)-VLOOKUP(B476,#REF!,$L$2,0),0)</f>
        <v>0</v>
      </c>
      <c r="M476" s="9">
        <f>IFERROR(VLOOKUP(B476,cubo!$A$6:$BE$37,23,0)-VLOOKUP(B476,#REF!,$M$2,0),0)</f>
        <v>0</v>
      </c>
      <c r="N476" s="9">
        <f>IFERROR(VLOOKUP(B476,cubo!$A$6:$BE$37,25,0)-VLOOKUP(B476,#REF!,$N$2,0),0)</f>
        <v>0</v>
      </c>
      <c r="O476" s="9">
        <f>IFERROR(VLOOKUP(B476,cubo!$A$6:$BE$37,33,0)-VLOOKUP(B476,#REF!,$O$2,0),0)</f>
        <v>0</v>
      </c>
      <c r="P476" s="8">
        <f>IFERROR(VLOOKUP(B476,cubo!$A$6:$BE$37,37,0)-VLOOKUP(B476,#REF!,$P$2,0),0)</f>
        <v>0</v>
      </c>
      <c r="Q476" s="8">
        <f>IFERROR(VLOOKUP(B476,cubo!$A$6:$BE$37,56,0)-VLOOKUP(B476,#REF!,$Q$2,0),0)</f>
        <v>0</v>
      </c>
      <c r="R476" s="9">
        <f>IFERROR(VLOOKUP(B476,cubo!$A$6:$BE$37,40,0)-VLOOKUP(B476,#REF!,$R$2,0),0)</f>
        <v>0</v>
      </c>
      <c r="S476" s="9">
        <f>IFERROR(VLOOKUP(B476,cubo!$A$6:$BE$37,43,0)-VLOOKUP(B476,#REF!,$S$2,0),0)</f>
        <v>0</v>
      </c>
      <c r="T476" s="9">
        <f>IFERROR(VLOOKUP(B476,cubo!$A$6:$BE$37,46,0)-VLOOKUP(B476,#REF!,$T$2,0),0)</f>
        <v>0</v>
      </c>
      <c r="U476" s="9">
        <f>IFERROR(VLOOKUP(B476,cubo!$A$6:$BE$37,51,0)-VLOOKUP(B476,#REF!,$U$2,0),0)</f>
        <v>0</v>
      </c>
      <c r="V476" s="9">
        <f>IFERROR(VLOOKUP(B476,cubo!$A$6:$BJ$37,60,0)-VLOOKUP(B476,#REF!,$V$2,0),0)</f>
        <v>0</v>
      </c>
      <c r="W476" s="9">
        <f>IFERROR(VLOOKUP(B476,cubo!$A$6:$BE$37,26,0)-VLOOKUP(B476,#REF!,$W$2,0),0)</f>
        <v>0</v>
      </c>
      <c r="X476" s="9">
        <f>IFERROR(VLOOKUP(B476,cubo!$A$6:$BE$37,20,0)-VLOOKUP(B476,#REF!,$X$2,0),0)</f>
        <v>0</v>
      </c>
      <c r="Y476" s="9">
        <f>IFERROR(VLOOKUP(B476,cubo!$A$6:$BE$37,21,0)-VLOOKUP(B476,#REF!,$Y$2,0),0)</f>
        <v>0</v>
      </c>
      <c r="Z476" s="9">
        <f>IFERROR(VLOOKUP(B476,cubo!$A$6:$BE$37,27,0)-VLOOKUP(B476,#REF!,$Z$2,0),0)</f>
        <v>0</v>
      </c>
      <c r="AA476" s="9">
        <f>IFERROR(VLOOKUP(B476,cubo!$A$6:$BE$37,28,0)-VLOOKUP(B476,#REF!,$AA$2,0),0)</f>
        <v>0</v>
      </c>
      <c r="AB476" s="9">
        <f>IFERROR(VLOOKUP(B476,cubo!$A$6:$BE$37,29,0)-VLOOKUP(B476,#REF!,$AB$2,0),0)</f>
        <v>0</v>
      </c>
      <c r="AC476" s="9">
        <f>IFERROR(VLOOKUP(B476,cubo!$A$6:$BE$37,30,0)-VLOOKUP(B476,#REF!,$AC$2,0),0)</f>
        <v>0</v>
      </c>
      <c r="AD476" s="9">
        <f>IFERROR(VLOOKUP(B476,cubo!$A$6:$BE$37,31,0)-VLOOKUP(B476,#REF!,$AD$2,0),0)</f>
        <v>0</v>
      </c>
      <c r="AE476" s="9">
        <f>IFERROR(VLOOKUP(B476,cubo!$A$6:$BE$37,35,0)-VLOOKUP(B476,#REF!,$AE$2,0),0)</f>
        <v>0</v>
      </c>
      <c r="AF476" s="9" cm="1">
        <f t="array" aca="1" ref="AF476" ca="1">IFERROR(rrPROCV(B476,cubo!$A$6:$BE$37,48,0)-VLOOKUP(B476,#REF!,$AF$2,0),0)</f>
        <v>0</v>
      </c>
      <c r="AG476" s="9">
        <f>IFERROR(VLOOKUP(B476,cubo!$A$6:$BE$37,49,0)-VLOOKUP(B476,#REF!,$AG$2,0),0)</f>
        <v>0</v>
      </c>
      <c r="AH476" s="9">
        <f>IFERROR(VLOOKUP(B476,cubo!$A$6:$BE$37,50,0)-VLOOKUP(B476,#REF!,$AH$2,0),0)</f>
        <v>0</v>
      </c>
      <c r="AI476" s="9">
        <f>IFERROR(VLOOKUP(B476,cubo!$A$6:$BE$37,51,0)-VLOOKUP(B476,#REF!,$AI$2,0),0)</f>
        <v>0</v>
      </c>
      <c r="AJ476" s="9">
        <f>IFERROR(VLOOKUP(B476,cubo!$A$6:$BI$116,62,0)-VLOOKUP(B476,#REF!,$AJ$2,0),0)</f>
        <v>0</v>
      </c>
      <c r="AK476" s="9">
        <f>IFERROR(VLOOKUP(B476,cubo!$A$6:$BJ$37,63,0)-VLOOKUP(B476,#REF!,$AK$2,0),0)</f>
        <v>0</v>
      </c>
      <c r="AL476" s="9">
        <f>IFERROR(VLOOKUP(B476,cubo!$A$6:$BE$37,58,0)-VLOOKUP(B476,#REF!,$AL$2,0),0)</f>
        <v>0</v>
      </c>
      <c r="AM476" s="9">
        <f>IFERROR(VLOOKUP(B476,cubo!$A$6:$BK$37,64,0)-VLOOKUP(B476,#REF!,$AM$2,0),0)</f>
        <v>0</v>
      </c>
      <c r="AN476" s="9">
        <f>IFERROR(VLOOKUP(B476,cubo!$A$6:$AN$37,41,0)-VLOOKUP(B476,#REF!,$AN$2,0),0)</f>
        <v>0</v>
      </c>
    </row>
    <row r="477" spans="2:40" x14ac:dyDescent="0.25">
      <c r="B477" s="7">
        <f>[1]salario!A476</f>
        <v>0</v>
      </c>
      <c r="C477" s="8">
        <f>[1]salario!C476</f>
        <v>0</v>
      </c>
      <c r="D477" s="9">
        <f>IFERROR(VLOOKUP(B477,cubo!$A$6:$BE$37,3,0)-VLOOKUP(B477,#REF!,$D$2,0),0)</f>
        <v>0</v>
      </c>
      <c r="E477" s="10">
        <f>IFERROR(VLOOKUP(B477,cubo!$A$6:$BE$37,5,0)-VLOOKUP(B477,#REF!,$E$2,0),0)</f>
        <v>0</v>
      </c>
      <c r="F477" s="10">
        <f>IFERROR(VLOOKUP(B477,cubo!$A$6:$BE$37,8,0)-VLOOKUP(B477,#REF!,$F$2,0),0)</f>
        <v>0</v>
      </c>
      <c r="G477" s="9">
        <f>IFERROR(VLOOKUP(B477,cubo!$A$6:$BE$37,11,0)-VLOOKUP(B477,#REF!,$G$2,0),0)</f>
        <v>0</v>
      </c>
      <c r="H477" s="9">
        <f>IFERROR(VLOOKUP(B477,cubo!$A$6:$BE$37,53,0)-VLOOKUP(B477,#REF!,$H$2,0),0)</f>
        <v>0</v>
      </c>
      <c r="I477" s="10">
        <f>IFERROR(VLOOKUP(B477,cubo!$A$6:$BE$37,14,0)-VLOOKUP(B477,#REF!,$I$2,0),0)</f>
        <v>0</v>
      </c>
      <c r="J477" s="9">
        <f>IFERROR(VLOOKUP(B477,cubo!$A$6:$BE$37,16,0)-VLOOKUP(B477,#REF!,$J$2,0),0)</f>
        <v>0</v>
      </c>
      <c r="K477" s="9">
        <f>IFERROR(VLOOKUP(B477,cubo!$A$6:$BE$37,17,0)-VLOOKUP(B477,#REF!,$K$2,0),0)</f>
        <v>0</v>
      </c>
      <c r="L477" s="9">
        <f>IFERROR(VLOOKUP(B477,cubo!$A$6:$BE$37,19,0)-VLOOKUP(B477,#REF!,$L$2,0),0)</f>
        <v>0</v>
      </c>
      <c r="M477" s="9">
        <f>IFERROR(VLOOKUP(B477,cubo!$A$6:$BE$37,23,0)-VLOOKUP(B477,#REF!,$M$2,0),0)</f>
        <v>0</v>
      </c>
      <c r="N477" s="9">
        <f>IFERROR(VLOOKUP(B477,cubo!$A$6:$BE$37,25,0)-VLOOKUP(B477,#REF!,$N$2,0),0)</f>
        <v>0</v>
      </c>
      <c r="O477" s="9">
        <f>IFERROR(VLOOKUP(B477,cubo!$A$6:$BE$37,33,0)-VLOOKUP(B477,#REF!,$O$2,0),0)</f>
        <v>0</v>
      </c>
      <c r="P477" s="8">
        <f>IFERROR(VLOOKUP(B477,cubo!$A$6:$BE$37,37,0)-VLOOKUP(B477,#REF!,$P$2,0),0)</f>
        <v>0</v>
      </c>
      <c r="Q477" s="8">
        <f>IFERROR(VLOOKUP(B477,cubo!$A$6:$BE$37,56,0)-VLOOKUP(B477,#REF!,$Q$2,0),0)</f>
        <v>0</v>
      </c>
      <c r="R477" s="9">
        <f>IFERROR(VLOOKUP(B477,cubo!$A$6:$BE$37,40,0)-VLOOKUP(B477,#REF!,$R$2,0),0)</f>
        <v>0</v>
      </c>
      <c r="S477" s="9">
        <f>IFERROR(VLOOKUP(B477,cubo!$A$6:$BE$37,43,0)-VLOOKUP(B477,#REF!,$S$2,0),0)</f>
        <v>0</v>
      </c>
      <c r="T477" s="9">
        <f>IFERROR(VLOOKUP(B477,cubo!$A$6:$BE$37,46,0)-VLOOKUP(B477,#REF!,$T$2,0),0)</f>
        <v>0</v>
      </c>
      <c r="U477" s="9">
        <f>IFERROR(VLOOKUP(B477,cubo!$A$6:$BE$37,51,0)-VLOOKUP(B477,#REF!,$U$2,0),0)</f>
        <v>0</v>
      </c>
      <c r="V477" s="9">
        <f>IFERROR(VLOOKUP(B477,cubo!$A$6:$BJ$37,60,0)-VLOOKUP(B477,#REF!,$V$2,0),0)</f>
        <v>0</v>
      </c>
      <c r="W477" s="9">
        <f>IFERROR(VLOOKUP(B477,cubo!$A$6:$BE$37,26,0)-VLOOKUP(B477,#REF!,$W$2,0),0)</f>
        <v>0</v>
      </c>
      <c r="X477" s="9">
        <f>IFERROR(VLOOKUP(B477,cubo!$A$6:$BE$37,20,0)-VLOOKUP(B477,#REF!,$X$2,0),0)</f>
        <v>0</v>
      </c>
      <c r="Y477" s="9">
        <f>IFERROR(VLOOKUP(B477,cubo!$A$6:$BE$37,21,0)-VLOOKUP(B477,#REF!,$Y$2,0),0)</f>
        <v>0</v>
      </c>
      <c r="Z477" s="9">
        <f>IFERROR(VLOOKUP(B477,cubo!$A$6:$BE$37,27,0)-VLOOKUP(B477,#REF!,$Z$2,0),0)</f>
        <v>0</v>
      </c>
      <c r="AA477" s="9">
        <f>IFERROR(VLOOKUP(B477,cubo!$A$6:$BE$37,28,0)-VLOOKUP(B477,#REF!,$AA$2,0),0)</f>
        <v>0</v>
      </c>
      <c r="AB477" s="9">
        <f>IFERROR(VLOOKUP(B477,cubo!$A$6:$BE$37,29,0)-VLOOKUP(B477,#REF!,$AB$2,0),0)</f>
        <v>0</v>
      </c>
      <c r="AC477" s="9">
        <f>IFERROR(VLOOKUP(B477,cubo!$A$6:$BE$37,30,0)-VLOOKUP(B477,#REF!,$AC$2,0),0)</f>
        <v>0</v>
      </c>
      <c r="AD477" s="9">
        <f>IFERROR(VLOOKUP(B477,cubo!$A$6:$BE$37,31,0)-VLOOKUP(B477,#REF!,$AD$2,0),0)</f>
        <v>0</v>
      </c>
      <c r="AE477" s="9">
        <f>IFERROR(VLOOKUP(B477,cubo!$A$6:$BE$37,35,0)-VLOOKUP(B477,#REF!,$AE$2,0),0)</f>
        <v>0</v>
      </c>
      <c r="AF477" s="9" cm="1">
        <f t="array" aca="1" ref="AF477" ca="1">IFERROR(rrPROCV(B477,cubo!$A$6:$BE$37,48,0)-VLOOKUP(B477,#REF!,$AF$2,0),0)</f>
        <v>0</v>
      </c>
      <c r="AG477" s="9">
        <f>IFERROR(VLOOKUP(B477,cubo!$A$6:$BE$37,49,0)-VLOOKUP(B477,#REF!,$AG$2,0),0)</f>
        <v>0</v>
      </c>
      <c r="AH477" s="9">
        <f>IFERROR(VLOOKUP(B477,cubo!$A$6:$BE$37,50,0)-VLOOKUP(B477,#REF!,$AH$2,0),0)</f>
        <v>0</v>
      </c>
      <c r="AI477" s="9">
        <f>IFERROR(VLOOKUP(B477,cubo!$A$6:$BE$37,51,0)-VLOOKUP(B477,#REF!,$AI$2,0),0)</f>
        <v>0</v>
      </c>
      <c r="AJ477" s="9">
        <f>IFERROR(VLOOKUP(B477,cubo!$A$6:$BI$116,62,0)-VLOOKUP(B477,#REF!,$AJ$2,0),0)</f>
        <v>0</v>
      </c>
      <c r="AK477" s="9">
        <f>IFERROR(VLOOKUP(B477,cubo!$A$6:$BJ$37,63,0)-VLOOKUP(B477,#REF!,$AK$2,0),0)</f>
        <v>0</v>
      </c>
      <c r="AL477" s="9">
        <f>IFERROR(VLOOKUP(B477,cubo!$A$6:$BE$37,58,0)-VLOOKUP(B477,#REF!,$AL$2,0),0)</f>
        <v>0</v>
      </c>
      <c r="AM477" s="9">
        <f>IFERROR(VLOOKUP(B477,cubo!$A$6:$BK$37,64,0)-VLOOKUP(B477,#REF!,$AM$2,0),0)</f>
        <v>0</v>
      </c>
      <c r="AN477" s="9">
        <f>IFERROR(VLOOKUP(B477,cubo!$A$6:$AN$37,41,0)-VLOOKUP(B477,#REF!,$AN$2,0),0)</f>
        <v>0</v>
      </c>
    </row>
    <row r="478" spans="2:40" x14ac:dyDescent="0.25">
      <c r="B478" s="7">
        <f>[1]salario!A477</f>
        <v>0</v>
      </c>
      <c r="C478" s="8">
        <f>[1]salario!C477</f>
        <v>0</v>
      </c>
      <c r="D478" s="9">
        <f>IFERROR(VLOOKUP(B478,cubo!$A$6:$BE$37,3,0)-VLOOKUP(B478,#REF!,$D$2,0),0)</f>
        <v>0</v>
      </c>
      <c r="E478" s="10">
        <f>IFERROR(VLOOKUP(B478,cubo!$A$6:$BE$37,5,0)-VLOOKUP(B478,#REF!,$E$2,0),0)</f>
        <v>0</v>
      </c>
      <c r="F478" s="10">
        <f>IFERROR(VLOOKUP(B478,cubo!$A$6:$BE$37,8,0)-VLOOKUP(B478,#REF!,$F$2,0),0)</f>
        <v>0</v>
      </c>
      <c r="G478" s="9">
        <f>IFERROR(VLOOKUP(B478,cubo!$A$6:$BE$37,11,0)-VLOOKUP(B478,#REF!,$G$2,0),0)</f>
        <v>0</v>
      </c>
      <c r="H478" s="9">
        <f>IFERROR(VLOOKUP(B478,cubo!$A$6:$BE$37,53,0)-VLOOKUP(B478,#REF!,$H$2,0),0)</f>
        <v>0</v>
      </c>
      <c r="I478" s="10">
        <f>IFERROR(VLOOKUP(B478,cubo!$A$6:$BE$37,14,0)-VLOOKUP(B478,#REF!,$I$2,0),0)</f>
        <v>0</v>
      </c>
      <c r="J478" s="9">
        <f>IFERROR(VLOOKUP(B478,cubo!$A$6:$BE$37,16,0)-VLOOKUP(B478,#REF!,$J$2,0),0)</f>
        <v>0</v>
      </c>
      <c r="K478" s="9">
        <f>IFERROR(VLOOKUP(B478,cubo!$A$6:$BE$37,17,0)-VLOOKUP(B478,#REF!,$K$2,0),0)</f>
        <v>0</v>
      </c>
      <c r="L478" s="9">
        <f>IFERROR(VLOOKUP(B478,cubo!$A$6:$BE$37,19,0)-VLOOKUP(B478,#REF!,$L$2,0),0)</f>
        <v>0</v>
      </c>
      <c r="M478" s="9">
        <f>IFERROR(VLOOKUP(B478,cubo!$A$6:$BE$37,23,0)-VLOOKUP(B478,#REF!,$M$2,0),0)</f>
        <v>0</v>
      </c>
      <c r="N478" s="9">
        <f>IFERROR(VLOOKUP(B478,cubo!$A$6:$BE$37,25,0)-VLOOKUP(B478,#REF!,$N$2,0),0)</f>
        <v>0</v>
      </c>
      <c r="O478" s="9">
        <f>IFERROR(VLOOKUP(B478,cubo!$A$6:$BE$37,33,0)-VLOOKUP(B478,#REF!,$O$2,0),0)</f>
        <v>0</v>
      </c>
      <c r="P478" s="8">
        <f>IFERROR(VLOOKUP(B478,cubo!$A$6:$BE$37,37,0)-VLOOKUP(B478,#REF!,$P$2,0),0)</f>
        <v>0</v>
      </c>
      <c r="Q478" s="8">
        <f>IFERROR(VLOOKUP(B478,cubo!$A$6:$BE$37,56,0)-VLOOKUP(B478,#REF!,$Q$2,0),0)</f>
        <v>0</v>
      </c>
      <c r="R478" s="9">
        <f>IFERROR(VLOOKUP(B478,cubo!$A$6:$BE$37,40,0)-VLOOKUP(B478,#REF!,$R$2,0),0)</f>
        <v>0</v>
      </c>
      <c r="S478" s="9">
        <f>IFERROR(VLOOKUP(B478,cubo!$A$6:$BE$37,43,0)-VLOOKUP(B478,#REF!,$S$2,0),0)</f>
        <v>0</v>
      </c>
      <c r="T478" s="9">
        <f>IFERROR(VLOOKUP(B478,cubo!$A$6:$BE$37,46,0)-VLOOKUP(B478,#REF!,$T$2,0),0)</f>
        <v>0</v>
      </c>
      <c r="U478" s="9">
        <f>IFERROR(VLOOKUP(B478,cubo!$A$6:$BE$37,51,0)-VLOOKUP(B478,#REF!,$U$2,0),0)</f>
        <v>0</v>
      </c>
      <c r="V478" s="9">
        <f>IFERROR(VLOOKUP(B478,cubo!$A$6:$BJ$37,60,0)-VLOOKUP(B478,#REF!,$V$2,0),0)</f>
        <v>0</v>
      </c>
      <c r="W478" s="9">
        <f>IFERROR(VLOOKUP(B478,cubo!$A$6:$BE$37,26,0)-VLOOKUP(B478,#REF!,$W$2,0),0)</f>
        <v>0</v>
      </c>
      <c r="X478" s="9">
        <f>IFERROR(VLOOKUP(B478,cubo!$A$6:$BE$37,20,0)-VLOOKUP(B478,#REF!,$X$2,0),0)</f>
        <v>0</v>
      </c>
      <c r="Y478" s="9">
        <f>IFERROR(VLOOKUP(B478,cubo!$A$6:$BE$37,21,0)-VLOOKUP(B478,#REF!,$Y$2,0),0)</f>
        <v>0</v>
      </c>
      <c r="Z478" s="9">
        <f>IFERROR(VLOOKUP(B478,cubo!$A$6:$BE$37,27,0)-VLOOKUP(B478,#REF!,$Z$2,0),0)</f>
        <v>0</v>
      </c>
      <c r="AA478" s="9">
        <f>IFERROR(VLOOKUP(B478,cubo!$A$6:$BE$37,28,0)-VLOOKUP(B478,#REF!,$AA$2,0),0)</f>
        <v>0</v>
      </c>
      <c r="AB478" s="9">
        <f>IFERROR(VLOOKUP(B478,cubo!$A$6:$BE$37,29,0)-VLOOKUP(B478,#REF!,$AB$2,0),0)</f>
        <v>0</v>
      </c>
      <c r="AC478" s="9">
        <f>IFERROR(VLOOKUP(B478,cubo!$A$6:$BE$37,30,0)-VLOOKUP(B478,#REF!,$AC$2,0),0)</f>
        <v>0</v>
      </c>
      <c r="AD478" s="9">
        <f>IFERROR(VLOOKUP(B478,cubo!$A$6:$BE$37,31,0)-VLOOKUP(B478,#REF!,$AD$2,0),0)</f>
        <v>0</v>
      </c>
      <c r="AE478" s="9">
        <f>IFERROR(VLOOKUP(B478,cubo!$A$6:$BE$37,35,0)-VLOOKUP(B478,#REF!,$AE$2,0),0)</f>
        <v>0</v>
      </c>
      <c r="AF478" s="9" cm="1">
        <f t="array" aca="1" ref="AF478" ca="1">IFERROR(rrPROCV(B478,cubo!$A$6:$BE$37,48,0)-VLOOKUP(B478,#REF!,$AF$2,0),0)</f>
        <v>0</v>
      </c>
      <c r="AG478" s="9">
        <f>IFERROR(VLOOKUP(B478,cubo!$A$6:$BE$37,49,0)-VLOOKUP(B478,#REF!,$AG$2,0),0)</f>
        <v>0</v>
      </c>
      <c r="AH478" s="9">
        <f>IFERROR(VLOOKUP(B478,cubo!$A$6:$BE$37,50,0)-VLOOKUP(B478,#REF!,$AH$2,0),0)</f>
        <v>0</v>
      </c>
      <c r="AI478" s="9">
        <f>IFERROR(VLOOKUP(B478,cubo!$A$6:$BE$37,51,0)-VLOOKUP(B478,#REF!,$AI$2,0),0)</f>
        <v>0</v>
      </c>
      <c r="AJ478" s="9">
        <f>IFERROR(VLOOKUP(B478,cubo!$A$6:$BI$116,62,0)-VLOOKUP(B478,#REF!,$AJ$2,0),0)</f>
        <v>0</v>
      </c>
      <c r="AK478" s="9">
        <f>IFERROR(VLOOKUP(B478,cubo!$A$6:$BJ$37,63,0)-VLOOKUP(B478,#REF!,$AK$2,0),0)</f>
        <v>0</v>
      </c>
      <c r="AL478" s="9">
        <f>IFERROR(VLOOKUP(B478,cubo!$A$6:$BE$37,58,0)-VLOOKUP(B478,#REF!,$AL$2,0),0)</f>
        <v>0</v>
      </c>
      <c r="AM478" s="9">
        <f>IFERROR(VLOOKUP(B478,cubo!$A$6:$BK$37,64,0)-VLOOKUP(B478,#REF!,$AM$2,0),0)</f>
        <v>0</v>
      </c>
      <c r="AN478" s="9">
        <f>IFERROR(VLOOKUP(B478,cubo!$A$6:$AN$37,41,0)-VLOOKUP(B478,#REF!,$AN$2,0),0)</f>
        <v>0</v>
      </c>
    </row>
    <row r="479" spans="2:40" x14ac:dyDescent="0.25">
      <c r="B479" s="7">
        <f>[1]salario!A478</f>
        <v>0</v>
      </c>
      <c r="C479" s="8">
        <f>[1]salario!C478</f>
        <v>0</v>
      </c>
      <c r="D479" s="9">
        <f>IFERROR(VLOOKUP(B479,cubo!$A$6:$BE$37,3,0)-VLOOKUP(B479,#REF!,$D$2,0),0)</f>
        <v>0</v>
      </c>
      <c r="E479" s="10">
        <f>IFERROR(VLOOKUP(B479,cubo!$A$6:$BE$37,5,0)-VLOOKUP(B479,#REF!,$E$2,0),0)</f>
        <v>0</v>
      </c>
      <c r="F479" s="10">
        <f>IFERROR(VLOOKUP(B479,cubo!$A$6:$BE$37,8,0)-VLOOKUP(B479,#REF!,$F$2,0),0)</f>
        <v>0</v>
      </c>
      <c r="G479" s="9">
        <f>IFERROR(VLOOKUP(B479,cubo!$A$6:$BE$37,11,0)-VLOOKUP(B479,#REF!,$G$2,0),0)</f>
        <v>0</v>
      </c>
      <c r="H479" s="9">
        <f>IFERROR(VLOOKUP(B479,cubo!$A$6:$BE$37,53,0)-VLOOKUP(B479,#REF!,$H$2,0),0)</f>
        <v>0</v>
      </c>
      <c r="I479" s="10">
        <f>IFERROR(VLOOKUP(B479,cubo!$A$6:$BE$37,14,0)-VLOOKUP(B479,#REF!,$I$2,0),0)</f>
        <v>0</v>
      </c>
      <c r="J479" s="9">
        <f>IFERROR(VLOOKUP(B479,cubo!$A$6:$BE$37,16,0)-VLOOKUP(B479,#REF!,$J$2,0),0)</f>
        <v>0</v>
      </c>
      <c r="K479" s="9">
        <f>IFERROR(VLOOKUP(B479,cubo!$A$6:$BE$37,17,0)-VLOOKUP(B479,#REF!,$K$2,0),0)</f>
        <v>0</v>
      </c>
      <c r="L479" s="9">
        <f>IFERROR(VLOOKUP(B479,cubo!$A$6:$BE$37,19,0)-VLOOKUP(B479,#REF!,$L$2,0),0)</f>
        <v>0</v>
      </c>
      <c r="M479" s="9">
        <f>IFERROR(VLOOKUP(B479,cubo!$A$6:$BE$37,23,0)-VLOOKUP(B479,#REF!,$M$2,0),0)</f>
        <v>0</v>
      </c>
      <c r="N479" s="9">
        <f>IFERROR(VLOOKUP(B479,cubo!$A$6:$BE$37,25,0)-VLOOKUP(B479,#REF!,$N$2,0),0)</f>
        <v>0</v>
      </c>
      <c r="O479" s="9">
        <f>IFERROR(VLOOKUP(B479,cubo!$A$6:$BE$37,33,0)-VLOOKUP(B479,#REF!,$O$2,0),0)</f>
        <v>0</v>
      </c>
      <c r="P479" s="8">
        <f>IFERROR(VLOOKUP(B479,cubo!$A$6:$BE$37,37,0)-VLOOKUP(B479,#REF!,$P$2,0),0)</f>
        <v>0</v>
      </c>
      <c r="Q479" s="8">
        <f>IFERROR(VLOOKUP(B479,cubo!$A$6:$BE$37,56,0)-VLOOKUP(B479,#REF!,$Q$2,0),0)</f>
        <v>0</v>
      </c>
      <c r="R479" s="9">
        <f>IFERROR(VLOOKUP(B479,cubo!$A$6:$BE$37,40,0)-VLOOKUP(B479,#REF!,$R$2,0),0)</f>
        <v>0</v>
      </c>
      <c r="S479" s="9">
        <f>IFERROR(VLOOKUP(B479,cubo!$A$6:$BE$37,43,0)-VLOOKUP(B479,#REF!,$S$2,0),0)</f>
        <v>0</v>
      </c>
      <c r="T479" s="9">
        <f>IFERROR(VLOOKUP(B479,cubo!$A$6:$BE$37,46,0)-VLOOKUP(B479,#REF!,$T$2,0),0)</f>
        <v>0</v>
      </c>
      <c r="U479" s="9">
        <f>IFERROR(VLOOKUP(B479,cubo!$A$6:$BE$37,51,0)-VLOOKUP(B479,#REF!,$U$2,0),0)</f>
        <v>0</v>
      </c>
      <c r="V479" s="9">
        <f>IFERROR(VLOOKUP(B479,cubo!$A$6:$BJ$37,60,0)-VLOOKUP(B479,#REF!,$V$2,0),0)</f>
        <v>0</v>
      </c>
      <c r="W479" s="9">
        <f>IFERROR(VLOOKUP(B479,cubo!$A$6:$BE$37,26,0)-VLOOKUP(B479,#REF!,$W$2,0),0)</f>
        <v>0</v>
      </c>
      <c r="X479" s="9">
        <f>IFERROR(VLOOKUP(B479,cubo!$A$6:$BE$37,20,0)-VLOOKUP(B479,#REF!,$X$2,0),0)</f>
        <v>0</v>
      </c>
      <c r="Y479" s="9">
        <f>IFERROR(VLOOKUP(B479,cubo!$A$6:$BE$37,21,0)-VLOOKUP(B479,#REF!,$Y$2,0),0)</f>
        <v>0</v>
      </c>
      <c r="Z479" s="9">
        <f>IFERROR(VLOOKUP(B479,cubo!$A$6:$BE$37,27,0)-VLOOKUP(B479,#REF!,$Z$2,0),0)</f>
        <v>0</v>
      </c>
      <c r="AA479" s="9">
        <f>IFERROR(VLOOKUP(B479,cubo!$A$6:$BE$37,28,0)-VLOOKUP(B479,#REF!,$AA$2,0),0)</f>
        <v>0</v>
      </c>
      <c r="AB479" s="9">
        <f>IFERROR(VLOOKUP(B479,cubo!$A$6:$BE$37,29,0)-VLOOKUP(B479,#REF!,$AB$2,0),0)</f>
        <v>0</v>
      </c>
      <c r="AC479" s="9">
        <f>IFERROR(VLOOKUP(B479,cubo!$A$6:$BE$37,30,0)-VLOOKUP(B479,#REF!,$AC$2,0),0)</f>
        <v>0</v>
      </c>
      <c r="AD479" s="9">
        <f>IFERROR(VLOOKUP(B479,cubo!$A$6:$BE$37,31,0)-VLOOKUP(B479,#REF!,$AD$2,0),0)</f>
        <v>0</v>
      </c>
      <c r="AE479" s="9">
        <f>IFERROR(VLOOKUP(B479,cubo!$A$6:$BE$37,35,0)-VLOOKUP(B479,#REF!,$AE$2,0),0)</f>
        <v>0</v>
      </c>
      <c r="AF479" s="9" cm="1">
        <f t="array" aca="1" ref="AF479" ca="1">IFERROR(rrPROCV(B479,cubo!$A$6:$BE$37,48,0)-VLOOKUP(B479,#REF!,$AF$2,0),0)</f>
        <v>0</v>
      </c>
      <c r="AG479" s="9">
        <f>IFERROR(VLOOKUP(B479,cubo!$A$6:$BE$37,49,0)-VLOOKUP(B479,#REF!,$AG$2,0),0)</f>
        <v>0</v>
      </c>
      <c r="AH479" s="9">
        <f>IFERROR(VLOOKUP(B479,cubo!$A$6:$BE$37,50,0)-VLOOKUP(B479,#REF!,$AH$2,0),0)</f>
        <v>0</v>
      </c>
      <c r="AI479" s="9">
        <f>IFERROR(VLOOKUP(B479,cubo!$A$6:$BE$37,51,0)-VLOOKUP(B479,#REF!,$AI$2,0),0)</f>
        <v>0</v>
      </c>
      <c r="AJ479" s="9">
        <f>IFERROR(VLOOKUP(B479,cubo!$A$6:$BI$116,62,0)-VLOOKUP(B479,#REF!,$AJ$2,0),0)</f>
        <v>0</v>
      </c>
      <c r="AK479" s="9">
        <f>IFERROR(VLOOKUP(B479,cubo!$A$6:$BJ$37,63,0)-VLOOKUP(B479,#REF!,$AK$2,0),0)</f>
        <v>0</v>
      </c>
      <c r="AL479" s="9">
        <f>IFERROR(VLOOKUP(B479,cubo!$A$6:$BE$37,58,0)-VLOOKUP(B479,#REF!,$AL$2,0),0)</f>
        <v>0</v>
      </c>
      <c r="AM479" s="9">
        <f>IFERROR(VLOOKUP(B479,cubo!$A$6:$BK$37,64,0)-VLOOKUP(B479,#REF!,$AM$2,0),0)</f>
        <v>0</v>
      </c>
      <c r="AN479" s="9">
        <f>IFERROR(VLOOKUP(B479,cubo!$A$6:$AN$37,41,0)-VLOOKUP(B479,#REF!,$AN$2,0),0)</f>
        <v>0</v>
      </c>
    </row>
    <row r="480" spans="2:40" x14ac:dyDescent="0.25">
      <c r="B480" s="7">
        <f>[1]salario!A479</f>
        <v>0</v>
      </c>
      <c r="C480" s="8">
        <f>[1]salario!C479</f>
        <v>0</v>
      </c>
      <c r="D480" s="9">
        <f>IFERROR(VLOOKUP(B480,cubo!$A$6:$BE$37,3,0)-VLOOKUP(B480,#REF!,$D$2,0),0)</f>
        <v>0</v>
      </c>
      <c r="E480" s="10">
        <f>IFERROR(VLOOKUP(B480,cubo!$A$6:$BE$37,5,0)-VLOOKUP(B480,#REF!,$E$2,0),0)</f>
        <v>0</v>
      </c>
      <c r="F480" s="10">
        <f>IFERROR(VLOOKUP(B480,cubo!$A$6:$BE$37,8,0)-VLOOKUP(B480,#REF!,$F$2,0),0)</f>
        <v>0</v>
      </c>
      <c r="G480" s="9">
        <f>IFERROR(VLOOKUP(B480,cubo!$A$6:$BE$37,11,0)-VLOOKUP(B480,#REF!,$G$2,0),0)</f>
        <v>0</v>
      </c>
      <c r="H480" s="9">
        <f>IFERROR(VLOOKUP(B480,cubo!$A$6:$BE$37,53,0)-VLOOKUP(B480,#REF!,$H$2,0),0)</f>
        <v>0</v>
      </c>
      <c r="I480" s="10">
        <f>IFERROR(VLOOKUP(B480,cubo!$A$6:$BE$37,14,0)-VLOOKUP(B480,#REF!,$I$2,0),0)</f>
        <v>0</v>
      </c>
      <c r="J480" s="9">
        <f>IFERROR(VLOOKUP(B480,cubo!$A$6:$BE$37,16,0)-VLOOKUP(B480,#REF!,$J$2,0),0)</f>
        <v>0</v>
      </c>
      <c r="K480" s="9">
        <f>IFERROR(VLOOKUP(B480,cubo!$A$6:$BE$37,17,0)-VLOOKUP(B480,#REF!,$K$2,0),0)</f>
        <v>0</v>
      </c>
      <c r="L480" s="9">
        <f>IFERROR(VLOOKUP(B480,cubo!$A$6:$BE$37,19,0)-VLOOKUP(B480,#REF!,$L$2,0),0)</f>
        <v>0</v>
      </c>
      <c r="M480" s="9">
        <f>IFERROR(VLOOKUP(B480,cubo!$A$6:$BE$37,23,0)-VLOOKUP(B480,#REF!,$M$2,0),0)</f>
        <v>0</v>
      </c>
      <c r="N480" s="9">
        <f>IFERROR(VLOOKUP(B480,cubo!$A$6:$BE$37,25,0)-VLOOKUP(B480,#REF!,$N$2,0),0)</f>
        <v>0</v>
      </c>
      <c r="O480" s="9">
        <f>IFERROR(VLOOKUP(B480,cubo!$A$6:$BE$37,33,0)-VLOOKUP(B480,#REF!,$O$2,0),0)</f>
        <v>0</v>
      </c>
      <c r="P480" s="8">
        <f>IFERROR(VLOOKUP(B480,cubo!$A$6:$BE$37,37,0)-VLOOKUP(B480,#REF!,$P$2,0),0)</f>
        <v>0</v>
      </c>
      <c r="Q480" s="8">
        <f>IFERROR(VLOOKUP(B480,cubo!$A$6:$BE$37,56,0)-VLOOKUP(B480,#REF!,$Q$2,0),0)</f>
        <v>0</v>
      </c>
      <c r="R480" s="9">
        <f>IFERROR(VLOOKUP(B480,cubo!$A$6:$BE$37,40,0)-VLOOKUP(B480,#REF!,$R$2,0),0)</f>
        <v>0</v>
      </c>
      <c r="S480" s="9">
        <f>IFERROR(VLOOKUP(B480,cubo!$A$6:$BE$37,43,0)-VLOOKUP(B480,#REF!,$S$2,0),0)</f>
        <v>0</v>
      </c>
      <c r="T480" s="9">
        <f>IFERROR(VLOOKUP(B480,cubo!$A$6:$BE$37,46,0)-VLOOKUP(B480,#REF!,$T$2,0),0)</f>
        <v>0</v>
      </c>
      <c r="U480" s="9">
        <f>IFERROR(VLOOKUP(B480,cubo!$A$6:$BE$37,51,0)-VLOOKUP(B480,#REF!,$U$2,0),0)</f>
        <v>0</v>
      </c>
      <c r="V480" s="9">
        <f>IFERROR(VLOOKUP(B480,cubo!$A$6:$BJ$37,60,0)-VLOOKUP(B480,#REF!,$V$2,0),0)</f>
        <v>0</v>
      </c>
      <c r="W480" s="9">
        <f>IFERROR(VLOOKUP(B480,cubo!$A$6:$BE$37,26,0)-VLOOKUP(B480,#REF!,$W$2,0),0)</f>
        <v>0</v>
      </c>
      <c r="X480" s="9">
        <f>IFERROR(VLOOKUP(B480,cubo!$A$6:$BE$37,20,0)-VLOOKUP(B480,#REF!,$X$2,0),0)</f>
        <v>0</v>
      </c>
      <c r="Y480" s="9">
        <f>IFERROR(VLOOKUP(B480,cubo!$A$6:$BE$37,21,0)-VLOOKUP(B480,#REF!,$Y$2,0),0)</f>
        <v>0</v>
      </c>
      <c r="Z480" s="9">
        <f>IFERROR(VLOOKUP(B480,cubo!$A$6:$BE$37,27,0)-VLOOKUP(B480,#REF!,$Z$2,0),0)</f>
        <v>0</v>
      </c>
      <c r="AA480" s="9">
        <f>IFERROR(VLOOKUP(B480,cubo!$A$6:$BE$37,28,0)-VLOOKUP(B480,#REF!,$AA$2,0),0)</f>
        <v>0</v>
      </c>
      <c r="AB480" s="9">
        <f>IFERROR(VLOOKUP(B480,cubo!$A$6:$BE$37,29,0)-VLOOKUP(B480,#REF!,$AB$2,0),0)</f>
        <v>0</v>
      </c>
      <c r="AC480" s="9">
        <f>IFERROR(VLOOKUP(B480,cubo!$A$6:$BE$37,30,0)-VLOOKUP(B480,#REF!,$AC$2,0),0)</f>
        <v>0</v>
      </c>
      <c r="AD480" s="9">
        <f>IFERROR(VLOOKUP(B480,cubo!$A$6:$BE$37,31,0)-VLOOKUP(B480,#REF!,$AD$2,0),0)</f>
        <v>0</v>
      </c>
      <c r="AE480" s="9">
        <f>IFERROR(VLOOKUP(B480,cubo!$A$6:$BE$37,35,0)-VLOOKUP(B480,#REF!,$AE$2,0),0)</f>
        <v>0</v>
      </c>
      <c r="AF480" s="9" cm="1">
        <f t="array" aca="1" ref="AF480" ca="1">IFERROR(rrPROCV(B480,cubo!$A$6:$BE$37,48,0)-VLOOKUP(B480,#REF!,$AF$2,0),0)</f>
        <v>0</v>
      </c>
      <c r="AG480" s="9">
        <f>IFERROR(VLOOKUP(B480,cubo!$A$6:$BE$37,49,0)-VLOOKUP(B480,#REF!,$AG$2,0),0)</f>
        <v>0</v>
      </c>
      <c r="AH480" s="9">
        <f>IFERROR(VLOOKUP(B480,cubo!$A$6:$BE$37,50,0)-VLOOKUP(B480,#REF!,$AH$2,0),0)</f>
        <v>0</v>
      </c>
      <c r="AI480" s="9">
        <f>IFERROR(VLOOKUP(B480,cubo!$A$6:$BE$37,51,0)-VLOOKUP(B480,#REF!,$AI$2,0),0)</f>
        <v>0</v>
      </c>
      <c r="AJ480" s="9">
        <f>IFERROR(VLOOKUP(B480,cubo!$A$6:$BI$116,62,0)-VLOOKUP(B480,#REF!,$AJ$2,0),0)</f>
        <v>0</v>
      </c>
      <c r="AK480" s="9">
        <f>IFERROR(VLOOKUP(B480,cubo!$A$6:$BJ$37,63,0)-VLOOKUP(B480,#REF!,$AK$2,0),0)</f>
        <v>0</v>
      </c>
      <c r="AL480" s="9">
        <f>IFERROR(VLOOKUP(B480,cubo!$A$6:$BE$37,58,0)-VLOOKUP(B480,#REF!,$AL$2,0),0)</f>
        <v>0</v>
      </c>
      <c r="AM480" s="9">
        <f>IFERROR(VLOOKUP(B480,cubo!$A$6:$BK$37,64,0)-VLOOKUP(B480,#REF!,$AM$2,0),0)</f>
        <v>0</v>
      </c>
      <c r="AN480" s="9">
        <f>IFERROR(VLOOKUP(B480,cubo!$A$6:$AN$37,41,0)-VLOOKUP(B480,#REF!,$AN$2,0),0)</f>
        <v>0</v>
      </c>
    </row>
    <row r="481" spans="2:40" x14ac:dyDescent="0.25">
      <c r="B481" s="7">
        <f>[1]salario!A480</f>
        <v>0</v>
      </c>
      <c r="C481" s="8">
        <f>[1]salario!C480</f>
        <v>0</v>
      </c>
      <c r="D481" s="9">
        <f>IFERROR(VLOOKUP(B481,cubo!$A$6:$BE$37,3,0)-VLOOKUP(B481,#REF!,$D$2,0),0)</f>
        <v>0</v>
      </c>
      <c r="E481" s="10">
        <f>IFERROR(VLOOKUP(B481,cubo!$A$6:$BE$37,5,0)-VLOOKUP(B481,#REF!,$E$2,0),0)</f>
        <v>0</v>
      </c>
      <c r="F481" s="10">
        <f>IFERROR(VLOOKUP(B481,cubo!$A$6:$BE$37,8,0)-VLOOKUP(B481,#REF!,$F$2,0),0)</f>
        <v>0</v>
      </c>
      <c r="G481" s="9">
        <f>IFERROR(VLOOKUP(B481,cubo!$A$6:$BE$37,11,0)-VLOOKUP(B481,#REF!,$G$2,0),0)</f>
        <v>0</v>
      </c>
      <c r="H481" s="9">
        <f>IFERROR(VLOOKUP(B481,cubo!$A$6:$BE$37,53,0)-VLOOKUP(B481,#REF!,$H$2,0),0)</f>
        <v>0</v>
      </c>
      <c r="I481" s="10">
        <f>IFERROR(VLOOKUP(B481,cubo!$A$6:$BE$37,14,0)-VLOOKUP(B481,#REF!,$I$2,0),0)</f>
        <v>0</v>
      </c>
      <c r="J481" s="9">
        <f>IFERROR(VLOOKUP(B481,cubo!$A$6:$BE$37,16,0)-VLOOKUP(B481,#REF!,$J$2,0),0)</f>
        <v>0</v>
      </c>
      <c r="K481" s="9">
        <f>IFERROR(VLOOKUP(B481,cubo!$A$6:$BE$37,17,0)-VLOOKUP(B481,#REF!,$K$2,0),0)</f>
        <v>0</v>
      </c>
      <c r="L481" s="9">
        <f>IFERROR(VLOOKUP(B481,cubo!$A$6:$BE$37,19,0)-VLOOKUP(B481,#REF!,$L$2,0),0)</f>
        <v>0</v>
      </c>
      <c r="M481" s="9">
        <f>IFERROR(VLOOKUP(B481,cubo!$A$6:$BE$37,23,0)-VLOOKUP(B481,#REF!,$M$2,0),0)</f>
        <v>0</v>
      </c>
      <c r="N481" s="9">
        <f>IFERROR(VLOOKUP(B481,cubo!$A$6:$BE$37,25,0)-VLOOKUP(B481,#REF!,$N$2,0),0)</f>
        <v>0</v>
      </c>
      <c r="O481" s="9">
        <f>IFERROR(VLOOKUP(B481,cubo!$A$6:$BE$37,33,0)-VLOOKUP(B481,#REF!,$O$2,0),0)</f>
        <v>0</v>
      </c>
      <c r="P481" s="8">
        <f>IFERROR(VLOOKUP(B481,cubo!$A$6:$BE$37,37,0)-VLOOKUP(B481,#REF!,$P$2,0),0)</f>
        <v>0</v>
      </c>
      <c r="Q481" s="8">
        <f>IFERROR(VLOOKUP(B481,cubo!$A$6:$BE$37,56,0)-VLOOKUP(B481,#REF!,$Q$2,0),0)</f>
        <v>0</v>
      </c>
      <c r="R481" s="9">
        <f>IFERROR(VLOOKUP(B481,cubo!$A$6:$BE$37,40,0)-VLOOKUP(B481,#REF!,$R$2,0),0)</f>
        <v>0</v>
      </c>
      <c r="S481" s="9">
        <f>IFERROR(VLOOKUP(B481,cubo!$A$6:$BE$37,43,0)-VLOOKUP(B481,#REF!,$S$2,0),0)</f>
        <v>0</v>
      </c>
      <c r="T481" s="9">
        <f>IFERROR(VLOOKUP(B481,cubo!$A$6:$BE$37,46,0)-VLOOKUP(B481,#REF!,$T$2,0),0)</f>
        <v>0</v>
      </c>
      <c r="U481" s="9">
        <f>IFERROR(VLOOKUP(B481,cubo!$A$6:$BE$37,51,0)-VLOOKUP(B481,#REF!,$U$2,0),0)</f>
        <v>0</v>
      </c>
      <c r="V481" s="9">
        <f>IFERROR(VLOOKUP(B481,cubo!$A$6:$BJ$37,60,0)-VLOOKUP(B481,#REF!,$V$2,0),0)</f>
        <v>0</v>
      </c>
      <c r="W481" s="9">
        <f>IFERROR(VLOOKUP(B481,cubo!$A$6:$BE$37,26,0)-VLOOKUP(B481,#REF!,$W$2,0),0)</f>
        <v>0</v>
      </c>
      <c r="X481" s="9">
        <f>IFERROR(VLOOKUP(B481,cubo!$A$6:$BE$37,20,0)-VLOOKUP(B481,#REF!,$X$2,0),0)</f>
        <v>0</v>
      </c>
      <c r="Y481" s="9">
        <f>IFERROR(VLOOKUP(B481,cubo!$A$6:$BE$37,21,0)-VLOOKUP(B481,#REF!,$Y$2,0),0)</f>
        <v>0</v>
      </c>
      <c r="Z481" s="9">
        <f>IFERROR(VLOOKUP(B481,cubo!$A$6:$BE$37,27,0)-VLOOKUP(B481,#REF!,$Z$2,0),0)</f>
        <v>0</v>
      </c>
      <c r="AA481" s="9">
        <f>IFERROR(VLOOKUP(B481,cubo!$A$6:$BE$37,28,0)-VLOOKUP(B481,#REF!,$AA$2,0),0)</f>
        <v>0</v>
      </c>
      <c r="AB481" s="9">
        <f>IFERROR(VLOOKUP(B481,cubo!$A$6:$BE$37,29,0)-VLOOKUP(B481,#REF!,$AB$2,0),0)</f>
        <v>0</v>
      </c>
      <c r="AC481" s="9">
        <f>IFERROR(VLOOKUP(B481,cubo!$A$6:$BE$37,30,0)-VLOOKUP(B481,#REF!,$AC$2,0),0)</f>
        <v>0</v>
      </c>
      <c r="AD481" s="9">
        <f>IFERROR(VLOOKUP(B481,cubo!$A$6:$BE$37,31,0)-VLOOKUP(B481,#REF!,$AD$2,0),0)</f>
        <v>0</v>
      </c>
      <c r="AE481" s="9">
        <f>IFERROR(VLOOKUP(B481,cubo!$A$6:$BE$37,35,0)-VLOOKUP(B481,#REF!,$AE$2,0),0)</f>
        <v>0</v>
      </c>
      <c r="AF481" s="9" cm="1">
        <f t="array" aca="1" ref="AF481" ca="1">IFERROR(rrPROCV(B481,cubo!$A$6:$BE$37,48,0)-VLOOKUP(B481,#REF!,$AF$2,0),0)</f>
        <v>0</v>
      </c>
      <c r="AG481" s="9">
        <f>IFERROR(VLOOKUP(B481,cubo!$A$6:$BE$37,49,0)-VLOOKUP(B481,#REF!,$AG$2,0),0)</f>
        <v>0</v>
      </c>
      <c r="AH481" s="9">
        <f>IFERROR(VLOOKUP(B481,cubo!$A$6:$BE$37,50,0)-VLOOKUP(B481,#REF!,$AH$2,0),0)</f>
        <v>0</v>
      </c>
      <c r="AI481" s="9">
        <f>IFERROR(VLOOKUP(B481,cubo!$A$6:$BE$37,51,0)-VLOOKUP(B481,#REF!,$AI$2,0),0)</f>
        <v>0</v>
      </c>
      <c r="AJ481" s="9">
        <f>IFERROR(VLOOKUP(B481,cubo!$A$6:$BI$116,62,0)-VLOOKUP(B481,#REF!,$AJ$2,0),0)</f>
        <v>0</v>
      </c>
      <c r="AK481" s="9">
        <f>IFERROR(VLOOKUP(B481,cubo!$A$6:$BJ$37,63,0)-VLOOKUP(B481,#REF!,$AK$2,0),0)</f>
        <v>0</v>
      </c>
      <c r="AL481" s="9">
        <f>IFERROR(VLOOKUP(B481,cubo!$A$6:$BE$37,58,0)-VLOOKUP(B481,#REF!,$AL$2,0),0)</f>
        <v>0</v>
      </c>
      <c r="AM481" s="9">
        <f>IFERROR(VLOOKUP(B481,cubo!$A$6:$BK$37,64,0)-VLOOKUP(B481,#REF!,$AM$2,0),0)</f>
        <v>0</v>
      </c>
      <c r="AN481" s="9">
        <f>IFERROR(VLOOKUP(B481,cubo!$A$6:$AN$37,41,0)-VLOOKUP(B481,#REF!,$AN$2,0),0)</f>
        <v>0</v>
      </c>
    </row>
    <row r="482" spans="2:40" x14ac:dyDescent="0.25">
      <c r="B482" s="7">
        <f>[1]salario!A481</f>
        <v>0</v>
      </c>
      <c r="C482" s="8">
        <f>[1]salario!C481</f>
        <v>0</v>
      </c>
      <c r="D482" s="9">
        <f>IFERROR(VLOOKUP(B482,cubo!$A$6:$BE$37,3,0)-VLOOKUP(B482,#REF!,$D$2,0),0)</f>
        <v>0</v>
      </c>
      <c r="E482" s="10">
        <f>IFERROR(VLOOKUP(B482,cubo!$A$6:$BE$37,5,0)-VLOOKUP(B482,#REF!,$E$2,0),0)</f>
        <v>0</v>
      </c>
      <c r="F482" s="10">
        <f>IFERROR(VLOOKUP(B482,cubo!$A$6:$BE$37,8,0)-VLOOKUP(B482,#REF!,$F$2,0),0)</f>
        <v>0</v>
      </c>
      <c r="G482" s="9">
        <f>IFERROR(VLOOKUP(B482,cubo!$A$6:$BE$37,11,0)-VLOOKUP(B482,#REF!,$G$2,0),0)</f>
        <v>0</v>
      </c>
      <c r="H482" s="9">
        <f>IFERROR(VLOOKUP(B482,cubo!$A$6:$BE$37,53,0)-VLOOKUP(B482,#REF!,$H$2,0),0)</f>
        <v>0</v>
      </c>
      <c r="I482" s="10">
        <f>IFERROR(VLOOKUP(B482,cubo!$A$6:$BE$37,14,0)-VLOOKUP(B482,#REF!,$I$2,0),0)</f>
        <v>0</v>
      </c>
      <c r="J482" s="9">
        <f>IFERROR(VLOOKUP(B482,cubo!$A$6:$BE$37,16,0)-VLOOKUP(B482,#REF!,$J$2,0),0)</f>
        <v>0</v>
      </c>
      <c r="K482" s="9">
        <f>IFERROR(VLOOKUP(B482,cubo!$A$6:$BE$37,17,0)-VLOOKUP(B482,#REF!,$K$2,0),0)</f>
        <v>0</v>
      </c>
      <c r="L482" s="9">
        <f>IFERROR(VLOOKUP(B482,cubo!$A$6:$BE$37,19,0)-VLOOKUP(B482,#REF!,$L$2,0),0)</f>
        <v>0</v>
      </c>
      <c r="M482" s="9">
        <f>IFERROR(VLOOKUP(B482,cubo!$A$6:$BE$37,23,0)-VLOOKUP(B482,#REF!,$M$2,0),0)</f>
        <v>0</v>
      </c>
      <c r="N482" s="9">
        <f>IFERROR(VLOOKUP(B482,cubo!$A$6:$BE$37,25,0)-VLOOKUP(B482,#REF!,$N$2,0),0)</f>
        <v>0</v>
      </c>
      <c r="O482" s="9">
        <f>IFERROR(VLOOKUP(B482,cubo!$A$6:$BE$37,33,0)-VLOOKUP(B482,#REF!,$O$2,0),0)</f>
        <v>0</v>
      </c>
      <c r="P482" s="8">
        <f>IFERROR(VLOOKUP(B482,cubo!$A$6:$BE$37,37,0)-VLOOKUP(B482,#REF!,$P$2,0),0)</f>
        <v>0</v>
      </c>
      <c r="Q482" s="8">
        <f>IFERROR(VLOOKUP(B482,cubo!$A$6:$BE$37,56,0)-VLOOKUP(B482,#REF!,$Q$2,0),0)</f>
        <v>0</v>
      </c>
      <c r="R482" s="9">
        <f>IFERROR(VLOOKUP(B482,cubo!$A$6:$BE$37,40,0)-VLOOKUP(B482,#REF!,$R$2,0),0)</f>
        <v>0</v>
      </c>
      <c r="S482" s="9">
        <f>IFERROR(VLOOKUP(B482,cubo!$A$6:$BE$37,43,0)-VLOOKUP(B482,#REF!,$S$2,0),0)</f>
        <v>0</v>
      </c>
      <c r="T482" s="9">
        <f>IFERROR(VLOOKUP(B482,cubo!$A$6:$BE$37,46,0)-VLOOKUP(B482,#REF!,$T$2,0),0)</f>
        <v>0</v>
      </c>
      <c r="U482" s="9">
        <f>IFERROR(VLOOKUP(B482,cubo!$A$6:$BE$37,51,0)-VLOOKUP(B482,#REF!,$U$2,0),0)</f>
        <v>0</v>
      </c>
      <c r="V482" s="9">
        <f>IFERROR(VLOOKUP(B482,cubo!$A$6:$BJ$37,60,0)-VLOOKUP(B482,#REF!,$V$2,0),0)</f>
        <v>0</v>
      </c>
      <c r="W482" s="9">
        <f>IFERROR(VLOOKUP(B482,cubo!$A$6:$BE$37,26,0)-VLOOKUP(B482,#REF!,$W$2,0),0)</f>
        <v>0</v>
      </c>
      <c r="X482" s="9">
        <f>IFERROR(VLOOKUP(B482,cubo!$A$6:$BE$37,20,0)-VLOOKUP(B482,#REF!,$X$2,0),0)</f>
        <v>0</v>
      </c>
      <c r="Y482" s="9">
        <f>IFERROR(VLOOKUP(B482,cubo!$A$6:$BE$37,21,0)-VLOOKUP(B482,#REF!,$Y$2,0),0)</f>
        <v>0</v>
      </c>
      <c r="Z482" s="9">
        <f>IFERROR(VLOOKUP(B482,cubo!$A$6:$BE$37,27,0)-VLOOKUP(B482,#REF!,$Z$2,0),0)</f>
        <v>0</v>
      </c>
      <c r="AA482" s="9">
        <f>IFERROR(VLOOKUP(B482,cubo!$A$6:$BE$37,28,0)-VLOOKUP(B482,#REF!,$AA$2,0),0)</f>
        <v>0</v>
      </c>
      <c r="AB482" s="9">
        <f>IFERROR(VLOOKUP(B482,cubo!$A$6:$BE$37,29,0)-VLOOKUP(B482,#REF!,$AB$2,0),0)</f>
        <v>0</v>
      </c>
      <c r="AC482" s="9">
        <f>IFERROR(VLOOKUP(B482,cubo!$A$6:$BE$37,30,0)-VLOOKUP(B482,#REF!,$AC$2,0),0)</f>
        <v>0</v>
      </c>
      <c r="AD482" s="9">
        <f>IFERROR(VLOOKUP(B482,cubo!$A$6:$BE$37,31,0)-VLOOKUP(B482,#REF!,$AD$2,0),0)</f>
        <v>0</v>
      </c>
      <c r="AE482" s="9">
        <f>IFERROR(VLOOKUP(B482,cubo!$A$6:$BE$37,35,0)-VLOOKUP(B482,#REF!,$AE$2,0),0)</f>
        <v>0</v>
      </c>
      <c r="AF482" s="9" cm="1">
        <f t="array" aca="1" ref="AF482" ca="1">IFERROR(rrPROCV(B482,cubo!$A$6:$BE$37,48,0)-VLOOKUP(B482,#REF!,$AF$2,0),0)</f>
        <v>0</v>
      </c>
      <c r="AG482" s="9">
        <f>IFERROR(VLOOKUP(B482,cubo!$A$6:$BE$37,49,0)-VLOOKUP(B482,#REF!,$AG$2,0),0)</f>
        <v>0</v>
      </c>
      <c r="AH482" s="9">
        <f>IFERROR(VLOOKUP(B482,cubo!$A$6:$BE$37,50,0)-VLOOKUP(B482,#REF!,$AH$2,0),0)</f>
        <v>0</v>
      </c>
      <c r="AI482" s="9">
        <f>IFERROR(VLOOKUP(B482,cubo!$A$6:$BE$37,51,0)-VLOOKUP(B482,#REF!,$AI$2,0),0)</f>
        <v>0</v>
      </c>
      <c r="AJ482" s="9">
        <f>IFERROR(VLOOKUP(B482,cubo!$A$6:$BI$116,62,0)-VLOOKUP(B482,#REF!,$AJ$2,0),0)</f>
        <v>0</v>
      </c>
      <c r="AK482" s="9">
        <f>IFERROR(VLOOKUP(B482,cubo!$A$6:$BJ$37,63,0)-VLOOKUP(B482,#REF!,$AK$2,0),0)</f>
        <v>0</v>
      </c>
      <c r="AL482" s="9">
        <f>IFERROR(VLOOKUP(B482,cubo!$A$6:$BE$37,58,0)-VLOOKUP(B482,#REF!,$AL$2,0),0)</f>
        <v>0</v>
      </c>
      <c r="AM482" s="9">
        <f>IFERROR(VLOOKUP(B482,cubo!$A$6:$BK$37,64,0)-VLOOKUP(B482,#REF!,$AM$2,0),0)</f>
        <v>0</v>
      </c>
      <c r="AN482" s="9">
        <f>IFERROR(VLOOKUP(B482,cubo!$A$6:$AN$37,41,0)-VLOOKUP(B482,#REF!,$AN$2,0),0)</f>
        <v>0</v>
      </c>
    </row>
    <row r="483" spans="2:40" x14ac:dyDescent="0.25">
      <c r="B483" s="7">
        <f>[1]salario!A482</f>
        <v>0</v>
      </c>
      <c r="C483" s="8">
        <f>[1]salario!C482</f>
        <v>0</v>
      </c>
      <c r="D483" s="9">
        <f>IFERROR(VLOOKUP(B483,cubo!$A$6:$BE$37,3,0)-VLOOKUP(B483,#REF!,$D$2,0),0)</f>
        <v>0</v>
      </c>
      <c r="E483" s="10">
        <f>IFERROR(VLOOKUP(B483,cubo!$A$6:$BE$37,5,0)-VLOOKUP(B483,#REF!,$E$2,0),0)</f>
        <v>0</v>
      </c>
      <c r="F483" s="10">
        <f>IFERROR(VLOOKUP(B483,cubo!$A$6:$BE$37,8,0)-VLOOKUP(B483,#REF!,$F$2,0),0)</f>
        <v>0</v>
      </c>
      <c r="G483" s="9">
        <f>IFERROR(VLOOKUP(B483,cubo!$A$6:$BE$37,11,0)-VLOOKUP(B483,#REF!,$G$2,0),0)</f>
        <v>0</v>
      </c>
      <c r="H483" s="9">
        <f>IFERROR(VLOOKUP(B483,cubo!$A$6:$BE$37,53,0)-VLOOKUP(B483,#REF!,$H$2,0),0)</f>
        <v>0</v>
      </c>
      <c r="I483" s="10">
        <f>IFERROR(VLOOKUP(B483,cubo!$A$6:$BE$37,14,0)-VLOOKUP(B483,#REF!,$I$2,0),0)</f>
        <v>0</v>
      </c>
      <c r="J483" s="9">
        <f>IFERROR(VLOOKUP(B483,cubo!$A$6:$BE$37,16,0)-VLOOKUP(B483,#REF!,$J$2,0),0)</f>
        <v>0</v>
      </c>
      <c r="K483" s="9">
        <f>IFERROR(VLOOKUP(B483,cubo!$A$6:$BE$37,17,0)-VLOOKUP(B483,#REF!,$K$2,0),0)</f>
        <v>0</v>
      </c>
      <c r="L483" s="9">
        <f>IFERROR(VLOOKUP(B483,cubo!$A$6:$BE$37,19,0)-VLOOKUP(B483,#REF!,$L$2,0),0)</f>
        <v>0</v>
      </c>
      <c r="M483" s="9">
        <f>IFERROR(VLOOKUP(B483,cubo!$A$6:$BE$37,23,0)-VLOOKUP(B483,#REF!,$M$2,0),0)</f>
        <v>0</v>
      </c>
      <c r="N483" s="9">
        <f>IFERROR(VLOOKUP(B483,cubo!$A$6:$BE$37,25,0)-VLOOKUP(B483,#REF!,$N$2,0),0)</f>
        <v>0</v>
      </c>
      <c r="O483" s="9">
        <f>IFERROR(VLOOKUP(B483,cubo!$A$6:$BE$37,33,0)-VLOOKUP(B483,#REF!,$O$2,0),0)</f>
        <v>0</v>
      </c>
      <c r="P483" s="8">
        <f>IFERROR(VLOOKUP(B483,cubo!$A$6:$BE$37,37,0)-VLOOKUP(B483,#REF!,$P$2,0),0)</f>
        <v>0</v>
      </c>
      <c r="Q483" s="8">
        <f>IFERROR(VLOOKUP(B483,cubo!$A$6:$BE$37,56,0)-VLOOKUP(B483,#REF!,$Q$2,0),0)</f>
        <v>0</v>
      </c>
      <c r="R483" s="9">
        <f>IFERROR(VLOOKUP(B483,cubo!$A$6:$BE$37,40,0)-VLOOKUP(B483,#REF!,$R$2,0),0)</f>
        <v>0</v>
      </c>
      <c r="S483" s="9">
        <f>IFERROR(VLOOKUP(B483,cubo!$A$6:$BE$37,43,0)-VLOOKUP(B483,#REF!,$S$2,0),0)</f>
        <v>0</v>
      </c>
      <c r="T483" s="9">
        <f>IFERROR(VLOOKUP(B483,cubo!$A$6:$BE$37,46,0)-VLOOKUP(B483,#REF!,$T$2,0),0)</f>
        <v>0</v>
      </c>
      <c r="U483" s="9">
        <f>IFERROR(VLOOKUP(B483,cubo!$A$6:$BE$37,51,0)-VLOOKUP(B483,#REF!,$U$2,0),0)</f>
        <v>0</v>
      </c>
      <c r="V483" s="9">
        <f>IFERROR(VLOOKUP(B483,cubo!$A$6:$BJ$37,60,0)-VLOOKUP(B483,#REF!,$V$2,0),0)</f>
        <v>0</v>
      </c>
      <c r="W483" s="9">
        <f>IFERROR(VLOOKUP(B483,cubo!$A$6:$BE$37,26,0)-VLOOKUP(B483,#REF!,$W$2,0),0)</f>
        <v>0</v>
      </c>
      <c r="X483" s="9">
        <f>IFERROR(VLOOKUP(B483,cubo!$A$6:$BE$37,20,0)-VLOOKUP(B483,#REF!,$X$2,0),0)</f>
        <v>0</v>
      </c>
      <c r="Y483" s="9">
        <f>IFERROR(VLOOKUP(B483,cubo!$A$6:$BE$37,21,0)-VLOOKUP(B483,#REF!,$Y$2,0),0)</f>
        <v>0</v>
      </c>
      <c r="Z483" s="9">
        <f>IFERROR(VLOOKUP(B483,cubo!$A$6:$BE$37,27,0)-VLOOKUP(B483,#REF!,$Z$2,0),0)</f>
        <v>0</v>
      </c>
      <c r="AA483" s="9">
        <f>IFERROR(VLOOKUP(B483,cubo!$A$6:$BE$37,28,0)-VLOOKUP(B483,#REF!,$AA$2,0),0)</f>
        <v>0</v>
      </c>
      <c r="AB483" s="9">
        <f>IFERROR(VLOOKUP(B483,cubo!$A$6:$BE$37,29,0)-VLOOKUP(B483,#REF!,$AB$2,0),0)</f>
        <v>0</v>
      </c>
      <c r="AC483" s="9">
        <f>IFERROR(VLOOKUP(B483,cubo!$A$6:$BE$37,30,0)-VLOOKUP(B483,#REF!,$AC$2,0),0)</f>
        <v>0</v>
      </c>
      <c r="AD483" s="9">
        <f>IFERROR(VLOOKUP(B483,cubo!$A$6:$BE$37,31,0)-VLOOKUP(B483,#REF!,$AD$2,0),0)</f>
        <v>0</v>
      </c>
      <c r="AE483" s="9">
        <f>IFERROR(VLOOKUP(B483,cubo!$A$6:$BE$37,35,0)-VLOOKUP(B483,#REF!,$AE$2,0),0)</f>
        <v>0</v>
      </c>
      <c r="AF483" s="9" cm="1">
        <f t="array" aca="1" ref="AF483" ca="1">IFERROR(rrPROCV(B483,cubo!$A$6:$BE$37,48,0)-VLOOKUP(B483,#REF!,$AF$2,0),0)</f>
        <v>0</v>
      </c>
      <c r="AG483" s="9">
        <f>IFERROR(VLOOKUP(B483,cubo!$A$6:$BE$37,49,0)-VLOOKUP(B483,#REF!,$AG$2,0),0)</f>
        <v>0</v>
      </c>
      <c r="AH483" s="9">
        <f>IFERROR(VLOOKUP(B483,cubo!$A$6:$BE$37,50,0)-VLOOKUP(B483,#REF!,$AH$2,0),0)</f>
        <v>0</v>
      </c>
      <c r="AI483" s="9">
        <f>IFERROR(VLOOKUP(B483,cubo!$A$6:$BE$37,51,0)-VLOOKUP(B483,#REF!,$AI$2,0),0)</f>
        <v>0</v>
      </c>
      <c r="AJ483" s="9">
        <f>IFERROR(VLOOKUP(B483,cubo!$A$6:$BI$116,62,0)-VLOOKUP(B483,#REF!,$AJ$2,0),0)</f>
        <v>0</v>
      </c>
      <c r="AK483" s="9">
        <f>IFERROR(VLOOKUP(B483,cubo!$A$6:$BJ$37,63,0)-VLOOKUP(B483,#REF!,$AK$2,0),0)</f>
        <v>0</v>
      </c>
      <c r="AL483" s="9">
        <f>IFERROR(VLOOKUP(B483,cubo!$A$6:$BE$37,58,0)-VLOOKUP(B483,#REF!,$AL$2,0),0)</f>
        <v>0</v>
      </c>
      <c r="AM483" s="9">
        <f>IFERROR(VLOOKUP(B483,cubo!$A$6:$BK$37,64,0)-VLOOKUP(B483,#REF!,$AM$2,0),0)</f>
        <v>0</v>
      </c>
      <c r="AN483" s="9">
        <f>IFERROR(VLOOKUP(B483,cubo!$A$6:$AN$37,41,0)-VLOOKUP(B483,#REF!,$AN$2,0),0)</f>
        <v>0</v>
      </c>
    </row>
    <row r="484" spans="2:40" x14ac:dyDescent="0.25">
      <c r="B484" s="7">
        <f>[1]salario!A483</f>
        <v>0</v>
      </c>
      <c r="C484" s="8">
        <f>[1]salario!C483</f>
        <v>0</v>
      </c>
      <c r="D484" s="9">
        <f>IFERROR(VLOOKUP(B484,cubo!$A$6:$BE$37,3,0)-VLOOKUP(B484,#REF!,$D$2,0),0)</f>
        <v>0</v>
      </c>
      <c r="E484" s="10">
        <f>IFERROR(VLOOKUP(B484,cubo!$A$6:$BE$37,5,0)-VLOOKUP(B484,#REF!,$E$2,0),0)</f>
        <v>0</v>
      </c>
      <c r="F484" s="10">
        <f>IFERROR(VLOOKUP(B484,cubo!$A$6:$BE$37,8,0)-VLOOKUP(B484,#REF!,$F$2,0),0)</f>
        <v>0</v>
      </c>
      <c r="G484" s="9">
        <f>IFERROR(VLOOKUP(B484,cubo!$A$6:$BE$37,11,0)-VLOOKUP(B484,#REF!,$G$2,0),0)</f>
        <v>0</v>
      </c>
      <c r="H484" s="9">
        <f>IFERROR(VLOOKUP(B484,cubo!$A$6:$BE$37,53,0)-VLOOKUP(B484,#REF!,$H$2,0),0)</f>
        <v>0</v>
      </c>
      <c r="I484" s="10">
        <f>IFERROR(VLOOKUP(B484,cubo!$A$6:$BE$37,14,0)-VLOOKUP(B484,#REF!,$I$2,0),0)</f>
        <v>0</v>
      </c>
      <c r="J484" s="9">
        <f>IFERROR(VLOOKUP(B484,cubo!$A$6:$BE$37,16,0)-VLOOKUP(B484,#REF!,$J$2,0),0)</f>
        <v>0</v>
      </c>
      <c r="K484" s="9">
        <f>IFERROR(VLOOKUP(B484,cubo!$A$6:$BE$37,17,0)-VLOOKUP(B484,#REF!,$K$2,0),0)</f>
        <v>0</v>
      </c>
      <c r="L484" s="9">
        <f>IFERROR(VLOOKUP(B484,cubo!$A$6:$BE$37,19,0)-VLOOKUP(B484,#REF!,$L$2,0),0)</f>
        <v>0</v>
      </c>
      <c r="M484" s="9">
        <f>IFERROR(VLOOKUP(B484,cubo!$A$6:$BE$37,23,0)-VLOOKUP(B484,#REF!,$M$2,0),0)</f>
        <v>0</v>
      </c>
      <c r="N484" s="9">
        <f>IFERROR(VLOOKUP(B484,cubo!$A$6:$BE$37,25,0)-VLOOKUP(B484,#REF!,$N$2,0),0)</f>
        <v>0</v>
      </c>
      <c r="O484" s="9">
        <f>IFERROR(VLOOKUP(B484,cubo!$A$6:$BE$37,33,0)-VLOOKUP(B484,#REF!,$O$2,0),0)</f>
        <v>0</v>
      </c>
      <c r="P484" s="8">
        <f>IFERROR(VLOOKUP(B484,cubo!$A$6:$BE$37,37,0)-VLOOKUP(B484,#REF!,$P$2,0),0)</f>
        <v>0</v>
      </c>
      <c r="Q484" s="8">
        <f>IFERROR(VLOOKUP(B484,cubo!$A$6:$BE$37,56,0)-VLOOKUP(B484,#REF!,$Q$2,0),0)</f>
        <v>0</v>
      </c>
      <c r="R484" s="9">
        <f>IFERROR(VLOOKUP(B484,cubo!$A$6:$BE$37,40,0)-VLOOKUP(B484,#REF!,$R$2,0),0)</f>
        <v>0</v>
      </c>
      <c r="S484" s="9">
        <f>IFERROR(VLOOKUP(B484,cubo!$A$6:$BE$37,43,0)-VLOOKUP(B484,#REF!,$S$2,0),0)</f>
        <v>0</v>
      </c>
      <c r="T484" s="9">
        <f>IFERROR(VLOOKUP(B484,cubo!$A$6:$BE$37,46,0)-VLOOKUP(B484,#REF!,$T$2,0),0)</f>
        <v>0</v>
      </c>
      <c r="U484" s="9">
        <f>IFERROR(VLOOKUP(B484,cubo!$A$6:$BE$37,51,0)-VLOOKUP(B484,#REF!,$U$2,0),0)</f>
        <v>0</v>
      </c>
      <c r="V484" s="9">
        <f>IFERROR(VLOOKUP(B484,cubo!$A$6:$BJ$37,60,0)-VLOOKUP(B484,#REF!,$V$2,0),0)</f>
        <v>0</v>
      </c>
      <c r="W484" s="9">
        <f>IFERROR(VLOOKUP(B484,cubo!$A$6:$BE$37,26,0)-VLOOKUP(B484,#REF!,$W$2,0),0)</f>
        <v>0</v>
      </c>
      <c r="X484" s="9">
        <f>IFERROR(VLOOKUP(B484,cubo!$A$6:$BE$37,20,0)-VLOOKUP(B484,#REF!,$X$2,0),0)</f>
        <v>0</v>
      </c>
      <c r="Y484" s="9">
        <f>IFERROR(VLOOKUP(B484,cubo!$A$6:$BE$37,21,0)-VLOOKUP(B484,#REF!,$Y$2,0),0)</f>
        <v>0</v>
      </c>
      <c r="Z484" s="9">
        <f>IFERROR(VLOOKUP(B484,cubo!$A$6:$BE$37,27,0)-VLOOKUP(B484,#REF!,$Z$2,0),0)</f>
        <v>0</v>
      </c>
      <c r="AA484" s="9">
        <f>IFERROR(VLOOKUP(B484,cubo!$A$6:$BE$37,28,0)-VLOOKUP(B484,#REF!,$AA$2,0),0)</f>
        <v>0</v>
      </c>
      <c r="AB484" s="9">
        <f>IFERROR(VLOOKUP(B484,cubo!$A$6:$BE$37,29,0)-VLOOKUP(B484,#REF!,$AB$2,0),0)</f>
        <v>0</v>
      </c>
      <c r="AC484" s="9">
        <f>IFERROR(VLOOKUP(B484,cubo!$A$6:$BE$37,30,0)-VLOOKUP(B484,#REF!,$AC$2,0),0)</f>
        <v>0</v>
      </c>
      <c r="AD484" s="9">
        <f>IFERROR(VLOOKUP(B484,cubo!$A$6:$BE$37,31,0)-VLOOKUP(B484,#REF!,$AD$2,0),0)</f>
        <v>0</v>
      </c>
      <c r="AE484" s="9">
        <f>IFERROR(VLOOKUP(B484,cubo!$A$6:$BE$37,35,0)-VLOOKUP(B484,#REF!,$AE$2,0),0)</f>
        <v>0</v>
      </c>
      <c r="AF484" s="9" cm="1">
        <f t="array" aca="1" ref="AF484" ca="1">IFERROR(rrPROCV(B484,cubo!$A$6:$BE$37,48,0)-VLOOKUP(B484,#REF!,$AF$2,0),0)</f>
        <v>0</v>
      </c>
      <c r="AG484" s="9">
        <f>IFERROR(VLOOKUP(B484,cubo!$A$6:$BE$37,49,0)-VLOOKUP(B484,#REF!,$AG$2,0),0)</f>
        <v>0</v>
      </c>
      <c r="AH484" s="9">
        <f>IFERROR(VLOOKUP(B484,cubo!$A$6:$BE$37,50,0)-VLOOKUP(B484,#REF!,$AH$2,0),0)</f>
        <v>0</v>
      </c>
      <c r="AI484" s="9">
        <f>IFERROR(VLOOKUP(B484,cubo!$A$6:$BE$37,51,0)-VLOOKUP(B484,#REF!,$AI$2,0),0)</f>
        <v>0</v>
      </c>
      <c r="AJ484" s="9">
        <f>IFERROR(VLOOKUP(B484,cubo!$A$6:$BI$116,62,0)-VLOOKUP(B484,#REF!,$AJ$2,0),0)</f>
        <v>0</v>
      </c>
      <c r="AK484" s="9">
        <f>IFERROR(VLOOKUP(B484,cubo!$A$6:$BJ$37,63,0)-VLOOKUP(B484,#REF!,$AK$2,0),0)</f>
        <v>0</v>
      </c>
      <c r="AL484" s="9">
        <f>IFERROR(VLOOKUP(B484,cubo!$A$6:$BE$37,58,0)-VLOOKUP(B484,#REF!,$AL$2,0),0)</f>
        <v>0</v>
      </c>
      <c r="AM484" s="9">
        <f>IFERROR(VLOOKUP(B484,cubo!$A$6:$BK$37,64,0)-VLOOKUP(B484,#REF!,$AM$2,0),0)</f>
        <v>0</v>
      </c>
      <c r="AN484" s="9">
        <f>IFERROR(VLOOKUP(B484,cubo!$A$6:$AN$37,41,0)-VLOOKUP(B484,#REF!,$AN$2,0),0)</f>
        <v>0</v>
      </c>
    </row>
    <row r="485" spans="2:40" x14ac:dyDescent="0.25">
      <c r="B485" s="7">
        <f>[1]salario!A484</f>
        <v>0</v>
      </c>
      <c r="C485" s="8">
        <f>[1]salario!C484</f>
        <v>0</v>
      </c>
      <c r="D485" s="9">
        <f>IFERROR(VLOOKUP(B485,cubo!$A$6:$BE$37,3,0)-VLOOKUP(B485,#REF!,$D$2,0),0)</f>
        <v>0</v>
      </c>
      <c r="E485" s="10">
        <f>IFERROR(VLOOKUP(B485,cubo!$A$6:$BE$37,5,0)-VLOOKUP(B485,#REF!,$E$2,0),0)</f>
        <v>0</v>
      </c>
      <c r="F485" s="10">
        <f>IFERROR(VLOOKUP(B485,cubo!$A$6:$BE$37,8,0)-VLOOKUP(B485,#REF!,$F$2,0),0)</f>
        <v>0</v>
      </c>
      <c r="G485" s="9">
        <f>IFERROR(VLOOKUP(B485,cubo!$A$6:$BE$37,11,0)-VLOOKUP(B485,#REF!,$G$2,0),0)</f>
        <v>0</v>
      </c>
      <c r="H485" s="9">
        <f>IFERROR(VLOOKUP(B485,cubo!$A$6:$BE$37,53,0)-VLOOKUP(B485,#REF!,$H$2,0),0)</f>
        <v>0</v>
      </c>
      <c r="I485" s="10">
        <f>IFERROR(VLOOKUP(B485,cubo!$A$6:$BE$37,14,0)-VLOOKUP(B485,#REF!,$I$2,0),0)</f>
        <v>0</v>
      </c>
      <c r="J485" s="9">
        <f>IFERROR(VLOOKUP(B485,cubo!$A$6:$BE$37,16,0)-VLOOKUP(B485,#REF!,$J$2,0),0)</f>
        <v>0</v>
      </c>
      <c r="K485" s="9">
        <f>IFERROR(VLOOKUP(B485,cubo!$A$6:$BE$37,17,0)-VLOOKUP(B485,#REF!,$K$2,0),0)</f>
        <v>0</v>
      </c>
      <c r="L485" s="9">
        <f>IFERROR(VLOOKUP(B485,cubo!$A$6:$BE$37,19,0)-VLOOKUP(B485,#REF!,$L$2,0),0)</f>
        <v>0</v>
      </c>
      <c r="M485" s="9">
        <f>IFERROR(VLOOKUP(B485,cubo!$A$6:$BE$37,23,0)-VLOOKUP(B485,#REF!,$M$2,0),0)</f>
        <v>0</v>
      </c>
      <c r="N485" s="9">
        <f>IFERROR(VLOOKUP(B485,cubo!$A$6:$BE$37,25,0)-VLOOKUP(B485,#REF!,$N$2,0),0)</f>
        <v>0</v>
      </c>
      <c r="O485" s="9">
        <f>IFERROR(VLOOKUP(B485,cubo!$A$6:$BE$37,33,0)-VLOOKUP(B485,#REF!,$O$2,0),0)</f>
        <v>0</v>
      </c>
      <c r="P485" s="8">
        <f>IFERROR(VLOOKUP(B485,cubo!$A$6:$BE$37,37,0)-VLOOKUP(B485,#REF!,$P$2,0),0)</f>
        <v>0</v>
      </c>
      <c r="Q485" s="8">
        <f>IFERROR(VLOOKUP(B485,cubo!$A$6:$BE$37,56,0)-VLOOKUP(B485,#REF!,$Q$2,0),0)</f>
        <v>0</v>
      </c>
      <c r="R485" s="9">
        <f>IFERROR(VLOOKUP(B485,cubo!$A$6:$BE$37,40,0)-VLOOKUP(B485,#REF!,$R$2,0),0)</f>
        <v>0</v>
      </c>
      <c r="S485" s="9">
        <f>IFERROR(VLOOKUP(B485,cubo!$A$6:$BE$37,43,0)-VLOOKUP(B485,#REF!,$S$2,0),0)</f>
        <v>0</v>
      </c>
      <c r="T485" s="9">
        <f>IFERROR(VLOOKUP(B485,cubo!$A$6:$BE$37,46,0)-VLOOKUP(B485,#REF!,$T$2,0),0)</f>
        <v>0</v>
      </c>
      <c r="U485" s="9">
        <f>IFERROR(VLOOKUP(B485,cubo!$A$6:$BE$37,51,0)-VLOOKUP(B485,#REF!,$U$2,0),0)</f>
        <v>0</v>
      </c>
      <c r="V485" s="9">
        <f>IFERROR(VLOOKUP(B485,cubo!$A$6:$BJ$37,60,0)-VLOOKUP(B485,#REF!,$V$2,0),0)</f>
        <v>0</v>
      </c>
      <c r="W485" s="9">
        <f>IFERROR(VLOOKUP(B485,cubo!$A$6:$BE$37,26,0)-VLOOKUP(B485,#REF!,$W$2,0),0)</f>
        <v>0</v>
      </c>
      <c r="X485" s="9">
        <f>IFERROR(VLOOKUP(B485,cubo!$A$6:$BE$37,20,0)-VLOOKUP(B485,#REF!,$X$2,0),0)</f>
        <v>0</v>
      </c>
      <c r="Y485" s="9">
        <f>IFERROR(VLOOKUP(B485,cubo!$A$6:$BE$37,21,0)-VLOOKUP(B485,#REF!,$Y$2,0),0)</f>
        <v>0</v>
      </c>
      <c r="Z485" s="9">
        <f>IFERROR(VLOOKUP(B485,cubo!$A$6:$BE$37,27,0)-VLOOKUP(B485,#REF!,$Z$2,0),0)</f>
        <v>0</v>
      </c>
      <c r="AA485" s="9">
        <f>IFERROR(VLOOKUP(B485,cubo!$A$6:$BE$37,28,0)-VLOOKUP(B485,#REF!,$AA$2,0),0)</f>
        <v>0</v>
      </c>
      <c r="AB485" s="9">
        <f>IFERROR(VLOOKUP(B485,cubo!$A$6:$BE$37,29,0)-VLOOKUP(B485,#REF!,$AB$2,0),0)</f>
        <v>0</v>
      </c>
      <c r="AC485" s="9">
        <f>IFERROR(VLOOKUP(B485,cubo!$A$6:$BE$37,30,0)-VLOOKUP(B485,#REF!,$AC$2,0),0)</f>
        <v>0</v>
      </c>
      <c r="AD485" s="9">
        <f>IFERROR(VLOOKUP(B485,cubo!$A$6:$BE$37,31,0)-VLOOKUP(B485,#REF!,$AD$2,0),0)</f>
        <v>0</v>
      </c>
      <c r="AE485" s="9">
        <f>IFERROR(VLOOKUP(B485,cubo!$A$6:$BE$37,35,0)-VLOOKUP(B485,#REF!,$AE$2,0),0)</f>
        <v>0</v>
      </c>
      <c r="AF485" s="9" cm="1">
        <f t="array" aca="1" ref="AF485" ca="1">IFERROR(rrPROCV(B485,cubo!$A$6:$BE$37,48,0)-VLOOKUP(B485,#REF!,$AF$2,0),0)</f>
        <v>0</v>
      </c>
      <c r="AG485" s="9">
        <f>IFERROR(VLOOKUP(B485,cubo!$A$6:$BE$37,49,0)-VLOOKUP(B485,#REF!,$AG$2,0),0)</f>
        <v>0</v>
      </c>
      <c r="AH485" s="9">
        <f>IFERROR(VLOOKUP(B485,cubo!$A$6:$BE$37,50,0)-VLOOKUP(B485,#REF!,$AH$2,0),0)</f>
        <v>0</v>
      </c>
      <c r="AI485" s="9">
        <f>IFERROR(VLOOKUP(B485,cubo!$A$6:$BE$37,51,0)-VLOOKUP(B485,#REF!,$AI$2,0),0)</f>
        <v>0</v>
      </c>
      <c r="AJ485" s="9">
        <f>IFERROR(VLOOKUP(B485,cubo!$A$6:$BI$116,62,0)-VLOOKUP(B485,#REF!,$AJ$2,0),0)</f>
        <v>0</v>
      </c>
      <c r="AK485" s="9">
        <f>IFERROR(VLOOKUP(B485,cubo!$A$6:$BJ$37,63,0)-VLOOKUP(B485,#REF!,$AK$2,0),0)</f>
        <v>0</v>
      </c>
      <c r="AL485" s="9">
        <f>IFERROR(VLOOKUP(B485,cubo!$A$6:$BE$37,58,0)-VLOOKUP(B485,#REF!,$AL$2,0),0)</f>
        <v>0</v>
      </c>
      <c r="AM485" s="9">
        <f>IFERROR(VLOOKUP(B485,cubo!$A$6:$BK$37,64,0)-VLOOKUP(B485,#REF!,$AM$2,0),0)</f>
        <v>0</v>
      </c>
      <c r="AN485" s="9">
        <f>IFERROR(VLOOKUP(B485,cubo!$A$6:$AN$37,41,0)-VLOOKUP(B485,#REF!,$AN$2,0),0)</f>
        <v>0</v>
      </c>
    </row>
    <row r="486" spans="2:40" x14ac:dyDescent="0.25">
      <c r="B486" s="7">
        <f>[1]salario!A485</f>
        <v>0</v>
      </c>
      <c r="C486" s="8">
        <f>[1]salario!C485</f>
        <v>0</v>
      </c>
      <c r="D486" s="9">
        <f>IFERROR(VLOOKUP(B486,cubo!$A$6:$BE$37,3,0)-VLOOKUP(B486,#REF!,$D$2,0),0)</f>
        <v>0</v>
      </c>
      <c r="E486" s="10">
        <f>IFERROR(VLOOKUP(B486,cubo!$A$6:$BE$37,5,0)-VLOOKUP(B486,#REF!,$E$2,0),0)</f>
        <v>0</v>
      </c>
      <c r="F486" s="10">
        <f>IFERROR(VLOOKUP(B486,cubo!$A$6:$BE$37,8,0)-VLOOKUP(B486,#REF!,$F$2,0),0)</f>
        <v>0</v>
      </c>
      <c r="G486" s="9">
        <f>IFERROR(VLOOKUP(B486,cubo!$A$6:$BE$37,11,0)-VLOOKUP(B486,#REF!,$G$2,0),0)</f>
        <v>0</v>
      </c>
      <c r="H486" s="9">
        <f>IFERROR(VLOOKUP(B486,cubo!$A$6:$BE$37,53,0)-VLOOKUP(B486,#REF!,$H$2,0),0)</f>
        <v>0</v>
      </c>
      <c r="I486" s="10">
        <f>IFERROR(VLOOKUP(B486,cubo!$A$6:$BE$37,14,0)-VLOOKUP(B486,#REF!,$I$2,0),0)</f>
        <v>0</v>
      </c>
      <c r="J486" s="9">
        <f>IFERROR(VLOOKUP(B486,cubo!$A$6:$BE$37,16,0)-VLOOKUP(B486,#REF!,$J$2,0),0)</f>
        <v>0</v>
      </c>
      <c r="K486" s="9">
        <f>IFERROR(VLOOKUP(B486,cubo!$A$6:$BE$37,17,0)-VLOOKUP(B486,#REF!,$K$2,0),0)</f>
        <v>0</v>
      </c>
      <c r="L486" s="9">
        <f>IFERROR(VLOOKUP(B486,cubo!$A$6:$BE$37,19,0)-VLOOKUP(B486,#REF!,$L$2,0),0)</f>
        <v>0</v>
      </c>
      <c r="M486" s="9">
        <f>IFERROR(VLOOKUP(B486,cubo!$A$6:$BE$37,23,0)-VLOOKUP(B486,#REF!,$M$2,0),0)</f>
        <v>0</v>
      </c>
      <c r="N486" s="9">
        <f>IFERROR(VLOOKUP(B486,cubo!$A$6:$BE$37,25,0)-VLOOKUP(B486,#REF!,$N$2,0),0)</f>
        <v>0</v>
      </c>
      <c r="O486" s="9">
        <f>IFERROR(VLOOKUP(B486,cubo!$A$6:$BE$37,33,0)-VLOOKUP(B486,#REF!,$O$2,0),0)</f>
        <v>0</v>
      </c>
      <c r="P486" s="8">
        <f>IFERROR(VLOOKUP(B486,cubo!$A$6:$BE$37,37,0)-VLOOKUP(B486,#REF!,$P$2,0),0)</f>
        <v>0</v>
      </c>
      <c r="Q486" s="8">
        <f>IFERROR(VLOOKUP(B486,cubo!$A$6:$BE$37,56,0)-VLOOKUP(B486,#REF!,$Q$2,0),0)</f>
        <v>0</v>
      </c>
      <c r="R486" s="9">
        <f>IFERROR(VLOOKUP(B486,cubo!$A$6:$BE$37,40,0)-VLOOKUP(B486,#REF!,$R$2,0),0)</f>
        <v>0</v>
      </c>
      <c r="S486" s="9">
        <f>IFERROR(VLOOKUP(B486,cubo!$A$6:$BE$37,43,0)-VLOOKUP(B486,#REF!,$S$2,0),0)</f>
        <v>0</v>
      </c>
      <c r="T486" s="9">
        <f>IFERROR(VLOOKUP(B486,cubo!$A$6:$BE$37,46,0)-VLOOKUP(B486,#REF!,$T$2,0),0)</f>
        <v>0</v>
      </c>
      <c r="U486" s="9">
        <f>IFERROR(VLOOKUP(B486,cubo!$A$6:$BE$37,51,0)-VLOOKUP(B486,#REF!,$U$2,0),0)</f>
        <v>0</v>
      </c>
      <c r="V486" s="9">
        <f>IFERROR(VLOOKUP(B486,cubo!$A$6:$BJ$37,60,0)-VLOOKUP(B486,#REF!,$V$2,0),0)</f>
        <v>0</v>
      </c>
      <c r="W486" s="9">
        <f>IFERROR(VLOOKUP(B486,cubo!$A$6:$BE$37,26,0)-VLOOKUP(B486,#REF!,$W$2,0),0)</f>
        <v>0</v>
      </c>
      <c r="X486" s="9">
        <f>IFERROR(VLOOKUP(B486,cubo!$A$6:$BE$37,20,0)-VLOOKUP(B486,#REF!,$X$2,0),0)</f>
        <v>0</v>
      </c>
      <c r="Y486" s="9">
        <f>IFERROR(VLOOKUP(B486,cubo!$A$6:$BE$37,21,0)-VLOOKUP(B486,#REF!,$Y$2,0),0)</f>
        <v>0</v>
      </c>
      <c r="Z486" s="9">
        <f>IFERROR(VLOOKUP(B486,cubo!$A$6:$BE$37,27,0)-VLOOKUP(B486,#REF!,$Z$2,0),0)</f>
        <v>0</v>
      </c>
      <c r="AA486" s="9">
        <f>IFERROR(VLOOKUP(B486,cubo!$A$6:$BE$37,28,0)-VLOOKUP(B486,#REF!,$AA$2,0),0)</f>
        <v>0</v>
      </c>
      <c r="AB486" s="9">
        <f>IFERROR(VLOOKUP(B486,cubo!$A$6:$BE$37,29,0)-VLOOKUP(B486,#REF!,$AB$2,0),0)</f>
        <v>0</v>
      </c>
      <c r="AC486" s="9">
        <f>IFERROR(VLOOKUP(B486,cubo!$A$6:$BE$37,30,0)-VLOOKUP(B486,#REF!,$AC$2,0),0)</f>
        <v>0</v>
      </c>
      <c r="AD486" s="9">
        <f>IFERROR(VLOOKUP(B486,cubo!$A$6:$BE$37,31,0)-VLOOKUP(B486,#REF!,$AD$2,0),0)</f>
        <v>0</v>
      </c>
      <c r="AE486" s="9">
        <f>IFERROR(VLOOKUP(B486,cubo!$A$6:$BE$37,35,0)-VLOOKUP(B486,#REF!,$AE$2,0),0)</f>
        <v>0</v>
      </c>
      <c r="AF486" s="9" cm="1">
        <f t="array" aca="1" ref="AF486" ca="1">IFERROR(rrPROCV(B486,cubo!$A$6:$BE$37,48,0)-VLOOKUP(B486,#REF!,$AF$2,0),0)</f>
        <v>0</v>
      </c>
      <c r="AG486" s="9">
        <f>IFERROR(VLOOKUP(B486,cubo!$A$6:$BE$37,49,0)-VLOOKUP(B486,#REF!,$AG$2,0),0)</f>
        <v>0</v>
      </c>
      <c r="AH486" s="9">
        <f>IFERROR(VLOOKUP(B486,cubo!$A$6:$BE$37,50,0)-VLOOKUP(B486,#REF!,$AH$2,0),0)</f>
        <v>0</v>
      </c>
      <c r="AI486" s="9">
        <f>IFERROR(VLOOKUP(B486,cubo!$A$6:$BE$37,51,0)-VLOOKUP(B486,#REF!,$AI$2,0),0)</f>
        <v>0</v>
      </c>
      <c r="AJ486" s="9">
        <f>IFERROR(VLOOKUP(B486,cubo!$A$6:$BI$116,62,0)-VLOOKUP(B486,#REF!,$AJ$2,0),0)</f>
        <v>0</v>
      </c>
      <c r="AK486" s="9">
        <f>IFERROR(VLOOKUP(B486,cubo!$A$6:$BJ$37,63,0)-VLOOKUP(B486,#REF!,$AK$2,0),0)</f>
        <v>0</v>
      </c>
      <c r="AL486" s="9">
        <f>IFERROR(VLOOKUP(B486,cubo!$A$6:$BE$37,58,0)-VLOOKUP(B486,#REF!,$AL$2,0),0)</f>
        <v>0</v>
      </c>
      <c r="AM486" s="9">
        <f>IFERROR(VLOOKUP(B486,cubo!$A$6:$BK$37,64,0)-VLOOKUP(B486,#REF!,$AM$2,0),0)</f>
        <v>0</v>
      </c>
      <c r="AN486" s="9">
        <f>IFERROR(VLOOKUP(B486,cubo!$A$6:$AN$37,41,0)-VLOOKUP(B486,#REF!,$AN$2,0),0)</f>
        <v>0</v>
      </c>
    </row>
    <row r="487" spans="2:40" x14ac:dyDescent="0.25">
      <c r="B487" s="7">
        <f>[1]salario!A486</f>
        <v>0</v>
      </c>
      <c r="C487" s="8">
        <f>[1]salario!C486</f>
        <v>0</v>
      </c>
      <c r="D487" s="9">
        <f>IFERROR(VLOOKUP(B487,cubo!$A$6:$BE$37,3,0)-VLOOKUP(B487,#REF!,$D$2,0),0)</f>
        <v>0</v>
      </c>
      <c r="E487" s="10">
        <f>IFERROR(VLOOKUP(B487,cubo!$A$6:$BE$37,5,0)-VLOOKUP(B487,#REF!,$E$2,0),0)</f>
        <v>0</v>
      </c>
      <c r="F487" s="10">
        <f>IFERROR(VLOOKUP(B487,cubo!$A$6:$BE$37,8,0)-VLOOKUP(B487,#REF!,$F$2,0),0)</f>
        <v>0</v>
      </c>
      <c r="G487" s="9">
        <f>IFERROR(VLOOKUP(B487,cubo!$A$6:$BE$37,11,0)-VLOOKUP(B487,#REF!,$G$2,0),0)</f>
        <v>0</v>
      </c>
      <c r="H487" s="9">
        <f>IFERROR(VLOOKUP(B487,cubo!$A$6:$BE$37,53,0)-VLOOKUP(B487,#REF!,$H$2,0),0)</f>
        <v>0</v>
      </c>
      <c r="I487" s="10">
        <f>IFERROR(VLOOKUP(B487,cubo!$A$6:$BE$37,14,0)-VLOOKUP(B487,#REF!,$I$2,0),0)</f>
        <v>0</v>
      </c>
      <c r="J487" s="9">
        <f>IFERROR(VLOOKUP(B487,cubo!$A$6:$BE$37,16,0)-VLOOKUP(B487,#REF!,$J$2,0),0)</f>
        <v>0</v>
      </c>
      <c r="K487" s="9">
        <f>IFERROR(VLOOKUP(B487,cubo!$A$6:$BE$37,17,0)-VLOOKUP(B487,#REF!,$K$2,0),0)</f>
        <v>0</v>
      </c>
      <c r="L487" s="9">
        <f>IFERROR(VLOOKUP(B487,cubo!$A$6:$BE$37,19,0)-VLOOKUP(B487,#REF!,$L$2,0),0)</f>
        <v>0</v>
      </c>
      <c r="M487" s="9">
        <f>IFERROR(VLOOKUP(B487,cubo!$A$6:$BE$37,23,0)-VLOOKUP(B487,#REF!,$M$2,0),0)</f>
        <v>0</v>
      </c>
      <c r="N487" s="9">
        <f>IFERROR(VLOOKUP(B487,cubo!$A$6:$BE$37,25,0)-VLOOKUP(B487,#REF!,$N$2,0),0)</f>
        <v>0</v>
      </c>
      <c r="O487" s="9">
        <f>IFERROR(VLOOKUP(B487,cubo!$A$6:$BE$37,33,0)-VLOOKUP(B487,#REF!,$O$2,0),0)</f>
        <v>0</v>
      </c>
      <c r="P487" s="8">
        <f>IFERROR(VLOOKUP(B487,cubo!$A$6:$BE$37,37,0)-VLOOKUP(B487,#REF!,$P$2,0),0)</f>
        <v>0</v>
      </c>
      <c r="Q487" s="8">
        <f>IFERROR(VLOOKUP(B487,cubo!$A$6:$BE$37,56,0)-VLOOKUP(B487,#REF!,$Q$2,0),0)</f>
        <v>0</v>
      </c>
      <c r="R487" s="9">
        <f>IFERROR(VLOOKUP(B487,cubo!$A$6:$BE$37,40,0)-VLOOKUP(B487,#REF!,$R$2,0),0)</f>
        <v>0</v>
      </c>
      <c r="S487" s="9">
        <f>IFERROR(VLOOKUP(B487,cubo!$A$6:$BE$37,43,0)-VLOOKUP(B487,#REF!,$S$2,0),0)</f>
        <v>0</v>
      </c>
      <c r="T487" s="9">
        <f>IFERROR(VLOOKUP(B487,cubo!$A$6:$BE$37,46,0)-VLOOKUP(B487,#REF!,$T$2,0),0)</f>
        <v>0</v>
      </c>
      <c r="U487" s="9">
        <f>IFERROR(VLOOKUP(B487,cubo!$A$6:$BE$37,51,0)-VLOOKUP(B487,#REF!,$U$2,0),0)</f>
        <v>0</v>
      </c>
      <c r="V487" s="9">
        <f>IFERROR(VLOOKUP(B487,cubo!$A$6:$BJ$37,60,0)-VLOOKUP(B487,#REF!,$V$2,0),0)</f>
        <v>0</v>
      </c>
      <c r="W487" s="9">
        <f>IFERROR(VLOOKUP(B487,cubo!$A$6:$BE$37,26,0)-VLOOKUP(B487,#REF!,$W$2,0),0)</f>
        <v>0</v>
      </c>
      <c r="X487" s="9">
        <f>IFERROR(VLOOKUP(B487,cubo!$A$6:$BE$37,20,0)-VLOOKUP(B487,#REF!,$X$2,0),0)</f>
        <v>0</v>
      </c>
      <c r="Y487" s="9">
        <f>IFERROR(VLOOKUP(B487,cubo!$A$6:$BE$37,21,0)-VLOOKUP(B487,#REF!,$Y$2,0),0)</f>
        <v>0</v>
      </c>
      <c r="Z487" s="9">
        <f>IFERROR(VLOOKUP(B487,cubo!$A$6:$BE$37,27,0)-VLOOKUP(B487,#REF!,$Z$2,0),0)</f>
        <v>0</v>
      </c>
      <c r="AA487" s="9">
        <f>IFERROR(VLOOKUP(B487,cubo!$A$6:$BE$37,28,0)-VLOOKUP(B487,#REF!,$AA$2,0),0)</f>
        <v>0</v>
      </c>
      <c r="AB487" s="9">
        <f>IFERROR(VLOOKUP(B487,cubo!$A$6:$BE$37,29,0)-VLOOKUP(B487,#REF!,$AB$2,0),0)</f>
        <v>0</v>
      </c>
      <c r="AC487" s="9">
        <f>IFERROR(VLOOKUP(B487,cubo!$A$6:$BE$37,30,0)-VLOOKUP(B487,#REF!,$AC$2,0),0)</f>
        <v>0</v>
      </c>
      <c r="AD487" s="9">
        <f>IFERROR(VLOOKUP(B487,cubo!$A$6:$BE$37,31,0)-VLOOKUP(B487,#REF!,$AD$2,0),0)</f>
        <v>0</v>
      </c>
      <c r="AE487" s="9">
        <f>IFERROR(VLOOKUP(B487,cubo!$A$6:$BE$37,35,0)-VLOOKUP(B487,#REF!,$AE$2,0),0)</f>
        <v>0</v>
      </c>
      <c r="AF487" s="9" cm="1">
        <f t="array" aca="1" ref="AF487" ca="1">IFERROR(rrPROCV(B487,cubo!$A$6:$BE$37,48,0)-VLOOKUP(B487,#REF!,$AF$2,0),0)</f>
        <v>0</v>
      </c>
      <c r="AG487" s="9">
        <f>IFERROR(VLOOKUP(B487,cubo!$A$6:$BE$37,49,0)-VLOOKUP(B487,#REF!,$AG$2,0),0)</f>
        <v>0</v>
      </c>
      <c r="AH487" s="9">
        <f>IFERROR(VLOOKUP(B487,cubo!$A$6:$BE$37,50,0)-VLOOKUP(B487,#REF!,$AH$2,0),0)</f>
        <v>0</v>
      </c>
      <c r="AI487" s="9">
        <f>IFERROR(VLOOKUP(B487,cubo!$A$6:$BE$37,51,0)-VLOOKUP(B487,#REF!,$AI$2,0),0)</f>
        <v>0</v>
      </c>
      <c r="AJ487" s="9">
        <f>IFERROR(VLOOKUP(B487,cubo!$A$6:$BI$116,62,0)-VLOOKUP(B487,#REF!,$AJ$2,0),0)</f>
        <v>0</v>
      </c>
      <c r="AK487" s="9">
        <f>IFERROR(VLOOKUP(B487,cubo!$A$6:$BJ$37,63,0)-VLOOKUP(B487,#REF!,$AK$2,0),0)</f>
        <v>0</v>
      </c>
      <c r="AL487" s="9">
        <f>IFERROR(VLOOKUP(B487,cubo!$A$6:$BE$37,58,0)-VLOOKUP(B487,#REF!,$AL$2,0),0)</f>
        <v>0</v>
      </c>
      <c r="AM487" s="9">
        <f>IFERROR(VLOOKUP(B487,cubo!$A$6:$BK$37,64,0)-VLOOKUP(B487,#REF!,$AM$2,0),0)</f>
        <v>0</v>
      </c>
      <c r="AN487" s="9">
        <f>IFERROR(VLOOKUP(B487,cubo!$A$6:$AN$37,41,0)-VLOOKUP(B487,#REF!,$AN$2,0),0)</f>
        <v>0</v>
      </c>
    </row>
    <row r="488" spans="2:40" x14ac:dyDescent="0.25">
      <c r="B488" s="7">
        <f>[1]salario!A487</f>
        <v>0</v>
      </c>
      <c r="C488" s="8">
        <f>[1]salario!C487</f>
        <v>0</v>
      </c>
      <c r="D488" s="9">
        <f>IFERROR(VLOOKUP(B488,cubo!$A$6:$BE$37,3,0)-VLOOKUP(B488,#REF!,$D$2,0),0)</f>
        <v>0</v>
      </c>
      <c r="E488" s="10">
        <f>IFERROR(VLOOKUP(B488,cubo!$A$6:$BE$37,5,0)-VLOOKUP(B488,#REF!,$E$2,0),0)</f>
        <v>0</v>
      </c>
      <c r="F488" s="10">
        <f>IFERROR(VLOOKUP(B488,cubo!$A$6:$BE$37,8,0)-VLOOKUP(B488,#REF!,$F$2,0),0)</f>
        <v>0</v>
      </c>
      <c r="G488" s="9">
        <f>IFERROR(VLOOKUP(B488,cubo!$A$6:$BE$37,11,0)-VLOOKUP(B488,#REF!,$G$2,0),0)</f>
        <v>0</v>
      </c>
      <c r="H488" s="9">
        <f>IFERROR(VLOOKUP(B488,cubo!$A$6:$BE$37,53,0)-VLOOKUP(B488,#REF!,$H$2,0),0)</f>
        <v>0</v>
      </c>
      <c r="I488" s="10">
        <f>IFERROR(VLOOKUP(B488,cubo!$A$6:$BE$37,14,0)-VLOOKUP(B488,#REF!,$I$2,0),0)</f>
        <v>0</v>
      </c>
      <c r="J488" s="9">
        <f>IFERROR(VLOOKUP(B488,cubo!$A$6:$BE$37,16,0)-VLOOKUP(B488,#REF!,$J$2,0),0)</f>
        <v>0</v>
      </c>
      <c r="K488" s="9">
        <f>IFERROR(VLOOKUP(B488,cubo!$A$6:$BE$37,17,0)-VLOOKUP(B488,#REF!,$K$2,0),0)</f>
        <v>0</v>
      </c>
      <c r="L488" s="9">
        <f>IFERROR(VLOOKUP(B488,cubo!$A$6:$BE$37,19,0)-VLOOKUP(B488,#REF!,$L$2,0),0)</f>
        <v>0</v>
      </c>
      <c r="M488" s="9">
        <f>IFERROR(VLOOKUP(B488,cubo!$A$6:$BE$37,23,0)-VLOOKUP(B488,#REF!,$M$2,0),0)</f>
        <v>0</v>
      </c>
      <c r="N488" s="9">
        <f>IFERROR(VLOOKUP(B488,cubo!$A$6:$BE$37,25,0)-VLOOKUP(B488,#REF!,$N$2,0),0)</f>
        <v>0</v>
      </c>
      <c r="O488" s="9">
        <f>IFERROR(VLOOKUP(B488,cubo!$A$6:$BE$37,33,0)-VLOOKUP(B488,#REF!,$O$2,0),0)</f>
        <v>0</v>
      </c>
      <c r="P488" s="8">
        <f>IFERROR(VLOOKUP(B488,cubo!$A$6:$BE$37,37,0)-VLOOKUP(B488,#REF!,$P$2,0),0)</f>
        <v>0</v>
      </c>
      <c r="Q488" s="8">
        <f>IFERROR(VLOOKUP(B488,cubo!$A$6:$BE$37,56,0)-VLOOKUP(B488,#REF!,$Q$2,0),0)</f>
        <v>0</v>
      </c>
      <c r="R488" s="9">
        <f>IFERROR(VLOOKUP(B488,cubo!$A$6:$BE$37,40,0)-VLOOKUP(B488,#REF!,$R$2,0),0)</f>
        <v>0</v>
      </c>
      <c r="S488" s="9">
        <f>IFERROR(VLOOKUP(B488,cubo!$A$6:$BE$37,43,0)-VLOOKUP(B488,#REF!,$S$2,0),0)</f>
        <v>0</v>
      </c>
      <c r="T488" s="9">
        <f>IFERROR(VLOOKUP(B488,cubo!$A$6:$BE$37,46,0)-VLOOKUP(B488,#REF!,$T$2,0),0)</f>
        <v>0</v>
      </c>
      <c r="U488" s="9">
        <f>IFERROR(VLOOKUP(B488,cubo!$A$6:$BE$37,51,0)-VLOOKUP(B488,#REF!,$U$2,0),0)</f>
        <v>0</v>
      </c>
      <c r="V488" s="9">
        <f>IFERROR(VLOOKUP(B488,cubo!$A$6:$BJ$37,60,0)-VLOOKUP(B488,#REF!,$V$2,0),0)</f>
        <v>0</v>
      </c>
      <c r="W488" s="9">
        <f>IFERROR(VLOOKUP(B488,cubo!$A$6:$BE$37,26,0)-VLOOKUP(B488,#REF!,$W$2,0),0)</f>
        <v>0</v>
      </c>
      <c r="X488" s="9">
        <f>IFERROR(VLOOKUP(B488,cubo!$A$6:$BE$37,20,0)-VLOOKUP(B488,#REF!,$X$2,0),0)</f>
        <v>0</v>
      </c>
      <c r="Y488" s="9">
        <f>IFERROR(VLOOKUP(B488,cubo!$A$6:$BE$37,21,0)-VLOOKUP(B488,#REF!,$Y$2,0),0)</f>
        <v>0</v>
      </c>
      <c r="Z488" s="9">
        <f>IFERROR(VLOOKUP(B488,cubo!$A$6:$BE$37,27,0)-VLOOKUP(B488,#REF!,$Z$2,0),0)</f>
        <v>0</v>
      </c>
      <c r="AA488" s="9">
        <f>IFERROR(VLOOKUP(B488,cubo!$A$6:$BE$37,28,0)-VLOOKUP(B488,#REF!,$AA$2,0),0)</f>
        <v>0</v>
      </c>
      <c r="AB488" s="9">
        <f>IFERROR(VLOOKUP(B488,cubo!$A$6:$BE$37,29,0)-VLOOKUP(B488,#REF!,$AB$2,0),0)</f>
        <v>0</v>
      </c>
      <c r="AC488" s="9">
        <f>IFERROR(VLOOKUP(B488,cubo!$A$6:$BE$37,30,0)-VLOOKUP(B488,#REF!,$AC$2,0),0)</f>
        <v>0</v>
      </c>
      <c r="AD488" s="9">
        <f>IFERROR(VLOOKUP(B488,cubo!$A$6:$BE$37,31,0)-VLOOKUP(B488,#REF!,$AD$2,0),0)</f>
        <v>0</v>
      </c>
      <c r="AE488" s="9">
        <f>IFERROR(VLOOKUP(B488,cubo!$A$6:$BE$37,35,0)-VLOOKUP(B488,#REF!,$AE$2,0),0)</f>
        <v>0</v>
      </c>
      <c r="AF488" s="9" cm="1">
        <f t="array" aca="1" ref="AF488" ca="1">IFERROR(rrPROCV(B488,cubo!$A$6:$BE$37,48,0)-VLOOKUP(B488,#REF!,$AF$2,0),0)</f>
        <v>0</v>
      </c>
      <c r="AG488" s="9">
        <f>IFERROR(VLOOKUP(B488,cubo!$A$6:$BE$37,49,0)-VLOOKUP(B488,#REF!,$AG$2,0),0)</f>
        <v>0</v>
      </c>
      <c r="AH488" s="9">
        <f>IFERROR(VLOOKUP(B488,cubo!$A$6:$BE$37,50,0)-VLOOKUP(B488,#REF!,$AH$2,0),0)</f>
        <v>0</v>
      </c>
      <c r="AI488" s="9">
        <f>IFERROR(VLOOKUP(B488,cubo!$A$6:$BE$37,51,0)-VLOOKUP(B488,#REF!,$AI$2,0),0)</f>
        <v>0</v>
      </c>
      <c r="AJ488" s="9">
        <f>IFERROR(VLOOKUP(B488,cubo!$A$6:$BI$116,62,0)-VLOOKUP(B488,#REF!,$AJ$2,0),0)</f>
        <v>0</v>
      </c>
      <c r="AK488" s="9">
        <f>IFERROR(VLOOKUP(B488,cubo!$A$6:$BJ$37,63,0)-VLOOKUP(B488,#REF!,$AK$2,0),0)</f>
        <v>0</v>
      </c>
      <c r="AL488" s="9">
        <f>IFERROR(VLOOKUP(B488,cubo!$A$6:$BE$37,58,0)-VLOOKUP(B488,#REF!,$AL$2,0),0)</f>
        <v>0</v>
      </c>
      <c r="AM488" s="9">
        <f>IFERROR(VLOOKUP(B488,cubo!$A$6:$BK$37,64,0)-VLOOKUP(B488,#REF!,$AM$2,0),0)</f>
        <v>0</v>
      </c>
      <c r="AN488" s="9">
        <f>IFERROR(VLOOKUP(B488,cubo!$A$6:$AN$37,41,0)-VLOOKUP(B488,#REF!,$AN$2,0),0)</f>
        <v>0</v>
      </c>
    </row>
    <row r="489" spans="2:40" x14ac:dyDescent="0.25">
      <c r="B489" s="7">
        <f>[1]salario!A488</f>
        <v>0</v>
      </c>
      <c r="C489" s="8">
        <f>[1]salario!C488</f>
        <v>0</v>
      </c>
      <c r="D489" s="9">
        <f>IFERROR(VLOOKUP(B489,cubo!$A$6:$BE$37,3,0)-VLOOKUP(B489,#REF!,$D$2,0),0)</f>
        <v>0</v>
      </c>
      <c r="E489" s="10">
        <f>IFERROR(VLOOKUP(B489,cubo!$A$6:$BE$37,5,0)-VLOOKUP(B489,#REF!,$E$2,0),0)</f>
        <v>0</v>
      </c>
      <c r="F489" s="10">
        <f>IFERROR(VLOOKUP(B489,cubo!$A$6:$BE$37,8,0)-VLOOKUP(B489,#REF!,$F$2,0),0)</f>
        <v>0</v>
      </c>
      <c r="G489" s="9">
        <f>IFERROR(VLOOKUP(B489,cubo!$A$6:$BE$37,11,0)-VLOOKUP(B489,#REF!,$G$2,0),0)</f>
        <v>0</v>
      </c>
      <c r="H489" s="9">
        <f>IFERROR(VLOOKUP(B489,cubo!$A$6:$BE$37,53,0)-VLOOKUP(B489,#REF!,$H$2,0),0)</f>
        <v>0</v>
      </c>
      <c r="I489" s="10">
        <f>IFERROR(VLOOKUP(B489,cubo!$A$6:$BE$37,14,0)-VLOOKUP(B489,#REF!,$I$2,0),0)</f>
        <v>0</v>
      </c>
      <c r="J489" s="9">
        <f>IFERROR(VLOOKUP(B489,cubo!$A$6:$BE$37,16,0)-VLOOKUP(B489,#REF!,$J$2,0),0)</f>
        <v>0</v>
      </c>
      <c r="K489" s="9">
        <f>IFERROR(VLOOKUP(B489,cubo!$A$6:$BE$37,17,0)-VLOOKUP(B489,#REF!,$K$2,0),0)</f>
        <v>0</v>
      </c>
      <c r="L489" s="9">
        <f>IFERROR(VLOOKUP(B489,cubo!$A$6:$BE$37,19,0)-VLOOKUP(B489,#REF!,$L$2,0),0)</f>
        <v>0</v>
      </c>
      <c r="M489" s="9">
        <f>IFERROR(VLOOKUP(B489,cubo!$A$6:$BE$37,23,0)-VLOOKUP(B489,#REF!,$M$2,0),0)</f>
        <v>0</v>
      </c>
      <c r="N489" s="9">
        <f>IFERROR(VLOOKUP(B489,cubo!$A$6:$BE$37,25,0)-VLOOKUP(B489,#REF!,$N$2,0),0)</f>
        <v>0</v>
      </c>
      <c r="O489" s="9">
        <f>IFERROR(VLOOKUP(B489,cubo!$A$6:$BE$37,33,0)-VLOOKUP(B489,#REF!,$O$2,0),0)</f>
        <v>0</v>
      </c>
      <c r="P489" s="8">
        <f>IFERROR(VLOOKUP(B489,cubo!$A$6:$BE$37,37,0)-VLOOKUP(B489,#REF!,$P$2,0),0)</f>
        <v>0</v>
      </c>
      <c r="Q489" s="8">
        <f>IFERROR(VLOOKUP(B489,cubo!$A$6:$BE$37,56,0)-VLOOKUP(B489,#REF!,$Q$2,0),0)</f>
        <v>0</v>
      </c>
      <c r="R489" s="9">
        <f>IFERROR(VLOOKUP(B489,cubo!$A$6:$BE$37,40,0)-VLOOKUP(B489,#REF!,$R$2,0),0)</f>
        <v>0</v>
      </c>
      <c r="S489" s="9">
        <f>IFERROR(VLOOKUP(B489,cubo!$A$6:$BE$37,43,0)-VLOOKUP(B489,#REF!,$S$2,0),0)</f>
        <v>0</v>
      </c>
      <c r="T489" s="9">
        <f>IFERROR(VLOOKUP(B489,cubo!$A$6:$BE$37,46,0)-VLOOKUP(B489,#REF!,$T$2,0),0)</f>
        <v>0</v>
      </c>
      <c r="U489" s="9">
        <f>IFERROR(VLOOKUP(B489,cubo!$A$6:$BE$37,51,0)-VLOOKUP(B489,#REF!,$U$2,0),0)</f>
        <v>0</v>
      </c>
      <c r="V489" s="9">
        <f>IFERROR(VLOOKUP(B489,cubo!$A$6:$BJ$37,60,0)-VLOOKUP(B489,#REF!,$V$2,0),0)</f>
        <v>0</v>
      </c>
      <c r="W489" s="9">
        <f>IFERROR(VLOOKUP(B489,cubo!$A$6:$BE$37,26,0)-VLOOKUP(B489,#REF!,$W$2,0),0)</f>
        <v>0</v>
      </c>
      <c r="X489" s="9">
        <f>IFERROR(VLOOKUP(B489,cubo!$A$6:$BE$37,20,0)-VLOOKUP(B489,#REF!,$X$2,0),0)</f>
        <v>0</v>
      </c>
      <c r="Y489" s="9">
        <f>IFERROR(VLOOKUP(B489,cubo!$A$6:$BE$37,21,0)-VLOOKUP(B489,#REF!,$Y$2,0),0)</f>
        <v>0</v>
      </c>
      <c r="Z489" s="9">
        <f>IFERROR(VLOOKUP(B489,cubo!$A$6:$BE$37,27,0)-VLOOKUP(B489,#REF!,$Z$2,0),0)</f>
        <v>0</v>
      </c>
      <c r="AA489" s="9">
        <f>IFERROR(VLOOKUP(B489,cubo!$A$6:$BE$37,28,0)-VLOOKUP(B489,#REF!,$AA$2,0),0)</f>
        <v>0</v>
      </c>
      <c r="AB489" s="9">
        <f>IFERROR(VLOOKUP(B489,cubo!$A$6:$BE$37,29,0)-VLOOKUP(B489,#REF!,$AB$2,0),0)</f>
        <v>0</v>
      </c>
      <c r="AC489" s="9">
        <f>IFERROR(VLOOKUP(B489,cubo!$A$6:$BE$37,30,0)-VLOOKUP(B489,#REF!,$AC$2,0),0)</f>
        <v>0</v>
      </c>
      <c r="AD489" s="9">
        <f>IFERROR(VLOOKUP(B489,cubo!$A$6:$BE$37,31,0)-VLOOKUP(B489,#REF!,$AD$2,0),0)</f>
        <v>0</v>
      </c>
      <c r="AE489" s="9">
        <f>IFERROR(VLOOKUP(B489,cubo!$A$6:$BE$37,35,0)-VLOOKUP(B489,#REF!,$AE$2,0),0)</f>
        <v>0</v>
      </c>
      <c r="AF489" s="9" cm="1">
        <f t="array" aca="1" ref="AF489" ca="1">IFERROR(rrPROCV(B489,cubo!$A$6:$BE$37,48,0)-VLOOKUP(B489,#REF!,$AF$2,0),0)</f>
        <v>0</v>
      </c>
      <c r="AG489" s="9">
        <f>IFERROR(VLOOKUP(B489,cubo!$A$6:$BE$37,49,0)-VLOOKUP(B489,#REF!,$AG$2,0),0)</f>
        <v>0</v>
      </c>
      <c r="AH489" s="9">
        <f>IFERROR(VLOOKUP(B489,cubo!$A$6:$BE$37,50,0)-VLOOKUP(B489,#REF!,$AH$2,0),0)</f>
        <v>0</v>
      </c>
      <c r="AI489" s="9">
        <f>IFERROR(VLOOKUP(B489,cubo!$A$6:$BE$37,51,0)-VLOOKUP(B489,#REF!,$AI$2,0),0)</f>
        <v>0</v>
      </c>
      <c r="AJ489" s="9">
        <f>IFERROR(VLOOKUP(B489,cubo!$A$6:$BI$116,62,0)-VLOOKUP(B489,#REF!,$AJ$2,0),0)</f>
        <v>0</v>
      </c>
      <c r="AK489" s="9">
        <f>IFERROR(VLOOKUP(B489,cubo!$A$6:$BJ$37,63,0)-VLOOKUP(B489,#REF!,$AK$2,0),0)</f>
        <v>0</v>
      </c>
      <c r="AL489" s="9">
        <f>IFERROR(VLOOKUP(B489,cubo!$A$6:$BE$37,58,0)-VLOOKUP(B489,#REF!,$AL$2,0),0)</f>
        <v>0</v>
      </c>
      <c r="AM489" s="9">
        <f>IFERROR(VLOOKUP(B489,cubo!$A$6:$BK$37,64,0)-VLOOKUP(B489,#REF!,$AM$2,0),0)</f>
        <v>0</v>
      </c>
      <c r="AN489" s="9">
        <f>IFERROR(VLOOKUP(B489,cubo!$A$6:$AN$37,41,0)-VLOOKUP(B489,#REF!,$AN$2,0),0)</f>
        <v>0</v>
      </c>
    </row>
    <row r="490" spans="2:40" x14ac:dyDescent="0.25">
      <c r="B490" s="7">
        <f>[1]salario!A489</f>
        <v>0</v>
      </c>
      <c r="C490" s="8">
        <f>[1]salario!C489</f>
        <v>0</v>
      </c>
      <c r="D490" s="9">
        <f>IFERROR(VLOOKUP(B490,cubo!$A$6:$BE$37,3,0)-VLOOKUP(B490,#REF!,$D$2,0),0)</f>
        <v>0</v>
      </c>
      <c r="E490" s="10">
        <f>IFERROR(VLOOKUP(B490,cubo!$A$6:$BE$37,5,0)-VLOOKUP(B490,#REF!,$E$2,0),0)</f>
        <v>0</v>
      </c>
      <c r="F490" s="10">
        <f>IFERROR(VLOOKUP(B490,cubo!$A$6:$BE$37,8,0)-VLOOKUP(B490,#REF!,$F$2,0),0)</f>
        <v>0</v>
      </c>
      <c r="G490" s="9">
        <f>IFERROR(VLOOKUP(B490,cubo!$A$6:$BE$37,11,0)-VLOOKUP(B490,#REF!,$G$2,0),0)</f>
        <v>0</v>
      </c>
      <c r="H490" s="9">
        <f>IFERROR(VLOOKUP(B490,cubo!$A$6:$BE$37,53,0)-VLOOKUP(B490,#REF!,$H$2,0),0)</f>
        <v>0</v>
      </c>
      <c r="I490" s="10">
        <f>IFERROR(VLOOKUP(B490,cubo!$A$6:$BE$37,14,0)-VLOOKUP(B490,#REF!,$I$2,0),0)</f>
        <v>0</v>
      </c>
      <c r="J490" s="9">
        <f>IFERROR(VLOOKUP(B490,cubo!$A$6:$BE$37,16,0)-VLOOKUP(B490,#REF!,$J$2,0),0)</f>
        <v>0</v>
      </c>
      <c r="K490" s="9">
        <f>IFERROR(VLOOKUP(B490,cubo!$A$6:$BE$37,17,0)-VLOOKUP(B490,#REF!,$K$2,0),0)</f>
        <v>0</v>
      </c>
      <c r="L490" s="9">
        <f>IFERROR(VLOOKUP(B490,cubo!$A$6:$BE$37,19,0)-VLOOKUP(B490,#REF!,$L$2,0),0)</f>
        <v>0</v>
      </c>
      <c r="M490" s="9">
        <f>IFERROR(VLOOKUP(B490,cubo!$A$6:$BE$37,23,0)-VLOOKUP(B490,#REF!,$M$2,0),0)</f>
        <v>0</v>
      </c>
      <c r="N490" s="9">
        <f>IFERROR(VLOOKUP(B490,cubo!$A$6:$BE$37,25,0)-VLOOKUP(B490,#REF!,$N$2,0),0)</f>
        <v>0</v>
      </c>
      <c r="O490" s="9">
        <f>IFERROR(VLOOKUP(B490,cubo!$A$6:$BE$37,33,0)-VLOOKUP(B490,#REF!,$O$2,0),0)</f>
        <v>0</v>
      </c>
      <c r="P490" s="8">
        <f>IFERROR(VLOOKUP(B490,cubo!$A$6:$BE$37,37,0)-VLOOKUP(B490,#REF!,$P$2,0),0)</f>
        <v>0</v>
      </c>
      <c r="Q490" s="8">
        <f>IFERROR(VLOOKUP(B490,cubo!$A$6:$BE$37,56,0)-VLOOKUP(B490,#REF!,$Q$2,0),0)</f>
        <v>0</v>
      </c>
      <c r="R490" s="9">
        <f>IFERROR(VLOOKUP(B490,cubo!$A$6:$BE$37,40,0)-VLOOKUP(B490,#REF!,$R$2,0),0)</f>
        <v>0</v>
      </c>
      <c r="S490" s="9">
        <f>IFERROR(VLOOKUP(B490,cubo!$A$6:$BE$37,43,0)-VLOOKUP(B490,#REF!,$S$2,0),0)</f>
        <v>0</v>
      </c>
      <c r="T490" s="9">
        <f>IFERROR(VLOOKUP(B490,cubo!$A$6:$BE$37,46,0)-VLOOKUP(B490,#REF!,$T$2,0),0)</f>
        <v>0</v>
      </c>
      <c r="U490" s="9">
        <f>IFERROR(VLOOKUP(B490,cubo!$A$6:$BE$37,51,0)-VLOOKUP(B490,#REF!,$U$2,0),0)</f>
        <v>0</v>
      </c>
      <c r="V490" s="9">
        <f>IFERROR(VLOOKUP(B490,cubo!$A$6:$BJ$37,60,0)-VLOOKUP(B490,#REF!,$V$2,0),0)</f>
        <v>0</v>
      </c>
      <c r="W490" s="9">
        <f>IFERROR(VLOOKUP(B490,cubo!$A$6:$BE$37,26,0)-VLOOKUP(B490,#REF!,$W$2,0),0)</f>
        <v>0</v>
      </c>
      <c r="X490" s="9">
        <f>IFERROR(VLOOKUP(B490,cubo!$A$6:$BE$37,20,0)-VLOOKUP(B490,#REF!,$X$2,0),0)</f>
        <v>0</v>
      </c>
      <c r="Y490" s="9">
        <f>IFERROR(VLOOKUP(B490,cubo!$A$6:$BE$37,21,0)-VLOOKUP(B490,#REF!,$Y$2,0),0)</f>
        <v>0</v>
      </c>
      <c r="Z490" s="9">
        <f>IFERROR(VLOOKUP(B490,cubo!$A$6:$BE$37,27,0)-VLOOKUP(B490,#REF!,$Z$2,0),0)</f>
        <v>0</v>
      </c>
      <c r="AA490" s="9">
        <f>IFERROR(VLOOKUP(B490,cubo!$A$6:$BE$37,28,0)-VLOOKUP(B490,#REF!,$AA$2,0),0)</f>
        <v>0</v>
      </c>
      <c r="AB490" s="9">
        <f>IFERROR(VLOOKUP(B490,cubo!$A$6:$BE$37,29,0)-VLOOKUP(B490,#REF!,$AB$2,0),0)</f>
        <v>0</v>
      </c>
      <c r="AC490" s="9">
        <f>IFERROR(VLOOKUP(B490,cubo!$A$6:$BE$37,30,0)-VLOOKUP(B490,#REF!,$AC$2,0),0)</f>
        <v>0</v>
      </c>
      <c r="AD490" s="9">
        <f>IFERROR(VLOOKUP(B490,cubo!$A$6:$BE$37,31,0)-VLOOKUP(B490,#REF!,$AD$2,0),0)</f>
        <v>0</v>
      </c>
      <c r="AE490" s="9">
        <f>IFERROR(VLOOKUP(B490,cubo!$A$6:$BE$37,35,0)-VLOOKUP(B490,#REF!,$AE$2,0),0)</f>
        <v>0</v>
      </c>
      <c r="AF490" s="9" cm="1">
        <f t="array" aca="1" ref="AF490" ca="1">IFERROR(rrPROCV(B490,cubo!$A$6:$BE$37,48,0)-VLOOKUP(B490,#REF!,$AF$2,0),0)</f>
        <v>0</v>
      </c>
      <c r="AG490" s="9">
        <f>IFERROR(VLOOKUP(B490,cubo!$A$6:$BE$37,49,0)-VLOOKUP(B490,#REF!,$AG$2,0),0)</f>
        <v>0</v>
      </c>
      <c r="AH490" s="9">
        <f>IFERROR(VLOOKUP(B490,cubo!$A$6:$BE$37,50,0)-VLOOKUP(B490,#REF!,$AH$2,0),0)</f>
        <v>0</v>
      </c>
      <c r="AI490" s="9">
        <f>IFERROR(VLOOKUP(B490,cubo!$A$6:$BE$37,51,0)-VLOOKUP(B490,#REF!,$AI$2,0),0)</f>
        <v>0</v>
      </c>
      <c r="AJ490" s="9">
        <f>IFERROR(VLOOKUP(B490,cubo!$A$6:$BI$116,62,0)-VLOOKUP(B490,#REF!,$AJ$2,0),0)</f>
        <v>0</v>
      </c>
      <c r="AK490" s="9">
        <f>IFERROR(VLOOKUP(B490,cubo!$A$6:$BJ$37,63,0)-VLOOKUP(B490,#REF!,$AK$2,0),0)</f>
        <v>0</v>
      </c>
      <c r="AL490" s="9">
        <f>IFERROR(VLOOKUP(B490,cubo!$A$6:$BE$37,58,0)-VLOOKUP(B490,#REF!,$AL$2,0),0)</f>
        <v>0</v>
      </c>
      <c r="AM490" s="9">
        <f>IFERROR(VLOOKUP(B490,cubo!$A$6:$BK$37,64,0)-VLOOKUP(B490,#REF!,$AM$2,0),0)</f>
        <v>0</v>
      </c>
      <c r="AN490" s="9">
        <f>IFERROR(VLOOKUP(B490,cubo!$A$6:$AN$37,41,0)-VLOOKUP(B490,#REF!,$AN$2,0),0)</f>
        <v>0</v>
      </c>
    </row>
    <row r="491" spans="2:40" x14ac:dyDescent="0.25">
      <c r="B491" s="7">
        <f>[1]salario!A490</f>
        <v>0</v>
      </c>
      <c r="C491" s="8">
        <f>[1]salario!C490</f>
        <v>0</v>
      </c>
      <c r="D491" s="9">
        <f>IFERROR(VLOOKUP(B491,cubo!$A$6:$BE$37,3,0)-VLOOKUP(B491,#REF!,$D$2,0),0)</f>
        <v>0</v>
      </c>
      <c r="E491" s="10">
        <f>IFERROR(VLOOKUP(B491,cubo!$A$6:$BE$37,5,0)-VLOOKUP(B491,#REF!,$E$2,0),0)</f>
        <v>0</v>
      </c>
      <c r="F491" s="10">
        <f>IFERROR(VLOOKUP(B491,cubo!$A$6:$BE$37,8,0)-VLOOKUP(B491,#REF!,$F$2,0),0)</f>
        <v>0</v>
      </c>
      <c r="G491" s="9">
        <f>IFERROR(VLOOKUP(B491,cubo!$A$6:$BE$37,11,0)-VLOOKUP(B491,#REF!,$G$2,0),0)</f>
        <v>0</v>
      </c>
      <c r="H491" s="9">
        <f>IFERROR(VLOOKUP(B491,cubo!$A$6:$BE$37,53,0)-VLOOKUP(B491,#REF!,$H$2,0),0)</f>
        <v>0</v>
      </c>
      <c r="I491" s="10">
        <f>IFERROR(VLOOKUP(B491,cubo!$A$6:$BE$37,14,0)-VLOOKUP(B491,#REF!,$I$2,0),0)</f>
        <v>0</v>
      </c>
      <c r="J491" s="9">
        <f>IFERROR(VLOOKUP(B491,cubo!$A$6:$BE$37,16,0)-VLOOKUP(B491,#REF!,$J$2,0),0)</f>
        <v>0</v>
      </c>
      <c r="K491" s="9">
        <f>IFERROR(VLOOKUP(B491,cubo!$A$6:$BE$37,17,0)-VLOOKUP(B491,#REF!,$K$2,0),0)</f>
        <v>0</v>
      </c>
      <c r="L491" s="9">
        <f>IFERROR(VLOOKUP(B491,cubo!$A$6:$BE$37,19,0)-VLOOKUP(B491,#REF!,$L$2,0),0)</f>
        <v>0</v>
      </c>
      <c r="M491" s="9">
        <f>IFERROR(VLOOKUP(B491,cubo!$A$6:$BE$37,23,0)-VLOOKUP(B491,#REF!,$M$2,0),0)</f>
        <v>0</v>
      </c>
      <c r="N491" s="9">
        <f>IFERROR(VLOOKUP(B491,cubo!$A$6:$BE$37,25,0)-VLOOKUP(B491,#REF!,$N$2,0),0)</f>
        <v>0</v>
      </c>
      <c r="O491" s="9">
        <f>IFERROR(VLOOKUP(B491,cubo!$A$6:$BE$37,33,0)-VLOOKUP(B491,#REF!,$O$2,0),0)</f>
        <v>0</v>
      </c>
      <c r="P491" s="8">
        <f>IFERROR(VLOOKUP(B491,cubo!$A$6:$BE$37,37,0)-VLOOKUP(B491,#REF!,$P$2,0),0)</f>
        <v>0</v>
      </c>
      <c r="Q491" s="8">
        <f>IFERROR(VLOOKUP(B491,cubo!$A$6:$BE$37,56,0)-VLOOKUP(B491,#REF!,$Q$2,0),0)</f>
        <v>0</v>
      </c>
      <c r="R491" s="9">
        <f>IFERROR(VLOOKUP(B491,cubo!$A$6:$BE$37,40,0)-VLOOKUP(B491,#REF!,$R$2,0),0)</f>
        <v>0</v>
      </c>
      <c r="S491" s="9">
        <f>IFERROR(VLOOKUP(B491,cubo!$A$6:$BE$37,43,0)-VLOOKUP(B491,#REF!,$S$2,0),0)</f>
        <v>0</v>
      </c>
      <c r="T491" s="9">
        <f>IFERROR(VLOOKUP(B491,cubo!$A$6:$BE$37,46,0)-VLOOKUP(B491,#REF!,$T$2,0),0)</f>
        <v>0</v>
      </c>
      <c r="U491" s="9">
        <f>IFERROR(VLOOKUP(B491,cubo!$A$6:$BE$37,51,0)-VLOOKUP(B491,#REF!,$U$2,0),0)</f>
        <v>0</v>
      </c>
      <c r="V491" s="9">
        <f>IFERROR(VLOOKUP(B491,cubo!$A$6:$BJ$37,60,0)-VLOOKUP(B491,#REF!,$V$2,0),0)</f>
        <v>0</v>
      </c>
      <c r="W491" s="9">
        <f>IFERROR(VLOOKUP(B491,cubo!$A$6:$BE$37,26,0)-VLOOKUP(B491,#REF!,$W$2,0),0)</f>
        <v>0</v>
      </c>
      <c r="X491" s="9">
        <f>IFERROR(VLOOKUP(B491,cubo!$A$6:$BE$37,20,0)-VLOOKUP(B491,#REF!,$X$2,0),0)</f>
        <v>0</v>
      </c>
      <c r="Y491" s="9">
        <f>IFERROR(VLOOKUP(B491,cubo!$A$6:$BE$37,21,0)-VLOOKUP(B491,#REF!,$Y$2,0),0)</f>
        <v>0</v>
      </c>
      <c r="Z491" s="9">
        <f>IFERROR(VLOOKUP(B491,cubo!$A$6:$BE$37,27,0)-VLOOKUP(B491,#REF!,$Z$2,0),0)</f>
        <v>0</v>
      </c>
      <c r="AA491" s="9">
        <f>IFERROR(VLOOKUP(B491,cubo!$A$6:$BE$37,28,0)-VLOOKUP(B491,#REF!,$AA$2,0),0)</f>
        <v>0</v>
      </c>
      <c r="AB491" s="9">
        <f>IFERROR(VLOOKUP(B491,cubo!$A$6:$BE$37,29,0)-VLOOKUP(B491,#REF!,$AB$2,0),0)</f>
        <v>0</v>
      </c>
      <c r="AC491" s="9">
        <f>IFERROR(VLOOKUP(B491,cubo!$A$6:$BE$37,30,0)-VLOOKUP(B491,#REF!,$AC$2,0),0)</f>
        <v>0</v>
      </c>
      <c r="AD491" s="9">
        <f>IFERROR(VLOOKUP(B491,cubo!$A$6:$BE$37,31,0)-VLOOKUP(B491,#REF!,$AD$2,0),0)</f>
        <v>0</v>
      </c>
      <c r="AE491" s="9">
        <f>IFERROR(VLOOKUP(B491,cubo!$A$6:$BE$37,35,0)-VLOOKUP(B491,#REF!,$AE$2,0),0)</f>
        <v>0</v>
      </c>
      <c r="AF491" s="9" cm="1">
        <f t="array" aca="1" ref="AF491" ca="1">IFERROR(rrPROCV(B491,cubo!$A$6:$BE$37,48,0)-VLOOKUP(B491,#REF!,$AF$2,0),0)</f>
        <v>0</v>
      </c>
      <c r="AG491" s="9">
        <f>IFERROR(VLOOKUP(B491,cubo!$A$6:$BE$37,49,0)-VLOOKUP(B491,#REF!,$AG$2,0),0)</f>
        <v>0</v>
      </c>
      <c r="AH491" s="9">
        <f>IFERROR(VLOOKUP(B491,cubo!$A$6:$BE$37,50,0)-VLOOKUP(B491,#REF!,$AH$2,0),0)</f>
        <v>0</v>
      </c>
      <c r="AI491" s="9">
        <f>IFERROR(VLOOKUP(B491,cubo!$A$6:$BE$37,51,0)-VLOOKUP(B491,#REF!,$AI$2,0),0)</f>
        <v>0</v>
      </c>
      <c r="AJ491" s="9">
        <f>IFERROR(VLOOKUP(B491,cubo!$A$6:$BI$116,62,0)-VLOOKUP(B491,#REF!,$AJ$2,0),0)</f>
        <v>0</v>
      </c>
      <c r="AK491" s="9">
        <f>IFERROR(VLOOKUP(B491,cubo!$A$6:$BJ$37,63,0)-VLOOKUP(B491,#REF!,$AK$2,0),0)</f>
        <v>0</v>
      </c>
      <c r="AL491" s="9">
        <f>IFERROR(VLOOKUP(B491,cubo!$A$6:$BE$37,58,0)-VLOOKUP(B491,#REF!,$AL$2,0),0)</f>
        <v>0</v>
      </c>
      <c r="AM491" s="9">
        <f>IFERROR(VLOOKUP(B491,cubo!$A$6:$BK$37,64,0)-VLOOKUP(B491,#REF!,$AM$2,0),0)</f>
        <v>0</v>
      </c>
      <c r="AN491" s="9">
        <f>IFERROR(VLOOKUP(B491,cubo!$A$6:$AN$37,41,0)-VLOOKUP(B491,#REF!,$AN$2,0),0)</f>
        <v>0</v>
      </c>
    </row>
    <row r="492" spans="2:40" x14ac:dyDescent="0.25">
      <c r="B492" s="7">
        <f>[1]salario!A491</f>
        <v>0</v>
      </c>
      <c r="C492" s="8">
        <f>[1]salario!C491</f>
        <v>0</v>
      </c>
      <c r="D492" s="9">
        <f>IFERROR(VLOOKUP(B492,cubo!$A$6:$BE$37,3,0)-VLOOKUP(B492,#REF!,$D$2,0),0)</f>
        <v>0</v>
      </c>
      <c r="E492" s="10">
        <f>IFERROR(VLOOKUP(B492,cubo!$A$6:$BE$37,5,0)-VLOOKUP(B492,#REF!,$E$2,0),0)</f>
        <v>0</v>
      </c>
      <c r="F492" s="10">
        <f>IFERROR(VLOOKUP(B492,cubo!$A$6:$BE$37,8,0)-VLOOKUP(B492,#REF!,$F$2,0),0)</f>
        <v>0</v>
      </c>
      <c r="G492" s="9">
        <f>IFERROR(VLOOKUP(B492,cubo!$A$6:$BE$37,11,0)-VLOOKUP(B492,#REF!,$G$2,0),0)</f>
        <v>0</v>
      </c>
      <c r="H492" s="9">
        <f>IFERROR(VLOOKUP(B492,cubo!$A$6:$BE$37,53,0)-VLOOKUP(B492,#REF!,$H$2,0),0)</f>
        <v>0</v>
      </c>
      <c r="I492" s="10">
        <f>IFERROR(VLOOKUP(B492,cubo!$A$6:$BE$37,14,0)-VLOOKUP(B492,#REF!,$I$2,0),0)</f>
        <v>0</v>
      </c>
      <c r="J492" s="9">
        <f>IFERROR(VLOOKUP(B492,cubo!$A$6:$BE$37,16,0)-VLOOKUP(B492,#REF!,$J$2,0),0)</f>
        <v>0</v>
      </c>
      <c r="K492" s="9">
        <f>IFERROR(VLOOKUP(B492,cubo!$A$6:$BE$37,17,0)-VLOOKUP(B492,#REF!,$K$2,0),0)</f>
        <v>0</v>
      </c>
      <c r="L492" s="9">
        <f>IFERROR(VLOOKUP(B492,cubo!$A$6:$BE$37,19,0)-VLOOKUP(B492,#REF!,$L$2,0),0)</f>
        <v>0</v>
      </c>
      <c r="M492" s="9">
        <f>IFERROR(VLOOKUP(B492,cubo!$A$6:$BE$37,23,0)-VLOOKUP(B492,#REF!,$M$2,0),0)</f>
        <v>0</v>
      </c>
      <c r="N492" s="9">
        <f>IFERROR(VLOOKUP(B492,cubo!$A$6:$BE$37,25,0)-VLOOKUP(B492,#REF!,$N$2,0),0)</f>
        <v>0</v>
      </c>
      <c r="O492" s="9">
        <f>IFERROR(VLOOKUP(B492,cubo!$A$6:$BE$37,33,0)-VLOOKUP(B492,#REF!,$O$2,0),0)</f>
        <v>0</v>
      </c>
      <c r="P492" s="8">
        <f>IFERROR(VLOOKUP(B492,cubo!$A$6:$BE$37,37,0)-VLOOKUP(B492,#REF!,$P$2,0),0)</f>
        <v>0</v>
      </c>
      <c r="Q492" s="8">
        <f>IFERROR(VLOOKUP(B492,cubo!$A$6:$BE$37,56,0)-VLOOKUP(B492,#REF!,$Q$2,0),0)</f>
        <v>0</v>
      </c>
      <c r="R492" s="9">
        <f>IFERROR(VLOOKUP(B492,cubo!$A$6:$BE$37,40,0)-VLOOKUP(B492,#REF!,$R$2,0),0)</f>
        <v>0</v>
      </c>
      <c r="S492" s="9">
        <f>IFERROR(VLOOKUP(B492,cubo!$A$6:$BE$37,43,0)-VLOOKUP(B492,#REF!,$S$2,0),0)</f>
        <v>0</v>
      </c>
      <c r="T492" s="9">
        <f>IFERROR(VLOOKUP(B492,cubo!$A$6:$BE$37,46,0)-VLOOKUP(B492,#REF!,$T$2,0),0)</f>
        <v>0</v>
      </c>
      <c r="U492" s="9">
        <f>IFERROR(VLOOKUP(B492,cubo!$A$6:$BE$37,51,0)-VLOOKUP(B492,#REF!,$U$2,0),0)</f>
        <v>0</v>
      </c>
      <c r="V492" s="9">
        <f>IFERROR(VLOOKUP(B492,cubo!$A$6:$BJ$37,60,0)-VLOOKUP(B492,#REF!,$V$2,0),0)</f>
        <v>0</v>
      </c>
      <c r="W492" s="9">
        <f>IFERROR(VLOOKUP(B492,cubo!$A$6:$BE$37,26,0)-VLOOKUP(B492,#REF!,$W$2,0),0)</f>
        <v>0</v>
      </c>
      <c r="X492" s="9">
        <f>IFERROR(VLOOKUP(B492,cubo!$A$6:$BE$37,20,0)-VLOOKUP(B492,#REF!,$X$2,0),0)</f>
        <v>0</v>
      </c>
      <c r="Y492" s="9">
        <f>IFERROR(VLOOKUP(B492,cubo!$A$6:$BE$37,21,0)-VLOOKUP(B492,#REF!,$Y$2,0),0)</f>
        <v>0</v>
      </c>
      <c r="Z492" s="9">
        <f>IFERROR(VLOOKUP(B492,cubo!$A$6:$BE$37,27,0)-VLOOKUP(B492,#REF!,$Z$2,0),0)</f>
        <v>0</v>
      </c>
      <c r="AA492" s="9">
        <f>IFERROR(VLOOKUP(B492,cubo!$A$6:$BE$37,28,0)-VLOOKUP(B492,#REF!,$AA$2,0),0)</f>
        <v>0</v>
      </c>
      <c r="AB492" s="9">
        <f>IFERROR(VLOOKUP(B492,cubo!$A$6:$BE$37,29,0)-VLOOKUP(B492,#REF!,$AB$2,0),0)</f>
        <v>0</v>
      </c>
      <c r="AC492" s="9">
        <f>IFERROR(VLOOKUP(B492,cubo!$A$6:$BE$37,30,0)-VLOOKUP(B492,#REF!,$AC$2,0),0)</f>
        <v>0</v>
      </c>
      <c r="AD492" s="9">
        <f>IFERROR(VLOOKUP(B492,cubo!$A$6:$BE$37,31,0)-VLOOKUP(B492,#REF!,$AD$2,0),0)</f>
        <v>0</v>
      </c>
      <c r="AE492" s="9">
        <f>IFERROR(VLOOKUP(B492,cubo!$A$6:$BE$37,35,0)-VLOOKUP(B492,#REF!,$AE$2,0),0)</f>
        <v>0</v>
      </c>
      <c r="AF492" s="9" cm="1">
        <f t="array" aca="1" ref="AF492" ca="1">IFERROR(rrPROCV(B492,cubo!$A$6:$BE$37,48,0)-VLOOKUP(B492,#REF!,$AF$2,0),0)</f>
        <v>0</v>
      </c>
      <c r="AG492" s="9">
        <f>IFERROR(VLOOKUP(B492,cubo!$A$6:$BE$37,49,0)-VLOOKUP(B492,#REF!,$AG$2,0),0)</f>
        <v>0</v>
      </c>
      <c r="AH492" s="9">
        <f>IFERROR(VLOOKUP(B492,cubo!$A$6:$BE$37,50,0)-VLOOKUP(B492,#REF!,$AH$2,0),0)</f>
        <v>0</v>
      </c>
      <c r="AI492" s="9">
        <f>IFERROR(VLOOKUP(B492,cubo!$A$6:$BE$37,51,0)-VLOOKUP(B492,#REF!,$AI$2,0),0)</f>
        <v>0</v>
      </c>
      <c r="AJ492" s="9">
        <f>IFERROR(VLOOKUP(B492,cubo!$A$6:$BI$116,62,0)-VLOOKUP(B492,#REF!,$AJ$2,0),0)</f>
        <v>0</v>
      </c>
      <c r="AK492" s="9">
        <f>IFERROR(VLOOKUP(B492,cubo!$A$6:$BJ$37,63,0)-VLOOKUP(B492,#REF!,$AK$2,0),0)</f>
        <v>0</v>
      </c>
      <c r="AL492" s="9">
        <f>IFERROR(VLOOKUP(B492,cubo!$A$6:$BE$37,58,0)-VLOOKUP(B492,#REF!,$AL$2,0),0)</f>
        <v>0</v>
      </c>
      <c r="AM492" s="9">
        <f>IFERROR(VLOOKUP(B492,cubo!$A$6:$BK$37,64,0)-VLOOKUP(B492,#REF!,$AM$2,0),0)</f>
        <v>0</v>
      </c>
      <c r="AN492" s="9">
        <f>IFERROR(VLOOKUP(B492,cubo!$A$6:$AN$37,41,0)-VLOOKUP(B492,#REF!,$AN$2,0),0)</f>
        <v>0</v>
      </c>
    </row>
    <row r="493" spans="2:40" x14ac:dyDescent="0.25">
      <c r="B493" s="7">
        <f>[1]salario!A492</f>
        <v>0</v>
      </c>
      <c r="C493" s="8">
        <f>[1]salario!C492</f>
        <v>0</v>
      </c>
      <c r="D493" s="9">
        <f>IFERROR(VLOOKUP(B493,cubo!$A$6:$BE$37,3,0)-VLOOKUP(B493,#REF!,$D$2,0),0)</f>
        <v>0</v>
      </c>
      <c r="E493" s="10">
        <f>IFERROR(VLOOKUP(B493,cubo!$A$6:$BE$37,5,0)-VLOOKUP(B493,#REF!,$E$2,0),0)</f>
        <v>0</v>
      </c>
      <c r="F493" s="10">
        <f>IFERROR(VLOOKUP(B493,cubo!$A$6:$BE$37,8,0)-VLOOKUP(B493,#REF!,$F$2,0),0)</f>
        <v>0</v>
      </c>
      <c r="G493" s="9">
        <f>IFERROR(VLOOKUP(B493,cubo!$A$6:$BE$37,11,0)-VLOOKUP(B493,#REF!,$G$2,0),0)</f>
        <v>0</v>
      </c>
      <c r="H493" s="9">
        <f>IFERROR(VLOOKUP(B493,cubo!$A$6:$BE$37,53,0)-VLOOKUP(B493,#REF!,$H$2,0),0)</f>
        <v>0</v>
      </c>
      <c r="I493" s="10">
        <f>IFERROR(VLOOKUP(B493,cubo!$A$6:$BE$37,14,0)-VLOOKUP(B493,#REF!,$I$2,0),0)</f>
        <v>0</v>
      </c>
      <c r="J493" s="9">
        <f>IFERROR(VLOOKUP(B493,cubo!$A$6:$BE$37,16,0)-VLOOKUP(B493,#REF!,$J$2,0),0)</f>
        <v>0</v>
      </c>
      <c r="K493" s="9">
        <f>IFERROR(VLOOKUP(B493,cubo!$A$6:$BE$37,17,0)-VLOOKUP(B493,#REF!,$K$2,0),0)</f>
        <v>0</v>
      </c>
      <c r="L493" s="9">
        <f>IFERROR(VLOOKUP(B493,cubo!$A$6:$BE$37,19,0)-VLOOKUP(B493,#REF!,$L$2,0),0)</f>
        <v>0</v>
      </c>
      <c r="M493" s="9">
        <f>IFERROR(VLOOKUP(B493,cubo!$A$6:$BE$37,23,0)-VLOOKUP(B493,#REF!,$M$2,0),0)</f>
        <v>0</v>
      </c>
      <c r="N493" s="9">
        <f>IFERROR(VLOOKUP(B493,cubo!$A$6:$BE$37,25,0)-VLOOKUP(B493,#REF!,$N$2,0),0)</f>
        <v>0</v>
      </c>
      <c r="O493" s="9">
        <f>IFERROR(VLOOKUP(B493,cubo!$A$6:$BE$37,33,0)-VLOOKUP(B493,#REF!,$O$2,0),0)</f>
        <v>0</v>
      </c>
      <c r="P493" s="8">
        <f>IFERROR(VLOOKUP(B493,cubo!$A$6:$BE$37,37,0)-VLOOKUP(B493,#REF!,$P$2,0),0)</f>
        <v>0</v>
      </c>
      <c r="Q493" s="8">
        <f>IFERROR(VLOOKUP(B493,cubo!$A$6:$BE$37,56,0)-VLOOKUP(B493,#REF!,$Q$2,0),0)</f>
        <v>0</v>
      </c>
      <c r="R493" s="9">
        <f>IFERROR(VLOOKUP(B493,cubo!$A$6:$BE$37,40,0)-VLOOKUP(B493,#REF!,$R$2,0),0)</f>
        <v>0</v>
      </c>
      <c r="S493" s="9">
        <f>IFERROR(VLOOKUP(B493,cubo!$A$6:$BE$37,43,0)-VLOOKUP(B493,#REF!,$S$2,0),0)</f>
        <v>0</v>
      </c>
      <c r="T493" s="9">
        <f>IFERROR(VLOOKUP(B493,cubo!$A$6:$BE$37,46,0)-VLOOKUP(B493,#REF!,$T$2,0),0)</f>
        <v>0</v>
      </c>
      <c r="U493" s="9">
        <f>IFERROR(VLOOKUP(B493,cubo!$A$6:$BE$37,51,0)-VLOOKUP(B493,#REF!,$U$2,0),0)</f>
        <v>0</v>
      </c>
      <c r="V493" s="9">
        <f>IFERROR(VLOOKUP(B493,cubo!$A$6:$BJ$37,60,0)-VLOOKUP(B493,#REF!,$V$2,0),0)</f>
        <v>0</v>
      </c>
      <c r="W493" s="9">
        <f>IFERROR(VLOOKUP(B493,cubo!$A$6:$BE$37,26,0)-VLOOKUP(B493,#REF!,$W$2,0),0)</f>
        <v>0</v>
      </c>
      <c r="X493" s="9">
        <f>IFERROR(VLOOKUP(B493,cubo!$A$6:$BE$37,20,0)-VLOOKUP(B493,#REF!,$X$2,0),0)</f>
        <v>0</v>
      </c>
      <c r="Y493" s="9">
        <f>IFERROR(VLOOKUP(B493,cubo!$A$6:$BE$37,21,0)-VLOOKUP(B493,#REF!,$Y$2,0),0)</f>
        <v>0</v>
      </c>
      <c r="Z493" s="9">
        <f>IFERROR(VLOOKUP(B493,cubo!$A$6:$BE$37,27,0)-VLOOKUP(B493,#REF!,$Z$2,0),0)</f>
        <v>0</v>
      </c>
      <c r="AA493" s="9">
        <f>IFERROR(VLOOKUP(B493,cubo!$A$6:$BE$37,28,0)-VLOOKUP(B493,#REF!,$AA$2,0),0)</f>
        <v>0</v>
      </c>
      <c r="AB493" s="9">
        <f>IFERROR(VLOOKUP(B493,cubo!$A$6:$BE$37,29,0)-VLOOKUP(B493,#REF!,$AB$2,0),0)</f>
        <v>0</v>
      </c>
      <c r="AC493" s="9">
        <f>IFERROR(VLOOKUP(B493,cubo!$A$6:$BE$37,30,0)-VLOOKUP(B493,#REF!,$AC$2,0),0)</f>
        <v>0</v>
      </c>
      <c r="AD493" s="9">
        <f>IFERROR(VLOOKUP(B493,cubo!$A$6:$BE$37,31,0)-VLOOKUP(B493,#REF!,$AD$2,0),0)</f>
        <v>0</v>
      </c>
      <c r="AE493" s="9">
        <f>IFERROR(VLOOKUP(B493,cubo!$A$6:$BE$37,35,0)-VLOOKUP(B493,#REF!,$AE$2,0),0)</f>
        <v>0</v>
      </c>
      <c r="AF493" s="9" cm="1">
        <f t="array" aca="1" ref="AF493" ca="1">IFERROR(rrPROCV(B493,cubo!$A$6:$BE$37,48,0)-VLOOKUP(B493,#REF!,$AF$2,0),0)</f>
        <v>0</v>
      </c>
      <c r="AG493" s="9">
        <f>IFERROR(VLOOKUP(B493,cubo!$A$6:$BE$37,49,0)-VLOOKUP(B493,#REF!,$AG$2,0),0)</f>
        <v>0</v>
      </c>
      <c r="AH493" s="9">
        <f>IFERROR(VLOOKUP(B493,cubo!$A$6:$BE$37,50,0)-VLOOKUP(B493,#REF!,$AH$2,0),0)</f>
        <v>0</v>
      </c>
      <c r="AI493" s="9">
        <f>IFERROR(VLOOKUP(B493,cubo!$A$6:$BE$37,51,0)-VLOOKUP(B493,#REF!,$AI$2,0),0)</f>
        <v>0</v>
      </c>
      <c r="AJ493" s="9">
        <f>IFERROR(VLOOKUP(B493,cubo!$A$6:$BI$116,62,0)-VLOOKUP(B493,#REF!,$AJ$2,0),0)</f>
        <v>0</v>
      </c>
      <c r="AK493" s="9">
        <f>IFERROR(VLOOKUP(B493,cubo!$A$6:$BJ$37,63,0)-VLOOKUP(B493,#REF!,$AK$2,0),0)</f>
        <v>0</v>
      </c>
      <c r="AL493" s="9">
        <f>IFERROR(VLOOKUP(B493,cubo!$A$6:$BE$37,58,0)-VLOOKUP(B493,#REF!,$AL$2,0),0)</f>
        <v>0</v>
      </c>
      <c r="AM493" s="9">
        <f>IFERROR(VLOOKUP(B493,cubo!$A$6:$BK$37,64,0)-VLOOKUP(B493,#REF!,$AM$2,0),0)</f>
        <v>0</v>
      </c>
      <c r="AN493" s="9">
        <f>IFERROR(VLOOKUP(B493,cubo!$A$6:$AN$37,41,0)-VLOOKUP(B493,#REF!,$AN$2,0),0)</f>
        <v>0</v>
      </c>
    </row>
    <row r="494" spans="2:40" x14ac:dyDescent="0.25">
      <c r="B494" s="7">
        <f>[1]salario!A493</f>
        <v>0</v>
      </c>
      <c r="C494" s="8">
        <f>[1]salario!C493</f>
        <v>0</v>
      </c>
      <c r="D494" s="9">
        <f>IFERROR(VLOOKUP(B494,cubo!$A$6:$BE$37,3,0)-VLOOKUP(B494,#REF!,$D$2,0),0)</f>
        <v>0</v>
      </c>
      <c r="E494" s="10">
        <f>IFERROR(VLOOKUP(B494,cubo!$A$6:$BE$37,5,0)-VLOOKUP(B494,#REF!,$E$2,0),0)</f>
        <v>0</v>
      </c>
      <c r="F494" s="10">
        <f>IFERROR(VLOOKUP(B494,cubo!$A$6:$BE$37,8,0)-VLOOKUP(B494,#REF!,$F$2,0),0)</f>
        <v>0</v>
      </c>
      <c r="G494" s="9">
        <f>IFERROR(VLOOKUP(B494,cubo!$A$6:$BE$37,11,0)-VLOOKUP(B494,#REF!,$G$2,0),0)</f>
        <v>0</v>
      </c>
      <c r="H494" s="9">
        <f>IFERROR(VLOOKUP(B494,cubo!$A$6:$BE$37,53,0)-VLOOKUP(B494,#REF!,$H$2,0),0)</f>
        <v>0</v>
      </c>
      <c r="I494" s="10">
        <f>IFERROR(VLOOKUP(B494,cubo!$A$6:$BE$37,14,0)-VLOOKUP(B494,#REF!,$I$2,0),0)</f>
        <v>0</v>
      </c>
      <c r="J494" s="9">
        <f>IFERROR(VLOOKUP(B494,cubo!$A$6:$BE$37,16,0)-VLOOKUP(B494,#REF!,$J$2,0),0)</f>
        <v>0</v>
      </c>
      <c r="K494" s="9">
        <f>IFERROR(VLOOKUP(B494,cubo!$A$6:$BE$37,17,0)-VLOOKUP(B494,#REF!,$K$2,0),0)</f>
        <v>0</v>
      </c>
      <c r="L494" s="9">
        <f>IFERROR(VLOOKUP(B494,cubo!$A$6:$BE$37,19,0)-VLOOKUP(B494,#REF!,$L$2,0),0)</f>
        <v>0</v>
      </c>
      <c r="M494" s="9">
        <f>IFERROR(VLOOKUP(B494,cubo!$A$6:$BE$37,23,0)-VLOOKUP(B494,#REF!,$M$2,0),0)</f>
        <v>0</v>
      </c>
      <c r="N494" s="9">
        <f>IFERROR(VLOOKUP(B494,cubo!$A$6:$BE$37,25,0)-VLOOKUP(B494,#REF!,$N$2,0),0)</f>
        <v>0</v>
      </c>
      <c r="O494" s="9">
        <f>IFERROR(VLOOKUP(B494,cubo!$A$6:$BE$37,33,0)-VLOOKUP(B494,#REF!,$O$2,0),0)</f>
        <v>0</v>
      </c>
      <c r="P494" s="8">
        <f>IFERROR(VLOOKUP(B494,cubo!$A$6:$BE$37,37,0)-VLOOKUP(B494,#REF!,$P$2,0),0)</f>
        <v>0</v>
      </c>
      <c r="Q494" s="8">
        <f>IFERROR(VLOOKUP(B494,cubo!$A$6:$BE$37,56,0)-VLOOKUP(B494,#REF!,$Q$2,0),0)</f>
        <v>0</v>
      </c>
      <c r="R494" s="9">
        <f>IFERROR(VLOOKUP(B494,cubo!$A$6:$BE$37,40,0)-VLOOKUP(B494,#REF!,$R$2,0),0)</f>
        <v>0</v>
      </c>
      <c r="S494" s="9">
        <f>IFERROR(VLOOKUP(B494,cubo!$A$6:$BE$37,43,0)-VLOOKUP(B494,#REF!,$S$2,0),0)</f>
        <v>0</v>
      </c>
      <c r="T494" s="9">
        <f>IFERROR(VLOOKUP(B494,cubo!$A$6:$BE$37,46,0)-VLOOKUP(B494,#REF!,$T$2,0),0)</f>
        <v>0</v>
      </c>
      <c r="U494" s="9">
        <f>IFERROR(VLOOKUP(B494,cubo!$A$6:$BE$37,51,0)-VLOOKUP(B494,#REF!,$U$2,0),0)</f>
        <v>0</v>
      </c>
      <c r="V494" s="9">
        <f>IFERROR(VLOOKUP(B494,cubo!$A$6:$BJ$37,60,0)-VLOOKUP(B494,#REF!,$V$2,0),0)</f>
        <v>0</v>
      </c>
      <c r="W494" s="9">
        <f>IFERROR(VLOOKUP(B494,cubo!$A$6:$BE$37,26,0)-VLOOKUP(B494,#REF!,$W$2,0),0)</f>
        <v>0</v>
      </c>
      <c r="X494" s="9">
        <f>IFERROR(VLOOKUP(B494,cubo!$A$6:$BE$37,20,0)-VLOOKUP(B494,#REF!,$X$2,0),0)</f>
        <v>0</v>
      </c>
      <c r="Y494" s="9">
        <f>IFERROR(VLOOKUP(B494,cubo!$A$6:$BE$37,21,0)-VLOOKUP(B494,#REF!,$Y$2,0),0)</f>
        <v>0</v>
      </c>
      <c r="Z494" s="9">
        <f>IFERROR(VLOOKUP(B494,cubo!$A$6:$BE$37,27,0)-VLOOKUP(B494,#REF!,$Z$2,0),0)</f>
        <v>0</v>
      </c>
      <c r="AA494" s="9">
        <f>IFERROR(VLOOKUP(B494,cubo!$A$6:$BE$37,28,0)-VLOOKUP(B494,#REF!,$AA$2,0),0)</f>
        <v>0</v>
      </c>
      <c r="AB494" s="9">
        <f>IFERROR(VLOOKUP(B494,cubo!$A$6:$BE$37,29,0)-VLOOKUP(B494,#REF!,$AB$2,0),0)</f>
        <v>0</v>
      </c>
      <c r="AC494" s="9">
        <f>IFERROR(VLOOKUP(B494,cubo!$A$6:$BE$37,30,0)-VLOOKUP(B494,#REF!,$AC$2,0),0)</f>
        <v>0</v>
      </c>
      <c r="AD494" s="9">
        <f>IFERROR(VLOOKUP(B494,cubo!$A$6:$BE$37,31,0)-VLOOKUP(B494,#REF!,$AD$2,0),0)</f>
        <v>0</v>
      </c>
      <c r="AE494" s="9">
        <f>IFERROR(VLOOKUP(B494,cubo!$A$6:$BE$37,35,0)-VLOOKUP(B494,#REF!,$AE$2,0),0)</f>
        <v>0</v>
      </c>
      <c r="AF494" s="9" cm="1">
        <f t="array" aca="1" ref="AF494" ca="1">IFERROR(rrPROCV(B494,cubo!$A$6:$BE$37,48,0)-VLOOKUP(B494,#REF!,$AF$2,0),0)</f>
        <v>0</v>
      </c>
      <c r="AG494" s="9">
        <f>IFERROR(VLOOKUP(B494,cubo!$A$6:$BE$37,49,0)-VLOOKUP(B494,#REF!,$AG$2,0),0)</f>
        <v>0</v>
      </c>
      <c r="AH494" s="9">
        <f>IFERROR(VLOOKUP(B494,cubo!$A$6:$BE$37,50,0)-VLOOKUP(B494,#REF!,$AH$2,0),0)</f>
        <v>0</v>
      </c>
      <c r="AI494" s="9">
        <f>IFERROR(VLOOKUP(B494,cubo!$A$6:$BE$37,51,0)-VLOOKUP(B494,#REF!,$AI$2,0),0)</f>
        <v>0</v>
      </c>
      <c r="AJ494" s="9">
        <f>IFERROR(VLOOKUP(B494,cubo!$A$6:$BI$116,62,0)-VLOOKUP(B494,#REF!,$AJ$2,0),0)</f>
        <v>0</v>
      </c>
      <c r="AK494" s="9">
        <f>IFERROR(VLOOKUP(B494,cubo!$A$6:$BJ$37,63,0)-VLOOKUP(B494,#REF!,$AK$2,0),0)</f>
        <v>0</v>
      </c>
      <c r="AL494" s="9">
        <f>IFERROR(VLOOKUP(B494,cubo!$A$6:$BE$37,58,0)-VLOOKUP(B494,#REF!,$AL$2,0),0)</f>
        <v>0</v>
      </c>
      <c r="AM494" s="9">
        <f>IFERROR(VLOOKUP(B494,cubo!$A$6:$BK$37,64,0)-VLOOKUP(B494,#REF!,$AM$2,0),0)</f>
        <v>0</v>
      </c>
      <c r="AN494" s="9">
        <f>IFERROR(VLOOKUP(B494,cubo!$A$6:$AN$37,41,0)-VLOOKUP(B494,#REF!,$AN$2,0),0)</f>
        <v>0</v>
      </c>
    </row>
    <row r="495" spans="2:40" x14ac:dyDescent="0.25">
      <c r="B495" s="7">
        <f>[1]salario!A494</f>
        <v>0</v>
      </c>
      <c r="C495" s="8">
        <f>[1]salario!C494</f>
        <v>0</v>
      </c>
      <c r="D495" s="9">
        <f>IFERROR(VLOOKUP(B495,cubo!$A$6:$BE$37,3,0)-VLOOKUP(B495,#REF!,$D$2,0),0)</f>
        <v>0</v>
      </c>
      <c r="E495" s="10">
        <f>IFERROR(VLOOKUP(B495,cubo!$A$6:$BE$37,5,0)-VLOOKUP(B495,#REF!,$E$2,0),0)</f>
        <v>0</v>
      </c>
      <c r="F495" s="10">
        <f>IFERROR(VLOOKUP(B495,cubo!$A$6:$BE$37,8,0)-VLOOKUP(B495,#REF!,$F$2,0),0)</f>
        <v>0</v>
      </c>
      <c r="G495" s="9">
        <f>IFERROR(VLOOKUP(B495,cubo!$A$6:$BE$37,11,0)-VLOOKUP(B495,#REF!,$G$2,0),0)</f>
        <v>0</v>
      </c>
      <c r="H495" s="9">
        <f>IFERROR(VLOOKUP(B495,cubo!$A$6:$BE$37,53,0)-VLOOKUP(B495,#REF!,$H$2,0),0)</f>
        <v>0</v>
      </c>
      <c r="I495" s="10">
        <f>IFERROR(VLOOKUP(B495,cubo!$A$6:$BE$37,14,0)-VLOOKUP(B495,#REF!,$I$2,0),0)</f>
        <v>0</v>
      </c>
      <c r="J495" s="9">
        <f>IFERROR(VLOOKUP(B495,cubo!$A$6:$BE$37,16,0)-VLOOKUP(B495,#REF!,$J$2,0),0)</f>
        <v>0</v>
      </c>
      <c r="K495" s="9">
        <f>IFERROR(VLOOKUP(B495,cubo!$A$6:$BE$37,17,0)-VLOOKUP(B495,#REF!,$K$2,0),0)</f>
        <v>0</v>
      </c>
      <c r="L495" s="9">
        <f>IFERROR(VLOOKUP(B495,cubo!$A$6:$BE$37,19,0)-VLOOKUP(B495,#REF!,$L$2,0),0)</f>
        <v>0</v>
      </c>
      <c r="M495" s="9">
        <f>IFERROR(VLOOKUP(B495,cubo!$A$6:$BE$37,23,0)-VLOOKUP(B495,#REF!,$M$2,0),0)</f>
        <v>0</v>
      </c>
      <c r="N495" s="9">
        <f>IFERROR(VLOOKUP(B495,cubo!$A$6:$BE$37,25,0)-VLOOKUP(B495,#REF!,$N$2,0),0)</f>
        <v>0</v>
      </c>
      <c r="O495" s="9">
        <f>IFERROR(VLOOKUP(B495,cubo!$A$6:$BE$37,33,0)-VLOOKUP(B495,#REF!,$O$2,0),0)</f>
        <v>0</v>
      </c>
      <c r="P495" s="8">
        <f>IFERROR(VLOOKUP(B495,cubo!$A$6:$BE$37,37,0)-VLOOKUP(B495,#REF!,$P$2,0),0)</f>
        <v>0</v>
      </c>
      <c r="Q495" s="8">
        <f>IFERROR(VLOOKUP(B495,cubo!$A$6:$BE$37,56,0)-VLOOKUP(B495,#REF!,$Q$2,0),0)</f>
        <v>0</v>
      </c>
      <c r="R495" s="9">
        <f>IFERROR(VLOOKUP(B495,cubo!$A$6:$BE$37,40,0)-VLOOKUP(B495,#REF!,$R$2,0),0)</f>
        <v>0</v>
      </c>
      <c r="S495" s="9">
        <f>IFERROR(VLOOKUP(B495,cubo!$A$6:$BE$37,43,0)-VLOOKUP(B495,#REF!,$S$2,0),0)</f>
        <v>0</v>
      </c>
      <c r="T495" s="9">
        <f>IFERROR(VLOOKUP(B495,cubo!$A$6:$BE$37,46,0)-VLOOKUP(B495,#REF!,$T$2,0),0)</f>
        <v>0</v>
      </c>
      <c r="U495" s="9">
        <f>IFERROR(VLOOKUP(B495,cubo!$A$6:$BE$37,51,0)-VLOOKUP(B495,#REF!,$U$2,0),0)</f>
        <v>0</v>
      </c>
      <c r="V495" s="9">
        <f>IFERROR(VLOOKUP(B495,cubo!$A$6:$BJ$37,60,0)-VLOOKUP(B495,#REF!,$V$2,0),0)</f>
        <v>0</v>
      </c>
      <c r="W495" s="9">
        <f>IFERROR(VLOOKUP(B495,cubo!$A$6:$BE$37,26,0)-VLOOKUP(B495,#REF!,$W$2,0),0)</f>
        <v>0</v>
      </c>
      <c r="X495" s="9">
        <f>IFERROR(VLOOKUP(B495,cubo!$A$6:$BE$37,20,0)-VLOOKUP(B495,#REF!,$X$2,0),0)</f>
        <v>0</v>
      </c>
      <c r="Y495" s="9">
        <f>IFERROR(VLOOKUP(B495,cubo!$A$6:$BE$37,21,0)-VLOOKUP(B495,#REF!,$Y$2,0),0)</f>
        <v>0</v>
      </c>
      <c r="Z495" s="9">
        <f>IFERROR(VLOOKUP(B495,cubo!$A$6:$BE$37,27,0)-VLOOKUP(B495,#REF!,$Z$2,0),0)</f>
        <v>0</v>
      </c>
      <c r="AA495" s="9">
        <f>IFERROR(VLOOKUP(B495,cubo!$A$6:$BE$37,28,0)-VLOOKUP(B495,#REF!,$AA$2,0),0)</f>
        <v>0</v>
      </c>
      <c r="AB495" s="9">
        <f>IFERROR(VLOOKUP(B495,cubo!$A$6:$BE$37,29,0)-VLOOKUP(B495,#REF!,$AB$2,0),0)</f>
        <v>0</v>
      </c>
      <c r="AC495" s="9">
        <f>IFERROR(VLOOKUP(B495,cubo!$A$6:$BE$37,30,0)-VLOOKUP(B495,#REF!,$AC$2,0),0)</f>
        <v>0</v>
      </c>
      <c r="AD495" s="9">
        <f>IFERROR(VLOOKUP(B495,cubo!$A$6:$BE$37,31,0)-VLOOKUP(B495,#REF!,$AD$2,0),0)</f>
        <v>0</v>
      </c>
      <c r="AE495" s="9">
        <f>IFERROR(VLOOKUP(B495,cubo!$A$6:$BE$37,35,0)-VLOOKUP(B495,#REF!,$AE$2,0),0)</f>
        <v>0</v>
      </c>
      <c r="AF495" s="9" cm="1">
        <f t="array" aca="1" ref="AF495" ca="1">IFERROR(rrPROCV(B495,cubo!$A$6:$BE$37,48,0)-VLOOKUP(B495,#REF!,$AF$2,0),0)</f>
        <v>0</v>
      </c>
      <c r="AG495" s="9">
        <f>IFERROR(VLOOKUP(B495,cubo!$A$6:$BE$37,49,0)-VLOOKUP(B495,#REF!,$AG$2,0),0)</f>
        <v>0</v>
      </c>
      <c r="AH495" s="9">
        <f>IFERROR(VLOOKUP(B495,cubo!$A$6:$BE$37,50,0)-VLOOKUP(B495,#REF!,$AH$2,0),0)</f>
        <v>0</v>
      </c>
      <c r="AI495" s="9">
        <f>IFERROR(VLOOKUP(B495,cubo!$A$6:$BE$37,51,0)-VLOOKUP(B495,#REF!,$AI$2,0),0)</f>
        <v>0</v>
      </c>
      <c r="AJ495" s="9">
        <f>IFERROR(VLOOKUP(B495,cubo!$A$6:$BI$116,62,0)-VLOOKUP(B495,#REF!,$AJ$2,0),0)</f>
        <v>0</v>
      </c>
      <c r="AK495" s="9">
        <f>IFERROR(VLOOKUP(B495,cubo!$A$6:$BJ$37,63,0)-VLOOKUP(B495,#REF!,$AK$2,0),0)</f>
        <v>0</v>
      </c>
      <c r="AL495" s="9">
        <f>IFERROR(VLOOKUP(B495,cubo!$A$6:$BE$37,58,0)-VLOOKUP(B495,#REF!,$AL$2,0),0)</f>
        <v>0</v>
      </c>
      <c r="AM495" s="9">
        <f>IFERROR(VLOOKUP(B495,cubo!$A$6:$BK$37,64,0)-VLOOKUP(B495,#REF!,$AM$2,0),0)</f>
        <v>0</v>
      </c>
      <c r="AN495" s="9">
        <f>IFERROR(VLOOKUP(B495,cubo!$A$6:$AN$37,41,0)-VLOOKUP(B495,#REF!,$AN$2,0),0)</f>
        <v>0</v>
      </c>
    </row>
    <row r="496" spans="2:40" x14ac:dyDescent="0.25">
      <c r="B496" s="7">
        <f>[1]salario!A495</f>
        <v>0</v>
      </c>
      <c r="C496" s="8">
        <f>[1]salario!C495</f>
        <v>0</v>
      </c>
      <c r="D496" s="9">
        <f>IFERROR(VLOOKUP(B496,cubo!$A$6:$BE$37,3,0)-VLOOKUP(B496,#REF!,$D$2,0),0)</f>
        <v>0</v>
      </c>
      <c r="E496" s="10">
        <f>IFERROR(VLOOKUP(B496,cubo!$A$6:$BE$37,5,0)-VLOOKUP(B496,#REF!,$E$2,0),0)</f>
        <v>0</v>
      </c>
      <c r="F496" s="10">
        <f>IFERROR(VLOOKUP(B496,cubo!$A$6:$BE$37,8,0)-VLOOKUP(B496,#REF!,$F$2,0),0)</f>
        <v>0</v>
      </c>
      <c r="G496" s="9">
        <f>IFERROR(VLOOKUP(B496,cubo!$A$6:$BE$37,11,0)-VLOOKUP(B496,#REF!,$G$2,0),0)</f>
        <v>0</v>
      </c>
      <c r="H496" s="9">
        <f>IFERROR(VLOOKUP(B496,cubo!$A$6:$BE$37,53,0)-VLOOKUP(B496,#REF!,$H$2,0),0)</f>
        <v>0</v>
      </c>
      <c r="I496" s="10">
        <f>IFERROR(VLOOKUP(B496,cubo!$A$6:$BE$37,14,0)-VLOOKUP(B496,#REF!,$I$2,0),0)</f>
        <v>0</v>
      </c>
      <c r="J496" s="9">
        <f>IFERROR(VLOOKUP(B496,cubo!$A$6:$BE$37,16,0)-VLOOKUP(B496,#REF!,$J$2,0),0)</f>
        <v>0</v>
      </c>
      <c r="K496" s="9">
        <f>IFERROR(VLOOKUP(B496,cubo!$A$6:$BE$37,17,0)-VLOOKUP(B496,#REF!,$K$2,0),0)</f>
        <v>0</v>
      </c>
      <c r="L496" s="9">
        <f>IFERROR(VLOOKUP(B496,cubo!$A$6:$BE$37,19,0)-VLOOKUP(B496,#REF!,$L$2,0),0)</f>
        <v>0</v>
      </c>
      <c r="M496" s="9">
        <f>IFERROR(VLOOKUP(B496,cubo!$A$6:$BE$37,23,0)-VLOOKUP(B496,#REF!,$M$2,0),0)</f>
        <v>0</v>
      </c>
      <c r="N496" s="9">
        <f>IFERROR(VLOOKUP(B496,cubo!$A$6:$BE$37,25,0)-VLOOKUP(B496,#REF!,$N$2,0),0)</f>
        <v>0</v>
      </c>
      <c r="O496" s="9">
        <f>IFERROR(VLOOKUP(B496,cubo!$A$6:$BE$37,33,0)-VLOOKUP(B496,#REF!,$O$2,0),0)</f>
        <v>0</v>
      </c>
      <c r="P496" s="8">
        <f>IFERROR(VLOOKUP(B496,cubo!$A$6:$BE$37,37,0)-VLOOKUP(B496,#REF!,$P$2,0),0)</f>
        <v>0</v>
      </c>
      <c r="Q496" s="8">
        <f>IFERROR(VLOOKUP(B496,cubo!$A$6:$BE$37,56,0)-VLOOKUP(B496,#REF!,$Q$2,0),0)</f>
        <v>0</v>
      </c>
      <c r="R496" s="9">
        <f>IFERROR(VLOOKUP(B496,cubo!$A$6:$BE$37,40,0)-VLOOKUP(B496,#REF!,$R$2,0),0)</f>
        <v>0</v>
      </c>
      <c r="S496" s="9">
        <f>IFERROR(VLOOKUP(B496,cubo!$A$6:$BE$37,43,0)-VLOOKUP(B496,#REF!,$S$2,0),0)</f>
        <v>0</v>
      </c>
      <c r="T496" s="9">
        <f>IFERROR(VLOOKUP(B496,cubo!$A$6:$BE$37,46,0)-VLOOKUP(B496,#REF!,$T$2,0),0)</f>
        <v>0</v>
      </c>
      <c r="U496" s="9">
        <f>IFERROR(VLOOKUP(B496,cubo!$A$6:$BE$37,51,0)-VLOOKUP(B496,#REF!,$U$2,0),0)</f>
        <v>0</v>
      </c>
      <c r="V496" s="9">
        <f>IFERROR(VLOOKUP(B496,cubo!$A$6:$BJ$37,60,0)-VLOOKUP(B496,#REF!,$V$2,0),0)</f>
        <v>0</v>
      </c>
      <c r="W496" s="9">
        <f>IFERROR(VLOOKUP(B496,cubo!$A$6:$BE$37,26,0)-VLOOKUP(B496,#REF!,$W$2,0),0)</f>
        <v>0</v>
      </c>
      <c r="X496" s="9">
        <f>IFERROR(VLOOKUP(B496,cubo!$A$6:$BE$37,20,0)-VLOOKUP(B496,#REF!,$X$2,0),0)</f>
        <v>0</v>
      </c>
      <c r="Y496" s="9">
        <f>IFERROR(VLOOKUP(B496,cubo!$A$6:$BE$37,21,0)-VLOOKUP(B496,#REF!,$Y$2,0),0)</f>
        <v>0</v>
      </c>
      <c r="Z496" s="9">
        <f>IFERROR(VLOOKUP(B496,cubo!$A$6:$BE$37,27,0)-VLOOKUP(B496,#REF!,$Z$2,0),0)</f>
        <v>0</v>
      </c>
      <c r="AA496" s="9">
        <f>IFERROR(VLOOKUP(B496,cubo!$A$6:$BE$37,28,0)-VLOOKUP(B496,#REF!,$AA$2,0),0)</f>
        <v>0</v>
      </c>
      <c r="AB496" s="9">
        <f>IFERROR(VLOOKUP(B496,cubo!$A$6:$BE$37,29,0)-VLOOKUP(B496,#REF!,$AB$2,0),0)</f>
        <v>0</v>
      </c>
      <c r="AC496" s="9">
        <f>IFERROR(VLOOKUP(B496,cubo!$A$6:$BE$37,30,0)-VLOOKUP(B496,#REF!,$AC$2,0),0)</f>
        <v>0</v>
      </c>
      <c r="AD496" s="9">
        <f>IFERROR(VLOOKUP(B496,cubo!$A$6:$BE$37,31,0)-VLOOKUP(B496,#REF!,$AD$2,0),0)</f>
        <v>0</v>
      </c>
      <c r="AE496" s="9">
        <f>IFERROR(VLOOKUP(B496,cubo!$A$6:$BE$37,35,0)-VLOOKUP(B496,#REF!,$AE$2,0),0)</f>
        <v>0</v>
      </c>
      <c r="AF496" s="9" cm="1">
        <f t="array" aca="1" ref="AF496" ca="1">IFERROR(rrPROCV(B496,cubo!$A$6:$BE$37,48,0)-VLOOKUP(B496,#REF!,$AF$2,0),0)</f>
        <v>0</v>
      </c>
      <c r="AG496" s="9">
        <f>IFERROR(VLOOKUP(B496,cubo!$A$6:$BE$37,49,0)-VLOOKUP(B496,#REF!,$AG$2,0),0)</f>
        <v>0</v>
      </c>
      <c r="AH496" s="9">
        <f>IFERROR(VLOOKUP(B496,cubo!$A$6:$BE$37,50,0)-VLOOKUP(B496,#REF!,$AH$2,0),0)</f>
        <v>0</v>
      </c>
      <c r="AI496" s="9">
        <f>IFERROR(VLOOKUP(B496,cubo!$A$6:$BE$37,51,0)-VLOOKUP(B496,#REF!,$AI$2,0),0)</f>
        <v>0</v>
      </c>
      <c r="AJ496" s="9">
        <f>IFERROR(VLOOKUP(B496,cubo!$A$6:$BI$116,62,0)-VLOOKUP(B496,#REF!,$AJ$2,0),0)</f>
        <v>0</v>
      </c>
      <c r="AK496" s="9">
        <f>IFERROR(VLOOKUP(B496,cubo!$A$6:$BJ$37,63,0)-VLOOKUP(B496,#REF!,$AK$2,0),0)</f>
        <v>0</v>
      </c>
      <c r="AL496" s="9">
        <f>IFERROR(VLOOKUP(B496,cubo!$A$6:$BE$37,58,0)-VLOOKUP(B496,#REF!,$AL$2,0),0)</f>
        <v>0</v>
      </c>
      <c r="AM496" s="9">
        <f>IFERROR(VLOOKUP(B496,cubo!$A$6:$BK$37,64,0)-VLOOKUP(B496,#REF!,$AM$2,0),0)</f>
        <v>0</v>
      </c>
      <c r="AN496" s="9">
        <f>IFERROR(VLOOKUP(B496,cubo!$A$6:$AN$37,41,0)-VLOOKUP(B496,#REF!,$AN$2,0),0)</f>
        <v>0</v>
      </c>
    </row>
    <row r="497" spans="2:40" x14ac:dyDescent="0.25">
      <c r="B497" s="7">
        <f>[1]salario!A496</f>
        <v>0</v>
      </c>
      <c r="C497" s="8">
        <f>[1]salario!C496</f>
        <v>0</v>
      </c>
      <c r="D497" s="9">
        <f>IFERROR(VLOOKUP(B497,cubo!$A$6:$BE$37,3,0)-VLOOKUP(B497,#REF!,$D$2,0),0)</f>
        <v>0</v>
      </c>
      <c r="E497" s="10">
        <f>IFERROR(VLOOKUP(B497,cubo!$A$6:$BE$37,5,0)-VLOOKUP(B497,#REF!,$E$2,0),0)</f>
        <v>0</v>
      </c>
      <c r="F497" s="10">
        <f>IFERROR(VLOOKUP(B497,cubo!$A$6:$BE$37,8,0)-VLOOKUP(B497,#REF!,$F$2,0),0)</f>
        <v>0</v>
      </c>
      <c r="G497" s="9">
        <f>IFERROR(VLOOKUP(B497,cubo!$A$6:$BE$37,11,0)-VLOOKUP(B497,#REF!,$G$2,0),0)</f>
        <v>0</v>
      </c>
      <c r="H497" s="9">
        <f>IFERROR(VLOOKUP(B497,cubo!$A$6:$BE$37,53,0)-VLOOKUP(B497,#REF!,$H$2,0),0)</f>
        <v>0</v>
      </c>
      <c r="I497" s="10">
        <f>IFERROR(VLOOKUP(B497,cubo!$A$6:$BE$37,14,0)-VLOOKUP(B497,#REF!,$I$2,0),0)</f>
        <v>0</v>
      </c>
      <c r="J497" s="9">
        <f>IFERROR(VLOOKUP(B497,cubo!$A$6:$BE$37,16,0)-VLOOKUP(B497,#REF!,$J$2,0),0)</f>
        <v>0</v>
      </c>
      <c r="K497" s="9">
        <f>IFERROR(VLOOKUP(B497,cubo!$A$6:$BE$37,17,0)-VLOOKUP(B497,#REF!,$K$2,0),0)</f>
        <v>0</v>
      </c>
      <c r="L497" s="9">
        <f>IFERROR(VLOOKUP(B497,cubo!$A$6:$BE$37,19,0)-VLOOKUP(B497,#REF!,$L$2,0),0)</f>
        <v>0</v>
      </c>
      <c r="M497" s="9">
        <f>IFERROR(VLOOKUP(B497,cubo!$A$6:$BE$37,23,0)-VLOOKUP(B497,#REF!,$M$2,0),0)</f>
        <v>0</v>
      </c>
      <c r="N497" s="9">
        <f>IFERROR(VLOOKUP(B497,cubo!$A$6:$BE$37,25,0)-VLOOKUP(B497,#REF!,$N$2,0),0)</f>
        <v>0</v>
      </c>
      <c r="O497" s="9">
        <f>IFERROR(VLOOKUP(B497,cubo!$A$6:$BE$37,33,0)-VLOOKUP(B497,#REF!,$O$2,0),0)</f>
        <v>0</v>
      </c>
      <c r="P497" s="8">
        <f>IFERROR(VLOOKUP(B497,cubo!$A$6:$BE$37,37,0)-VLOOKUP(B497,#REF!,$P$2,0),0)</f>
        <v>0</v>
      </c>
      <c r="Q497" s="8">
        <f>IFERROR(VLOOKUP(B497,cubo!$A$6:$BE$37,56,0)-VLOOKUP(B497,#REF!,$Q$2,0),0)</f>
        <v>0</v>
      </c>
      <c r="R497" s="9">
        <f>IFERROR(VLOOKUP(B497,cubo!$A$6:$BE$37,40,0)-VLOOKUP(B497,#REF!,$R$2,0),0)</f>
        <v>0</v>
      </c>
      <c r="S497" s="9">
        <f>IFERROR(VLOOKUP(B497,cubo!$A$6:$BE$37,43,0)-VLOOKUP(B497,#REF!,$S$2,0),0)</f>
        <v>0</v>
      </c>
      <c r="T497" s="9">
        <f>IFERROR(VLOOKUP(B497,cubo!$A$6:$BE$37,46,0)-VLOOKUP(B497,#REF!,$T$2,0),0)</f>
        <v>0</v>
      </c>
      <c r="U497" s="9">
        <f>IFERROR(VLOOKUP(B497,cubo!$A$6:$BE$37,51,0)-VLOOKUP(B497,#REF!,$U$2,0),0)</f>
        <v>0</v>
      </c>
      <c r="V497" s="9">
        <f>IFERROR(VLOOKUP(B497,cubo!$A$6:$BJ$37,60,0)-VLOOKUP(B497,#REF!,$V$2,0),0)</f>
        <v>0</v>
      </c>
      <c r="W497" s="9">
        <f>IFERROR(VLOOKUP(B497,cubo!$A$6:$BE$37,26,0)-VLOOKUP(B497,#REF!,$W$2,0),0)</f>
        <v>0</v>
      </c>
      <c r="X497" s="9">
        <f>IFERROR(VLOOKUP(B497,cubo!$A$6:$BE$37,20,0)-VLOOKUP(B497,#REF!,$X$2,0),0)</f>
        <v>0</v>
      </c>
      <c r="Y497" s="9">
        <f>IFERROR(VLOOKUP(B497,cubo!$A$6:$BE$37,21,0)-VLOOKUP(B497,#REF!,$Y$2,0),0)</f>
        <v>0</v>
      </c>
      <c r="Z497" s="9">
        <f>IFERROR(VLOOKUP(B497,cubo!$A$6:$BE$37,27,0)-VLOOKUP(B497,#REF!,$Z$2,0),0)</f>
        <v>0</v>
      </c>
      <c r="AA497" s="9">
        <f>IFERROR(VLOOKUP(B497,cubo!$A$6:$BE$37,28,0)-VLOOKUP(B497,#REF!,$AA$2,0),0)</f>
        <v>0</v>
      </c>
      <c r="AB497" s="9">
        <f>IFERROR(VLOOKUP(B497,cubo!$A$6:$BE$37,29,0)-VLOOKUP(B497,#REF!,$AB$2,0),0)</f>
        <v>0</v>
      </c>
      <c r="AC497" s="9">
        <f>IFERROR(VLOOKUP(B497,cubo!$A$6:$BE$37,30,0)-VLOOKUP(B497,#REF!,$AC$2,0),0)</f>
        <v>0</v>
      </c>
      <c r="AD497" s="9">
        <f>IFERROR(VLOOKUP(B497,cubo!$A$6:$BE$37,31,0)-VLOOKUP(B497,#REF!,$AD$2,0),0)</f>
        <v>0</v>
      </c>
      <c r="AE497" s="9">
        <f>IFERROR(VLOOKUP(B497,cubo!$A$6:$BE$37,35,0)-VLOOKUP(B497,#REF!,$AE$2,0),0)</f>
        <v>0</v>
      </c>
      <c r="AF497" s="9" cm="1">
        <f t="array" aca="1" ref="AF497" ca="1">IFERROR(rrPROCV(B497,cubo!$A$6:$BE$37,48,0)-VLOOKUP(B497,#REF!,$AF$2,0),0)</f>
        <v>0</v>
      </c>
      <c r="AG497" s="9">
        <f>IFERROR(VLOOKUP(B497,cubo!$A$6:$BE$37,49,0)-VLOOKUP(B497,#REF!,$AG$2,0),0)</f>
        <v>0</v>
      </c>
      <c r="AH497" s="9">
        <f>IFERROR(VLOOKUP(B497,cubo!$A$6:$BE$37,50,0)-VLOOKUP(B497,#REF!,$AH$2,0),0)</f>
        <v>0</v>
      </c>
      <c r="AI497" s="9">
        <f>IFERROR(VLOOKUP(B497,cubo!$A$6:$BE$37,51,0)-VLOOKUP(B497,#REF!,$AI$2,0),0)</f>
        <v>0</v>
      </c>
      <c r="AJ497" s="9">
        <f>IFERROR(VLOOKUP(B497,cubo!$A$6:$BI$116,62,0)-VLOOKUP(B497,#REF!,$AJ$2,0),0)</f>
        <v>0</v>
      </c>
      <c r="AK497" s="9">
        <f>IFERROR(VLOOKUP(B497,cubo!$A$6:$BJ$37,63,0)-VLOOKUP(B497,#REF!,$AK$2,0),0)</f>
        <v>0</v>
      </c>
      <c r="AL497" s="9">
        <f>IFERROR(VLOOKUP(B497,cubo!$A$6:$BE$37,58,0)-VLOOKUP(B497,#REF!,$AL$2,0),0)</f>
        <v>0</v>
      </c>
      <c r="AM497" s="9">
        <f>IFERROR(VLOOKUP(B497,cubo!$A$6:$BK$37,64,0)-VLOOKUP(B497,#REF!,$AM$2,0),0)</f>
        <v>0</v>
      </c>
      <c r="AN497" s="9">
        <f>IFERROR(VLOOKUP(B497,cubo!$A$6:$AN$37,41,0)-VLOOKUP(B497,#REF!,$AN$2,0),0)</f>
        <v>0</v>
      </c>
    </row>
    <row r="498" spans="2:40" x14ac:dyDescent="0.25">
      <c r="B498" s="7">
        <f>[1]salario!A497</f>
        <v>0</v>
      </c>
      <c r="C498" s="8">
        <f>[1]salario!C497</f>
        <v>0</v>
      </c>
      <c r="D498" s="9">
        <f>IFERROR(VLOOKUP(B498,cubo!$A$6:$BE$37,3,0)-VLOOKUP(B498,#REF!,$D$2,0),0)</f>
        <v>0</v>
      </c>
      <c r="E498" s="10">
        <f>IFERROR(VLOOKUP(B498,cubo!$A$6:$BE$37,5,0)-VLOOKUP(B498,#REF!,$E$2,0),0)</f>
        <v>0</v>
      </c>
      <c r="F498" s="10">
        <f>IFERROR(VLOOKUP(B498,cubo!$A$6:$BE$37,8,0)-VLOOKUP(B498,#REF!,$F$2,0),0)</f>
        <v>0</v>
      </c>
      <c r="G498" s="9">
        <f>IFERROR(VLOOKUP(B498,cubo!$A$6:$BE$37,11,0)-VLOOKUP(B498,#REF!,$G$2,0),0)</f>
        <v>0</v>
      </c>
      <c r="H498" s="9">
        <f>IFERROR(VLOOKUP(B498,cubo!$A$6:$BE$37,53,0)-VLOOKUP(B498,#REF!,$H$2,0),0)</f>
        <v>0</v>
      </c>
      <c r="I498" s="10">
        <f>IFERROR(VLOOKUP(B498,cubo!$A$6:$BE$37,14,0)-VLOOKUP(B498,#REF!,$I$2,0),0)</f>
        <v>0</v>
      </c>
      <c r="J498" s="9">
        <f>IFERROR(VLOOKUP(B498,cubo!$A$6:$BE$37,16,0)-VLOOKUP(B498,#REF!,$J$2,0),0)</f>
        <v>0</v>
      </c>
      <c r="K498" s="9">
        <f>IFERROR(VLOOKUP(B498,cubo!$A$6:$BE$37,17,0)-VLOOKUP(B498,#REF!,$K$2,0),0)</f>
        <v>0</v>
      </c>
      <c r="L498" s="9">
        <f>IFERROR(VLOOKUP(B498,cubo!$A$6:$BE$37,19,0)-VLOOKUP(B498,#REF!,$L$2,0),0)</f>
        <v>0</v>
      </c>
      <c r="M498" s="9">
        <f>IFERROR(VLOOKUP(B498,cubo!$A$6:$BE$37,23,0)-VLOOKUP(B498,#REF!,$M$2,0),0)</f>
        <v>0</v>
      </c>
      <c r="N498" s="9">
        <f>IFERROR(VLOOKUP(B498,cubo!$A$6:$BE$37,25,0)-VLOOKUP(B498,#REF!,$N$2,0),0)</f>
        <v>0</v>
      </c>
      <c r="O498" s="9">
        <f>IFERROR(VLOOKUP(B498,cubo!$A$6:$BE$37,33,0)-VLOOKUP(B498,#REF!,$O$2,0),0)</f>
        <v>0</v>
      </c>
      <c r="P498" s="8">
        <f>IFERROR(VLOOKUP(B498,cubo!$A$6:$BE$37,37,0)-VLOOKUP(B498,#REF!,$P$2,0),0)</f>
        <v>0</v>
      </c>
      <c r="Q498" s="8">
        <f>IFERROR(VLOOKUP(B498,cubo!$A$6:$BE$37,56,0)-VLOOKUP(B498,#REF!,$Q$2,0),0)</f>
        <v>0</v>
      </c>
      <c r="R498" s="9">
        <f>IFERROR(VLOOKUP(B498,cubo!$A$6:$BE$37,40,0)-VLOOKUP(B498,#REF!,$R$2,0),0)</f>
        <v>0</v>
      </c>
      <c r="S498" s="9">
        <f>IFERROR(VLOOKUP(B498,cubo!$A$6:$BE$37,43,0)-VLOOKUP(B498,#REF!,$S$2,0),0)</f>
        <v>0</v>
      </c>
      <c r="T498" s="9">
        <f>IFERROR(VLOOKUP(B498,cubo!$A$6:$BE$37,46,0)-VLOOKUP(B498,#REF!,$T$2,0),0)</f>
        <v>0</v>
      </c>
      <c r="U498" s="9">
        <f>IFERROR(VLOOKUP(B498,cubo!$A$6:$BE$37,51,0)-VLOOKUP(B498,#REF!,$U$2,0),0)</f>
        <v>0</v>
      </c>
      <c r="V498" s="9">
        <f>IFERROR(VLOOKUP(B498,cubo!$A$6:$BJ$37,60,0)-VLOOKUP(B498,#REF!,$V$2,0),0)</f>
        <v>0</v>
      </c>
      <c r="W498" s="9">
        <f>IFERROR(VLOOKUP(B498,cubo!$A$6:$BE$37,26,0)-VLOOKUP(B498,#REF!,$W$2,0),0)</f>
        <v>0</v>
      </c>
      <c r="X498" s="9">
        <f>IFERROR(VLOOKUP(B498,cubo!$A$6:$BE$37,20,0)-VLOOKUP(B498,#REF!,$X$2,0),0)</f>
        <v>0</v>
      </c>
      <c r="Y498" s="9">
        <f>IFERROR(VLOOKUP(B498,cubo!$A$6:$BE$37,21,0)-VLOOKUP(B498,#REF!,$Y$2,0),0)</f>
        <v>0</v>
      </c>
      <c r="Z498" s="9">
        <f>IFERROR(VLOOKUP(B498,cubo!$A$6:$BE$37,27,0)-VLOOKUP(B498,#REF!,$Z$2,0),0)</f>
        <v>0</v>
      </c>
      <c r="AA498" s="9">
        <f>IFERROR(VLOOKUP(B498,cubo!$A$6:$BE$37,28,0)-VLOOKUP(B498,#REF!,$AA$2,0),0)</f>
        <v>0</v>
      </c>
      <c r="AB498" s="9">
        <f>IFERROR(VLOOKUP(B498,cubo!$A$6:$BE$37,29,0)-VLOOKUP(B498,#REF!,$AB$2,0),0)</f>
        <v>0</v>
      </c>
      <c r="AC498" s="9">
        <f>IFERROR(VLOOKUP(B498,cubo!$A$6:$BE$37,30,0)-VLOOKUP(B498,#REF!,$AC$2,0),0)</f>
        <v>0</v>
      </c>
      <c r="AD498" s="9">
        <f>IFERROR(VLOOKUP(B498,cubo!$A$6:$BE$37,31,0)-VLOOKUP(B498,#REF!,$AD$2,0),0)</f>
        <v>0</v>
      </c>
      <c r="AE498" s="9">
        <f>IFERROR(VLOOKUP(B498,cubo!$A$6:$BE$37,35,0)-VLOOKUP(B498,#REF!,$AE$2,0),0)</f>
        <v>0</v>
      </c>
      <c r="AF498" s="9" cm="1">
        <f t="array" aca="1" ref="AF498" ca="1">IFERROR(rrPROCV(B498,cubo!$A$6:$BE$37,48,0)-VLOOKUP(B498,#REF!,$AF$2,0),0)</f>
        <v>0</v>
      </c>
      <c r="AG498" s="9">
        <f>IFERROR(VLOOKUP(B498,cubo!$A$6:$BE$37,49,0)-VLOOKUP(B498,#REF!,$AG$2,0),0)</f>
        <v>0</v>
      </c>
      <c r="AH498" s="9">
        <f>IFERROR(VLOOKUP(B498,cubo!$A$6:$BE$37,50,0)-VLOOKUP(B498,#REF!,$AH$2,0),0)</f>
        <v>0</v>
      </c>
      <c r="AI498" s="9">
        <f>IFERROR(VLOOKUP(B498,cubo!$A$6:$BE$37,51,0)-VLOOKUP(B498,#REF!,$AI$2,0),0)</f>
        <v>0</v>
      </c>
      <c r="AJ498" s="9">
        <f>IFERROR(VLOOKUP(B498,cubo!$A$6:$BI$116,62,0)-VLOOKUP(B498,#REF!,$AJ$2,0),0)</f>
        <v>0</v>
      </c>
      <c r="AK498" s="9">
        <f>IFERROR(VLOOKUP(B498,cubo!$A$6:$BJ$37,63,0)-VLOOKUP(B498,#REF!,$AK$2,0),0)</f>
        <v>0</v>
      </c>
      <c r="AL498" s="9">
        <f>IFERROR(VLOOKUP(B498,cubo!$A$6:$BE$37,58,0)-VLOOKUP(B498,#REF!,$AL$2,0),0)</f>
        <v>0</v>
      </c>
      <c r="AM498" s="9">
        <f>IFERROR(VLOOKUP(B498,cubo!$A$6:$BK$37,64,0)-VLOOKUP(B498,#REF!,$AM$2,0),0)</f>
        <v>0</v>
      </c>
      <c r="AN498" s="9">
        <f>IFERROR(VLOOKUP(B498,cubo!$A$6:$AN$37,41,0)-VLOOKUP(B498,#REF!,$AN$2,0),0)</f>
        <v>0</v>
      </c>
    </row>
    <row r="499" spans="2:40" x14ac:dyDescent="0.25">
      <c r="B499" s="7">
        <f>[1]salario!A498</f>
        <v>0</v>
      </c>
      <c r="C499" s="8">
        <f>[1]salario!C498</f>
        <v>0</v>
      </c>
      <c r="D499" s="9">
        <f>IFERROR(VLOOKUP(B499,cubo!$A$6:$BE$37,3,0)-VLOOKUP(B499,#REF!,$D$2,0),0)</f>
        <v>0</v>
      </c>
      <c r="E499" s="10">
        <f>IFERROR(VLOOKUP(B499,cubo!$A$6:$BE$37,5,0)-VLOOKUP(B499,#REF!,$E$2,0),0)</f>
        <v>0</v>
      </c>
      <c r="F499" s="10">
        <f>IFERROR(VLOOKUP(B499,cubo!$A$6:$BE$37,8,0)-VLOOKUP(B499,#REF!,$F$2,0),0)</f>
        <v>0</v>
      </c>
      <c r="G499" s="9">
        <f>IFERROR(VLOOKUP(B499,cubo!$A$6:$BE$37,11,0)-VLOOKUP(B499,#REF!,$G$2,0),0)</f>
        <v>0</v>
      </c>
      <c r="H499" s="9">
        <f>IFERROR(VLOOKUP(B499,cubo!$A$6:$BE$37,53,0)-VLOOKUP(B499,#REF!,$H$2,0),0)</f>
        <v>0</v>
      </c>
      <c r="I499" s="10">
        <f>IFERROR(VLOOKUP(B499,cubo!$A$6:$BE$37,14,0)-VLOOKUP(B499,#REF!,$I$2,0),0)</f>
        <v>0</v>
      </c>
      <c r="J499" s="9">
        <f>IFERROR(VLOOKUP(B499,cubo!$A$6:$BE$37,16,0)-VLOOKUP(B499,#REF!,$J$2,0),0)</f>
        <v>0</v>
      </c>
      <c r="K499" s="9">
        <f>IFERROR(VLOOKUP(B499,cubo!$A$6:$BE$37,17,0)-VLOOKUP(B499,#REF!,$K$2,0),0)</f>
        <v>0</v>
      </c>
      <c r="L499" s="9">
        <f>IFERROR(VLOOKUP(B499,cubo!$A$6:$BE$37,19,0)-VLOOKUP(B499,#REF!,$L$2,0),0)</f>
        <v>0</v>
      </c>
      <c r="M499" s="9">
        <f>IFERROR(VLOOKUP(B499,cubo!$A$6:$BE$37,23,0)-VLOOKUP(B499,#REF!,$M$2,0),0)</f>
        <v>0</v>
      </c>
      <c r="N499" s="9">
        <f>IFERROR(VLOOKUP(B499,cubo!$A$6:$BE$37,25,0)-VLOOKUP(B499,#REF!,$N$2,0),0)</f>
        <v>0</v>
      </c>
      <c r="O499" s="9">
        <f>IFERROR(VLOOKUP(B499,cubo!$A$6:$BE$37,33,0)-VLOOKUP(B499,#REF!,$O$2,0),0)</f>
        <v>0</v>
      </c>
      <c r="P499" s="8">
        <f>IFERROR(VLOOKUP(B499,cubo!$A$6:$BE$37,37,0)-VLOOKUP(B499,#REF!,$P$2,0),0)</f>
        <v>0</v>
      </c>
      <c r="Q499" s="8">
        <f>IFERROR(VLOOKUP(B499,cubo!$A$6:$BE$37,56,0)-VLOOKUP(B499,#REF!,$Q$2,0),0)</f>
        <v>0</v>
      </c>
      <c r="R499" s="9">
        <f>IFERROR(VLOOKUP(B499,cubo!$A$6:$BE$37,40,0)-VLOOKUP(B499,#REF!,$R$2,0),0)</f>
        <v>0</v>
      </c>
      <c r="S499" s="9">
        <f>IFERROR(VLOOKUP(B499,cubo!$A$6:$BE$37,43,0)-VLOOKUP(B499,#REF!,$S$2,0),0)</f>
        <v>0</v>
      </c>
      <c r="T499" s="9">
        <f>IFERROR(VLOOKUP(B499,cubo!$A$6:$BE$37,46,0)-VLOOKUP(B499,#REF!,$T$2,0),0)</f>
        <v>0</v>
      </c>
      <c r="U499" s="9">
        <f>IFERROR(VLOOKUP(B499,cubo!$A$6:$BE$37,51,0)-VLOOKUP(B499,#REF!,$U$2,0),0)</f>
        <v>0</v>
      </c>
      <c r="V499" s="9">
        <f>IFERROR(VLOOKUP(B499,cubo!$A$6:$BJ$37,60,0)-VLOOKUP(B499,#REF!,$V$2,0),0)</f>
        <v>0</v>
      </c>
      <c r="W499" s="9">
        <f>IFERROR(VLOOKUP(B499,cubo!$A$6:$BE$37,26,0)-VLOOKUP(B499,#REF!,$W$2,0),0)</f>
        <v>0</v>
      </c>
      <c r="X499" s="9">
        <f>IFERROR(VLOOKUP(B499,cubo!$A$6:$BE$37,20,0)-VLOOKUP(B499,#REF!,$X$2,0),0)</f>
        <v>0</v>
      </c>
      <c r="Y499" s="9">
        <f>IFERROR(VLOOKUP(B499,cubo!$A$6:$BE$37,21,0)-VLOOKUP(B499,#REF!,$Y$2,0),0)</f>
        <v>0</v>
      </c>
      <c r="Z499" s="9">
        <f>IFERROR(VLOOKUP(B499,cubo!$A$6:$BE$37,27,0)-VLOOKUP(B499,#REF!,$Z$2,0),0)</f>
        <v>0</v>
      </c>
      <c r="AA499" s="9">
        <f>IFERROR(VLOOKUP(B499,cubo!$A$6:$BE$37,28,0)-VLOOKUP(B499,#REF!,$AA$2,0),0)</f>
        <v>0</v>
      </c>
      <c r="AB499" s="9">
        <f>IFERROR(VLOOKUP(B499,cubo!$A$6:$BE$37,29,0)-VLOOKUP(B499,#REF!,$AB$2,0),0)</f>
        <v>0</v>
      </c>
      <c r="AC499" s="9">
        <f>IFERROR(VLOOKUP(B499,cubo!$A$6:$BE$37,30,0)-VLOOKUP(B499,#REF!,$AC$2,0),0)</f>
        <v>0</v>
      </c>
      <c r="AD499" s="9">
        <f>IFERROR(VLOOKUP(B499,cubo!$A$6:$BE$37,31,0)-VLOOKUP(B499,#REF!,$AD$2,0),0)</f>
        <v>0</v>
      </c>
      <c r="AE499" s="9">
        <f>IFERROR(VLOOKUP(B499,cubo!$A$6:$BE$37,35,0)-VLOOKUP(B499,#REF!,$AE$2,0),0)</f>
        <v>0</v>
      </c>
      <c r="AF499" s="9" cm="1">
        <f t="array" aca="1" ref="AF499" ca="1">IFERROR(rrPROCV(B499,cubo!$A$6:$BE$37,48,0)-VLOOKUP(B499,#REF!,$AF$2,0),0)</f>
        <v>0</v>
      </c>
      <c r="AG499" s="9">
        <f>IFERROR(VLOOKUP(B499,cubo!$A$6:$BE$37,49,0)-VLOOKUP(B499,#REF!,$AG$2,0),0)</f>
        <v>0</v>
      </c>
      <c r="AH499" s="9">
        <f>IFERROR(VLOOKUP(B499,cubo!$A$6:$BE$37,50,0)-VLOOKUP(B499,#REF!,$AH$2,0),0)</f>
        <v>0</v>
      </c>
      <c r="AI499" s="9">
        <f>IFERROR(VLOOKUP(B499,cubo!$A$6:$BE$37,51,0)-VLOOKUP(B499,#REF!,$AI$2,0),0)</f>
        <v>0</v>
      </c>
      <c r="AJ499" s="9">
        <f>IFERROR(VLOOKUP(B499,cubo!$A$6:$BI$116,62,0)-VLOOKUP(B499,#REF!,$AJ$2,0),0)</f>
        <v>0</v>
      </c>
      <c r="AK499" s="9">
        <f>IFERROR(VLOOKUP(B499,cubo!$A$6:$BJ$37,63,0)-VLOOKUP(B499,#REF!,$AK$2,0),0)</f>
        <v>0</v>
      </c>
      <c r="AL499" s="9">
        <f>IFERROR(VLOOKUP(B499,cubo!$A$6:$BE$37,58,0)-VLOOKUP(B499,#REF!,$AL$2,0),0)</f>
        <v>0</v>
      </c>
      <c r="AM499" s="9">
        <f>IFERROR(VLOOKUP(B499,cubo!$A$6:$BK$37,64,0)-VLOOKUP(B499,#REF!,$AM$2,0),0)</f>
        <v>0</v>
      </c>
      <c r="AN499" s="9">
        <f>IFERROR(VLOOKUP(B499,cubo!$A$6:$AN$37,41,0)-VLOOKUP(B499,#REF!,$AN$2,0),0)</f>
        <v>0</v>
      </c>
    </row>
    <row r="500" spans="2:40" x14ac:dyDescent="0.25">
      <c r="B500" s="7">
        <f>[1]salario!A499</f>
        <v>0</v>
      </c>
      <c r="C500" s="8">
        <f>[1]salario!C499</f>
        <v>0</v>
      </c>
      <c r="D500" s="9">
        <f>IFERROR(VLOOKUP(B500,cubo!$A$6:$BE$37,3,0)-VLOOKUP(B500,#REF!,$D$2,0),0)</f>
        <v>0</v>
      </c>
      <c r="E500" s="10">
        <f>IFERROR(VLOOKUP(B500,cubo!$A$6:$BE$37,5,0)-VLOOKUP(B500,#REF!,$E$2,0),0)</f>
        <v>0</v>
      </c>
      <c r="F500" s="10">
        <f>IFERROR(VLOOKUP(B500,cubo!$A$6:$BE$37,8,0)-VLOOKUP(B500,#REF!,$F$2,0),0)</f>
        <v>0</v>
      </c>
      <c r="G500" s="9">
        <f>IFERROR(VLOOKUP(B500,cubo!$A$6:$BE$37,11,0)-VLOOKUP(B500,#REF!,$G$2,0),0)</f>
        <v>0</v>
      </c>
      <c r="H500" s="9">
        <f>IFERROR(VLOOKUP(B500,cubo!$A$6:$BE$37,53,0)-VLOOKUP(B500,#REF!,$H$2,0),0)</f>
        <v>0</v>
      </c>
      <c r="I500" s="10">
        <f>IFERROR(VLOOKUP(B500,cubo!$A$6:$BE$37,14,0)-VLOOKUP(B500,#REF!,$I$2,0),0)</f>
        <v>0</v>
      </c>
      <c r="J500" s="9">
        <f>IFERROR(VLOOKUP(B500,cubo!$A$6:$BE$37,16,0)-VLOOKUP(B500,#REF!,$J$2,0),0)</f>
        <v>0</v>
      </c>
      <c r="K500" s="9">
        <f>IFERROR(VLOOKUP(B500,cubo!$A$6:$BE$37,17,0)-VLOOKUP(B500,#REF!,$K$2,0),0)</f>
        <v>0</v>
      </c>
      <c r="L500" s="9">
        <f>IFERROR(VLOOKUP(B500,cubo!$A$6:$BE$37,19,0)-VLOOKUP(B500,#REF!,$L$2,0),0)</f>
        <v>0</v>
      </c>
      <c r="M500" s="9">
        <f>IFERROR(VLOOKUP(B500,cubo!$A$6:$BE$37,23,0)-VLOOKUP(B500,#REF!,$M$2,0),0)</f>
        <v>0</v>
      </c>
      <c r="N500" s="9">
        <f>IFERROR(VLOOKUP(B500,cubo!$A$6:$BE$37,25,0)-VLOOKUP(B500,#REF!,$N$2,0),0)</f>
        <v>0</v>
      </c>
      <c r="O500" s="9">
        <f>IFERROR(VLOOKUP(B500,cubo!$A$6:$BE$37,33,0)-VLOOKUP(B500,#REF!,$O$2,0),0)</f>
        <v>0</v>
      </c>
      <c r="P500" s="8">
        <f>IFERROR(VLOOKUP(B500,cubo!$A$6:$BE$37,37,0)-VLOOKUP(B500,#REF!,$P$2,0),0)</f>
        <v>0</v>
      </c>
      <c r="Q500" s="8">
        <f>IFERROR(VLOOKUP(B500,cubo!$A$6:$BE$37,56,0)-VLOOKUP(B500,#REF!,$Q$2,0),0)</f>
        <v>0</v>
      </c>
      <c r="R500" s="9">
        <f>IFERROR(VLOOKUP(B500,cubo!$A$6:$BE$37,40,0)-VLOOKUP(B500,#REF!,$R$2,0),0)</f>
        <v>0</v>
      </c>
      <c r="S500" s="9">
        <f>IFERROR(VLOOKUP(B500,cubo!$A$6:$BE$37,43,0)-VLOOKUP(B500,#REF!,$S$2,0),0)</f>
        <v>0</v>
      </c>
      <c r="T500" s="9">
        <f>IFERROR(VLOOKUP(B500,cubo!$A$6:$BE$37,46,0)-VLOOKUP(B500,#REF!,$T$2,0),0)</f>
        <v>0</v>
      </c>
      <c r="U500" s="9">
        <f>IFERROR(VLOOKUP(B500,cubo!$A$6:$BE$37,51,0)-VLOOKUP(B500,#REF!,$U$2,0),0)</f>
        <v>0</v>
      </c>
      <c r="V500" s="9">
        <f>IFERROR(VLOOKUP(B500,cubo!$A$6:$BJ$37,60,0)-VLOOKUP(B500,#REF!,$V$2,0),0)</f>
        <v>0</v>
      </c>
      <c r="W500" s="9">
        <f>IFERROR(VLOOKUP(B500,cubo!$A$6:$BE$37,26,0)-VLOOKUP(B500,#REF!,$W$2,0),0)</f>
        <v>0</v>
      </c>
      <c r="X500" s="9">
        <f>IFERROR(VLOOKUP(B500,cubo!$A$6:$BE$37,20,0)-VLOOKUP(B500,#REF!,$X$2,0),0)</f>
        <v>0</v>
      </c>
      <c r="Y500" s="9">
        <f>IFERROR(VLOOKUP(B500,cubo!$A$6:$BE$37,21,0)-VLOOKUP(B500,#REF!,$Y$2,0),0)</f>
        <v>0</v>
      </c>
      <c r="Z500" s="9">
        <f>IFERROR(VLOOKUP(B500,cubo!$A$6:$BE$37,27,0)-VLOOKUP(B500,#REF!,$Z$2,0),0)</f>
        <v>0</v>
      </c>
      <c r="AA500" s="9">
        <f>IFERROR(VLOOKUP(B500,cubo!$A$6:$BE$37,28,0)-VLOOKUP(B500,#REF!,$AA$2,0),0)</f>
        <v>0</v>
      </c>
      <c r="AB500" s="9">
        <f>IFERROR(VLOOKUP(B500,cubo!$A$6:$BE$37,29,0)-VLOOKUP(B500,#REF!,$AB$2,0),0)</f>
        <v>0</v>
      </c>
      <c r="AC500" s="9">
        <f>IFERROR(VLOOKUP(B500,cubo!$A$6:$BE$37,30,0)-VLOOKUP(B500,#REF!,$AC$2,0),0)</f>
        <v>0</v>
      </c>
      <c r="AD500" s="9">
        <f>IFERROR(VLOOKUP(B500,cubo!$A$6:$BE$37,31,0)-VLOOKUP(B500,#REF!,$AD$2,0),0)</f>
        <v>0</v>
      </c>
      <c r="AE500" s="9">
        <f>IFERROR(VLOOKUP(B500,cubo!$A$6:$BE$37,35,0)-VLOOKUP(B500,#REF!,$AE$2,0),0)</f>
        <v>0</v>
      </c>
      <c r="AF500" s="9" cm="1">
        <f t="array" aca="1" ref="AF500" ca="1">IFERROR(rrPROCV(B500,cubo!$A$6:$BE$37,48,0)-VLOOKUP(B500,#REF!,$AF$2,0),0)</f>
        <v>0</v>
      </c>
      <c r="AG500" s="9">
        <f>IFERROR(VLOOKUP(B500,cubo!$A$6:$BE$37,49,0)-VLOOKUP(B500,#REF!,$AG$2,0),0)</f>
        <v>0</v>
      </c>
      <c r="AH500" s="9">
        <f>IFERROR(VLOOKUP(B500,cubo!$A$6:$BE$37,50,0)-VLOOKUP(B500,#REF!,$AH$2,0),0)</f>
        <v>0</v>
      </c>
      <c r="AI500" s="9">
        <f>IFERROR(VLOOKUP(B500,cubo!$A$6:$BE$37,51,0)-VLOOKUP(B500,#REF!,$AI$2,0),0)</f>
        <v>0</v>
      </c>
      <c r="AJ500" s="9">
        <f>IFERROR(VLOOKUP(B500,cubo!$A$6:$BI$116,62,0)-VLOOKUP(B500,#REF!,$AJ$2,0),0)</f>
        <v>0</v>
      </c>
      <c r="AK500" s="9">
        <f>IFERROR(VLOOKUP(B500,cubo!$A$6:$BJ$37,63,0)-VLOOKUP(B500,#REF!,$AK$2,0),0)</f>
        <v>0</v>
      </c>
      <c r="AL500" s="9">
        <f>IFERROR(VLOOKUP(B500,cubo!$A$6:$BE$37,58,0)-VLOOKUP(B500,#REF!,$AL$2,0),0)</f>
        <v>0</v>
      </c>
      <c r="AM500" s="9">
        <f>IFERROR(VLOOKUP(B500,cubo!$A$6:$BK$37,64,0)-VLOOKUP(B500,#REF!,$AM$2,0),0)</f>
        <v>0</v>
      </c>
      <c r="AN500" s="9">
        <f>IFERROR(VLOOKUP(B500,cubo!$A$6:$AN$37,41,0)-VLOOKUP(B500,#REF!,$AN$2,0),0)</f>
        <v>0</v>
      </c>
    </row>
    <row r="501" spans="2:40" x14ac:dyDescent="0.25">
      <c r="B501" s="7">
        <f>[1]salario!A500</f>
        <v>0</v>
      </c>
      <c r="C501" s="8">
        <f>[1]salario!C500</f>
        <v>0</v>
      </c>
      <c r="D501" s="9">
        <f>IFERROR(VLOOKUP(B501,cubo!$A$6:$BE$37,3,0)-VLOOKUP(B501,#REF!,$D$2,0),0)</f>
        <v>0</v>
      </c>
      <c r="E501" s="10">
        <f>IFERROR(VLOOKUP(B501,cubo!$A$6:$BE$37,5,0)-VLOOKUP(B501,#REF!,$E$2,0),0)</f>
        <v>0</v>
      </c>
      <c r="F501" s="10">
        <f>IFERROR(VLOOKUP(B501,cubo!$A$6:$BE$37,8,0)-VLOOKUP(B501,#REF!,$F$2,0),0)</f>
        <v>0</v>
      </c>
      <c r="G501" s="9">
        <f>IFERROR(VLOOKUP(B501,cubo!$A$6:$BE$37,11,0)-VLOOKUP(B501,#REF!,$G$2,0),0)</f>
        <v>0</v>
      </c>
      <c r="H501" s="9">
        <f>IFERROR(VLOOKUP(B501,cubo!$A$6:$BE$37,53,0)-VLOOKUP(B501,#REF!,$H$2,0),0)</f>
        <v>0</v>
      </c>
      <c r="I501" s="10">
        <f>IFERROR(VLOOKUP(B501,cubo!$A$6:$BE$37,14,0)-VLOOKUP(B501,#REF!,$I$2,0),0)</f>
        <v>0</v>
      </c>
      <c r="J501" s="9">
        <f>IFERROR(VLOOKUP(B501,cubo!$A$6:$BE$37,16,0)-VLOOKUP(B501,#REF!,$J$2,0),0)</f>
        <v>0</v>
      </c>
      <c r="K501" s="9">
        <f>IFERROR(VLOOKUP(B501,cubo!$A$6:$BE$37,17,0)-VLOOKUP(B501,#REF!,$K$2,0),0)</f>
        <v>0</v>
      </c>
      <c r="L501" s="9">
        <f>IFERROR(VLOOKUP(B501,cubo!$A$6:$BE$37,19,0)-VLOOKUP(B501,#REF!,$L$2,0),0)</f>
        <v>0</v>
      </c>
      <c r="M501" s="9">
        <f>IFERROR(VLOOKUP(B501,cubo!$A$6:$BE$37,23,0)-VLOOKUP(B501,#REF!,$M$2,0),0)</f>
        <v>0</v>
      </c>
      <c r="N501" s="9">
        <f>IFERROR(VLOOKUP(B501,cubo!$A$6:$BE$37,25,0)-VLOOKUP(B501,#REF!,$N$2,0),0)</f>
        <v>0</v>
      </c>
      <c r="O501" s="9">
        <f>IFERROR(VLOOKUP(B501,cubo!$A$6:$BE$37,33,0)-VLOOKUP(B501,#REF!,$O$2,0),0)</f>
        <v>0</v>
      </c>
      <c r="P501" s="8">
        <f>IFERROR(VLOOKUP(B501,cubo!$A$6:$BE$37,37,0)-VLOOKUP(B501,#REF!,$P$2,0),0)</f>
        <v>0</v>
      </c>
      <c r="Q501" s="8">
        <f>IFERROR(VLOOKUP(B501,cubo!$A$6:$BE$37,56,0)-VLOOKUP(B501,#REF!,$Q$2,0),0)</f>
        <v>0</v>
      </c>
      <c r="R501" s="9">
        <f>IFERROR(VLOOKUP(B501,cubo!$A$6:$BE$37,40,0)-VLOOKUP(B501,#REF!,$R$2,0),0)</f>
        <v>0</v>
      </c>
      <c r="S501" s="9">
        <f>IFERROR(VLOOKUP(B501,cubo!$A$6:$BE$37,43,0)-VLOOKUP(B501,#REF!,$S$2,0),0)</f>
        <v>0</v>
      </c>
      <c r="T501" s="9">
        <f>IFERROR(VLOOKUP(B501,cubo!$A$6:$BE$37,46,0)-VLOOKUP(B501,#REF!,$T$2,0),0)</f>
        <v>0</v>
      </c>
      <c r="U501" s="9">
        <f>IFERROR(VLOOKUP(B501,cubo!$A$6:$BE$37,51,0)-VLOOKUP(B501,#REF!,$U$2,0),0)</f>
        <v>0</v>
      </c>
      <c r="V501" s="9">
        <f>IFERROR(VLOOKUP(B501,cubo!$A$6:$BJ$37,60,0)-VLOOKUP(B501,#REF!,$V$2,0),0)</f>
        <v>0</v>
      </c>
      <c r="W501" s="9">
        <f>IFERROR(VLOOKUP(B501,cubo!$A$6:$BE$37,26,0)-VLOOKUP(B501,#REF!,$W$2,0),0)</f>
        <v>0</v>
      </c>
      <c r="X501" s="9">
        <f>IFERROR(VLOOKUP(B501,cubo!$A$6:$BE$37,20,0)-VLOOKUP(B501,#REF!,$X$2,0),0)</f>
        <v>0</v>
      </c>
      <c r="Y501" s="9">
        <f>IFERROR(VLOOKUP(B501,cubo!$A$6:$BE$37,21,0)-VLOOKUP(B501,#REF!,$Y$2,0),0)</f>
        <v>0</v>
      </c>
      <c r="Z501" s="9">
        <f>IFERROR(VLOOKUP(B501,cubo!$A$6:$BE$37,27,0)-VLOOKUP(B501,#REF!,$Z$2,0),0)</f>
        <v>0</v>
      </c>
      <c r="AA501" s="9">
        <f>IFERROR(VLOOKUP(B501,cubo!$A$6:$BE$37,28,0)-VLOOKUP(B501,#REF!,$AA$2,0),0)</f>
        <v>0</v>
      </c>
      <c r="AB501" s="9">
        <f>IFERROR(VLOOKUP(B501,cubo!$A$6:$BE$37,29,0)-VLOOKUP(B501,#REF!,$AB$2,0),0)</f>
        <v>0</v>
      </c>
      <c r="AC501" s="9">
        <f>IFERROR(VLOOKUP(B501,cubo!$A$6:$BE$37,30,0)-VLOOKUP(B501,#REF!,$AC$2,0),0)</f>
        <v>0</v>
      </c>
      <c r="AD501" s="9">
        <f>IFERROR(VLOOKUP(B501,cubo!$A$6:$BE$37,31,0)-VLOOKUP(B501,#REF!,$AD$2,0),0)</f>
        <v>0</v>
      </c>
      <c r="AE501" s="9">
        <f>IFERROR(VLOOKUP(B501,cubo!$A$6:$BE$37,35,0)-VLOOKUP(B501,#REF!,$AE$2,0),0)</f>
        <v>0</v>
      </c>
      <c r="AF501" s="9" cm="1">
        <f t="array" aca="1" ref="AF501" ca="1">IFERROR(rrPROCV(B501,cubo!$A$6:$BE$37,48,0)-VLOOKUP(B501,#REF!,$AF$2,0),0)</f>
        <v>0</v>
      </c>
      <c r="AG501" s="9">
        <f>IFERROR(VLOOKUP(B501,cubo!$A$6:$BE$37,49,0)-VLOOKUP(B501,#REF!,$AG$2,0),0)</f>
        <v>0</v>
      </c>
      <c r="AH501" s="9">
        <f>IFERROR(VLOOKUP(B501,cubo!$A$6:$BE$37,50,0)-VLOOKUP(B501,#REF!,$AH$2,0),0)</f>
        <v>0</v>
      </c>
      <c r="AI501" s="9">
        <f>IFERROR(VLOOKUP(B501,cubo!$A$6:$BE$37,51,0)-VLOOKUP(B501,#REF!,$AI$2,0),0)</f>
        <v>0</v>
      </c>
      <c r="AJ501" s="9">
        <f>IFERROR(VLOOKUP(B501,cubo!$A$6:$BI$116,62,0)-VLOOKUP(B501,#REF!,$AJ$2,0),0)</f>
        <v>0</v>
      </c>
      <c r="AK501" s="9">
        <f>IFERROR(VLOOKUP(B501,cubo!$A$6:$BJ$37,63,0)-VLOOKUP(B501,#REF!,$AK$2,0),0)</f>
        <v>0</v>
      </c>
      <c r="AL501" s="9">
        <f>IFERROR(VLOOKUP(B501,cubo!$A$6:$BE$37,58,0)-VLOOKUP(B501,#REF!,$AL$2,0),0)</f>
        <v>0</v>
      </c>
      <c r="AM501" s="9">
        <f>IFERROR(VLOOKUP(B501,cubo!$A$6:$BK$37,64,0)-VLOOKUP(B501,#REF!,$AM$2,0),0)</f>
        <v>0</v>
      </c>
      <c r="AN501" s="9">
        <f>IFERROR(VLOOKUP(B501,cubo!$A$6:$AN$37,41,0)-VLOOKUP(B501,#REF!,$AN$2,0),0)</f>
        <v>0</v>
      </c>
    </row>
    <row r="502" spans="2:40" x14ac:dyDescent="0.25">
      <c r="B502" s="7">
        <f>[1]salario!A501</f>
        <v>0</v>
      </c>
      <c r="C502" s="8">
        <f>[1]salario!C501</f>
        <v>0</v>
      </c>
      <c r="D502" s="9">
        <f>IFERROR(VLOOKUP(B502,cubo!$A$6:$BE$37,3,0)-VLOOKUP(B502,#REF!,$D$2,0),0)</f>
        <v>0</v>
      </c>
      <c r="E502" s="10">
        <f>IFERROR(VLOOKUP(B502,cubo!$A$6:$BE$37,5,0)-VLOOKUP(B502,#REF!,$E$2,0),0)</f>
        <v>0</v>
      </c>
      <c r="F502" s="10">
        <f>IFERROR(VLOOKUP(B502,cubo!$A$6:$BE$37,8,0)-VLOOKUP(B502,#REF!,$F$2,0),0)</f>
        <v>0</v>
      </c>
      <c r="G502" s="9">
        <f>IFERROR(VLOOKUP(B502,cubo!$A$6:$BE$37,11,0)-VLOOKUP(B502,#REF!,$G$2,0),0)</f>
        <v>0</v>
      </c>
      <c r="H502" s="9">
        <f>IFERROR(VLOOKUP(B502,cubo!$A$6:$BE$37,53,0)-VLOOKUP(B502,#REF!,$H$2,0),0)</f>
        <v>0</v>
      </c>
      <c r="I502" s="10">
        <f>IFERROR(VLOOKUP(B502,cubo!$A$6:$BE$37,14,0)-VLOOKUP(B502,#REF!,$I$2,0),0)</f>
        <v>0</v>
      </c>
      <c r="J502" s="9">
        <f>IFERROR(VLOOKUP(B502,cubo!$A$6:$BE$37,16,0)-VLOOKUP(B502,#REF!,$J$2,0),0)</f>
        <v>0</v>
      </c>
      <c r="K502" s="9">
        <f>IFERROR(VLOOKUP(B502,cubo!$A$6:$BE$37,17,0)-VLOOKUP(B502,#REF!,$K$2,0),0)</f>
        <v>0</v>
      </c>
      <c r="L502" s="9">
        <f>IFERROR(VLOOKUP(B502,cubo!$A$6:$BE$37,19,0)-VLOOKUP(B502,#REF!,$L$2,0),0)</f>
        <v>0</v>
      </c>
      <c r="M502" s="9">
        <f>IFERROR(VLOOKUP(B502,cubo!$A$6:$BE$37,23,0)-VLOOKUP(B502,#REF!,$M$2,0),0)</f>
        <v>0</v>
      </c>
      <c r="N502" s="9">
        <f>IFERROR(VLOOKUP(B502,cubo!$A$6:$BE$37,25,0)-VLOOKUP(B502,#REF!,$N$2,0),0)</f>
        <v>0</v>
      </c>
      <c r="O502" s="9">
        <f>IFERROR(VLOOKUP(B502,cubo!$A$6:$BE$37,33,0)-VLOOKUP(B502,#REF!,$O$2,0),0)</f>
        <v>0</v>
      </c>
      <c r="P502" s="8">
        <f>IFERROR(VLOOKUP(B502,cubo!$A$6:$BE$37,37,0)-VLOOKUP(B502,#REF!,$P$2,0),0)</f>
        <v>0</v>
      </c>
      <c r="Q502" s="8">
        <f>IFERROR(VLOOKUP(B502,cubo!$A$6:$BE$37,56,0)-VLOOKUP(B502,#REF!,$Q$2,0),0)</f>
        <v>0</v>
      </c>
      <c r="R502" s="9">
        <f>IFERROR(VLOOKUP(B502,cubo!$A$6:$BE$37,40,0)-VLOOKUP(B502,#REF!,$R$2,0),0)</f>
        <v>0</v>
      </c>
      <c r="S502" s="9">
        <f>IFERROR(VLOOKUP(B502,cubo!$A$6:$BE$37,43,0)-VLOOKUP(B502,#REF!,$S$2,0),0)</f>
        <v>0</v>
      </c>
      <c r="T502" s="9">
        <f>IFERROR(VLOOKUP(B502,cubo!$A$6:$BE$37,46,0)-VLOOKUP(B502,#REF!,$T$2,0),0)</f>
        <v>0</v>
      </c>
      <c r="U502" s="9">
        <f>IFERROR(VLOOKUP(B502,cubo!$A$6:$BE$37,51,0)-VLOOKUP(B502,#REF!,$U$2,0),0)</f>
        <v>0</v>
      </c>
      <c r="V502" s="9">
        <f>IFERROR(VLOOKUP(B502,cubo!$A$6:$BJ$37,60,0)-VLOOKUP(B502,#REF!,$V$2,0),0)</f>
        <v>0</v>
      </c>
      <c r="W502" s="9">
        <f>IFERROR(VLOOKUP(B502,cubo!$A$6:$BE$37,26,0)-VLOOKUP(B502,#REF!,$W$2,0),0)</f>
        <v>0</v>
      </c>
      <c r="X502" s="9">
        <f>IFERROR(VLOOKUP(B502,cubo!$A$6:$BE$37,20,0)-VLOOKUP(B502,#REF!,$X$2,0),0)</f>
        <v>0</v>
      </c>
      <c r="Y502" s="9">
        <f>IFERROR(VLOOKUP(B502,cubo!$A$6:$BE$37,21,0)-VLOOKUP(B502,#REF!,$Y$2,0),0)</f>
        <v>0</v>
      </c>
      <c r="Z502" s="9">
        <f>IFERROR(VLOOKUP(B502,cubo!$A$6:$BE$37,27,0)-VLOOKUP(B502,#REF!,$Z$2,0),0)</f>
        <v>0</v>
      </c>
      <c r="AA502" s="9">
        <f>IFERROR(VLOOKUP(B502,cubo!$A$6:$BE$37,28,0)-VLOOKUP(B502,#REF!,$AA$2,0),0)</f>
        <v>0</v>
      </c>
      <c r="AB502" s="9">
        <f>IFERROR(VLOOKUP(B502,cubo!$A$6:$BE$37,29,0)-VLOOKUP(B502,#REF!,$AB$2,0),0)</f>
        <v>0</v>
      </c>
      <c r="AC502" s="9">
        <f>IFERROR(VLOOKUP(B502,cubo!$A$6:$BE$37,30,0)-VLOOKUP(B502,#REF!,$AC$2,0),0)</f>
        <v>0</v>
      </c>
      <c r="AD502" s="9">
        <f>IFERROR(VLOOKUP(B502,cubo!$A$6:$BE$37,31,0)-VLOOKUP(B502,#REF!,$AD$2,0),0)</f>
        <v>0</v>
      </c>
      <c r="AE502" s="9">
        <f>IFERROR(VLOOKUP(B502,cubo!$A$6:$BE$37,35,0)-VLOOKUP(B502,#REF!,$AE$2,0),0)</f>
        <v>0</v>
      </c>
      <c r="AF502" s="9" cm="1">
        <f t="array" aca="1" ref="AF502" ca="1">IFERROR(rrPROCV(B502,cubo!$A$6:$BE$37,48,0)-VLOOKUP(B502,#REF!,$AF$2,0),0)</f>
        <v>0</v>
      </c>
      <c r="AG502" s="9">
        <f>IFERROR(VLOOKUP(B502,cubo!$A$6:$BE$37,49,0)-VLOOKUP(B502,#REF!,$AG$2,0),0)</f>
        <v>0</v>
      </c>
      <c r="AH502" s="9">
        <f>IFERROR(VLOOKUP(B502,cubo!$A$6:$BE$37,50,0)-VLOOKUP(B502,#REF!,$AH$2,0),0)</f>
        <v>0</v>
      </c>
      <c r="AI502" s="9">
        <f>IFERROR(VLOOKUP(B502,cubo!$A$6:$BE$37,51,0)-VLOOKUP(B502,#REF!,$AI$2,0),0)</f>
        <v>0</v>
      </c>
      <c r="AJ502" s="9">
        <f>IFERROR(VLOOKUP(B502,cubo!$A$6:$BI$116,62,0)-VLOOKUP(B502,#REF!,$AJ$2,0),0)</f>
        <v>0</v>
      </c>
      <c r="AK502" s="9">
        <f>IFERROR(VLOOKUP(B502,cubo!$A$6:$BJ$37,63,0)-VLOOKUP(B502,#REF!,$AK$2,0),0)</f>
        <v>0</v>
      </c>
      <c r="AL502" s="9">
        <f>IFERROR(VLOOKUP(B502,cubo!$A$6:$BE$37,58,0)-VLOOKUP(B502,#REF!,$AL$2,0),0)</f>
        <v>0</v>
      </c>
      <c r="AM502" s="9">
        <f>IFERROR(VLOOKUP(B502,cubo!$A$6:$BK$37,64,0)-VLOOKUP(B502,#REF!,$AM$2,0),0)</f>
        <v>0</v>
      </c>
      <c r="AN502" s="9">
        <f>IFERROR(VLOOKUP(B502,cubo!$A$6:$AN$37,41,0)-VLOOKUP(B502,#REF!,$AN$2,0),0)</f>
        <v>0</v>
      </c>
    </row>
    <row r="503" spans="2:40" x14ac:dyDescent="0.25">
      <c r="B503" s="7">
        <f>[1]salario!A502</f>
        <v>0</v>
      </c>
      <c r="C503" s="8">
        <f>[1]salario!C502</f>
        <v>0</v>
      </c>
      <c r="D503" s="9">
        <f>IFERROR(VLOOKUP(B503,cubo!$A$6:$BE$37,3,0)-VLOOKUP(B503,#REF!,$D$2,0),0)</f>
        <v>0</v>
      </c>
      <c r="E503" s="10">
        <f>IFERROR(VLOOKUP(B503,cubo!$A$6:$BE$37,5,0)-VLOOKUP(B503,#REF!,$E$2,0),0)</f>
        <v>0</v>
      </c>
      <c r="F503" s="10">
        <f>IFERROR(VLOOKUP(B503,cubo!$A$6:$BE$37,8,0)-VLOOKUP(B503,#REF!,$F$2,0),0)</f>
        <v>0</v>
      </c>
      <c r="G503" s="9">
        <f>IFERROR(VLOOKUP(B503,cubo!$A$6:$BE$37,11,0)-VLOOKUP(B503,#REF!,$G$2,0),0)</f>
        <v>0</v>
      </c>
      <c r="H503" s="9">
        <f>IFERROR(VLOOKUP(B503,cubo!$A$6:$BE$37,53,0)-VLOOKUP(B503,#REF!,$H$2,0),0)</f>
        <v>0</v>
      </c>
      <c r="I503" s="10">
        <f>IFERROR(VLOOKUP(B503,cubo!$A$6:$BE$37,14,0)-VLOOKUP(B503,#REF!,$I$2,0),0)</f>
        <v>0</v>
      </c>
      <c r="J503" s="9">
        <f>IFERROR(VLOOKUP(B503,cubo!$A$6:$BE$37,16,0)-VLOOKUP(B503,#REF!,$J$2,0),0)</f>
        <v>0</v>
      </c>
      <c r="K503" s="9">
        <f>IFERROR(VLOOKUP(B503,cubo!$A$6:$BE$37,17,0)-VLOOKUP(B503,#REF!,$K$2,0),0)</f>
        <v>0</v>
      </c>
      <c r="L503" s="9">
        <f>IFERROR(VLOOKUP(B503,cubo!$A$6:$BE$37,19,0)-VLOOKUP(B503,#REF!,$L$2,0),0)</f>
        <v>0</v>
      </c>
      <c r="M503" s="9">
        <f>IFERROR(VLOOKUP(B503,cubo!$A$6:$BE$37,23,0)-VLOOKUP(B503,#REF!,$M$2,0),0)</f>
        <v>0</v>
      </c>
      <c r="N503" s="9">
        <f>IFERROR(VLOOKUP(B503,cubo!$A$6:$BE$37,25,0)-VLOOKUP(B503,#REF!,$N$2,0),0)</f>
        <v>0</v>
      </c>
      <c r="O503" s="9">
        <f>IFERROR(VLOOKUP(B503,cubo!$A$6:$BE$37,33,0)-VLOOKUP(B503,#REF!,$O$2,0),0)</f>
        <v>0</v>
      </c>
      <c r="P503" s="8">
        <f>IFERROR(VLOOKUP(B503,cubo!$A$6:$BE$37,37,0)-VLOOKUP(B503,#REF!,$P$2,0),0)</f>
        <v>0</v>
      </c>
      <c r="Q503" s="8">
        <f>IFERROR(VLOOKUP(B503,cubo!$A$6:$BE$37,56,0)-VLOOKUP(B503,#REF!,$Q$2,0),0)</f>
        <v>0</v>
      </c>
      <c r="R503" s="9">
        <f>IFERROR(VLOOKUP(B503,cubo!$A$6:$BE$37,40,0)-VLOOKUP(B503,#REF!,$R$2,0),0)</f>
        <v>0</v>
      </c>
      <c r="S503" s="9">
        <f>IFERROR(VLOOKUP(B503,cubo!$A$6:$BE$37,43,0)-VLOOKUP(B503,#REF!,$S$2,0),0)</f>
        <v>0</v>
      </c>
      <c r="T503" s="9">
        <f>IFERROR(VLOOKUP(B503,cubo!$A$6:$BE$37,46,0)-VLOOKUP(B503,#REF!,$T$2,0),0)</f>
        <v>0</v>
      </c>
      <c r="U503" s="9">
        <f>IFERROR(VLOOKUP(B503,cubo!$A$6:$BE$37,51,0)-VLOOKUP(B503,#REF!,$U$2,0),0)</f>
        <v>0</v>
      </c>
      <c r="V503" s="9">
        <f>IFERROR(VLOOKUP(B503,cubo!$A$6:$BJ$37,60,0)-VLOOKUP(B503,#REF!,$V$2,0),0)</f>
        <v>0</v>
      </c>
      <c r="W503" s="9">
        <f>IFERROR(VLOOKUP(B503,cubo!$A$6:$BE$37,26,0)-VLOOKUP(B503,#REF!,$W$2,0),0)</f>
        <v>0</v>
      </c>
      <c r="X503" s="9">
        <f>IFERROR(VLOOKUP(B503,cubo!$A$6:$BE$37,20,0)-VLOOKUP(B503,#REF!,$X$2,0),0)</f>
        <v>0</v>
      </c>
      <c r="Y503" s="9">
        <f>IFERROR(VLOOKUP(B503,cubo!$A$6:$BE$37,21,0)-VLOOKUP(B503,#REF!,$Y$2,0),0)</f>
        <v>0</v>
      </c>
      <c r="Z503" s="9">
        <f>IFERROR(VLOOKUP(B503,cubo!$A$6:$BE$37,27,0)-VLOOKUP(B503,#REF!,$Z$2,0),0)</f>
        <v>0</v>
      </c>
      <c r="AA503" s="9">
        <f>IFERROR(VLOOKUP(B503,cubo!$A$6:$BE$37,28,0)-VLOOKUP(B503,#REF!,$AA$2,0),0)</f>
        <v>0</v>
      </c>
      <c r="AB503" s="9">
        <f>IFERROR(VLOOKUP(B503,cubo!$A$6:$BE$37,29,0)-VLOOKUP(B503,#REF!,$AB$2,0),0)</f>
        <v>0</v>
      </c>
      <c r="AC503" s="9">
        <f>IFERROR(VLOOKUP(B503,cubo!$A$6:$BE$37,30,0)-VLOOKUP(B503,#REF!,$AC$2,0),0)</f>
        <v>0</v>
      </c>
      <c r="AD503" s="9">
        <f>IFERROR(VLOOKUP(B503,cubo!$A$6:$BE$37,31,0)-VLOOKUP(B503,#REF!,$AD$2,0),0)</f>
        <v>0</v>
      </c>
      <c r="AE503" s="9">
        <f>IFERROR(VLOOKUP(B503,cubo!$A$6:$BE$37,35,0)-VLOOKUP(B503,#REF!,$AE$2,0),0)</f>
        <v>0</v>
      </c>
      <c r="AF503" s="9" cm="1">
        <f t="array" aca="1" ref="AF503" ca="1">IFERROR(rrPROCV(B503,cubo!$A$6:$BE$37,48,0)-VLOOKUP(B503,#REF!,$AF$2,0),0)</f>
        <v>0</v>
      </c>
      <c r="AG503" s="9">
        <f>IFERROR(VLOOKUP(B503,cubo!$A$6:$BE$37,49,0)-VLOOKUP(B503,#REF!,$AG$2,0),0)</f>
        <v>0</v>
      </c>
      <c r="AH503" s="9">
        <f>IFERROR(VLOOKUP(B503,cubo!$A$6:$BE$37,50,0)-VLOOKUP(B503,#REF!,$AH$2,0),0)</f>
        <v>0</v>
      </c>
      <c r="AI503" s="9">
        <f>IFERROR(VLOOKUP(B503,cubo!$A$6:$BE$37,51,0)-VLOOKUP(B503,#REF!,$AI$2,0),0)</f>
        <v>0</v>
      </c>
      <c r="AJ503" s="9">
        <f>IFERROR(VLOOKUP(B503,cubo!$A$6:$BI$116,62,0)-VLOOKUP(B503,#REF!,$AJ$2,0),0)</f>
        <v>0</v>
      </c>
      <c r="AK503" s="9">
        <f>IFERROR(VLOOKUP(B503,cubo!$A$6:$BJ$37,63,0)-VLOOKUP(B503,#REF!,$AK$2,0),0)</f>
        <v>0</v>
      </c>
      <c r="AL503" s="9">
        <f>IFERROR(VLOOKUP(B503,cubo!$A$6:$BE$37,58,0)-VLOOKUP(B503,#REF!,$AL$2,0),0)</f>
        <v>0</v>
      </c>
      <c r="AM503" s="9">
        <f>IFERROR(VLOOKUP(B503,cubo!$A$6:$BK$37,64,0)-VLOOKUP(B503,#REF!,$AM$2,0),0)</f>
        <v>0</v>
      </c>
      <c r="AN503" s="9">
        <f>IFERROR(VLOOKUP(B503,cubo!$A$6:$AN$37,41,0)-VLOOKUP(B503,#REF!,$AN$2,0),0)</f>
        <v>0</v>
      </c>
    </row>
    <row r="504" spans="2:40" x14ac:dyDescent="0.25">
      <c r="B504" s="7">
        <f>[1]salario!A503</f>
        <v>0</v>
      </c>
      <c r="C504" s="8">
        <f>[1]salario!C503</f>
        <v>0</v>
      </c>
      <c r="D504" s="9">
        <f>IFERROR(VLOOKUP(B504,cubo!$A$6:$BE$37,3,0)-VLOOKUP(B504,#REF!,$D$2,0),0)</f>
        <v>0</v>
      </c>
      <c r="E504" s="10">
        <f>IFERROR(VLOOKUP(B504,cubo!$A$6:$BE$37,5,0)-VLOOKUP(B504,#REF!,$E$2,0),0)</f>
        <v>0</v>
      </c>
      <c r="F504" s="10">
        <f>IFERROR(VLOOKUP(B504,cubo!$A$6:$BE$37,8,0)-VLOOKUP(B504,#REF!,$F$2,0),0)</f>
        <v>0</v>
      </c>
      <c r="G504" s="9">
        <f>IFERROR(VLOOKUP(B504,cubo!$A$6:$BE$37,11,0)-VLOOKUP(B504,#REF!,$G$2,0),0)</f>
        <v>0</v>
      </c>
      <c r="H504" s="9">
        <f>IFERROR(VLOOKUP(B504,cubo!$A$6:$BE$37,53,0)-VLOOKUP(B504,#REF!,$H$2,0),0)</f>
        <v>0</v>
      </c>
      <c r="I504" s="10">
        <f>IFERROR(VLOOKUP(B504,cubo!$A$6:$BE$37,14,0)-VLOOKUP(B504,#REF!,$I$2,0),0)</f>
        <v>0</v>
      </c>
      <c r="J504" s="9">
        <f>IFERROR(VLOOKUP(B504,cubo!$A$6:$BE$37,16,0)-VLOOKUP(B504,#REF!,$J$2,0),0)</f>
        <v>0</v>
      </c>
      <c r="K504" s="9">
        <f>IFERROR(VLOOKUP(B504,cubo!$A$6:$BE$37,17,0)-VLOOKUP(B504,#REF!,$K$2,0),0)</f>
        <v>0</v>
      </c>
      <c r="L504" s="9">
        <f>IFERROR(VLOOKUP(B504,cubo!$A$6:$BE$37,19,0)-VLOOKUP(B504,#REF!,$L$2,0),0)</f>
        <v>0</v>
      </c>
      <c r="M504" s="9">
        <f>IFERROR(VLOOKUP(B504,cubo!$A$6:$BE$37,23,0)-VLOOKUP(B504,#REF!,$M$2,0),0)</f>
        <v>0</v>
      </c>
      <c r="N504" s="9">
        <f>IFERROR(VLOOKUP(B504,cubo!$A$6:$BE$37,25,0)-VLOOKUP(B504,#REF!,$N$2,0),0)</f>
        <v>0</v>
      </c>
      <c r="O504" s="9">
        <f>IFERROR(VLOOKUP(B504,cubo!$A$6:$BE$37,33,0)-VLOOKUP(B504,#REF!,$O$2,0),0)</f>
        <v>0</v>
      </c>
      <c r="P504" s="8">
        <f>IFERROR(VLOOKUP(B504,cubo!$A$6:$BE$37,37,0)-VLOOKUP(B504,#REF!,$P$2,0),0)</f>
        <v>0</v>
      </c>
      <c r="Q504" s="8">
        <f>IFERROR(VLOOKUP(B504,cubo!$A$6:$BE$37,56,0)-VLOOKUP(B504,#REF!,$Q$2,0),0)</f>
        <v>0</v>
      </c>
      <c r="R504" s="9">
        <f>IFERROR(VLOOKUP(B504,cubo!$A$6:$BE$37,40,0)-VLOOKUP(B504,#REF!,$R$2,0),0)</f>
        <v>0</v>
      </c>
      <c r="S504" s="9">
        <f>IFERROR(VLOOKUP(B504,cubo!$A$6:$BE$37,43,0)-VLOOKUP(B504,#REF!,$S$2,0),0)</f>
        <v>0</v>
      </c>
      <c r="T504" s="9">
        <f>IFERROR(VLOOKUP(B504,cubo!$A$6:$BE$37,46,0)-VLOOKUP(B504,#REF!,$T$2,0),0)</f>
        <v>0</v>
      </c>
      <c r="U504" s="9">
        <f>IFERROR(VLOOKUP(B504,cubo!$A$6:$BE$37,51,0)-VLOOKUP(B504,#REF!,$U$2,0),0)</f>
        <v>0</v>
      </c>
      <c r="V504" s="9">
        <f>IFERROR(VLOOKUP(B504,cubo!$A$6:$BJ$37,60,0)-VLOOKUP(B504,#REF!,$V$2,0),0)</f>
        <v>0</v>
      </c>
      <c r="W504" s="9">
        <f>IFERROR(VLOOKUP(B504,cubo!$A$6:$BE$37,26,0)-VLOOKUP(B504,#REF!,$W$2,0),0)</f>
        <v>0</v>
      </c>
      <c r="X504" s="9">
        <f>IFERROR(VLOOKUP(B504,cubo!$A$6:$BE$37,20,0)-VLOOKUP(B504,#REF!,$X$2,0),0)</f>
        <v>0</v>
      </c>
      <c r="Y504" s="9">
        <f>IFERROR(VLOOKUP(B504,cubo!$A$6:$BE$37,21,0)-VLOOKUP(B504,#REF!,$Y$2,0),0)</f>
        <v>0</v>
      </c>
      <c r="Z504" s="9">
        <f>IFERROR(VLOOKUP(B504,cubo!$A$6:$BE$37,27,0)-VLOOKUP(B504,#REF!,$Z$2,0),0)</f>
        <v>0</v>
      </c>
      <c r="AA504" s="9">
        <f>IFERROR(VLOOKUP(B504,cubo!$A$6:$BE$37,28,0)-VLOOKUP(B504,#REF!,$AA$2,0),0)</f>
        <v>0</v>
      </c>
      <c r="AB504" s="9">
        <f>IFERROR(VLOOKUP(B504,cubo!$A$6:$BE$37,29,0)-VLOOKUP(B504,#REF!,$AB$2,0),0)</f>
        <v>0</v>
      </c>
      <c r="AC504" s="9">
        <f>IFERROR(VLOOKUP(B504,cubo!$A$6:$BE$37,30,0)-VLOOKUP(B504,#REF!,$AC$2,0),0)</f>
        <v>0</v>
      </c>
      <c r="AD504" s="9">
        <f>IFERROR(VLOOKUP(B504,cubo!$A$6:$BE$37,31,0)-VLOOKUP(B504,#REF!,$AD$2,0),0)</f>
        <v>0</v>
      </c>
      <c r="AE504" s="9">
        <f>IFERROR(VLOOKUP(B504,cubo!$A$6:$BE$37,35,0)-VLOOKUP(B504,#REF!,$AE$2,0),0)</f>
        <v>0</v>
      </c>
      <c r="AF504" s="9" cm="1">
        <f t="array" aca="1" ref="AF504" ca="1">IFERROR(rrPROCV(B504,cubo!$A$6:$BE$37,48,0)-VLOOKUP(B504,#REF!,$AF$2,0),0)</f>
        <v>0</v>
      </c>
      <c r="AG504" s="9">
        <f>IFERROR(VLOOKUP(B504,cubo!$A$6:$BE$37,49,0)-VLOOKUP(B504,#REF!,$AG$2,0),0)</f>
        <v>0</v>
      </c>
      <c r="AH504" s="9">
        <f>IFERROR(VLOOKUP(B504,cubo!$A$6:$BE$37,50,0)-VLOOKUP(B504,#REF!,$AH$2,0),0)</f>
        <v>0</v>
      </c>
      <c r="AI504" s="9">
        <f>IFERROR(VLOOKUP(B504,cubo!$A$6:$BE$37,51,0)-VLOOKUP(B504,#REF!,$AI$2,0),0)</f>
        <v>0</v>
      </c>
      <c r="AJ504" s="9">
        <f>IFERROR(VLOOKUP(B504,cubo!$A$6:$BI$116,62,0)-VLOOKUP(B504,#REF!,$AJ$2,0),0)</f>
        <v>0</v>
      </c>
      <c r="AK504" s="9">
        <f>IFERROR(VLOOKUP(B504,cubo!$A$6:$BJ$37,63,0)-VLOOKUP(B504,#REF!,$AK$2,0),0)</f>
        <v>0</v>
      </c>
      <c r="AL504" s="9">
        <f>IFERROR(VLOOKUP(B504,cubo!$A$6:$BE$37,58,0)-VLOOKUP(B504,#REF!,$AL$2,0),0)</f>
        <v>0</v>
      </c>
      <c r="AM504" s="9">
        <f>IFERROR(VLOOKUP(B504,cubo!$A$6:$BK$37,64,0)-VLOOKUP(B504,#REF!,$AM$2,0),0)</f>
        <v>0</v>
      </c>
      <c r="AN504" s="9">
        <f>IFERROR(VLOOKUP(B504,cubo!$A$6:$AN$37,41,0)-VLOOKUP(B504,#REF!,$AN$2,0),0)</f>
        <v>0</v>
      </c>
    </row>
    <row r="505" spans="2:40" x14ac:dyDescent="0.25">
      <c r="B505" s="7">
        <f>[1]salario!A504</f>
        <v>0</v>
      </c>
      <c r="C505" s="8">
        <f>[1]salario!C504</f>
        <v>0</v>
      </c>
      <c r="D505" s="9">
        <f>IFERROR(VLOOKUP(B505,cubo!$A$6:$BE$37,3,0)-VLOOKUP(B505,#REF!,$D$2,0),0)</f>
        <v>0</v>
      </c>
      <c r="E505" s="10">
        <f>IFERROR(VLOOKUP(B505,cubo!$A$6:$BE$37,5,0)-VLOOKUP(B505,#REF!,$E$2,0),0)</f>
        <v>0</v>
      </c>
      <c r="F505" s="10">
        <f>IFERROR(VLOOKUP(B505,cubo!$A$6:$BE$37,8,0)-VLOOKUP(B505,#REF!,$F$2,0),0)</f>
        <v>0</v>
      </c>
      <c r="G505" s="9">
        <f>IFERROR(VLOOKUP(B505,cubo!$A$6:$BE$37,11,0)-VLOOKUP(B505,#REF!,$G$2,0),0)</f>
        <v>0</v>
      </c>
      <c r="H505" s="9">
        <f>IFERROR(VLOOKUP(B505,cubo!$A$6:$BE$37,53,0)-VLOOKUP(B505,#REF!,$H$2,0),0)</f>
        <v>0</v>
      </c>
      <c r="I505" s="10">
        <f>IFERROR(VLOOKUP(B505,cubo!$A$6:$BE$37,14,0)-VLOOKUP(B505,#REF!,$I$2,0),0)</f>
        <v>0</v>
      </c>
      <c r="J505" s="9">
        <f>IFERROR(VLOOKUP(B505,cubo!$A$6:$BE$37,16,0)-VLOOKUP(B505,#REF!,$J$2,0),0)</f>
        <v>0</v>
      </c>
      <c r="K505" s="9">
        <f>IFERROR(VLOOKUP(B505,cubo!$A$6:$BE$37,17,0)-VLOOKUP(B505,#REF!,$K$2,0),0)</f>
        <v>0</v>
      </c>
      <c r="L505" s="9">
        <f>IFERROR(VLOOKUP(B505,cubo!$A$6:$BE$37,19,0)-VLOOKUP(B505,#REF!,$L$2,0),0)</f>
        <v>0</v>
      </c>
      <c r="M505" s="9">
        <f>IFERROR(VLOOKUP(B505,cubo!$A$6:$BE$37,23,0)-VLOOKUP(B505,#REF!,$M$2,0),0)</f>
        <v>0</v>
      </c>
      <c r="N505" s="9">
        <f>IFERROR(VLOOKUP(B505,cubo!$A$6:$BE$37,25,0)-VLOOKUP(B505,#REF!,$N$2,0),0)</f>
        <v>0</v>
      </c>
      <c r="O505" s="9">
        <f>IFERROR(VLOOKUP(B505,cubo!$A$6:$BE$37,33,0)-VLOOKUP(B505,#REF!,$O$2,0),0)</f>
        <v>0</v>
      </c>
      <c r="P505" s="8">
        <f>IFERROR(VLOOKUP(B505,cubo!$A$6:$BE$37,37,0)-VLOOKUP(B505,#REF!,$P$2,0),0)</f>
        <v>0</v>
      </c>
      <c r="Q505" s="8">
        <f>IFERROR(VLOOKUP(B505,cubo!$A$6:$BE$37,56,0)-VLOOKUP(B505,#REF!,$Q$2,0),0)</f>
        <v>0</v>
      </c>
      <c r="R505" s="9">
        <f>IFERROR(VLOOKUP(B505,cubo!$A$6:$BE$37,40,0)-VLOOKUP(B505,#REF!,$R$2,0),0)</f>
        <v>0</v>
      </c>
      <c r="S505" s="9">
        <f>IFERROR(VLOOKUP(B505,cubo!$A$6:$BE$37,43,0)-VLOOKUP(B505,#REF!,$S$2,0),0)</f>
        <v>0</v>
      </c>
      <c r="T505" s="9">
        <f>IFERROR(VLOOKUP(B505,cubo!$A$6:$BE$37,46,0)-VLOOKUP(B505,#REF!,$T$2,0),0)</f>
        <v>0</v>
      </c>
      <c r="U505" s="9">
        <f>IFERROR(VLOOKUP(B505,cubo!$A$6:$BE$37,51,0)-VLOOKUP(B505,#REF!,$U$2,0),0)</f>
        <v>0</v>
      </c>
      <c r="V505" s="9">
        <f>IFERROR(VLOOKUP(B505,cubo!$A$6:$BJ$37,60,0)-VLOOKUP(B505,#REF!,$V$2,0),0)</f>
        <v>0</v>
      </c>
      <c r="W505" s="9">
        <f>IFERROR(VLOOKUP(B505,cubo!$A$6:$BE$37,26,0)-VLOOKUP(B505,#REF!,$W$2,0),0)</f>
        <v>0</v>
      </c>
      <c r="X505" s="9">
        <f>IFERROR(VLOOKUP(B505,cubo!$A$6:$BE$37,20,0)-VLOOKUP(B505,#REF!,$X$2,0),0)</f>
        <v>0</v>
      </c>
      <c r="Y505" s="9">
        <f>IFERROR(VLOOKUP(B505,cubo!$A$6:$BE$37,21,0)-VLOOKUP(B505,#REF!,$Y$2,0),0)</f>
        <v>0</v>
      </c>
      <c r="Z505" s="9">
        <f>IFERROR(VLOOKUP(B505,cubo!$A$6:$BE$37,27,0)-VLOOKUP(B505,#REF!,$Z$2,0),0)</f>
        <v>0</v>
      </c>
      <c r="AA505" s="9">
        <f>IFERROR(VLOOKUP(B505,cubo!$A$6:$BE$37,28,0)-VLOOKUP(B505,#REF!,$AA$2,0),0)</f>
        <v>0</v>
      </c>
      <c r="AB505" s="9">
        <f>IFERROR(VLOOKUP(B505,cubo!$A$6:$BE$37,29,0)-VLOOKUP(B505,#REF!,$AB$2,0),0)</f>
        <v>0</v>
      </c>
      <c r="AC505" s="9">
        <f>IFERROR(VLOOKUP(B505,cubo!$A$6:$BE$37,30,0)-VLOOKUP(B505,#REF!,$AC$2,0),0)</f>
        <v>0</v>
      </c>
      <c r="AD505" s="9">
        <f>IFERROR(VLOOKUP(B505,cubo!$A$6:$BE$37,31,0)-VLOOKUP(B505,#REF!,$AD$2,0),0)</f>
        <v>0</v>
      </c>
      <c r="AE505" s="9">
        <f>IFERROR(VLOOKUP(B505,cubo!$A$6:$BE$37,35,0)-VLOOKUP(B505,#REF!,$AE$2,0),0)</f>
        <v>0</v>
      </c>
      <c r="AF505" s="9" cm="1">
        <f t="array" aca="1" ref="AF505" ca="1">IFERROR(rrPROCV(B505,cubo!$A$6:$BE$37,48,0)-VLOOKUP(B505,#REF!,$AF$2,0),0)</f>
        <v>0</v>
      </c>
      <c r="AG505" s="9">
        <f>IFERROR(VLOOKUP(B505,cubo!$A$6:$BE$37,49,0)-VLOOKUP(B505,#REF!,$AG$2,0),0)</f>
        <v>0</v>
      </c>
      <c r="AH505" s="9">
        <f>IFERROR(VLOOKUP(B505,cubo!$A$6:$BE$37,50,0)-VLOOKUP(B505,#REF!,$AH$2,0),0)</f>
        <v>0</v>
      </c>
      <c r="AI505" s="9">
        <f>IFERROR(VLOOKUP(B505,cubo!$A$6:$BE$37,51,0)-VLOOKUP(B505,#REF!,$AI$2,0),0)</f>
        <v>0</v>
      </c>
      <c r="AJ505" s="9">
        <f>IFERROR(VLOOKUP(B505,cubo!$A$6:$BI$116,62,0)-VLOOKUP(B505,#REF!,$AJ$2,0),0)</f>
        <v>0</v>
      </c>
      <c r="AK505" s="9">
        <f>IFERROR(VLOOKUP(B505,cubo!$A$6:$BJ$37,63,0)-VLOOKUP(B505,#REF!,$AK$2,0),0)</f>
        <v>0</v>
      </c>
      <c r="AL505" s="9">
        <f>IFERROR(VLOOKUP(B505,cubo!$A$6:$BE$37,58,0)-VLOOKUP(B505,#REF!,$AL$2,0),0)</f>
        <v>0</v>
      </c>
      <c r="AM505" s="9">
        <f>IFERROR(VLOOKUP(B505,cubo!$A$6:$BK$37,64,0)-VLOOKUP(B505,#REF!,$AM$2,0),0)</f>
        <v>0</v>
      </c>
      <c r="AN505" s="9">
        <f>IFERROR(VLOOKUP(B505,cubo!$A$6:$AN$37,41,0)-VLOOKUP(B505,#REF!,$AN$2,0),0)</f>
        <v>0</v>
      </c>
    </row>
    <row r="506" spans="2:40" x14ac:dyDescent="0.25">
      <c r="B506" s="7">
        <f>[1]salario!A505</f>
        <v>0</v>
      </c>
      <c r="C506" s="8">
        <f>[1]salario!C505</f>
        <v>0</v>
      </c>
      <c r="D506" s="9">
        <f>IFERROR(VLOOKUP(B506,cubo!$A$6:$BE$37,3,0)-VLOOKUP(B506,#REF!,$D$2,0),0)</f>
        <v>0</v>
      </c>
      <c r="E506" s="10">
        <f>IFERROR(VLOOKUP(B506,cubo!$A$6:$BE$37,5,0)-VLOOKUP(B506,#REF!,$E$2,0),0)</f>
        <v>0</v>
      </c>
      <c r="F506" s="10">
        <f>IFERROR(VLOOKUP(B506,cubo!$A$6:$BE$37,8,0)-VLOOKUP(B506,#REF!,$F$2,0),0)</f>
        <v>0</v>
      </c>
      <c r="G506" s="9">
        <f>IFERROR(VLOOKUP(B506,cubo!$A$6:$BE$37,11,0)-VLOOKUP(B506,#REF!,$G$2,0),0)</f>
        <v>0</v>
      </c>
      <c r="H506" s="9">
        <f>IFERROR(VLOOKUP(B506,cubo!$A$6:$BE$37,53,0)-VLOOKUP(B506,#REF!,$H$2,0),0)</f>
        <v>0</v>
      </c>
      <c r="I506" s="10">
        <f>IFERROR(VLOOKUP(B506,cubo!$A$6:$BE$37,14,0)-VLOOKUP(B506,#REF!,$I$2,0),0)</f>
        <v>0</v>
      </c>
      <c r="J506" s="9">
        <f>IFERROR(VLOOKUP(B506,cubo!$A$6:$BE$37,16,0)-VLOOKUP(B506,#REF!,$J$2,0),0)</f>
        <v>0</v>
      </c>
      <c r="K506" s="9">
        <f>IFERROR(VLOOKUP(B506,cubo!$A$6:$BE$37,17,0)-VLOOKUP(B506,#REF!,$K$2,0),0)</f>
        <v>0</v>
      </c>
      <c r="L506" s="9">
        <f>IFERROR(VLOOKUP(B506,cubo!$A$6:$BE$37,19,0)-VLOOKUP(B506,#REF!,$L$2,0),0)</f>
        <v>0</v>
      </c>
      <c r="M506" s="9">
        <f>IFERROR(VLOOKUP(B506,cubo!$A$6:$BE$37,23,0)-VLOOKUP(B506,#REF!,$M$2,0),0)</f>
        <v>0</v>
      </c>
      <c r="N506" s="9">
        <f>IFERROR(VLOOKUP(B506,cubo!$A$6:$BE$37,25,0)-VLOOKUP(B506,#REF!,$N$2,0),0)</f>
        <v>0</v>
      </c>
      <c r="O506" s="9">
        <f>IFERROR(VLOOKUP(B506,cubo!$A$6:$BE$37,33,0)-VLOOKUP(B506,#REF!,$O$2,0),0)</f>
        <v>0</v>
      </c>
      <c r="P506" s="8">
        <f>IFERROR(VLOOKUP(B506,cubo!$A$6:$BE$37,37,0)-VLOOKUP(B506,#REF!,$P$2,0),0)</f>
        <v>0</v>
      </c>
      <c r="Q506" s="8">
        <f>IFERROR(VLOOKUP(B506,cubo!$A$6:$BE$37,56,0)-VLOOKUP(B506,#REF!,$Q$2,0),0)</f>
        <v>0</v>
      </c>
      <c r="R506" s="9">
        <f>IFERROR(VLOOKUP(B506,cubo!$A$6:$BE$37,40,0)-VLOOKUP(B506,#REF!,$R$2,0),0)</f>
        <v>0</v>
      </c>
      <c r="S506" s="9">
        <f>IFERROR(VLOOKUP(B506,cubo!$A$6:$BE$37,43,0)-VLOOKUP(B506,#REF!,$S$2,0),0)</f>
        <v>0</v>
      </c>
      <c r="T506" s="9">
        <f>IFERROR(VLOOKUP(B506,cubo!$A$6:$BE$37,46,0)-VLOOKUP(B506,#REF!,$T$2,0),0)</f>
        <v>0</v>
      </c>
      <c r="U506" s="9">
        <f>IFERROR(VLOOKUP(B506,cubo!$A$6:$BE$37,51,0)-VLOOKUP(B506,#REF!,$U$2,0),0)</f>
        <v>0</v>
      </c>
      <c r="V506" s="9">
        <f>IFERROR(VLOOKUP(B506,cubo!$A$6:$BJ$37,60,0)-VLOOKUP(B506,#REF!,$V$2,0),0)</f>
        <v>0</v>
      </c>
      <c r="W506" s="9">
        <f>IFERROR(VLOOKUP(B506,cubo!$A$6:$BE$37,26,0)-VLOOKUP(B506,#REF!,$W$2,0),0)</f>
        <v>0</v>
      </c>
      <c r="X506" s="9">
        <f>IFERROR(VLOOKUP(B506,cubo!$A$6:$BE$37,20,0)-VLOOKUP(B506,#REF!,$X$2,0),0)</f>
        <v>0</v>
      </c>
      <c r="Y506" s="9">
        <f>IFERROR(VLOOKUP(B506,cubo!$A$6:$BE$37,21,0)-VLOOKUP(B506,#REF!,$Y$2,0),0)</f>
        <v>0</v>
      </c>
      <c r="Z506" s="9">
        <f>IFERROR(VLOOKUP(B506,cubo!$A$6:$BE$37,27,0)-VLOOKUP(B506,#REF!,$Z$2,0),0)</f>
        <v>0</v>
      </c>
      <c r="AA506" s="9">
        <f>IFERROR(VLOOKUP(B506,cubo!$A$6:$BE$37,28,0)-VLOOKUP(B506,#REF!,$AA$2,0),0)</f>
        <v>0</v>
      </c>
      <c r="AB506" s="9">
        <f>IFERROR(VLOOKUP(B506,cubo!$A$6:$BE$37,29,0)-VLOOKUP(B506,#REF!,$AB$2,0),0)</f>
        <v>0</v>
      </c>
      <c r="AC506" s="9">
        <f>IFERROR(VLOOKUP(B506,cubo!$A$6:$BE$37,30,0)-VLOOKUP(B506,#REF!,$AC$2,0),0)</f>
        <v>0</v>
      </c>
      <c r="AD506" s="9">
        <f>IFERROR(VLOOKUP(B506,cubo!$A$6:$BE$37,31,0)-VLOOKUP(B506,#REF!,$AD$2,0),0)</f>
        <v>0</v>
      </c>
      <c r="AE506" s="9">
        <f>IFERROR(VLOOKUP(B506,cubo!$A$6:$BE$37,35,0)-VLOOKUP(B506,#REF!,$AE$2,0),0)</f>
        <v>0</v>
      </c>
      <c r="AF506" s="9" cm="1">
        <f t="array" aca="1" ref="AF506" ca="1">IFERROR(rrPROCV(B506,cubo!$A$6:$BE$37,48,0)-VLOOKUP(B506,#REF!,$AF$2,0),0)</f>
        <v>0</v>
      </c>
      <c r="AG506" s="9">
        <f>IFERROR(VLOOKUP(B506,cubo!$A$6:$BE$37,49,0)-VLOOKUP(B506,#REF!,$AG$2,0),0)</f>
        <v>0</v>
      </c>
      <c r="AH506" s="9">
        <f>IFERROR(VLOOKUP(B506,cubo!$A$6:$BE$37,50,0)-VLOOKUP(B506,#REF!,$AH$2,0),0)</f>
        <v>0</v>
      </c>
      <c r="AI506" s="9">
        <f>IFERROR(VLOOKUP(B506,cubo!$A$6:$BE$37,51,0)-VLOOKUP(B506,#REF!,$AI$2,0),0)</f>
        <v>0</v>
      </c>
      <c r="AJ506" s="9">
        <f>IFERROR(VLOOKUP(B506,cubo!$A$6:$BI$116,62,0)-VLOOKUP(B506,#REF!,$AJ$2,0),0)</f>
        <v>0</v>
      </c>
      <c r="AK506" s="9">
        <f>IFERROR(VLOOKUP(B506,cubo!$A$6:$BJ$37,63,0)-VLOOKUP(B506,#REF!,$AK$2,0),0)</f>
        <v>0</v>
      </c>
      <c r="AL506" s="9">
        <f>IFERROR(VLOOKUP(B506,cubo!$A$6:$BE$37,58,0)-VLOOKUP(B506,#REF!,$AL$2,0),0)</f>
        <v>0</v>
      </c>
      <c r="AM506" s="9">
        <f>IFERROR(VLOOKUP(B506,cubo!$A$6:$BK$37,64,0)-VLOOKUP(B506,#REF!,$AM$2,0),0)</f>
        <v>0</v>
      </c>
      <c r="AN506" s="9">
        <f>IFERROR(VLOOKUP(B506,cubo!$A$6:$AN$37,41,0)-VLOOKUP(B506,#REF!,$AN$2,0),0)</f>
        <v>0</v>
      </c>
    </row>
    <row r="507" spans="2:40" x14ac:dyDescent="0.25">
      <c r="B507" s="7">
        <f>[1]salario!A506</f>
        <v>0</v>
      </c>
      <c r="C507" s="8">
        <f>[1]salario!C506</f>
        <v>0</v>
      </c>
      <c r="D507" s="9">
        <f>IFERROR(VLOOKUP(B507,cubo!$A$6:$BE$37,3,0)-VLOOKUP(B507,#REF!,$D$2,0),0)</f>
        <v>0</v>
      </c>
      <c r="E507" s="10">
        <f>IFERROR(VLOOKUP(B507,cubo!$A$6:$BE$37,5,0)-VLOOKUP(B507,#REF!,$E$2,0),0)</f>
        <v>0</v>
      </c>
      <c r="F507" s="10">
        <f>IFERROR(VLOOKUP(B507,cubo!$A$6:$BE$37,8,0)-VLOOKUP(B507,#REF!,$F$2,0),0)</f>
        <v>0</v>
      </c>
      <c r="G507" s="9">
        <f>IFERROR(VLOOKUP(B507,cubo!$A$6:$BE$37,11,0)-VLOOKUP(B507,#REF!,$G$2,0),0)</f>
        <v>0</v>
      </c>
      <c r="H507" s="9">
        <f>IFERROR(VLOOKUP(B507,cubo!$A$6:$BE$37,53,0)-VLOOKUP(B507,#REF!,$H$2,0),0)</f>
        <v>0</v>
      </c>
      <c r="I507" s="10">
        <f>IFERROR(VLOOKUP(B507,cubo!$A$6:$BE$37,14,0)-VLOOKUP(B507,#REF!,$I$2,0),0)</f>
        <v>0</v>
      </c>
      <c r="J507" s="9">
        <f>IFERROR(VLOOKUP(B507,cubo!$A$6:$BE$37,16,0)-VLOOKUP(B507,#REF!,$J$2,0),0)</f>
        <v>0</v>
      </c>
      <c r="K507" s="9">
        <f>IFERROR(VLOOKUP(B507,cubo!$A$6:$BE$37,17,0)-VLOOKUP(B507,#REF!,$K$2,0),0)</f>
        <v>0</v>
      </c>
      <c r="L507" s="9">
        <f>IFERROR(VLOOKUP(B507,cubo!$A$6:$BE$37,19,0)-VLOOKUP(B507,#REF!,$L$2,0),0)</f>
        <v>0</v>
      </c>
      <c r="M507" s="9">
        <f>IFERROR(VLOOKUP(B507,cubo!$A$6:$BE$37,23,0)-VLOOKUP(B507,#REF!,$M$2,0),0)</f>
        <v>0</v>
      </c>
      <c r="N507" s="9">
        <f>IFERROR(VLOOKUP(B507,cubo!$A$6:$BE$37,25,0)-VLOOKUP(B507,#REF!,$N$2,0),0)</f>
        <v>0</v>
      </c>
      <c r="O507" s="9">
        <f>IFERROR(VLOOKUP(B507,cubo!$A$6:$BE$37,33,0)-VLOOKUP(B507,#REF!,$O$2,0),0)</f>
        <v>0</v>
      </c>
      <c r="P507" s="8">
        <f>IFERROR(VLOOKUP(B507,cubo!$A$6:$BE$37,37,0)-VLOOKUP(B507,#REF!,$P$2,0),0)</f>
        <v>0</v>
      </c>
      <c r="Q507" s="8">
        <f>IFERROR(VLOOKUP(B507,cubo!$A$6:$BE$37,56,0)-VLOOKUP(B507,#REF!,$Q$2,0),0)</f>
        <v>0</v>
      </c>
      <c r="R507" s="9">
        <f>IFERROR(VLOOKUP(B507,cubo!$A$6:$BE$37,40,0)-VLOOKUP(B507,#REF!,$R$2,0),0)</f>
        <v>0</v>
      </c>
      <c r="S507" s="9">
        <f>IFERROR(VLOOKUP(B507,cubo!$A$6:$BE$37,43,0)-VLOOKUP(B507,#REF!,$S$2,0),0)</f>
        <v>0</v>
      </c>
      <c r="T507" s="9">
        <f>IFERROR(VLOOKUP(B507,cubo!$A$6:$BE$37,46,0)-VLOOKUP(B507,#REF!,$T$2,0),0)</f>
        <v>0</v>
      </c>
      <c r="U507" s="9">
        <f>IFERROR(VLOOKUP(B507,cubo!$A$6:$BE$37,51,0)-VLOOKUP(B507,#REF!,$U$2,0),0)</f>
        <v>0</v>
      </c>
      <c r="V507" s="9">
        <f>IFERROR(VLOOKUP(B507,cubo!$A$6:$BJ$37,60,0)-VLOOKUP(B507,#REF!,$V$2,0),0)</f>
        <v>0</v>
      </c>
      <c r="W507" s="9">
        <f>IFERROR(VLOOKUP(B507,cubo!$A$6:$BE$37,26,0)-VLOOKUP(B507,#REF!,$W$2,0),0)</f>
        <v>0</v>
      </c>
      <c r="X507" s="9">
        <f>IFERROR(VLOOKUP(B507,cubo!$A$6:$BE$37,20,0)-VLOOKUP(B507,#REF!,$X$2,0),0)</f>
        <v>0</v>
      </c>
      <c r="Y507" s="9">
        <f>IFERROR(VLOOKUP(B507,cubo!$A$6:$BE$37,21,0)-VLOOKUP(B507,#REF!,$Y$2,0),0)</f>
        <v>0</v>
      </c>
      <c r="Z507" s="9">
        <f>IFERROR(VLOOKUP(B507,cubo!$A$6:$BE$37,27,0)-VLOOKUP(B507,#REF!,$Z$2,0),0)</f>
        <v>0</v>
      </c>
      <c r="AA507" s="9">
        <f>IFERROR(VLOOKUP(B507,cubo!$A$6:$BE$37,28,0)-VLOOKUP(B507,#REF!,$AA$2,0),0)</f>
        <v>0</v>
      </c>
      <c r="AB507" s="9">
        <f>IFERROR(VLOOKUP(B507,cubo!$A$6:$BE$37,29,0)-VLOOKUP(B507,#REF!,$AB$2,0),0)</f>
        <v>0</v>
      </c>
      <c r="AC507" s="9">
        <f>IFERROR(VLOOKUP(B507,cubo!$A$6:$BE$37,30,0)-VLOOKUP(B507,#REF!,$AC$2,0),0)</f>
        <v>0</v>
      </c>
      <c r="AD507" s="9">
        <f>IFERROR(VLOOKUP(B507,cubo!$A$6:$BE$37,31,0)-VLOOKUP(B507,#REF!,$AD$2,0),0)</f>
        <v>0</v>
      </c>
      <c r="AE507" s="9">
        <f>IFERROR(VLOOKUP(B507,cubo!$A$6:$BE$37,35,0)-VLOOKUP(B507,#REF!,$AE$2,0),0)</f>
        <v>0</v>
      </c>
      <c r="AF507" s="9" cm="1">
        <f t="array" aca="1" ref="AF507" ca="1">IFERROR(rrPROCV(B507,cubo!$A$6:$BE$37,48,0)-VLOOKUP(B507,#REF!,$AF$2,0),0)</f>
        <v>0</v>
      </c>
      <c r="AG507" s="9">
        <f>IFERROR(VLOOKUP(B507,cubo!$A$6:$BE$37,49,0)-VLOOKUP(B507,#REF!,$AG$2,0),0)</f>
        <v>0</v>
      </c>
      <c r="AH507" s="9">
        <f>IFERROR(VLOOKUP(B507,cubo!$A$6:$BE$37,50,0)-VLOOKUP(B507,#REF!,$AH$2,0),0)</f>
        <v>0</v>
      </c>
      <c r="AI507" s="9">
        <f>IFERROR(VLOOKUP(B507,cubo!$A$6:$BE$37,51,0)-VLOOKUP(B507,#REF!,$AI$2,0),0)</f>
        <v>0</v>
      </c>
      <c r="AJ507" s="9">
        <f>IFERROR(VLOOKUP(B507,cubo!$A$6:$BI$116,62,0)-VLOOKUP(B507,#REF!,$AJ$2,0),0)</f>
        <v>0</v>
      </c>
      <c r="AK507" s="9">
        <f>IFERROR(VLOOKUP(B507,cubo!$A$6:$BJ$37,63,0)-VLOOKUP(B507,#REF!,$AK$2,0),0)</f>
        <v>0</v>
      </c>
      <c r="AL507" s="9">
        <f>IFERROR(VLOOKUP(B507,cubo!$A$6:$BE$37,58,0)-VLOOKUP(B507,#REF!,$AL$2,0),0)</f>
        <v>0</v>
      </c>
      <c r="AM507" s="9">
        <f>IFERROR(VLOOKUP(B507,cubo!$A$6:$BK$37,64,0)-VLOOKUP(B507,#REF!,$AM$2,0),0)</f>
        <v>0</v>
      </c>
      <c r="AN507" s="9">
        <f>IFERROR(VLOOKUP(B507,cubo!$A$6:$AN$37,41,0)-VLOOKUP(B507,#REF!,$AN$2,0),0)</f>
        <v>0</v>
      </c>
    </row>
    <row r="508" spans="2:40" x14ac:dyDescent="0.25">
      <c r="B508" s="7">
        <f>[1]salario!A507</f>
        <v>0</v>
      </c>
      <c r="C508" s="8">
        <f>[1]salario!C507</f>
        <v>0</v>
      </c>
      <c r="D508" s="9">
        <f>IFERROR(VLOOKUP(B508,cubo!$A$6:$BE$37,3,0)-VLOOKUP(B508,#REF!,$D$2,0),0)</f>
        <v>0</v>
      </c>
      <c r="E508" s="10">
        <f>IFERROR(VLOOKUP(B508,cubo!$A$6:$BE$37,5,0)-VLOOKUP(B508,#REF!,$E$2,0),0)</f>
        <v>0</v>
      </c>
      <c r="F508" s="10">
        <f>IFERROR(VLOOKUP(B508,cubo!$A$6:$BE$37,8,0)-VLOOKUP(B508,#REF!,$F$2,0),0)</f>
        <v>0</v>
      </c>
      <c r="G508" s="9">
        <f>IFERROR(VLOOKUP(B508,cubo!$A$6:$BE$37,11,0)-VLOOKUP(B508,#REF!,$G$2,0),0)</f>
        <v>0</v>
      </c>
      <c r="H508" s="9">
        <f>IFERROR(VLOOKUP(B508,cubo!$A$6:$BE$37,53,0)-VLOOKUP(B508,#REF!,$H$2,0),0)</f>
        <v>0</v>
      </c>
      <c r="I508" s="10">
        <f>IFERROR(VLOOKUP(B508,cubo!$A$6:$BE$37,14,0)-VLOOKUP(B508,#REF!,$I$2,0),0)</f>
        <v>0</v>
      </c>
      <c r="J508" s="9">
        <f>IFERROR(VLOOKUP(B508,cubo!$A$6:$BE$37,16,0)-VLOOKUP(B508,#REF!,$J$2,0),0)</f>
        <v>0</v>
      </c>
      <c r="K508" s="9">
        <f>IFERROR(VLOOKUP(B508,cubo!$A$6:$BE$37,17,0)-VLOOKUP(B508,#REF!,$K$2,0),0)</f>
        <v>0</v>
      </c>
      <c r="L508" s="9">
        <f>IFERROR(VLOOKUP(B508,cubo!$A$6:$BE$37,19,0)-VLOOKUP(B508,#REF!,$L$2,0),0)</f>
        <v>0</v>
      </c>
      <c r="M508" s="9">
        <f>IFERROR(VLOOKUP(B508,cubo!$A$6:$BE$37,23,0)-VLOOKUP(B508,#REF!,$M$2,0),0)</f>
        <v>0</v>
      </c>
      <c r="N508" s="9">
        <f>IFERROR(VLOOKUP(B508,cubo!$A$6:$BE$37,25,0)-VLOOKUP(B508,#REF!,$N$2,0),0)</f>
        <v>0</v>
      </c>
      <c r="O508" s="9">
        <f>IFERROR(VLOOKUP(B508,cubo!$A$6:$BE$37,33,0)-VLOOKUP(B508,#REF!,$O$2,0),0)</f>
        <v>0</v>
      </c>
      <c r="P508" s="8">
        <f>IFERROR(VLOOKUP(B508,cubo!$A$6:$BE$37,37,0)-VLOOKUP(B508,#REF!,$P$2,0),0)</f>
        <v>0</v>
      </c>
      <c r="Q508" s="8">
        <f>IFERROR(VLOOKUP(B508,cubo!$A$6:$BE$37,56,0)-VLOOKUP(B508,#REF!,$Q$2,0),0)</f>
        <v>0</v>
      </c>
      <c r="R508" s="9">
        <f>IFERROR(VLOOKUP(B508,cubo!$A$6:$BE$37,40,0)-VLOOKUP(B508,#REF!,$R$2,0),0)</f>
        <v>0</v>
      </c>
      <c r="S508" s="9">
        <f>IFERROR(VLOOKUP(B508,cubo!$A$6:$BE$37,43,0)-VLOOKUP(B508,#REF!,$S$2,0),0)</f>
        <v>0</v>
      </c>
      <c r="T508" s="9">
        <f>IFERROR(VLOOKUP(B508,cubo!$A$6:$BE$37,46,0)-VLOOKUP(B508,#REF!,$T$2,0),0)</f>
        <v>0</v>
      </c>
      <c r="U508" s="9">
        <f>IFERROR(VLOOKUP(B508,cubo!$A$6:$BE$37,51,0)-VLOOKUP(B508,#REF!,$U$2,0),0)</f>
        <v>0</v>
      </c>
      <c r="V508" s="9">
        <f>IFERROR(VLOOKUP(B508,cubo!$A$6:$BJ$37,60,0)-VLOOKUP(B508,#REF!,$V$2,0),0)</f>
        <v>0</v>
      </c>
      <c r="W508" s="9">
        <f>IFERROR(VLOOKUP(B508,cubo!$A$6:$BE$37,26,0)-VLOOKUP(B508,#REF!,$W$2,0),0)</f>
        <v>0</v>
      </c>
      <c r="X508" s="9">
        <f>IFERROR(VLOOKUP(B508,cubo!$A$6:$BE$37,20,0)-VLOOKUP(B508,#REF!,$X$2,0),0)</f>
        <v>0</v>
      </c>
      <c r="Y508" s="9">
        <f>IFERROR(VLOOKUP(B508,cubo!$A$6:$BE$37,21,0)-VLOOKUP(B508,#REF!,$Y$2,0),0)</f>
        <v>0</v>
      </c>
      <c r="Z508" s="9">
        <f>IFERROR(VLOOKUP(B508,cubo!$A$6:$BE$37,27,0)-VLOOKUP(B508,#REF!,$Z$2,0),0)</f>
        <v>0</v>
      </c>
      <c r="AA508" s="9">
        <f>IFERROR(VLOOKUP(B508,cubo!$A$6:$BE$37,28,0)-VLOOKUP(B508,#REF!,$AA$2,0),0)</f>
        <v>0</v>
      </c>
      <c r="AB508" s="9">
        <f>IFERROR(VLOOKUP(B508,cubo!$A$6:$BE$37,29,0)-VLOOKUP(B508,#REF!,$AB$2,0),0)</f>
        <v>0</v>
      </c>
      <c r="AC508" s="9">
        <f>IFERROR(VLOOKUP(B508,cubo!$A$6:$BE$37,30,0)-VLOOKUP(B508,#REF!,$AC$2,0),0)</f>
        <v>0</v>
      </c>
      <c r="AD508" s="9">
        <f>IFERROR(VLOOKUP(B508,cubo!$A$6:$BE$37,31,0)-VLOOKUP(B508,#REF!,$AD$2,0),0)</f>
        <v>0</v>
      </c>
      <c r="AE508" s="9">
        <f>IFERROR(VLOOKUP(B508,cubo!$A$6:$BE$37,35,0)-VLOOKUP(B508,#REF!,$AE$2,0),0)</f>
        <v>0</v>
      </c>
      <c r="AF508" s="9" cm="1">
        <f t="array" aca="1" ref="AF508" ca="1">IFERROR(rrPROCV(B508,cubo!$A$6:$BE$37,48,0)-VLOOKUP(B508,#REF!,$AF$2,0),0)</f>
        <v>0</v>
      </c>
      <c r="AG508" s="9">
        <f>IFERROR(VLOOKUP(B508,cubo!$A$6:$BE$37,49,0)-VLOOKUP(B508,#REF!,$AG$2,0),0)</f>
        <v>0</v>
      </c>
      <c r="AH508" s="9">
        <f>IFERROR(VLOOKUP(B508,cubo!$A$6:$BE$37,50,0)-VLOOKUP(B508,#REF!,$AH$2,0),0)</f>
        <v>0</v>
      </c>
      <c r="AI508" s="9">
        <f>IFERROR(VLOOKUP(B508,cubo!$A$6:$BE$37,51,0)-VLOOKUP(B508,#REF!,$AI$2,0),0)</f>
        <v>0</v>
      </c>
      <c r="AJ508" s="9">
        <f>IFERROR(VLOOKUP(B508,cubo!$A$6:$BI$116,62,0)-VLOOKUP(B508,#REF!,$AJ$2,0),0)</f>
        <v>0</v>
      </c>
      <c r="AK508" s="9">
        <f>IFERROR(VLOOKUP(B508,cubo!$A$6:$BJ$37,63,0)-VLOOKUP(B508,#REF!,$AK$2,0),0)</f>
        <v>0</v>
      </c>
      <c r="AL508" s="9">
        <f>IFERROR(VLOOKUP(B508,cubo!$A$6:$BE$37,58,0)-VLOOKUP(B508,#REF!,$AL$2,0),0)</f>
        <v>0</v>
      </c>
      <c r="AM508" s="9">
        <f>IFERROR(VLOOKUP(B508,cubo!$A$6:$BK$37,64,0)-VLOOKUP(B508,#REF!,$AM$2,0),0)</f>
        <v>0</v>
      </c>
      <c r="AN508" s="9">
        <f>IFERROR(VLOOKUP(B508,cubo!$A$6:$AN$37,41,0)-VLOOKUP(B508,#REF!,$AN$2,0),0)</f>
        <v>0</v>
      </c>
    </row>
    <row r="509" spans="2:40" x14ac:dyDescent="0.25">
      <c r="B509" s="7">
        <f>[1]salario!A508</f>
        <v>0</v>
      </c>
      <c r="C509" s="8">
        <f>[1]salario!C508</f>
        <v>0</v>
      </c>
      <c r="D509" s="9">
        <f>IFERROR(VLOOKUP(B509,cubo!$A$6:$BE$37,3,0)-VLOOKUP(B509,#REF!,$D$2,0),0)</f>
        <v>0</v>
      </c>
      <c r="E509" s="10">
        <f>IFERROR(VLOOKUP(B509,cubo!$A$6:$BE$37,5,0)-VLOOKUP(B509,#REF!,$E$2,0),0)</f>
        <v>0</v>
      </c>
      <c r="F509" s="10">
        <f>IFERROR(VLOOKUP(B509,cubo!$A$6:$BE$37,8,0)-VLOOKUP(B509,#REF!,$F$2,0),0)</f>
        <v>0</v>
      </c>
      <c r="G509" s="9">
        <f>IFERROR(VLOOKUP(B509,cubo!$A$6:$BE$37,11,0)-VLOOKUP(B509,#REF!,$G$2,0),0)</f>
        <v>0</v>
      </c>
      <c r="H509" s="9">
        <f>IFERROR(VLOOKUP(B509,cubo!$A$6:$BE$37,53,0)-VLOOKUP(B509,#REF!,$H$2,0),0)</f>
        <v>0</v>
      </c>
      <c r="I509" s="10">
        <f>IFERROR(VLOOKUP(B509,cubo!$A$6:$BE$37,14,0)-VLOOKUP(B509,#REF!,$I$2,0),0)</f>
        <v>0</v>
      </c>
      <c r="J509" s="9">
        <f>IFERROR(VLOOKUP(B509,cubo!$A$6:$BE$37,16,0)-VLOOKUP(B509,#REF!,$J$2,0),0)</f>
        <v>0</v>
      </c>
      <c r="K509" s="9">
        <f>IFERROR(VLOOKUP(B509,cubo!$A$6:$BE$37,17,0)-VLOOKUP(B509,#REF!,$K$2,0),0)</f>
        <v>0</v>
      </c>
      <c r="L509" s="9">
        <f>IFERROR(VLOOKUP(B509,cubo!$A$6:$BE$37,19,0)-VLOOKUP(B509,#REF!,$L$2,0),0)</f>
        <v>0</v>
      </c>
      <c r="M509" s="9">
        <f>IFERROR(VLOOKUP(B509,cubo!$A$6:$BE$37,23,0)-VLOOKUP(B509,#REF!,$M$2,0),0)</f>
        <v>0</v>
      </c>
      <c r="N509" s="9">
        <f>IFERROR(VLOOKUP(B509,cubo!$A$6:$BE$37,25,0)-VLOOKUP(B509,#REF!,$N$2,0),0)</f>
        <v>0</v>
      </c>
      <c r="O509" s="9">
        <f>IFERROR(VLOOKUP(B509,cubo!$A$6:$BE$37,33,0)-VLOOKUP(B509,#REF!,$O$2,0),0)</f>
        <v>0</v>
      </c>
      <c r="P509" s="8">
        <f>IFERROR(VLOOKUP(B509,cubo!$A$6:$BE$37,37,0)-VLOOKUP(B509,#REF!,$P$2,0),0)</f>
        <v>0</v>
      </c>
      <c r="Q509" s="8">
        <f>IFERROR(VLOOKUP(B509,cubo!$A$6:$BE$37,56,0)-VLOOKUP(B509,#REF!,$Q$2,0),0)</f>
        <v>0</v>
      </c>
      <c r="R509" s="9">
        <f>IFERROR(VLOOKUP(B509,cubo!$A$6:$BE$37,40,0)-VLOOKUP(B509,#REF!,$R$2,0),0)</f>
        <v>0</v>
      </c>
      <c r="S509" s="9">
        <f>IFERROR(VLOOKUP(B509,cubo!$A$6:$BE$37,43,0)-VLOOKUP(B509,#REF!,$S$2,0),0)</f>
        <v>0</v>
      </c>
      <c r="T509" s="9">
        <f>IFERROR(VLOOKUP(B509,cubo!$A$6:$BE$37,46,0)-VLOOKUP(B509,#REF!,$T$2,0),0)</f>
        <v>0</v>
      </c>
      <c r="U509" s="9">
        <f>IFERROR(VLOOKUP(B509,cubo!$A$6:$BE$37,51,0)-VLOOKUP(B509,#REF!,$U$2,0),0)</f>
        <v>0</v>
      </c>
      <c r="V509" s="9">
        <f>IFERROR(VLOOKUP(B509,cubo!$A$6:$BJ$37,60,0)-VLOOKUP(B509,#REF!,$V$2,0),0)</f>
        <v>0</v>
      </c>
      <c r="W509" s="9">
        <f>IFERROR(VLOOKUP(B509,cubo!$A$6:$BE$37,26,0)-VLOOKUP(B509,#REF!,$W$2,0),0)</f>
        <v>0</v>
      </c>
      <c r="X509" s="9">
        <f>IFERROR(VLOOKUP(B509,cubo!$A$6:$BE$37,20,0)-VLOOKUP(B509,#REF!,$X$2,0),0)</f>
        <v>0</v>
      </c>
      <c r="Y509" s="9">
        <f>IFERROR(VLOOKUP(B509,cubo!$A$6:$BE$37,21,0)-VLOOKUP(B509,#REF!,$Y$2,0),0)</f>
        <v>0</v>
      </c>
      <c r="Z509" s="9">
        <f>IFERROR(VLOOKUP(B509,cubo!$A$6:$BE$37,27,0)-VLOOKUP(B509,#REF!,$Z$2,0),0)</f>
        <v>0</v>
      </c>
      <c r="AA509" s="9">
        <f>IFERROR(VLOOKUP(B509,cubo!$A$6:$BE$37,28,0)-VLOOKUP(B509,#REF!,$AA$2,0),0)</f>
        <v>0</v>
      </c>
      <c r="AB509" s="9">
        <f>IFERROR(VLOOKUP(B509,cubo!$A$6:$BE$37,29,0)-VLOOKUP(B509,#REF!,$AB$2,0),0)</f>
        <v>0</v>
      </c>
      <c r="AC509" s="9">
        <f>IFERROR(VLOOKUP(B509,cubo!$A$6:$BE$37,30,0)-VLOOKUP(B509,#REF!,$AC$2,0),0)</f>
        <v>0</v>
      </c>
      <c r="AD509" s="9">
        <f>IFERROR(VLOOKUP(B509,cubo!$A$6:$BE$37,31,0)-VLOOKUP(B509,#REF!,$AD$2,0),0)</f>
        <v>0</v>
      </c>
      <c r="AE509" s="9">
        <f>IFERROR(VLOOKUP(B509,cubo!$A$6:$BE$37,35,0)-VLOOKUP(B509,#REF!,$AE$2,0),0)</f>
        <v>0</v>
      </c>
      <c r="AF509" s="9" cm="1">
        <f t="array" aca="1" ref="AF509" ca="1">IFERROR(rrPROCV(B509,cubo!$A$6:$BE$37,48,0)-VLOOKUP(B509,#REF!,$AF$2,0),0)</f>
        <v>0</v>
      </c>
      <c r="AG509" s="9">
        <f>IFERROR(VLOOKUP(B509,cubo!$A$6:$BE$37,49,0)-VLOOKUP(B509,#REF!,$AG$2,0),0)</f>
        <v>0</v>
      </c>
      <c r="AH509" s="9">
        <f>IFERROR(VLOOKUP(B509,cubo!$A$6:$BE$37,50,0)-VLOOKUP(B509,#REF!,$AH$2,0),0)</f>
        <v>0</v>
      </c>
      <c r="AI509" s="9">
        <f>IFERROR(VLOOKUP(B509,cubo!$A$6:$BE$37,51,0)-VLOOKUP(B509,#REF!,$AI$2,0),0)</f>
        <v>0</v>
      </c>
      <c r="AJ509" s="9">
        <f>IFERROR(VLOOKUP(B509,cubo!$A$6:$BI$116,62,0)-VLOOKUP(B509,#REF!,$AJ$2,0),0)</f>
        <v>0</v>
      </c>
      <c r="AK509" s="9">
        <f>IFERROR(VLOOKUP(B509,cubo!$A$6:$BJ$37,63,0)-VLOOKUP(B509,#REF!,$AK$2,0),0)</f>
        <v>0</v>
      </c>
      <c r="AL509" s="9">
        <f>IFERROR(VLOOKUP(B509,cubo!$A$6:$BE$37,58,0)-VLOOKUP(B509,#REF!,$AL$2,0),0)</f>
        <v>0</v>
      </c>
      <c r="AM509" s="9">
        <f>IFERROR(VLOOKUP(B509,cubo!$A$6:$BK$37,64,0)-VLOOKUP(B509,#REF!,$AM$2,0),0)</f>
        <v>0</v>
      </c>
      <c r="AN509" s="9">
        <f>IFERROR(VLOOKUP(B509,cubo!$A$6:$AN$37,41,0)-VLOOKUP(B509,#REF!,$AN$2,0),0)</f>
        <v>0</v>
      </c>
    </row>
    <row r="510" spans="2:40" x14ac:dyDescent="0.25">
      <c r="B510" s="7">
        <f>[1]salario!A509</f>
        <v>0</v>
      </c>
      <c r="C510" s="8">
        <f>[1]salario!C509</f>
        <v>0</v>
      </c>
      <c r="D510" s="9">
        <f>IFERROR(VLOOKUP(B510,cubo!$A$6:$BE$37,3,0)-VLOOKUP(B510,#REF!,$D$2,0),0)</f>
        <v>0</v>
      </c>
      <c r="E510" s="10">
        <f>IFERROR(VLOOKUP(B510,cubo!$A$6:$BE$37,5,0)-VLOOKUP(B510,#REF!,$E$2,0),0)</f>
        <v>0</v>
      </c>
      <c r="F510" s="10">
        <f>IFERROR(VLOOKUP(B510,cubo!$A$6:$BE$37,8,0)-VLOOKUP(B510,#REF!,$F$2,0),0)</f>
        <v>0</v>
      </c>
      <c r="G510" s="9">
        <f>IFERROR(VLOOKUP(B510,cubo!$A$6:$BE$37,11,0)-VLOOKUP(B510,#REF!,$G$2,0),0)</f>
        <v>0</v>
      </c>
      <c r="H510" s="9">
        <f>IFERROR(VLOOKUP(B510,cubo!$A$6:$BE$37,53,0)-VLOOKUP(B510,#REF!,$H$2,0),0)</f>
        <v>0</v>
      </c>
      <c r="I510" s="10">
        <f>IFERROR(VLOOKUP(B510,cubo!$A$6:$BE$37,14,0)-VLOOKUP(B510,#REF!,$I$2,0),0)</f>
        <v>0</v>
      </c>
      <c r="J510" s="9">
        <f>IFERROR(VLOOKUP(B510,cubo!$A$6:$BE$37,16,0)-VLOOKUP(B510,#REF!,$J$2,0),0)</f>
        <v>0</v>
      </c>
      <c r="K510" s="9">
        <f>IFERROR(VLOOKUP(B510,cubo!$A$6:$BE$37,17,0)-VLOOKUP(B510,#REF!,$K$2,0),0)</f>
        <v>0</v>
      </c>
      <c r="L510" s="9">
        <f>IFERROR(VLOOKUP(B510,cubo!$A$6:$BE$37,19,0)-VLOOKUP(B510,#REF!,$L$2,0),0)</f>
        <v>0</v>
      </c>
      <c r="M510" s="9">
        <f>IFERROR(VLOOKUP(B510,cubo!$A$6:$BE$37,23,0)-VLOOKUP(B510,#REF!,$M$2,0),0)</f>
        <v>0</v>
      </c>
      <c r="N510" s="9">
        <f>IFERROR(VLOOKUP(B510,cubo!$A$6:$BE$37,25,0)-VLOOKUP(B510,#REF!,$N$2,0),0)</f>
        <v>0</v>
      </c>
      <c r="O510" s="9">
        <f>IFERROR(VLOOKUP(B510,cubo!$A$6:$BE$37,33,0)-VLOOKUP(B510,#REF!,$O$2,0),0)</f>
        <v>0</v>
      </c>
      <c r="P510" s="8">
        <f>IFERROR(VLOOKUP(B510,cubo!$A$6:$BE$37,37,0)-VLOOKUP(B510,#REF!,$P$2,0),0)</f>
        <v>0</v>
      </c>
      <c r="Q510" s="8">
        <f>IFERROR(VLOOKUP(B510,cubo!$A$6:$BE$37,56,0)-VLOOKUP(B510,#REF!,$Q$2,0),0)</f>
        <v>0</v>
      </c>
      <c r="R510" s="9">
        <f>IFERROR(VLOOKUP(B510,cubo!$A$6:$BE$37,40,0)-VLOOKUP(B510,#REF!,$R$2,0),0)</f>
        <v>0</v>
      </c>
      <c r="S510" s="9">
        <f>IFERROR(VLOOKUP(B510,cubo!$A$6:$BE$37,43,0)-VLOOKUP(B510,#REF!,$S$2,0),0)</f>
        <v>0</v>
      </c>
      <c r="T510" s="9">
        <f>IFERROR(VLOOKUP(B510,cubo!$A$6:$BE$37,46,0)-VLOOKUP(B510,#REF!,$T$2,0),0)</f>
        <v>0</v>
      </c>
      <c r="U510" s="9">
        <f>IFERROR(VLOOKUP(B510,cubo!$A$6:$BE$37,51,0)-VLOOKUP(B510,#REF!,$U$2,0),0)</f>
        <v>0</v>
      </c>
      <c r="V510" s="9">
        <f>IFERROR(VLOOKUP(B510,cubo!$A$6:$BJ$37,60,0)-VLOOKUP(B510,#REF!,$V$2,0),0)</f>
        <v>0</v>
      </c>
      <c r="W510" s="9">
        <f>IFERROR(VLOOKUP(B510,cubo!$A$6:$BE$37,26,0)-VLOOKUP(B510,#REF!,$W$2,0),0)</f>
        <v>0</v>
      </c>
      <c r="X510" s="9">
        <f>IFERROR(VLOOKUP(B510,cubo!$A$6:$BE$37,20,0)-VLOOKUP(B510,#REF!,$X$2,0),0)</f>
        <v>0</v>
      </c>
      <c r="Y510" s="9">
        <f>IFERROR(VLOOKUP(B510,cubo!$A$6:$BE$37,21,0)-VLOOKUP(B510,#REF!,$Y$2,0),0)</f>
        <v>0</v>
      </c>
      <c r="Z510" s="9">
        <f>IFERROR(VLOOKUP(B510,cubo!$A$6:$BE$37,27,0)-VLOOKUP(B510,#REF!,$Z$2,0),0)</f>
        <v>0</v>
      </c>
      <c r="AA510" s="9">
        <f>IFERROR(VLOOKUP(B510,cubo!$A$6:$BE$37,28,0)-VLOOKUP(B510,#REF!,$AA$2,0),0)</f>
        <v>0</v>
      </c>
      <c r="AB510" s="9">
        <f>IFERROR(VLOOKUP(B510,cubo!$A$6:$BE$37,29,0)-VLOOKUP(B510,#REF!,$AB$2,0),0)</f>
        <v>0</v>
      </c>
      <c r="AC510" s="9">
        <f>IFERROR(VLOOKUP(B510,cubo!$A$6:$BE$37,30,0)-VLOOKUP(B510,#REF!,$AC$2,0),0)</f>
        <v>0</v>
      </c>
      <c r="AD510" s="9">
        <f>IFERROR(VLOOKUP(B510,cubo!$A$6:$BE$37,31,0)-VLOOKUP(B510,#REF!,$AD$2,0),0)</f>
        <v>0</v>
      </c>
      <c r="AE510" s="9">
        <f>IFERROR(VLOOKUP(B510,cubo!$A$6:$BE$37,35,0)-VLOOKUP(B510,#REF!,$AE$2,0),0)</f>
        <v>0</v>
      </c>
      <c r="AF510" s="9" cm="1">
        <f t="array" aca="1" ref="AF510" ca="1">IFERROR(rrPROCV(B510,cubo!$A$6:$BE$37,48,0)-VLOOKUP(B510,#REF!,$AF$2,0),0)</f>
        <v>0</v>
      </c>
      <c r="AG510" s="9">
        <f>IFERROR(VLOOKUP(B510,cubo!$A$6:$BE$37,49,0)-VLOOKUP(B510,#REF!,$AG$2,0),0)</f>
        <v>0</v>
      </c>
      <c r="AH510" s="9">
        <f>IFERROR(VLOOKUP(B510,cubo!$A$6:$BE$37,50,0)-VLOOKUP(B510,#REF!,$AH$2,0),0)</f>
        <v>0</v>
      </c>
      <c r="AI510" s="9">
        <f>IFERROR(VLOOKUP(B510,cubo!$A$6:$BE$37,51,0)-VLOOKUP(B510,#REF!,$AI$2,0),0)</f>
        <v>0</v>
      </c>
      <c r="AJ510" s="9">
        <f>IFERROR(VLOOKUP(B510,cubo!$A$6:$BI$116,62,0)-VLOOKUP(B510,#REF!,$AJ$2,0),0)</f>
        <v>0</v>
      </c>
      <c r="AK510" s="9">
        <f>IFERROR(VLOOKUP(B510,cubo!$A$6:$BJ$37,63,0)-VLOOKUP(B510,#REF!,$AK$2,0),0)</f>
        <v>0</v>
      </c>
      <c r="AL510" s="9">
        <f>IFERROR(VLOOKUP(B510,cubo!$A$6:$BE$37,58,0)-VLOOKUP(B510,#REF!,$AL$2,0),0)</f>
        <v>0</v>
      </c>
      <c r="AM510" s="9">
        <f>IFERROR(VLOOKUP(B510,cubo!$A$6:$BK$37,64,0)-VLOOKUP(B510,#REF!,$AM$2,0),0)</f>
        <v>0</v>
      </c>
      <c r="AN510" s="9">
        <f>IFERROR(VLOOKUP(B510,cubo!$A$6:$AN$37,41,0)-VLOOKUP(B510,#REF!,$AN$2,0),0)</f>
        <v>0</v>
      </c>
    </row>
    <row r="511" spans="2:40" x14ac:dyDescent="0.25">
      <c r="B511" s="7">
        <f>[1]salario!A510</f>
        <v>0</v>
      </c>
      <c r="C511" s="8">
        <f>[1]salario!C510</f>
        <v>0</v>
      </c>
      <c r="D511" s="9">
        <f>IFERROR(VLOOKUP(B511,cubo!$A$6:$BE$37,3,0)-VLOOKUP(B511,#REF!,$D$2,0),0)</f>
        <v>0</v>
      </c>
      <c r="E511" s="10">
        <f>IFERROR(VLOOKUP(B511,cubo!$A$6:$BE$37,5,0)-VLOOKUP(B511,#REF!,$E$2,0),0)</f>
        <v>0</v>
      </c>
      <c r="F511" s="10">
        <f>IFERROR(VLOOKUP(B511,cubo!$A$6:$BE$37,8,0)-VLOOKUP(B511,#REF!,$F$2,0),0)</f>
        <v>0</v>
      </c>
      <c r="G511" s="9">
        <f>IFERROR(VLOOKUP(B511,cubo!$A$6:$BE$37,11,0)-VLOOKUP(B511,#REF!,$G$2,0),0)</f>
        <v>0</v>
      </c>
      <c r="H511" s="9">
        <f>IFERROR(VLOOKUP(B511,cubo!$A$6:$BE$37,53,0)-VLOOKUP(B511,#REF!,$H$2,0),0)</f>
        <v>0</v>
      </c>
      <c r="I511" s="10">
        <f>IFERROR(VLOOKUP(B511,cubo!$A$6:$BE$37,14,0)-VLOOKUP(B511,#REF!,$I$2,0),0)</f>
        <v>0</v>
      </c>
      <c r="J511" s="9">
        <f>IFERROR(VLOOKUP(B511,cubo!$A$6:$BE$37,16,0)-VLOOKUP(B511,#REF!,$J$2,0),0)</f>
        <v>0</v>
      </c>
      <c r="K511" s="9">
        <f>IFERROR(VLOOKUP(B511,cubo!$A$6:$BE$37,17,0)-VLOOKUP(B511,#REF!,$K$2,0),0)</f>
        <v>0</v>
      </c>
      <c r="L511" s="9">
        <f>IFERROR(VLOOKUP(B511,cubo!$A$6:$BE$37,19,0)-VLOOKUP(B511,#REF!,$L$2,0),0)</f>
        <v>0</v>
      </c>
      <c r="M511" s="9">
        <f>IFERROR(VLOOKUP(B511,cubo!$A$6:$BE$37,23,0)-VLOOKUP(B511,#REF!,$M$2,0),0)</f>
        <v>0</v>
      </c>
      <c r="N511" s="9">
        <f>IFERROR(VLOOKUP(B511,cubo!$A$6:$BE$37,25,0)-VLOOKUP(B511,#REF!,$N$2,0),0)</f>
        <v>0</v>
      </c>
      <c r="O511" s="9">
        <f>IFERROR(VLOOKUP(B511,cubo!$A$6:$BE$37,33,0)-VLOOKUP(B511,#REF!,$O$2,0),0)</f>
        <v>0</v>
      </c>
      <c r="P511" s="8">
        <f>IFERROR(VLOOKUP(B511,cubo!$A$6:$BE$37,37,0)-VLOOKUP(B511,#REF!,$P$2,0),0)</f>
        <v>0</v>
      </c>
      <c r="Q511" s="8">
        <f>IFERROR(VLOOKUP(B511,cubo!$A$6:$BE$37,56,0)-VLOOKUP(B511,#REF!,$Q$2,0),0)</f>
        <v>0</v>
      </c>
      <c r="R511" s="9">
        <f>IFERROR(VLOOKUP(B511,cubo!$A$6:$BE$37,40,0)-VLOOKUP(B511,#REF!,$R$2,0),0)</f>
        <v>0</v>
      </c>
      <c r="S511" s="9">
        <f>IFERROR(VLOOKUP(B511,cubo!$A$6:$BE$37,43,0)-VLOOKUP(B511,#REF!,$S$2,0),0)</f>
        <v>0</v>
      </c>
      <c r="T511" s="9">
        <f>IFERROR(VLOOKUP(B511,cubo!$A$6:$BE$37,46,0)-VLOOKUP(B511,#REF!,$T$2,0),0)</f>
        <v>0</v>
      </c>
      <c r="U511" s="9">
        <f>IFERROR(VLOOKUP(B511,cubo!$A$6:$BE$37,51,0)-VLOOKUP(B511,#REF!,$U$2,0),0)</f>
        <v>0</v>
      </c>
      <c r="V511" s="9">
        <f>IFERROR(VLOOKUP(B511,cubo!$A$6:$BJ$37,60,0)-VLOOKUP(B511,#REF!,$V$2,0),0)</f>
        <v>0</v>
      </c>
      <c r="W511" s="9">
        <f>IFERROR(VLOOKUP(B511,cubo!$A$6:$BE$37,26,0)-VLOOKUP(B511,#REF!,$W$2,0),0)</f>
        <v>0</v>
      </c>
      <c r="X511" s="9">
        <f>IFERROR(VLOOKUP(B511,cubo!$A$6:$BE$37,20,0)-VLOOKUP(B511,#REF!,$X$2,0),0)</f>
        <v>0</v>
      </c>
      <c r="Y511" s="9">
        <f>IFERROR(VLOOKUP(B511,cubo!$A$6:$BE$37,21,0)-VLOOKUP(B511,#REF!,$Y$2,0),0)</f>
        <v>0</v>
      </c>
      <c r="Z511" s="9">
        <f>IFERROR(VLOOKUP(B511,cubo!$A$6:$BE$37,27,0)-VLOOKUP(B511,#REF!,$Z$2,0),0)</f>
        <v>0</v>
      </c>
      <c r="AA511" s="9">
        <f>IFERROR(VLOOKUP(B511,cubo!$A$6:$BE$37,28,0)-VLOOKUP(B511,#REF!,$AA$2,0),0)</f>
        <v>0</v>
      </c>
      <c r="AB511" s="9">
        <f>IFERROR(VLOOKUP(B511,cubo!$A$6:$BE$37,29,0)-VLOOKUP(B511,#REF!,$AB$2,0),0)</f>
        <v>0</v>
      </c>
      <c r="AC511" s="9">
        <f>IFERROR(VLOOKUP(B511,cubo!$A$6:$BE$37,30,0)-VLOOKUP(B511,#REF!,$AC$2,0),0)</f>
        <v>0</v>
      </c>
      <c r="AD511" s="9">
        <f>IFERROR(VLOOKUP(B511,cubo!$A$6:$BE$37,31,0)-VLOOKUP(B511,#REF!,$AD$2,0),0)</f>
        <v>0</v>
      </c>
      <c r="AE511" s="9">
        <f>IFERROR(VLOOKUP(B511,cubo!$A$6:$BE$37,35,0)-VLOOKUP(B511,#REF!,$AE$2,0),0)</f>
        <v>0</v>
      </c>
      <c r="AF511" s="9" cm="1">
        <f t="array" aca="1" ref="AF511" ca="1">IFERROR(rrPROCV(B511,cubo!$A$6:$BE$37,48,0)-VLOOKUP(B511,#REF!,$AF$2,0),0)</f>
        <v>0</v>
      </c>
      <c r="AG511" s="9">
        <f>IFERROR(VLOOKUP(B511,cubo!$A$6:$BE$37,49,0)-VLOOKUP(B511,#REF!,$AG$2,0),0)</f>
        <v>0</v>
      </c>
      <c r="AH511" s="9">
        <f>IFERROR(VLOOKUP(B511,cubo!$A$6:$BE$37,50,0)-VLOOKUP(B511,#REF!,$AH$2,0),0)</f>
        <v>0</v>
      </c>
      <c r="AI511" s="9">
        <f>IFERROR(VLOOKUP(B511,cubo!$A$6:$BE$37,51,0)-VLOOKUP(B511,#REF!,$AI$2,0),0)</f>
        <v>0</v>
      </c>
      <c r="AJ511" s="9">
        <f>IFERROR(VLOOKUP(B511,cubo!$A$6:$BI$116,62,0)-VLOOKUP(B511,#REF!,$AJ$2,0),0)</f>
        <v>0</v>
      </c>
      <c r="AK511" s="9">
        <f>IFERROR(VLOOKUP(B511,cubo!$A$6:$BJ$37,63,0)-VLOOKUP(B511,#REF!,$AK$2,0),0)</f>
        <v>0</v>
      </c>
      <c r="AL511" s="9">
        <f>IFERROR(VLOOKUP(B511,cubo!$A$6:$BE$37,58,0)-VLOOKUP(B511,#REF!,$AL$2,0),0)</f>
        <v>0</v>
      </c>
      <c r="AM511" s="9">
        <f>IFERROR(VLOOKUP(B511,cubo!$A$6:$BK$37,64,0)-VLOOKUP(B511,#REF!,$AM$2,0),0)</f>
        <v>0</v>
      </c>
      <c r="AN511" s="9">
        <f>IFERROR(VLOOKUP(B511,cubo!$A$6:$AN$37,41,0)-VLOOKUP(B511,#REF!,$AN$2,0),0)</f>
        <v>0</v>
      </c>
    </row>
    <row r="512" spans="2:40" x14ac:dyDescent="0.25">
      <c r="B512" s="7">
        <f>[1]salario!A511</f>
        <v>0</v>
      </c>
      <c r="C512" s="8">
        <f>[1]salario!C511</f>
        <v>0</v>
      </c>
      <c r="D512" s="9">
        <f>IFERROR(VLOOKUP(B512,cubo!$A$6:$BE$37,3,0)-VLOOKUP(B512,#REF!,$D$2,0),0)</f>
        <v>0</v>
      </c>
      <c r="E512" s="10">
        <f>IFERROR(VLOOKUP(B512,cubo!$A$6:$BE$37,5,0)-VLOOKUP(B512,#REF!,$E$2,0),0)</f>
        <v>0</v>
      </c>
      <c r="F512" s="10">
        <f>IFERROR(VLOOKUP(B512,cubo!$A$6:$BE$37,8,0)-VLOOKUP(B512,#REF!,$F$2,0),0)</f>
        <v>0</v>
      </c>
      <c r="G512" s="9">
        <f>IFERROR(VLOOKUP(B512,cubo!$A$6:$BE$37,11,0)-VLOOKUP(B512,#REF!,$G$2,0),0)</f>
        <v>0</v>
      </c>
      <c r="H512" s="9">
        <f>IFERROR(VLOOKUP(B512,cubo!$A$6:$BE$37,53,0)-VLOOKUP(B512,#REF!,$H$2,0),0)</f>
        <v>0</v>
      </c>
      <c r="I512" s="10">
        <f>IFERROR(VLOOKUP(B512,cubo!$A$6:$BE$37,14,0)-VLOOKUP(B512,#REF!,$I$2,0),0)</f>
        <v>0</v>
      </c>
      <c r="J512" s="9">
        <f>IFERROR(VLOOKUP(B512,cubo!$A$6:$BE$37,16,0)-VLOOKUP(B512,#REF!,$J$2,0),0)</f>
        <v>0</v>
      </c>
      <c r="K512" s="9">
        <f>IFERROR(VLOOKUP(B512,cubo!$A$6:$BE$37,17,0)-VLOOKUP(B512,#REF!,$K$2,0),0)</f>
        <v>0</v>
      </c>
      <c r="L512" s="9">
        <f>IFERROR(VLOOKUP(B512,cubo!$A$6:$BE$37,19,0)-VLOOKUP(B512,#REF!,$L$2,0),0)</f>
        <v>0</v>
      </c>
      <c r="M512" s="9">
        <f>IFERROR(VLOOKUP(B512,cubo!$A$6:$BE$37,23,0)-VLOOKUP(B512,#REF!,$M$2,0),0)</f>
        <v>0</v>
      </c>
      <c r="N512" s="9">
        <f>IFERROR(VLOOKUP(B512,cubo!$A$6:$BE$37,25,0)-VLOOKUP(B512,#REF!,$N$2,0),0)</f>
        <v>0</v>
      </c>
      <c r="O512" s="9">
        <f>IFERROR(VLOOKUP(B512,cubo!$A$6:$BE$37,33,0)-VLOOKUP(B512,#REF!,$O$2,0),0)</f>
        <v>0</v>
      </c>
      <c r="P512" s="8">
        <f>IFERROR(VLOOKUP(B512,cubo!$A$6:$BE$37,37,0)-VLOOKUP(B512,#REF!,$P$2,0),0)</f>
        <v>0</v>
      </c>
      <c r="Q512" s="8">
        <f>IFERROR(VLOOKUP(B512,cubo!$A$6:$BE$37,56,0)-VLOOKUP(B512,#REF!,$Q$2,0),0)</f>
        <v>0</v>
      </c>
      <c r="R512" s="9">
        <f>IFERROR(VLOOKUP(B512,cubo!$A$6:$BE$37,40,0)-VLOOKUP(B512,#REF!,$R$2,0),0)</f>
        <v>0</v>
      </c>
      <c r="S512" s="9">
        <f>IFERROR(VLOOKUP(B512,cubo!$A$6:$BE$37,43,0)-VLOOKUP(B512,#REF!,$S$2,0),0)</f>
        <v>0</v>
      </c>
      <c r="T512" s="9">
        <f>IFERROR(VLOOKUP(B512,cubo!$A$6:$BE$37,46,0)-VLOOKUP(B512,#REF!,$T$2,0),0)</f>
        <v>0</v>
      </c>
      <c r="U512" s="9">
        <f>IFERROR(VLOOKUP(B512,cubo!$A$6:$BE$37,51,0)-VLOOKUP(B512,#REF!,$U$2,0),0)</f>
        <v>0</v>
      </c>
      <c r="V512" s="9">
        <f>IFERROR(VLOOKUP(B512,cubo!$A$6:$BJ$37,60,0)-VLOOKUP(B512,#REF!,$V$2,0),0)</f>
        <v>0</v>
      </c>
      <c r="W512" s="9">
        <f>IFERROR(VLOOKUP(B512,cubo!$A$6:$BE$37,26,0)-VLOOKUP(B512,#REF!,$W$2,0),0)</f>
        <v>0</v>
      </c>
      <c r="X512" s="9">
        <f>IFERROR(VLOOKUP(B512,cubo!$A$6:$BE$37,20,0)-VLOOKUP(B512,#REF!,$X$2,0),0)</f>
        <v>0</v>
      </c>
      <c r="Y512" s="9">
        <f>IFERROR(VLOOKUP(B512,cubo!$A$6:$BE$37,21,0)-VLOOKUP(B512,#REF!,$Y$2,0),0)</f>
        <v>0</v>
      </c>
      <c r="Z512" s="9">
        <f>IFERROR(VLOOKUP(B512,cubo!$A$6:$BE$37,27,0)-VLOOKUP(B512,#REF!,$Z$2,0),0)</f>
        <v>0</v>
      </c>
      <c r="AA512" s="9">
        <f>IFERROR(VLOOKUP(B512,cubo!$A$6:$BE$37,28,0)-VLOOKUP(B512,#REF!,$AA$2,0),0)</f>
        <v>0</v>
      </c>
      <c r="AB512" s="9">
        <f>IFERROR(VLOOKUP(B512,cubo!$A$6:$BE$37,29,0)-VLOOKUP(B512,#REF!,$AB$2,0),0)</f>
        <v>0</v>
      </c>
      <c r="AC512" s="9">
        <f>IFERROR(VLOOKUP(B512,cubo!$A$6:$BE$37,30,0)-VLOOKUP(B512,#REF!,$AC$2,0),0)</f>
        <v>0</v>
      </c>
      <c r="AD512" s="9">
        <f>IFERROR(VLOOKUP(B512,cubo!$A$6:$BE$37,31,0)-VLOOKUP(B512,#REF!,$AD$2,0),0)</f>
        <v>0</v>
      </c>
      <c r="AE512" s="9">
        <f>IFERROR(VLOOKUP(B512,cubo!$A$6:$BE$37,35,0)-VLOOKUP(B512,#REF!,$AE$2,0),0)</f>
        <v>0</v>
      </c>
      <c r="AF512" s="9" cm="1">
        <f t="array" aca="1" ref="AF512" ca="1">IFERROR(rrPROCV(B512,cubo!$A$6:$BE$37,48,0)-VLOOKUP(B512,#REF!,$AF$2,0),0)</f>
        <v>0</v>
      </c>
      <c r="AG512" s="9">
        <f>IFERROR(VLOOKUP(B512,cubo!$A$6:$BE$37,49,0)-VLOOKUP(B512,#REF!,$AG$2,0),0)</f>
        <v>0</v>
      </c>
      <c r="AH512" s="9">
        <f>IFERROR(VLOOKUP(B512,cubo!$A$6:$BE$37,50,0)-VLOOKUP(B512,#REF!,$AH$2,0),0)</f>
        <v>0</v>
      </c>
      <c r="AI512" s="9">
        <f>IFERROR(VLOOKUP(B512,cubo!$A$6:$BE$37,51,0)-VLOOKUP(B512,#REF!,$AI$2,0),0)</f>
        <v>0</v>
      </c>
      <c r="AJ512" s="9">
        <f>IFERROR(VLOOKUP(B512,cubo!$A$6:$BI$116,62,0)-VLOOKUP(B512,#REF!,$AJ$2,0),0)</f>
        <v>0</v>
      </c>
      <c r="AK512" s="9">
        <f>IFERROR(VLOOKUP(B512,cubo!$A$6:$BJ$37,63,0)-VLOOKUP(B512,#REF!,$AK$2,0),0)</f>
        <v>0</v>
      </c>
      <c r="AL512" s="9">
        <f>IFERROR(VLOOKUP(B512,cubo!$A$6:$BE$37,58,0)-VLOOKUP(B512,#REF!,$AL$2,0),0)</f>
        <v>0</v>
      </c>
      <c r="AM512" s="9">
        <f>IFERROR(VLOOKUP(B512,cubo!$A$6:$BK$37,64,0)-VLOOKUP(B512,#REF!,$AM$2,0),0)</f>
        <v>0</v>
      </c>
      <c r="AN512" s="9">
        <f>IFERROR(VLOOKUP(B512,cubo!$A$6:$AN$37,41,0)-VLOOKUP(B512,#REF!,$AN$2,0),0)</f>
        <v>0</v>
      </c>
    </row>
    <row r="513" spans="2:40" x14ac:dyDescent="0.25">
      <c r="B513" s="7">
        <f>[1]salario!A512</f>
        <v>0</v>
      </c>
      <c r="C513" s="8">
        <f>[1]salario!C512</f>
        <v>0</v>
      </c>
      <c r="D513" s="9">
        <f>IFERROR(VLOOKUP(B513,cubo!$A$6:$BE$37,3,0)-VLOOKUP(B513,#REF!,$D$2,0),0)</f>
        <v>0</v>
      </c>
      <c r="E513" s="10">
        <f>IFERROR(VLOOKUP(B513,cubo!$A$6:$BE$37,5,0)-VLOOKUP(B513,#REF!,$E$2,0),0)</f>
        <v>0</v>
      </c>
      <c r="F513" s="10">
        <f>IFERROR(VLOOKUP(B513,cubo!$A$6:$BE$37,8,0)-VLOOKUP(B513,#REF!,$F$2,0),0)</f>
        <v>0</v>
      </c>
      <c r="G513" s="9">
        <f>IFERROR(VLOOKUP(B513,cubo!$A$6:$BE$37,11,0)-VLOOKUP(B513,#REF!,$G$2,0),0)</f>
        <v>0</v>
      </c>
      <c r="H513" s="9">
        <f>IFERROR(VLOOKUP(B513,cubo!$A$6:$BE$37,53,0)-VLOOKUP(B513,#REF!,$H$2,0),0)</f>
        <v>0</v>
      </c>
      <c r="I513" s="10">
        <f>IFERROR(VLOOKUP(B513,cubo!$A$6:$BE$37,14,0)-VLOOKUP(B513,#REF!,$I$2,0),0)</f>
        <v>0</v>
      </c>
      <c r="J513" s="9">
        <f>IFERROR(VLOOKUP(B513,cubo!$A$6:$BE$37,16,0)-VLOOKUP(B513,#REF!,$J$2,0),0)</f>
        <v>0</v>
      </c>
      <c r="K513" s="9">
        <f>IFERROR(VLOOKUP(B513,cubo!$A$6:$BE$37,17,0)-VLOOKUP(B513,#REF!,$K$2,0),0)</f>
        <v>0</v>
      </c>
      <c r="L513" s="9">
        <f>IFERROR(VLOOKUP(B513,cubo!$A$6:$BE$37,19,0)-VLOOKUP(B513,#REF!,$L$2,0),0)</f>
        <v>0</v>
      </c>
      <c r="M513" s="9">
        <f>IFERROR(VLOOKUP(B513,cubo!$A$6:$BE$37,23,0)-VLOOKUP(B513,#REF!,$M$2,0),0)</f>
        <v>0</v>
      </c>
      <c r="N513" s="9">
        <f>IFERROR(VLOOKUP(B513,cubo!$A$6:$BE$37,25,0)-VLOOKUP(B513,#REF!,$N$2,0),0)</f>
        <v>0</v>
      </c>
      <c r="O513" s="9">
        <f>IFERROR(VLOOKUP(B513,cubo!$A$6:$BE$37,33,0)-VLOOKUP(B513,#REF!,$O$2,0),0)</f>
        <v>0</v>
      </c>
      <c r="P513" s="8">
        <f>IFERROR(VLOOKUP(B513,cubo!$A$6:$BE$37,37,0)-VLOOKUP(B513,#REF!,$P$2,0),0)</f>
        <v>0</v>
      </c>
      <c r="Q513" s="8">
        <f>IFERROR(VLOOKUP(B513,cubo!$A$6:$BE$37,56,0)-VLOOKUP(B513,#REF!,$Q$2,0),0)</f>
        <v>0</v>
      </c>
      <c r="R513" s="9">
        <f>IFERROR(VLOOKUP(B513,cubo!$A$6:$BE$37,40,0)-VLOOKUP(B513,#REF!,$R$2,0),0)</f>
        <v>0</v>
      </c>
      <c r="S513" s="9">
        <f>IFERROR(VLOOKUP(B513,cubo!$A$6:$BE$37,43,0)-VLOOKUP(B513,#REF!,$S$2,0),0)</f>
        <v>0</v>
      </c>
      <c r="T513" s="9">
        <f>IFERROR(VLOOKUP(B513,cubo!$A$6:$BE$37,46,0)-VLOOKUP(B513,#REF!,$T$2,0),0)</f>
        <v>0</v>
      </c>
      <c r="U513" s="9">
        <f>IFERROR(VLOOKUP(B513,cubo!$A$6:$BE$37,51,0)-VLOOKUP(B513,#REF!,$U$2,0),0)</f>
        <v>0</v>
      </c>
      <c r="V513" s="9">
        <f>IFERROR(VLOOKUP(B513,cubo!$A$6:$BJ$37,60,0)-VLOOKUP(B513,#REF!,$V$2,0),0)</f>
        <v>0</v>
      </c>
      <c r="W513" s="9">
        <f>IFERROR(VLOOKUP(B513,cubo!$A$6:$BE$37,26,0)-VLOOKUP(B513,#REF!,$W$2,0),0)</f>
        <v>0</v>
      </c>
      <c r="X513" s="9">
        <f>IFERROR(VLOOKUP(B513,cubo!$A$6:$BE$37,20,0)-VLOOKUP(B513,#REF!,$X$2,0),0)</f>
        <v>0</v>
      </c>
      <c r="Y513" s="9">
        <f>IFERROR(VLOOKUP(B513,cubo!$A$6:$BE$37,21,0)-VLOOKUP(B513,#REF!,$Y$2,0),0)</f>
        <v>0</v>
      </c>
      <c r="Z513" s="9">
        <f>IFERROR(VLOOKUP(B513,cubo!$A$6:$BE$37,27,0)-VLOOKUP(B513,#REF!,$Z$2,0),0)</f>
        <v>0</v>
      </c>
      <c r="AA513" s="9">
        <f>IFERROR(VLOOKUP(B513,cubo!$A$6:$BE$37,28,0)-VLOOKUP(B513,#REF!,$AA$2,0),0)</f>
        <v>0</v>
      </c>
      <c r="AB513" s="9">
        <f>IFERROR(VLOOKUP(B513,cubo!$A$6:$BE$37,29,0)-VLOOKUP(B513,#REF!,$AB$2,0),0)</f>
        <v>0</v>
      </c>
      <c r="AC513" s="9">
        <f>IFERROR(VLOOKUP(B513,cubo!$A$6:$BE$37,30,0)-VLOOKUP(B513,#REF!,$AC$2,0),0)</f>
        <v>0</v>
      </c>
      <c r="AD513" s="9">
        <f>IFERROR(VLOOKUP(B513,cubo!$A$6:$BE$37,31,0)-VLOOKUP(B513,#REF!,$AD$2,0),0)</f>
        <v>0</v>
      </c>
      <c r="AE513" s="9">
        <f>IFERROR(VLOOKUP(B513,cubo!$A$6:$BE$37,35,0)-VLOOKUP(B513,#REF!,$AE$2,0),0)</f>
        <v>0</v>
      </c>
      <c r="AF513" s="9" cm="1">
        <f t="array" aca="1" ref="AF513" ca="1">IFERROR(rrPROCV(B513,cubo!$A$6:$BE$37,48,0)-VLOOKUP(B513,#REF!,$AF$2,0),0)</f>
        <v>0</v>
      </c>
      <c r="AG513" s="9">
        <f>IFERROR(VLOOKUP(B513,cubo!$A$6:$BE$37,49,0)-VLOOKUP(B513,#REF!,$AG$2,0),0)</f>
        <v>0</v>
      </c>
      <c r="AH513" s="9">
        <f>IFERROR(VLOOKUP(B513,cubo!$A$6:$BE$37,50,0)-VLOOKUP(B513,#REF!,$AH$2,0),0)</f>
        <v>0</v>
      </c>
      <c r="AI513" s="9">
        <f>IFERROR(VLOOKUP(B513,cubo!$A$6:$BE$37,51,0)-VLOOKUP(B513,#REF!,$AI$2,0),0)</f>
        <v>0</v>
      </c>
      <c r="AJ513" s="9">
        <f>IFERROR(VLOOKUP(B513,cubo!$A$6:$BI$116,62,0)-VLOOKUP(B513,#REF!,$AJ$2,0),0)</f>
        <v>0</v>
      </c>
      <c r="AK513" s="9">
        <f>IFERROR(VLOOKUP(B513,cubo!$A$6:$BJ$37,63,0)-VLOOKUP(B513,#REF!,$AK$2,0),0)</f>
        <v>0</v>
      </c>
      <c r="AL513" s="9">
        <f>IFERROR(VLOOKUP(B513,cubo!$A$6:$BE$37,58,0)-VLOOKUP(B513,#REF!,$AL$2,0),0)</f>
        <v>0</v>
      </c>
      <c r="AM513" s="9">
        <f>IFERROR(VLOOKUP(B513,cubo!$A$6:$BK$37,64,0)-VLOOKUP(B513,#REF!,$AM$2,0),0)</f>
        <v>0</v>
      </c>
      <c r="AN513" s="9">
        <f>IFERROR(VLOOKUP(B513,cubo!$A$6:$AN$37,41,0)-VLOOKUP(B513,#REF!,$AN$2,0),0)</f>
        <v>0</v>
      </c>
    </row>
    <row r="514" spans="2:40" x14ac:dyDescent="0.25">
      <c r="B514" s="7">
        <f>[1]salario!A513</f>
        <v>0</v>
      </c>
      <c r="C514" s="8">
        <f>[1]salario!C513</f>
        <v>0</v>
      </c>
      <c r="D514" s="9">
        <f>IFERROR(VLOOKUP(B514,cubo!$A$6:$BE$37,3,0)-VLOOKUP(B514,#REF!,$D$2,0),0)</f>
        <v>0</v>
      </c>
      <c r="E514" s="10">
        <f>IFERROR(VLOOKUP(B514,cubo!$A$6:$BE$37,5,0)-VLOOKUP(B514,#REF!,$E$2,0),0)</f>
        <v>0</v>
      </c>
      <c r="F514" s="10">
        <f>IFERROR(VLOOKUP(B514,cubo!$A$6:$BE$37,8,0)-VLOOKUP(B514,#REF!,$F$2,0),0)</f>
        <v>0</v>
      </c>
      <c r="G514" s="9">
        <f>IFERROR(VLOOKUP(B514,cubo!$A$6:$BE$37,11,0)-VLOOKUP(B514,#REF!,$G$2,0),0)</f>
        <v>0</v>
      </c>
      <c r="H514" s="9">
        <f>IFERROR(VLOOKUP(B514,cubo!$A$6:$BE$37,53,0)-VLOOKUP(B514,#REF!,$H$2,0),0)</f>
        <v>0</v>
      </c>
      <c r="I514" s="10">
        <f>IFERROR(VLOOKUP(B514,cubo!$A$6:$BE$37,14,0)-VLOOKUP(B514,#REF!,$I$2,0),0)</f>
        <v>0</v>
      </c>
      <c r="J514" s="9">
        <f>IFERROR(VLOOKUP(B514,cubo!$A$6:$BE$37,16,0)-VLOOKUP(B514,#REF!,$J$2,0),0)</f>
        <v>0</v>
      </c>
      <c r="K514" s="9">
        <f>IFERROR(VLOOKUP(B514,cubo!$A$6:$BE$37,17,0)-VLOOKUP(B514,#REF!,$K$2,0),0)</f>
        <v>0</v>
      </c>
      <c r="L514" s="9">
        <f>IFERROR(VLOOKUP(B514,cubo!$A$6:$BE$37,19,0)-VLOOKUP(B514,#REF!,$L$2,0),0)</f>
        <v>0</v>
      </c>
      <c r="M514" s="9">
        <f>IFERROR(VLOOKUP(B514,cubo!$A$6:$BE$37,23,0)-VLOOKUP(B514,#REF!,$M$2,0),0)</f>
        <v>0</v>
      </c>
      <c r="N514" s="9">
        <f>IFERROR(VLOOKUP(B514,cubo!$A$6:$BE$37,25,0)-VLOOKUP(B514,#REF!,$N$2,0),0)</f>
        <v>0</v>
      </c>
      <c r="O514" s="9">
        <f>IFERROR(VLOOKUP(B514,cubo!$A$6:$BE$37,33,0)-VLOOKUP(B514,#REF!,$O$2,0),0)</f>
        <v>0</v>
      </c>
      <c r="P514" s="8">
        <f>IFERROR(VLOOKUP(B514,cubo!$A$6:$BE$37,37,0)-VLOOKUP(B514,#REF!,$P$2,0),0)</f>
        <v>0</v>
      </c>
      <c r="Q514" s="8">
        <f>IFERROR(VLOOKUP(B514,cubo!$A$6:$BE$37,56,0)-VLOOKUP(B514,#REF!,$Q$2,0),0)</f>
        <v>0</v>
      </c>
      <c r="R514" s="9">
        <f>IFERROR(VLOOKUP(B514,cubo!$A$6:$BE$37,40,0)-VLOOKUP(B514,#REF!,$R$2,0),0)</f>
        <v>0</v>
      </c>
      <c r="S514" s="9">
        <f>IFERROR(VLOOKUP(B514,cubo!$A$6:$BE$37,43,0)-VLOOKUP(B514,#REF!,$S$2,0),0)</f>
        <v>0</v>
      </c>
      <c r="T514" s="9">
        <f>IFERROR(VLOOKUP(B514,cubo!$A$6:$BE$37,46,0)-VLOOKUP(B514,#REF!,$T$2,0),0)</f>
        <v>0</v>
      </c>
      <c r="U514" s="9">
        <f>IFERROR(VLOOKUP(B514,cubo!$A$6:$BE$37,51,0)-VLOOKUP(B514,#REF!,$U$2,0),0)</f>
        <v>0</v>
      </c>
      <c r="V514" s="9">
        <f>IFERROR(VLOOKUP(B514,cubo!$A$6:$BJ$37,60,0)-VLOOKUP(B514,#REF!,$V$2,0),0)</f>
        <v>0</v>
      </c>
      <c r="W514" s="9">
        <f>IFERROR(VLOOKUP(B514,cubo!$A$6:$BE$37,26,0)-VLOOKUP(B514,#REF!,$W$2,0),0)</f>
        <v>0</v>
      </c>
      <c r="X514" s="9">
        <f>IFERROR(VLOOKUP(B514,cubo!$A$6:$BE$37,20,0)-VLOOKUP(B514,#REF!,$X$2,0),0)</f>
        <v>0</v>
      </c>
      <c r="Y514" s="9">
        <f>IFERROR(VLOOKUP(B514,cubo!$A$6:$BE$37,21,0)-VLOOKUP(B514,#REF!,$Y$2,0),0)</f>
        <v>0</v>
      </c>
      <c r="Z514" s="9">
        <f>IFERROR(VLOOKUP(B514,cubo!$A$6:$BE$37,27,0)-VLOOKUP(B514,#REF!,$Z$2,0),0)</f>
        <v>0</v>
      </c>
      <c r="AA514" s="9">
        <f>IFERROR(VLOOKUP(B514,cubo!$A$6:$BE$37,28,0)-VLOOKUP(B514,#REF!,$AA$2,0),0)</f>
        <v>0</v>
      </c>
      <c r="AB514" s="9">
        <f>IFERROR(VLOOKUP(B514,cubo!$A$6:$BE$37,29,0)-VLOOKUP(B514,#REF!,$AB$2,0),0)</f>
        <v>0</v>
      </c>
      <c r="AC514" s="9">
        <f>IFERROR(VLOOKUP(B514,cubo!$A$6:$BE$37,30,0)-VLOOKUP(B514,#REF!,$AC$2,0),0)</f>
        <v>0</v>
      </c>
      <c r="AD514" s="9">
        <f>IFERROR(VLOOKUP(B514,cubo!$A$6:$BE$37,31,0)-VLOOKUP(B514,#REF!,$AD$2,0),0)</f>
        <v>0</v>
      </c>
      <c r="AE514" s="9">
        <f>IFERROR(VLOOKUP(B514,cubo!$A$6:$BE$37,35,0)-VLOOKUP(B514,#REF!,$AE$2,0),0)</f>
        <v>0</v>
      </c>
      <c r="AF514" s="9" cm="1">
        <f t="array" aca="1" ref="AF514" ca="1">IFERROR(rrPROCV(B514,cubo!$A$6:$BE$37,48,0)-VLOOKUP(B514,#REF!,$AF$2,0),0)</f>
        <v>0</v>
      </c>
      <c r="AG514" s="9">
        <f>IFERROR(VLOOKUP(B514,cubo!$A$6:$BE$37,49,0)-VLOOKUP(B514,#REF!,$AG$2,0),0)</f>
        <v>0</v>
      </c>
      <c r="AH514" s="9">
        <f>IFERROR(VLOOKUP(B514,cubo!$A$6:$BE$37,50,0)-VLOOKUP(B514,#REF!,$AH$2,0),0)</f>
        <v>0</v>
      </c>
      <c r="AI514" s="9">
        <f>IFERROR(VLOOKUP(B514,cubo!$A$6:$BE$37,51,0)-VLOOKUP(B514,#REF!,$AI$2,0),0)</f>
        <v>0</v>
      </c>
      <c r="AJ514" s="9">
        <f>IFERROR(VLOOKUP(B514,cubo!$A$6:$BI$116,62,0)-VLOOKUP(B514,#REF!,$AJ$2,0),0)</f>
        <v>0</v>
      </c>
      <c r="AK514" s="9">
        <f>IFERROR(VLOOKUP(B514,cubo!$A$6:$BJ$37,63,0)-VLOOKUP(B514,#REF!,$AK$2,0),0)</f>
        <v>0</v>
      </c>
      <c r="AL514" s="9">
        <f>IFERROR(VLOOKUP(B514,cubo!$A$6:$BE$37,58,0)-VLOOKUP(B514,#REF!,$AL$2,0),0)</f>
        <v>0</v>
      </c>
      <c r="AM514" s="9">
        <f>IFERROR(VLOOKUP(B514,cubo!$A$6:$BK$37,64,0)-VLOOKUP(B514,#REF!,$AM$2,0),0)</f>
        <v>0</v>
      </c>
      <c r="AN514" s="9">
        <f>IFERROR(VLOOKUP(B514,cubo!$A$6:$AN$37,41,0)-VLOOKUP(B514,#REF!,$AN$2,0),0)</f>
        <v>0</v>
      </c>
    </row>
    <row r="515" spans="2:40" x14ac:dyDescent="0.25">
      <c r="B515" s="7">
        <f>[1]salario!A514</f>
        <v>0</v>
      </c>
      <c r="C515" s="8">
        <f>[1]salario!C514</f>
        <v>0</v>
      </c>
      <c r="D515" s="9">
        <f>IFERROR(VLOOKUP(B515,cubo!$A$6:$BE$37,3,0)-VLOOKUP(B515,#REF!,$D$2,0),0)</f>
        <v>0</v>
      </c>
      <c r="E515" s="10">
        <f>IFERROR(VLOOKUP(B515,cubo!$A$6:$BE$37,5,0)-VLOOKUP(B515,#REF!,$E$2,0),0)</f>
        <v>0</v>
      </c>
      <c r="F515" s="10">
        <f>IFERROR(VLOOKUP(B515,cubo!$A$6:$BE$37,8,0)-VLOOKUP(B515,#REF!,$F$2,0),0)</f>
        <v>0</v>
      </c>
      <c r="G515" s="9">
        <f>IFERROR(VLOOKUP(B515,cubo!$A$6:$BE$37,11,0)-VLOOKUP(B515,#REF!,$G$2,0),0)</f>
        <v>0</v>
      </c>
      <c r="H515" s="9">
        <f>IFERROR(VLOOKUP(B515,cubo!$A$6:$BE$37,53,0)-VLOOKUP(B515,#REF!,$H$2,0),0)</f>
        <v>0</v>
      </c>
      <c r="I515" s="10">
        <f>IFERROR(VLOOKUP(B515,cubo!$A$6:$BE$37,14,0)-VLOOKUP(B515,#REF!,$I$2,0),0)</f>
        <v>0</v>
      </c>
      <c r="J515" s="9">
        <f>IFERROR(VLOOKUP(B515,cubo!$A$6:$BE$37,16,0)-VLOOKUP(B515,#REF!,$J$2,0),0)</f>
        <v>0</v>
      </c>
      <c r="K515" s="9">
        <f>IFERROR(VLOOKUP(B515,cubo!$A$6:$BE$37,17,0)-VLOOKUP(B515,#REF!,$K$2,0),0)</f>
        <v>0</v>
      </c>
      <c r="L515" s="9">
        <f>IFERROR(VLOOKUP(B515,cubo!$A$6:$BE$37,19,0)-VLOOKUP(B515,#REF!,$L$2,0),0)</f>
        <v>0</v>
      </c>
      <c r="M515" s="9">
        <f>IFERROR(VLOOKUP(B515,cubo!$A$6:$BE$37,23,0)-VLOOKUP(B515,#REF!,$M$2,0),0)</f>
        <v>0</v>
      </c>
      <c r="N515" s="9">
        <f>IFERROR(VLOOKUP(B515,cubo!$A$6:$BE$37,25,0)-VLOOKUP(B515,#REF!,$N$2,0),0)</f>
        <v>0</v>
      </c>
      <c r="O515" s="9">
        <f>IFERROR(VLOOKUP(B515,cubo!$A$6:$BE$37,33,0)-VLOOKUP(B515,#REF!,$O$2,0),0)</f>
        <v>0</v>
      </c>
      <c r="P515" s="8">
        <f>IFERROR(VLOOKUP(B515,cubo!$A$6:$BE$37,37,0)-VLOOKUP(B515,#REF!,$P$2,0),0)</f>
        <v>0</v>
      </c>
      <c r="Q515" s="8">
        <f>IFERROR(VLOOKUP(B515,cubo!$A$6:$BE$37,56,0)-VLOOKUP(B515,#REF!,$Q$2,0),0)</f>
        <v>0</v>
      </c>
      <c r="R515" s="9">
        <f>IFERROR(VLOOKUP(B515,cubo!$A$6:$BE$37,40,0)-VLOOKUP(B515,#REF!,$R$2,0),0)</f>
        <v>0</v>
      </c>
      <c r="S515" s="9">
        <f>IFERROR(VLOOKUP(B515,cubo!$A$6:$BE$37,43,0)-VLOOKUP(B515,#REF!,$S$2,0),0)</f>
        <v>0</v>
      </c>
      <c r="T515" s="9">
        <f>IFERROR(VLOOKUP(B515,cubo!$A$6:$BE$37,46,0)-VLOOKUP(B515,#REF!,$T$2,0),0)</f>
        <v>0</v>
      </c>
      <c r="U515" s="9">
        <f>IFERROR(VLOOKUP(B515,cubo!$A$6:$BE$37,51,0)-VLOOKUP(B515,#REF!,$U$2,0),0)</f>
        <v>0</v>
      </c>
      <c r="V515" s="9">
        <f>IFERROR(VLOOKUP(B515,cubo!$A$6:$BJ$37,60,0)-VLOOKUP(B515,#REF!,$V$2,0),0)</f>
        <v>0</v>
      </c>
      <c r="W515" s="9">
        <f>IFERROR(VLOOKUP(B515,cubo!$A$6:$BE$37,26,0)-VLOOKUP(B515,#REF!,$W$2,0),0)</f>
        <v>0</v>
      </c>
      <c r="X515" s="9">
        <f>IFERROR(VLOOKUP(B515,cubo!$A$6:$BE$37,20,0)-VLOOKUP(B515,#REF!,$X$2,0),0)</f>
        <v>0</v>
      </c>
      <c r="Y515" s="9">
        <f>IFERROR(VLOOKUP(B515,cubo!$A$6:$BE$37,21,0)-VLOOKUP(B515,#REF!,$Y$2,0),0)</f>
        <v>0</v>
      </c>
      <c r="Z515" s="9">
        <f>IFERROR(VLOOKUP(B515,cubo!$A$6:$BE$37,27,0)-VLOOKUP(B515,#REF!,$Z$2,0),0)</f>
        <v>0</v>
      </c>
      <c r="AA515" s="9">
        <f>IFERROR(VLOOKUP(B515,cubo!$A$6:$BE$37,28,0)-VLOOKUP(B515,#REF!,$AA$2,0),0)</f>
        <v>0</v>
      </c>
      <c r="AB515" s="9">
        <f>IFERROR(VLOOKUP(B515,cubo!$A$6:$BE$37,29,0)-VLOOKUP(B515,#REF!,$AB$2,0),0)</f>
        <v>0</v>
      </c>
      <c r="AC515" s="9">
        <f>IFERROR(VLOOKUP(B515,cubo!$A$6:$BE$37,30,0)-VLOOKUP(B515,#REF!,$AC$2,0),0)</f>
        <v>0</v>
      </c>
      <c r="AD515" s="9">
        <f>IFERROR(VLOOKUP(B515,cubo!$A$6:$BE$37,31,0)-VLOOKUP(B515,#REF!,$AD$2,0),0)</f>
        <v>0</v>
      </c>
      <c r="AE515" s="9">
        <f>IFERROR(VLOOKUP(B515,cubo!$A$6:$BE$37,35,0)-VLOOKUP(B515,#REF!,$AE$2,0),0)</f>
        <v>0</v>
      </c>
      <c r="AF515" s="9" cm="1">
        <f t="array" aca="1" ref="AF515" ca="1">IFERROR(rrPROCV(B515,cubo!$A$6:$BE$37,48,0)-VLOOKUP(B515,#REF!,$AF$2,0),0)</f>
        <v>0</v>
      </c>
      <c r="AG515" s="9">
        <f>IFERROR(VLOOKUP(B515,cubo!$A$6:$BE$37,49,0)-VLOOKUP(B515,#REF!,$AG$2,0),0)</f>
        <v>0</v>
      </c>
      <c r="AH515" s="9">
        <f>IFERROR(VLOOKUP(B515,cubo!$A$6:$BE$37,50,0)-VLOOKUP(B515,#REF!,$AH$2,0),0)</f>
        <v>0</v>
      </c>
      <c r="AI515" s="9">
        <f>IFERROR(VLOOKUP(B515,cubo!$A$6:$BE$37,51,0)-VLOOKUP(B515,#REF!,$AI$2,0),0)</f>
        <v>0</v>
      </c>
      <c r="AJ515" s="9">
        <f>IFERROR(VLOOKUP(B515,cubo!$A$6:$BI$116,62,0)-VLOOKUP(B515,#REF!,$AJ$2,0),0)</f>
        <v>0</v>
      </c>
      <c r="AK515" s="9">
        <f>IFERROR(VLOOKUP(B515,cubo!$A$6:$BJ$37,63,0)-VLOOKUP(B515,#REF!,$AK$2,0),0)</f>
        <v>0</v>
      </c>
      <c r="AL515" s="9">
        <f>IFERROR(VLOOKUP(B515,cubo!$A$6:$BE$37,58,0)-VLOOKUP(B515,#REF!,$AL$2,0),0)</f>
        <v>0</v>
      </c>
      <c r="AM515" s="9">
        <f>IFERROR(VLOOKUP(B515,cubo!$A$6:$BK$37,64,0)-VLOOKUP(B515,#REF!,$AM$2,0),0)</f>
        <v>0</v>
      </c>
      <c r="AN515" s="9">
        <f>IFERROR(VLOOKUP(B515,cubo!$A$6:$AN$37,41,0)-VLOOKUP(B515,#REF!,$AN$2,0),0)</f>
        <v>0</v>
      </c>
    </row>
    <row r="516" spans="2:40" x14ac:dyDescent="0.25">
      <c r="B516" s="7">
        <f>[1]salario!A515</f>
        <v>0</v>
      </c>
      <c r="C516" s="8">
        <f>[1]salario!C515</f>
        <v>0</v>
      </c>
      <c r="D516" s="9">
        <f>IFERROR(VLOOKUP(B516,cubo!$A$6:$BE$37,3,0)-VLOOKUP(B516,#REF!,$D$2,0),0)</f>
        <v>0</v>
      </c>
      <c r="E516" s="10">
        <f>IFERROR(VLOOKUP(B516,cubo!$A$6:$BE$37,5,0)-VLOOKUP(B516,#REF!,$E$2,0),0)</f>
        <v>0</v>
      </c>
      <c r="F516" s="10">
        <f>IFERROR(VLOOKUP(B516,cubo!$A$6:$BE$37,8,0)-VLOOKUP(B516,#REF!,$F$2,0),0)</f>
        <v>0</v>
      </c>
      <c r="G516" s="9">
        <f>IFERROR(VLOOKUP(B516,cubo!$A$6:$BE$37,11,0)-VLOOKUP(B516,#REF!,$G$2,0),0)</f>
        <v>0</v>
      </c>
      <c r="H516" s="9">
        <f>IFERROR(VLOOKUP(B516,cubo!$A$6:$BE$37,53,0)-VLOOKUP(B516,#REF!,$H$2,0),0)</f>
        <v>0</v>
      </c>
      <c r="I516" s="10">
        <f>IFERROR(VLOOKUP(B516,cubo!$A$6:$BE$37,14,0)-VLOOKUP(B516,#REF!,$I$2,0),0)</f>
        <v>0</v>
      </c>
      <c r="J516" s="9">
        <f>IFERROR(VLOOKUP(B516,cubo!$A$6:$BE$37,16,0)-VLOOKUP(B516,#REF!,$J$2,0),0)</f>
        <v>0</v>
      </c>
      <c r="K516" s="9">
        <f>IFERROR(VLOOKUP(B516,cubo!$A$6:$BE$37,17,0)-VLOOKUP(B516,#REF!,$K$2,0),0)</f>
        <v>0</v>
      </c>
      <c r="L516" s="9">
        <f>IFERROR(VLOOKUP(B516,cubo!$A$6:$BE$37,19,0)-VLOOKUP(B516,#REF!,$L$2,0),0)</f>
        <v>0</v>
      </c>
      <c r="M516" s="9">
        <f>IFERROR(VLOOKUP(B516,cubo!$A$6:$BE$37,23,0)-VLOOKUP(B516,#REF!,$M$2,0),0)</f>
        <v>0</v>
      </c>
      <c r="N516" s="9">
        <f>IFERROR(VLOOKUP(B516,cubo!$A$6:$BE$37,25,0)-VLOOKUP(B516,#REF!,$N$2,0),0)</f>
        <v>0</v>
      </c>
      <c r="O516" s="9">
        <f>IFERROR(VLOOKUP(B516,cubo!$A$6:$BE$37,33,0)-VLOOKUP(B516,#REF!,$O$2,0),0)</f>
        <v>0</v>
      </c>
      <c r="P516" s="8">
        <f>IFERROR(VLOOKUP(B516,cubo!$A$6:$BE$37,37,0)-VLOOKUP(B516,#REF!,$P$2,0),0)</f>
        <v>0</v>
      </c>
      <c r="Q516" s="8">
        <f>IFERROR(VLOOKUP(B516,cubo!$A$6:$BE$37,56,0)-VLOOKUP(B516,#REF!,$Q$2,0),0)</f>
        <v>0</v>
      </c>
      <c r="R516" s="9">
        <f>IFERROR(VLOOKUP(B516,cubo!$A$6:$BE$37,40,0)-VLOOKUP(B516,#REF!,$R$2,0),0)</f>
        <v>0</v>
      </c>
      <c r="S516" s="9">
        <f>IFERROR(VLOOKUP(B516,cubo!$A$6:$BE$37,43,0)-VLOOKUP(B516,#REF!,$S$2,0),0)</f>
        <v>0</v>
      </c>
      <c r="T516" s="9">
        <f>IFERROR(VLOOKUP(B516,cubo!$A$6:$BE$37,46,0)-VLOOKUP(B516,#REF!,$T$2,0),0)</f>
        <v>0</v>
      </c>
      <c r="U516" s="9">
        <f>IFERROR(VLOOKUP(B516,cubo!$A$6:$BE$37,51,0)-VLOOKUP(B516,#REF!,$U$2,0),0)</f>
        <v>0</v>
      </c>
      <c r="V516" s="9">
        <f>IFERROR(VLOOKUP(B516,cubo!$A$6:$BJ$37,60,0)-VLOOKUP(B516,#REF!,$V$2,0),0)</f>
        <v>0</v>
      </c>
      <c r="W516" s="9">
        <f>IFERROR(VLOOKUP(B516,cubo!$A$6:$BE$37,26,0)-VLOOKUP(B516,#REF!,$W$2,0),0)</f>
        <v>0</v>
      </c>
      <c r="X516" s="9">
        <f>IFERROR(VLOOKUP(B516,cubo!$A$6:$BE$37,20,0)-VLOOKUP(B516,#REF!,$X$2,0),0)</f>
        <v>0</v>
      </c>
      <c r="Y516" s="9">
        <f>IFERROR(VLOOKUP(B516,cubo!$A$6:$BE$37,21,0)-VLOOKUP(B516,#REF!,$Y$2,0),0)</f>
        <v>0</v>
      </c>
      <c r="Z516" s="9">
        <f>IFERROR(VLOOKUP(B516,cubo!$A$6:$BE$37,27,0)-VLOOKUP(B516,#REF!,$Z$2,0),0)</f>
        <v>0</v>
      </c>
      <c r="AA516" s="9">
        <f>IFERROR(VLOOKUP(B516,cubo!$A$6:$BE$37,28,0)-VLOOKUP(B516,#REF!,$AA$2,0),0)</f>
        <v>0</v>
      </c>
      <c r="AB516" s="9">
        <f>IFERROR(VLOOKUP(B516,cubo!$A$6:$BE$37,29,0)-VLOOKUP(B516,#REF!,$AB$2,0),0)</f>
        <v>0</v>
      </c>
      <c r="AC516" s="9">
        <f>IFERROR(VLOOKUP(B516,cubo!$A$6:$BE$37,30,0)-VLOOKUP(B516,#REF!,$AC$2,0),0)</f>
        <v>0</v>
      </c>
      <c r="AD516" s="9">
        <f>IFERROR(VLOOKUP(B516,cubo!$A$6:$BE$37,31,0)-VLOOKUP(B516,#REF!,$AD$2,0),0)</f>
        <v>0</v>
      </c>
      <c r="AE516" s="9">
        <f>IFERROR(VLOOKUP(B516,cubo!$A$6:$BE$37,35,0)-VLOOKUP(B516,#REF!,$AE$2,0),0)</f>
        <v>0</v>
      </c>
      <c r="AF516" s="9" cm="1">
        <f t="array" aca="1" ref="AF516" ca="1">IFERROR(rrPROCV(B516,cubo!$A$6:$BE$37,48,0)-VLOOKUP(B516,#REF!,$AF$2,0),0)</f>
        <v>0</v>
      </c>
      <c r="AG516" s="9">
        <f>IFERROR(VLOOKUP(B516,cubo!$A$6:$BE$37,49,0)-VLOOKUP(B516,#REF!,$AG$2,0),0)</f>
        <v>0</v>
      </c>
      <c r="AH516" s="9">
        <f>IFERROR(VLOOKUP(B516,cubo!$A$6:$BE$37,50,0)-VLOOKUP(B516,#REF!,$AH$2,0),0)</f>
        <v>0</v>
      </c>
      <c r="AI516" s="9">
        <f>IFERROR(VLOOKUP(B516,cubo!$A$6:$BE$37,51,0)-VLOOKUP(B516,#REF!,$AI$2,0),0)</f>
        <v>0</v>
      </c>
      <c r="AJ516" s="9">
        <f>IFERROR(VLOOKUP(B516,cubo!$A$6:$BI$116,62,0)-VLOOKUP(B516,#REF!,$AJ$2,0),0)</f>
        <v>0</v>
      </c>
      <c r="AK516" s="9">
        <f>IFERROR(VLOOKUP(B516,cubo!$A$6:$BJ$37,63,0)-VLOOKUP(B516,#REF!,$AK$2,0),0)</f>
        <v>0</v>
      </c>
      <c r="AL516" s="9">
        <f>IFERROR(VLOOKUP(B516,cubo!$A$6:$BE$37,58,0)-VLOOKUP(B516,#REF!,$AL$2,0),0)</f>
        <v>0</v>
      </c>
      <c r="AM516" s="9">
        <f>IFERROR(VLOOKUP(B516,cubo!$A$6:$BK$37,64,0)-VLOOKUP(B516,#REF!,$AM$2,0),0)</f>
        <v>0</v>
      </c>
      <c r="AN516" s="9">
        <f>IFERROR(VLOOKUP(B516,cubo!$A$6:$AN$37,41,0)-VLOOKUP(B516,#REF!,$AN$2,0),0)</f>
        <v>0</v>
      </c>
    </row>
    <row r="517" spans="2:40" x14ac:dyDescent="0.25">
      <c r="B517" s="7">
        <f>[1]salario!A516</f>
        <v>0</v>
      </c>
      <c r="C517" s="8">
        <f>[1]salario!C516</f>
        <v>0</v>
      </c>
      <c r="D517" s="9">
        <f>IFERROR(VLOOKUP(B517,cubo!$A$6:$BE$37,3,0)-VLOOKUP(B517,#REF!,$D$2,0),0)</f>
        <v>0</v>
      </c>
      <c r="E517" s="10">
        <f>IFERROR(VLOOKUP(B517,cubo!$A$6:$BE$37,5,0)-VLOOKUP(B517,#REF!,$E$2,0),0)</f>
        <v>0</v>
      </c>
      <c r="F517" s="10">
        <f>IFERROR(VLOOKUP(B517,cubo!$A$6:$BE$37,8,0)-VLOOKUP(B517,#REF!,$F$2,0),0)</f>
        <v>0</v>
      </c>
      <c r="G517" s="9">
        <f>IFERROR(VLOOKUP(B517,cubo!$A$6:$BE$37,11,0)-VLOOKUP(B517,#REF!,$G$2,0),0)</f>
        <v>0</v>
      </c>
      <c r="H517" s="9">
        <f>IFERROR(VLOOKUP(B517,cubo!$A$6:$BE$37,53,0)-VLOOKUP(B517,#REF!,$H$2,0),0)</f>
        <v>0</v>
      </c>
      <c r="I517" s="10">
        <f>IFERROR(VLOOKUP(B517,cubo!$A$6:$BE$37,14,0)-VLOOKUP(B517,#REF!,$I$2,0),0)</f>
        <v>0</v>
      </c>
      <c r="J517" s="9">
        <f>IFERROR(VLOOKUP(B517,cubo!$A$6:$BE$37,16,0)-VLOOKUP(B517,#REF!,$J$2,0),0)</f>
        <v>0</v>
      </c>
      <c r="K517" s="9">
        <f>IFERROR(VLOOKUP(B517,cubo!$A$6:$BE$37,17,0)-VLOOKUP(B517,#REF!,$K$2,0),0)</f>
        <v>0</v>
      </c>
      <c r="L517" s="9">
        <f>IFERROR(VLOOKUP(B517,cubo!$A$6:$BE$37,19,0)-VLOOKUP(B517,#REF!,$L$2,0),0)</f>
        <v>0</v>
      </c>
      <c r="M517" s="9">
        <f>IFERROR(VLOOKUP(B517,cubo!$A$6:$BE$37,23,0)-VLOOKUP(B517,#REF!,$M$2,0),0)</f>
        <v>0</v>
      </c>
      <c r="N517" s="9">
        <f>IFERROR(VLOOKUP(B517,cubo!$A$6:$BE$37,25,0)-VLOOKUP(B517,#REF!,$N$2,0),0)</f>
        <v>0</v>
      </c>
      <c r="O517" s="9">
        <f>IFERROR(VLOOKUP(B517,cubo!$A$6:$BE$37,33,0)-VLOOKUP(B517,#REF!,$O$2,0),0)</f>
        <v>0</v>
      </c>
      <c r="P517" s="8">
        <f>IFERROR(VLOOKUP(B517,cubo!$A$6:$BE$37,37,0)-VLOOKUP(B517,#REF!,$P$2,0),0)</f>
        <v>0</v>
      </c>
      <c r="Q517" s="8">
        <f>IFERROR(VLOOKUP(B517,cubo!$A$6:$BE$37,56,0)-VLOOKUP(B517,#REF!,$Q$2,0),0)</f>
        <v>0</v>
      </c>
      <c r="R517" s="9">
        <f>IFERROR(VLOOKUP(B517,cubo!$A$6:$BE$37,40,0)-VLOOKUP(B517,#REF!,$R$2,0),0)</f>
        <v>0</v>
      </c>
      <c r="S517" s="9">
        <f>IFERROR(VLOOKUP(B517,cubo!$A$6:$BE$37,43,0)-VLOOKUP(B517,#REF!,$S$2,0),0)</f>
        <v>0</v>
      </c>
      <c r="T517" s="9">
        <f>IFERROR(VLOOKUP(B517,cubo!$A$6:$BE$37,46,0)-VLOOKUP(B517,#REF!,$T$2,0),0)</f>
        <v>0</v>
      </c>
      <c r="U517" s="9">
        <f>IFERROR(VLOOKUP(B517,cubo!$A$6:$BE$37,51,0)-VLOOKUP(B517,#REF!,$U$2,0),0)</f>
        <v>0</v>
      </c>
      <c r="V517" s="9">
        <f>IFERROR(VLOOKUP(B517,cubo!$A$6:$BJ$37,60,0)-VLOOKUP(B517,#REF!,$V$2,0),0)</f>
        <v>0</v>
      </c>
      <c r="W517" s="9">
        <f>IFERROR(VLOOKUP(B517,cubo!$A$6:$BE$37,26,0)-VLOOKUP(B517,#REF!,$W$2,0),0)</f>
        <v>0</v>
      </c>
      <c r="X517" s="9">
        <f>IFERROR(VLOOKUP(B517,cubo!$A$6:$BE$37,20,0)-VLOOKUP(B517,#REF!,$X$2,0),0)</f>
        <v>0</v>
      </c>
      <c r="Y517" s="9">
        <f>IFERROR(VLOOKUP(B517,cubo!$A$6:$BE$37,21,0)-VLOOKUP(B517,#REF!,$Y$2,0),0)</f>
        <v>0</v>
      </c>
      <c r="Z517" s="9">
        <f>IFERROR(VLOOKUP(B517,cubo!$A$6:$BE$37,27,0)-VLOOKUP(B517,#REF!,$Z$2,0),0)</f>
        <v>0</v>
      </c>
      <c r="AA517" s="9">
        <f>IFERROR(VLOOKUP(B517,cubo!$A$6:$BE$37,28,0)-VLOOKUP(B517,#REF!,$AA$2,0),0)</f>
        <v>0</v>
      </c>
      <c r="AB517" s="9">
        <f>IFERROR(VLOOKUP(B517,cubo!$A$6:$BE$37,29,0)-VLOOKUP(B517,#REF!,$AB$2,0),0)</f>
        <v>0</v>
      </c>
      <c r="AC517" s="9">
        <f>IFERROR(VLOOKUP(B517,cubo!$A$6:$BE$37,30,0)-VLOOKUP(B517,#REF!,$AC$2,0),0)</f>
        <v>0</v>
      </c>
      <c r="AD517" s="9">
        <f>IFERROR(VLOOKUP(B517,cubo!$A$6:$BE$37,31,0)-VLOOKUP(B517,#REF!,$AD$2,0),0)</f>
        <v>0</v>
      </c>
      <c r="AE517" s="9">
        <f>IFERROR(VLOOKUP(B517,cubo!$A$6:$BE$37,35,0)-VLOOKUP(B517,#REF!,$AE$2,0),0)</f>
        <v>0</v>
      </c>
      <c r="AF517" s="9" cm="1">
        <f t="array" aca="1" ref="AF517" ca="1">IFERROR(rrPROCV(B517,cubo!$A$6:$BE$37,48,0)-VLOOKUP(B517,#REF!,$AF$2,0),0)</f>
        <v>0</v>
      </c>
      <c r="AG517" s="9">
        <f>IFERROR(VLOOKUP(B517,cubo!$A$6:$BE$37,49,0)-VLOOKUP(B517,#REF!,$AG$2,0),0)</f>
        <v>0</v>
      </c>
      <c r="AH517" s="9">
        <f>IFERROR(VLOOKUP(B517,cubo!$A$6:$BE$37,50,0)-VLOOKUP(B517,#REF!,$AH$2,0),0)</f>
        <v>0</v>
      </c>
      <c r="AI517" s="9">
        <f>IFERROR(VLOOKUP(B517,cubo!$A$6:$BE$37,51,0)-VLOOKUP(B517,#REF!,$AI$2,0),0)</f>
        <v>0</v>
      </c>
      <c r="AJ517" s="9">
        <f>IFERROR(VLOOKUP(B517,cubo!$A$6:$BI$116,62,0)-VLOOKUP(B517,#REF!,$AJ$2,0),0)</f>
        <v>0</v>
      </c>
      <c r="AK517" s="9">
        <f>IFERROR(VLOOKUP(B517,cubo!$A$6:$BJ$37,63,0)-VLOOKUP(B517,#REF!,$AK$2,0),0)</f>
        <v>0</v>
      </c>
      <c r="AL517" s="9">
        <f>IFERROR(VLOOKUP(B517,cubo!$A$6:$BE$37,58,0)-VLOOKUP(B517,#REF!,$AL$2,0),0)</f>
        <v>0</v>
      </c>
      <c r="AM517" s="9">
        <f>IFERROR(VLOOKUP(B517,cubo!$A$6:$BK$37,64,0)-VLOOKUP(B517,#REF!,$AM$2,0),0)</f>
        <v>0</v>
      </c>
      <c r="AN517" s="9">
        <f>IFERROR(VLOOKUP(B517,cubo!$A$6:$AN$37,41,0)-VLOOKUP(B517,#REF!,$AN$2,0),0)</f>
        <v>0</v>
      </c>
    </row>
    <row r="518" spans="2:40" x14ac:dyDescent="0.25">
      <c r="B518" s="7">
        <f>[1]salario!A517</f>
        <v>0</v>
      </c>
      <c r="C518" s="8">
        <f>[1]salario!C517</f>
        <v>0</v>
      </c>
      <c r="D518" s="9">
        <f>IFERROR(VLOOKUP(B518,cubo!$A$6:$BE$37,3,0)-VLOOKUP(B518,#REF!,$D$2,0),0)</f>
        <v>0</v>
      </c>
      <c r="E518" s="10">
        <f>IFERROR(VLOOKUP(B518,cubo!$A$6:$BE$37,5,0)-VLOOKUP(B518,#REF!,$E$2,0),0)</f>
        <v>0</v>
      </c>
      <c r="F518" s="10">
        <f>IFERROR(VLOOKUP(B518,cubo!$A$6:$BE$37,8,0)-VLOOKUP(B518,#REF!,$F$2,0),0)</f>
        <v>0</v>
      </c>
      <c r="G518" s="9">
        <f>IFERROR(VLOOKUP(B518,cubo!$A$6:$BE$37,11,0)-VLOOKUP(B518,#REF!,$G$2,0),0)</f>
        <v>0</v>
      </c>
      <c r="H518" s="9">
        <f>IFERROR(VLOOKUP(B518,cubo!$A$6:$BE$37,53,0)-VLOOKUP(B518,#REF!,$H$2,0),0)</f>
        <v>0</v>
      </c>
      <c r="I518" s="10">
        <f>IFERROR(VLOOKUP(B518,cubo!$A$6:$BE$37,14,0)-VLOOKUP(B518,#REF!,$I$2,0),0)</f>
        <v>0</v>
      </c>
      <c r="J518" s="9">
        <f>IFERROR(VLOOKUP(B518,cubo!$A$6:$BE$37,16,0)-VLOOKUP(B518,#REF!,$J$2,0),0)</f>
        <v>0</v>
      </c>
      <c r="K518" s="9">
        <f>IFERROR(VLOOKUP(B518,cubo!$A$6:$BE$37,17,0)-VLOOKUP(B518,#REF!,$K$2,0),0)</f>
        <v>0</v>
      </c>
      <c r="L518" s="9">
        <f>IFERROR(VLOOKUP(B518,cubo!$A$6:$BE$37,19,0)-VLOOKUP(B518,#REF!,$L$2,0),0)</f>
        <v>0</v>
      </c>
      <c r="M518" s="9">
        <f>IFERROR(VLOOKUP(B518,cubo!$A$6:$BE$37,23,0)-VLOOKUP(B518,#REF!,$M$2,0),0)</f>
        <v>0</v>
      </c>
      <c r="N518" s="9">
        <f>IFERROR(VLOOKUP(B518,cubo!$A$6:$BE$37,25,0)-VLOOKUP(B518,#REF!,$N$2,0),0)</f>
        <v>0</v>
      </c>
      <c r="O518" s="9">
        <f>IFERROR(VLOOKUP(B518,cubo!$A$6:$BE$37,33,0)-VLOOKUP(B518,#REF!,$O$2,0),0)</f>
        <v>0</v>
      </c>
      <c r="P518" s="8">
        <f>IFERROR(VLOOKUP(B518,cubo!$A$6:$BE$37,37,0)-VLOOKUP(B518,#REF!,$P$2,0),0)</f>
        <v>0</v>
      </c>
      <c r="Q518" s="8">
        <f>IFERROR(VLOOKUP(B518,cubo!$A$6:$BE$37,56,0)-VLOOKUP(B518,#REF!,$Q$2,0),0)</f>
        <v>0</v>
      </c>
      <c r="R518" s="9">
        <f>IFERROR(VLOOKUP(B518,cubo!$A$6:$BE$37,40,0)-VLOOKUP(B518,#REF!,$R$2,0),0)</f>
        <v>0</v>
      </c>
      <c r="S518" s="9">
        <f>IFERROR(VLOOKUP(B518,cubo!$A$6:$BE$37,43,0)-VLOOKUP(B518,#REF!,$S$2,0),0)</f>
        <v>0</v>
      </c>
      <c r="T518" s="9">
        <f>IFERROR(VLOOKUP(B518,cubo!$A$6:$BE$37,46,0)-VLOOKUP(B518,#REF!,$T$2,0),0)</f>
        <v>0</v>
      </c>
      <c r="U518" s="9">
        <f>IFERROR(VLOOKUP(B518,cubo!$A$6:$BE$37,51,0)-VLOOKUP(B518,#REF!,$U$2,0),0)</f>
        <v>0</v>
      </c>
      <c r="V518" s="9">
        <f>IFERROR(VLOOKUP(B518,cubo!$A$6:$BJ$37,60,0)-VLOOKUP(B518,#REF!,$V$2,0),0)</f>
        <v>0</v>
      </c>
      <c r="W518" s="9">
        <f>IFERROR(VLOOKUP(B518,cubo!$A$6:$BE$37,26,0)-VLOOKUP(B518,#REF!,$W$2,0),0)</f>
        <v>0</v>
      </c>
      <c r="X518" s="9">
        <f>IFERROR(VLOOKUP(B518,cubo!$A$6:$BE$37,20,0)-VLOOKUP(B518,#REF!,$X$2,0),0)</f>
        <v>0</v>
      </c>
      <c r="Y518" s="9">
        <f>IFERROR(VLOOKUP(B518,cubo!$A$6:$BE$37,21,0)-VLOOKUP(B518,#REF!,$Y$2,0),0)</f>
        <v>0</v>
      </c>
      <c r="Z518" s="9">
        <f>IFERROR(VLOOKUP(B518,cubo!$A$6:$BE$37,27,0)-VLOOKUP(B518,#REF!,$Z$2,0),0)</f>
        <v>0</v>
      </c>
      <c r="AA518" s="9">
        <f>IFERROR(VLOOKUP(B518,cubo!$A$6:$BE$37,28,0)-VLOOKUP(B518,#REF!,$AA$2,0),0)</f>
        <v>0</v>
      </c>
      <c r="AB518" s="9">
        <f>IFERROR(VLOOKUP(B518,cubo!$A$6:$BE$37,29,0)-VLOOKUP(B518,#REF!,$AB$2,0),0)</f>
        <v>0</v>
      </c>
      <c r="AC518" s="9">
        <f>IFERROR(VLOOKUP(B518,cubo!$A$6:$BE$37,30,0)-VLOOKUP(B518,#REF!,$AC$2,0),0)</f>
        <v>0</v>
      </c>
      <c r="AD518" s="9">
        <f>IFERROR(VLOOKUP(B518,cubo!$A$6:$BE$37,31,0)-VLOOKUP(B518,#REF!,$AD$2,0),0)</f>
        <v>0</v>
      </c>
      <c r="AE518" s="9">
        <f>IFERROR(VLOOKUP(B518,cubo!$A$6:$BE$37,35,0)-VLOOKUP(B518,#REF!,$AE$2,0),0)</f>
        <v>0</v>
      </c>
      <c r="AF518" s="9" cm="1">
        <f t="array" aca="1" ref="AF518" ca="1">IFERROR(rrPROCV(B518,cubo!$A$6:$BE$37,48,0)-VLOOKUP(B518,#REF!,$AF$2,0),0)</f>
        <v>0</v>
      </c>
      <c r="AG518" s="9">
        <f>IFERROR(VLOOKUP(B518,cubo!$A$6:$BE$37,49,0)-VLOOKUP(B518,#REF!,$AG$2,0),0)</f>
        <v>0</v>
      </c>
      <c r="AH518" s="9">
        <f>IFERROR(VLOOKUP(B518,cubo!$A$6:$BE$37,50,0)-VLOOKUP(B518,#REF!,$AH$2,0),0)</f>
        <v>0</v>
      </c>
      <c r="AI518" s="9">
        <f>IFERROR(VLOOKUP(B518,cubo!$A$6:$BE$37,51,0)-VLOOKUP(B518,#REF!,$AI$2,0),0)</f>
        <v>0</v>
      </c>
      <c r="AJ518" s="9">
        <f>IFERROR(VLOOKUP(B518,cubo!$A$6:$BI$116,62,0)-VLOOKUP(B518,#REF!,$AJ$2,0),0)</f>
        <v>0</v>
      </c>
      <c r="AK518" s="9">
        <f>IFERROR(VLOOKUP(B518,cubo!$A$6:$BJ$37,63,0)-VLOOKUP(B518,#REF!,$AK$2,0),0)</f>
        <v>0</v>
      </c>
      <c r="AL518" s="9">
        <f>IFERROR(VLOOKUP(B518,cubo!$A$6:$BE$37,58,0)-VLOOKUP(B518,#REF!,$AL$2,0),0)</f>
        <v>0</v>
      </c>
      <c r="AM518" s="9">
        <f>IFERROR(VLOOKUP(B518,cubo!$A$6:$BK$37,64,0)-VLOOKUP(B518,#REF!,$AM$2,0),0)</f>
        <v>0</v>
      </c>
      <c r="AN518" s="9">
        <f>IFERROR(VLOOKUP(B518,cubo!$A$6:$AN$37,41,0)-VLOOKUP(B518,#REF!,$AN$2,0),0)</f>
        <v>0</v>
      </c>
    </row>
    <row r="519" spans="2:40" x14ac:dyDescent="0.25">
      <c r="B519" s="7">
        <f>[1]salario!A518</f>
        <v>0</v>
      </c>
      <c r="C519" s="8">
        <f>[1]salario!C518</f>
        <v>0</v>
      </c>
      <c r="D519" s="9">
        <f>IFERROR(VLOOKUP(B519,cubo!$A$6:$BE$37,3,0)-VLOOKUP(B519,#REF!,$D$2,0),0)</f>
        <v>0</v>
      </c>
      <c r="E519" s="10">
        <f>IFERROR(VLOOKUP(B519,cubo!$A$6:$BE$37,5,0)-VLOOKUP(B519,#REF!,$E$2,0),0)</f>
        <v>0</v>
      </c>
      <c r="F519" s="10">
        <f>IFERROR(VLOOKUP(B519,cubo!$A$6:$BE$37,8,0)-VLOOKUP(B519,#REF!,$F$2,0),0)</f>
        <v>0</v>
      </c>
      <c r="G519" s="9">
        <f>IFERROR(VLOOKUP(B519,cubo!$A$6:$BE$37,11,0)-VLOOKUP(B519,#REF!,$G$2,0),0)</f>
        <v>0</v>
      </c>
      <c r="H519" s="9">
        <f>IFERROR(VLOOKUP(B519,cubo!$A$6:$BE$37,53,0)-VLOOKUP(B519,#REF!,$H$2,0),0)</f>
        <v>0</v>
      </c>
      <c r="I519" s="10">
        <f>IFERROR(VLOOKUP(B519,cubo!$A$6:$BE$37,14,0)-VLOOKUP(B519,#REF!,$I$2,0),0)</f>
        <v>0</v>
      </c>
      <c r="J519" s="9">
        <f>IFERROR(VLOOKUP(B519,cubo!$A$6:$BE$37,16,0)-VLOOKUP(B519,#REF!,$J$2,0),0)</f>
        <v>0</v>
      </c>
      <c r="K519" s="9">
        <f>IFERROR(VLOOKUP(B519,cubo!$A$6:$BE$37,17,0)-VLOOKUP(B519,#REF!,$K$2,0),0)</f>
        <v>0</v>
      </c>
      <c r="L519" s="9">
        <f>IFERROR(VLOOKUP(B519,cubo!$A$6:$BE$37,19,0)-VLOOKUP(B519,#REF!,$L$2,0),0)</f>
        <v>0</v>
      </c>
      <c r="M519" s="9">
        <f>IFERROR(VLOOKUP(B519,cubo!$A$6:$BE$37,23,0)-VLOOKUP(B519,#REF!,$M$2,0),0)</f>
        <v>0</v>
      </c>
      <c r="N519" s="9">
        <f>IFERROR(VLOOKUP(B519,cubo!$A$6:$BE$37,25,0)-VLOOKUP(B519,#REF!,$N$2,0),0)</f>
        <v>0</v>
      </c>
      <c r="O519" s="9">
        <f>IFERROR(VLOOKUP(B519,cubo!$A$6:$BE$37,33,0)-VLOOKUP(B519,#REF!,$O$2,0),0)</f>
        <v>0</v>
      </c>
      <c r="P519" s="8">
        <f>IFERROR(VLOOKUP(B519,cubo!$A$6:$BE$37,37,0)-VLOOKUP(B519,#REF!,$P$2,0),0)</f>
        <v>0</v>
      </c>
      <c r="Q519" s="8">
        <f>IFERROR(VLOOKUP(B519,cubo!$A$6:$BE$37,56,0)-VLOOKUP(B519,#REF!,$Q$2,0),0)</f>
        <v>0</v>
      </c>
      <c r="R519" s="9">
        <f>IFERROR(VLOOKUP(B519,cubo!$A$6:$BE$37,40,0)-VLOOKUP(B519,#REF!,$R$2,0),0)</f>
        <v>0</v>
      </c>
      <c r="S519" s="9">
        <f>IFERROR(VLOOKUP(B519,cubo!$A$6:$BE$37,43,0)-VLOOKUP(B519,#REF!,$S$2,0),0)</f>
        <v>0</v>
      </c>
      <c r="T519" s="9">
        <f>IFERROR(VLOOKUP(B519,cubo!$A$6:$BE$37,46,0)-VLOOKUP(B519,#REF!,$T$2,0),0)</f>
        <v>0</v>
      </c>
      <c r="U519" s="9">
        <f>IFERROR(VLOOKUP(B519,cubo!$A$6:$BE$37,51,0)-VLOOKUP(B519,#REF!,$U$2,0),0)</f>
        <v>0</v>
      </c>
      <c r="V519" s="9">
        <f>IFERROR(VLOOKUP(B519,cubo!$A$6:$BJ$37,60,0)-VLOOKUP(B519,#REF!,$V$2,0),0)</f>
        <v>0</v>
      </c>
      <c r="W519" s="9">
        <f>IFERROR(VLOOKUP(B519,cubo!$A$6:$BE$37,26,0)-VLOOKUP(B519,#REF!,$W$2,0),0)</f>
        <v>0</v>
      </c>
      <c r="X519" s="9">
        <f>IFERROR(VLOOKUP(B519,cubo!$A$6:$BE$37,20,0)-VLOOKUP(B519,#REF!,$X$2,0),0)</f>
        <v>0</v>
      </c>
      <c r="Y519" s="9">
        <f>IFERROR(VLOOKUP(B519,cubo!$A$6:$BE$37,21,0)-VLOOKUP(B519,#REF!,$Y$2,0),0)</f>
        <v>0</v>
      </c>
      <c r="Z519" s="9">
        <f>IFERROR(VLOOKUP(B519,cubo!$A$6:$BE$37,27,0)-VLOOKUP(B519,#REF!,$Z$2,0),0)</f>
        <v>0</v>
      </c>
      <c r="AA519" s="9">
        <f>IFERROR(VLOOKUP(B519,cubo!$A$6:$BE$37,28,0)-VLOOKUP(B519,#REF!,$AA$2,0),0)</f>
        <v>0</v>
      </c>
      <c r="AB519" s="9">
        <f>IFERROR(VLOOKUP(B519,cubo!$A$6:$BE$37,29,0)-VLOOKUP(B519,#REF!,$AB$2,0),0)</f>
        <v>0</v>
      </c>
      <c r="AC519" s="9">
        <f>IFERROR(VLOOKUP(B519,cubo!$A$6:$BE$37,30,0)-VLOOKUP(B519,#REF!,$AC$2,0),0)</f>
        <v>0</v>
      </c>
      <c r="AD519" s="9">
        <f>IFERROR(VLOOKUP(B519,cubo!$A$6:$BE$37,31,0)-VLOOKUP(B519,#REF!,$AD$2,0),0)</f>
        <v>0</v>
      </c>
      <c r="AE519" s="9">
        <f>IFERROR(VLOOKUP(B519,cubo!$A$6:$BE$37,35,0)-VLOOKUP(B519,#REF!,$AE$2,0),0)</f>
        <v>0</v>
      </c>
      <c r="AF519" s="9" cm="1">
        <f t="array" aca="1" ref="AF519" ca="1">IFERROR(rrPROCV(B519,cubo!$A$6:$BE$37,48,0)-VLOOKUP(B519,#REF!,$AF$2,0),0)</f>
        <v>0</v>
      </c>
      <c r="AG519" s="9">
        <f>IFERROR(VLOOKUP(B519,cubo!$A$6:$BE$37,49,0)-VLOOKUP(B519,#REF!,$AG$2,0),0)</f>
        <v>0</v>
      </c>
      <c r="AH519" s="9">
        <f>IFERROR(VLOOKUP(B519,cubo!$A$6:$BE$37,50,0)-VLOOKUP(B519,#REF!,$AH$2,0),0)</f>
        <v>0</v>
      </c>
      <c r="AI519" s="9">
        <f>IFERROR(VLOOKUP(B519,cubo!$A$6:$BE$37,51,0)-VLOOKUP(B519,#REF!,$AI$2,0),0)</f>
        <v>0</v>
      </c>
      <c r="AJ519" s="9">
        <f>IFERROR(VLOOKUP(B519,cubo!$A$6:$BI$116,62,0)-VLOOKUP(B519,#REF!,$AJ$2,0),0)</f>
        <v>0</v>
      </c>
      <c r="AK519" s="9">
        <f>IFERROR(VLOOKUP(B519,cubo!$A$6:$BJ$37,63,0)-VLOOKUP(B519,#REF!,$AK$2,0),0)</f>
        <v>0</v>
      </c>
      <c r="AL519" s="9">
        <f>IFERROR(VLOOKUP(B519,cubo!$A$6:$BE$37,58,0)-VLOOKUP(B519,#REF!,$AL$2,0),0)</f>
        <v>0</v>
      </c>
      <c r="AM519" s="9">
        <f>IFERROR(VLOOKUP(B519,cubo!$A$6:$BK$37,64,0)-VLOOKUP(B519,#REF!,$AM$2,0),0)</f>
        <v>0</v>
      </c>
      <c r="AN519" s="9">
        <f>IFERROR(VLOOKUP(B519,cubo!$A$6:$AN$37,41,0)-VLOOKUP(B519,#REF!,$AN$2,0),0)</f>
        <v>0</v>
      </c>
    </row>
    <row r="520" spans="2:40" x14ac:dyDescent="0.25">
      <c r="B520" s="7">
        <f>[1]salario!A519</f>
        <v>0</v>
      </c>
      <c r="C520" s="8">
        <f>[1]salario!C519</f>
        <v>0</v>
      </c>
      <c r="D520" s="9">
        <f>IFERROR(VLOOKUP(B520,cubo!$A$6:$BE$37,3,0)-VLOOKUP(B520,#REF!,$D$2,0),0)</f>
        <v>0</v>
      </c>
      <c r="E520" s="10">
        <f>IFERROR(VLOOKUP(B520,cubo!$A$6:$BE$37,5,0)-VLOOKUP(B520,#REF!,$E$2,0),0)</f>
        <v>0</v>
      </c>
      <c r="F520" s="10">
        <f>IFERROR(VLOOKUP(B520,cubo!$A$6:$BE$37,8,0)-VLOOKUP(B520,#REF!,$F$2,0),0)</f>
        <v>0</v>
      </c>
      <c r="G520" s="9">
        <f>IFERROR(VLOOKUP(B520,cubo!$A$6:$BE$37,11,0)-VLOOKUP(B520,#REF!,$G$2,0),0)</f>
        <v>0</v>
      </c>
      <c r="H520" s="9">
        <f>IFERROR(VLOOKUP(B520,cubo!$A$6:$BE$37,53,0)-VLOOKUP(B520,#REF!,$H$2,0),0)</f>
        <v>0</v>
      </c>
      <c r="I520" s="10">
        <f>IFERROR(VLOOKUP(B520,cubo!$A$6:$BE$37,14,0)-VLOOKUP(B520,#REF!,$I$2,0),0)</f>
        <v>0</v>
      </c>
      <c r="J520" s="9">
        <f>IFERROR(VLOOKUP(B520,cubo!$A$6:$BE$37,16,0)-VLOOKUP(B520,#REF!,$J$2,0),0)</f>
        <v>0</v>
      </c>
      <c r="K520" s="9">
        <f>IFERROR(VLOOKUP(B520,cubo!$A$6:$BE$37,17,0)-VLOOKUP(B520,#REF!,$K$2,0),0)</f>
        <v>0</v>
      </c>
      <c r="L520" s="9">
        <f>IFERROR(VLOOKUP(B520,cubo!$A$6:$BE$37,19,0)-VLOOKUP(B520,#REF!,$L$2,0),0)</f>
        <v>0</v>
      </c>
      <c r="M520" s="9">
        <f>IFERROR(VLOOKUP(B520,cubo!$A$6:$BE$37,23,0)-VLOOKUP(B520,#REF!,$M$2,0),0)</f>
        <v>0</v>
      </c>
      <c r="N520" s="9">
        <f>IFERROR(VLOOKUP(B520,cubo!$A$6:$BE$37,25,0)-VLOOKUP(B520,#REF!,$N$2,0),0)</f>
        <v>0</v>
      </c>
      <c r="O520" s="9">
        <f>IFERROR(VLOOKUP(B520,cubo!$A$6:$BE$37,33,0)-VLOOKUP(B520,#REF!,$O$2,0),0)</f>
        <v>0</v>
      </c>
      <c r="P520" s="8">
        <f>IFERROR(VLOOKUP(B520,cubo!$A$6:$BE$37,37,0)-VLOOKUP(B520,#REF!,$P$2,0),0)</f>
        <v>0</v>
      </c>
      <c r="Q520" s="8">
        <f>IFERROR(VLOOKUP(B520,cubo!$A$6:$BE$37,56,0)-VLOOKUP(B520,#REF!,$Q$2,0),0)</f>
        <v>0</v>
      </c>
      <c r="R520" s="9">
        <f>IFERROR(VLOOKUP(B520,cubo!$A$6:$BE$37,40,0)-VLOOKUP(B520,#REF!,$R$2,0),0)</f>
        <v>0</v>
      </c>
      <c r="S520" s="9">
        <f>IFERROR(VLOOKUP(B520,cubo!$A$6:$BE$37,43,0)-VLOOKUP(B520,#REF!,$S$2,0),0)</f>
        <v>0</v>
      </c>
      <c r="T520" s="9">
        <f>IFERROR(VLOOKUP(B520,cubo!$A$6:$BE$37,46,0)-VLOOKUP(B520,#REF!,$T$2,0),0)</f>
        <v>0</v>
      </c>
      <c r="U520" s="9">
        <f>IFERROR(VLOOKUP(B520,cubo!$A$6:$BE$37,51,0)-VLOOKUP(B520,#REF!,$U$2,0),0)</f>
        <v>0</v>
      </c>
      <c r="V520" s="9">
        <f>IFERROR(VLOOKUP(B520,cubo!$A$6:$BJ$37,60,0)-VLOOKUP(B520,#REF!,$V$2,0),0)</f>
        <v>0</v>
      </c>
      <c r="W520" s="9">
        <f>IFERROR(VLOOKUP(B520,cubo!$A$6:$BE$37,26,0)-VLOOKUP(B520,#REF!,$W$2,0),0)</f>
        <v>0</v>
      </c>
      <c r="X520" s="9">
        <f>IFERROR(VLOOKUP(B520,cubo!$A$6:$BE$37,20,0)-VLOOKUP(B520,#REF!,$X$2,0),0)</f>
        <v>0</v>
      </c>
      <c r="Y520" s="9">
        <f>IFERROR(VLOOKUP(B520,cubo!$A$6:$BE$37,21,0)-VLOOKUP(B520,#REF!,$Y$2,0),0)</f>
        <v>0</v>
      </c>
      <c r="Z520" s="9">
        <f>IFERROR(VLOOKUP(B520,cubo!$A$6:$BE$37,27,0)-VLOOKUP(B520,#REF!,$Z$2,0),0)</f>
        <v>0</v>
      </c>
      <c r="AA520" s="9">
        <f>IFERROR(VLOOKUP(B520,cubo!$A$6:$BE$37,28,0)-VLOOKUP(B520,#REF!,$AA$2,0),0)</f>
        <v>0</v>
      </c>
      <c r="AB520" s="9">
        <f>IFERROR(VLOOKUP(B520,cubo!$A$6:$BE$37,29,0)-VLOOKUP(B520,#REF!,$AB$2,0),0)</f>
        <v>0</v>
      </c>
      <c r="AC520" s="9">
        <f>IFERROR(VLOOKUP(B520,cubo!$A$6:$BE$37,30,0)-VLOOKUP(B520,#REF!,$AC$2,0),0)</f>
        <v>0</v>
      </c>
      <c r="AD520" s="9">
        <f>IFERROR(VLOOKUP(B520,cubo!$A$6:$BE$37,31,0)-VLOOKUP(B520,#REF!,$AD$2,0),0)</f>
        <v>0</v>
      </c>
      <c r="AE520" s="9">
        <f>IFERROR(VLOOKUP(B520,cubo!$A$6:$BE$37,35,0)-VLOOKUP(B520,#REF!,$AE$2,0),0)</f>
        <v>0</v>
      </c>
      <c r="AF520" s="9" cm="1">
        <f t="array" aca="1" ref="AF520" ca="1">IFERROR(rrPROCV(B520,cubo!$A$6:$BE$37,48,0)-VLOOKUP(B520,#REF!,$AF$2,0),0)</f>
        <v>0</v>
      </c>
      <c r="AG520" s="9">
        <f>IFERROR(VLOOKUP(B520,cubo!$A$6:$BE$37,49,0)-VLOOKUP(B520,#REF!,$AG$2,0),0)</f>
        <v>0</v>
      </c>
      <c r="AH520" s="9">
        <f>IFERROR(VLOOKUP(B520,cubo!$A$6:$BE$37,50,0)-VLOOKUP(B520,#REF!,$AH$2,0),0)</f>
        <v>0</v>
      </c>
      <c r="AI520" s="9">
        <f>IFERROR(VLOOKUP(B520,cubo!$A$6:$BE$37,51,0)-VLOOKUP(B520,#REF!,$AI$2,0),0)</f>
        <v>0</v>
      </c>
      <c r="AJ520" s="9">
        <f>IFERROR(VLOOKUP(B520,cubo!$A$6:$BI$116,62,0)-VLOOKUP(B520,#REF!,$AJ$2,0),0)</f>
        <v>0</v>
      </c>
      <c r="AK520" s="9">
        <f>IFERROR(VLOOKUP(B520,cubo!$A$6:$BJ$37,63,0)-VLOOKUP(B520,#REF!,$AK$2,0),0)</f>
        <v>0</v>
      </c>
      <c r="AL520" s="9">
        <f>IFERROR(VLOOKUP(B520,cubo!$A$6:$BE$37,58,0)-VLOOKUP(B520,#REF!,$AL$2,0),0)</f>
        <v>0</v>
      </c>
      <c r="AM520" s="9">
        <f>IFERROR(VLOOKUP(B520,cubo!$A$6:$BK$37,64,0)-VLOOKUP(B520,#REF!,$AM$2,0),0)</f>
        <v>0</v>
      </c>
      <c r="AN520" s="9">
        <f>IFERROR(VLOOKUP(B520,cubo!$A$6:$AN$37,41,0)-VLOOKUP(B520,#REF!,$AN$2,0),0)</f>
        <v>0</v>
      </c>
    </row>
    <row r="521" spans="2:40" x14ac:dyDescent="0.25">
      <c r="B521" s="7">
        <f>[1]salario!A520</f>
        <v>0</v>
      </c>
      <c r="C521" s="8">
        <f>[1]salario!C520</f>
        <v>0</v>
      </c>
      <c r="D521" s="9">
        <f>IFERROR(VLOOKUP(B521,cubo!$A$6:$BE$37,3,0)-VLOOKUP(B521,#REF!,$D$2,0),0)</f>
        <v>0</v>
      </c>
      <c r="E521" s="10">
        <f>IFERROR(VLOOKUP(B521,cubo!$A$6:$BE$37,5,0)-VLOOKUP(B521,#REF!,$E$2,0),0)</f>
        <v>0</v>
      </c>
      <c r="F521" s="10">
        <f>IFERROR(VLOOKUP(B521,cubo!$A$6:$BE$37,8,0)-VLOOKUP(B521,#REF!,$F$2,0),0)</f>
        <v>0</v>
      </c>
      <c r="G521" s="9">
        <f>IFERROR(VLOOKUP(B521,cubo!$A$6:$BE$37,11,0)-VLOOKUP(B521,#REF!,$G$2,0),0)</f>
        <v>0</v>
      </c>
      <c r="H521" s="9">
        <f>IFERROR(VLOOKUP(B521,cubo!$A$6:$BE$37,53,0)-VLOOKUP(B521,#REF!,$H$2,0),0)</f>
        <v>0</v>
      </c>
      <c r="I521" s="10">
        <f>IFERROR(VLOOKUP(B521,cubo!$A$6:$BE$37,14,0)-VLOOKUP(B521,#REF!,$I$2,0),0)</f>
        <v>0</v>
      </c>
      <c r="J521" s="9">
        <f>IFERROR(VLOOKUP(B521,cubo!$A$6:$BE$37,16,0)-VLOOKUP(B521,#REF!,$J$2,0),0)</f>
        <v>0</v>
      </c>
      <c r="K521" s="9">
        <f>IFERROR(VLOOKUP(B521,cubo!$A$6:$BE$37,17,0)-VLOOKUP(B521,#REF!,$K$2,0),0)</f>
        <v>0</v>
      </c>
      <c r="L521" s="9">
        <f>IFERROR(VLOOKUP(B521,cubo!$A$6:$BE$37,19,0)-VLOOKUP(B521,#REF!,$L$2,0),0)</f>
        <v>0</v>
      </c>
      <c r="M521" s="9">
        <f>IFERROR(VLOOKUP(B521,cubo!$A$6:$BE$37,23,0)-VLOOKUP(B521,#REF!,$M$2,0),0)</f>
        <v>0</v>
      </c>
      <c r="N521" s="9">
        <f>IFERROR(VLOOKUP(B521,cubo!$A$6:$BE$37,25,0)-VLOOKUP(B521,#REF!,$N$2,0),0)</f>
        <v>0</v>
      </c>
      <c r="O521" s="9">
        <f>IFERROR(VLOOKUP(B521,cubo!$A$6:$BE$37,33,0)-VLOOKUP(B521,#REF!,$O$2,0),0)</f>
        <v>0</v>
      </c>
      <c r="P521" s="8">
        <f>IFERROR(VLOOKUP(B521,cubo!$A$6:$BE$37,37,0)-VLOOKUP(B521,#REF!,$P$2,0),0)</f>
        <v>0</v>
      </c>
      <c r="Q521" s="8">
        <f>IFERROR(VLOOKUP(B521,cubo!$A$6:$BE$37,56,0)-VLOOKUP(B521,#REF!,$Q$2,0),0)</f>
        <v>0</v>
      </c>
      <c r="R521" s="9">
        <f>IFERROR(VLOOKUP(B521,cubo!$A$6:$BE$37,40,0)-VLOOKUP(B521,#REF!,$R$2,0),0)</f>
        <v>0</v>
      </c>
      <c r="S521" s="9">
        <f>IFERROR(VLOOKUP(B521,cubo!$A$6:$BE$37,43,0)-VLOOKUP(B521,#REF!,$S$2,0),0)</f>
        <v>0</v>
      </c>
      <c r="T521" s="9">
        <f>IFERROR(VLOOKUP(B521,cubo!$A$6:$BE$37,46,0)-VLOOKUP(B521,#REF!,$T$2,0),0)</f>
        <v>0</v>
      </c>
      <c r="U521" s="9">
        <f>IFERROR(VLOOKUP(B521,cubo!$A$6:$BE$37,51,0)-VLOOKUP(B521,#REF!,$U$2,0),0)</f>
        <v>0</v>
      </c>
      <c r="V521" s="9">
        <f>IFERROR(VLOOKUP(B521,cubo!$A$6:$BJ$37,60,0)-VLOOKUP(B521,#REF!,$V$2,0),0)</f>
        <v>0</v>
      </c>
      <c r="W521" s="9">
        <f>IFERROR(VLOOKUP(B521,cubo!$A$6:$BE$37,26,0)-VLOOKUP(B521,#REF!,$W$2,0),0)</f>
        <v>0</v>
      </c>
      <c r="X521" s="9">
        <f>IFERROR(VLOOKUP(B521,cubo!$A$6:$BE$37,20,0)-VLOOKUP(B521,#REF!,$X$2,0),0)</f>
        <v>0</v>
      </c>
      <c r="Y521" s="9">
        <f>IFERROR(VLOOKUP(B521,cubo!$A$6:$BE$37,21,0)-VLOOKUP(B521,#REF!,$Y$2,0),0)</f>
        <v>0</v>
      </c>
      <c r="Z521" s="9">
        <f>IFERROR(VLOOKUP(B521,cubo!$A$6:$BE$37,27,0)-VLOOKUP(B521,#REF!,$Z$2,0),0)</f>
        <v>0</v>
      </c>
      <c r="AA521" s="9">
        <f>IFERROR(VLOOKUP(B521,cubo!$A$6:$BE$37,28,0)-VLOOKUP(B521,#REF!,$AA$2,0),0)</f>
        <v>0</v>
      </c>
      <c r="AB521" s="9">
        <f>IFERROR(VLOOKUP(B521,cubo!$A$6:$BE$37,29,0)-VLOOKUP(B521,#REF!,$AB$2,0),0)</f>
        <v>0</v>
      </c>
      <c r="AC521" s="9">
        <f>IFERROR(VLOOKUP(B521,cubo!$A$6:$BE$37,30,0)-VLOOKUP(B521,#REF!,$AC$2,0),0)</f>
        <v>0</v>
      </c>
      <c r="AD521" s="9">
        <f>IFERROR(VLOOKUP(B521,cubo!$A$6:$BE$37,31,0)-VLOOKUP(B521,#REF!,$AD$2,0),0)</f>
        <v>0</v>
      </c>
      <c r="AE521" s="9">
        <f>IFERROR(VLOOKUP(B521,cubo!$A$6:$BE$37,35,0)-VLOOKUP(B521,#REF!,$AE$2,0),0)</f>
        <v>0</v>
      </c>
      <c r="AF521" s="9" cm="1">
        <f t="array" aca="1" ref="AF521" ca="1">IFERROR(rrPROCV(B521,cubo!$A$6:$BE$37,48,0)-VLOOKUP(B521,#REF!,$AF$2,0),0)</f>
        <v>0</v>
      </c>
      <c r="AG521" s="9">
        <f>IFERROR(VLOOKUP(B521,cubo!$A$6:$BE$37,49,0)-VLOOKUP(B521,#REF!,$AG$2,0),0)</f>
        <v>0</v>
      </c>
      <c r="AH521" s="9">
        <f>IFERROR(VLOOKUP(B521,cubo!$A$6:$BE$37,50,0)-VLOOKUP(B521,#REF!,$AH$2,0),0)</f>
        <v>0</v>
      </c>
      <c r="AI521" s="9">
        <f>IFERROR(VLOOKUP(B521,cubo!$A$6:$BE$37,51,0)-VLOOKUP(B521,#REF!,$AI$2,0),0)</f>
        <v>0</v>
      </c>
      <c r="AJ521" s="9">
        <f>IFERROR(VLOOKUP(B521,cubo!$A$6:$BI$116,62,0)-VLOOKUP(B521,#REF!,$AJ$2,0),0)</f>
        <v>0</v>
      </c>
      <c r="AK521" s="9">
        <f>IFERROR(VLOOKUP(B521,cubo!$A$6:$BJ$37,63,0)-VLOOKUP(B521,#REF!,$AK$2,0),0)</f>
        <v>0</v>
      </c>
      <c r="AL521" s="9">
        <f>IFERROR(VLOOKUP(B521,cubo!$A$6:$BE$37,58,0)-VLOOKUP(B521,#REF!,$AL$2,0),0)</f>
        <v>0</v>
      </c>
      <c r="AM521" s="9">
        <f>IFERROR(VLOOKUP(B521,cubo!$A$6:$BK$37,64,0)-VLOOKUP(B521,#REF!,$AM$2,0),0)</f>
        <v>0</v>
      </c>
      <c r="AN521" s="9">
        <f>IFERROR(VLOOKUP(B521,cubo!$A$6:$AN$37,41,0)-VLOOKUP(B521,#REF!,$AN$2,0),0)</f>
        <v>0</v>
      </c>
    </row>
    <row r="522" spans="2:40" x14ac:dyDescent="0.25">
      <c r="B522" s="7">
        <f>[1]salario!A521</f>
        <v>0</v>
      </c>
      <c r="C522" s="8">
        <f>[1]salario!C521</f>
        <v>0</v>
      </c>
      <c r="D522" s="9">
        <f>IFERROR(VLOOKUP(B522,cubo!$A$6:$BE$37,3,0)-VLOOKUP(B522,#REF!,$D$2,0),0)</f>
        <v>0</v>
      </c>
      <c r="E522" s="10">
        <f>IFERROR(VLOOKUP(B522,cubo!$A$6:$BE$37,5,0)-VLOOKUP(B522,#REF!,$E$2,0),0)</f>
        <v>0</v>
      </c>
      <c r="F522" s="10">
        <f>IFERROR(VLOOKUP(B522,cubo!$A$6:$BE$37,8,0)-VLOOKUP(B522,#REF!,$F$2,0),0)</f>
        <v>0</v>
      </c>
      <c r="G522" s="9">
        <f>IFERROR(VLOOKUP(B522,cubo!$A$6:$BE$37,11,0)-VLOOKUP(B522,#REF!,$G$2,0),0)</f>
        <v>0</v>
      </c>
      <c r="H522" s="9">
        <f>IFERROR(VLOOKUP(B522,cubo!$A$6:$BE$37,53,0)-VLOOKUP(B522,#REF!,$H$2,0),0)</f>
        <v>0</v>
      </c>
      <c r="I522" s="10">
        <f>IFERROR(VLOOKUP(B522,cubo!$A$6:$BE$37,14,0)-VLOOKUP(B522,#REF!,$I$2,0),0)</f>
        <v>0</v>
      </c>
      <c r="J522" s="9">
        <f>IFERROR(VLOOKUP(B522,cubo!$A$6:$BE$37,16,0)-VLOOKUP(B522,#REF!,$J$2,0),0)</f>
        <v>0</v>
      </c>
      <c r="K522" s="9">
        <f>IFERROR(VLOOKUP(B522,cubo!$A$6:$BE$37,17,0)-VLOOKUP(B522,#REF!,$K$2,0),0)</f>
        <v>0</v>
      </c>
      <c r="L522" s="9">
        <f>IFERROR(VLOOKUP(B522,cubo!$A$6:$BE$37,19,0)-VLOOKUP(B522,#REF!,$L$2,0),0)</f>
        <v>0</v>
      </c>
      <c r="M522" s="9">
        <f>IFERROR(VLOOKUP(B522,cubo!$A$6:$BE$37,23,0)-VLOOKUP(B522,#REF!,$M$2,0),0)</f>
        <v>0</v>
      </c>
      <c r="N522" s="9">
        <f>IFERROR(VLOOKUP(B522,cubo!$A$6:$BE$37,25,0)-VLOOKUP(B522,#REF!,$N$2,0),0)</f>
        <v>0</v>
      </c>
      <c r="O522" s="9">
        <f>IFERROR(VLOOKUP(B522,cubo!$A$6:$BE$37,33,0)-VLOOKUP(B522,#REF!,$O$2,0),0)</f>
        <v>0</v>
      </c>
      <c r="P522" s="8">
        <f>IFERROR(VLOOKUP(B522,cubo!$A$6:$BE$37,37,0)-VLOOKUP(B522,#REF!,$P$2,0),0)</f>
        <v>0</v>
      </c>
      <c r="Q522" s="8">
        <f>IFERROR(VLOOKUP(B522,cubo!$A$6:$BE$37,56,0)-VLOOKUP(B522,#REF!,$Q$2,0),0)</f>
        <v>0</v>
      </c>
      <c r="R522" s="9">
        <f>IFERROR(VLOOKUP(B522,cubo!$A$6:$BE$37,40,0)-VLOOKUP(B522,#REF!,$R$2,0),0)</f>
        <v>0</v>
      </c>
      <c r="S522" s="9">
        <f>IFERROR(VLOOKUP(B522,cubo!$A$6:$BE$37,43,0)-VLOOKUP(B522,#REF!,$S$2,0),0)</f>
        <v>0</v>
      </c>
      <c r="T522" s="9">
        <f>IFERROR(VLOOKUP(B522,cubo!$A$6:$BE$37,46,0)-VLOOKUP(B522,#REF!,$T$2,0),0)</f>
        <v>0</v>
      </c>
      <c r="U522" s="9">
        <f>IFERROR(VLOOKUP(B522,cubo!$A$6:$BE$37,51,0)-VLOOKUP(B522,#REF!,$U$2,0),0)</f>
        <v>0</v>
      </c>
      <c r="V522" s="9">
        <f>IFERROR(VLOOKUP(B522,cubo!$A$6:$BJ$37,60,0)-VLOOKUP(B522,#REF!,$V$2,0),0)</f>
        <v>0</v>
      </c>
      <c r="W522" s="9">
        <f>IFERROR(VLOOKUP(B522,cubo!$A$6:$BE$37,26,0)-VLOOKUP(B522,#REF!,$W$2,0),0)</f>
        <v>0</v>
      </c>
      <c r="X522" s="9">
        <f>IFERROR(VLOOKUP(B522,cubo!$A$6:$BE$37,20,0)-VLOOKUP(B522,#REF!,$X$2,0),0)</f>
        <v>0</v>
      </c>
      <c r="Y522" s="9">
        <f>IFERROR(VLOOKUP(B522,cubo!$A$6:$BE$37,21,0)-VLOOKUP(B522,#REF!,$Y$2,0),0)</f>
        <v>0</v>
      </c>
      <c r="Z522" s="9">
        <f>IFERROR(VLOOKUP(B522,cubo!$A$6:$BE$37,27,0)-VLOOKUP(B522,#REF!,$Z$2,0),0)</f>
        <v>0</v>
      </c>
      <c r="AA522" s="9">
        <f>IFERROR(VLOOKUP(B522,cubo!$A$6:$BE$37,28,0)-VLOOKUP(B522,#REF!,$AA$2,0),0)</f>
        <v>0</v>
      </c>
      <c r="AB522" s="9">
        <f>IFERROR(VLOOKUP(B522,cubo!$A$6:$BE$37,29,0)-VLOOKUP(B522,#REF!,$AB$2,0),0)</f>
        <v>0</v>
      </c>
      <c r="AC522" s="9">
        <f>IFERROR(VLOOKUP(B522,cubo!$A$6:$BE$37,30,0)-VLOOKUP(B522,#REF!,$AC$2,0),0)</f>
        <v>0</v>
      </c>
      <c r="AD522" s="9">
        <f>IFERROR(VLOOKUP(B522,cubo!$A$6:$BE$37,31,0)-VLOOKUP(B522,#REF!,$AD$2,0),0)</f>
        <v>0</v>
      </c>
      <c r="AE522" s="9">
        <f>IFERROR(VLOOKUP(B522,cubo!$A$6:$BE$37,35,0)-VLOOKUP(B522,#REF!,$AE$2,0),0)</f>
        <v>0</v>
      </c>
      <c r="AF522" s="9" cm="1">
        <f t="array" aca="1" ref="AF522" ca="1">IFERROR(rrPROCV(B522,cubo!$A$6:$BE$37,48,0)-VLOOKUP(B522,#REF!,$AF$2,0),0)</f>
        <v>0</v>
      </c>
      <c r="AG522" s="9">
        <f>IFERROR(VLOOKUP(B522,cubo!$A$6:$BE$37,49,0)-VLOOKUP(B522,#REF!,$AG$2,0),0)</f>
        <v>0</v>
      </c>
      <c r="AH522" s="9">
        <f>IFERROR(VLOOKUP(B522,cubo!$A$6:$BE$37,50,0)-VLOOKUP(B522,#REF!,$AH$2,0),0)</f>
        <v>0</v>
      </c>
      <c r="AI522" s="9">
        <f>IFERROR(VLOOKUP(B522,cubo!$A$6:$BE$37,51,0)-VLOOKUP(B522,#REF!,$AI$2,0),0)</f>
        <v>0</v>
      </c>
      <c r="AJ522" s="9">
        <f>IFERROR(VLOOKUP(B522,cubo!$A$6:$BI$116,62,0)-VLOOKUP(B522,#REF!,$AJ$2,0),0)</f>
        <v>0</v>
      </c>
      <c r="AK522" s="9">
        <f>IFERROR(VLOOKUP(B522,cubo!$A$6:$BJ$37,63,0)-VLOOKUP(B522,#REF!,$AK$2,0),0)</f>
        <v>0</v>
      </c>
      <c r="AL522" s="9">
        <f>IFERROR(VLOOKUP(B522,cubo!$A$6:$BE$37,58,0)-VLOOKUP(B522,#REF!,$AL$2,0),0)</f>
        <v>0</v>
      </c>
      <c r="AM522" s="9">
        <f>IFERROR(VLOOKUP(B522,cubo!$A$6:$BK$37,64,0)-VLOOKUP(B522,#REF!,$AM$2,0),0)</f>
        <v>0</v>
      </c>
      <c r="AN522" s="9">
        <f>IFERROR(VLOOKUP(B522,cubo!$A$6:$AN$37,41,0)-VLOOKUP(B522,#REF!,$AN$2,0),0)</f>
        <v>0</v>
      </c>
    </row>
    <row r="523" spans="2:40" x14ac:dyDescent="0.25">
      <c r="B523" s="7">
        <f>[1]salario!A522</f>
        <v>0</v>
      </c>
      <c r="C523" s="8">
        <f>[1]salario!C522</f>
        <v>0</v>
      </c>
      <c r="D523" s="9">
        <f>IFERROR(VLOOKUP(B523,cubo!$A$6:$BE$37,3,0)-VLOOKUP(B523,#REF!,$D$2,0),0)</f>
        <v>0</v>
      </c>
      <c r="E523" s="10">
        <f>IFERROR(VLOOKUP(B523,cubo!$A$6:$BE$37,5,0)-VLOOKUP(B523,#REF!,$E$2,0),0)</f>
        <v>0</v>
      </c>
      <c r="F523" s="10">
        <f>IFERROR(VLOOKUP(B523,cubo!$A$6:$BE$37,8,0)-VLOOKUP(B523,#REF!,$F$2,0),0)</f>
        <v>0</v>
      </c>
      <c r="G523" s="9">
        <f>IFERROR(VLOOKUP(B523,cubo!$A$6:$BE$37,11,0)-VLOOKUP(B523,#REF!,$G$2,0),0)</f>
        <v>0</v>
      </c>
      <c r="H523" s="9">
        <f>IFERROR(VLOOKUP(B523,cubo!$A$6:$BE$37,53,0)-VLOOKUP(B523,#REF!,$H$2,0),0)</f>
        <v>0</v>
      </c>
      <c r="I523" s="10">
        <f>IFERROR(VLOOKUP(B523,cubo!$A$6:$BE$37,14,0)-VLOOKUP(B523,#REF!,$I$2,0),0)</f>
        <v>0</v>
      </c>
      <c r="J523" s="9">
        <f>IFERROR(VLOOKUP(B523,cubo!$A$6:$BE$37,16,0)-VLOOKUP(B523,#REF!,$J$2,0),0)</f>
        <v>0</v>
      </c>
      <c r="K523" s="9">
        <f>IFERROR(VLOOKUP(B523,cubo!$A$6:$BE$37,17,0)-VLOOKUP(B523,#REF!,$K$2,0),0)</f>
        <v>0</v>
      </c>
      <c r="L523" s="9">
        <f>IFERROR(VLOOKUP(B523,cubo!$A$6:$BE$37,19,0)-VLOOKUP(B523,#REF!,$L$2,0),0)</f>
        <v>0</v>
      </c>
      <c r="M523" s="9">
        <f>IFERROR(VLOOKUP(B523,cubo!$A$6:$BE$37,23,0)-VLOOKUP(B523,#REF!,$M$2,0),0)</f>
        <v>0</v>
      </c>
      <c r="N523" s="9">
        <f>IFERROR(VLOOKUP(B523,cubo!$A$6:$BE$37,25,0)-VLOOKUP(B523,#REF!,$N$2,0),0)</f>
        <v>0</v>
      </c>
      <c r="O523" s="9">
        <f>IFERROR(VLOOKUP(B523,cubo!$A$6:$BE$37,33,0)-VLOOKUP(B523,#REF!,$O$2,0),0)</f>
        <v>0</v>
      </c>
      <c r="P523" s="8">
        <f>IFERROR(VLOOKUP(B523,cubo!$A$6:$BE$37,37,0)-VLOOKUP(B523,#REF!,$P$2,0),0)</f>
        <v>0</v>
      </c>
      <c r="Q523" s="8">
        <f>IFERROR(VLOOKUP(B523,cubo!$A$6:$BE$37,56,0)-VLOOKUP(B523,#REF!,$Q$2,0),0)</f>
        <v>0</v>
      </c>
      <c r="R523" s="9">
        <f>IFERROR(VLOOKUP(B523,cubo!$A$6:$BE$37,40,0)-VLOOKUP(B523,#REF!,$R$2,0),0)</f>
        <v>0</v>
      </c>
      <c r="S523" s="9">
        <f>IFERROR(VLOOKUP(B523,cubo!$A$6:$BE$37,43,0)-VLOOKUP(B523,#REF!,$S$2,0),0)</f>
        <v>0</v>
      </c>
      <c r="T523" s="9">
        <f>IFERROR(VLOOKUP(B523,cubo!$A$6:$BE$37,46,0)-VLOOKUP(B523,#REF!,$T$2,0),0)</f>
        <v>0</v>
      </c>
      <c r="U523" s="9">
        <f>IFERROR(VLOOKUP(B523,cubo!$A$6:$BE$37,51,0)-VLOOKUP(B523,#REF!,$U$2,0),0)</f>
        <v>0</v>
      </c>
      <c r="V523" s="9">
        <f>IFERROR(VLOOKUP(B523,cubo!$A$6:$BJ$37,60,0)-VLOOKUP(B523,#REF!,$V$2,0),0)</f>
        <v>0</v>
      </c>
      <c r="W523" s="9">
        <f>IFERROR(VLOOKUP(B523,cubo!$A$6:$BE$37,26,0)-VLOOKUP(B523,#REF!,$W$2,0),0)</f>
        <v>0</v>
      </c>
      <c r="X523" s="9">
        <f>IFERROR(VLOOKUP(B523,cubo!$A$6:$BE$37,20,0)-VLOOKUP(B523,#REF!,$X$2,0),0)</f>
        <v>0</v>
      </c>
      <c r="Y523" s="9">
        <f>IFERROR(VLOOKUP(B523,cubo!$A$6:$BE$37,21,0)-VLOOKUP(B523,#REF!,$Y$2,0),0)</f>
        <v>0</v>
      </c>
      <c r="Z523" s="9">
        <f>IFERROR(VLOOKUP(B523,cubo!$A$6:$BE$37,27,0)-VLOOKUP(B523,#REF!,$Z$2,0),0)</f>
        <v>0</v>
      </c>
      <c r="AA523" s="9">
        <f>IFERROR(VLOOKUP(B523,cubo!$A$6:$BE$37,28,0)-VLOOKUP(B523,#REF!,$AA$2,0),0)</f>
        <v>0</v>
      </c>
      <c r="AB523" s="9">
        <f>IFERROR(VLOOKUP(B523,cubo!$A$6:$BE$37,29,0)-VLOOKUP(B523,#REF!,$AB$2,0),0)</f>
        <v>0</v>
      </c>
      <c r="AC523" s="9">
        <f>IFERROR(VLOOKUP(B523,cubo!$A$6:$BE$37,30,0)-VLOOKUP(B523,#REF!,$AC$2,0),0)</f>
        <v>0</v>
      </c>
      <c r="AD523" s="9">
        <f>IFERROR(VLOOKUP(B523,cubo!$A$6:$BE$37,31,0)-VLOOKUP(B523,#REF!,$AD$2,0),0)</f>
        <v>0</v>
      </c>
      <c r="AE523" s="9">
        <f>IFERROR(VLOOKUP(B523,cubo!$A$6:$BE$37,35,0)-VLOOKUP(B523,#REF!,$AE$2,0),0)</f>
        <v>0</v>
      </c>
      <c r="AF523" s="9" cm="1">
        <f t="array" aca="1" ref="AF523" ca="1">IFERROR(rrPROCV(B523,cubo!$A$6:$BE$37,48,0)-VLOOKUP(B523,#REF!,$AF$2,0),0)</f>
        <v>0</v>
      </c>
      <c r="AG523" s="9">
        <f>IFERROR(VLOOKUP(B523,cubo!$A$6:$BE$37,49,0)-VLOOKUP(B523,#REF!,$AG$2,0),0)</f>
        <v>0</v>
      </c>
      <c r="AH523" s="9">
        <f>IFERROR(VLOOKUP(B523,cubo!$A$6:$BE$37,50,0)-VLOOKUP(B523,#REF!,$AH$2,0),0)</f>
        <v>0</v>
      </c>
      <c r="AI523" s="9">
        <f>IFERROR(VLOOKUP(B523,cubo!$A$6:$BE$37,51,0)-VLOOKUP(B523,#REF!,$AI$2,0),0)</f>
        <v>0</v>
      </c>
      <c r="AJ523" s="9">
        <f>IFERROR(VLOOKUP(B523,cubo!$A$6:$BI$116,62,0)-VLOOKUP(B523,#REF!,$AJ$2,0),0)</f>
        <v>0</v>
      </c>
      <c r="AK523" s="9">
        <f>IFERROR(VLOOKUP(B523,cubo!$A$6:$BJ$37,63,0)-VLOOKUP(B523,#REF!,$AK$2,0),0)</f>
        <v>0</v>
      </c>
      <c r="AL523" s="9">
        <f>IFERROR(VLOOKUP(B523,cubo!$A$6:$BE$37,58,0)-VLOOKUP(B523,#REF!,$AL$2,0),0)</f>
        <v>0</v>
      </c>
      <c r="AM523" s="9">
        <f>IFERROR(VLOOKUP(B523,cubo!$A$6:$BK$37,64,0)-VLOOKUP(B523,#REF!,$AM$2,0),0)</f>
        <v>0</v>
      </c>
      <c r="AN523" s="9">
        <f>IFERROR(VLOOKUP(B523,cubo!$A$6:$AN$37,41,0)-VLOOKUP(B523,#REF!,$AN$2,0),0)</f>
        <v>0</v>
      </c>
    </row>
    <row r="524" spans="2:40" x14ac:dyDescent="0.25">
      <c r="B524" s="7">
        <f>[1]salario!A523</f>
        <v>0</v>
      </c>
      <c r="C524" s="8">
        <f>[1]salario!C523</f>
        <v>0</v>
      </c>
      <c r="D524" s="9">
        <f>IFERROR(VLOOKUP(B524,cubo!$A$6:$BE$37,3,0)-VLOOKUP(B524,#REF!,$D$2,0),0)</f>
        <v>0</v>
      </c>
      <c r="E524" s="10">
        <f>IFERROR(VLOOKUP(B524,cubo!$A$6:$BE$37,5,0)-VLOOKUP(B524,#REF!,$E$2,0),0)</f>
        <v>0</v>
      </c>
      <c r="F524" s="10">
        <f>IFERROR(VLOOKUP(B524,cubo!$A$6:$BE$37,8,0)-VLOOKUP(B524,#REF!,$F$2,0),0)</f>
        <v>0</v>
      </c>
      <c r="G524" s="9">
        <f>IFERROR(VLOOKUP(B524,cubo!$A$6:$BE$37,11,0)-VLOOKUP(B524,#REF!,$G$2,0),0)</f>
        <v>0</v>
      </c>
      <c r="H524" s="9">
        <f>IFERROR(VLOOKUP(B524,cubo!$A$6:$BE$37,53,0)-VLOOKUP(B524,#REF!,$H$2,0),0)</f>
        <v>0</v>
      </c>
      <c r="I524" s="10">
        <f>IFERROR(VLOOKUP(B524,cubo!$A$6:$BE$37,14,0)-VLOOKUP(B524,#REF!,$I$2,0),0)</f>
        <v>0</v>
      </c>
      <c r="J524" s="9">
        <f>IFERROR(VLOOKUP(B524,cubo!$A$6:$BE$37,16,0)-VLOOKUP(B524,#REF!,$J$2,0),0)</f>
        <v>0</v>
      </c>
      <c r="K524" s="9">
        <f>IFERROR(VLOOKUP(B524,cubo!$A$6:$BE$37,17,0)-VLOOKUP(B524,#REF!,$K$2,0),0)</f>
        <v>0</v>
      </c>
      <c r="L524" s="9">
        <f>IFERROR(VLOOKUP(B524,cubo!$A$6:$BE$37,19,0)-VLOOKUP(B524,#REF!,$L$2,0),0)</f>
        <v>0</v>
      </c>
      <c r="M524" s="9">
        <f>IFERROR(VLOOKUP(B524,cubo!$A$6:$BE$37,23,0)-VLOOKUP(B524,#REF!,$M$2,0),0)</f>
        <v>0</v>
      </c>
      <c r="N524" s="9">
        <f>IFERROR(VLOOKUP(B524,cubo!$A$6:$BE$37,25,0)-VLOOKUP(B524,#REF!,$N$2,0),0)</f>
        <v>0</v>
      </c>
      <c r="O524" s="9">
        <f>IFERROR(VLOOKUP(B524,cubo!$A$6:$BE$37,33,0)-VLOOKUP(B524,#REF!,$O$2,0),0)</f>
        <v>0</v>
      </c>
      <c r="P524" s="8">
        <f>IFERROR(VLOOKUP(B524,cubo!$A$6:$BE$37,37,0)-VLOOKUP(B524,#REF!,$P$2,0),0)</f>
        <v>0</v>
      </c>
      <c r="Q524" s="8">
        <f>IFERROR(VLOOKUP(B524,cubo!$A$6:$BE$37,56,0)-VLOOKUP(B524,#REF!,$Q$2,0),0)</f>
        <v>0</v>
      </c>
      <c r="R524" s="9">
        <f>IFERROR(VLOOKUP(B524,cubo!$A$6:$BE$37,40,0)-VLOOKUP(B524,#REF!,$R$2,0),0)</f>
        <v>0</v>
      </c>
      <c r="S524" s="9">
        <f>IFERROR(VLOOKUP(B524,cubo!$A$6:$BE$37,43,0)-VLOOKUP(B524,#REF!,$S$2,0),0)</f>
        <v>0</v>
      </c>
      <c r="T524" s="9">
        <f>IFERROR(VLOOKUP(B524,cubo!$A$6:$BE$37,46,0)-VLOOKUP(B524,#REF!,$T$2,0),0)</f>
        <v>0</v>
      </c>
      <c r="U524" s="9">
        <f>IFERROR(VLOOKUP(B524,cubo!$A$6:$BE$37,51,0)-VLOOKUP(B524,#REF!,$U$2,0),0)</f>
        <v>0</v>
      </c>
      <c r="V524" s="9">
        <f>IFERROR(VLOOKUP(B524,cubo!$A$6:$BJ$37,60,0)-VLOOKUP(B524,#REF!,$V$2,0),0)</f>
        <v>0</v>
      </c>
      <c r="W524" s="9">
        <f>IFERROR(VLOOKUP(B524,cubo!$A$6:$BE$37,26,0)-VLOOKUP(B524,#REF!,$W$2,0),0)</f>
        <v>0</v>
      </c>
      <c r="X524" s="9">
        <f>IFERROR(VLOOKUP(B524,cubo!$A$6:$BE$37,20,0)-VLOOKUP(B524,#REF!,$X$2,0),0)</f>
        <v>0</v>
      </c>
      <c r="Y524" s="9">
        <f>IFERROR(VLOOKUP(B524,cubo!$A$6:$BE$37,21,0)-VLOOKUP(B524,#REF!,$Y$2,0),0)</f>
        <v>0</v>
      </c>
      <c r="Z524" s="9">
        <f>IFERROR(VLOOKUP(B524,cubo!$A$6:$BE$37,27,0)-VLOOKUP(B524,#REF!,$Z$2,0),0)</f>
        <v>0</v>
      </c>
      <c r="AA524" s="9">
        <f>IFERROR(VLOOKUP(B524,cubo!$A$6:$BE$37,28,0)-VLOOKUP(B524,#REF!,$AA$2,0),0)</f>
        <v>0</v>
      </c>
      <c r="AB524" s="9">
        <f>IFERROR(VLOOKUP(B524,cubo!$A$6:$BE$37,29,0)-VLOOKUP(B524,#REF!,$AB$2,0),0)</f>
        <v>0</v>
      </c>
      <c r="AC524" s="9">
        <f>IFERROR(VLOOKUP(B524,cubo!$A$6:$BE$37,30,0)-VLOOKUP(B524,#REF!,$AC$2,0),0)</f>
        <v>0</v>
      </c>
      <c r="AD524" s="9">
        <f>IFERROR(VLOOKUP(B524,cubo!$A$6:$BE$37,31,0)-VLOOKUP(B524,#REF!,$AD$2,0),0)</f>
        <v>0</v>
      </c>
      <c r="AE524" s="9">
        <f>IFERROR(VLOOKUP(B524,cubo!$A$6:$BE$37,35,0)-VLOOKUP(B524,#REF!,$AE$2,0),0)</f>
        <v>0</v>
      </c>
      <c r="AF524" s="9" cm="1">
        <f t="array" aca="1" ref="AF524" ca="1">IFERROR(rrPROCV(B524,cubo!$A$6:$BE$37,48,0)-VLOOKUP(B524,#REF!,$AF$2,0),0)</f>
        <v>0</v>
      </c>
      <c r="AG524" s="9">
        <f>IFERROR(VLOOKUP(B524,cubo!$A$6:$BE$37,49,0)-VLOOKUP(B524,#REF!,$AG$2,0),0)</f>
        <v>0</v>
      </c>
      <c r="AH524" s="9">
        <f>IFERROR(VLOOKUP(B524,cubo!$A$6:$BE$37,50,0)-VLOOKUP(B524,#REF!,$AH$2,0),0)</f>
        <v>0</v>
      </c>
      <c r="AI524" s="9">
        <f>IFERROR(VLOOKUP(B524,cubo!$A$6:$BE$37,51,0)-VLOOKUP(B524,#REF!,$AI$2,0),0)</f>
        <v>0</v>
      </c>
      <c r="AJ524" s="9">
        <f>IFERROR(VLOOKUP(B524,cubo!$A$6:$BI$116,62,0)-VLOOKUP(B524,#REF!,$AJ$2,0),0)</f>
        <v>0</v>
      </c>
      <c r="AK524" s="9">
        <f>IFERROR(VLOOKUP(B524,cubo!$A$6:$BJ$37,63,0)-VLOOKUP(B524,#REF!,$AK$2,0),0)</f>
        <v>0</v>
      </c>
      <c r="AL524" s="9">
        <f>IFERROR(VLOOKUP(B524,cubo!$A$6:$BE$37,58,0)-VLOOKUP(B524,#REF!,$AL$2,0),0)</f>
        <v>0</v>
      </c>
      <c r="AM524" s="9">
        <f>IFERROR(VLOOKUP(B524,cubo!$A$6:$BK$37,64,0)-VLOOKUP(B524,#REF!,$AM$2,0),0)</f>
        <v>0</v>
      </c>
      <c r="AN524" s="9">
        <f>IFERROR(VLOOKUP(B524,cubo!$A$6:$AN$37,41,0)-VLOOKUP(B524,#REF!,$AN$2,0),0)</f>
        <v>0</v>
      </c>
    </row>
    <row r="525" spans="2:40" x14ac:dyDescent="0.25">
      <c r="B525" s="7">
        <f>[1]salario!A524</f>
        <v>0</v>
      </c>
      <c r="C525" s="8">
        <f>[1]salario!C524</f>
        <v>0</v>
      </c>
      <c r="D525" s="9">
        <f>IFERROR(VLOOKUP(B525,cubo!$A$6:$BE$37,3,0)-VLOOKUP(B525,#REF!,$D$2,0),0)</f>
        <v>0</v>
      </c>
      <c r="E525" s="10">
        <f>IFERROR(VLOOKUP(B525,cubo!$A$6:$BE$37,5,0)-VLOOKUP(B525,#REF!,$E$2,0),0)</f>
        <v>0</v>
      </c>
      <c r="F525" s="10">
        <f>IFERROR(VLOOKUP(B525,cubo!$A$6:$BE$37,8,0)-VLOOKUP(B525,#REF!,$F$2,0),0)</f>
        <v>0</v>
      </c>
      <c r="G525" s="9">
        <f>IFERROR(VLOOKUP(B525,cubo!$A$6:$BE$37,11,0)-VLOOKUP(B525,#REF!,$G$2,0),0)</f>
        <v>0</v>
      </c>
      <c r="H525" s="9">
        <f>IFERROR(VLOOKUP(B525,cubo!$A$6:$BE$37,53,0)-VLOOKUP(B525,#REF!,$H$2,0),0)</f>
        <v>0</v>
      </c>
      <c r="I525" s="10">
        <f>IFERROR(VLOOKUP(B525,cubo!$A$6:$BE$37,14,0)-VLOOKUP(B525,#REF!,$I$2,0),0)</f>
        <v>0</v>
      </c>
      <c r="J525" s="9">
        <f>IFERROR(VLOOKUP(B525,cubo!$A$6:$BE$37,16,0)-VLOOKUP(B525,#REF!,$J$2,0),0)</f>
        <v>0</v>
      </c>
      <c r="K525" s="9">
        <f>IFERROR(VLOOKUP(B525,cubo!$A$6:$BE$37,17,0)-VLOOKUP(B525,#REF!,$K$2,0),0)</f>
        <v>0</v>
      </c>
      <c r="L525" s="9">
        <f>IFERROR(VLOOKUP(B525,cubo!$A$6:$BE$37,19,0)-VLOOKUP(B525,#REF!,$L$2,0),0)</f>
        <v>0</v>
      </c>
      <c r="M525" s="9">
        <f>IFERROR(VLOOKUP(B525,cubo!$A$6:$BE$37,23,0)-VLOOKUP(B525,#REF!,$M$2,0),0)</f>
        <v>0</v>
      </c>
      <c r="N525" s="9">
        <f>IFERROR(VLOOKUP(B525,cubo!$A$6:$BE$37,25,0)-VLOOKUP(B525,#REF!,$N$2,0),0)</f>
        <v>0</v>
      </c>
      <c r="O525" s="9">
        <f>IFERROR(VLOOKUP(B525,cubo!$A$6:$BE$37,33,0)-VLOOKUP(B525,#REF!,$O$2,0),0)</f>
        <v>0</v>
      </c>
      <c r="P525" s="8">
        <f>IFERROR(VLOOKUP(B525,cubo!$A$6:$BE$37,37,0)-VLOOKUP(B525,#REF!,$P$2,0),0)</f>
        <v>0</v>
      </c>
      <c r="Q525" s="8">
        <f>IFERROR(VLOOKUP(B525,cubo!$A$6:$BE$37,56,0)-VLOOKUP(B525,#REF!,$Q$2,0),0)</f>
        <v>0</v>
      </c>
      <c r="R525" s="9">
        <f>IFERROR(VLOOKUP(B525,cubo!$A$6:$BE$37,40,0)-VLOOKUP(B525,#REF!,$R$2,0),0)</f>
        <v>0</v>
      </c>
      <c r="S525" s="9">
        <f>IFERROR(VLOOKUP(B525,cubo!$A$6:$BE$37,43,0)-VLOOKUP(B525,#REF!,$S$2,0),0)</f>
        <v>0</v>
      </c>
      <c r="T525" s="9">
        <f>IFERROR(VLOOKUP(B525,cubo!$A$6:$BE$37,46,0)-VLOOKUP(B525,#REF!,$T$2,0),0)</f>
        <v>0</v>
      </c>
      <c r="U525" s="9">
        <f>IFERROR(VLOOKUP(B525,cubo!$A$6:$BE$37,51,0)-VLOOKUP(B525,#REF!,$U$2,0),0)</f>
        <v>0</v>
      </c>
      <c r="V525" s="9">
        <f>IFERROR(VLOOKUP(B525,cubo!$A$6:$BJ$37,60,0)-VLOOKUP(B525,#REF!,$V$2,0),0)</f>
        <v>0</v>
      </c>
      <c r="W525" s="9">
        <f>IFERROR(VLOOKUP(B525,cubo!$A$6:$BE$37,26,0)-VLOOKUP(B525,#REF!,$W$2,0),0)</f>
        <v>0</v>
      </c>
      <c r="X525" s="9">
        <f>IFERROR(VLOOKUP(B525,cubo!$A$6:$BE$37,20,0)-VLOOKUP(B525,#REF!,$X$2,0),0)</f>
        <v>0</v>
      </c>
      <c r="Y525" s="9">
        <f>IFERROR(VLOOKUP(B525,cubo!$A$6:$BE$37,21,0)-VLOOKUP(B525,#REF!,$Y$2,0),0)</f>
        <v>0</v>
      </c>
      <c r="Z525" s="9">
        <f>IFERROR(VLOOKUP(B525,cubo!$A$6:$BE$37,27,0)-VLOOKUP(B525,#REF!,$Z$2,0),0)</f>
        <v>0</v>
      </c>
      <c r="AA525" s="9">
        <f>IFERROR(VLOOKUP(B525,cubo!$A$6:$BE$37,28,0)-VLOOKUP(B525,#REF!,$AA$2,0),0)</f>
        <v>0</v>
      </c>
      <c r="AB525" s="9">
        <f>IFERROR(VLOOKUP(B525,cubo!$A$6:$BE$37,29,0)-VLOOKUP(B525,#REF!,$AB$2,0),0)</f>
        <v>0</v>
      </c>
      <c r="AC525" s="9">
        <f>IFERROR(VLOOKUP(B525,cubo!$A$6:$BE$37,30,0)-VLOOKUP(B525,#REF!,$AC$2,0),0)</f>
        <v>0</v>
      </c>
      <c r="AD525" s="9">
        <f>IFERROR(VLOOKUP(B525,cubo!$A$6:$BE$37,31,0)-VLOOKUP(B525,#REF!,$AD$2,0),0)</f>
        <v>0</v>
      </c>
      <c r="AE525" s="9">
        <f>IFERROR(VLOOKUP(B525,cubo!$A$6:$BE$37,35,0)-VLOOKUP(B525,#REF!,$AE$2,0),0)</f>
        <v>0</v>
      </c>
      <c r="AF525" s="9" cm="1">
        <f t="array" aca="1" ref="AF525" ca="1">IFERROR(rrPROCV(B525,cubo!$A$6:$BE$37,48,0)-VLOOKUP(B525,#REF!,$AF$2,0),0)</f>
        <v>0</v>
      </c>
      <c r="AG525" s="9">
        <f>IFERROR(VLOOKUP(B525,cubo!$A$6:$BE$37,49,0)-VLOOKUP(B525,#REF!,$AG$2,0),0)</f>
        <v>0</v>
      </c>
      <c r="AH525" s="9">
        <f>IFERROR(VLOOKUP(B525,cubo!$A$6:$BE$37,50,0)-VLOOKUP(B525,#REF!,$AH$2,0),0)</f>
        <v>0</v>
      </c>
      <c r="AI525" s="9">
        <f>IFERROR(VLOOKUP(B525,cubo!$A$6:$BE$37,51,0)-VLOOKUP(B525,#REF!,$AI$2,0),0)</f>
        <v>0</v>
      </c>
      <c r="AJ525" s="9">
        <f>IFERROR(VLOOKUP(B525,cubo!$A$6:$BI$116,62,0)-VLOOKUP(B525,#REF!,$AJ$2,0),0)</f>
        <v>0</v>
      </c>
      <c r="AK525" s="9">
        <f>IFERROR(VLOOKUP(B525,cubo!$A$6:$BJ$37,63,0)-VLOOKUP(B525,#REF!,$AK$2,0),0)</f>
        <v>0</v>
      </c>
      <c r="AL525" s="9">
        <f>IFERROR(VLOOKUP(B525,cubo!$A$6:$BE$37,58,0)-VLOOKUP(B525,#REF!,$AL$2,0),0)</f>
        <v>0</v>
      </c>
      <c r="AM525" s="9">
        <f>IFERROR(VLOOKUP(B525,cubo!$A$6:$BK$37,64,0)-VLOOKUP(B525,#REF!,$AM$2,0),0)</f>
        <v>0</v>
      </c>
      <c r="AN525" s="9">
        <f>IFERROR(VLOOKUP(B525,cubo!$A$6:$AN$37,41,0)-VLOOKUP(B525,#REF!,$AN$2,0),0)</f>
        <v>0</v>
      </c>
    </row>
    <row r="526" spans="2:40" x14ac:dyDescent="0.25">
      <c r="B526" s="7">
        <f>[1]salario!A525</f>
        <v>0</v>
      </c>
      <c r="C526" s="8">
        <f>[1]salario!C525</f>
        <v>0</v>
      </c>
      <c r="D526" s="9">
        <f>IFERROR(VLOOKUP(B526,cubo!$A$6:$BE$37,3,0)-VLOOKUP(B526,#REF!,$D$2,0),0)</f>
        <v>0</v>
      </c>
      <c r="E526" s="10">
        <f>IFERROR(VLOOKUP(B526,cubo!$A$6:$BE$37,5,0)-VLOOKUP(B526,#REF!,$E$2,0),0)</f>
        <v>0</v>
      </c>
      <c r="F526" s="10">
        <f>IFERROR(VLOOKUP(B526,cubo!$A$6:$BE$37,8,0)-VLOOKUP(B526,#REF!,$F$2,0),0)</f>
        <v>0</v>
      </c>
      <c r="G526" s="9">
        <f>IFERROR(VLOOKUP(B526,cubo!$A$6:$BE$37,11,0)-VLOOKUP(B526,#REF!,$G$2,0),0)</f>
        <v>0</v>
      </c>
      <c r="H526" s="9">
        <f>IFERROR(VLOOKUP(B526,cubo!$A$6:$BE$37,53,0)-VLOOKUP(B526,#REF!,$H$2,0),0)</f>
        <v>0</v>
      </c>
      <c r="I526" s="10">
        <f>IFERROR(VLOOKUP(B526,cubo!$A$6:$BE$37,14,0)-VLOOKUP(B526,#REF!,$I$2,0),0)</f>
        <v>0</v>
      </c>
      <c r="J526" s="9">
        <f>IFERROR(VLOOKUP(B526,cubo!$A$6:$BE$37,16,0)-VLOOKUP(B526,#REF!,$J$2,0),0)</f>
        <v>0</v>
      </c>
      <c r="K526" s="9">
        <f>IFERROR(VLOOKUP(B526,cubo!$A$6:$BE$37,17,0)-VLOOKUP(B526,#REF!,$K$2,0),0)</f>
        <v>0</v>
      </c>
      <c r="L526" s="9">
        <f>IFERROR(VLOOKUP(B526,cubo!$A$6:$BE$37,19,0)-VLOOKUP(B526,#REF!,$L$2,0),0)</f>
        <v>0</v>
      </c>
      <c r="M526" s="9">
        <f>IFERROR(VLOOKUP(B526,cubo!$A$6:$BE$37,23,0)-VLOOKUP(B526,#REF!,$M$2,0),0)</f>
        <v>0</v>
      </c>
      <c r="N526" s="9">
        <f>IFERROR(VLOOKUP(B526,cubo!$A$6:$BE$37,25,0)-VLOOKUP(B526,#REF!,$N$2,0),0)</f>
        <v>0</v>
      </c>
      <c r="O526" s="9">
        <f>IFERROR(VLOOKUP(B526,cubo!$A$6:$BE$37,33,0)-VLOOKUP(B526,#REF!,$O$2,0),0)</f>
        <v>0</v>
      </c>
      <c r="P526" s="8">
        <f>IFERROR(VLOOKUP(B526,cubo!$A$6:$BE$37,37,0)-VLOOKUP(B526,#REF!,$P$2,0),0)</f>
        <v>0</v>
      </c>
      <c r="Q526" s="8">
        <f>IFERROR(VLOOKUP(B526,cubo!$A$6:$BE$37,56,0)-VLOOKUP(B526,#REF!,$Q$2,0),0)</f>
        <v>0</v>
      </c>
      <c r="R526" s="9">
        <f>IFERROR(VLOOKUP(B526,cubo!$A$6:$BE$37,40,0)-VLOOKUP(B526,#REF!,$R$2,0),0)</f>
        <v>0</v>
      </c>
      <c r="S526" s="9">
        <f>IFERROR(VLOOKUP(B526,cubo!$A$6:$BE$37,43,0)-VLOOKUP(B526,#REF!,$S$2,0),0)</f>
        <v>0</v>
      </c>
      <c r="T526" s="9">
        <f>IFERROR(VLOOKUP(B526,cubo!$A$6:$BE$37,46,0)-VLOOKUP(B526,#REF!,$T$2,0),0)</f>
        <v>0</v>
      </c>
      <c r="U526" s="9">
        <f>IFERROR(VLOOKUP(B526,cubo!$A$6:$BE$37,51,0)-VLOOKUP(B526,#REF!,$U$2,0),0)</f>
        <v>0</v>
      </c>
      <c r="V526" s="9">
        <f>IFERROR(VLOOKUP(B526,cubo!$A$6:$BJ$37,60,0)-VLOOKUP(B526,#REF!,$V$2,0),0)</f>
        <v>0</v>
      </c>
      <c r="W526" s="9">
        <f>IFERROR(VLOOKUP(B526,cubo!$A$6:$BE$37,26,0)-VLOOKUP(B526,#REF!,$W$2,0),0)</f>
        <v>0</v>
      </c>
      <c r="X526" s="9">
        <f>IFERROR(VLOOKUP(B526,cubo!$A$6:$BE$37,20,0)-VLOOKUP(B526,#REF!,$X$2,0),0)</f>
        <v>0</v>
      </c>
      <c r="Y526" s="9">
        <f>IFERROR(VLOOKUP(B526,cubo!$A$6:$BE$37,21,0)-VLOOKUP(B526,#REF!,$Y$2,0),0)</f>
        <v>0</v>
      </c>
      <c r="Z526" s="9">
        <f>IFERROR(VLOOKUP(B526,cubo!$A$6:$BE$37,27,0)-VLOOKUP(B526,#REF!,$Z$2,0),0)</f>
        <v>0</v>
      </c>
      <c r="AA526" s="9">
        <f>IFERROR(VLOOKUP(B526,cubo!$A$6:$BE$37,28,0)-VLOOKUP(B526,#REF!,$AA$2,0),0)</f>
        <v>0</v>
      </c>
      <c r="AB526" s="9">
        <f>IFERROR(VLOOKUP(B526,cubo!$A$6:$BE$37,29,0)-VLOOKUP(B526,#REF!,$AB$2,0),0)</f>
        <v>0</v>
      </c>
      <c r="AC526" s="9">
        <f>IFERROR(VLOOKUP(B526,cubo!$A$6:$BE$37,30,0)-VLOOKUP(B526,#REF!,$AC$2,0),0)</f>
        <v>0</v>
      </c>
      <c r="AD526" s="9">
        <f>IFERROR(VLOOKUP(B526,cubo!$A$6:$BE$37,31,0)-VLOOKUP(B526,#REF!,$AD$2,0),0)</f>
        <v>0</v>
      </c>
      <c r="AE526" s="9">
        <f>IFERROR(VLOOKUP(B526,cubo!$A$6:$BE$37,35,0)-VLOOKUP(B526,#REF!,$AE$2,0),0)</f>
        <v>0</v>
      </c>
      <c r="AF526" s="9" cm="1">
        <f t="array" aca="1" ref="AF526" ca="1">IFERROR(rrPROCV(B526,cubo!$A$6:$BE$37,48,0)-VLOOKUP(B526,#REF!,$AF$2,0),0)</f>
        <v>0</v>
      </c>
      <c r="AG526" s="9">
        <f>IFERROR(VLOOKUP(B526,cubo!$A$6:$BE$37,49,0)-VLOOKUP(B526,#REF!,$AG$2,0),0)</f>
        <v>0</v>
      </c>
      <c r="AH526" s="9">
        <f>IFERROR(VLOOKUP(B526,cubo!$A$6:$BE$37,50,0)-VLOOKUP(B526,#REF!,$AH$2,0),0)</f>
        <v>0</v>
      </c>
      <c r="AI526" s="9">
        <f>IFERROR(VLOOKUP(B526,cubo!$A$6:$BE$37,51,0)-VLOOKUP(B526,#REF!,$AI$2,0),0)</f>
        <v>0</v>
      </c>
      <c r="AJ526" s="9">
        <f>IFERROR(VLOOKUP(B526,cubo!$A$6:$BI$116,62,0)-VLOOKUP(B526,#REF!,$AJ$2,0),0)</f>
        <v>0</v>
      </c>
      <c r="AK526" s="9">
        <f>IFERROR(VLOOKUP(B526,cubo!$A$6:$BJ$37,63,0)-VLOOKUP(B526,#REF!,$AK$2,0),0)</f>
        <v>0</v>
      </c>
      <c r="AL526" s="9">
        <f>IFERROR(VLOOKUP(B526,cubo!$A$6:$BE$37,58,0)-VLOOKUP(B526,#REF!,$AL$2,0),0)</f>
        <v>0</v>
      </c>
      <c r="AM526" s="9">
        <f>IFERROR(VLOOKUP(B526,cubo!$A$6:$BK$37,64,0)-VLOOKUP(B526,#REF!,$AM$2,0),0)</f>
        <v>0</v>
      </c>
      <c r="AN526" s="9">
        <f>IFERROR(VLOOKUP(B526,cubo!$A$6:$AN$37,41,0)-VLOOKUP(B526,#REF!,$AN$2,0),0)</f>
        <v>0</v>
      </c>
    </row>
    <row r="527" spans="2:40" x14ac:dyDescent="0.25">
      <c r="B527" s="7">
        <f>[1]salario!A526</f>
        <v>0</v>
      </c>
      <c r="C527" s="8">
        <f>[1]salario!C526</f>
        <v>0</v>
      </c>
      <c r="D527" s="9">
        <f>IFERROR(VLOOKUP(B527,cubo!$A$6:$BE$37,3,0)-VLOOKUP(B527,#REF!,$D$2,0),0)</f>
        <v>0</v>
      </c>
      <c r="E527" s="10">
        <f>IFERROR(VLOOKUP(B527,cubo!$A$6:$BE$37,5,0)-VLOOKUP(B527,#REF!,$E$2,0),0)</f>
        <v>0</v>
      </c>
      <c r="F527" s="10">
        <f>IFERROR(VLOOKUP(B527,cubo!$A$6:$BE$37,8,0)-VLOOKUP(B527,#REF!,$F$2,0),0)</f>
        <v>0</v>
      </c>
      <c r="G527" s="9">
        <f>IFERROR(VLOOKUP(B527,cubo!$A$6:$BE$37,11,0)-VLOOKUP(B527,#REF!,$G$2,0),0)</f>
        <v>0</v>
      </c>
      <c r="H527" s="9">
        <f>IFERROR(VLOOKUP(B527,cubo!$A$6:$BE$37,53,0)-VLOOKUP(B527,#REF!,$H$2,0),0)</f>
        <v>0</v>
      </c>
      <c r="I527" s="10">
        <f>IFERROR(VLOOKUP(B527,cubo!$A$6:$BE$37,14,0)-VLOOKUP(B527,#REF!,$I$2,0),0)</f>
        <v>0</v>
      </c>
      <c r="J527" s="9">
        <f>IFERROR(VLOOKUP(B527,cubo!$A$6:$BE$37,16,0)-VLOOKUP(B527,#REF!,$J$2,0),0)</f>
        <v>0</v>
      </c>
      <c r="K527" s="9">
        <f>IFERROR(VLOOKUP(B527,cubo!$A$6:$BE$37,17,0)-VLOOKUP(B527,#REF!,$K$2,0),0)</f>
        <v>0</v>
      </c>
      <c r="L527" s="9">
        <f>IFERROR(VLOOKUP(B527,cubo!$A$6:$BE$37,19,0)-VLOOKUP(B527,#REF!,$L$2,0),0)</f>
        <v>0</v>
      </c>
      <c r="M527" s="9">
        <f>IFERROR(VLOOKUP(B527,cubo!$A$6:$BE$37,23,0)-VLOOKUP(B527,#REF!,$M$2,0),0)</f>
        <v>0</v>
      </c>
      <c r="N527" s="9">
        <f>IFERROR(VLOOKUP(B527,cubo!$A$6:$BE$37,25,0)-VLOOKUP(B527,#REF!,$N$2,0),0)</f>
        <v>0</v>
      </c>
      <c r="O527" s="9">
        <f>IFERROR(VLOOKUP(B527,cubo!$A$6:$BE$37,33,0)-VLOOKUP(B527,#REF!,$O$2,0),0)</f>
        <v>0</v>
      </c>
      <c r="P527" s="8">
        <f>IFERROR(VLOOKUP(B527,cubo!$A$6:$BE$37,37,0)-VLOOKUP(B527,#REF!,$P$2,0),0)</f>
        <v>0</v>
      </c>
      <c r="Q527" s="8">
        <f>IFERROR(VLOOKUP(B527,cubo!$A$6:$BE$37,56,0)-VLOOKUP(B527,#REF!,$Q$2,0),0)</f>
        <v>0</v>
      </c>
      <c r="R527" s="9">
        <f>IFERROR(VLOOKUP(B527,cubo!$A$6:$BE$37,40,0)-VLOOKUP(B527,#REF!,$R$2,0),0)</f>
        <v>0</v>
      </c>
      <c r="S527" s="9">
        <f>IFERROR(VLOOKUP(B527,cubo!$A$6:$BE$37,43,0)-VLOOKUP(B527,#REF!,$S$2,0),0)</f>
        <v>0</v>
      </c>
      <c r="T527" s="9">
        <f>IFERROR(VLOOKUP(B527,cubo!$A$6:$BE$37,46,0)-VLOOKUP(B527,#REF!,$T$2,0),0)</f>
        <v>0</v>
      </c>
      <c r="U527" s="9">
        <f>IFERROR(VLOOKUP(B527,cubo!$A$6:$BE$37,51,0)-VLOOKUP(B527,#REF!,$U$2,0),0)</f>
        <v>0</v>
      </c>
      <c r="V527" s="9">
        <f>IFERROR(VLOOKUP(B527,cubo!$A$6:$BJ$37,60,0)-VLOOKUP(B527,#REF!,$V$2,0),0)</f>
        <v>0</v>
      </c>
      <c r="W527" s="9">
        <f>IFERROR(VLOOKUP(B527,cubo!$A$6:$BE$37,26,0)-VLOOKUP(B527,#REF!,$W$2,0),0)</f>
        <v>0</v>
      </c>
      <c r="X527" s="9">
        <f>IFERROR(VLOOKUP(B527,cubo!$A$6:$BE$37,20,0)-VLOOKUP(B527,#REF!,$X$2,0),0)</f>
        <v>0</v>
      </c>
      <c r="Y527" s="9">
        <f>IFERROR(VLOOKUP(B527,cubo!$A$6:$BE$37,21,0)-VLOOKUP(B527,#REF!,$Y$2,0),0)</f>
        <v>0</v>
      </c>
      <c r="Z527" s="9">
        <f>IFERROR(VLOOKUP(B527,cubo!$A$6:$BE$37,27,0)-VLOOKUP(B527,#REF!,$Z$2,0),0)</f>
        <v>0</v>
      </c>
      <c r="AA527" s="9">
        <f>IFERROR(VLOOKUP(B527,cubo!$A$6:$BE$37,28,0)-VLOOKUP(B527,#REF!,$AA$2,0),0)</f>
        <v>0</v>
      </c>
      <c r="AB527" s="9">
        <f>IFERROR(VLOOKUP(B527,cubo!$A$6:$BE$37,29,0)-VLOOKUP(B527,#REF!,$AB$2,0),0)</f>
        <v>0</v>
      </c>
      <c r="AC527" s="9">
        <f>IFERROR(VLOOKUP(B527,cubo!$A$6:$BE$37,30,0)-VLOOKUP(B527,#REF!,$AC$2,0),0)</f>
        <v>0</v>
      </c>
      <c r="AD527" s="9">
        <f>IFERROR(VLOOKUP(B527,cubo!$A$6:$BE$37,31,0)-VLOOKUP(B527,#REF!,$AD$2,0),0)</f>
        <v>0</v>
      </c>
      <c r="AE527" s="9">
        <f>IFERROR(VLOOKUP(B527,cubo!$A$6:$BE$37,35,0)-VLOOKUP(B527,#REF!,$AE$2,0),0)</f>
        <v>0</v>
      </c>
      <c r="AF527" s="9" cm="1">
        <f t="array" aca="1" ref="AF527" ca="1">IFERROR(rrPROCV(B527,cubo!$A$6:$BE$37,48,0)-VLOOKUP(B527,#REF!,$AF$2,0),0)</f>
        <v>0</v>
      </c>
      <c r="AG527" s="9">
        <f>IFERROR(VLOOKUP(B527,cubo!$A$6:$BE$37,49,0)-VLOOKUP(B527,#REF!,$AG$2,0),0)</f>
        <v>0</v>
      </c>
      <c r="AH527" s="9">
        <f>IFERROR(VLOOKUP(B527,cubo!$A$6:$BE$37,50,0)-VLOOKUP(B527,#REF!,$AH$2,0),0)</f>
        <v>0</v>
      </c>
      <c r="AI527" s="9">
        <f>IFERROR(VLOOKUP(B527,cubo!$A$6:$BE$37,51,0)-VLOOKUP(B527,#REF!,$AI$2,0),0)</f>
        <v>0</v>
      </c>
      <c r="AJ527" s="9">
        <f>IFERROR(VLOOKUP(B527,cubo!$A$6:$BI$116,62,0)-VLOOKUP(B527,#REF!,$AJ$2,0),0)</f>
        <v>0</v>
      </c>
      <c r="AK527" s="9">
        <f>IFERROR(VLOOKUP(B527,cubo!$A$6:$BJ$37,63,0)-VLOOKUP(B527,#REF!,$AK$2,0),0)</f>
        <v>0</v>
      </c>
      <c r="AL527" s="9">
        <f>IFERROR(VLOOKUP(B527,cubo!$A$6:$BE$37,58,0)-VLOOKUP(B527,#REF!,$AL$2,0),0)</f>
        <v>0</v>
      </c>
      <c r="AM527" s="9">
        <f>IFERROR(VLOOKUP(B527,cubo!$A$6:$BK$37,64,0)-VLOOKUP(B527,#REF!,$AM$2,0),0)</f>
        <v>0</v>
      </c>
      <c r="AN527" s="9">
        <f>IFERROR(VLOOKUP(B527,cubo!$A$6:$AN$37,41,0)-VLOOKUP(B527,#REF!,$AN$2,0),0)</f>
        <v>0</v>
      </c>
    </row>
    <row r="528" spans="2:40" x14ac:dyDescent="0.25">
      <c r="B528" s="7">
        <f>[1]salario!A527</f>
        <v>0</v>
      </c>
      <c r="C528" s="8">
        <f>[1]salario!C527</f>
        <v>0</v>
      </c>
      <c r="D528" s="9">
        <f>IFERROR(VLOOKUP(B528,cubo!$A$6:$BE$37,3,0)-VLOOKUP(B528,#REF!,$D$2,0),0)</f>
        <v>0</v>
      </c>
      <c r="E528" s="10">
        <f>IFERROR(VLOOKUP(B528,cubo!$A$6:$BE$37,5,0)-VLOOKUP(B528,#REF!,$E$2,0),0)</f>
        <v>0</v>
      </c>
      <c r="F528" s="10">
        <f>IFERROR(VLOOKUP(B528,cubo!$A$6:$BE$37,8,0)-VLOOKUP(B528,#REF!,$F$2,0),0)</f>
        <v>0</v>
      </c>
      <c r="G528" s="9">
        <f>IFERROR(VLOOKUP(B528,cubo!$A$6:$BE$37,11,0)-VLOOKUP(B528,#REF!,$G$2,0),0)</f>
        <v>0</v>
      </c>
      <c r="H528" s="9">
        <f>IFERROR(VLOOKUP(B528,cubo!$A$6:$BE$37,53,0)-VLOOKUP(B528,#REF!,$H$2,0),0)</f>
        <v>0</v>
      </c>
      <c r="I528" s="10">
        <f>IFERROR(VLOOKUP(B528,cubo!$A$6:$BE$37,14,0)-VLOOKUP(B528,#REF!,$I$2,0),0)</f>
        <v>0</v>
      </c>
      <c r="J528" s="9">
        <f>IFERROR(VLOOKUP(B528,cubo!$A$6:$BE$37,16,0)-VLOOKUP(B528,#REF!,$J$2,0),0)</f>
        <v>0</v>
      </c>
      <c r="K528" s="9">
        <f>IFERROR(VLOOKUP(B528,cubo!$A$6:$BE$37,17,0)-VLOOKUP(B528,#REF!,$K$2,0),0)</f>
        <v>0</v>
      </c>
      <c r="L528" s="9">
        <f>IFERROR(VLOOKUP(B528,cubo!$A$6:$BE$37,19,0)-VLOOKUP(B528,#REF!,$L$2,0),0)</f>
        <v>0</v>
      </c>
      <c r="M528" s="9">
        <f>IFERROR(VLOOKUP(B528,cubo!$A$6:$BE$37,23,0)-VLOOKUP(B528,#REF!,$M$2,0),0)</f>
        <v>0</v>
      </c>
      <c r="N528" s="9">
        <f>IFERROR(VLOOKUP(B528,cubo!$A$6:$BE$37,25,0)-VLOOKUP(B528,#REF!,$N$2,0),0)</f>
        <v>0</v>
      </c>
      <c r="O528" s="9">
        <f>IFERROR(VLOOKUP(B528,cubo!$A$6:$BE$37,33,0)-VLOOKUP(B528,#REF!,$O$2,0),0)</f>
        <v>0</v>
      </c>
      <c r="P528" s="8">
        <f>IFERROR(VLOOKUP(B528,cubo!$A$6:$BE$37,37,0)-VLOOKUP(B528,#REF!,$P$2,0),0)</f>
        <v>0</v>
      </c>
      <c r="Q528" s="8">
        <f>IFERROR(VLOOKUP(B528,cubo!$A$6:$BE$37,56,0)-VLOOKUP(B528,#REF!,$Q$2,0),0)</f>
        <v>0</v>
      </c>
      <c r="R528" s="9">
        <f>IFERROR(VLOOKUP(B528,cubo!$A$6:$BE$37,40,0)-VLOOKUP(B528,#REF!,$R$2,0),0)</f>
        <v>0</v>
      </c>
      <c r="S528" s="9">
        <f>IFERROR(VLOOKUP(B528,cubo!$A$6:$BE$37,43,0)-VLOOKUP(B528,#REF!,$S$2,0),0)</f>
        <v>0</v>
      </c>
      <c r="T528" s="9">
        <f>IFERROR(VLOOKUP(B528,cubo!$A$6:$BE$37,46,0)-VLOOKUP(B528,#REF!,$T$2,0),0)</f>
        <v>0</v>
      </c>
      <c r="U528" s="9">
        <f>IFERROR(VLOOKUP(B528,cubo!$A$6:$BE$37,51,0)-VLOOKUP(B528,#REF!,$U$2,0),0)</f>
        <v>0</v>
      </c>
      <c r="V528" s="9">
        <f>IFERROR(VLOOKUP(B528,cubo!$A$6:$BJ$37,60,0)-VLOOKUP(B528,#REF!,$V$2,0),0)</f>
        <v>0</v>
      </c>
      <c r="W528" s="9">
        <f>IFERROR(VLOOKUP(B528,cubo!$A$6:$BE$37,26,0)-VLOOKUP(B528,#REF!,$W$2,0),0)</f>
        <v>0</v>
      </c>
      <c r="X528" s="9">
        <f>IFERROR(VLOOKUP(B528,cubo!$A$6:$BE$37,20,0)-VLOOKUP(B528,#REF!,$X$2,0),0)</f>
        <v>0</v>
      </c>
      <c r="Y528" s="9">
        <f>IFERROR(VLOOKUP(B528,cubo!$A$6:$BE$37,21,0)-VLOOKUP(B528,#REF!,$Y$2,0),0)</f>
        <v>0</v>
      </c>
      <c r="Z528" s="9">
        <f>IFERROR(VLOOKUP(B528,cubo!$A$6:$BE$37,27,0)-VLOOKUP(B528,#REF!,$Z$2,0),0)</f>
        <v>0</v>
      </c>
      <c r="AA528" s="9">
        <f>IFERROR(VLOOKUP(B528,cubo!$A$6:$BE$37,28,0)-VLOOKUP(B528,#REF!,$AA$2,0),0)</f>
        <v>0</v>
      </c>
      <c r="AB528" s="9">
        <f>IFERROR(VLOOKUP(B528,cubo!$A$6:$BE$37,29,0)-VLOOKUP(B528,#REF!,$AB$2,0),0)</f>
        <v>0</v>
      </c>
      <c r="AC528" s="9">
        <f>IFERROR(VLOOKUP(B528,cubo!$A$6:$BE$37,30,0)-VLOOKUP(B528,#REF!,$AC$2,0),0)</f>
        <v>0</v>
      </c>
      <c r="AD528" s="9">
        <f>IFERROR(VLOOKUP(B528,cubo!$A$6:$BE$37,31,0)-VLOOKUP(B528,#REF!,$AD$2,0),0)</f>
        <v>0</v>
      </c>
      <c r="AE528" s="9">
        <f>IFERROR(VLOOKUP(B528,cubo!$A$6:$BE$37,35,0)-VLOOKUP(B528,#REF!,$AE$2,0),0)</f>
        <v>0</v>
      </c>
      <c r="AF528" s="9" cm="1">
        <f t="array" aca="1" ref="AF528" ca="1">IFERROR(rrPROCV(B528,cubo!$A$6:$BE$37,48,0)-VLOOKUP(B528,#REF!,$AF$2,0),0)</f>
        <v>0</v>
      </c>
      <c r="AG528" s="9">
        <f>IFERROR(VLOOKUP(B528,cubo!$A$6:$BE$37,49,0)-VLOOKUP(B528,#REF!,$AG$2,0),0)</f>
        <v>0</v>
      </c>
      <c r="AH528" s="9">
        <f>IFERROR(VLOOKUP(B528,cubo!$A$6:$BE$37,50,0)-VLOOKUP(B528,#REF!,$AH$2,0),0)</f>
        <v>0</v>
      </c>
      <c r="AI528" s="9">
        <f>IFERROR(VLOOKUP(B528,cubo!$A$6:$BE$37,51,0)-VLOOKUP(B528,#REF!,$AI$2,0),0)</f>
        <v>0</v>
      </c>
      <c r="AJ528" s="9">
        <f>IFERROR(VLOOKUP(B528,cubo!$A$6:$BI$116,62,0)-VLOOKUP(B528,#REF!,$AJ$2,0),0)</f>
        <v>0</v>
      </c>
      <c r="AK528" s="9">
        <f>IFERROR(VLOOKUP(B528,cubo!$A$6:$BJ$37,63,0)-VLOOKUP(B528,#REF!,$AK$2,0),0)</f>
        <v>0</v>
      </c>
      <c r="AL528" s="9">
        <f>IFERROR(VLOOKUP(B528,cubo!$A$6:$BE$37,58,0)-VLOOKUP(B528,#REF!,$AL$2,0),0)</f>
        <v>0</v>
      </c>
      <c r="AM528" s="9">
        <f>IFERROR(VLOOKUP(B528,cubo!$A$6:$BK$37,64,0)-VLOOKUP(B528,#REF!,$AM$2,0),0)</f>
        <v>0</v>
      </c>
      <c r="AN528" s="9">
        <f>IFERROR(VLOOKUP(B528,cubo!$A$6:$AN$37,41,0)-VLOOKUP(B528,#REF!,$AN$2,0),0)</f>
        <v>0</v>
      </c>
    </row>
    <row r="529" spans="2:40" x14ac:dyDescent="0.25">
      <c r="B529" s="7">
        <f>[1]salario!A528</f>
        <v>0</v>
      </c>
      <c r="C529" s="8">
        <f>[1]salario!C528</f>
        <v>0</v>
      </c>
      <c r="D529" s="9">
        <f>IFERROR(VLOOKUP(B529,cubo!$A$6:$BE$37,3,0)-VLOOKUP(B529,#REF!,$D$2,0),0)</f>
        <v>0</v>
      </c>
      <c r="E529" s="10">
        <f>IFERROR(VLOOKUP(B529,cubo!$A$6:$BE$37,5,0)-VLOOKUP(B529,#REF!,$E$2,0),0)</f>
        <v>0</v>
      </c>
      <c r="F529" s="10">
        <f>IFERROR(VLOOKUP(B529,cubo!$A$6:$BE$37,8,0)-VLOOKUP(B529,#REF!,$F$2,0),0)</f>
        <v>0</v>
      </c>
      <c r="G529" s="9">
        <f>IFERROR(VLOOKUP(B529,cubo!$A$6:$BE$37,11,0)-VLOOKUP(B529,#REF!,$G$2,0),0)</f>
        <v>0</v>
      </c>
      <c r="H529" s="9">
        <f>IFERROR(VLOOKUP(B529,cubo!$A$6:$BE$37,53,0)-VLOOKUP(B529,#REF!,$H$2,0),0)</f>
        <v>0</v>
      </c>
      <c r="I529" s="10">
        <f>IFERROR(VLOOKUP(B529,cubo!$A$6:$BE$37,14,0)-VLOOKUP(B529,#REF!,$I$2,0),0)</f>
        <v>0</v>
      </c>
      <c r="J529" s="9">
        <f>IFERROR(VLOOKUP(B529,cubo!$A$6:$BE$37,16,0)-VLOOKUP(B529,#REF!,$J$2,0),0)</f>
        <v>0</v>
      </c>
      <c r="K529" s="9">
        <f>IFERROR(VLOOKUP(B529,cubo!$A$6:$BE$37,17,0)-VLOOKUP(B529,#REF!,$K$2,0),0)</f>
        <v>0</v>
      </c>
      <c r="L529" s="9">
        <f>IFERROR(VLOOKUP(B529,cubo!$A$6:$BE$37,19,0)-VLOOKUP(B529,#REF!,$L$2,0),0)</f>
        <v>0</v>
      </c>
      <c r="M529" s="9">
        <f>IFERROR(VLOOKUP(B529,cubo!$A$6:$BE$37,23,0)-VLOOKUP(B529,#REF!,$M$2,0),0)</f>
        <v>0</v>
      </c>
      <c r="N529" s="9">
        <f>IFERROR(VLOOKUP(B529,cubo!$A$6:$BE$37,25,0)-VLOOKUP(B529,#REF!,$N$2,0),0)</f>
        <v>0</v>
      </c>
      <c r="O529" s="9">
        <f>IFERROR(VLOOKUP(B529,cubo!$A$6:$BE$37,33,0)-VLOOKUP(B529,#REF!,$O$2,0),0)</f>
        <v>0</v>
      </c>
      <c r="P529" s="8">
        <f>IFERROR(VLOOKUP(B529,cubo!$A$6:$BE$37,37,0)-VLOOKUP(B529,#REF!,$P$2,0),0)</f>
        <v>0</v>
      </c>
      <c r="Q529" s="8">
        <f>IFERROR(VLOOKUP(B529,cubo!$A$6:$BE$37,56,0)-VLOOKUP(B529,#REF!,$Q$2,0),0)</f>
        <v>0</v>
      </c>
      <c r="R529" s="9">
        <f>IFERROR(VLOOKUP(B529,cubo!$A$6:$BE$37,40,0)-VLOOKUP(B529,#REF!,$R$2,0),0)</f>
        <v>0</v>
      </c>
      <c r="S529" s="9">
        <f>IFERROR(VLOOKUP(B529,cubo!$A$6:$BE$37,43,0)-VLOOKUP(B529,#REF!,$S$2,0),0)</f>
        <v>0</v>
      </c>
      <c r="T529" s="9">
        <f>IFERROR(VLOOKUP(B529,cubo!$A$6:$BE$37,46,0)-VLOOKUP(B529,#REF!,$T$2,0),0)</f>
        <v>0</v>
      </c>
      <c r="U529" s="9">
        <f>IFERROR(VLOOKUP(B529,cubo!$A$6:$BE$37,51,0)-VLOOKUP(B529,#REF!,$U$2,0),0)</f>
        <v>0</v>
      </c>
      <c r="V529" s="9">
        <f>IFERROR(VLOOKUP(B529,cubo!$A$6:$BJ$37,60,0)-VLOOKUP(B529,#REF!,$V$2,0),0)</f>
        <v>0</v>
      </c>
      <c r="W529" s="9">
        <f>IFERROR(VLOOKUP(B529,cubo!$A$6:$BE$37,26,0)-VLOOKUP(B529,#REF!,$W$2,0),0)</f>
        <v>0</v>
      </c>
      <c r="X529" s="9">
        <f>IFERROR(VLOOKUP(B529,cubo!$A$6:$BE$37,20,0)-VLOOKUP(B529,#REF!,$X$2,0),0)</f>
        <v>0</v>
      </c>
      <c r="Y529" s="9">
        <f>IFERROR(VLOOKUP(B529,cubo!$A$6:$BE$37,21,0)-VLOOKUP(B529,#REF!,$Y$2,0),0)</f>
        <v>0</v>
      </c>
      <c r="Z529" s="9">
        <f>IFERROR(VLOOKUP(B529,cubo!$A$6:$BE$37,27,0)-VLOOKUP(B529,#REF!,$Z$2,0),0)</f>
        <v>0</v>
      </c>
      <c r="AA529" s="9">
        <f>IFERROR(VLOOKUP(B529,cubo!$A$6:$BE$37,28,0)-VLOOKUP(B529,#REF!,$AA$2,0),0)</f>
        <v>0</v>
      </c>
      <c r="AB529" s="9">
        <f>IFERROR(VLOOKUP(B529,cubo!$A$6:$BE$37,29,0)-VLOOKUP(B529,#REF!,$AB$2,0),0)</f>
        <v>0</v>
      </c>
      <c r="AC529" s="9">
        <f>IFERROR(VLOOKUP(B529,cubo!$A$6:$BE$37,30,0)-VLOOKUP(B529,#REF!,$AC$2,0),0)</f>
        <v>0</v>
      </c>
      <c r="AD529" s="9">
        <f>IFERROR(VLOOKUP(B529,cubo!$A$6:$BE$37,31,0)-VLOOKUP(B529,#REF!,$AD$2,0),0)</f>
        <v>0</v>
      </c>
      <c r="AE529" s="9">
        <f>IFERROR(VLOOKUP(B529,cubo!$A$6:$BE$37,35,0)-VLOOKUP(B529,#REF!,$AE$2,0),0)</f>
        <v>0</v>
      </c>
      <c r="AF529" s="9" cm="1">
        <f t="array" aca="1" ref="AF529" ca="1">IFERROR(rrPROCV(B529,cubo!$A$6:$BE$37,48,0)-VLOOKUP(B529,#REF!,$AF$2,0),0)</f>
        <v>0</v>
      </c>
      <c r="AG529" s="9">
        <f>IFERROR(VLOOKUP(B529,cubo!$A$6:$BE$37,49,0)-VLOOKUP(B529,#REF!,$AG$2,0),0)</f>
        <v>0</v>
      </c>
      <c r="AH529" s="9">
        <f>IFERROR(VLOOKUP(B529,cubo!$A$6:$BE$37,50,0)-VLOOKUP(B529,#REF!,$AH$2,0),0)</f>
        <v>0</v>
      </c>
      <c r="AI529" s="9">
        <f>IFERROR(VLOOKUP(B529,cubo!$A$6:$BE$37,51,0)-VLOOKUP(B529,#REF!,$AI$2,0),0)</f>
        <v>0</v>
      </c>
      <c r="AJ529" s="9">
        <f>IFERROR(VLOOKUP(B529,cubo!$A$6:$BI$116,62,0)-VLOOKUP(B529,#REF!,$AJ$2,0),0)</f>
        <v>0</v>
      </c>
      <c r="AK529" s="9">
        <f>IFERROR(VLOOKUP(B529,cubo!$A$6:$BJ$37,63,0)-VLOOKUP(B529,#REF!,$AK$2,0),0)</f>
        <v>0</v>
      </c>
      <c r="AL529" s="9">
        <f>IFERROR(VLOOKUP(B529,cubo!$A$6:$BE$37,58,0)-VLOOKUP(B529,#REF!,$AL$2,0),0)</f>
        <v>0</v>
      </c>
      <c r="AM529" s="9">
        <f>IFERROR(VLOOKUP(B529,cubo!$A$6:$BK$37,64,0)-VLOOKUP(B529,#REF!,$AM$2,0),0)</f>
        <v>0</v>
      </c>
      <c r="AN529" s="9">
        <f>IFERROR(VLOOKUP(B529,cubo!$A$6:$AN$37,41,0)-VLOOKUP(B529,#REF!,$AN$2,0),0)</f>
        <v>0</v>
      </c>
    </row>
    <row r="530" spans="2:40" x14ac:dyDescent="0.25">
      <c r="B530" s="7">
        <f>[1]salario!A529</f>
        <v>0</v>
      </c>
      <c r="C530" s="8">
        <f>[1]salario!C529</f>
        <v>0</v>
      </c>
      <c r="D530" s="9">
        <f>IFERROR(VLOOKUP(B530,cubo!$A$6:$BE$37,3,0)-VLOOKUP(B530,#REF!,$D$2,0),0)</f>
        <v>0</v>
      </c>
      <c r="E530" s="10">
        <f>IFERROR(VLOOKUP(B530,cubo!$A$6:$BE$37,5,0)-VLOOKUP(B530,#REF!,$E$2,0),0)</f>
        <v>0</v>
      </c>
      <c r="F530" s="10">
        <f>IFERROR(VLOOKUP(B530,cubo!$A$6:$BE$37,8,0)-VLOOKUP(B530,#REF!,$F$2,0),0)</f>
        <v>0</v>
      </c>
      <c r="G530" s="9">
        <f>IFERROR(VLOOKUP(B530,cubo!$A$6:$BE$37,11,0)-VLOOKUP(B530,#REF!,$G$2,0),0)</f>
        <v>0</v>
      </c>
      <c r="H530" s="9">
        <f>IFERROR(VLOOKUP(B530,cubo!$A$6:$BE$37,53,0)-VLOOKUP(B530,#REF!,$H$2,0),0)</f>
        <v>0</v>
      </c>
      <c r="I530" s="10">
        <f>IFERROR(VLOOKUP(B530,cubo!$A$6:$BE$37,14,0)-VLOOKUP(B530,#REF!,$I$2,0),0)</f>
        <v>0</v>
      </c>
      <c r="J530" s="9">
        <f>IFERROR(VLOOKUP(B530,cubo!$A$6:$BE$37,16,0)-VLOOKUP(B530,#REF!,$J$2,0),0)</f>
        <v>0</v>
      </c>
      <c r="K530" s="9">
        <f>IFERROR(VLOOKUP(B530,cubo!$A$6:$BE$37,17,0)-VLOOKUP(B530,#REF!,$K$2,0),0)</f>
        <v>0</v>
      </c>
      <c r="L530" s="9">
        <f>IFERROR(VLOOKUP(B530,cubo!$A$6:$BE$37,19,0)-VLOOKUP(B530,#REF!,$L$2,0),0)</f>
        <v>0</v>
      </c>
      <c r="M530" s="9">
        <f>IFERROR(VLOOKUP(B530,cubo!$A$6:$BE$37,23,0)-VLOOKUP(B530,#REF!,$M$2,0),0)</f>
        <v>0</v>
      </c>
      <c r="N530" s="9">
        <f>IFERROR(VLOOKUP(B530,cubo!$A$6:$BE$37,25,0)-VLOOKUP(B530,#REF!,$N$2,0),0)</f>
        <v>0</v>
      </c>
      <c r="O530" s="9">
        <f>IFERROR(VLOOKUP(B530,cubo!$A$6:$BE$37,33,0)-VLOOKUP(B530,#REF!,$O$2,0),0)</f>
        <v>0</v>
      </c>
      <c r="P530" s="8">
        <f>IFERROR(VLOOKUP(B530,cubo!$A$6:$BE$37,37,0)-VLOOKUP(B530,#REF!,$P$2,0),0)</f>
        <v>0</v>
      </c>
      <c r="Q530" s="8">
        <f>IFERROR(VLOOKUP(B530,cubo!$A$6:$BE$37,56,0)-VLOOKUP(B530,#REF!,$Q$2,0),0)</f>
        <v>0</v>
      </c>
      <c r="R530" s="9">
        <f>IFERROR(VLOOKUP(B530,cubo!$A$6:$BE$37,40,0)-VLOOKUP(B530,#REF!,$R$2,0),0)</f>
        <v>0</v>
      </c>
      <c r="S530" s="9">
        <f>IFERROR(VLOOKUP(B530,cubo!$A$6:$BE$37,43,0)-VLOOKUP(B530,#REF!,$S$2,0),0)</f>
        <v>0</v>
      </c>
      <c r="T530" s="9">
        <f>IFERROR(VLOOKUP(B530,cubo!$A$6:$BE$37,46,0)-VLOOKUP(B530,#REF!,$T$2,0),0)</f>
        <v>0</v>
      </c>
      <c r="U530" s="9">
        <f>IFERROR(VLOOKUP(B530,cubo!$A$6:$BE$37,51,0)-VLOOKUP(B530,#REF!,$U$2,0),0)</f>
        <v>0</v>
      </c>
      <c r="V530" s="9">
        <f>IFERROR(VLOOKUP(B530,cubo!$A$6:$BJ$37,60,0)-VLOOKUP(B530,#REF!,$V$2,0),0)</f>
        <v>0</v>
      </c>
      <c r="W530" s="9">
        <f>IFERROR(VLOOKUP(B530,cubo!$A$6:$BE$37,26,0)-VLOOKUP(B530,#REF!,$W$2,0),0)</f>
        <v>0</v>
      </c>
      <c r="X530" s="9">
        <f>IFERROR(VLOOKUP(B530,cubo!$A$6:$BE$37,20,0)-VLOOKUP(B530,#REF!,$X$2,0),0)</f>
        <v>0</v>
      </c>
      <c r="Y530" s="9">
        <f>IFERROR(VLOOKUP(B530,cubo!$A$6:$BE$37,21,0)-VLOOKUP(B530,#REF!,$Y$2,0),0)</f>
        <v>0</v>
      </c>
      <c r="Z530" s="9">
        <f>IFERROR(VLOOKUP(B530,cubo!$A$6:$BE$37,27,0)-VLOOKUP(B530,#REF!,$Z$2,0),0)</f>
        <v>0</v>
      </c>
      <c r="AA530" s="9">
        <f>IFERROR(VLOOKUP(B530,cubo!$A$6:$BE$37,28,0)-VLOOKUP(B530,#REF!,$AA$2,0),0)</f>
        <v>0</v>
      </c>
      <c r="AB530" s="9">
        <f>IFERROR(VLOOKUP(B530,cubo!$A$6:$BE$37,29,0)-VLOOKUP(B530,#REF!,$AB$2,0),0)</f>
        <v>0</v>
      </c>
      <c r="AC530" s="9">
        <f>IFERROR(VLOOKUP(B530,cubo!$A$6:$BE$37,30,0)-VLOOKUP(B530,#REF!,$AC$2,0),0)</f>
        <v>0</v>
      </c>
      <c r="AD530" s="9">
        <f>IFERROR(VLOOKUP(B530,cubo!$A$6:$BE$37,31,0)-VLOOKUP(B530,#REF!,$AD$2,0),0)</f>
        <v>0</v>
      </c>
      <c r="AE530" s="9">
        <f>IFERROR(VLOOKUP(B530,cubo!$A$6:$BE$37,35,0)-VLOOKUP(B530,#REF!,$AE$2,0),0)</f>
        <v>0</v>
      </c>
      <c r="AF530" s="9" cm="1">
        <f t="array" aca="1" ref="AF530" ca="1">IFERROR(rrPROCV(B530,cubo!$A$6:$BE$37,48,0)-VLOOKUP(B530,#REF!,$AF$2,0),0)</f>
        <v>0</v>
      </c>
      <c r="AG530" s="9">
        <f>IFERROR(VLOOKUP(B530,cubo!$A$6:$BE$37,49,0)-VLOOKUP(B530,#REF!,$AG$2,0),0)</f>
        <v>0</v>
      </c>
      <c r="AH530" s="9">
        <f>IFERROR(VLOOKUP(B530,cubo!$A$6:$BE$37,50,0)-VLOOKUP(B530,#REF!,$AH$2,0),0)</f>
        <v>0</v>
      </c>
      <c r="AI530" s="9">
        <f>IFERROR(VLOOKUP(B530,cubo!$A$6:$BE$37,51,0)-VLOOKUP(B530,#REF!,$AI$2,0),0)</f>
        <v>0</v>
      </c>
      <c r="AJ530" s="9">
        <f>IFERROR(VLOOKUP(B530,cubo!$A$6:$BI$116,62,0)-VLOOKUP(B530,#REF!,$AJ$2,0),0)</f>
        <v>0</v>
      </c>
      <c r="AK530" s="9">
        <f>IFERROR(VLOOKUP(B530,cubo!$A$6:$BJ$37,63,0)-VLOOKUP(B530,#REF!,$AK$2,0),0)</f>
        <v>0</v>
      </c>
      <c r="AL530" s="9">
        <f>IFERROR(VLOOKUP(B530,cubo!$A$6:$BE$37,58,0)-VLOOKUP(B530,#REF!,$AL$2,0),0)</f>
        <v>0</v>
      </c>
      <c r="AM530" s="9">
        <f>IFERROR(VLOOKUP(B530,cubo!$A$6:$BK$37,64,0)-VLOOKUP(B530,#REF!,$AM$2,0),0)</f>
        <v>0</v>
      </c>
      <c r="AN530" s="9">
        <f>IFERROR(VLOOKUP(B530,cubo!$A$6:$AN$37,41,0)-VLOOKUP(B530,#REF!,$AN$2,0),0)</f>
        <v>0</v>
      </c>
    </row>
    <row r="531" spans="2:40" x14ac:dyDescent="0.25">
      <c r="B531" s="7">
        <f>[1]salario!A530</f>
        <v>0</v>
      </c>
      <c r="C531" s="8">
        <f>[1]salario!C530</f>
        <v>0</v>
      </c>
      <c r="D531" s="9">
        <f>IFERROR(VLOOKUP(B531,cubo!$A$6:$BE$37,3,0)-VLOOKUP(B531,#REF!,$D$2,0),0)</f>
        <v>0</v>
      </c>
      <c r="E531" s="10">
        <f>IFERROR(VLOOKUP(B531,cubo!$A$6:$BE$37,5,0)-VLOOKUP(B531,#REF!,$E$2,0),0)</f>
        <v>0</v>
      </c>
      <c r="F531" s="10">
        <f>IFERROR(VLOOKUP(B531,cubo!$A$6:$BE$37,8,0)-VLOOKUP(B531,#REF!,$F$2,0),0)</f>
        <v>0</v>
      </c>
      <c r="G531" s="9">
        <f>IFERROR(VLOOKUP(B531,cubo!$A$6:$BE$37,11,0)-VLOOKUP(B531,#REF!,$G$2,0),0)</f>
        <v>0</v>
      </c>
      <c r="H531" s="9">
        <f>IFERROR(VLOOKUP(B531,cubo!$A$6:$BE$37,53,0)-VLOOKUP(B531,#REF!,$H$2,0),0)</f>
        <v>0</v>
      </c>
      <c r="I531" s="10">
        <f>IFERROR(VLOOKUP(B531,cubo!$A$6:$BE$37,14,0)-VLOOKUP(B531,#REF!,$I$2,0),0)</f>
        <v>0</v>
      </c>
      <c r="J531" s="9">
        <f>IFERROR(VLOOKUP(B531,cubo!$A$6:$BE$37,16,0)-VLOOKUP(B531,#REF!,$J$2,0),0)</f>
        <v>0</v>
      </c>
      <c r="K531" s="9">
        <f>IFERROR(VLOOKUP(B531,cubo!$A$6:$BE$37,17,0)-VLOOKUP(B531,#REF!,$K$2,0),0)</f>
        <v>0</v>
      </c>
      <c r="L531" s="9">
        <f>IFERROR(VLOOKUP(B531,cubo!$A$6:$BE$37,19,0)-VLOOKUP(B531,#REF!,$L$2,0),0)</f>
        <v>0</v>
      </c>
      <c r="M531" s="9">
        <f>IFERROR(VLOOKUP(B531,cubo!$A$6:$BE$37,23,0)-VLOOKUP(B531,#REF!,$M$2,0),0)</f>
        <v>0</v>
      </c>
      <c r="N531" s="9">
        <f>IFERROR(VLOOKUP(B531,cubo!$A$6:$BE$37,25,0)-VLOOKUP(B531,#REF!,$N$2,0),0)</f>
        <v>0</v>
      </c>
      <c r="O531" s="9">
        <f>IFERROR(VLOOKUP(B531,cubo!$A$6:$BE$37,33,0)-VLOOKUP(B531,#REF!,$O$2,0),0)</f>
        <v>0</v>
      </c>
      <c r="P531" s="8">
        <f>IFERROR(VLOOKUP(B531,cubo!$A$6:$BE$37,37,0)-VLOOKUP(B531,#REF!,$P$2,0),0)</f>
        <v>0</v>
      </c>
      <c r="Q531" s="8">
        <f>IFERROR(VLOOKUP(B531,cubo!$A$6:$BE$37,56,0)-VLOOKUP(B531,#REF!,$Q$2,0),0)</f>
        <v>0</v>
      </c>
      <c r="R531" s="9">
        <f>IFERROR(VLOOKUP(B531,cubo!$A$6:$BE$37,40,0)-VLOOKUP(B531,#REF!,$R$2,0),0)</f>
        <v>0</v>
      </c>
      <c r="S531" s="9">
        <f>IFERROR(VLOOKUP(B531,cubo!$A$6:$BE$37,43,0)-VLOOKUP(B531,#REF!,$S$2,0),0)</f>
        <v>0</v>
      </c>
      <c r="T531" s="9">
        <f>IFERROR(VLOOKUP(B531,cubo!$A$6:$BE$37,46,0)-VLOOKUP(B531,#REF!,$T$2,0),0)</f>
        <v>0</v>
      </c>
      <c r="U531" s="9">
        <f>IFERROR(VLOOKUP(B531,cubo!$A$6:$BE$37,51,0)-VLOOKUP(B531,#REF!,$U$2,0),0)</f>
        <v>0</v>
      </c>
      <c r="V531" s="9">
        <f>IFERROR(VLOOKUP(B531,cubo!$A$6:$BJ$37,60,0)-VLOOKUP(B531,#REF!,$V$2,0),0)</f>
        <v>0</v>
      </c>
      <c r="W531" s="9">
        <f>IFERROR(VLOOKUP(B531,cubo!$A$6:$BE$37,26,0)-VLOOKUP(B531,#REF!,$W$2,0),0)</f>
        <v>0</v>
      </c>
      <c r="X531" s="9">
        <f>IFERROR(VLOOKUP(B531,cubo!$A$6:$BE$37,20,0)-VLOOKUP(B531,#REF!,$X$2,0),0)</f>
        <v>0</v>
      </c>
      <c r="Y531" s="9">
        <f>IFERROR(VLOOKUP(B531,cubo!$A$6:$BE$37,21,0)-VLOOKUP(B531,#REF!,$Y$2,0),0)</f>
        <v>0</v>
      </c>
      <c r="Z531" s="9">
        <f>IFERROR(VLOOKUP(B531,cubo!$A$6:$BE$37,27,0)-VLOOKUP(B531,#REF!,$Z$2,0),0)</f>
        <v>0</v>
      </c>
      <c r="AA531" s="9">
        <f>IFERROR(VLOOKUP(B531,cubo!$A$6:$BE$37,28,0)-VLOOKUP(B531,#REF!,$AA$2,0),0)</f>
        <v>0</v>
      </c>
      <c r="AB531" s="9">
        <f>IFERROR(VLOOKUP(B531,cubo!$A$6:$BE$37,29,0)-VLOOKUP(B531,#REF!,$AB$2,0),0)</f>
        <v>0</v>
      </c>
      <c r="AC531" s="9">
        <f>IFERROR(VLOOKUP(B531,cubo!$A$6:$BE$37,30,0)-VLOOKUP(B531,#REF!,$AC$2,0),0)</f>
        <v>0</v>
      </c>
      <c r="AD531" s="9">
        <f>IFERROR(VLOOKUP(B531,cubo!$A$6:$BE$37,31,0)-VLOOKUP(B531,#REF!,$AD$2,0),0)</f>
        <v>0</v>
      </c>
      <c r="AE531" s="9">
        <f>IFERROR(VLOOKUP(B531,cubo!$A$6:$BE$37,35,0)-VLOOKUP(B531,#REF!,$AE$2,0),0)</f>
        <v>0</v>
      </c>
      <c r="AF531" s="9" cm="1">
        <f t="array" aca="1" ref="AF531" ca="1">IFERROR(rrPROCV(B531,cubo!$A$6:$BE$37,48,0)-VLOOKUP(B531,#REF!,$AF$2,0),0)</f>
        <v>0</v>
      </c>
      <c r="AG531" s="9">
        <f>IFERROR(VLOOKUP(B531,cubo!$A$6:$BE$37,49,0)-VLOOKUP(B531,#REF!,$AG$2,0),0)</f>
        <v>0</v>
      </c>
      <c r="AH531" s="9">
        <f>IFERROR(VLOOKUP(B531,cubo!$A$6:$BE$37,50,0)-VLOOKUP(B531,#REF!,$AH$2,0),0)</f>
        <v>0</v>
      </c>
      <c r="AI531" s="9">
        <f>IFERROR(VLOOKUP(B531,cubo!$A$6:$BE$37,51,0)-VLOOKUP(B531,#REF!,$AI$2,0),0)</f>
        <v>0</v>
      </c>
      <c r="AJ531" s="9">
        <f>IFERROR(VLOOKUP(B531,cubo!$A$6:$BI$116,62,0)-VLOOKUP(B531,#REF!,$AJ$2,0),0)</f>
        <v>0</v>
      </c>
      <c r="AK531" s="9">
        <f>IFERROR(VLOOKUP(B531,cubo!$A$6:$BJ$37,63,0)-VLOOKUP(B531,#REF!,$AK$2,0),0)</f>
        <v>0</v>
      </c>
      <c r="AL531" s="9">
        <f>IFERROR(VLOOKUP(B531,cubo!$A$6:$BE$37,58,0)-VLOOKUP(B531,#REF!,$AL$2,0),0)</f>
        <v>0</v>
      </c>
      <c r="AM531" s="9">
        <f>IFERROR(VLOOKUP(B531,cubo!$A$6:$BK$37,64,0)-VLOOKUP(B531,#REF!,$AM$2,0),0)</f>
        <v>0</v>
      </c>
      <c r="AN531" s="9">
        <f>IFERROR(VLOOKUP(B531,cubo!$A$6:$AN$37,41,0)-VLOOKUP(B531,#REF!,$AN$2,0),0)</f>
        <v>0</v>
      </c>
    </row>
    <row r="532" spans="2:40" x14ac:dyDescent="0.25">
      <c r="B532" s="7">
        <f>[1]salario!A531</f>
        <v>0</v>
      </c>
      <c r="C532" s="8">
        <f>[1]salario!C531</f>
        <v>0</v>
      </c>
      <c r="D532" s="9">
        <f>IFERROR(VLOOKUP(B532,cubo!$A$6:$BE$37,3,0)-VLOOKUP(B532,#REF!,$D$2,0),0)</f>
        <v>0</v>
      </c>
      <c r="E532" s="10">
        <f>IFERROR(VLOOKUP(B532,cubo!$A$6:$BE$37,5,0)-VLOOKUP(B532,#REF!,$E$2,0),0)</f>
        <v>0</v>
      </c>
      <c r="F532" s="10">
        <f>IFERROR(VLOOKUP(B532,cubo!$A$6:$BE$37,8,0)-VLOOKUP(B532,#REF!,$F$2,0),0)</f>
        <v>0</v>
      </c>
      <c r="G532" s="9">
        <f>IFERROR(VLOOKUP(B532,cubo!$A$6:$BE$37,11,0)-VLOOKUP(B532,#REF!,$G$2,0),0)</f>
        <v>0</v>
      </c>
      <c r="H532" s="9">
        <f>IFERROR(VLOOKUP(B532,cubo!$A$6:$BE$37,53,0)-VLOOKUP(B532,#REF!,$H$2,0),0)</f>
        <v>0</v>
      </c>
      <c r="I532" s="10">
        <f>IFERROR(VLOOKUP(B532,cubo!$A$6:$BE$37,14,0)-VLOOKUP(B532,#REF!,$I$2,0),0)</f>
        <v>0</v>
      </c>
      <c r="J532" s="9">
        <f>IFERROR(VLOOKUP(B532,cubo!$A$6:$BE$37,16,0)-VLOOKUP(B532,#REF!,$J$2,0),0)</f>
        <v>0</v>
      </c>
      <c r="K532" s="9">
        <f>IFERROR(VLOOKUP(B532,cubo!$A$6:$BE$37,17,0)-VLOOKUP(B532,#REF!,$K$2,0),0)</f>
        <v>0</v>
      </c>
      <c r="L532" s="9">
        <f>IFERROR(VLOOKUP(B532,cubo!$A$6:$BE$37,19,0)-VLOOKUP(B532,#REF!,$L$2,0),0)</f>
        <v>0</v>
      </c>
      <c r="M532" s="9">
        <f>IFERROR(VLOOKUP(B532,cubo!$A$6:$BE$37,23,0)-VLOOKUP(B532,#REF!,$M$2,0),0)</f>
        <v>0</v>
      </c>
      <c r="N532" s="9">
        <f>IFERROR(VLOOKUP(B532,cubo!$A$6:$BE$37,25,0)-VLOOKUP(B532,#REF!,$N$2,0),0)</f>
        <v>0</v>
      </c>
      <c r="O532" s="9">
        <f>IFERROR(VLOOKUP(B532,cubo!$A$6:$BE$37,33,0)-VLOOKUP(B532,#REF!,$O$2,0),0)</f>
        <v>0</v>
      </c>
      <c r="P532" s="8">
        <f>IFERROR(VLOOKUP(B532,cubo!$A$6:$BE$37,37,0)-VLOOKUP(B532,#REF!,$P$2,0),0)</f>
        <v>0</v>
      </c>
      <c r="Q532" s="8">
        <f>IFERROR(VLOOKUP(B532,cubo!$A$6:$BE$37,56,0)-VLOOKUP(B532,#REF!,$Q$2,0),0)</f>
        <v>0</v>
      </c>
      <c r="R532" s="9">
        <f>IFERROR(VLOOKUP(B532,cubo!$A$6:$BE$37,40,0)-VLOOKUP(B532,#REF!,$R$2,0),0)</f>
        <v>0</v>
      </c>
      <c r="S532" s="9">
        <f>IFERROR(VLOOKUP(B532,cubo!$A$6:$BE$37,43,0)-VLOOKUP(B532,#REF!,$S$2,0),0)</f>
        <v>0</v>
      </c>
      <c r="T532" s="9">
        <f>IFERROR(VLOOKUP(B532,cubo!$A$6:$BE$37,46,0)-VLOOKUP(B532,#REF!,$T$2,0),0)</f>
        <v>0</v>
      </c>
      <c r="U532" s="9">
        <f>IFERROR(VLOOKUP(B532,cubo!$A$6:$BE$37,51,0)-VLOOKUP(B532,#REF!,$U$2,0),0)</f>
        <v>0</v>
      </c>
      <c r="V532" s="9">
        <f>IFERROR(VLOOKUP(B532,cubo!$A$6:$BJ$37,60,0)-VLOOKUP(B532,#REF!,$V$2,0),0)</f>
        <v>0</v>
      </c>
      <c r="W532" s="9">
        <f>IFERROR(VLOOKUP(B532,cubo!$A$6:$BE$37,26,0)-VLOOKUP(B532,#REF!,$W$2,0),0)</f>
        <v>0</v>
      </c>
      <c r="X532" s="9">
        <f>IFERROR(VLOOKUP(B532,cubo!$A$6:$BE$37,20,0)-VLOOKUP(B532,#REF!,$X$2,0),0)</f>
        <v>0</v>
      </c>
      <c r="Y532" s="9">
        <f>IFERROR(VLOOKUP(B532,cubo!$A$6:$BE$37,21,0)-VLOOKUP(B532,#REF!,$Y$2,0),0)</f>
        <v>0</v>
      </c>
      <c r="Z532" s="9">
        <f>IFERROR(VLOOKUP(B532,cubo!$A$6:$BE$37,27,0)-VLOOKUP(B532,#REF!,$Z$2,0),0)</f>
        <v>0</v>
      </c>
      <c r="AA532" s="9">
        <f>IFERROR(VLOOKUP(B532,cubo!$A$6:$BE$37,28,0)-VLOOKUP(B532,#REF!,$AA$2,0),0)</f>
        <v>0</v>
      </c>
      <c r="AB532" s="9">
        <f>IFERROR(VLOOKUP(B532,cubo!$A$6:$BE$37,29,0)-VLOOKUP(B532,#REF!,$AB$2,0),0)</f>
        <v>0</v>
      </c>
      <c r="AC532" s="9">
        <f>IFERROR(VLOOKUP(B532,cubo!$A$6:$BE$37,30,0)-VLOOKUP(B532,#REF!,$AC$2,0),0)</f>
        <v>0</v>
      </c>
      <c r="AD532" s="9">
        <f>IFERROR(VLOOKUP(B532,cubo!$A$6:$BE$37,31,0)-VLOOKUP(B532,#REF!,$AD$2,0),0)</f>
        <v>0</v>
      </c>
      <c r="AE532" s="9">
        <f>IFERROR(VLOOKUP(B532,cubo!$A$6:$BE$37,35,0)-VLOOKUP(B532,#REF!,$AE$2,0),0)</f>
        <v>0</v>
      </c>
      <c r="AF532" s="9" cm="1">
        <f t="array" aca="1" ref="AF532" ca="1">IFERROR(rrPROCV(B532,cubo!$A$6:$BE$37,48,0)-VLOOKUP(B532,#REF!,$AF$2,0),0)</f>
        <v>0</v>
      </c>
      <c r="AG532" s="9">
        <f>IFERROR(VLOOKUP(B532,cubo!$A$6:$BE$37,49,0)-VLOOKUP(B532,#REF!,$AG$2,0),0)</f>
        <v>0</v>
      </c>
      <c r="AH532" s="9">
        <f>IFERROR(VLOOKUP(B532,cubo!$A$6:$BE$37,50,0)-VLOOKUP(B532,#REF!,$AH$2,0),0)</f>
        <v>0</v>
      </c>
      <c r="AI532" s="9">
        <f>IFERROR(VLOOKUP(B532,cubo!$A$6:$BE$37,51,0)-VLOOKUP(B532,#REF!,$AI$2,0),0)</f>
        <v>0</v>
      </c>
      <c r="AJ532" s="9">
        <f>IFERROR(VLOOKUP(B532,cubo!$A$6:$BI$116,62,0)-VLOOKUP(B532,#REF!,$AJ$2,0),0)</f>
        <v>0</v>
      </c>
      <c r="AK532" s="9">
        <f>IFERROR(VLOOKUP(B532,cubo!$A$6:$BJ$37,63,0)-VLOOKUP(B532,#REF!,$AK$2,0),0)</f>
        <v>0</v>
      </c>
      <c r="AL532" s="9">
        <f>IFERROR(VLOOKUP(B532,cubo!$A$6:$BE$37,58,0)-VLOOKUP(B532,#REF!,$AL$2,0),0)</f>
        <v>0</v>
      </c>
      <c r="AM532" s="9">
        <f>IFERROR(VLOOKUP(B532,cubo!$A$6:$BK$37,64,0)-VLOOKUP(B532,#REF!,$AM$2,0),0)</f>
        <v>0</v>
      </c>
      <c r="AN532" s="9">
        <f>IFERROR(VLOOKUP(B532,cubo!$A$6:$AN$37,41,0)-VLOOKUP(B532,#REF!,$AN$2,0),0)</f>
        <v>0</v>
      </c>
    </row>
    <row r="533" spans="2:40" x14ac:dyDescent="0.25">
      <c r="B533" s="7">
        <f>[1]salario!A532</f>
        <v>0</v>
      </c>
      <c r="C533" s="8">
        <f>[1]salario!C532</f>
        <v>0</v>
      </c>
      <c r="D533" s="9">
        <f>IFERROR(VLOOKUP(B533,cubo!$A$6:$BE$37,3,0)-VLOOKUP(B533,#REF!,$D$2,0),0)</f>
        <v>0</v>
      </c>
      <c r="E533" s="10">
        <f>IFERROR(VLOOKUP(B533,cubo!$A$6:$BE$37,5,0)-VLOOKUP(B533,#REF!,$E$2,0),0)</f>
        <v>0</v>
      </c>
      <c r="F533" s="10">
        <f>IFERROR(VLOOKUP(B533,cubo!$A$6:$BE$37,8,0)-VLOOKUP(B533,#REF!,$F$2,0),0)</f>
        <v>0</v>
      </c>
      <c r="G533" s="9">
        <f>IFERROR(VLOOKUP(B533,cubo!$A$6:$BE$37,11,0)-VLOOKUP(B533,#REF!,$G$2,0),0)</f>
        <v>0</v>
      </c>
      <c r="H533" s="9">
        <f>IFERROR(VLOOKUP(B533,cubo!$A$6:$BE$37,53,0)-VLOOKUP(B533,#REF!,$H$2,0),0)</f>
        <v>0</v>
      </c>
      <c r="I533" s="10">
        <f>IFERROR(VLOOKUP(B533,cubo!$A$6:$BE$37,14,0)-VLOOKUP(B533,#REF!,$I$2,0),0)</f>
        <v>0</v>
      </c>
      <c r="J533" s="9">
        <f>IFERROR(VLOOKUP(B533,cubo!$A$6:$BE$37,16,0)-VLOOKUP(B533,#REF!,$J$2,0),0)</f>
        <v>0</v>
      </c>
      <c r="K533" s="9">
        <f>IFERROR(VLOOKUP(B533,cubo!$A$6:$BE$37,17,0)-VLOOKUP(B533,#REF!,$K$2,0),0)</f>
        <v>0</v>
      </c>
      <c r="L533" s="9">
        <f>IFERROR(VLOOKUP(B533,cubo!$A$6:$BE$37,19,0)-VLOOKUP(B533,#REF!,$L$2,0),0)</f>
        <v>0</v>
      </c>
      <c r="M533" s="9">
        <f>IFERROR(VLOOKUP(B533,cubo!$A$6:$BE$37,23,0)-VLOOKUP(B533,#REF!,$M$2,0),0)</f>
        <v>0</v>
      </c>
      <c r="N533" s="9">
        <f>IFERROR(VLOOKUP(B533,cubo!$A$6:$BE$37,25,0)-VLOOKUP(B533,#REF!,$N$2,0),0)</f>
        <v>0</v>
      </c>
      <c r="O533" s="9">
        <f>IFERROR(VLOOKUP(B533,cubo!$A$6:$BE$37,33,0)-VLOOKUP(B533,#REF!,$O$2,0),0)</f>
        <v>0</v>
      </c>
      <c r="P533" s="8">
        <f>IFERROR(VLOOKUP(B533,cubo!$A$6:$BE$37,37,0)-VLOOKUP(B533,#REF!,$P$2,0),0)</f>
        <v>0</v>
      </c>
      <c r="Q533" s="8">
        <f>IFERROR(VLOOKUP(B533,cubo!$A$6:$BE$37,56,0)-VLOOKUP(B533,#REF!,$Q$2,0),0)</f>
        <v>0</v>
      </c>
      <c r="R533" s="9">
        <f>IFERROR(VLOOKUP(B533,cubo!$A$6:$BE$37,40,0)-VLOOKUP(B533,#REF!,$R$2,0),0)</f>
        <v>0</v>
      </c>
      <c r="S533" s="9">
        <f>IFERROR(VLOOKUP(B533,cubo!$A$6:$BE$37,43,0)-VLOOKUP(B533,#REF!,$S$2,0),0)</f>
        <v>0</v>
      </c>
      <c r="T533" s="9">
        <f>IFERROR(VLOOKUP(B533,cubo!$A$6:$BE$37,46,0)-VLOOKUP(B533,#REF!,$T$2,0),0)</f>
        <v>0</v>
      </c>
      <c r="U533" s="9">
        <f>IFERROR(VLOOKUP(B533,cubo!$A$6:$BE$37,51,0)-VLOOKUP(B533,#REF!,$U$2,0),0)</f>
        <v>0</v>
      </c>
      <c r="V533" s="9">
        <f>IFERROR(VLOOKUP(B533,cubo!$A$6:$BJ$37,60,0)-VLOOKUP(B533,#REF!,$V$2,0),0)</f>
        <v>0</v>
      </c>
      <c r="W533" s="9">
        <f>IFERROR(VLOOKUP(B533,cubo!$A$6:$BE$37,26,0)-VLOOKUP(B533,#REF!,$W$2,0),0)</f>
        <v>0</v>
      </c>
      <c r="X533" s="9">
        <f>IFERROR(VLOOKUP(B533,cubo!$A$6:$BE$37,20,0)-VLOOKUP(B533,#REF!,$X$2,0),0)</f>
        <v>0</v>
      </c>
      <c r="Y533" s="9">
        <f>IFERROR(VLOOKUP(B533,cubo!$A$6:$BE$37,21,0)-VLOOKUP(B533,#REF!,$Y$2,0),0)</f>
        <v>0</v>
      </c>
      <c r="Z533" s="9">
        <f>IFERROR(VLOOKUP(B533,cubo!$A$6:$BE$37,27,0)-VLOOKUP(B533,#REF!,$Z$2,0),0)</f>
        <v>0</v>
      </c>
      <c r="AA533" s="9">
        <f>IFERROR(VLOOKUP(B533,cubo!$A$6:$BE$37,28,0)-VLOOKUP(B533,#REF!,$AA$2,0),0)</f>
        <v>0</v>
      </c>
      <c r="AB533" s="9">
        <f>IFERROR(VLOOKUP(B533,cubo!$A$6:$BE$37,29,0)-VLOOKUP(B533,#REF!,$AB$2,0),0)</f>
        <v>0</v>
      </c>
      <c r="AC533" s="9">
        <f>IFERROR(VLOOKUP(B533,cubo!$A$6:$BE$37,30,0)-VLOOKUP(B533,#REF!,$AC$2,0),0)</f>
        <v>0</v>
      </c>
      <c r="AD533" s="9">
        <f>IFERROR(VLOOKUP(B533,cubo!$A$6:$BE$37,31,0)-VLOOKUP(B533,#REF!,$AD$2,0),0)</f>
        <v>0</v>
      </c>
      <c r="AE533" s="9">
        <f>IFERROR(VLOOKUP(B533,cubo!$A$6:$BE$37,35,0)-VLOOKUP(B533,#REF!,$AE$2,0),0)</f>
        <v>0</v>
      </c>
      <c r="AF533" s="9" cm="1">
        <f t="array" aca="1" ref="AF533" ca="1">IFERROR(rrPROCV(B533,cubo!$A$6:$BE$37,48,0)-VLOOKUP(B533,#REF!,$AF$2,0),0)</f>
        <v>0</v>
      </c>
      <c r="AG533" s="9">
        <f>IFERROR(VLOOKUP(B533,cubo!$A$6:$BE$37,49,0)-VLOOKUP(B533,#REF!,$AG$2,0),0)</f>
        <v>0</v>
      </c>
      <c r="AH533" s="9">
        <f>IFERROR(VLOOKUP(B533,cubo!$A$6:$BE$37,50,0)-VLOOKUP(B533,#REF!,$AH$2,0),0)</f>
        <v>0</v>
      </c>
      <c r="AI533" s="9">
        <f>IFERROR(VLOOKUP(B533,cubo!$A$6:$BE$37,51,0)-VLOOKUP(B533,#REF!,$AI$2,0),0)</f>
        <v>0</v>
      </c>
      <c r="AJ533" s="9">
        <f>IFERROR(VLOOKUP(B533,cubo!$A$6:$BI$116,62,0)-VLOOKUP(B533,#REF!,$AJ$2,0),0)</f>
        <v>0</v>
      </c>
      <c r="AK533" s="9">
        <f>IFERROR(VLOOKUP(B533,cubo!$A$6:$BJ$37,63,0)-VLOOKUP(B533,#REF!,$AK$2,0),0)</f>
        <v>0</v>
      </c>
      <c r="AL533" s="9">
        <f>IFERROR(VLOOKUP(B533,cubo!$A$6:$BE$37,58,0)-VLOOKUP(B533,#REF!,$AL$2,0),0)</f>
        <v>0</v>
      </c>
      <c r="AM533" s="9">
        <f>IFERROR(VLOOKUP(B533,cubo!$A$6:$BK$37,64,0)-VLOOKUP(B533,#REF!,$AM$2,0),0)</f>
        <v>0</v>
      </c>
      <c r="AN533" s="9">
        <f>IFERROR(VLOOKUP(B533,cubo!$A$6:$AN$37,41,0)-VLOOKUP(B533,#REF!,$AN$2,0),0)</f>
        <v>0</v>
      </c>
    </row>
    <row r="534" spans="2:40" x14ac:dyDescent="0.25">
      <c r="B534" s="7">
        <f>[1]salario!A533</f>
        <v>0</v>
      </c>
      <c r="C534" s="8">
        <f>[1]salario!C533</f>
        <v>0</v>
      </c>
      <c r="D534" s="9">
        <f>IFERROR(VLOOKUP(B534,cubo!$A$6:$BE$37,3,0)-VLOOKUP(B534,#REF!,$D$2,0),0)</f>
        <v>0</v>
      </c>
      <c r="E534" s="10">
        <f>IFERROR(VLOOKUP(B534,cubo!$A$6:$BE$37,5,0)-VLOOKUP(B534,#REF!,$E$2,0),0)</f>
        <v>0</v>
      </c>
      <c r="F534" s="10">
        <f>IFERROR(VLOOKUP(B534,cubo!$A$6:$BE$37,8,0)-VLOOKUP(B534,#REF!,$F$2,0),0)</f>
        <v>0</v>
      </c>
      <c r="G534" s="9">
        <f>IFERROR(VLOOKUP(B534,cubo!$A$6:$BE$37,11,0)-VLOOKUP(B534,#REF!,$G$2,0),0)</f>
        <v>0</v>
      </c>
      <c r="H534" s="9">
        <f>IFERROR(VLOOKUP(B534,cubo!$A$6:$BE$37,53,0)-VLOOKUP(B534,#REF!,$H$2,0),0)</f>
        <v>0</v>
      </c>
      <c r="I534" s="10">
        <f>IFERROR(VLOOKUP(B534,cubo!$A$6:$BE$37,14,0)-VLOOKUP(B534,#REF!,$I$2,0),0)</f>
        <v>0</v>
      </c>
      <c r="J534" s="9">
        <f>IFERROR(VLOOKUP(B534,cubo!$A$6:$BE$37,16,0)-VLOOKUP(B534,#REF!,$J$2,0),0)</f>
        <v>0</v>
      </c>
      <c r="K534" s="9">
        <f>IFERROR(VLOOKUP(B534,cubo!$A$6:$BE$37,17,0)-VLOOKUP(B534,#REF!,$K$2,0),0)</f>
        <v>0</v>
      </c>
      <c r="L534" s="9">
        <f>IFERROR(VLOOKUP(B534,cubo!$A$6:$BE$37,19,0)-VLOOKUP(B534,#REF!,$L$2,0),0)</f>
        <v>0</v>
      </c>
      <c r="M534" s="9">
        <f>IFERROR(VLOOKUP(B534,cubo!$A$6:$BE$37,23,0)-VLOOKUP(B534,#REF!,$M$2,0),0)</f>
        <v>0</v>
      </c>
      <c r="N534" s="9">
        <f>IFERROR(VLOOKUP(B534,cubo!$A$6:$BE$37,25,0)-VLOOKUP(B534,#REF!,$N$2,0),0)</f>
        <v>0</v>
      </c>
      <c r="O534" s="9">
        <f>IFERROR(VLOOKUP(B534,cubo!$A$6:$BE$37,33,0)-VLOOKUP(B534,#REF!,$O$2,0),0)</f>
        <v>0</v>
      </c>
      <c r="P534" s="8">
        <f>IFERROR(VLOOKUP(B534,cubo!$A$6:$BE$37,37,0)-VLOOKUP(B534,#REF!,$P$2,0),0)</f>
        <v>0</v>
      </c>
      <c r="Q534" s="8">
        <f>IFERROR(VLOOKUP(B534,cubo!$A$6:$BE$37,56,0)-VLOOKUP(B534,#REF!,$Q$2,0),0)</f>
        <v>0</v>
      </c>
      <c r="R534" s="9">
        <f>IFERROR(VLOOKUP(B534,cubo!$A$6:$BE$37,40,0)-VLOOKUP(B534,#REF!,$R$2,0),0)</f>
        <v>0</v>
      </c>
      <c r="S534" s="9">
        <f>IFERROR(VLOOKUP(B534,cubo!$A$6:$BE$37,43,0)-VLOOKUP(B534,#REF!,$S$2,0),0)</f>
        <v>0</v>
      </c>
      <c r="T534" s="9">
        <f>IFERROR(VLOOKUP(B534,cubo!$A$6:$BE$37,46,0)-VLOOKUP(B534,#REF!,$T$2,0),0)</f>
        <v>0</v>
      </c>
      <c r="U534" s="9">
        <f>IFERROR(VLOOKUP(B534,cubo!$A$6:$BE$37,51,0)-VLOOKUP(B534,#REF!,$U$2,0),0)</f>
        <v>0</v>
      </c>
      <c r="V534" s="9">
        <f>IFERROR(VLOOKUP(B534,cubo!$A$6:$BJ$37,60,0)-VLOOKUP(B534,#REF!,$V$2,0),0)</f>
        <v>0</v>
      </c>
      <c r="W534" s="9">
        <f>IFERROR(VLOOKUP(B534,cubo!$A$6:$BE$37,26,0)-VLOOKUP(B534,#REF!,$W$2,0),0)</f>
        <v>0</v>
      </c>
      <c r="X534" s="9">
        <f>IFERROR(VLOOKUP(B534,cubo!$A$6:$BE$37,20,0)-VLOOKUP(B534,#REF!,$X$2,0),0)</f>
        <v>0</v>
      </c>
      <c r="Y534" s="9">
        <f>IFERROR(VLOOKUP(B534,cubo!$A$6:$BE$37,21,0)-VLOOKUP(B534,#REF!,$Y$2,0),0)</f>
        <v>0</v>
      </c>
      <c r="Z534" s="9">
        <f>IFERROR(VLOOKUP(B534,cubo!$A$6:$BE$37,27,0)-VLOOKUP(B534,#REF!,$Z$2,0),0)</f>
        <v>0</v>
      </c>
      <c r="AA534" s="9">
        <f>IFERROR(VLOOKUP(B534,cubo!$A$6:$BE$37,28,0)-VLOOKUP(B534,#REF!,$AA$2,0),0)</f>
        <v>0</v>
      </c>
      <c r="AB534" s="9">
        <f>IFERROR(VLOOKUP(B534,cubo!$A$6:$BE$37,29,0)-VLOOKUP(B534,#REF!,$AB$2,0),0)</f>
        <v>0</v>
      </c>
      <c r="AC534" s="9">
        <f>IFERROR(VLOOKUP(B534,cubo!$A$6:$BE$37,30,0)-VLOOKUP(B534,#REF!,$AC$2,0),0)</f>
        <v>0</v>
      </c>
      <c r="AD534" s="9">
        <f>IFERROR(VLOOKUP(B534,cubo!$A$6:$BE$37,31,0)-VLOOKUP(B534,#REF!,$AD$2,0),0)</f>
        <v>0</v>
      </c>
      <c r="AE534" s="9">
        <f>IFERROR(VLOOKUP(B534,cubo!$A$6:$BE$37,35,0)-VLOOKUP(B534,#REF!,$AE$2,0),0)</f>
        <v>0</v>
      </c>
      <c r="AF534" s="9" cm="1">
        <f t="array" aca="1" ref="AF534" ca="1">IFERROR(rrPROCV(B534,cubo!$A$6:$BE$37,48,0)-VLOOKUP(B534,#REF!,$AF$2,0),0)</f>
        <v>0</v>
      </c>
      <c r="AG534" s="9">
        <f>IFERROR(VLOOKUP(B534,cubo!$A$6:$BE$37,49,0)-VLOOKUP(B534,#REF!,$AG$2,0),0)</f>
        <v>0</v>
      </c>
      <c r="AH534" s="9">
        <f>IFERROR(VLOOKUP(B534,cubo!$A$6:$BE$37,50,0)-VLOOKUP(B534,#REF!,$AH$2,0),0)</f>
        <v>0</v>
      </c>
      <c r="AI534" s="9">
        <f>IFERROR(VLOOKUP(B534,cubo!$A$6:$BE$37,51,0)-VLOOKUP(B534,#REF!,$AI$2,0),0)</f>
        <v>0</v>
      </c>
      <c r="AJ534" s="9">
        <f>IFERROR(VLOOKUP(B534,cubo!$A$6:$BI$116,62,0)-VLOOKUP(B534,#REF!,$AJ$2,0),0)</f>
        <v>0</v>
      </c>
      <c r="AK534" s="9">
        <f>IFERROR(VLOOKUP(B534,cubo!$A$6:$BJ$37,63,0)-VLOOKUP(B534,#REF!,$AK$2,0),0)</f>
        <v>0</v>
      </c>
      <c r="AL534" s="9">
        <f>IFERROR(VLOOKUP(B534,cubo!$A$6:$BE$37,58,0)-VLOOKUP(B534,#REF!,$AL$2,0),0)</f>
        <v>0</v>
      </c>
      <c r="AM534" s="9">
        <f>IFERROR(VLOOKUP(B534,cubo!$A$6:$BK$37,64,0)-VLOOKUP(B534,#REF!,$AM$2,0),0)</f>
        <v>0</v>
      </c>
      <c r="AN534" s="9">
        <f>IFERROR(VLOOKUP(B534,cubo!$A$6:$AN$37,41,0)-VLOOKUP(B534,#REF!,$AN$2,0),0)</f>
        <v>0</v>
      </c>
    </row>
    <row r="535" spans="2:40" x14ac:dyDescent="0.25">
      <c r="B535" s="7">
        <f>[1]salario!A534</f>
        <v>0</v>
      </c>
      <c r="C535" s="8">
        <f>[1]salario!C534</f>
        <v>0</v>
      </c>
      <c r="D535" s="9">
        <f>IFERROR(VLOOKUP(B535,cubo!$A$6:$BE$37,3,0)-VLOOKUP(B535,#REF!,$D$2,0),0)</f>
        <v>0</v>
      </c>
      <c r="E535" s="10">
        <f>IFERROR(VLOOKUP(B535,cubo!$A$6:$BE$37,5,0)-VLOOKUP(B535,#REF!,$E$2,0),0)</f>
        <v>0</v>
      </c>
      <c r="F535" s="10">
        <f>IFERROR(VLOOKUP(B535,cubo!$A$6:$BE$37,8,0)-VLOOKUP(B535,#REF!,$F$2,0),0)</f>
        <v>0</v>
      </c>
      <c r="G535" s="9">
        <f>IFERROR(VLOOKUP(B535,cubo!$A$6:$BE$37,11,0)-VLOOKUP(B535,#REF!,$G$2,0),0)</f>
        <v>0</v>
      </c>
      <c r="H535" s="9">
        <f>IFERROR(VLOOKUP(B535,cubo!$A$6:$BE$37,53,0)-VLOOKUP(B535,#REF!,$H$2,0),0)</f>
        <v>0</v>
      </c>
      <c r="I535" s="10">
        <f>IFERROR(VLOOKUP(B535,cubo!$A$6:$BE$37,14,0)-VLOOKUP(B535,#REF!,$I$2,0),0)</f>
        <v>0</v>
      </c>
      <c r="J535" s="9">
        <f>IFERROR(VLOOKUP(B535,cubo!$A$6:$BE$37,16,0)-VLOOKUP(B535,#REF!,$J$2,0),0)</f>
        <v>0</v>
      </c>
      <c r="K535" s="9">
        <f>IFERROR(VLOOKUP(B535,cubo!$A$6:$BE$37,17,0)-VLOOKUP(B535,#REF!,$K$2,0),0)</f>
        <v>0</v>
      </c>
      <c r="L535" s="9">
        <f>IFERROR(VLOOKUP(B535,cubo!$A$6:$BE$37,19,0)-VLOOKUP(B535,#REF!,$L$2,0),0)</f>
        <v>0</v>
      </c>
      <c r="M535" s="9">
        <f>IFERROR(VLOOKUP(B535,cubo!$A$6:$BE$37,23,0)-VLOOKUP(B535,#REF!,$M$2,0),0)</f>
        <v>0</v>
      </c>
      <c r="N535" s="9">
        <f>IFERROR(VLOOKUP(B535,cubo!$A$6:$BE$37,25,0)-VLOOKUP(B535,#REF!,$N$2,0),0)</f>
        <v>0</v>
      </c>
      <c r="O535" s="9">
        <f>IFERROR(VLOOKUP(B535,cubo!$A$6:$BE$37,33,0)-VLOOKUP(B535,#REF!,$O$2,0),0)</f>
        <v>0</v>
      </c>
      <c r="P535" s="8">
        <f>IFERROR(VLOOKUP(B535,cubo!$A$6:$BE$37,37,0)-VLOOKUP(B535,#REF!,$P$2,0),0)</f>
        <v>0</v>
      </c>
      <c r="Q535" s="8">
        <f>IFERROR(VLOOKUP(B535,cubo!$A$6:$BE$37,56,0)-VLOOKUP(B535,#REF!,$Q$2,0),0)</f>
        <v>0</v>
      </c>
      <c r="R535" s="9">
        <f>IFERROR(VLOOKUP(B535,cubo!$A$6:$BE$37,40,0)-VLOOKUP(B535,#REF!,$R$2,0),0)</f>
        <v>0</v>
      </c>
      <c r="S535" s="9">
        <f>IFERROR(VLOOKUP(B535,cubo!$A$6:$BE$37,43,0)-VLOOKUP(B535,#REF!,$S$2,0),0)</f>
        <v>0</v>
      </c>
      <c r="T535" s="9">
        <f>IFERROR(VLOOKUP(B535,cubo!$A$6:$BE$37,46,0)-VLOOKUP(B535,#REF!,$T$2,0),0)</f>
        <v>0</v>
      </c>
      <c r="U535" s="9">
        <f>IFERROR(VLOOKUP(B535,cubo!$A$6:$BE$37,51,0)-VLOOKUP(B535,#REF!,$U$2,0),0)</f>
        <v>0</v>
      </c>
      <c r="V535" s="9">
        <f>IFERROR(VLOOKUP(B535,cubo!$A$6:$BJ$37,60,0)-VLOOKUP(B535,#REF!,$V$2,0),0)</f>
        <v>0</v>
      </c>
      <c r="W535" s="9">
        <f>IFERROR(VLOOKUP(B535,cubo!$A$6:$BE$37,26,0)-VLOOKUP(B535,#REF!,$W$2,0),0)</f>
        <v>0</v>
      </c>
      <c r="X535" s="9">
        <f>IFERROR(VLOOKUP(B535,cubo!$A$6:$BE$37,20,0)-VLOOKUP(B535,#REF!,$X$2,0),0)</f>
        <v>0</v>
      </c>
      <c r="Y535" s="9">
        <f>IFERROR(VLOOKUP(B535,cubo!$A$6:$BE$37,21,0)-VLOOKUP(B535,#REF!,$Y$2,0),0)</f>
        <v>0</v>
      </c>
      <c r="Z535" s="9">
        <f>IFERROR(VLOOKUP(B535,cubo!$A$6:$BE$37,27,0)-VLOOKUP(B535,#REF!,$Z$2,0),0)</f>
        <v>0</v>
      </c>
      <c r="AA535" s="9">
        <f>IFERROR(VLOOKUP(B535,cubo!$A$6:$BE$37,28,0)-VLOOKUP(B535,#REF!,$AA$2,0),0)</f>
        <v>0</v>
      </c>
      <c r="AB535" s="9">
        <f>IFERROR(VLOOKUP(B535,cubo!$A$6:$BE$37,29,0)-VLOOKUP(B535,#REF!,$AB$2,0),0)</f>
        <v>0</v>
      </c>
      <c r="AC535" s="9">
        <f>IFERROR(VLOOKUP(B535,cubo!$A$6:$BE$37,30,0)-VLOOKUP(B535,#REF!,$AC$2,0),0)</f>
        <v>0</v>
      </c>
      <c r="AD535" s="9">
        <f>IFERROR(VLOOKUP(B535,cubo!$A$6:$BE$37,31,0)-VLOOKUP(B535,#REF!,$AD$2,0),0)</f>
        <v>0</v>
      </c>
      <c r="AE535" s="9">
        <f>IFERROR(VLOOKUP(B535,cubo!$A$6:$BE$37,35,0)-VLOOKUP(B535,#REF!,$AE$2,0),0)</f>
        <v>0</v>
      </c>
      <c r="AF535" s="9" cm="1">
        <f t="array" aca="1" ref="AF535" ca="1">IFERROR(rrPROCV(B535,cubo!$A$6:$BE$37,48,0)-VLOOKUP(B535,#REF!,$AF$2,0),0)</f>
        <v>0</v>
      </c>
      <c r="AG535" s="9">
        <f>IFERROR(VLOOKUP(B535,cubo!$A$6:$BE$37,49,0)-VLOOKUP(B535,#REF!,$AG$2,0),0)</f>
        <v>0</v>
      </c>
      <c r="AH535" s="9">
        <f>IFERROR(VLOOKUP(B535,cubo!$A$6:$BE$37,50,0)-VLOOKUP(B535,#REF!,$AH$2,0),0)</f>
        <v>0</v>
      </c>
      <c r="AI535" s="9">
        <f>IFERROR(VLOOKUP(B535,cubo!$A$6:$BE$37,51,0)-VLOOKUP(B535,#REF!,$AI$2,0),0)</f>
        <v>0</v>
      </c>
      <c r="AJ535" s="9">
        <f>IFERROR(VLOOKUP(B535,cubo!$A$6:$BI$116,62,0)-VLOOKUP(B535,#REF!,$AJ$2,0),0)</f>
        <v>0</v>
      </c>
      <c r="AK535" s="9">
        <f>IFERROR(VLOOKUP(B535,cubo!$A$6:$BJ$37,63,0)-VLOOKUP(B535,#REF!,$AK$2,0),0)</f>
        <v>0</v>
      </c>
      <c r="AL535" s="9">
        <f>IFERROR(VLOOKUP(B535,cubo!$A$6:$BE$37,58,0)-VLOOKUP(B535,#REF!,$AL$2,0),0)</f>
        <v>0</v>
      </c>
      <c r="AM535" s="9">
        <f>IFERROR(VLOOKUP(B535,cubo!$A$6:$BK$37,64,0)-VLOOKUP(B535,#REF!,$AM$2,0),0)</f>
        <v>0</v>
      </c>
      <c r="AN535" s="9">
        <f>IFERROR(VLOOKUP(B535,cubo!$A$6:$AN$37,41,0)-VLOOKUP(B535,#REF!,$AN$2,0),0)</f>
        <v>0</v>
      </c>
    </row>
    <row r="536" spans="2:40" x14ac:dyDescent="0.25">
      <c r="B536" s="7">
        <f>[1]salario!A535</f>
        <v>0</v>
      </c>
      <c r="C536" s="8">
        <f>[1]salario!C535</f>
        <v>0</v>
      </c>
      <c r="D536" s="9">
        <f>IFERROR(VLOOKUP(B536,cubo!$A$6:$BE$37,3,0)-VLOOKUP(B536,#REF!,$D$2,0),0)</f>
        <v>0</v>
      </c>
      <c r="E536" s="10">
        <f>IFERROR(VLOOKUP(B536,cubo!$A$6:$BE$37,5,0)-VLOOKUP(B536,#REF!,$E$2,0),0)</f>
        <v>0</v>
      </c>
      <c r="F536" s="10">
        <f>IFERROR(VLOOKUP(B536,cubo!$A$6:$BE$37,8,0)-VLOOKUP(B536,#REF!,$F$2,0),0)</f>
        <v>0</v>
      </c>
      <c r="G536" s="9">
        <f>IFERROR(VLOOKUP(B536,cubo!$A$6:$BE$37,11,0)-VLOOKUP(B536,#REF!,$G$2,0),0)</f>
        <v>0</v>
      </c>
      <c r="H536" s="9">
        <f>IFERROR(VLOOKUP(B536,cubo!$A$6:$BE$37,53,0)-VLOOKUP(B536,#REF!,$H$2,0),0)</f>
        <v>0</v>
      </c>
      <c r="I536" s="10">
        <f>IFERROR(VLOOKUP(B536,cubo!$A$6:$BE$37,14,0)-VLOOKUP(B536,#REF!,$I$2,0),0)</f>
        <v>0</v>
      </c>
      <c r="J536" s="9">
        <f>IFERROR(VLOOKUP(B536,cubo!$A$6:$BE$37,16,0)-VLOOKUP(B536,#REF!,$J$2,0),0)</f>
        <v>0</v>
      </c>
      <c r="K536" s="9">
        <f>IFERROR(VLOOKUP(B536,cubo!$A$6:$BE$37,17,0)-VLOOKUP(B536,#REF!,$K$2,0),0)</f>
        <v>0</v>
      </c>
      <c r="L536" s="9">
        <f>IFERROR(VLOOKUP(B536,cubo!$A$6:$BE$37,19,0)-VLOOKUP(B536,#REF!,$L$2,0),0)</f>
        <v>0</v>
      </c>
      <c r="M536" s="9">
        <f>IFERROR(VLOOKUP(B536,cubo!$A$6:$BE$37,23,0)-VLOOKUP(B536,#REF!,$M$2,0),0)</f>
        <v>0</v>
      </c>
      <c r="N536" s="9">
        <f>IFERROR(VLOOKUP(B536,cubo!$A$6:$BE$37,25,0)-VLOOKUP(B536,#REF!,$N$2,0),0)</f>
        <v>0</v>
      </c>
      <c r="O536" s="9">
        <f>IFERROR(VLOOKUP(B536,cubo!$A$6:$BE$37,33,0)-VLOOKUP(B536,#REF!,$O$2,0),0)</f>
        <v>0</v>
      </c>
      <c r="P536" s="8">
        <f>IFERROR(VLOOKUP(B536,cubo!$A$6:$BE$37,37,0)-VLOOKUP(B536,#REF!,$P$2,0),0)</f>
        <v>0</v>
      </c>
      <c r="Q536" s="8">
        <f>IFERROR(VLOOKUP(B536,cubo!$A$6:$BE$37,56,0)-VLOOKUP(B536,#REF!,$Q$2,0),0)</f>
        <v>0</v>
      </c>
      <c r="R536" s="9">
        <f>IFERROR(VLOOKUP(B536,cubo!$A$6:$BE$37,40,0)-VLOOKUP(B536,#REF!,$R$2,0),0)</f>
        <v>0</v>
      </c>
      <c r="S536" s="9">
        <f>IFERROR(VLOOKUP(B536,cubo!$A$6:$BE$37,43,0)-VLOOKUP(B536,#REF!,$S$2,0),0)</f>
        <v>0</v>
      </c>
      <c r="T536" s="9">
        <f>IFERROR(VLOOKUP(B536,cubo!$A$6:$BE$37,46,0)-VLOOKUP(B536,#REF!,$T$2,0),0)</f>
        <v>0</v>
      </c>
      <c r="U536" s="9">
        <f>IFERROR(VLOOKUP(B536,cubo!$A$6:$BE$37,51,0)-VLOOKUP(B536,#REF!,$U$2,0),0)</f>
        <v>0</v>
      </c>
      <c r="V536" s="9">
        <f>IFERROR(VLOOKUP(B536,cubo!$A$6:$BJ$37,60,0)-VLOOKUP(B536,#REF!,$V$2,0),0)</f>
        <v>0</v>
      </c>
      <c r="W536" s="9">
        <f>IFERROR(VLOOKUP(B536,cubo!$A$6:$BE$37,26,0)-VLOOKUP(B536,#REF!,$W$2,0),0)</f>
        <v>0</v>
      </c>
      <c r="X536" s="9">
        <f>IFERROR(VLOOKUP(B536,cubo!$A$6:$BE$37,20,0)-VLOOKUP(B536,#REF!,$X$2,0),0)</f>
        <v>0</v>
      </c>
      <c r="Y536" s="9">
        <f>IFERROR(VLOOKUP(B536,cubo!$A$6:$BE$37,21,0)-VLOOKUP(B536,#REF!,$Y$2,0),0)</f>
        <v>0</v>
      </c>
      <c r="Z536" s="9">
        <f>IFERROR(VLOOKUP(B536,cubo!$A$6:$BE$37,27,0)-VLOOKUP(B536,#REF!,$Z$2,0),0)</f>
        <v>0</v>
      </c>
      <c r="AA536" s="9">
        <f>IFERROR(VLOOKUP(B536,cubo!$A$6:$BE$37,28,0)-VLOOKUP(B536,#REF!,$AA$2,0),0)</f>
        <v>0</v>
      </c>
      <c r="AB536" s="9">
        <f>IFERROR(VLOOKUP(B536,cubo!$A$6:$BE$37,29,0)-VLOOKUP(B536,#REF!,$AB$2,0),0)</f>
        <v>0</v>
      </c>
      <c r="AC536" s="9">
        <f>IFERROR(VLOOKUP(B536,cubo!$A$6:$BE$37,30,0)-VLOOKUP(B536,#REF!,$AC$2,0),0)</f>
        <v>0</v>
      </c>
      <c r="AD536" s="9">
        <f>IFERROR(VLOOKUP(B536,cubo!$A$6:$BE$37,31,0)-VLOOKUP(B536,#REF!,$AD$2,0),0)</f>
        <v>0</v>
      </c>
      <c r="AE536" s="9">
        <f>IFERROR(VLOOKUP(B536,cubo!$A$6:$BE$37,35,0)-VLOOKUP(B536,#REF!,$AE$2,0),0)</f>
        <v>0</v>
      </c>
      <c r="AF536" s="9" cm="1">
        <f t="array" aca="1" ref="AF536" ca="1">IFERROR(rrPROCV(B536,cubo!$A$6:$BE$37,48,0)-VLOOKUP(B536,#REF!,$AF$2,0),0)</f>
        <v>0</v>
      </c>
      <c r="AG536" s="9">
        <f>IFERROR(VLOOKUP(B536,cubo!$A$6:$BE$37,49,0)-VLOOKUP(B536,#REF!,$AG$2,0),0)</f>
        <v>0</v>
      </c>
      <c r="AH536" s="9">
        <f>IFERROR(VLOOKUP(B536,cubo!$A$6:$BE$37,50,0)-VLOOKUP(B536,#REF!,$AH$2,0),0)</f>
        <v>0</v>
      </c>
      <c r="AI536" s="9">
        <f>IFERROR(VLOOKUP(B536,cubo!$A$6:$BE$37,51,0)-VLOOKUP(B536,#REF!,$AI$2,0),0)</f>
        <v>0</v>
      </c>
      <c r="AJ536" s="9">
        <f>IFERROR(VLOOKUP(B536,cubo!$A$6:$BI$116,62,0)-VLOOKUP(B536,#REF!,$AJ$2,0),0)</f>
        <v>0</v>
      </c>
      <c r="AK536" s="9">
        <f>IFERROR(VLOOKUP(B536,cubo!$A$6:$BJ$37,63,0)-VLOOKUP(B536,#REF!,$AK$2,0),0)</f>
        <v>0</v>
      </c>
      <c r="AL536" s="9">
        <f>IFERROR(VLOOKUP(B536,cubo!$A$6:$BE$37,58,0)-VLOOKUP(B536,#REF!,$AL$2,0),0)</f>
        <v>0</v>
      </c>
      <c r="AM536" s="9">
        <f>IFERROR(VLOOKUP(B536,cubo!$A$6:$BK$37,64,0)-VLOOKUP(B536,#REF!,$AM$2,0),0)</f>
        <v>0</v>
      </c>
      <c r="AN536" s="9">
        <f>IFERROR(VLOOKUP(B536,cubo!$A$6:$AN$37,41,0)-VLOOKUP(B536,#REF!,$AN$2,0),0)</f>
        <v>0</v>
      </c>
    </row>
    <row r="537" spans="2:40" x14ac:dyDescent="0.25">
      <c r="B537" s="7">
        <f>[1]salario!A536</f>
        <v>0</v>
      </c>
      <c r="C537" s="8">
        <f>[1]salario!C536</f>
        <v>0</v>
      </c>
      <c r="D537" s="9">
        <f>IFERROR(VLOOKUP(B537,cubo!$A$6:$BE$37,3,0)-VLOOKUP(B537,#REF!,$D$2,0),0)</f>
        <v>0</v>
      </c>
      <c r="E537" s="10">
        <f>IFERROR(VLOOKUP(B537,cubo!$A$6:$BE$37,5,0)-VLOOKUP(B537,#REF!,$E$2,0),0)</f>
        <v>0</v>
      </c>
      <c r="F537" s="10">
        <f>IFERROR(VLOOKUP(B537,cubo!$A$6:$BE$37,8,0)-VLOOKUP(B537,#REF!,$F$2,0),0)</f>
        <v>0</v>
      </c>
      <c r="G537" s="9">
        <f>IFERROR(VLOOKUP(B537,cubo!$A$6:$BE$37,11,0)-VLOOKUP(B537,#REF!,$G$2,0),0)</f>
        <v>0</v>
      </c>
      <c r="H537" s="9">
        <f>IFERROR(VLOOKUP(B537,cubo!$A$6:$BE$37,53,0)-VLOOKUP(B537,#REF!,$H$2,0),0)</f>
        <v>0</v>
      </c>
      <c r="I537" s="10">
        <f>IFERROR(VLOOKUP(B537,cubo!$A$6:$BE$37,14,0)-VLOOKUP(B537,#REF!,$I$2,0),0)</f>
        <v>0</v>
      </c>
      <c r="J537" s="9">
        <f>IFERROR(VLOOKUP(B537,cubo!$A$6:$BE$37,16,0)-VLOOKUP(B537,#REF!,$J$2,0),0)</f>
        <v>0</v>
      </c>
      <c r="K537" s="9">
        <f>IFERROR(VLOOKUP(B537,cubo!$A$6:$BE$37,17,0)-VLOOKUP(B537,#REF!,$K$2,0),0)</f>
        <v>0</v>
      </c>
      <c r="L537" s="9">
        <f>IFERROR(VLOOKUP(B537,cubo!$A$6:$BE$37,19,0)-VLOOKUP(B537,#REF!,$L$2,0),0)</f>
        <v>0</v>
      </c>
      <c r="M537" s="9">
        <f>IFERROR(VLOOKUP(B537,cubo!$A$6:$BE$37,23,0)-VLOOKUP(B537,#REF!,$M$2,0),0)</f>
        <v>0</v>
      </c>
      <c r="N537" s="9">
        <f>IFERROR(VLOOKUP(B537,cubo!$A$6:$BE$37,25,0)-VLOOKUP(B537,#REF!,$N$2,0),0)</f>
        <v>0</v>
      </c>
      <c r="O537" s="9">
        <f>IFERROR(VLOOKUP(B537,cubo!$A$6:$BE$37,33,0)-VLOOKUP(B537,#REF!,$O$2,0),0)</f>
        <v>0</v>
      </c>
      <c r="P537" s="8">
        <f>IFERROR(VLOOKUP(B537,cubo!$A$6:$BE$37,37,0)-VLOOKUP(B537,#REF!,$P$2,0),0)</f>
        <v>0</v>
      </c>
      <c r="Q537" s="8">
        <f>IFERROR(VLOOKUP(B537,cubo!$A$6:$BE$37,56,0)-VLOOKUP(B537,#REF!,$Q$2,0),0)</f>
        <v>0</v>
      </c>
      <c r="R537" s="9">
        <f>IFERROR(VLOOKUP(B537,cubo!$A$6:$BE$37,40,0)-VLOOKUP(B537,#REF!,$R$2,0),0)</f>
        <v>0</v>
      </c>
      <c r="S537" s="9">
        <f>IFERROR(VLOOKUP(B537,cubo!$A$6:$BE$37,43,0)-VLOOKUP(B537,#REF!,$S$2,0),0)</f>
        <v>0</v>
      </c>
      <c r="T537" s="9">
        <f>IFERROR(VLOOKUP(B537,cubo!$A$6:$BE$37,46,0)-VLOOKUP(B537,#REF!,$T$2,0),0)</f>
        <v>0</v>
      </c>
      <c r="U537" s="9">
        <f>IFERROR(VLOOKUP(B537,cubo!$A$6:$BE$37,51,0)-VLOOKUP(B537,#REF!,$U$2,0),0)</f>
        <v>0</v>
      </c>
      <c r="V537" s="9">
        <f>IFERROR(VLOOKUP(B537,cubo!$A$6:$BJ$37,60,0)-VLOOKUP(B537,#REF!,$V$2,0),0)</f>
        <v>0</v>
      </c>
      <c r="W537" s="9">
        <f>IFERROR(VLOOKUP(B537,cubo!$A$6:$BE$37,26,0)-VLOOKUP(B537,#REF!,$W$2,0),0)</f>
        <v>0</v>
      </c>
      <c r="X537" s="9">
        <f>IFERROR(VLOOKUP(B537,cubo!$A$6:$BE$37,20,0)-VLOOKUP(B537,#REF!,$X$2,0),0)</f>
        <v>0</v>
      </c>
      <c r="Y537" s="9">
        <f>IFERROR(VLOOKUP(B537,cubo!$A$6:$BE$37,21,0)-VLOOKUP(B537,#REF!,$Y$2,0),0)</f>
        <v>0</v>
      </c>
      <c r="Z537" s="9">
        <f>IFERROR(VLOOKUP(B537,cubo!$A$6:$BE$37,27,0)-VLOOKUP(B537,#REF!,$Z$2,0),0)</f>
        <v>0</v>
      </c>
      <c r="AA537" s="9">
        <f>IFERROR(VLOOKUP(B537,cubo!$A$6:$BE$37,28,0)-VLOOKUP(B537,#REF!,$AA$2,0),0)</f>
        <v>0</v>
      </c>
      <c r="AB537" s="9">
        <f>IFERROR(VLOOKUP(B537,cubo!$A$6:$BE$37,29,0)-VLOOKUP(B537,#REF!,$AB$2,0),0)</f>
        <v>0</v>
      </c>
      <c r="AC537" s="9">
        <f>IFERROR(VLOOKUP(B537,cubo!$A$6:$BE$37,30,0)-VLOOKUP(B537,#REF!,$AC$2,0),0)</f>
        <v>0</v>
      </c>
      <c r="AD537" s="9">
        <f>IFERROR(VLOOKUP(B537,cubo!$A$6:$BE$37,31,0)-VLOOKUP(B537,#REF!,$AD$2,0),0)</f>
        <v>0</v>
      </c>
      <c r="AE537" s="9">
        <f>IFERROR(VLOOKUP(B537,cubo!$A$6:$BE$37,35,0)-VLOOKUP(B537,#REF!,$AE$2,0),0)</f>
        <v>0</v>
      </c>
      <c r="AF537" s="9" cm="1">
        <f t="array" aca="1" ref="AF537" ca="1">IFERROR(rrPROCV(B537,cubo!$A$6:$BE$37,48,0)-VLOOKUP(B537,#REF!,$AF$2,0),0)</f>
        <v>0</v>
      </c>
      <c r="AG537" s="9">
        <f>IFERROR(VLOOKUP(B537,cubo!$A$6:$BE$37,49,0)-VLOOKUP(B537,#REF!,$AG$2,0),0)</f>
        <v>0</v>
      </c>
      <c r="AH537" s="9">
        <f>IFERROR(VLOOKUP(B537,cubo!$A$6:$BE$37,50,0)-VLOOKUP(B537,#REF!,$AH$2,0),0)</f>
        <v>0</v>
      </c>
      <c r="AI537" s="9">
        <f>IFERROR(VLOOKUP(B537,cubo!$A$6:$BE$37,51,0)-VLOOKUP(B537,#REF!,$AI$2,0),0)</f>
        <v>0</v>
      </c>
      <c r="AJ537" s="9">
        <f>IFERROR(VLOOKUP(B537,cubo!$A$6:$BI$116,62,0)-VLOOKUP(B537,#REF!,$AJ$2,0),0)</f>
        <v>0</v>
      </c>
      <c r="AK537" s="9">
        <f>IFERROR(VLOOKUP(B537,cubo!$A$6:$BJ$37,63,0)-VLOOKUP(B537,#REF!,$AK$2,0),0)</f>
        <v>0</v>
      </c>
      <c r="AL537" s="9">
        <f>IFERROR(VLOOKUP(B537,cubo!$A$6:$BE$37,58,0)-VLOOKUP(B537,#REF!,$AL$2,0),0)</f>
        <v>0</v>
      </c>
      <c r="AM537" s="9">
        <f>IFERROR(VLOOKUP(B537,cubo!$A$6:$BK$37,64,0)-VLOOKUP(B537,#REF!,$AM$2,0),0)</f>
        <v>0</v>
      </c>
      <c r="AN537" s="9">
        <f>IFERROR(VLOOKUP(B537,cubo!$A$6:$AN$37,41,0)-VLOOKUP(B537,#REF!,$AN$2,0),0)</f>
        <v>0</v>
      </c>
    </row>
    <row r="538" spans="2:40" x14ac:dyDescent="0.25">
      <c r="B538" s="7">
        <f>[1]salario!A537</f>
        <v>0</v>
      </c>
      <c r="C538" s="8">
        <f>[1]salario!C537</f>
        <v>0</v>
      </c>
      <c r="D538" s="9">
        <f>IFERROR(VLOOKUP(B538,cubo!$A$6:$BE$37,3,0)-VLOOKUP(B538,#REF!,$D$2,0),0)</f>
        <v>0</v>
      </c>
      <c r="E538" s="10">
        <f>IFERROR(VLOOKUP(B538,cubo!$A$6:$BE$37,5,0)-VLOOKUP(B538,#REF!,$E$2,0),0)</f>
        <v>0</v>
      </c>
      <c r="F538" s="10">
        <f>IFERROR(VLOOKUP(B538,cubo!$A$6:$BE$37,8,0)-VLOOKUP(B538,#REF!,$F$2,0),0)</f>
        <v>0</v>
      </c>
      <c r="G538" s="9">
        <f>IFERROR(VLOOKUP(B538,cubo!$A$6:$BE$37,11,0)-VLOOKUP(B538,#REF!,$G$2,0),0)</f>
        <v>0</v>
      </c>
      <c r="H538" s="9">
        <f>IFERROR(VLOOKUP(B538,cubo!$A$6:$BE$37,53,0)-VLOOKUP(B538,#REF!,$H$2,0),0)</f>
        <v>0</v>
      </c>
      <c r="I538" s="10">
        <f>IFERROR(VLOOKUP(B538,cubo!$A$6:$BE$37,14,0)-VLOOKUP(B538,#REF!,$I$2,0),0)</f>
        <v>0</v>
      </c>
      <c r="J538" s="9">
        <f>IFERROR(VLOOKUP(B538,cubo!$A$6:$BE$37,16,0)-VLOOKUP(B538,#REF!,$J$2,0),0)</f>
        <v>0</v>
      </c>
      <c r="K538" s="9">
        <f>IFERROR(VLOOKUP(B538,cubo!$A$6:$BE$37,17,0)-VLOOKUP(B538,#REF!,$K$2,0),0)</f>
        <v>0</v>
      </c>
      <c r="L538" s="9">
        <f>IFERROR(VLOOKUP(B538,cubo!$A$6:$BE$37,19,0)-VLOOKUP(B538,#REF!,$L$2,0),0)</f>
        <v>0</v>
      </c>
      <c r="M538" s="9">
        <f>IFERROR(VLOOKUP(B538,cubo!$A$6:$BE$37,23,0)-VLOOKUP(B538,#REF!,$M$2,0),0)</f>
        <v>0</v>
      </c>
      <c r="N538" s="9">
        <f>IFERROR(VLOOKUP(B538,cubo!$A$6:$BE$37,25,0)-VLOOKUP(B538,#REF!,$N$2,0),0)</f>
        <v>0</v>
      </c>
      <c r="O538" s="9">
        <f>IFERROR(VLOOKUP(B538,cubo!$A$6:$BE$37,33,0)-VLOOKUP(B538,#REF!,$O$2,0),0)</f>
        <v>0</v>
      </c>
      <c r="P538" s="8">
        <f>IFERROR(VLOOKUP(B538,cubo!$A$6:$BE$37,37,0)-VLOOKUP(B538,#REF!,$P$2,0),0)</f>
        <v>0</v>
      </c>
      <c r="Q538" s="8">
        <f>IFERROR(VLOOKUP(B538,cubo!$A$6:$BE$37,56,0)-VLOOKUP(B538,#REF!,$Q$2,0),0)</f>
        <v>0</v>
      </c>
      <c r="R538" s="9">
        <f>IFERROR(VLOOKUP(B538,cubo!$A$6:$BE$37,40,0)-VLOOKUP(B538,#REF!,$R$2,0),0)</f>
        <v>0</v>
      </c>
      <c r="S538" s="9">
        <f>IFERROR(VLOOKUP(B538,cubo!$A$6:$BE$37,43,0)-VLOOKUP(B538,#REF!,$S$2,0),0)</f>
        <v>0</v>
      </c>
      <c r="T538" s="9">
        <f>IFERROR(VLOOKUP(B538,cubo!$A$6:$BE$37,46,0)-VLOOKUP(B538,#REF!,$T$2,0),0)</f>
        <v>0</v>
      </c>
      <c r="U538" s="9">
        <f>IFERROR(VLOOKUP(B538,cubo!$A$6:$BE$37,51,0)-VLOOKUP(B538,#REF!,$U$2,0),0)</f>
        <v>0</v>
      </c>
      <c r="V538" s="9">
        <f>IFERROR(VLOOKUP(B538,cubo!$A$6:$BJ$37,60,0)-VLOOKUP(B538,#REF!,$V$2,0),0)</f>
        <v>0</v>
      </c>
      <c r="W538" s="9">
        <f>IFERROR(VLOOKUP(B538,cubo!$A$6:$BE$37,26,0)-VLOOKUP(B538,#REF!,$W$2,0),0)</f>
        <v>0</v>
      </c>
      <c r="X538" s="9">
        <f>IFERROR(VLOOKUP(B538,cubo!$A$6:$BE$37,20,0)-VLOOKUP(B538,#REF!,$X$2,0),0)</f>
        <v>0</v>
      </c>
      <c r="Y538" s="9">
        <f>IFERROR(VLOOKUP(B538,cubo!$A$6:$BE$37,21,0)-VLOOKUP(B538,#REF!,$Y$2,0),0)</f>
        <v>0</v>
      </c>
      <c r="Z538" s="9">
        <f>IFERROR(VLOOKUP(B538,cubo!$A$6:$BE$37,27,0)-VLOOKUP(B538,#REF!,$Z$2,0),0)</f>
        <v>0</v>
      </c>
      <c r="AA538" s="9">
        <f>IFERROR(VLOOKUP(B538,cubo!$A$6:$BE$37,28,0)-VLOOKUP(B538,#REF!,$AA$2,0),0)</f>
        <v>0</v>
      </c>
      <c r="AB538" s="9">
        <f>IFERROR(VLOOKUP(B538,cubo!$A$6:$BE$37,29,0)-VLOOKUP(B538,#REF!,$AB$2,0),0)</f>
        <v>0</v>
      </c>
      <c r="AC538" s="9">
        <f>IFERROR(VLOOKUP(B538,cubo!$A$6:$BE$37,30,0)-VLOOKUP(B538,#REF!,$AC$2,0),0)</f>
        <v>0</v>
      </c>
      <c r="AD538" s="9">
        <f>IFERROR(VLOOKUP(B538,cubo!$A$6:$BE$37,31,0)-VLOOKUP(B538,#REF!,$AD$2,0),0)</f>
        <v>0</v>
      </c>
      <c r="AE538" s="9">
        <f>IFERROR(VLOOKUP(B538,cubo!$A$6:$BE$37,35,0)-VLOOKUP(B538,#REF!,$AE$2,0),0)</f>
        <v>0</v>
      </c>
      <c r="AF538" s="9" cm="1">
        <f t="array" aca="1" ref="AF538" ca="1">IFERROR(rrPROCV(B538,cubo!$A$6:$BE$37,48,0)-VLOOKUP(B538,#REF!,$AF$2,0),0)</f>
        <v>0</v>
      </c>
      <c r="AG538" s="9">
        <f>IFERROR(VLOOKUP(B538,cubo!$A$6:$BE$37,49,0)-VLOOKUP(B538,#REF!,$AG$2,0),0)</f>
        <v>0</v>
      </c>
      <c r="AH538" s="9">
        <f>IFERROR(VLOOKUP(B538,cubo!$A$6:$BE$37,50,0)-VLOOKUP(B538,#REF!,$AH$2,0),0)</f>
        <v>0</v>
      </c>
      <c r="AI538" s="9">
        <f>IFERROR(VLOOKUP(B538,cubo!$A$6:$BE$37,51,0)-VLOOKUP(B538,#REF!,$AI$2,0),0)</f>
        <v>0</v>
      </c>
      <c r="AJ538" s="9">
        <f>IFERROR(VLOOKUP(B538,cubo!$A$6:$BI$116,62,0)-VLOOKUP(B538,#REF!,$AJ$2,0),0)</f>
        <v>0</v>
      </c>
      <c r="AK538" s="9">
        <f>IFERROR(VLOOKUP(B538,cubo!$A$6:$BJ$37,63,0)-VLOOKUP(B538,#REF!,$AK$2,0),0)</f>
        <v>0</v>
      </c>
      <c r="AL538" s="9">
        <f>IFERROR(VLOOKUP(B538,cubo!$A$6:$BE$37,58,0)-VLOOKUP(B538,#REF!,$AL$2,0),0)</f>
        <v>0</v>
      </c>
      <c r="AM538" s="9">
        <f>IFERROR(VLOOKUP(B538,cubo!$A$6:$BK$37,64,0)-VLOOKUP(B538,#REF!,$AM$2,0),0)</f>
        <v>0</v>
      </c>
      <c r="AN538" s="9">
        <f>IFERROR(VLOOKUP(B538,cubo!$A$6:$AN$37,41,0)-VLOOKUP(B538,#REF!,$AN$2,0),0)</f>
        <v>0</v>
      </c>
    </row>
    <row r="539" spans="2:40" x14ac:dyDescent="0.25">
      <c r="B539" s="7">
        <f>[1]salario!A538</f>
        <v>0</v>
      </c>
      <c r="C539" s="8">
        <f>[1]salario!C538</f>
        <v>0</v>
      </c>
      <c r="D539" s="9">
        <f>IFERROR(VLOOKUP(B539,cubo!$A$6:$BE$37,3,0)-VLOOKUP(B539,#REF!,$D$2,0),0)</f>
        <v>0</v>
      </c>
      <c r="E539" s="10">
        <f>IFERROR(VLOOKUP(B539,cubo!$A$6:$BE$37,5,0)-VLOOKUP(B539,#REF!,$E$2,0),0)</f>
        <v>0</v>
      </c>
      <c r="F539" s="10">
        <f>IFERROR(VLOOKUP(B539,cubo!$A$6:$BE$37,8,0)-VLOOKUP(B539,#REF!,$F$2,0),0)</f>
        <v>0</v>
      </c>
      <c r="G539" s="9">
        <f>IFERROR(VLOOKUP(B539,cubo!$A$6:$BE$37,11,0)-VLOOKUP(B539,#REF!,$G$2,0),0)</f>
        <v>0</v>
      </c>
      <c r="H539" s="9">
        <f>IFERROR(VLOOKUP(B539,cubo!$A$6:$BE$37,53,0)-VLOOKUP(B539,#REF!,$H$2,0),0)</f>
        <v>0</v>
      </c>
      <c r="I539" s="10">
        <f>IFERROR(VLOOKUP(B539,cubo!$A$6:$BE$37,14,0)-VLOOKUP(B539,#REF!,$I$2,0),0)</f>
        <v>0</v>
      </c>
      <c r="J539" s="9">
        <f>IFERROR(VLOOKUP(B539,cubo!$A$6:$BE$37,16,0)-VLOOKUP(B539,#REF!,$J$2,0),0)</f>
        <v>0</v>
      </c>
      <c r="K539" s="9">
        <f>IFERROR(VLOOKUP(B539,cubo!$A$6:$BE$37,17,0)-VLOOKUP(B539,#REF!,$K$2,0),0)</f>
        <v>0</v>
      </c>
      <c r="L539" s="9">
        <f>IFERROR(VLOOKUP(B539,cubo!$A$6:$BE$37,19,0)-VLOOKUP(B539,#REF!,$L$2,0),0)</f>
        <v>0</v>
      </c>
      <c r="M539" s="9">
        <f>IFERROR(VLOOKUP(B539,cubo!$A$6:$BE$37,23,0)-VLOOKUP(B539,#REF!,$M$2,0),0)</f>
        <v>0</v>
      </c>
      <c r="N539" s="9">
        <f>IFERROR(VLOOKUP(B539,cubo!$A$6:$BE$37,25,0)-VLOOKUP(B539,#REF!,$N$2,0),0)</f>
        <v>0</v>
      </c>
      <c r="O539" s="9">
        <f>IFERROR(VLOOKUP(B539,cubo!$A$6:$BE$37,33,0)-VLOOKUP(B539,#REF!,$O$2,0),0)</f>
        <v>0</v>
      </c>
      <c r="P539" s="8">
        <f>IFERROR(VLOOKUP(B539,cubo!$A$6:$BE$37,37,0)-VLOOKUP(B539,#REF!,$P$2,0),0)</f>
        <v>0</v>
      </c>
      <c r="Q539" s="8">
        <f>IFERROR(VLOOKUP(B539,cubo!$A$6:$BE$37,56,0)-VLOOKUP(B539,#REF!,$Q$2,0),0)</f>
        <v>0</v>
      </c>
      <c r="R539" s="9">
        <f>IFERROR(VLOOKUP(B539,cubo!$A$6:$BE$37,40,0)-VLOOKUP(B539,#REF!,$R$2,0),0)</f>
        <v>0</v>
      </c>
      <c r="S539" s="9">
        <f>IFERROR(VLOOKUP(B539,cubo!$A$6:$BE$37,43,0)-VLOOKUP(B539,#REF!,$S$2,0),0)</f>
        <v>0</v>
      </c>
      <c r="T539" s="9">
        <f>IFERROR(VLOOKUP(B539,cubo!$A$6:$BE$37,46,0)-VLOOKUP(B539,#REF!,$T$2,0),0)</f>
        <v>0</v>
      </c>
      <c r="U539" s="9">
        <f>IFERROR(VLOOKUP(B539,cubo!$A$6:$BE$37,51,0)-VLOOKUP(B539,#REF!,$U$2,0),0)</f>
        <v>0</v>
      </c>
      <c r="V539" s="9">
        <f>IFERROR(VLOOKUP(B539,cubo!$A$6:$BJ$37,60,0)-VLOOKUP(B539,#REF!,$V$2,0),0)</f>
        <v>0</v>
      </c>
      <c r="W539" s="9">
        <f>IFERROR(VLOOKUP(B539,cubo!$A$6:$BE$37,26,0)-VLOOKUP(B539,#REF!,$W$2,0),0)</f>
        <v>0</v>
      </c>
      <c r="X539" s="9">
        <f>IFERROR(VLOOKUP(B539,cubo!$A$6:$BE$37,20,0)-VLOOKUP(B539,#REF!,$X$2,0),0)</f>
        <v>0</v>
      </c>
      <c r="Y539" s="9">
        <f>IFERROR(VLOOKUP(B539,cubo!$A$6:$BE$37,21,0)-VLOOKUP(B539,#REF!,$Y$2,0),0)</f>
        <v>0</v>
      </c>
      <c r="Z539" s="9">
        <f>IFERROR(VLOOKUP(B539,cubo!$A$6:$BE$37,27,0)-VLOOKUP(B539,#REF!,$Z$2,0),0)</f>
        <v>0</v>
      </c>
      <c r="AA539" s="9">
        <f>IFERROR(VLOOKUP(B539,cubo!$A$6:$BE$37,28,0)-VLOOKUP(B539,#REF!,$AA$2,0),0)</f>
        <v>0</v>
      </c>
      <c r="AB539" s="9">
        <f>IFERROR(VLOOKUP(B539,cubo!$A$6:$BE$37,29,0)-VLOOKUP(B539,#REF!,$AB$2,0),0)</f>
        <v>0</v>
      </c>
      <c r="AC539" s="9">
        <f>IFERROR(VLOOKUP(B539,cubo!$A$6:$BE$37,30,0)-VLOOKUP(B539,#REF!,$AC$2,0),0)</f>
        <v>0</v>
      </c>
      <c r="AD539" s="9">
        <f>IFERROR(VLOOKUP(B539,cubo!$A$6:$BE$37,31,0)-VLOOKUP(B539,#REF!,$AD$2,0),0)</f>
        <v>0</v>
      </c>
      <c r="AE539" s="9">
        <f>IFERROR(VLOOKUP(B539,cubo!$A$6:$BE$37,35,0)-VLOOKUP(B539,#REF!,$AE$2,0),0)</f>
        <v>0</v>
      </c>
      <c r="AF539" s="9" cm="1">
        <f t="array" aca="1" ref="AF539" ca="1">IFERROR(rrPROCV(B539,cubo!$A$6:$BE$37,48,0)-VLOOKUP(B539,#REF!,$AF$2,0),0)</f>
        <v>0</v>
      </c>
      <c r="AG539" s="9">
        <f>IFERROR(VLOOKUP(B539,cubo!$A$6:$BE$37,49,0)-VLOOKUP(B539,#REF!,$AG$2,0),0)</f>
        <v>0</v>
      </c>
      <c r="AH539" s="9">
        <f>IFERROR(VLOOKUP(B539,cubo!$A$6:$BE$37,50,0)-VLOOKUP(B539,#REF!,$AH$2,0),0)</f>
        <v>0</v>
      </c>
      <c r="AI539" s="9">
        <f>IFERROR(VLOOKUP(B539,cubo!$A$6:$BE$37,51,0)-VLOOKUP(B539,#REF!,$AI$2,0),0)</f>
        <v>0</v>
      </c>
      <c r="AJ539" s="9">
        <f>IFERROR(VLOOKUP(B539,cubo!$A$6:$BI$116,62,0)-VLOOKUP(B539,#REF!,$AJ$2,0),0)</f>
        <v>0</v>
      </c>
      <c r="AK539" s="9">
        <f>IFERROR(VLOOKUP(B539,cubo!$A$6:$BJ$37,63,0)-VLOOKUP(B539,#REF!,$AK$2,0),0)</f>
        <v>0</v>
      </c>
      <c r="AL539" s="9">
        <f>IFERROR(VLOOKUP(B539,cubo!$A$6:$BE$37,58,0)-VLOOKUP(B539,#REF!,$AL$2,0),0)</f>
        <v>0</v>
      </c>
      <c r="AM539" s="9">
        <f>IFERROR(VLOOKUP(B539,cubo!$A$6:$BK$37,64,0)-VLOOKUP(B539,#REF!,$AM$2,0),0)</f>
        <v>0</v>
      </c>
      <c r="AN539" s="9">
        <f>IFERROR(VLOOKUP(B539,cubo!$A$6:$AN$37,41,0)-VLOOKUP(B539,#REF!,$AN$2,0),0)</f>
        <v>0</v>
      </c>
    </row>
    <row r="540" spans="2:40" x14ac:dyDescent="0.25">
      <c r="B540" s="7">
        <f>[1]salario!A539</f>
        <v>0</v>
      </c>
      <c r="C540" s="8">
        <f>[1]salario!C539</f>
        <v>0</v>
      </c>
      <c r="D540" s="9">
        <f>IFERROR(VLOOKUP(B540,cubo!$A$6:$BE$37,3,0)-VLOOKUP(B540,#REF!,$D$2,0),0)</f>
        <v>0</v>
      </c>
      <c r="E540" s="10">
        <f>IFERROR(VLOOKUP(B540,cubo!$A$6:$BE$37,5,0)-VLOOKUP(B540,#REF!,$E$2,0),0)</f>
        <v>0</v>
      </c>
      <c r="F540" s="10">
        <f>IFERROR(VLOOKUP(B540,cubo!$A$6:$BE$37,8,0)-VLOOKUP(B540,#REF!,$F$2,0),0)</f>
        <v>0</v>
      </c>
      <c r="G540" s="9">
        <f>IFERROR(VLOOKUP(B540,cubo!$A$6:$BE$37,11,0)-VLOOKUP(B540,#REF!,$G$2,0),0)</f>
        <v>0</v>
      </c>
      <c r="H540" s="9">
        <f>IFERROR(VLOOKUP(B540,cubo!$A$6:$BE$37,53,0)-VLOOKUP(B540,#REF!,$H$2,0),0)</f>
        <v>0</v>
      </c>
      <c r="I540" s="10">
        <f>IFERROR(VLOOKUP(B540,cubo!$A$6:$BE$37,14,0)-VLOOKUP(B540,#REF!,$I$2,0),0)</f>
        <v>0</v>
      </c>
      <c r="J540" s="9">
        <f>IFERROR(VLOOKUP(B540,cubo!$A$6:$BE$37,16,0)-VLOOKUP(B540,#REF!,$J$2,0),0)</f>
        <v>0</v>
      </c>
      <c r="K540" s="9">
        <f>IFERROR(VLOOKUP(B540,cubo!$A$6:$BE$37,17,0)-VLOOKUP(B540,#REF!,$K$2,0),0)</f>
        <v>0</v>
      </c>
      <c r="L540" s="9">
        <f>IFERROR(VLOOKUP(B540,cubo!$A$6:$BE$37,19,0)-VLOOKUP(B540,#REF!,$L$2,0),0)</f>
        <v>0</v>
      </c>
      <c r="M540" s="9">
        <f>IFERROR(VLOOKUP(B540,cubo!$A$6:$BE$37,23,0)-VLOOKUP(B540,#REF!,$M$2,0),0)</f>
        <v>0</v>
      </c>
      <c r="N540" s="9">
        <f>IFERROR(VLOOKUP(B540,cubo!$A$6:$BE$37,25,0)-VLOOKUP(B540,#REF!,$N$2,0),0)</f>
        <v>0</v>
      </c>
      <c r="O540" s="9">
        <f>IFERROR(VLOOKUP(B540,cubo!$A$6:$BE$37,33,0)-VLOOKUP(B540,#REF!,$O$2,0),0)</f>
        <v>0</v>
      </c>
      <c r="P540" s="8">
        <f>IFERROR(VLOOKUP(B540,cubo!$A$6:$BE$37,37,0)-VLOOKUP(B540,#REF!,$P$2,0),0)</f>
        <v>0</v>
      </c>
      <c r="Q540" s="8">
        <f>IFERROR(VLOOKUP(B540,cubo!$A$6:$BE$37,56,0)-VLOOKUP(B540,#REF!,$Q$2,0),0)</f>
        <v>0</v>
      </c>
      <c r="R540" s="9">
        <f>IFERROR(VLOOKUP(B540,cubo!$A$6:$BE$37,40,0)-VLOOKUP(B540,#REF!,$R$2,0),0)</f>
        <v>0</v>
      </c>
      <c r="S540" s="9">
        <f>IFERROR(VLOOKUP(B540,cubo!$A$6:$BE$37,43,0)-VLOOKUP(B540,#REF!,$S$2,0),0)</f>
        <v>0</v>
      </c>
      <c r="T540" s="9">
        <f>IFERROR(VLOOKUP(B540,cubo!$A$6:$BE$37,46,0)-VLOOKUP(B540,#REF!,$T$2,0),0)</f>
        <v>0</v>
      </c>
      <c r="U540" s="9">
        <f>IFERROR(VLOOKUP(B540,cubo!$A$6:$BE$37,51,0)-VLOOKUP(B540,#REF!,$U$2,0),0)</f>
        <v>0</v>
      </c>
      <c r="V540" s="9">
        <f>IFERROR(VLOOKUP(B540,cubo!$A$6:$BJ$37,60,0)-VLOOKUP(B540,#REF!,$V$2,0),0)</f>
        <v>0</v>
      </c>
      <c r="W540" s="9">
        <f>IFERROR(VLOOKUP(B540,cubo!$A$6:$BE$37,26,0)-VLOOKUP(B540,#REF!,$W$2,0),0)</f>
        <v>0</v>
      </c>
      <c r="X540" s="9">
        <f>IFERROR(VLOOKUP(B540,cubo!$A$6:$BE$37,20,0)-VLOOKUP(B540,#REF!,$X$2,0),0)</f>
        <v>0</v>
      </c>
      <c r="Y540" s="9">
        <f>IFERROR(VLOOKUP(B540,cubo!$A$6:$BE$37,21,0)-VLOOKUP(B540,#REF!,$Y$2,0),0)</f>
        <v>0</v>
      </c>
      <c r="Z540" s="9">
        <f>IFERROR(VLOOKUP(B540,cubo!$A$6:$BE$37,27,0)-VLOOKUP(B540,#REF!,$Z$2,0),0)</f>
        <v>0</v>
      </c>
      <c r="AA540" s="9">
        <f>IFERROR(VLOOKUP(B540,cubo!$A$6:$BE$37,28,0)-VLOOKUP(B540,#REF!,$AA$2,0),0)</f>
        <v>0</v>
      </c>
      <c r="AB540" s="9">
        <f>IFERROR(VLOOKUP(B540,cubo!$A$6:$BE$37,29,0)-VLOOKUP(B540,#REF!,$AB$2,0),0)</f>
        <v>0</v>
      </c>
      <c r="AC540" s="9">
        <f>IFERROR(VLOOKUP(B540,cubo!$A$6:$BE$37,30,0)-VLOOKUP(B540,#REF!,$AC$2,0),0)</f>
        <v>0</v>
      </c>
      <c r="AD540" s="9">
        <f>IFERROR(VLOOKUP(B540,cubo!$A$6:$BE$37,31,0)-VLOOKUP(B540,#REF!,$AD$2,0),0)</f>
        <v>0</v>
      </c>
      <c r="AE540" s="9">
        <f>IFERROR(VLOOKUP(B540,cubo!$A$6:$BE$37,35,0)-VLOOKUP(B540,#REF!,$AE$2,0),0)</f>
        <v>0</v>
      </c>
      <c r="AF540" s="9" cm="1">
        <f t="array" aca="1" ref="AF540" ca="1">IFERROR(rrPROCV(B540,cubo!$A$6:$BE$37,48,0)-VLOOKUP(B540,#REF!,$AF$2,0),0)</f>
        <v>0</v>
      </c>
      <c r="AG540" s="9">
        <f>IFERROR(VLOOKUP(B540,cubo!$A$6:$BE$37,49,0)-VLOOKUP(B540,#REF!,$AG$2,0),0)</f>
        <v>0</v>
      </c>
      <c r="AH540" s="9">
        <f>IFERROR(VLOOKUP(B540,cubo!$A$6:$BE$37,50,0)-VLOOKUP(B540,#REF!,$AH$2,0),0)</f>
        <v>0</v>
      </c>
      <c r="AI540" s="9">
        <f>IFERROR(VLOOKUP(B540,cubo!$A$6:$BE$37,51,0)-VLOOKUP(B540,#REF!,$AI$2,0),0)</f>
        <v>0</v>
      </c>
      <c r="AJ540" s="9">
        <f>IFERROR(VLOOKUP(B540,cubo!$A$6:$BI$116,62,0)-VLOOKUP(B540,#REF!,$AJ$2,0),0)</f>
        <v>0</v>
      </c>
      <c r="AK540" s="9">
        <f>IFERROR(VLOOKUP(B540,cubo!$A$6:$BJ$37,63,0)-VLOOKUP(B540,#REF!,$AK$2,0),0)</f>
        <v>0</v>
      </c>
      <c r="AL540" s="9">
        <f>IFERROR(VLOOKUP(B540,cubo!$A$6:$BE$37,58,0)-VLOOKUP(B540,#REF!,$AL$2,0),0)</f>
        <v>0</v>
      </c>
      <c r="AM540" s="9">
        <f>IFERROR(VLOOKUP(B540,cubo!$A$6:$BK$37,64,0)-VLOOKUP(B540,#REF!,$AM$2,0),0)</f>
        <v>0</v>
      </c>
      <c r="AN540" s="9">
        <f>IFERROR(VLOOKUP(B540,cubo!$A$6:$AN$37,41,0)-VLOOKUP(B540,#REF!,$AN$2,0),0)</f>
        <v>0</v>
      </c>
    </row>
    <row r="541" spans="2:40" x14ac:dyDescent="0.25">
      <c r="B541" s="7">
        <f>[1]salario!A540</f>
        <v>0</v>
      </c>
      <c r="C541" s="8">
        <f>[1]salario!C540</f>
        <v>0</v>
      </c>
      <c r="D541" s="9">
        <f>IFERROR(VLOOKUP(B541,cubo!$A$6:$BE$37,3,0)-VLOOKUP(B541,#REF!,$D$2,0),0)</f>
        <v>0</v>
      </c>
      <c r="E541" s="10">
        <f>IFERROR(VLOOKUP(B541,cubo!$A$6:$BE$37,5,0)-VLOOKUP(B541,#REF!,$E$2,0),0)</f>
        <v>0</v>
      </c>
      <c r="F541" s="10">
        <f>IFERROR(VLOOKUP(B541,cubo!$A$6:$BE$37,8,0)-VLOOKUP(B541,#REF!,$F$2,0),0)</f>
        <v>0</v>
      </c>
      <c r="G541" s="9">
        <f>IFERROR(VLOOKUP(B541,cubo!$A$6:$BE$37,11,0)-VLOOKUP(B541,#REF!,$G$2,0),0)</f>
        <v>0</v>
      </c>
      <c r="H541" s="9">
        <f>IFERROR(VLOOKUP(B541,cubo!$A$6:$BE$37,53,0)-VLOOKUP(B541,#REF!,$H$2,0),0)</f>
        <v>0</v>
      </c>
      <c r="I541" s="10">
        <f>IFERROR(VLOOKUP(B541,cubo!$A$6:$BE$37,14,0)-VLOOKUP(B541,#REF!,$I$2,0),0)</f>
        <v>0</v>
      </c>
      <c r="J541" s="9">
        <f>IFERROR(VLOOKUP(B541,cubo!$A$6:$BE$37,16,0)-VLOOKUP(B541,#REF!,$J$2,0),0)</f>
        <v>0</v>
      </c>
      <c r="K541" s="9">
        <f>IFERROR(VLOOKUP(B541,cubo!$A$6:$BE$37,17,0)-VLOOKUP(B541,#REF!,$K$2,0),0)</f>
        <v>0</v>
      </c>
      <c r="L541" s="9">
        <f>IFERROR(VLOOKUP(B541,cubo!$A$6:$BE$37,19,0)-VLOOKUP(B541,#REF!,$L$2,0),0)</f>
        <v>0</v>
      </c>
      <c r="M541" s="9">
        <f>IFERROR(VLOOKUP(B541,cubo!$A$6:$BE$37,23,0)-VLOOKUP(B541,#REF!,$M$2,0),0)</f>
        <v>0</v>
      </c>
      <c r="N541" s="9">
        <f>IFERROR(VLOOKUP(B541,cubo!$A$6:$BE$37,25,0)-VLOOKUP(B541,#REF!,$N$2,0),0)</f>
        <v>0</v>
      </c>
      <c r="O541" s="9">
        <f>IFERROR(VLOOKUP(B541,cubo!$A$6:$BE$37,33,0)-VLOOKUP(B541,#REF!,$O$2,0),0)</f>
        <v>0</v>
      </c>
      <c r="P541" s="8">
        <f>IFERROR(VLOOKUP(B541,cubo!$A$6:$BE$37,37,0)-VLOOKUP(B541,#REF!,$P$2,0),0)</f>
        <v>0</v>
      </c>
      <c r="Q541" s="8">
        <f>IFERROR(VLOOKUP(B541,cubo!$A$6:$BE$37,56,0)-VLOOKUP(B541,#REF!,$Q$2,0),0)</f>
        <v>0</v>
      </c>
      <c r="R541" s="9">
        <f>IFERROR(VLOOKUP(B541,cubo!$A$6:$BE$37,40,0)-VLOOKUP(B541,#REF!,$R$2,0),0)</f>
        <v>0</v>
      </c>
      <c r="S541" s="9">
        <f>IFERROR(VLOOKUP(B541,cubo!$A$6:$BE$37,43,0)-VLOOKUP(B541,#REF!,$S$2,0),0)</f>
        <v>0</v>
      </c>
      <c r="T541" s="9">
        <f>IFERROR(VLOOKUP(B541,cubo!$A$6:$BE$37,46,0)-VLOOKUP(B541,#REF!,$T$2,0),0)</f>
        <v>0</v>
      </c>
      <c r="U541" s="9">
        <f>IFERROR(VLOOKUP(B541,cubo!$A$6:$BE$37,51,0)-VLOOKUP(B541,#REF!,$U$2,0),0)</f>
        <v>0</v>
      </c>
      <c r="V541" s="9">
        <f>IFERROR(VLOOKUP(B541,cubo!$A$6:$BJ$37,60,0)-VLOOKUP(B541,#REF!,$V$2,0),0)</f>
        <v>0</v>
      </c>
      <c r="W541" s="9">
        <f>IFERROR(VLOOKUP(B541,cubo!$A$6:$BE$37,26,0)-VLOOKUP(B541,#REF!,$W$2,0),0)</f>
        <v>0</v>
      </c>
      <c r="X541" s="9">
        <f>IFERROR(VLOOKUP(B541,cubo!$A$6:$BE$37,20,0)-VLOOKUP(B541,#REF!,$X$2,0),0)</f>
        <v>0</v>
      </c>
      <c r="Y541" s="9">
        <f>IFERROR(VLOOKUP(B541,cubo!$A$6:$BE$37,21,0)-VLOOKUP(B541,#REF!,$Y$2,0),0)</f>
        <v>0</v>
      </c>
      <c r="Z541" s="9">
        <f>IFERROR(VLOOKUP(B541,cubo!$A$6:$BE$37,27,0)-VLOOKUP(B541,#REF!,$Z$2,0),0)</f>
        <v>0</v>
      </c>
      <c r="AA541" s="9">
        <f>IFERROR(VLOOKUP(B541,cubo!$A$6:$BE$37,28,0)-VLOOKUP(B541,#REF!,$AA$2,0),0)</f>
        <v>0</v>
      </c>
      <c r="AB541" s="9">
        <f>IFERROR(VLOOKUP(B541,cubo!$A$6:$BE$37,29,0)-VLOOKUP(B541,#REF!,$AB$2,0),0)</f>
        <v>0</v>
      </c>
      <c r="AC541" s="9">
        <f>IFERROR(VLOOKUP(B541,cubo!$A$6:$BE$37,30,0)-VLOOKUP(B541,#REF!,$AC$2,0),0)</f>
        <v>0</v>
      </c>
      <c r="AD541" s="9">
        <f>IFERROR(VLOOKUP(B541,cubo!$A$6:$BE$37,31,0)-VLOOKUP(B541,#REF!,$AD$2,0),0)</f>
        <v>0</v>
      </c>
      <c r="AE541" s="9">
        <f>IFERROR(VLOOKUP(B541,cubo!$A$6:$BE$37,35,0)-VLOOKUP(B541,#REF!,$AE$2,0),0)</f>
        <v>0</v>
      </c>
      <c r="AF541" s="9" cm="1">
        <f t="array" aca="1" ref="AF541" ca="1">IFERROR(rrPROCV(B541,cubo!$A$6:$BE$37,48,0)-VLOOKUP(B541,#REF!,$AF$2,0),0)</f>
        <v>0</v>
      </c>
      <c r="AG541" s="9">
        <f>IFERROR(VLOOKUP(B541,cubo!$A$6:$BE$37,49,0)-VLOOKUP(B541,#REF!,$AG$2,0),0)</f>
        <v>0</v>
      </c>
      <c r="AH541" s="9">
        <f>IFERROR(VLOOKUP(B541,cubo!$A$6:$BE$37,50,0)-VLOOKUP(B541,#REF!,$AH$2,0),0)</f>
        <v>0</v>
      </c>
      <c r="AI541" s="9">
        <f>IFERROR(VLOOKUP(B541,cubo!$A$6:$BE$37,51,0)-VLOOKUP(B541,#REF!,$AI$2,0),0)</f>
        <v>0</v>
      </c>
      <c r="AJ541" s="9">
        <f>IFERROR(VLOOKUP(B541,cubo!$A$6:$BI$116,62,0)-VLOOKUP(B541,#REF!,$AJ$2,0),0)</f>
        <v>0</v>
      </c>
      <c r="AK541" s="9">
        <f>IFERROR(VLOOKUP(B541,cubo!$A$6:$BJ$37,63,0)-VLOOKUP(B541,#REF!,$AK$2,0),0)</f>
        <v>0</v>
      </c>
      <c r="AL541" s="9">
        <f>IFERROR(VLOOKUP(B541,cubo!$A$6:$BE$37,58,0)-VLOOKUP(B541,#REF!,$AL$2,0),0)</f>
        <v>0</v>
      </c>
      <c r="AM541" s="9">
        <f>IFERROR(VLOOKUP(B541,cubo!$A$6:$BK$37,64,0)-VLOOKUP(B541,#REF!,$AM$2,0),0)</f>
        <v>0</v>
      </c>
      <c r="AN541" s="9">
        <f>IFERROR(VLOOKUP(B541,cubo!$A$6:$AN$37,41,0)-VLOOKUP(B541,#REF!,$AN$2,0),0)</f>
        <v>0</v>
      </c>
    </row>
    <row r="542" spans="2:40" x14ac:dyDescent="0.25">
      <c r="B542" s="7">
        <f>[1]salario!A541</f>
        <v>0</v>
      </c>
      <c r="C542" s="8">
        <f>[1]salario!C541</f>
        <v>0</v>
      </c>
      <c r="D542" s="9">
        <f>IFERROR(VLOOKUP(B542,cubo!$A$6:$BE$37,3,0)-VLOOKUP(B542,#REF!,$D$2,0),0)</f>
        <v>0</v>
      </c>
      <c r="E542" s="10">
        <f>IFERROR(VLOOKUP(B542,cubo!$A$6:$BE$37,5,0)-VLOOKUP(B542,#REF!,$E$2,0),0)</f>
        <v>0</v>
      </c>
      <c r="F542" s="10">
        <f>IFERROR(VLOOKUP(B542,cubo!$A$6:$BE$37,8,0)-VLOOKUP(B542,#REF!,$F$2,0),0)</f>
        <v>0</v>
      </c>
      <c r="G542" s="9">
        <f>IFERROR(VLOOKUP(B542,cubo!$A$6:$BE$37,11,0)-VLOOKUP(B542,#REF!,$G$2,0),0)</f>
        <v>0</v>
      </c>
      <c r="H542" s="9">
        <f>IFERROR(VLOOKUP(B542,cubo!$A$6:$BE$37,53,0)-VLOOKUP(B542,#REF!,$H$2,0),0)</f>
        <v>0</v>
      </c>
      <c r="I542" s="10">
        <f>IFERROR(VLOOKUP(B542,cubo!$A$6:$BE$37,14,0)-VLOOKUP(B542,#REF!,$I$2,0),0)</f>
        <v>0</v>
      </c>
      <c r="J542" s="9">
        <f>IFERROR(VLOOKUP(B542,cubo!$A$6:$BE$37,16,0)-VLOOKUP(B542,#REF!,$J$2,0),0)</f>
        <v>0</v>
      </c>
      <c r="K542" s="9">
        <f>IFERROR(VLOOKUP(B542,cubo!$A$6:$BE$37,17,0)-VLOOKUP(B542,#REF!,$K$2,0),0)</f>
        <v>0</v>
      </c>
      <c r="L542" s="9">
        <f>IFERROR(VLOOKUP(B542,cubo!$A$6:$BE$37,19,0)-VLOOKUP(B542,#REF!,$L$2,0),0)</f>
        <v>0</v>
      </c>
      <c r="M542" s="9">
        <f>IFERROR(VLOOKUP(B542,cubo!$A$6:$BE$37,23,0)-VLOOKUP(B542,#REF!,$M$2,0),0)</f>
        <v>0</v>
      </c>
      <c r="N542" s="9">
        <f>IFERROR(VLOOKUP(B542,cubo!$A$6:$BE$37,25,0)-VLOOKUP(B542,#REF!,$N$2,0),0)</f>
        <v>0</v>
      </c>
      <c r="O542" s="9">
        <f>IFERROR(VLOOKUP(B542,cubo!$A$6:$BE$37,33,0)-VLOOKUP(B542,#REF!,$O$2,0),0)</f>
        <v>0</v>
      </c>
      <c r="P542" s="8">
        <f>IFERROR(VLOOKUP(B542,cubo!$A$6:$BE$37,37,0)-VLOOKUP(B542,#REF!,$P$2,0),0)</f>
        <v>0</v>
      </c>
      <c r="Q542" s="8">
        <f>IFERROR(VLOOKUP(B542,cubo!$A$6:$BE$37,56,0)-VLOOKUP(B542,#REF!,$Q$2,0),0)</f>
        <v>0</v>
      </c>
      <c r="R542" s="9">
        <f>IFERROR(VLOOKUP(B542,cubo!$A$6:$BE$37,40,0)-VLOOKUP(B542,#REF!,$R$2,0),0)</f>
        <v>0</v>
      </c>
      <c r="S542" s="9">
        <f>IFERROR(VLOOKUP(B542,cubo!$A$6:$BE$37,43,0)-VLOOKUP(B542,#REF!,$S$2,0),0)</f>
        <v>0</v>
      </c>
      <c r="T542" s="9">
        <f>IFERROR(VLOOKUP(B542,cubo!$A$6:$BE$37,46,0)-VLOOKUP(B542,#REF!,$T$2,0),0)</f>
        <v>0</v>
      </c>
      <c r="U542" s="9">
        <f>IFERROR(VLOOKUP(B542,cubo!$A$6:$BE$37,51,0)-VLOOKUP(B542,#REF!,$U$2,0),0)</f>
        <v>0</v>
      </c>
      <c r="V542" s="9">
        <f>IFERROR(VLOOKUP(B542,cubo!$A$6:$BJ$37,60,0)-VLOOKUP(B542,#REF!,$V$2,0),0)</f>
        <v>0</v>
      </c>
      <c r="W542" s="9">
        <f>IFERROR(VLOOKUP(B542,cubo!$A$6:$BE$37,26,0)-VLOOKUP(B542,#REF!,$W$2,0),0)</f>
        <v>0</v>
      </c>
      <c r="X542" s="9">
        <f>IFERROR(VLOOKUP(B542,cubo!$A$6:$BE$37,20,0)-VLOOKUP(B542,#REF!,$X$2,0),0)</f>
        <v>0</v>
      </c>
      <c r="Y542" s="9">
        <f>IFERROR(VLOOKUP(B542,cubo!$A$6:$BE$37,21,0)-VLOOKUP(B542,#REF!,$Y$2,0),0)</f>
        <v>0</v>
      </c>
      <c r="Z542" s="9">
        <f>IFERROR(VLOOKUP(B542,cubo!$A$6:$BE$37,27,0)-VLOOKUP(B542,#REF!,$Z$2,0),0)</f>
        <v>0</v>
      </c>
      <c r="AA542" s="9">
        <f>IFERROR(VLOOKUP(B542,cubo!$A$6:$BE$37,28,0)-VLOOKUP(B542,#REF!,$AA$2,0),0)</f>
        <v>0</v>
      </c>
      <c r="AB542" s="9">
        <f>IFERROR(VLOOKUP(B542,cubo!$A$6:$BE$37,29,0)-VLOOKUP(B542,#REF!,$AB$2,0),0)</f>
        <v>0</v>
      </c>
      <c r="AC542" s="9">
        <f>IFERROR(VLOOKUP(B542,cubo!$A$6:$BE$37,30,0)-VLOOKUP(B542,#REF!,$AC$2,0),0)</f>
        <v>0</v>
      </c>
      <c r="AD542" s="9">
        <f>IFERROR(VLOOKUP(B542,cubo!$A$6:$BE$37,31,0)-VLOOKUP(B542,#REF!,$AD$2,0),0)</f>
        <v>0</v>
      </c>
      <c r="AE542" s="9">
        <f>IFERROR(VLOOKUP(B542,cubo!$A$6:$BE$37,35,0)-VLOOKUP(B542,#REF!,$AE$2,0),0)</f>
        <v>0</v>
      </c>
      <c r="AF542" s="9" cm="1">
        <f t="array" aca="1" ref="AF542" ca="1">IFERROR(rrPROCV(B542,cubo!$A$6:$BE$37,48,0)-VLOOKUP(B542,#REF!,$AF$2,0),0)</f>
        <v>0</v>
      </c>
      <c r="AG542" s="9">
        <f>IFERROR(VLOOKUP(B542,cubo!$A$6:$BE$37,49,0)-VLOOKUP(B542,#REF!,$AG$2,0),0)</f>
        <v>0</v>
      </c>
      <c r="AH542" s="9">
        <f>IFERROR(VLOOKUP(B542,cubo!$A$6:$BE$37,50,0)-VLOOKUP(B542,#REF!,$AH$2,0),0)</f>
        <v>0</v>
      </c>
      <c r="AI542" s="9">
        <f>IFERROR(VLOOKUP(B542,cubo!$A$6:$BE$37,51,0)-VLOOKUP(B542,#REF!,$AI$2,0),0)</f>
        <v>0</v>
      </c>
      <c r="AJ542" s="9">
        <f>IFERROR(VLOOKUP(B542,cubo!$A$6:$BI$116,62,0)-VLOOKUP(B542,#REF!,$AJ$2,0),0)</f>
        <v>0</v>
      </c>
      <c r="AK542" s="9">
        <f>IFERROR(VLOOKUP(B542,cubo!$A$6:$BJ$37,63,0)-VLOOKUP(B542,#REF!,$AK$2,0),0)</f>
        <v>0</v>
      </c>
      <c r="AL542" s="9">
        <f>IFERROR(VLOOKUP(B542,cubo!$A$6:$BE$37,58,0)-VLOOKUP(B542,#REF!,$AL$2,0),0)</f>
        <v>0</v>
      </c>
      <c r="AM542" s="9">
        <f>IFERROR(VLOOKUP(B542,cubo!$A$6:$BK$37,64,0)-VLOOKUP(B542,#REF!,$AM$2,0),0)</f>
        <v>0</v>
      </c>
      <c r="AN542" s="9">
        <f>IFERROR(VLOOKUP(B542,cubo!$A$6:$AN$37,41,0)-VLOOKUP(B542,#REF!,$AN$2,0),0)</f>
        <v>0</v>
      </c>
    </row>
    <row r="543" spans="2:40" x14ac:dyDescent="0.25">
      <c r="B543" s="7">
        <f>[1]salario!A542</f>
        <v>0</v>
      </c>
      <c r="C543" s="8">
        <f>[1]salario!C542</f>
        <v>0</v>
      </c>
      <c r="D543" s="9">
        <f>IFERROR(VLOOKUP(B543,cubo!$A$6:$BE$37,3,0)-VLOOKUP(B543,#REF!,$D$2,0),0)</f>
        <v>0</v>
      </c>
      <c r="E543" s="10">
        <f>IFERROR(VLOOKUP(B543,cubo!$A$6:$BE$37,5,0)-VLOOKUP(B543,#REF!,$E$2,0),0)</f>
        <v>0</v>
      </c>
      <c r="F543" s="10">
        <f>IFERROR(VLOOKUP(B543,cubo!$A$6:$BE$37,8,0)-VLOOKUP(B543,#REF!,$F$2,0),0)</f>
        <v>0</v>
      </c>
      <c r="G543" s="9">
        <f>IFERROR(VLOOKUP(B543,cubo!$A$6:$BE$37,11,0)-VLOOKUP(B543,#REF!,$G$2,0),0)</f>
        <v>0</v>
      </c>
      <c r="H543" s="9">
        <f>IFERROR(VLOOKUP(B543,cubo!$A$6:$BE$37,53,0)-VLOOKUP(B543,#REF!,$H$2,0),0)</f>
        <v>0</v>
      </c>
      <c r="I543" s="10">
        <f>IFERROR(VLOOKUP(B543,cubo!$A$6:$BE$37,14,0)-VLOOKUP(B543,#REF!,$I$2,0),0)</f>
        <v>0</v>
      </c>
      <c r="J543" s="9">
        <f>IFERROR(VLOOKUP(B543,cubo!$A$6:$BE$37,16,0)-VLOOKUP(B543,#REF!,$J$2,0),0)</f>
        <v>0</v>
      </c>
      <c r="K543" s="9">
        <f>IFERROR(VLOOKUP(B543,cubo!$A$6:$BE$37,17,0)-VLOOKUP(B543,#REF!,$K$2,0),0)</f>
        <v>0</v>
      </c>
      <c r="L543" s="9">
        <f>IFERROR(VLOOKUP(B543,cubo!$A$6:$BE$37,19,0)-VLOOKUP(B543,#REF!,$L$2,0),0)</f>
        <v>0</v>
      </c>
      <c r="M543" s="9">
        <f>IFERROR(VLOOKUP(B543,cubo!$A$6:$BE$37,23,0)-VLOOKUP(B543,#REF!,$M$2,0),0)</f>
        <v>0</v>
      </c>
      <c r="N543" s="9">
        <f>IFERROR(VLOOKUP(B543,cubo!$A$6:$BE$37,25,0)-VLOOKUP(B543,#REF!,$N$2,0),0)</f>
        <v>0</v>
      </c>
      <c r="O543" s="9">
        <f>IFERROR(VLOOKUP(B543,cubo!$A$6:$BE$37,33,0)-VLOOKUP(B543,#REF!,$O$2,0),0)</f>
        <v>0</v>
      </c>
      <c r="P543" s="8">
        <f>IFERROR(VLOOKUP(B543,cubo!$A$6:$BE$37,37,0)-VLOOKUP(B543,#REF!,$P$2,0),0)</f>
        <v>0</v>
      </c>
      <c r="Q543" s="8">
        <f>IFERROR(VLOOKUP(B543,cubo!$A$6:$BE$37,56,0)-VLOOKUP(B543,#REF!,$Q$2,0),0)</f>
        <v>0</v>
      </c>
      <c r="R543" s="9">
        <f>IFERROR(VLOOKUP(B543,cubo!$A$6:$BE$37,40,0)-VLOOKUP(B543,#REF!,$R$2,0),0)</f>
        <v>0</v>
      </c>
      <c r="S543" s="9">
        <f>IFERROR(VLOOKUP(B543,cubo!$A$6:$BE$37,43,0)-VLOOKUP(B543,#REF!,$S$2,0),0)</f>
        <v>0</v>
      </c>
      <c r="T543" s="9">
        <f>IFERROR(VLOOKUP(B543,cubo!$A$6:$BE$37,46,0)-VLOOKUP(B543,#REF!,$T$2,0),0)</f>
        <v>0</v>
      </c>
      <c r="U543" s="9">
        <f>IFERROR(VLOOKUP(B543,cubo!$A$6:$BE$37,51,0)-VLOOKUP(B543,#REF!,$U$2,0),0)</f>
        <v>0</v>
      </c>
      <c r="V543" s="9">
        <f>IFERROR(VLOOKUP(B543,cubo!$A$6:$BJ$37,60,0)-VLOOKUP(B543,#REF!,$V$2,0),0)</f>
        <v>0</v>
      </c>
      <c r="W543" s="9">
        <f>IFERROR(VLOOKUP(B543,cubo!$A$6:$BE$37,26,0)-VLOOKUP(B543,#REF!,$W$2,0),0)</f>
        <v>0</v>
      </c>
      <c r="X543" s="9">
        <f>IFERROR(VLOOKUP(B543,cubo!$A$6:$BE$37,20,0)-VLOOKUP(B543,#REF!,$X$2,0),0)</f>
        <v>0</v>
      </c>
      <c r="Y543" s="9">
        <f>IFERROR(VLOOKUP(B543,cubo!$A$6:$BE$37,21,0)-VLOOKUP(B543,#REF!,$Y$2,0),0)</f>
        <v>0</v>
      </c>
      <c r="Z543" s="9">
        <f>IFERROR(VLOOKUP(B543,cubo!$A$6:$BE$37,27,0)-VLOOKUP(B543,#REF!,$Z$2,0),0)</f>
        <v>0</v>
      </c>
      <c r="AA543" s="9">
        <f>IFERROR(VLOOKUP(B543,cubo!$A$6:$BE$37,28,0)-VLOOKUP(B543,#REF!,$AA$2,0),0)</f>
        <v>0</v>
      </c>
      <c r="AB543" s="9">
        <f>IFERROR(VLOOKUP(B543,cubo!$A$6:$BE$37,29,0)-VLOOKUP(B543,#REF!,$AB$2,0),0)</f>
        <v>0</v>
      </c>
      <c r="AC543" s="9">
        <f>IFERROR(VLOOKUP(B543,cubo!$A$6:$BE$37,30,0)-VLOOKUP(B543,#REF!,$AC$2,0),0)</f>
        <v>0</v>
      </c>
      <c r="AD543" s="9">
        <f>IFERROR(VLOOKUP(B543,cubo!$A$6:$BE$37,31,0)-VLOOKUP(B543,#REF!,$AD$2,0),0)</f>
        <v>0</v>
      </c>
      <c r="AE543" s="9">
        <f>IFERROR(VLOOKUP(B543,cubo!$A$6:$BE$37,35,0)-VLOOKUP(B543,#REF!,$AE$2,0),0)</f>
        <v>0</v>
      </c>
      <c r="AF543" s="9" cm="1">
        <f t="array" aca="1" ref="AF543" ca="1">IFERROR(rrPROCV(B543,cubo!$A$6:$BE$37,48,0)-VLOOKUP(B543,#REF!,$AF$2,0),0)</f>
        <v>0</v>
      </c>
      <c r="AG543" s="9">
        <f>IFERROR(VLOOKUP(B543,cubo!$A$6:$BE$37,49,0)-VLOOKUP(B543,#REF!,$AG$2,0),0)</f>
        <v>0</v>
      </c>
      <c r="AH543" s="9">
        <f>IFERROR(VLOOKUP(B543,cubo!$A$6:$BE$37,50,0)-VLOOKUP(B543,#REF!,$AH$2,0),0)</f>
        <v>0</v>
      </c>
      <c r="AI543" s="9">
        <f>IFERROR(VLOOKUP(B543,cubo!$A$6:$BE$37,51,0)-VLOOKUP(B543,#REF!,$AI$2,0),0)</f>
        <v>0</v>
      </c>
      <c r="AJ543" s="9">
        <f>IFERROR(VLOOKUP(B543,cubo!$A$6:$BI$116,62,0)-VLOOKUP(B543,#REF!,$AJ$2,0),0)</f>
        <v>0</v>
      </c>
      <c r="AK543" s="9">
        <f>IFERROR(VLOOKUP(B543,cubo!$A$6:$BJ$37,63,0)-VLOOKUP(B543,#REF!,$AK$2,0),0)</f>
        <v>0</v>
      </c>
      <c r="AL543" s="9">
        <f>IFERROR(VLOOKUP(B543,cubo!$A$6:$BE$37,58,0)-VLOOKUP(B543,#REF!,$AL$2,0),0)</f>
        <v>0</v>
      </c>
      <c r="AM543" s="9">
        <f>IFERROR(VLOOKUP(B543,cubo!$A$6:$BK$37,64,0)-VLOOKUP(B543,#REF!,$AM$2,0),0)</f>
        <v>0</v>
      </c>
      <c r="AN543" s="9">
        <f>IFERROR(VLOOKUP(B543,cubo!$A$6:$AN$37,41,0)-VLOOKUP(B543,#REF!,$AN$2,0),0)</f>
        <v>0</v>
      </c>
    </row>
    <row r="544" spans="2:40" x14ac:dyDescent="0.25">
      <c r="B544" s="7">
        <f>[1]salario!A543</f>
        <v>0</v>
      </c>
      <c r="C544" s="8">
        <f>[1]salario!C543</f>
        <v>0</v>
      </c>
      <c r="D544" s="9">
        <f>IFERROR(VLOOKUP(B544,cubo!$A$6:$BE$37,3,0)-VLOOKUP(B544,#REF!,$D$2,0),0)</f>
        <v>0</v>
      </c>
      <c r="E544" s="10">
        <f>IFERROR(VLOOKUP(B544,cubo!$A$6:$BE$37,5,0)-VLOOKUP(B544,#REF!,$E$2,0),0)</f>
        <v>0</v>
      </c>
      <c r="F544" s="10">
        <f>IFERROR(VLOOKUP(B544,cubo!$A$6:$BE$37,8,0)-VLOOKUP(B544,#REF!,$F$2,0),0)</f>
        <v>0</v>
      </c>
      <c r="G544" s="9">
        <f>IFERROR(VLOOKUP(B544,cubo!$A$6:$BE$37,11,0)-VLOOKUP(B544,#REF!,$G$2,0),0)</f>
        <v>0</v>
      </c>
      <c r="H544" s="9">
        <f>IFERROR(VLOOKUP(B544,cubo!$A$6:$BE$37,53,0)-VLOOKUP(B544,#REF!,$H$2,0),0)</f>
        <v>0</v>
      </c>
      <c r="I544" s="10">
        <f>IFERROR(VLOOKUP(B544,cubo!$A$6:$BE$37,14,0)-VLOOKUP(B544,#REF!,$I$2,0),0)</f>
        <v>0</v>
      </c>
      <c r="J544" s="9">
        <f>IFERROR(VLOOKUP(B544,cubo!$A$6:$BE$37,16,0)-VLOOKUP(B544,#REF!,$J$2,0),0)</f>
        <v>0</v>
      </c>
      <c r="K544" s="9">
        <f>IFERROR(VLOOKUP(B544,cubo!$A$6:$BE$37,17,0)-VLOOKUP(B544,#REF!,$K$2,0),0)</f>
        <v>0</v>
      </c>
      <c r="L544" s="9">
        <f>IFERROR(VLOOKUP(B544,cubo!$A$6:$BE$37,19,0)-VLOOKUP(B544,#REF!,$L$2,0),0)</f>
        <v>0</v>
      </c>
      <c r="M544" s="9">
        <f>IFERROR(VLOOKUP(B544,cubo!$A$6:$BE$37,23,0)-VLOOKUP(B544,#REF!,$M$2,0),0)</f>
        <v>0</v>
      </c>
      <c r="N544" s="9">
        <f>IFERROR(VLOOKUP(B544,cubo!$A$6:$BE$37,25,0)-VLOOKUP(B544,#REF!,$N$2,0),0)</f>
        <v>0</v>
      </c>
      <c r="O544" s="9">
        <f>IFERROR(VLOOKUP(B544,cubo!$A$6:$BE$37,33,0)-VLOOKUP(B544,#REF!,$O$2,0),0)</f>
        <v>0</v>
      </c>
      <c r="P544" s="8">
        <f>IFERROR(VLOOKUP(B544,cubo!$A$6:$BE$37,37,0)-VLOOKUP(B544,#REF!,$P$2,0),0)</f>
        <v>0</v>
      </c>
      <c r="Q544" s="8">
        <f>IFERROR(VLOOKUP(B544,cubo!$A$6:$BE$37,56,0)-VLOOKUP(B544,#REF!,$Q$2,0),0)</f>
        <v>0</v>
      </c>
      <c r="R544" s="9">
        <f>IFERROR(VLOOKUP(B544,cubo!$A$6:$BE$37,40,0)-VLOOKUP(B544,#REF!,$R$2,0),0)</f>
        <v>0</v>
      </c>
      <c r="S544" s="9">
        <f>IFERROR(VLOOKUP(B544,cubo!$A$6:$BE$37,43,0)-VLOOKUP(B544,#REF!,$S$2,0),0)</f>
        <v>0</v>
      </c>
      <c r="T544" s="9">
        <f>IFERROR(VLOOKUP(B544,cubo!$A$6:$BE$37,46,0)-VLOOKUP(B544,#REF!,$T$2,0),0)</f>
        <v>0</v>
      </c>
      <c r="U544" s="9">
        <f>IFERROR(VLOOKUP(B544,cubo!$A$6:$BE$37,51,0)-VLOOKUP(B544,#REF!,$U$2,0),0)</f>
        <v>0</v>
      </c>
      <c r="V544" s="9">
        <f>IFERROR(VLOOKUP(B544,cubo!$A$6:$BJ$37,60,0)-VLOOKUP(B544,#REF!,$V$2,0),0)</f>
        <v>0</v>
      </c>
      <c r="W544" s="9">
        <f>IFERROR(VLOOKUP(B544,cubo!$A$6:$BE$37,26,0)-VLOOKUP(B544,#REF!,$W$2,0),0)</f>
        <v>0</v>
      </c>
      <c r="X544" s="9">
        <f>IFERROR(VLOOKUP(B544,cubo!$A$6:$BE$37,20,0)-VLOOKUP(B544,#REF!,$X$2,0),0)</f>
        <v>0</v>
      </c>
      <c r="Y544" s="9">
        <f>IFERROR(VLOOKUP(B544,cubo!$A$6:$BE$37,21,0)-VLOOKUP(B544,#REF!,$Y$2,0),0)</f>
        <v>0</v>
      </c>
      <c r="Z544" s="9">
        <f>IFERROR(VLOOKUP(B544,cubo!$A$6:$BE$37,27,0)-VLOOKUP(B544,#REF!,$Z$2,0),0)</f>
        <v>0</v>
      </c>
      <c r="AA544" s="9">
        <f>IFERROR(VLOOKUP(B544,cubo!$A$6:$BE$37,28,0)-VLOOKUP(B544,#REF!,$AA$2,0),0)</f>
        <v>0</v>
      </c>
      <c r="AB544" s="9">
        <f>IFERROR(VLOOKUP(B544,cubo!$A$6:$BE$37,29,0)-VLOOKUP(B544,#REF!,$AB$2,0),0)</f>
        <v>0</v>
      </c>
      <c r="AC544" s="9">
        <f>IFERROR(VLOOKUP(B544,cubo!$A$6:$BE$37,30,0)-VLOOKUP(B544,#REF!,$AC$2,0),0)</f>
        <v>0</v>
      </c>
      <c r="AD544" s="9">
        <f>IFERROR(VLOOKUP(B544,cubo!$A$6:$BE$37,31,0)-VLOOKUP(B544,#REF!,$AD$2,0),0)</f>
        <v>0</v>
      </c>
      <c r="AE544" s="9">
        <f>IFERROR(VLOOKUP(B544,cubo!$A$6:$BE$37,35,0)-VLOOKUP(B544,#REF!,$AE$2,0),0)</f>
        <v>0</v>
      </c>
      <c r="AF544" s="9" cm="1">
        <f t="array" aca="1" ref="AF544" ca="1">IFERROR(rrPROCV(B544,cubo!$A$6:$BE$37,48,0)-VLOOKUP(B544,#REF!,$AF$2,0),0)</f>
        <v>0</v>
      </c>
      <c r="AG544" s="9">
        <f>IFERROR(VLOOKUP(B544,cubo!$A$6:$BE$37,49,0)-VLOOKUP(B544,#REF!,$AG$2,0),0)</f>
        <v>0</v>
      </c>
      <c r="AH544" s="9">
        <f>IFERROR(VLOOKUP(B544,cubo!$A$6:$BE$37,50,0)-VLOOKUP(B544,#REF!,$AH$2,0),0)</f>
        <v>0</v>
      </c>
      <c r="AI544" s="9">
        <f>IFERROR(VLOOKUP(B544,cubo!$A$6:$BE$37,51,0)-VLOOKUP(B544,#REF!,$AI$2,0),0)</f>
        <v>0</v>
      </c>
      <c r="AJ544" s="9">
        <f>IFERROR(VLOOKUP(B544,cubo!$A$6:$BI$116,62,0)-VLOOKUP(B544,#REF!,$AJ$2,0),0)</f>
        <v>0</v>
      </c>
      <c r="AK544" s="9">
        <f>IFERROR(VLOOKUP(B544,cubo!$A$6:$BJ$37,63,0)-VLOOKUP(B544,#REF!,$AK$2,0),0)</f>
        <v>0</v>
      </c>
      <c r="AL544" s="9">
        <f>IFERROR(VLOOKUP(B544,cubo!$A$6:$BE$37,58,0)-VLOOKUP(B544,#REF!,$AL$2,0),0)</f>
        <v>0</v>
      </c>
      <c r="AM544" s="9">
        <f>IFERROR(VLOOKUP(B544,cubo!$A$6:$BK$37,64,0)-VLOOKUP(B544,#REF!,$AM$2,0),0)</f>
        <v>0</v>
      </c>
      <c r="AN544" s="9">
        <f>IFERROR(VLOOKUP(B544,cubo!$A$6:$AN$37,41,0)-VLOOKUP(B544,#REF!,$AN$2,0),0)</f>
        <v>0</v>
      </c>
    </row>
    <row r="545" spans="2:40" x14ac:dyDescent="0.25">
      <c r="B545" s="7">
        <f>[1]salario!A544</f>
        <v>0</v>
      </c>
      <c r="C545" s="8">
        <f>[1]salario!C544</f>
        <v>0</v>
      </c>
      <c r="D545" s="9">
        <f>IFERROR(VLOOKUP(B545,cubo!$A$6:$BE$37,3,0)-VLOOKUP(B545,#REF!,$D$2,0),0)</f>
        <v>0</v>
      </c>
      <c r="E545" s="10">
        <f>IFERROR(VLOOKUP(B545,cubo!$A$6:$BE$37,5,0)-VLOOKUP(B545,#REF!,$E$2,0),0)</f>
        <v>0</v>
      </c>
      <c r="F545" s="10">
        <f>IFERROR(VLOOKUP(B545,cubo!$A$6:$BE$37,8,0)-VLOOKUP(B545,#REF!,$F$2,0),0)</f>
        <v>0</v>
      </c>
      <c r="G545" s="9">
        <f>IFERROR(VLOOKUP(B545,cubo!$A$6:$BE$37,11,0)-VLOOKUP(B545,#REF!,$G$2,0),0)</f>
        <v>0</v>
      </c>
      <c r="H545" s="9">
        <f>IFERROR(VLOOKUP(B545,cubo!$A$6:$BE$37,53,0)-VLOOKUP(B545,#REF!,$H$2,0),0)</f>
        <v>0</v>
      </c>
      <c r="I545" s="10">
        <f>IFERROR(VLOOKUP(B545,cubo!$A$6:$BE$37,14,0)-VLOOKUP(B545,#REF!,$I$2,0),0)</f>
        <v>0</v>
      </c>
      <c r="J545" s="9">
        <f>IFERROR(VLOOKUP(B545,cubo!$A$6:$BE$37,16,0)-VLOOKUP(B545,#REF!,$J$2,0),0)</f>
        <v>0</v>
      </c>
      <c r="K545" s="9">
        <f>IFERROR(VLOOKUP(B545,cubo!$A$6:$BE$37,17,0)-VLOOKUP(B545,#REF!,$K$2,0),0)</f>
        <v>0</v>
      </c>
      <c r="L545" s="9">
        <f>IFERROR(VLOOKUP(B545,cubo!$A$6:$BE$37,19,0)-VLOOKUP(B545,#REF!,$L$2,0),0)</f>
        <v>0</v>
      </c>
      <c r="M545" s="9">
        <f>IFERROR(VLOOKUP(B545,cubo!$A$6:$BE$37,23,0)-VLOOKUP(B545,#REF!,$M$2,0),0)</f>
        <v>0</v>
      </c>
      <c r="N545" s="9">
        <f>IFERROR(VLOOKUP(B545,cubo!$A$6:$BE$37,25,0)-VLOOKUP(B545,#REF!,$N$2,0),0)</f>
        <v>0</v>
      </c>
      <c r="O545" s="9">
        <f>IFERROR(VLOOKUP(B545,cubo!$A$6:$BE$37,33,0)-VLOOKUP(B545,#REF!,$O$2,0),0)</f>
        <v>0</v>
      </c>
      <c r="P545" s="8">
        <f>IFERROR(VLOOKUP(B545,cubo!$A$6:$BE$37,37,0)-VLOOKUP(B545,#REF!,$P$2,0),0)</f>
        <v>0</v>
      </c>
      <c r="Q545" s="8">
        <f>IFERROR(VLOOKUP(B545,cubo!$A$6:$BE$37,56,0)-VLOOKUP(B545,#REF!,$Q$2,0),0)</f>
        <v>0</v>
      </c>
      <c r="R545" s="9">
        <f>IFERROR(VLOOKUP(B545,cubo!$A$6:$BE$37,40,0)-VLOOKUP(B545,#REF!,$R$2,0),0)</f>
        <v>0</v>
      </c>
      <c r="S545" s="9">
        <f>IFERROR(VLOOKUP(B545,cubo!$A$6:$BE$37,43,0)-VLOOKUP(B545,#REF!,$S$2,0),0)</f>
        <v>0</v>
      </c>
      <c r="T545" s="9">
        <f>IFERROR(VLOOKUP(B545,cubo!$A$6:$BE$37,46,0)-VLOOKUP(B545,#REF!,$T$2,0),0)</f>
        <v>0</v>
      </c>
      <c r="U545" s="9">
        <f>IFERROR(VLOOKUP(B545,cubo!$A$6:$BE$37,51,0)-VLOOKUP(B545,#REF!,$U$2,0),0)</f>
        <v>0</v>
      </c>
      <c r="V545" s="9">
        <f>IFERROR(VLOOKUP(B545,cubo!$A$6:$BJ$37,60,0)-VLOOKUP(B545,#REF!,$V$2,0),0)</f>
        <v>0</v>
      </c>
      <c r="W545" s="9">
        <f>IFERROR(VLOOKUP(B545,cubo!$A$6:$BE$37,26,0)-VLOOKUP(B545,#REF!,$W$2,0),0)</f>
        <v>0</v>
      </c>
      <c r="X545" s="9">
        <f>IFERROR(VLOOKUP(B545,cubo!$A$6:$BE$37,20,0)-VLOOKUP(B545,#REF!,$X$2,0),0)</f>
        <v>0</v>
      </c>
      <c r="Y545" s="9">
        <f>IFERROR(VLOOKUP(B545,cubo!$A$6:$BE$37,21,0)-VLOOKUP(B545,#REF!,$Y$2,0),0)</f>
        <v>0</v>
      </c>
      <c r="Z545" s="9">
        <f>IFERROR(VLOOKUP(B545,cubo!$A$6:$BE$37,27,0)-VLOOKUP(B545,#REF!,$Z$2,0),0)</f>
        <v>0</v>
      </c>
      <c r="AA545" s="9">
        <f>IFERROR(VLOOKUP(B545,cubo!$A$6:$BE$37,28,0)-VLOOKUP(B545,#REF!,$AA$2,0),0)</f>
        <v>0</v>
      </c>
      <c r="AB545" s="9">
        <f>IFERROR(VLOOKUP(B545,cubo!$A$6:$BE$37,29,0)-VLOOKUP(B545,#REF!,$AB$2,0),0)</f>
        <v>0</v>
      </c>
      <c r="AC545" s="9">
        <f>IFERROR(VLOOKUP(B545,cubo!$A$6:$BE$37,30,0)-VLOOKUP(B545,#REF!,$AC$2,0),0)</f>
        <v>0</v>
      </c>
      <c r="AD545" s="9">
        <f>IFERROR(VLOOKUP(B545,cubo!$A$6:$BE$37,31,0)-VLOOKUP(B545,#REF!,$AD$2,0),0)</f>
        <v>0</v>
      </c>
      <c r="AE545" s="9">
        <f>IFERROR(VLOOKUP(B545,cubo!$A$6:$BE$37,35,0)-VLOOKUP(B545,#REF!,$AE$2,0),0)</f>
        <v>0</v>
      </c>
      <c r="AF545" s="9" cm="1">
        <f t="array" aca="1" ref="AF545" ca="1">IFERROR(rrPROCV(B545,cubo!$A$6:$BE$37,48,0)-VLOOKUP(B545,#REF!,$AF$2,0),0)</f>
        <v>0</v>
      </c>
      <c r="AG545" s="9">
        <f>IFERROR(VLOOKUP(B545,cubo!$A$6:$BE$37,49,0)-VLOOKUP(B545,#REF!,$AG$2,0),0)</f>
        <v>0</v>
      </c>
      <c r="AH545" s="9">
        <f>IFERROR(VLOOKUP(B545,cubo!$A$6:$BE$37,50,0)-VLOOKUP(B545,#REF!,$AH$2,0),0)</f>
        <v>0</v>
      </c>
      <c r="AI545" s="9">
        <f>IFERROR(VLOOKUP(B545,cubo!$A$6:$BE$37,51,0)-VLOOKUP(B545,#REF!,$AI$2,0),0)</f>
        <v>0</v>
      </c>
      <c r="AJ545" s="9">
        <f>IFERROR(VLOOKUP(B545,cubo!$A$6:$BI$116,62,0)-VLOOKUP(B545,#REF!,$AJ$2,0),0)</f>
        <v>0</v>
      </c>
      <c r="AK545" s="9">
        <f>IFERROR(VLOOKUP(B545,cubo!$A$6:$BJ$37,63,0)-VLOOKUP(B545,#REF!,$AK$2,0),0)</f>
        <v>0</v>
      </c>
      <c r="AL545" s="9">
        <f>IFERROR(VLOOKUP(B545,cubo!$A$6:$BE$37,58,0)-VLOOKUP(B545,#REF!,$AL$2,0),0)</f>
        <v>0</v>
      </c>
      <c r="AM545" s="9">
        <f>IFERROR(VLOOKUP(B545,cubo!$A$6:$BK$37,64,0)-VLOOKUP(B545,#REF!,$AM$2,0),0)</f>
        <v>0</v>
      </c>
      <c r="AN545" s="9">
        <f>IFERROR(VLOOKUP(B545,cubo!$A$6:$AN$37,41,0)-VLOOKUP(B545,#REF!,$AN$2,0),0)</f>
        <v>0</v>
      </c>
    </row>
    <row r="546" spans="2:40" x14ac:dyDescent="0.25">
      <c r="B546" s="7">
        <f>[1]salario!A545</f>
        <v>0</v>
      </c>
      <c r="C546" s="8">
        <f>[1]salario!C545</f>
        <v>0</v>
      </c>
      <c r="D546" s="9">
        <f>IFERROR(VLOOKUP(B546,cubo!$A$6:$BE$37,3,0)-VLOOKUP(B546,#REF!,$D$2,0),0)</f>
        <v>0</v>
      </c>
      <c r="E546" s="10">
        <f>IFERROR(VLOOKUP(B546,cubo!$A$6:$BE$37,5,0)-VLOOKUP(B546,#REF!,$E$2,0),0)</f>
        <v>0</v>
      </c>
      <c r="F546" s="10">
        <f>IFERROR(VLOOKUP(B546,cubo!$A$6:$BE$37,8,0)-VLOOKUP(B546,#REF!,$F$2,0),0)</f>
        <v>0</v>
      </c>
      <c r="G546" s="9">
        <f>IFERROR(VLOOKUP(B546,cubo!$A$6:$BE$37,11,0)-VLOOKUP(B546,#REF!,$G$2,0),0)</f>
        <v>0</v>
      </c>
      <c r="H546" s="9">
        <f>IFERROR(VLOOKUP(B546,cubo!$A$6:$BE$37,53,0)-VLOOKUP(B546,#REF!,$H$2,0),0)</f>
        <v>0</v>
      </c>
      <c r="I546" s="10">
        <f>IFERROR(VLOOKUP(B546,cubo!$A$6:$BE$37,14,0)-VLOOKUP(B546,#REF!,$I$2,0),0)</f>
        <v>0</v>
      </c>
      <c r="J546" s="9">
        <f>IFERROR(VLOOKUP(B546,cubo!$A$6:$BE$37,16,0)-VLOOKUP(B546,#REF!,$J$2,0),0)</f>
        <v>0</v>
      </c>
      <c r="K546" s="9">
        <f>IFERROR(VLOOKUP(B546,cubo!$A$6:$BE$37,17,0)-VLOOKUP(B546,#REF!,$K$2,0),0)</f>
        <v>0</v>
      </c>
      <c r="L546" s="9">
        <f>IFERROR(VLOOKUP(B546,cubo!$A$6:$BE$37,19,0)-VLOOKUP(B546,#REF!,$L$2,0),0)</f>
        <v>0</v>
      </c>
      <c r="M546" s="9">
        <f>IFERROR(VLOOKUP(B546,cubo!$A$6:$BE$37,23,0)-VLOOKUP(B546,#REF!,$M$2,0),0)</f>
        <v>0</v>
      </c>
      <c r="N546" s="9">
        <f>IFERROR(VLOOKUP(B546,cubo!$A$6:$BE$37,25,0)-VLOOKUP(B546,#REF!,$N$2,0),0)</f>
        <v>0</v>
      </c>
      <c r="O546" s="9">
        <f>IFERROR(VLOOKUP(B546,cubo!$A$6:$BE$37,33,0)-VLOOKUP(B546,#REF!,$O$2,0),0)</f>
        <v>0</v>
      </c>
      <c r="P546" s="8">
        <f>IFERROR(VLOOKUP(B546,cubo!$A$6:$BE$37,37,0)-VLOOKUP(B546,#REF!,$P$2,0),0)</f>
        <v>0</v>
      </c>
      <c r="Q546" s="8">
        <f>IFERROR(VLOOKUP(B546,cubo!$A$6:$BE$37,56,0)-VLOOKUP(B546,#REF!,$Q$2,0),0)</f>
        <v>0</v>
      </c>
      <c r="R546" s="9">
        <f>IFERROR(VLOOKUP(B546,cubo!$A$6:$BE$37,40,0)-VLOOKUP(B546,#REF!,$R$2,0),0)</f>
        <v>0</v>
      </c>
      <c r="S546" s="9">
        <f>IFERROR(VLOOKUP(B546,cubo!$A$6:$BE$37,43,0)-VLOOKUP(B546,#REF!,$S$2,0),0)</f>
        <v>0</v>
      </c>
      <c r="T546" s="9">
        <f>IFERROR(VLOOKUP(B546,cubo!$A$6:$BE$37,46,0)-VLOOKUP(B546,#REF!,$T$2,0),0)</f>
        <v>0</v>
      </c>
      <c r="U546" s="9">
        <f>IFERROR(VLOOKUP(B546,cubo!$A$6:$BE$37,51,0)-VLOOKUP(B546,#REF!,$U$2,0),0)</f>
        <v>0</v>
      </c>
      <c r="V546" s="9">
        <f>IFERROR(VLOOKUP(B546,cubo!$A$6:$BJ$37,60,0)-VLOOKUP(B546,#REF!,$V$2,0),0)</f>
        <v>0</v>
      </c>
      <c r="W546" s="9">
        <f>IFERROR(VLOOKUP(B546,cubo!$A$6:$BE$37,26,0)-VLOOKUP(B546,#REF!,$W$2,0),0)</f>
        <v>0</v>
      </c>
      <c r="X546" s="9">
        <f>IFERROR(VLOOKUP(B546,cubo!$A$6:$BE$37,20,0)-VLOOKUP(B546,#REF!,$X$2,0),0)</f>
        <v>0</v>
      </c>
      <c r="Y546" s="9">
        <f>IFERROR(VLOOKUP(B546,cubo!$A$6:$BE$37,21,0)-VLOOKUP(B546,#REF!,$Y$2,0),0)</f>
        <v>0</v>
      </c>
      <c r="Z546" s="9">
        <f>IFERROR(VLOOKUP(B546,cubo!$A$6:$BE$37,27,0)-VLOOKUP(B546,#REF!,$Z$2,0),0)</f>
        <v>0</v>
      </c>
      <c r="AA546" s="9">
        <f>IFERROR(VLOOKUP(B546,cubo!$A$6:$BE$37,28,0)-VLOOKUP(B546,#REF!,$AA$2,0),0)</f>
        <v>0</v>
      </c>
      <c r="AB546" s="9">
        <f>IFERROR(VLOOKUP(B546,cubo!$A$6:$BE$37,29,0)-VLOOKUP(B546,#REF!,$AB$2,0),0)</f>
        <v>0</v>
      </c>
      <c r="AC546" s="9">
        <f>IFERROR(VLOOKUP(B546,cubo!$A$6:$BE$37,30,0)-VLOOKUP(B546,#REF!,$AC$2,0),0)</f>
        <v>0</v>
      </c>
      <c r="AD546" s="9">
        <f>IFERROR(VLOOKUP(B546,cubo!$A$6:$BE$37,31,0)-VLOOKUP(B546,#REF!,$AD$2,0),0)</f>
        <v>0</v>
      </c>
      <c r="AE546" s="9">
        <f>IFERROR(VLOOKUP(B546,cubo!$A$6:$BE$37,35,0)-VLOOKUP(B546,#REF!,$AE$2,0),0)</f>
        <v>0</v>
      </c>
      <c r="AF546" s="9" cm="1">
        <f t="array" aca="1" ref="AF546" ca="1">IFERROR(rrPROCV(B546,cubo!$A$6:$BE$37,48,0)-VLOOKUP(B546,#REF!,$AF$2,0),0)</f>
        <v>0</v>
      </c>
      <c r="AG546" s="9">
        <f>IFERROR(VLOOKUP(B546,cubo!$A$6:$BE$37,49,0)-VLOOKUP(B546,#REF!,$AG$2,0),0)</f>
        <v>0</v>
      </c>
      <c r="AH546" s="9">
        <f>IFERROR(VLOOKUP(B546,cubo!$A$6:$BE$37,50,0)-VLOOKUP(B546,#REF!,$AH$2,0),0)</f>
        <v>0</v>
      </c>
      <c r="AI546" s="9">
        <f>IFERROR(VLOOKUP(B546,cubo!$A$6:$BE$37,51,0)-VLOOKUP(B546,#REF!,$AI$2,0),0)</f>
        <v>0</v>
      </c>
      <c r="AJ546" s="9">
        <f>IFERROR(VLOOKUP(B546,cubo!$A$6:$BI$116,62,0)-VLOOKUP(B546,#REF!,$AJ$2,0),0)</f>
        <v>0</v>
      </c>
      <c r="AK546" s="9">
        <f>IFERROR(VLOOKUP(B546,cubo!$A$6:$BJ$37,63,0)-VLOOKUP(B546,#REF!,$AK$2,0),0)</f>
        <v>0</v>
      </c>
      <c r="AL546" s="9">
        <f>IFERROR(VLOOKUP(B546,cubo!$A$6:$BE$37,58,0)-VLOOKUP(B546,#REF!,$AL$2,0),0)</f>
        <v>0</v>
      </c>
      <c r="AM546" s="9">
        <f>IFERROR(VLOOKUP(B546,cubo!$A$6:$BK$37,64,0)-VLOOKUP(B546,#REF!,$AM$2,0),0)</f>
        <v>0</v>
      </c>
      <c r="AN546" s="9">
        <f>IFERROR(VLOOKUP(B546,cubo!$A$6:$AN$37,41,0)-VLOOKUP(B546,#REF!,$AN$2,0),0)</f>
        <v>0</v>
      </c>
    </row>
    <row r="547" spans="2:40" x14ac:dyDescent="0.25">
      <c r="B547" s="7">
        <f>[1]salario!A546</f>
        <v>0</v>
      </c>
      <c r="C547" s="8">
        <f>[1]salario!C546</f>
        <v>0</v>
      </c>
      <c r="D547" s="9">
        <f>IFERROR(VLOOKUP(B547,cubo!$A$6:$BE$37,3,0)-VLOOKUP(B547,#REF!,$D$2,0),0)</f>
        <v>0</v>
      </c>
      <c r="E547" s="10">
        <f>IFERROR(VLOOKUP(B547,cubo!$A$6:$BE$37,5,0)-VLOOKUP(B547,#REF!,$E$2,0),0)</f>
        <v>0</v>
      </c>
      <c r="F547" s="10">
        <f>IFERROR(VLOOKUP(B547,cubo!$A$6:$BE$37,8,0)-VLOOKUP(B547,#REF!,$F$2,0),0)</f>
        <v>0</v>
      </c>
      <c r="G547" s="9">
        <f>IFERROR(VLOOKUP(B547,cubo!$A$6:$BE$37,11,0)-VLOOKUP(B547,#REF!,$G$2,0),0)</f>
        <v>0</v>
      </c>
      <c r="H547" s="9">
        <f>IFERROR(VLOOKUP(B547,cubo!$A$6:$BE$37,53,0)-VLOOKUP(B547,#REF!,$H$2,0),0)</f>
        <v>0</v>
      </c>
      <c r="I547" s="10">
        <f>IFERROR(VLOOKUP(B547,cubo!$A$6:$BE$37,14,0)-VLOOKUP(B547,#REF!,$I$2,0),0)</f>
        <v>0</v>
      </c>
      <c r="J547" s="9">
        <f>IFERROR(VLOOKUP(B547,cubo!$A$6:$BE$37,16,0)-VLOOKUP(B547,#REF!,$J$2,0),0)</f>
        <v>0</v>
      </c>
      <c r="K547" s="9">
        <f>IFERROR(VLOOKUP(B547,cubo!$A$6:$BE$37,17,0)-VLOOKUP(B547,#REF!,$K$2,0),0)</f>
        <v>0</v>
      </c>
      <c r="L547" s="9">
        <f>IFERROR(VLOOKUP(B547,cubo!$A$6:$BE$37,19,0)-VLOOKUP(B547,#REF!,$L$2,0),0)</f>
        <v>0</v>
      </c>
      <c r="M547" s="9">
        <f>IFERROR(VLOOKUP(B547,cubo!$A$6:$BE$37,23,0)-VLOOKUP(B547,#REF!,$M$2,0),0)</f>
        <v>0</v>
      </c>
      <c r="N547" s="9">
        <f>IFERROR(VLOOKUP(B547,cubo!$A$6:$BE$37,25,0)-VLOOKUP(B547,#REF!,$N$2,0),0)</f>
        <v>0</v>
      </c>
      <c r="O547" s="9">
        <f>IFERROR(VLOOKUP(B547,cubo!$A$6:$BE$37,33,0)-VLOOKUP(B547,#REF!,$O$2,0),0)</f>
        <v>0</v>
      </c>
      <c r="P547" s="8">
        <f>IFERROR(VLOOKUP(B547,cubo!$A$6:$BE$37,37,0)-VLOOKUP(B547,#REF!,$P$2,0),0)</f>
        <v>0</v>
      </c>
      <c r="Q547" s="8">
        <f>IFERROR(VLOOKUP(B547,cubo!$A$6:$BE$37,56,0)-VLOOKUP(B547,#REF!,$Q$2,0),0)</f>
        <v>0</v>
      </c>
      <c r="R547" s="9">
        <f>IFERROR(VLOOKUP(B547,cubo!$A$6:$BE$37,40,0)-VLOOKUP(B547,#REF!,$R$2,0),0)</f>
        <v>0</v>
      </c>
      <c r="S547" s="9">
        <f>IFERROR(VLOOKUP(B547,cubo!$A$6:$BE$37,43,0)-VLOOKUP(B547,#REF!,$S$2,0),0)</f>
        <v>0</v>
      </c>
      <c r="T547" s="9">
        <f>IFERROR(VLOOKUP(B547,cubo!$A$6:$BE$37,46,0)-VLOOKUP(B547,#REF!,$T$2,0),0)</f>
        <v>0</v>
      </c>
      <c r="U547" s="9">
        <f>IFERROR(VLOOKUP(B547,cubo!$A$6:$BE$37,51,0)-VLOOKUP(B547,#REF!,$U$2,0),0)</f>
        <v>0</v>
      </c>
      <c r="V547" s="9">
        <f>IFERROR(VLOOKUP(B547,cubo!$A$6:$BJ$37,60,0)-VLOOKUP(B547,#REF!,$V$2,0),0)</f>
        <v>0</v>
      </c>
      <c r="W547" s="9">
        <f>IFERROR(VLOOKUP(B547,cubo!$A$6:$BE$37,26,0)-VLOOKUP(B547,#REF!,$W$2,0),0)</f>
        <v>0</v>
      </c>
      <c r="X547" s="9">
        <f>IFERROR(VLOOKUP(B547,cubo!$A$6:$BE$37,20,0)-VLOOKUP(B547,#REF!,$X$2,0),0)</f>
        <v>0</v>
      </c>
      <c r="Y547" s="9">
        <f>IFERROR(VLOOKUP(B547,cubo!$A$6:$BE$37,21,0)-VLOOKUP(B547,#REF!,$Y$2,0),0)</f>
        <v>0</v>
      </c>
      <c r="Z547" s="9">
        <f>IFERROR(VLOOKUP(B547,cubo!$A$6:$BE$37,27,0)-VLOOKUP(B547,#REF!,$Z$2,0),0)</f>
        <v>0</v>
      </c>
      <c r="AA547" s="9">
        <f>IFERROR(VLOOKUP(B547,cubo!$A$6:$BE$37,28,0)-VLOOKUP(B547,#REF!,$AA$2,0),0)</f>
        <v>0</v>
      </c>
      <c r="AB547" s="9">
        <f>IFERROR(VLOOKUP(B547,cubo!$A$6:$BE$37,29,0)-VLOOKUP(B547,#REF!,$AB$2,0),0)</f>
        <v>0</v>
      </c>
      <c r="AC547" s="9">
        <f>IFERROR(VLOOKUP(B547,cubo!$A$6:$BE$37,30,0)-VLOOKUP(B547,#REF!,$AC$2,0),0)</f>
        <v>0</v>
      </c>
      <c r="AD547" s="9">
        <f>IFERROR(VLOOKUP(B547,cubo!$A$6:$BE$37,31,0)-VLOOKUP(B547,#REF!,$AD$2,0),0)</f>
        <v>0</v>
      </c>
      <c r="AE547" s="9">
        <f>IFERROR(VLOOKUP(B547,cubo!$A$6:$BE$37,35,0)-VLOOKUP(B547,#REF!,$AE$2,0),0)</f>
        <v>0</v>
      </c>
      <c r="AF547" s="9" cm="1">
        <f t="array" aca="1" ref="AF547" ca="1">IFERROR(rrPROCV(B547,cubo!$A$6:$BE$37,48,0)-VLOOKUP(B547,#REF!,$AF$2,0),0)</f>
        <v>0</v>
      </c>
      <c r="AG547" s="9">
        <f>IFERROR(VLOOKUP(B547,cubo!$A$6:$BE$37,49,0)-VLOOKUP(B547,#REF!,$AG$2,0),0)</f>
        <v>0</v>
      </c>
      <c r="AH547" s="9">
        <f>IFERROR(VLOOKUP(B547,cubo!$A$6:$BE$37,50,0)-VLOOKUP(B547,#REF!,$AH$2,0),0)</f>
        <v>0</v>
      </c>
      <c r="AI547" s="9">
        <f>IFERROR(VLOOKUP(B547,cubo!$A$6:$BE$37,51,0)-VLOOKUP(B547,#REF!,$AI$2,0),0)</f>
        <v>0</v>
      </c>
      <c r="AJ547" s="9">
        <f>IFERROR(VLOOKUP(B547,cubo!$A$6:$BI$116,62,0)-VLOOKUP(B547,#REF!,$AJ$2,0),0)</f>
        <v>0</v>
      </c>
      <c r="AK547" s="9">
        <f>IFERROR(VLOOKUP(B547,cubo!$A$6:$BJ$37,63,0)-VLOOKUP(B547,#REF!,$AK$2,0),0)</f>
        <v>0</v>
      </c>
      <c r="AL547" s="9">
        <f>IFERROR(VLOOKUP(B547,cubo!$A$6:$BE$37,58,0)-VLOOKUP(B547,#REF!,$AL$2,0),0)</f>
        <v>0</v>
      </c>
      <c r="AM547" s="9">
        <f>IFERROR(VLOOKUP(B547,cubo!$A$6:$BK$37,64,0)-VLOOKUP(B547,#REF!,$AM$2,0),0)</f>
        <v>0</v>
      </c>
      <c r="AN547" s="9">
        <f>IFERROR(VLOOKUP(B547,cubo!$A$6:$AN$37,41,0)-VLOOKUP(B547,#REF!,$AN$2,0),0)</f>
        <v>0</v>
      </c>
    </row>
    <row r="548" spans="2:40" x14ac:dyDescent="0.25">
      <c r="B548" s="7">
        <f>[1]salario!A547</f>
        <v>0</v>
      </c>
      <c r="C548" s="8">
        <f>[1]salario!C547</f>
        <v>0</v>
      </c>
      <c r="D548" s="9">
        <f>IFERROR(VLOOKUP(B548,cubo!$A$6:$BE$37,3,0)-VLOOKUP(B548,#REF!,$D$2,0),0)</f>
        <v>0</v>
      </c>
      <c r="E548" s="10">
        <f>IFERROR(VLOOKUP(B548,cubo!$A$6:$BE$37,5,0)-VLOOKUP(B548,#REF!,$E$2,0),0)</f>
        <v>0</v>
      </c>
      <c r="F548" s="10">
        <f>IFERROR(VLOOKUP(B548,cubo!$A$6:$BE$37,8,0)-VLOOKUP(B548,#REF!,$F$2,0),0)</f>
        <v>0</v>
      </c>
      <c r="G548" s="9">
        <f>IFERROR(VLOOKUP(B548,cubo!$A$6:$BE$37,11,0)-VLOOKUP(B548,#REF!,$G$2,0),0)</f>
        <v>0</v>
      </c>
      <c r="H548" s="9">
        <f>IFERROR(VLOOKUP(B548,cubo!$A$6:$BE$37,53,0)-VLOOKUP(B548,#REF!,$H$2,0),0)</f>
        <v>0</v>
      </c>
      <c r="I548" s="10">
        <f>IFERROR(VLOOKUP(B548,cubo!$A$6:$BE$37,14,0)-VLOOKUP(B548,#REF!,$I$2,0),0)</f>
        <v>0</v>
      </c>
      <c r="J548" s="9">
        <f>IFERROR(VLOOKUP(B548,cubo!$A$6:$BE$37,16,0)-VLOOKUP(B548,#REF!,$J$2,0),0)</f>
        <v>0</v>
      </c>
      <c r="K548" s="9">
        <f>IFERROR(VLOOKUP(B548,cubo!$A$6:$BE$37,17,0)-VLOOKUP(B548,#REF!,$K$2,0),0)</f>
        <v>0</v>
      </c>
      <c r="L548" s="9">
        <f>IFERROR(VLOOKUP(B548,cubo!$A$6:$BE$37,19,0)-VLOOKUP(B548,#REF!,$L$2,0),0)</f>
        <v>0</v>
      </c>
      <c r="M548" s="9">
        <f>IFERROR(VLOOKUP(B548,cubo!$A$6:$BE$37,23,0)-VLOOKUP(B548,#REF!,$M$2,0),0)</f>
        <v>0</v>
      </c>
      <c r="N548" s="9">
        <f>IFERROR(VLOOKUP(B548,cubo!$A$6:$BE$37,25,0)-VLOOKUP(B548,#REF!,$N$2,0),0)</f>
        <v>0</v>
      </c>
      <c r="O548" s="9">
        <f>IFERROR(VLOOKUP(B548,cubo!$A$6:$BE$37,33,0)-VLOOKUP(B548,#REF!,$O$2,0),0)</f>
        <v>0</v>
      </c>
      <c r="P548" s="8">
        <f>IFERROR(VLOOKUP(B548,cubo!$A$6:$BE$37,37,0)-VLOOKUP(B548,#REF!,$P$2,0),0)</f>
        <v>0</v>
      </c>
      <c r="Q548" s="8">
        <f>IFERROR(VLOOKUP(B548,cubo!$A$6:$BE$37,56,0)-VLOOKUP(B548,#REF!,$Q$2,0),0)</f>
        <v>0</v>
      </c>
      <c r="R548" s="9">
        <f>IFERROR(VLOOKUP(B548,cubo!$A$6:$BE$37,40,0)-VLOOKUP(B548,#REF!,$R$2,0),0)</f>
        <v>0</v>
      </c>
      <c r="S548" s="9">
        <f>IFERROR(VLOOKUP(B548,cubo!$A$6:$BE$37,43,0)-VLOOKUP(B548,#REF!,$S$2,0),0)</f>
        <v>0</v>
      </c>
      <c r="T548" s="9">
        <f>IFERROR(VLOOKUP(B548,cubo!$A$6:$BE$37,46,0)-VLOOKUP(B548,#REF!,$T$2,0),0)</f>
        <v>0</v>
      </c>
      <c r="U548" s="9">
        <f>IFERROR(VLOOKUP(B548,cubo!$A$6:$BE$37,51,0)-VLOOKUP(B548,#REF!,$U$2,0),0)</f>
        <v>0</v>
      </c>
      <c r="V548" s="9">
        <f>IFERROR(VLOOKUP(B548,cubo!$A$6:$BJ$37,60,0)-VLOOKUP(B548,#REF!,$V$2,0),0)</f>
        <v>0</v>
      </c>
      <c r="W548" s="9">
        <f>IFERROR(VLOOKUP(B548,cubo!$A$6:$BE$37,26,0)-VLOOKUP(B548,#REF!,$W$2,0),0)</f>
        <v>0</v>
      </c>
      <c r="X548" s="9">
        <f>IFERROR(VLOOKUP(B548,cubo!$A$6:$BE$37,20,0)-VLOOKUP(B548,#REF!,$X$2,0),0)</f>
        <v>0</v>
      </c>
      <c r="Y548" s="9">
        <f>IFERROR(VLOOKUP(B548,cubo!$A$6:$BE$37,21,0)-VLOOKUP(B548,#REF!,$Y$2,0),0)</f>
        <v>0</v>
      </c>
      <c r="Z548" s="9">
        <f>IFERROR(VLOOKUP(B548,cubo!$A$6:$BE$37,27,0)-VLOOKUP(B548,#REF!,$Z$2,0),0)</f>
        <v>0</v>
      </c>
      <c r="AA548" s="9">
        <f>IFERROR(VLOOKUP(B548,cubo!$A$6:$BE$37,28,0)-VLOOKUP(B548,#REF!,$AA$2,0),0)</f>
        <v>0</v>
      </c>
      <c r="AB548" s="9">
        <f>IFERROR(VLOOKUP(B548,cubo!$A$6:$BE$37,29,0)-VLOOKUP(B548,#REF!,$AB$2,0),0)</f>
        <v>0</v>
      </c>
      <c r="AC548" s="9">
        <f>IFERROR(VLOOKUP(B548,cubo!$A$6:$BE$37,30,0)-VLOOKUP(B548,#REF!,$AC$2,0),0)</f>
        <v>0</v>
      </c>
      <c r="AD548" s="9">
        <f>IFERROR(VLOOKUP(B548,cubo!$A$6:$BE$37,31,0)-VLOOKUP(B548,#REF!,$AD$2,0),0)</f>
        <v>0</v>
      </c>
      <c r="AE548" s="9">
        <f>IFERROR(VLOOKUP(B548,cubo!$A$6:$BE$37,35,0)-VLOOKUP(B548,#REF!,$AE$2,0),0)</f>
        <v>0</v>
      </c>
      <c r="AF548" s="9" cm="1">
        <f t="array" aca="1" ref="AF548" ca="1">IFERROR(rrPROCV(B548,cubo!$A$6:$BE$37,48,0)-VLOOKUP(B548,#REF!,$AF$2,0),0)</f>
        <v>0</v>
      </c>
      <c r="AG548" s="9">
        <f>IFERROR(VLOOKUP(B548,cubo!$A$6:$BE$37,49,0)-VLOOKUP(B548,#REF!,$AG$2,0),0)</f>
        <v>0</v>
      </c>
      <c r="AH548" s="9">
        <f>IFERROR(VLOOKUP(B548,cubo!$A$6:$BE$37,50,0)-VLOOKUP(B548,#REF!,$AH$2,0),0)</f>
        <v>0</v>
      </c>
      <c r="AI548" s="9">
        <f>IFERROR(VLOOKUP(B548,cubo!$A$6:$BE$37,51,0)-VLOOKUP(B548,#REF!,$AI$2,0),0)</f>
        <v>0</v>
      </c>
      <c r="AJ548" s="9">
        <f>IFERROR(VLOOKUP(B548,cubo!$A$6:$BI$116,62,0)-VLOOKUP(B548,#REF!,$AJ$2,0),0)</f>
        <v>0</v>
      </c>
      <c r="AK548" s="9">
        <f>IFERROR(VLOOKUP(B548,cubo!$A$6:$BJ$37,63,0)-VLOOKUP(B548,#REF!,$AK$2,0),0)</f>
        <v>0</v>
      </c>
      <c r="AL548" s="9">
        <f>IFERROR(VLOOKUP(B548,cubo!$A$6:$BE$37,58,0)-VLOOKUP(B548,#REF!,$AL$2,0),0)</f>
        <v>0</v>
      </c>
      <c r="AM548" s="9">
        <f>IFERROR(VLOOKUP(B548,cubo!$A$6:$BK$37,64,0)-VLOOKUP(B548,#REF!,$AM$2,0),0)</f>
        <v>0</v>
      </c>
      <c r="AN548" s="9">
        <f>IFERROR(VLOOKUP(B548,cubo!$A$6:$AN$37,41,0)-VLOOKUP(B548,#REF!,$AN$2,0),0)</f>
        <v>0</v>
      </c>
    </row>
    <row r="549" spans="2:40" x14ac:dyDescent="0.25">
      <c r="B549" s="7">
        <f>[1]salario!A548</f>
        <v>0</v>
      </c>
      <c r="C549" s="8">
        <f>[1]salario!C548</f>
        <v>0</v>
      </c>
      <c r="D549" s="9">
        <f>IFERROR(VLOOKUP(B549,cubo!$A$6:$BE$37,3,0)-VLOOKUP(B549,#REF!,$D$2,0),0)</f>
        <v>0</v>
      </c>
      <c r="E549" s="10">
        <f>IFERROR(VLOOKUP(B549,cubo!$A$6:$BE$37,5,0)-VLOOKUP(B549,#REF!,$E$2,0),0)</f>
        <v>0</v>
      </c>
      <c r="F549" s="10">
        <f>IFERROR(VLOOKUP(B549,cubo!$A$6:$BE$37,8,0)-VLOOKUP(B549,#REF!,$F$2,0),0)</f>
        <v>0</v>
      </c>
      <c r="G549" s="9">
        <f>IFERROR(VLOOKUP(B549,cubo!$A$6:$BE$37,11,0)-VLOOKUP(B549,#REF!,$G$2,0),0)</f>
        <v>0</v>
      </c>
      <c r="H549" s="9">
        <f>IFERROR(VLOOKUP(B549,cubo!$A$6:$BE$37,53,0)-VLOOKUP(B549,#REF!,$H$2,0),0)</f>
        <v>0</v>
      </c>
      <c r="I549" s="10">
        <f>IFERROR(VLOOKUP(B549,cubo!$A$6:$BE$37,14,0)-VLOOKUP(B549,#REF!,$I$2,0),0)</f>
        <v>0</v>
      </c>
      <c r="J549" s="9">
        <f>IFERROR(VLOOKUP(B549,cubo!$A$6:$BE$37,16,0)-VLOOKUP(B549,#REF!,$J$2,0),0)</f>
        <v>0</v>
      </c>
      <c r="K549" s="9">
        <f>IFERROR(VLOOKUP(B549,cubo!$A$6:$BE$37,17,0)-VLOOKUP(B549,#REF!,$K$2,0),0)</f>
        <v>0</v>
      </c>
      <c r="L549" s="9">
        <f>IFERROR(VLOOKUP(B549,cubo!$A$6:$BE$37,19,0)-VLOOKUP(B549,#REF!,$L$2,0),0)</f>
        <v>0</v>
      </c>
      <c r="M549" s="9">
        <f>IFERROR(VLOOKUP(B549,cubo!$A$6:$BE$37,23,0)-VLOOKUP(B549,#REF!,$M$2,0),0)</f>
        <v>0</v>
      </c>
      <c r="N549" s="9">
        <f>IFERROR(VLOOKUP(B549,cubo!$A$6:$BE$37,25,0)-VLOOKUP(B549,#REF!,$N$2,0),0)</f>
        <v>0</v>
      </c>
      <c r="O549" s="9">
        <f>IFERROR(VLOOKUP(B549,cubo!$A$6:$BE$37,33,0)-VLOOKUP(B549,#REF!,$O$2,0),0)</f>
        <v>0</v>
      </c>
      <c r="P549" s="8">
        <f>IFERROR(VLOOKUP(B549,cubo!$A$6:$BE$37,37,0)-VLOOKUP(B549,#REF!,$P$2,0),0)</f>
        <v>0</v>
      </c>
      <c r="Q549" s="8">
        <f>IFERROR(VLOOKUP(B549,cubo!$A$6:$BE$37,56,0)-VLOOKUP(B549,#REF!,$Q$2,0),0)</f>
        <v>0</v>
      </c>
      <c r="R549" s="9">
        <f>IFERROR(VLOOKUP(B549,cubo!$A$6:$BE$37,40,0)-VLOOKUP(B549,#REF!,$R$2,0),0)</f>
        <v>0</v>
      </c>
      <c r="S549" s="9">
        <f>IFERROR(VLOOKUP(B549,cubo!$A$6:$BE$37,43,0)-VLOOKUP(B549,#REF!,$S$2,0),0)</f>
        <v>0</v>
      </c>
      <c r="T549" s="9">
        <f>IFERROR(VLOOKUP(B549,cubo!$A$6:$BE$37,46,0)-VLOOKUP(B549,#REF!,$T$2,0),0)</f>
        <v>0</v>
      </c>
      <c r="U549" s="9">
        <f>IFERROR(VLOOKUP(B549,cubo!$A$6:$BE$37,51,0)-VLOOKUP(B549,#REF!,$U$2,0),0)</f>
        <v>0</v>
      </c>
      <c r="V549" s="9">
        <f>IFERROR(VLOOKUP(B549,cubo!$A$6:$BJ$37,60,0)-VLOOKUP(B549,#REF!,$V$2,0),0)</f>
        <v>0</v>
      </c>
      <c r="W549" s="9">
        <f>IFERROR(VLOOKUP(B549,cubo!$A$6:$BE$37,26,0)-VLOOKUP(B549,#REF!,$W$2,0),0)</f>
        <v>0</v>
      </c>
      <c r="X549" s="9">
        <f>IFERROR(VLOOKUP(B549,cubo!$A$6:$BE$37,20,0)-VLOOKUP(B549,#REF!,$X$2,0),0)</f>
        <v>0</v>
      </c>
      <c r="Y549" s="9">
        <f>IFERROR(VLOOKUP(B549,cubo!$A$6:$BE$37,21,0)-VLOOKUP(B549,#REF!,$Y$2,0),0)</f>
        <v>0</v>
      </c>
      <c r="Z549" s="9">
        <f>IFERROR(VLOOKUP(B549,cubo!$A$6:$BE$37,27,0)-VLOOKUP(B549,#REF!,$Z$2,0),0)</f>
        <v>0</v>
      </c>
      <c r="AA549" s="9">
        <f>IFERROR(VLOOKUP(B549,cubo!$A$6:$BE$37,28,0)-VLOOKUP(B549,#REF!,$AA$2,0),0)</f>
        <v>0</v>
      </c>
      <c r="AB549" s="9">
        <f>IFERROR(VLOOKUP(B549,cubo!$A$6:$BE$37,29,0)-VLOOKUP(B549,#REF!,$AB$2,0),0)</f>
        <v>0</v>
      </c>
      <c r="AC549" s="9">
        <f>IFERROR(VLOOKUP(B549,cubo!$A$6:$BE$37,30,0)-VLOOKUP(B549,#REF!,$AC$2,0),0)</f>
        <v>0</v>
      </c>
      <c r="AD549" s="9">
        <f>IFERROR(VLOOKUP(B549,cubo!$A$6:$BE$37,31,0)-VLOOKUP(B549,#REF!,$AD$2,0),0)</f>
        <v>0</v>
      </c>
      <c r="AE549" s="9">
        <f>IFERROR(VLOOKUP(B549,cubo!$A$6:$BE$37,35,0)-VLOOKUP(B549,#REF!,$AE$2,0),0)</f>
        <v>0</v>
      </c>
      <c r="AF549" s="9" cm="1">
        <f t="array" aca="1" ref="AF549" ca="1">IFERROR(rrPROCV(B549,cubo!$A$6:$BE$37,48,0)-VLOOKUP(B549,#REF!,$AF$2,0),0)</f>
        <v>0</v>
      </c>
      <c r="AG549" s="9">
        <f>IFERROR(VLOOKUP(B549,cubo!$A$6:$BE$37,49,0)-VLOOKUP(B549,#REF!,$AG$2,0),0)</f>
        <v>0</v>
      </c>
      <c r="AH549" s="9">
        <f>IFERROR(VLOOKUP(B549,cubo!$A$6:$BE$37,50,0)-VLOOKUP(B549,#REF!,$AH$2,0),0)</f>
        <v>0</v>
      </c>
      <c r="AI549" s="9">
        <f>IFERROR(VLOOKUP(B549,cubo!$A$6:$BE$37,51,0)-VLOOKUP(B549,#REF!,$AI$2,0),0)</f>
        <v>0</v>
      </c>
      <c r="AJ549" s="9">
        <f>IFERROR(VLOOKUP(B549,cubo!$A$6:$BI$116,62,0)-VLOOKUP(B549,#REF!,$AJ$2,0),0)</f>
        <v>0</v>
      </c>
      <c r="AK549" s="9">
        <f>IFERROR(VLOOKUP(B549,cubo!$A$6:$BJ$37,63,0)-VLOOKUP(B549,#REF!,$AK$2,0),0)</f>
        <v>0</v>
      </c>
      <c r="AL549" s="9">
        <f>IFERROR(VLOOKUP(B549,cubo!$A$6:$BE$37,58,0)-VLOOKUP(B549,#REF!,$AL$2,0),0)</f>
        <v>0</v>
      </c>
      <c r="AM549" s="9">
        <f>IFERROR(VLOOKUP(B549,cubo!$A$6:$BK$37,64,0)-VLOOKUP(B549,#REF!,$AM$2,0),0)</f>
        <v>0</v>
      </c>
      <c r="AN549" s="9">
        <f>IFERROR(VLOOKUP(B549,cubo!$A$6:$AN$37,41,0)-VLOOKUP(B549,#REF!,$AN$2,0),0)</f>
        <v>0</v>
      </c>
    </row>
    <row r="550" spans="2:40" x14ac:dyDescent="0.25">
      <c r="B550" s="7">
        <f>[1]salario!A549</f>
        <v>0</v>
      </c>
      <c r="C550" s="8">
        <f>[1]salario!C549</f>
        <v>0</v>
      </c>
      <c r="D550" s="9">
        <f>IFERROR(VLOOKUP(B550,cubo!$A$6:$BE$37,3,0)-VLOOKUP(B550,#REF!,$D$2,0),0)</f>
        <v>0</v>
      </c>
      <c r="E550" s="10">
        <f>IFERROR(VLOOKUP(B550,cubo!$A$6:$BE$37,5,0)-VLOOKUP(B550,#REF!,$E$2,0),0)</f>
        <v>0</v>
      </c>
      <c r="F550" s="10">
        <f>IFERROR(VLOOKUP(B550,cubo!$A$6:$BE$37,8,0)-VLOOKUP(B550,#REF!,$F$2,0),0)</f>
        <v>0</v>
      </c>
      <c r="G550" s="9">
        <f>IFERROR(VLOOKUP(B550,cubo!$A$6:$BE$37,11,0)-VLOOKUP(B550,#REF!,$G$2,0),0)</f>
        <v>0</v>
      </c>
      <c r="H550" s="9">
        <f>IFERROR(VLOOKUP(B550,cubo!$A$6:$BE$37,53,0)-VLOOKUP(B550,#REF!,$H$2,0),0)</f>
        <v>0</v>
      </c>
      <c r="I550" s="10">
        <f>IFERROR(VLOOKUP(B550,cubo!$A$6:$BE$37,14,0)-VLOOKUP(B550,#REF!,$I$2,0),0)</f>
        <v>0</v>
      </c>
      <c r="J550" s="9">
        <f>IFERROR(VLOOKUP(B550,cubo!$A$6:$BE$37,16,0)-VLOOKUP(B550,#REF!,$J$2,0),0)</f>
        <v>0</v>
      </c>
      <c r="K550" s="9">
        <f>IFERROR(VLOOKUP(B550,cubo!$A$6:$BE$37,17,0)-VLOOKUP(B550,#REF!,$K$2,0),0)</f>
        <v>0</v>
      </c>
      <c r="L550" s="9">
        <f>IFERROR(VLOOKUP(B550,cubo!$A$6:$BE$37,19,0)-VLOOKUP(B550,#REF!,$L$2,0),0)</f>
        <v>0</v>
      </c>
      <c r="M550" s="9">
        <f>IFERROR(VLOOKUP(B550,cubo!$A$6:$BE$37,23,0)-VLOOKUP(B550,#REF!,$M$2,0),0)</f>
        <v>0</v>
      </c>
      <c r="N550" s="9">
        <f>IFERROR(VLOOKUP(B550,cubo!$A$6:$BE$37,25,0)-VLOOKUP(B550,#REF!,$N$2,0),0)</f>
        <v>0</v>
      </c>
      <c r="O550" s="9">
        <f>IFERROR(VLOOKUP(B550,cubo!$A$6:$BE$37,33,0)-VLOOKUP(B550,#REF!,$O$2,0),0)</f>
        <v>0</v>
      </c>
      <c r="P550" s="8">
        <f>IFERROR(VLOOKUP(B550,cubo!$A$6:$BE$37,37,0)-VLOOKUP(B550,#REF!,$P$2,0),0)</f>
        <v>0</v>
      </c>
      <c r="Q550" s="8">
        <f>IFERROR(VLOOKUP(B550,cubo!$A$6:$BE$37,56,0)-VLOOKUP(B550,#REF!,$Q$2,0),0)</f>
        <v>0</v>
      </c>
      <c r="R550" s="9">
        <f>IFERROR(VLOOKUP(B550,cubo!$A$6:$BE$37,40,0)-VLOOKUP(B550,#REF!,$R$2,0),0)</f>
        <v>0</v>
      </c>
      <c r="S550" s="9">
        <f>IFERROR(VLOOKUP(B550,cubo!$A$6:$BE$37,43,0)-VLOOKUP(B550,#REF!,$S$2,0),0)</f>
        <v>0</v>
      </c>
      <c r="T550" s="9">
        <f>IFERROR(VLOOKUP(B550,cubo!$A$6:$BE$37,46,0)-VLOOKUP(B550,#REF!,$T$2,0),0)</f>
        <v>0</v>
      </c>
      <c r="U550" s="9">
        <f>IFERROR(VLOOKUP(B550,cubo!$A$6:$BE$37,51,0)-VLOOKUP(B550,#REF!,$U$2,0),0)</f>
        <v>0</v>
      </c>
      <c r="V550" s="9">
        <f>IFERROR(VLOOKUP(B550,cubo!$A$6:$BJ$37,60,0)-VLOOKUP(B550,#REF!,$V$2,0),0)</f>
        <v>0</v>
      </c>
      <c r="W550" s="9">
        <f>IFERROR(VLOOKUP(B550,cubo!$A$6:$BE$37,26,0)-VLOOKUP(B550,#REF!,$W$2,0),0)</f>
        <v>0</v>
      </c>
      <c r="X550" s="9">
        <f>IFERROR(VLOOKUP(B550,cubo!$A$6:$BE$37,20,0)-VLOOKUP(B550,#REF!,$X$2,0),0)</f>
        <v>0</v>
      </c>
      <c r="Y550" s="9">
        <f>IFERROR(VLOOKUP(B550,cubo!$A$6:$BE$37,21,0)-VLOOKUP(B550,#REF!,$Y$2,0),0)</f>
        <v>0</v>
      </c>
      <c r="Z550" s="9">
        <f>IFERROR(VLOOKUP(B550,cubo!$A$6:$BE$37,27,0)-VLOOKUP(B550,#REF!,$Z$2,0),0)</f>
        <v>0</v>
      </c>
      <c r="AA550" s="9">
        <f>IFERROR(VLOOKUP(B550,cubo!$A$6:$BE$37,28,0)-VLOOKUP(B550,#REF!,$AA$2,0),0)</f>
        <v>0</v>
      </c>
      <c r="AB550" s="9">
        <f>IFERROR(VLOOKUP(B550,cubo!$A$6:$BE$37,29,0)-VLOOKUP(B550,#REF!,$AB$2,0),0)</f>
        <v>0</v>
      </c>
      <c r="AC550" s="9">
        <f>IFERROR(VLOOKUP(B550,cubo!$A$6:$BE$37,30,0)-VLOOKUP(B550,#REF!,$AC$2,0),0)</f>
        <v>0</v>
      </c>
      <c r="AD550" s="9">
        <f>IFERROR(VLOOKUP(B550,cubo!$A$6:$BE$37,31,0)-VLOOKUP(B550,#REF!,$AD$2,0),0)</f>
        <v>0</v>
      </c>
      <c r="AE550" s="9">
        <f>IFERROR(VLOOKUP(B550,cubo!$A$6:$BE$37,35,0)-VLOOKUP(B550,#REF!,$AE$2,0),0)</f>
        <v>0</v>
      </c>
      <c r="AF550" s="9" cm="1">
        <f t="array" aca="1" ref="AF550" ca="1">IFERROR(rrPROCV(B550,cubo!$A$6:$BE$37,48,0)-VLOOKUP(B550,#REF!,$AF$2,0),0)</f>
        <v>0</v>
      </c>
      <c r="AG550" s="9">
        <f>IFERROR(VLOOKUP(B550,cubo!$A$6:$BE$37,49,0)-VLOOKUP(B550,#REF!,$AG$2,0),0)</f>
        <v>0</v>
      </c>
      <c r="AH550" s="9">
        <f>IFERROR(VLOOKUP(B550,cubo!$A$6:$BE$37,50,0)-VLOOKUP(B550,#REF!,$AH$2,0),0)</f>
        <v>0</v>
      </c>
      <c r="AI550" s="9">
        <f>IFERROR(VLOOKUP(B550,cubo!$A$6:$BE$37,51,0)-VLOOKUP(B550,#REF!,$AI$2,0),0)</f>
        <v>0</v>
      </c>
      <c r="AJ550" s="9">
        <f>IFERROR(VLOOKUP(B550,cubo!$A$6:$BI$116,62,0)-VLOOKUP(B550,#REF!,$AJ$2,0),0)</f>
        <v>0</v>
      </c>
      <c r="AK550" s="9">
        <f>IFERROR(VLOOKUP(B550,cubo!$A$6:$BJ$37,63,0)-VLOOKUP(B550,#REF!,$AK$2,0),0)</f>
        <v>0</v>
      </c>
      <c r="AL550" s="9">
        <f>IFERROR(VLOOKUP(B550,cubo!$A$6:$BE$37,58,0)-VLOOKUP(B550,#REF!,$AL$2,0),0)</f>
        <v>0</v>
      </c>
      <c r="AM550" s="9">
        <f>IFERROR(VLOOKUP(B550,cubo!$A$6:$BK$37,64,0)-VLOOKUP(B550,#REF!,$AM$2,0),0)</f>
        <v>0</v>
      </c>
      <c r="AN550" s="9">
        <f>IFERROR(VLOOKUP(B550,cubo!$A$6:$AN$37,41,0)-VLOOKUP(B550,#REF!,$AN$2,0),0)</f>
        <v>0</v>
      </c>
    </row>
    <row r="551" spans="2:40" x14ac:dyDescent="0.25">
      <c r="B551" s="7">
        <f>[1]salario!A550</f>
        <v>0</v>
      </c>
      <c r="C551" s="8">
        <f>[1]salario!C550</f>
        <v>0</v>
      </c>
      <c r="D551" s="9">
        <f>IFERROR(VLOOKUP(B551,cubo!$A$6:$BE$37,3,0)-VLOOKUP(B551,#REF!,$D$2,0),0)</f>
        <v>0</v>
      </c>
      <c r="E551" s="10">
        <f>IFERROR(VLOOKUP(B551,cubo!$A$6:$BE$37,5,0)-VLOOKUP(B551,#REF!,$E$2,0),0)</f>
        <v>0</v>
      </c>
      <c r="F551" s="10">
        <f>IFERROR(VLOOKUP(B551,cubo!$A$6:$BE$37,8,0)-VLOOKUP(B551,#REF!,$F$2,0),0)</f>
        <v>0</v>
      </c>
      <c r="G551" s="9">
        <f>IFERROR(VLOOKUP(B551,cubo!$A$6:$BE$37,11,0)-VLOOKUP(B551,#REF!,$G$2,0),0)</f>
        <v>0</v>
      </c>
      <c r="H551" s="9">
        <f>IFERROR(VLOOKUP(B551,cubo!$A$6:$BE$37,53,0)-VLOOKUP(B551,#REF!,$H$2,0),0)</f>
        <v>0</v>
      </c>
      <c r="I551" s="10">
        <f>IFERROR(VLOOKUP(B551,cubo!$A$6:$BE$37,14,0)-VLOOKUP(B551,#REF!,$I$2,0),0)</f>
        <v>0</v>
      </c>
      <c r="J551" s="9">
        <f>IFERROR(VLOOKUP(B551,cubo!$A$6:$BE$37,16,0)-VLOOKUP(B551,#REF!,$J$2,0),0)</f>
        <v>0</v>
      </c>
      <c r="K551" s="9">
        <f>IFERROR(VLOOKUP(B551,cubo!$A$6:$BE$37,17,0)-VLOOKUP(B551,#REF!,$K$2,0),0)</f>
        <v>0</v>
      </c>
      <c r="L551" s="9">
        <f>IFERROR(VLOOKUP(B551,cubo!$A$6:$BE$37,19,0)-VLOOKUP(B551,#REF!,$L$2,0),0)</f>
        <v>0</v>
      </c>
      <c r="M551" s="9">
        <f>IFERROR(VLOOKUP(B551,cubo!$A$6:$BE$37,23,0)-VLOOKUP(B551,#REF!,$M$2,0),0)</f>
        <v>0</v>
      </c>
      <c r="N551" s="9">
        <f>IFERROR(VLOOKUP(B551,cubo!$A$6:$BE$37,25,0)-VLOOKUP(B551,#REF!,$N$2,0),0)</f>
        <v>0</v>
      </c>
      <c r="O551" s="9">
        <f>IFERROR(VLOOKUP(B551,cubo!$A$6:$BE$37,33,0)-VLOOKUP(B551,#REF!,$O$2,0),0)</f>
        <v>0</v>
      </c>
      <c r="P551" s="8">
        <f>IFERROR(VLOOKUP(B551,cubo!$A$6:$BE$37,37,0)-VLOOKUP(B551,#REF!,$P$2,0),0)</f>
        <v>0</v>
      </c>
      <c r="Q551" s="8">
        <f>IFERROR(VLOOKUP(B551,cubo!$A$6:$BE$37,56,0)-VLOOKUP(B551,#REF!,$Q$2,0),0)</f>
        <v>0</v>
      </c>
      <c r="R551" s="9">
        <f>IFERROR(VLOOKUP(B551,cubo!$A$6:$BE$37,40,0)-VLOOKUP(B551,#REF!,$R$2,0),0)</f>
        <v>0</v>
      </c>
      <c r="S551" s="9">
        <f>IFERROR(VLOOKUP(B551,cubo!$A$6:$BE$37,43,0)-VLOOKUP(B551,#REF!,$S$2,0),0)</f>
        <v>0</v>
      </c>
      <c r="T551" s="9">
        <f>IFERROR(VLOOKUP(B551,cubo!$A$6:$BE$37,46,0)-VLOOKUP(B551,#REF!,$T$2,0),0)</f>
        <v>0</v>
      </c>
      <c r="U551" s="9">
        <f>IFERROR(VLOOKUP(B551,cubo!$A$6:$BE$37,51,0)-VLOOKUP(B551,#REF!,$U$2,0),0)</f>
        <v>0</v>
      </c>
      <c r="V551" s="9">
        <f>IFERROR(VLOOKUP(B551,cubo!$A$6:$BJ$37,60,0)-VLOOKUP(B551,#REF!,$V$2,0),0)</f>
        <v>0</v>
      </c>
      <c r="W551" s="9">
        <f>IFERROR(VLOOKUP(B551,cubo!$A$6:$BE$37,26,0)-VLOOKUP(B551,#REF!,$W$2,0),0)</f>
        <v>0</v>
      </c>
      <c r="X551" s="9">
        <f>IFERROR(VLOOKUP(B551,cubo!$A$6:$BE$37,20,0)-VLOOKUP(B551,#REF!,$X$2,0),0)</f>
        <v>0</v>
      </c>
      <c r="Y551" s="9">
        <f>IFERROR(VLOOKUP(B551,cubo!$A$6:$BE$37,21,0)-VLOOKUP(B551,#REF!,$Y$2,0),0)</f>
        <v>0</v>
      </c>
      <c r="Z551" s="9">
        <f>IFERROR(VLOOKUP(B551,cubo!$A$6:$BE$37,27,0)-VLOOKUP(B551,#REF!,$Z$2,0),0)</f>
        <v>0</v>
      </c>
      <c r="AA551" s="9">
        <f>IFERROR(VLOOKUP(B551,cubo!$A$6:$BE$37,28,0)-VLOOKUP(B551,#REF!,$AA$2,0),0)</f>
        <v>0</v>
      </c>
      <c r="AB551" s="9">
        <f>IFERROR(VLOOKUP(B551,cubo!$A$6:$BE$37,29,0)-VLOOKUP(B551,#REF!,$AB$2,0),0)</f>
        <v>0</v>
      </c>
      <c r="AC551" s="9">
        <f>IFERROR(VLOOKUP(B551,cubo!$A$6:$BE$37,30,0)-VLOOKUP(B551,#REF!,$AC$2,0),0)</f>
        <v>0</v>
      </c>
      <c r="AD551" s="9">
        <f>IFERROR(VLOOKUP(B551,cubo!$A$6:$BE$37,31,0)-VLOOKUP(B551,#REF!,$AD$2,0),0)</f>
        <v>0</v>
      </c>
      <c r="AE551" s="9">
        <f>IFERROR(VLOOKUP(B551,cubo!$A$6:$BE$37,35,0)-VLOOKUP(B551,#REF!,$AE$2,0),0)</f>
        <v>0</v>
      </c>
      <c r="AF551" s="9" cm="1">
        <f t="array" aca="1" ref="AF551" ca="1">IFERROR(rrPROCV(B551,cubo!$A$6:$BE$37,48,0)-VLOOKUP(B551,#REF!,$AF$2,0),0)</f>
        <v>0</v>
      </c>
      <c r="AG551" s="9">
        <f>IFERROR(VLOOKUP(B551,cubo!$A$6:$BE$37,49,0)-VLOOKUP(B551,#REF!,$AG$2,0),0)</f>
        <v>0</v>
      </c>
      <c r="AH551" s="9">
        <f>IFERROR(VLOOKUP(B551,cubo!$A$6:$BE$37,50,0)-VLOOKUP(B551,#REF!,$AH$2,0),0)</f>
        <v>0</v>
      </c>
      <c r="AI551" s="9">
        <f>IFERROR(VLOOKUP(B551,cubo!$A$6:$BE$37,51,0)-VLOOKUP(B551,#REF!,$AI$2,0),0)</f>
        <v>0</v>
      </c>
      <c r="AJ551" s="9">
        <f>IFERROR(VLOOKUP(B551,cubo!$A$6:$BI$116,62,0)-VLOOKUP(B551,#REF!,$AJ$2,0),0)</f>
        <v>0</v>
      </c>
      <c r="AK551" s="9">
        <f>IFERROR(VLOOKUP(B551,cubo!$A$6:$BJ$37,63,0)-VLOOKUP(B551,#REF!,$AK$2,0),0)</f>
        <v>0</v>
      </c>
      <c r="AL551" s="9">
        <f>IFERROR(VLOOKUP(B551,cubo!$A$6:$BE$37,58,0)-VLOOKUP(B551,#REF!,$AL$2,0),0)</f>
        <v>0</v>
      </c>
      <c r="AM551" s="9">
        <f>IFERROR(VLOOKUP(B551,cubo!$A$6:$BK$37,64,0)-VLOOKUP(B551,#REF!,$AM$2,0),0)</f>
        <v>0</v>
      </c>
      <c r="AN551" s="9">
        <f>IFERROR(VLOOKUP(B551,cubo!$A$6:$AN$37,41,0)-VLOOKUP(B551,#REF!,$AN$2,0),0)</f>
        <v>0</v>
      </c>
    </row>
    <row r="552" spans="2:40" x14ac:dyDescent="0.25">
      <c r="B552" s="7">
        <f>[1]salario!A551</f>
        <v>0</v>
      </c>
      <c r="C552" s="8">
        <f>[1]salario!C551</f>
        <v>0</v>
      </c>
      <c r="D552" s="9">
        <f>IFERROR(VLOOKUP(B552,cubo!$A$6:$BE$37,3,0)-VLOOKUP(B552,#REF!,$D$2,0),0)</f>
        <v>0</v>
      </c>
      <c r="E552" s="10">
        <f>IFERROR(VLOOKUP(B552,cubo!$A$6:$BE$37,5,0)-VLOOKUP(B552,#REF!,$E$2,0),0)</f>
        <v>0</v>
      </c>
      <c r="F552" s="10">
        <f>IFERROR(VLOOKUP(B552,cubo!$A$6:$BE$37,8,0)-VLOOKUP(B552,#REF!,$F$2,0),0)</f>
        <v>0</v>
      </c>
      <c r="G552" s="9">
        <f>IFERROR(VLOOKUP(B552,cubo!$A$6:$BE$37,11,0)-VLOOKUP(B552,#REF!,$G$2,0),0)</f>
        <v>0</v>
      </c>
      <c r="H552" s="9">
        <f>IFERROR(VLOOKUP(B552,cubo!$A$6:$BE$37,53,0)-VLOOKUP(B552,#REF!,$H$2,0),0)</f>
        <v>0</v>
      </c>
      <c r="I552" s="10">
        <f>IFERROR(VLOOKUP(B552,cubo!$A$6:$BE$37,14,0)-VLOOKUP(B552,#REF!,$I$2,0),0)</f>
        <v>0</v>
      </c>
      <c r="J552" s="9">
        <f>IFERROR(VLOOKUP(B552,cubo!$A$6:$BE$37,16,0)-VLOOKUP(B552,#REF!,$J$2,0),0)</f>
        <v>0</v>
      </c>
      <c r="K552" s="9">
        <f>IFERROR(VLOOKUP(B552,cubo!$A$6:$BE$37,17,0)-VLOOKUP(B552,#REF!,$K$2,0),0)</f>
        <v>0</v>
      </c>
      <c r="L552" s="9">
        <f>IFERROR(VLOOKUP(B552,cubo!$A$6:$BE$37,19,0)-VLOOKUP(B552,#REF!,$L$2,0),0)</f>
        <v>0</v>
      </c>
      <c r="M552" s="9">
        <f>IFERROR(VLOOKUP(B552,cubo!$A$6:$BE$37,23,0)-VLOOKUP(B552,#REF!,$M$2,0),0)</f>
        <v>0</v>
      </c>
      <c r="N552" s="9">
        <f>IFERROR(VLOOKUP(B552,cubo!$A$6:$BE$37,25,0)-VLOOKUP(B552,#REF!,$N$2,0),0)</f>
        <v>0</v>
      </c>
      <c r="O552" s="9">
        <f>IFERROR(VLOOKUP(B552,cubo!$A$6:$BE$37,33,0)-VLOOKUP(B552,#REF!,$O$2,0),0)</f>
        <v>0</v>
      </c>
      <c r="P552" s="8">
        <f>IFERROR(VLOOKUP(B552,cubo!$A$6:$BE$37,37,0)-VLOOKUP(B552,#REF!,$P$2,0),0)</f>
        <v>0</v>
      </c>
      <c r="Q552" s="8">
        <f>IFERROR(VLOOKUP(B552,cubo!$A$6:$BE$37,56,0)-VLOOKUP(B552,#REF!,$Q$2,0),0)</f>
        <v>0</v>
      </c>
      <c r="R552" s="9">
        <f>IFERROR(VLOOKUP(B552,cubo!$A$6:$BE$37,40,0)-VLOOKUP(B552,#REF!,$R$2,0),0)</f>
        <v>0</v>
      </c>
      <c r="S552" s="9">
        <f>IFERROR(VLOOKUP(B552,cubo!$A$6:$BE$37,43,0)-VLOOKUP(B552,#REF!,$S$2,0),0)</f>
        <v>0</v>
      </c>
      <c r="T552" s="9">
        <f>IFERROR(VLOOKUP(B552,cubo!$A$6:$BE$37,46,0)-VLOOKUP(B552,#REF!,$T$2,0),0)</f>
        <v>0</v>
      </c>
      <c r="U552" s="9">
        <f>IFERROR(VLOOKUP(B552,cubo!$A$6:$BE$37,51,0)-VLOOKUP(B552,#REF!,$U$2,0),0)</f>
        <v>0</v>
      </c>
      <c r="V552" s="9">
        <f>IFERROR(VLOOKUP(B552,cubo!$A$6:$BJ$37,60,0)-VLOOKUP(B552,#REF!,$V$2,0),0)</f>
        <v>0</v>
      </c>
      <c r="W552" s="9">
        <f>IFERROR(VLOOKUP(B552,cubo!$A$6:$BE$37,26,0)-VLOOKUP(B552,#REF!,$W$2,0),0)</f>
        <v>0</v>
      </c>
      <c r="X552" s="9">
        <f>IFERROR(VLOOKUP(B552,cubo!$A$6:$BE$37,20,0)-VLOOKUP(B552,#REF!,$X$2,0),0)</f>
        <v>0</v>
      </c>
      <c r="Y552" s="9">
        <f>IFERROR(VLOOKUP(B552,cubo!$A$6:$BE$37,21,0)-VLOOKUP(B552,#REF!,$Y$2,0),0)</f>
        <v>0</v>
      </c>
      <c r="Z552" s="9">
        <f>IFERROR(VLOOKUP(B552,cubo!$A$6:$BE$37,27,0)-VLOOKUP(B552,#REF!,$Z$2,0),0)</f>
        <v>0</v>
      </c>
      <c r="AA552" s="9">
        <f>IFERROR(VLOOKUP(B552,cubo!$A$6:$BE$37,28,0)-VLOOKUP(B552,#REF!,$AA$2,0),0)</f>
        <v>0</v>
      </c>
      <c r="AB552" s="9">
        <f>IFERROR(VLOOKUP(B552,cubo!$A$6:$BE$37,29,0)-VLOOKUP(B552,#REF!,$AB$2,0),0)</f>
        <v>0</v>
      </c>
      <c r="AC552" s="9">
        <f>IFERROR(VLOOKUP(B552,cubo!$A$6:$BE$37,30,0)-VLOOKUP(B552,#REF!,$AC$2,0),0)</f>
        <v>0</v>
      </c>
      <c r="AD552" s="9">
        <f>IFERROR(VLOOKUP(B552,cubo!$A$6:$BE$37,31,0)-VLOOKUP(B552,#REF!,$AD$2,0),0)</f>
        <v>0</v>
      </c>
      <c r="AE552" s="9">
        <f>IFERROR(VLOOKUP(B552,cubo!$A$6:$BE$37,35,0)-VLOOKUP(B552,#REF!,$AE$2,0),0)</f>
        <v>0</v>
      </c>
      <c r="AF552" s="9" cm="1">
        <f t="array" aca="1" ref="AF552" ca="1">IFERROR(rrPROCV(B552,cubo!$A$6:$BE$37,48,0)-VLOOKUP(B552,#REF!,$AF$2,0),0)</f>
        <v>0</v>
      </c>
      <c r="AG552" s="9">
        <f>IFERROR(VLOOKUP(B552,cubo!$A$6:$BE$37,49,0)-VLOOKUP(B552,#REF!,$AG$2,0),0)</f>
        <v>0</v>
      </c>
      <c r="AH552" s="9">
        <f>IFERROR(VLOOKUP(B552,cubo!$A$6:$BE$37,50,0)-VLOOKUP(B552,#REF!,$AH$2,0),0)</f>
        <v>0</v>
      </c>
      <c r="AI552" s="9">
        <f>IFERROR(VLOOKUP(B552,cubo!$A$6:$BE$37,51,0)-VLOOKUP(B552,#REF!,$AI$2,0),0)</f>
        <v>0</v>
      </c>
      <c r="AJ552" s="9">
        <f>IFERROR(VLOOKUP(B552,cubo!$A$6:$BI$116,62,0)-VLOOKUP(B552,#REF!,$AJ$2,0),0)</f>
        <v>0</v>
      </c>
      <c r="AK552" s="9">
        <f>IFERROR(VLOOKUP(B552,cubo!$A$6:$BJ$37,63,0)-VLOOKUP(B552,#REF!,$AK$2,0),0)</f>
        <v>0</v>
      </c>
      <c r="AL552" s="9">
        <f>IFERROR(VLOOKUP(B552,cubo!$A$6:$BE$37,58,0)-VLOOKUP(B552,#REF!,$AL$2,0),0)</f>
        <v>0</v>
      </c>
      <c r="AM552" s="9">
        <f>IFERROR(VLOOKUP(B552,cubo!$A$6:$BK$37,64,0)-VLOOKUP(B552,#REF!,$AM$2,0),0)</f>
        <v>0</v>
      </c>
      <c r="AN552" s="9">
        <f>IFERROR(VLOOKUP(B552,cubo!$A$6:$AN$37,41,0)-VLOOKUP(B552,#REF!,$AN$2,0),0)</f>
        <v>0</v>
      </c>
    </row>
    <row r="553" spans="2:40" x14ac:dyDescent="0.25">
      <c r="B553" s="7">
        <f>[1]salario!A552</f>
        <v>0</v>
      </c>
      <c r="C553" s="8">
        <f>[1]salario!C552</f>
        <v>0</v>
      </c>
      <c r="D553" s="9">
        <f>IFERROR(VLOOKUP(B553,cubo!$A$6:$BE$37,3,0)-VLOOKUP(B553,#REF!,$D$2,0),0)</f>
        <v>0</v>
      </c>
      <c r="E553" s="10">
        <f>IFERROR(VLOOKUP(B553,cubo!$A$6:$BE$37,5,0)-VLOOKUP(B553,#REF!,$E$2,0),0)</f>
        <v>0</v>
      </c>
      <c r="F553" s="10">
        <f>IFERROR(VLOOKUP(B553,cubo!$A$6:$BE$37,8,0)-VLOOKUP(B553,#REF!,$F$2,0),0)</f>
        <v>0</v>
      </c>
      <c r="G553" s="9">
        <f>IFERROR(VLOOKUP(B553,cubo!$A$6:$BE$37,11,0)-VLOOKUP(B553,#REF!,$G$2,0),0)</f>
        <v>0</v>
      </c>
      <c r="H553" s="9">
        <f>IFERROR(VLOOKUP(B553,cubo!$A$6:$BE$37,53,0)-VLOOKUP(B553,#REF!,$H$2,0),0)</f>
        <v>0</v>
      </c>
      <c r="I553" s="10">
        <f>IFERROR(VLOOKUP(B553,cubo!$A$6:$BE$37,14,0)-VLOOKUP(B553,#REF!,$I$2,0),0)</f>
        <v>0</v>
      </c>
      <c r="J553" s="9">
        <f>IFERROR(VLOOKUP(B553,cubo!$A$6:$BE$37,16,0)-VLOOKUP(B553,#REF!,$J$2,0),0)</f>
        <v>0</v>
      </c>
      <c r="K553" s="9">
        <f>IFERROR(VLOOKUP(B553,cubo!$A$6:$BE$37,17,0)-VLOOKUP(B553,#REF!,$K$2,0),0)</f>
        <v>0</v>
      </c>
      <c r="L553" s="9">
        <f>IFERROR(VLOOKUP(B553,cubo!$A$6:$BE$37,19,0)-VLOOKUP(B553,#REF!,$L$2,0),0)</f>
        <v>0</v>
      </c>
      <c r="M553" s="9">
        <f>IFERROR(VLOOKUP(B553,cubo!$A$6:$BE$37,23,0)-VLOOKUP(B553,#REF!,$M$2,0),0)</f>
        <v>0</v>
      </c>
      <c r="N553" s="9">
        <f>IFERROR(VLOOKUP(B553,cubo!$A$6:$BE$37,25,0)-VLOOKUP(B553,#REF!,$N$2,0),0)</f>
        <v>0</v>
      </c>
      <c r="O553" s="9">
        <f>IFERROR(VLOOKUP(B553,cubo!$A$6:$BE$37,33,0)-VLOOKUP(B553,#REF!,$O$2,0),0)</f>
        <v>0</v>
      </c>
      <c r="P553" s="8">
        <f>IFERROR(VLOOKUP(B553,cubo!$A$6:$BE$37,37,0)-VLOOKUP(B553,#REF!,$P$2,0),0)</f>
        <v>0</v>
      </c>
      <c r="Q553" s="8">
        <f>IFERROR(VLOOKUP(B553,cubo!$A$6:$BE$37,56,0)-VLOOKUP(B553,#REF!,$Q$2,0),0)</f>
        <v>0</v>
      </c>
      <c r="R553" s="9">
        <f>IFERROR(VLOOKUP(B553,cubo!$A$6:$BE$37,40,0)-VLOOKUP(B553,#REF!,$R$2,0),0)</f>
        <v>0</v>
      </c>
      <c r="S553" s="9">
        <f>IFERROR(VLOOKUP(B553,cubo!$A$6:$BE$37,43,0)-VLOOKUP(B553,#REF!,$S$2,0),0)</f>
        <v>0</v>
      </c>
      <c r="T553" s="9">
        <f>IFERROR(VLOOKUP(B553,cubo!$A$6:$BE$37,46,0)-VLOOKUP(B553,#REF!,$T$2,0),0)</f>
        <v>0</v>
      </c>
      <c r="U553" s="9">
        <f>IFERROR(VLOOKUP(B553,cubo!$A$6:$BE$37,51,0)-VLOOKUP(B553,#REF!,$U$2,0),0)</f>
        <v>0</v>
      </c>
      <c r="V553" s="9">
        <f>IFERROR(VLOOKUP(B553,cubo!$A$6:$BJ$37,60,0)-VLOOKUP(B553,#REF!,$V$2,0),0)</f>
        <v>0</v>
      </c>
      <c r="W553" s="9">
        <f>IFERROR(VLOOKUP(B553,cubo!$A$6:$BE$37,26,0)-VLOOKUP(B553,#REF!,$W$2,0),0)</f>
        <v>0</v>
      </c>
      <c r="X553" s="9">
        <f>IFERROR(VLOOKUP(B553,cubo!$A$6:$BE$37,20,0)-VLOOKUP(B553,#REF!,$X$2,0),0)</f>
        <v>0</v>
      </c>
      <c r="Y553" s="9">
        <f>IFERROR(VLOOKUP(B553,cubo!$A$6:$BE$37,21,0)-VLOOKUP(B553,#REF!,$Y$2,0),0)</f>
        <v>0</v>
      </c>
      <c r="Z553" s="9">
        <f>IFERROR(VLOOKUP(B553,cubo!$A$6:$BE$37,27,0)-VLOOKUP(B553,#REF!,$Z$2,0),0)</f>
        <v>0</v>
      </c>
      <c r="AA553" s="9">
        <f>IFERROR(VLOOKUP(B553,cubo!$A$6:$BE$37,28,0)-VLOOKUP(B553,#REF!,$AA$2,0),0)</f>
        <v>0</v>
      </c>
      <c r="AB553" s="9">
        <f>IFERROR(VLOOKUP(B553,cubo!$A$6:$BE$37,29,0)-VLOOKUP(B553,#REF!,$AB$2,0),0)</f>
        <v>0</v>
      </c>
      <c r="AC553" s="9">
        <f>IFERROR(VLOOKUP(B553,cubo!$A$6:$BE$37,30,0)-VLOOKUP(B553,#REF!,$AC$2,0),0)</f>
        <v>0</v>
      </c>
      <c r="AD553" s="9">
        <f>IFERROR(VLOOKUP(B553,cubo!$A$6:$BE$37,31,0)-VLOOKUP(B553,#REF!,$AD$2,0),0)</f>
        <v>0</v>
      </c>
      <c r="AE553" s="9">
        <f>IFERROR(VLOOKUP(B553,cubo!$A$6:$BE$37,35,0)-VLOOKUP(B553,#REF!,$AE$2,0),0)</f>
        <v>0</v>
      </c>
      <c r="AF553" s="9" cm="1">
        <f t="array" aca="1" ref="AF553" ca="1">IFERROR(rrPROCV(B553,cubo!$A$6:$BE$37,48,0)-VLOOKUP(B553,#REF!,$AF$2,0),0)</f>
        <v>0</v>
      </c>
      <c r="AG553" s="9">
        <f>IFERROR(VLOOKUP(B553,cubo!$A$6:$BE$37,49,0)-VLOOKUP(B553,#REF!,$AG$2,0),0)</f>
        <v>0</v>
      </c>
      <c r="AH553" s="9">
        <f>IFERROR(VLOOKUP(B553,cubo!$A$6:$BE$37,50,0)-VLOOKUP(B553,#REF!,$AH$2,0),0)</f>
        <v>0</v>
      </c>
      <c r="AI553" s="9">
        <f>IFERROR(VLOOKUP(B553,cubo!$A$6:$BE$37,51,0)-VLOOKUP(B553,#REF!,$AI$2,0),0)</f>
        <v>0</v>
      </c>
      <c r="AJ553" s="9">
        <f>IFERROR(VLOOKUP(B553,cubo!$A$6:$BI$116,62,0)-VLOOKUP(B553,#REF!,$AJ$2,0),0)</f>
        <v>0</v>
      </c>
      <c r="AK553" s="9">
        <f>IFERROR(VLOOKUP(B553,cubo!$A$6:$BJ$37,63,0)-VLOOKUP(B553,#REF!,$AK$2,0),0)</f>
        <v>0</v>
      </c>
      <c r="AL553" s="9">
        <f>IFERROR(VLOOKUP(B553,cubo!$A$6:$BE$37,58,0)-VLOOKUP(B553,#REF!,$AL$2,0),0)</f>
        <v>0</v>
      </c>
      <c r="AM553" s="9">
        <f>IFERROR(VLOOKUP(B553,cubo!$A$6:$BK$37,64,0)-VLOOKUP(B553,#REF!,$AM$2,0),0)</f>
        <v>0</v>
      </c>
      <c r="AN553" s="9">
        <f>IFERROR(VLOOKUP(B553,cubo!$A$6:$AN$37,41,0)-VLOOKUP(B553,#REF!,$AN$2,0),0)</f>
        <v>0</v>
      </c>
    </row>
    <row r="554" spans="2:40" x14ac:dyDescent="0.25">
      <c r="B554" s="7">
        <f>[1]salario!A553</f>
        <v>0</v>
      </c>
      <c r="C554" s="8">
        <f>[1]salario!C553</f>
        <v>0</v>
      </c>
      <c r="D554" s="9">
        <f>IFERROR(VLOOKUP(B554,cubo!$A$6:$BE$37,3,0)-VLOOKUP(B554,#REF!,$D$2,0),0)</f>
        <v>0</v>
      </c>
      <c r="E554" s="10">
        <f>IFERROR(VLOOKUP(B554,cubo!$A$6:$BE$37,5,0)-VLOOKUP(B554,#REF!,$E$2,0),0)</f>
        <v>0</v>
      </c>
      <c r="F554" s="10">
        <f>IFERROR(VLOOKUP(B554,cubo!$A$6:$BE$37,8,0)-VLOOKUP(B554,#REF!,$F$2,0),0)</f>
        <v>0</v>
      </c>
      <c r="G554" s="9">
        <f>IFERROR(VLOOKUP(B554,cubo!$A$6:$BE$37,11,0)-VLOOKUP(B554,#REF!,$G$2,0),0)</f>
        <v>0</v>
      </c>
      <c r="H554" s="9">
        <f>IFERROR(VLOOKUP(B554,cubo!$A$6:$BE$37,53,0)-VLOOKUP(B554,#REF!,$H$2,0),0)</f>
        <v>0</v>
      </c>
      <c r="I554" s="10">
        <f>IFERROR(VLOOKUP(B554,cubo!$A$6:$BE$37,14,0)-VLOOKUP(B554,#REF!,$I$2,0),0)</f>
        <v>0</v>
      </c>
      <c r="J554" s="9">
        <f>IFERROR(VLOOKUP(B554,cubo!$A$6:$BE$37,16,0)-VLOOKUP(B554,#REF!,$J$2,0),0)</f>
        <v>0</v>
      </c>
      <c r="K554" s="9">
        <f>IFERROR(VLOOKUP(B554,cubo!$A$6:$BE$37,17,0)-VLOOKUP(B554,#REF!,$K$2,0),0)</f>
        <v>0</v>
      </c>
      <c r="L554" s="9">
        <f>IFERROR(VLOOKUP(B554,cubo!$A$6:$BE$37,19,0)-VLOOKUP(B554,#REF!,$L$2,0),0)</f>
        <v>0</v>
      </c>
      <c r="M554" s="9">
        <f>IFERROR(VLOOKUP(B554,cubo!$A$6:$BE$37,23,0)-VLOOKUP(B554,#REF!,$M$2,0),0)</f>
        <v>0</v>
      </c>
      <c r="N554" s="9">
        <f>IFERROR(VLOOKUP(B554,cubo!$A$6:$BE$37,25,0)-VLOOKUP(B554,#REF!,$N$2,0),0)</f>
        <v>0</v>
      </c>
      <c r="O554" s="9">
        <f>IFERROR(VLOOKUP(B554,cubo!$A$6:$BE$37,33,0)-VLOOKUP(B554,#REF!,$O$2,0),0)</f>
        <v>0</v>
      </c>
      <c r="P554" s="8">
        <f>IFERROR(VLOOKUP(B554,cubo!$A$6:$BE$37,37,0)-VLOOKUP(B554,#REF!,$P$2,0),0)</f>
        <v>0</v>
      </c>
      <c r="Q554" s="8">
        <f>IFERROR(VLOOKUP(B554,cubo!$A$6:$BE$37,56,0)-VLOOKUP(B554,#REF!,$Q$2,0),0)</f>
        <v>0</v>
      </c>
      <c r="R554" s="9">
        <f>IFERROR(VLOOKUP(B554,cubo!$A$6:$BE$37,40,0)-VLOOKUP(B554,#REF!,$R$2,0),0)</f>
        <v>0</v>
      </c>
      <c r="S554" s="9">
        <f>IFERROR(VLOOKUP(B554,cubo!$A$6:$BE$37,43,0)-VLOOKUP(B554,#REF!,$S$2,0),0)</f>
        <v>0</v>
      </c>
      <c r="T554" s="9">
        <f>IFERROR(VLOOKUP(B554,cubo!$A$6:$BE$37,46,0)-VLOOKUP(B554,#REF!,$T$2,0),0)</f>
        <v>0</v>
      </c>
      <c r="U554" s="9">
        <f>IFERROR(VLOOKUP(B554,cubo!$A$6:$BE$37,51,0)-VLOOKUP(B554,#REF!,$U$2,0),0)</f>
        <v>0</v>
      </c>
      <c r="V554" s="9">
        <f>IFERROR(VLOOKUP(B554,cubo!$A$6:$BJ$37,60,0)-VLOOKUP(B554,#REF!,$V$2,0),0)</f>
        <v>0</v>
      </c>
      <c r="W554" s="9">
        <f>IFERROR(VLOOKUP(B554,cubo!$A$6:$BE$37,26,0)-VLOOKUP(B554,#REF!,$W$2,0),0)</f>
        <v>0</v>
      </c>
      <c r="X554" s="9">
        <f>IFERROR(VLOOKUP(B554,cubo!$A$6:$BE$37,20,0)-VLOOKUP(B554,#REF!,$X$2,0),0)</f>
        <v>0</v>
      </c>
      <c r="Y554" s="9">
        <f>IFERROR(VLOOKUP(B554,cubo!$A$6:$BE$37,21,0)-VLOOKUP(B554,#REF!,$Y$2,0),0)</f>
        <v>0</v>
      </c>
      <c r="Z554" s="9">
        <f>IFERROR(VLOOKUP(B554,cubo!$A$6:$BE$37,27,0)-VLOOKUP(B554,#REF!,$Z$2,0),0)</f>
        <v>0</v>
      </c>
      <c r="AA554" s="9">
        <f>IFERROR(VLOOKUP(B554,cubo!$A$6:$BE$37,28,0)-VLOOKUP(B554,#REF!,$AA$2,0),0)</f>
        <v>0</v>
      </c>
      <c r="AB554" s="9">
        <f>IFERROR(VLOOKUP(B554,cubo!$A$6:$BE$37,29,0)-VLOOKUP(B554,#REF!,$AB$2,0),0)</f>
        <v>0</v>
      </c>
      <c r="AC554" s="9">
        <f>IFERROR(VLOOKUP(B554,cubo!$A$6:$BE$37,30,0)-VLOOKUP(B554,#REF!,$AC$2,0),0)</f>
        <v>0</v>
      </c>
      <c r="AD554" s="9">
        <f>IFERROR(VLOOKUP(B554,cubo!$A$6:$BE$37,31,0)-VLOOKUP(B554,#REF!,$AD$2,0),0)</f>
        <v>0</v>
      </c>
      <c r="AE554" s="9">
        <f>IFERROR(VLOOKUP(B554,cubo!$A$6:$BE$37,35,0)-VLOOKUP(B554,#REF!,$AE$2,0),0)</f>
        <v>0</v>
      </c>
      <c r="AF554" s="9" cm="1">
        <f t="array" aca="1" ref="AF554" ca="1">IFERROR(rrPROCV(B554,cubo!$A$6:$BE$37,48,0)-VLOOKUP(B554,#REF!,$AF$2,0),0)</f>
        <v>0</v>
      </c>
      <c r="AG554" s="9">
        <f>IFERROR(VLOOKUP(B554,cubo!$A$6:$BE$37,49,0)-VLOOKUP(B554,#REF!,$AG$2,0),0)</f>
        <v>0</v>
      </c>
      <c r="AH554" s="9">
        <f>IFERROR(VLOOKUP(B554,cubo!$A$6:$BE$37,50,0)-VLOOKUP(B554,#REF!,$AH$2,0),0)</f>
        <v>0</v>
      </c>
      <c r="AI554" s="9">
        <f>IFERROR(VLOOKUP(B554,cubo!$A$6:$BE$37,51,0)-VLOOKUP(B554,#REF!,$AI$2,0),0)</f>
        <v>0</v>
      </c>
      <c r="AJ554" s="9">
        <f>IFERROR(VLOOKUP(B554,cubo!$A$6:$BI$116,62,0)-VLOOKUP(B554,#REF!,$AJ$2,0),0)</f>
        <v>0</v>
      </c>
      <c r="AK554" s="9">
        <f>IFERROR(VLOOKUP(B554,cubo!$A$6:$BJ$37,63,0)-VLOOKUP(B554,#REF!,$AK$2,0),0)</f>
        <v>0</v>
      </c>
      <c r="AL554" s="9">
        <f>IFERROR(VLOOKUP(B554,cubo!$A$6:$BE$37,58,0)-VLOOKUP(B554,#REF!,$AL$2,0),0)</f>
        <v>0</v>
      </c>
      <c r="AM554" s="9">
        <f>IFERROR(VLOOKUP(B554,cubo!$A$6:$BK$37,64,0)-VLOOKUP(B554,#REF!,$AM$2,0),0)</f>
        <v>0</v>
      </c>
      <c r="AN554" s="9">
        <f>IFERROR(VLOOKUP(B554,cubo!$A$6:$AN$37,41,0)-VLOOKUP(B554,#REF!,$AN$2,0),0)</f>
        <v>0</v>
      </c>
    </row>
    <row r="555" spans="2:40" x14ac:dyDescent="0.25">
      <c r="B555" s="7">
        <f>[1]salario!A554</f>
        <v>0</v>
      </c>
      <c r="C555" s="8">
        <f>[1]salario!C554</f>
        <v>0</v>
      </c>
      <c r="D555" s="9">
        <f>IFERROR(VLOOKUP(B555,cubo!$A$6:$BE$37,3,0)-VLOOKUP(B555,#REF!,$D$2,0),0)</f>
        <v>0</v>
      </c>
      <c r="E555" s="10">
        <f>IFERROR(VLOOKUP(B555,cubo!$A$6:$BE$37,5,0)-VLOOKUP(B555,#REF!,$E$2,0),0)</f>
        <v>0</v>
      </c>
      <c r="F555" s="10">
        <f>IFERROR(VLOOKUP(B555,cubo!$A$6:$BE$37,8,0)-VLOOKUP(B555,#REF!,$F$2,0),0)</f>
        <v>0</v>
      </c>
      <c r="G555" s="9">
        <f>IFERROR(VLOOKUP(B555,cubo!$A$6:$BE$37,11,0)-VLOOKUP(B555,#REF!,$G$2,0),0)</f>
        <v>0</v>
      </c>
      <c r="H555" s="9">
        <f>IFERROR(VLOOKUP(B555,cubo!$A$6:$BE$37,53,0)-VLOOKUP(B555,#REF!,$H$2,0),0)</f>
        <v>0</v>
      </c>
      <c r="I555" s="10">
        <f>IFERROR(VLOOKUP(B555,cubo!$A$6:$BE$37,14,0)-VLOOKUP(B555,#REF!,$I$2,0),0)</f>
        <v>0</v>
      </c>
      <c r="J555" s="9">
        <f>IFERROR(VLOOKUP(B555,cubo!$A$6:$BE$37,16,0)-VLOOKUP(B555,#REF!,$J$2,0),0)</f>
        <v>0</v>
      </c>
      <c r="K555" s="9">
        <f>IFERROR(VLOOKUP(B555,cubo!$A$6:$BE$37,17,0)-VLOOKUP(B555,#REF!,$K$2,0),0)</f>
        <v>0</v>
      </c>
      <c r="L555" s="9">
        <f>IFERROR(VLOOKUP(B555,cubo!$A$6:$BE$37,19,0)-VLOOKUP(B555,#REF!,$L$2,0),0)</f>
        <v>0</v>
      </c>
      <c r="M555" s="9">
        <f>IFERROR(VLOOKUP(B555,cubo!$A$6:$BE$37,23,0)-VLOOKUP(B555,#REF!,$M$2,0),0)</f>
        <v>0</v>
      </c>
      <c r="N555" s="9">
        <f>IFERROR(VLOOKUP(B555,cubo!$A$6:$BE$37,25,0)-VLOOKUP(B555,#REF!,$N$2,0),0)</f>
        <v>0</v>
      </c>
      <c r="O555" s="9">
        <f>IFERROR(VLOOKUP(B555,cubo!$A$6:$BE$37,33,0)-VLOOKUP(B555,#REF!,$O$2,0),0)</f>
        <v>0</v>
      </c>
      <c r="P555" s="8">
        <f>IFERROR(VLOOKUP(B555,cubo!$A$6:$BE$37,37,0)-VLOOKUP(B555,#REF!,$P$2,0),0)</f>
        <v>0</v>
      </c>
      <c r="Q555" s="8">
        <f>IFERROR(VLOOKUP(B555,cubo!$A$6:$BE$37,56,0)-VLOOKUP(B555,#REF!,$Q$2,0),0)</f>
        <v>0</v>
      </c>
      <c r="R555" s="9">
        <f>IFERROR(VLOOKUP(B555,cubo!$A$6:$BE$37,40,0)-VLOOKUP(B555,#REF!,$R$2,0),0)</f>
        <v>0</v>
      </c>
      <c r="S555" s="9">
        <f>IFERROR(VLOOKUP(B555,cubo!$A$6:$BE$37,43,0)-VLOOKUP(B555,#REF!,$S$2,0),0)</f>
        <v>0</v>
      </c>
      <c r="T555" s="9">
        <f>IFERROR(VLOOKUP(B555,cubo!$A$6:$BE$37,46,0)-VLOOKUP(B555,#REF!,$T$2,0),0)</f>
        <v>0</v>
      </c>
      <c r="U555" s="9">
        <f>IFERROR(VLOOKUP(B555,cubo!$A$6:$BE$37,51,0)-VLOOKUP(B555,#REF!,$U$2,0),0)</f>
        <v>0</v>
      </c>
      <c r="V555" s="9">
        <f>IFERROR(VLOOKUP(B555,cubo!$A$6:$BJ$37,60,0)-VLOOKUP(B555,#REF!,$V$2,0),0)</f>
        <v>0</v>
      </c>
      <c r="W555" s="9">
        <f>IFERROR(VLOOKUP(B555,cubo!$A$6:$BE$37,26,0)-VLOOKUP(B555,#REF!,$W$2,0),0)</f>
        <v>0</v>
      </c>
      <c r="X555" s="9">
        <f>IFERROR(VLOOKUP(B555,cubo!$A$6:$BE$37,20,0)-VLOOKUP(B555,#REF!,$X$2,0),0)</f>
        <v>0</v>
      </c>
      <c r="Y555" s="9">
        <f>IFERROR(VLOOKUP(B555,cubo!$A$6:$BE$37,21,0)-VLOOKUP(B555,#REF!,$Y$2,0),0)</f>
        <v>0</v>
      </c>
      <c r="Z555" s="9">
        <f>IFERROR(VLOOKUP(B555,cubo!$A$6:$BE$37,27,0)-VLOOKUP(B555,#REF!,$Z$2,0),0)</f>
        <v>0</v>
      </c>
      <c r="AA555" s="9">
        <f>IFERROR(VLOOKUP(B555,cubo!$A$6:$BE$37,28,0)-VLOOKUP(B555,#REF!,$AA$2,0),0)</f>
        <v>0</v>
      </c>
      <c r="AB555" s="9">
        <f>IFERROR(VLOOKUP(B555,cubo!$A$6:$BE$37,29,0)-VLOOKUP(B555,#REF!,$AB$2,0),0)</f>
        <v>0</v>
      </c>
      <c r="AC555" s="9">
        <f>IFERROR(VLOOKUP(B555,cubo!$A$6:$BE$37,30,0)-VLOOKUP(B555,#REF!,$AC$2,0),0)</f>
        <v>0</v>
      </c>
      <c r="AD555" s="9">
        <f>IFERROR(VLOOKUP(B555,cubo!$A$6:$BE$37,31,0)-VLOOKUP(B555,#REF!,$AD$2,0),0)</f>
        <v>0</v>
      </c>
      <c r="AE555" s="9">
        <f>IFERROR(VLOOKUP(B555,cubo!$A$6:$BE$37,35,0)-VLOOKUP(B555,#REF!,$AE$2,0),0)</f>
        <v>0</v>
      </c>
      <c r="AF555" s="9" cm="1">
        <f t="array" aca="1" ref="AF555" ca="1">IFERROR(rrPROCV(B555,cubo!$A$6:$BE$37,48,0)-VLOOKUP(B555,#REF!,$AF$2,0),0)</f>
        <v>0</v>
      </c>
      <c r="AG555" s="9">
        <f>IFERROR(VLOOKUP(B555,cubo!$A$6:$BE$37,49,0)-VLOOKUP(B555,#REF!,$AG$2,0),0)</f>
        <v>0</v>
      </c>
      <c r="AH555" s="9">
        <f>IFERROR(VLOOKUP(B555,cubo!$A$6:$BE$37,50,0)-VLOOKUP(B555,#REF!,$AH$2,0),0)</f>
        <v>0</v>
      </c>
      <c r="AI555" s="9">
        <f>IFERROR(VLOOKUP(B555,cubo!$A$6:$BE$37,51,0)-VLOOKUP(B555,#REF!,$AI$2,0),0)</f>
        <v>0</v>
      </c>
      <c r="AJ555" s="9">
        <f>IFERROR(VLOOKUP(B555,cubo!$A$6:$BI$116,62,0)-VLOOKUP(B555,#REF!,$AJ$2,0),0)</f>
        <v>0</v>
      </c>
      <c r="AK555" s="9">
        <f>IFERROR(VLOOKUP(B555,cubo!$A$6:$BJ$37,63,0)-VLOOKUP(B555,#REF!,$AK$2,0),0)</f>
        <v>0</v>
      </c>
      <c r="AL555" s="9">
        <f>IFERROR(VLOOKUP(B555,cubo!$A$6:$BE$37,58,0)-VLOOKUP(B555,#REF!,$AL$2,0),0)</f>
        <v>0</v>
      </c>
      <c r="AM555" s="9">
        <f>IFERROR(VLOOKUP(B555,cubo!$A$6:$BK$37,64,0)-VLOOKUP(B555,#REF!,$AM$2,0),0)</f>
        <v>0</v>
      </c>
      <c r="AN555" s="9">
        <f>IFERROR(VLOOKUP(B555,cubo!$A$6:$AN$37,41,0)-VLOOKUP(B555,#REF!,$AN$2,0),0)</f>
        <v>0</v>
      </c>
    </row>
    <row r="556" spans="2:40" x14ac:dyDescent="0.25">
      <c r="B556" s="7">
        <f>[1]salario!A555</f>
        <v>0</v>
      </c>
      <c r="C556" s="8">
        <f>[1]salario!C555</f>
        <v>0</v>
      </c>
      <c r="D556" s="9">
        <f>IFERROR(VLOOKUP(B556,cubo!$A$6:$BE$37,3,0)-VLOOKUP(B556,#REF!,$D$2,0),0)</f>
        <v>0</v>
      </c>
      <c r="E556" s="10">
        <f>IFERROR(VLOOKUP(B556,cubo!$A$6:$BE$37,5,0)-VLOOKUP(B556,#REF!,$E$2,0),0)</f>
        <v>0</v>
      </c>
      <c r="F556" s="10">
        <f>IFERROR(VLOOKUP(B556,cubo!$A$6:$BE$37,8,0)-VLOOKUP(B556,#REF!,$F$2,0),0)</f>
        <v>0</v>
      </c>
      <c r="G556" s="9">
        <f>IFERROR(VLOOKUP(B556,cubo!$A$6:$BE$37,11,0)-VLOOKUP(B556,#REF!,$G$2,0),0)</f>
        <v>0</v>
      </c>
      <c r="H556" s="9">
        <f>IFERROR(VLOOKUP(B556,cubo!$A$6:$BE$37,53,0)-VLOOKUP(B556,#REF!,$H$2,0),0)</f>
        <v>0</v>
      </c>
      <c r="I556" s="10">
        <f>IFERROR(VLOOKUP(B556,cubo!$A$6:$BE$37,14,0)-VLOOKUP(B556,#REF!,$I$2,0),0)</f>
        <v>0</v>
      </c>
      <c r="J556" s="9">
        <f>IFERROR(VLOOKUP(B556,cubo!$A$6:$BE$37,16,0)-VLOOKUP(B556,#REF!,$J$2,0),0)</f>
        <v>0</v>
      </c>
      <c r="K556" s="9">
        <f>IFERROR(VLOOKUP(B556,cubo!$A$6:$BE$37,17,0)-VLOOKUP(B556,#REF!,$K$2,0),0)</f>
        <v>0</v>
      </c>
      <c r="L556" s="9">
        <f>IFERROR(VLOOKUP(B556,cubo!$A$6:$BE$37,19,0)-VLOOKUP(B556,#REF!,$L$2,0),0)</f>
        <v>0</v>
      </c>
      <c r="M556" s="9">
        <f>IFERROR(VLOOKUP(B556,cubo!$A$6:$BE$37,23,0)-VLOOKUP(B556,#REF!,$M$2,0),0)</f>
        <v>0</v>
      </c>
      <c r="N556" s="9">
        <f>IFERROR(VLOOKUP(B556,cubo!$A$6:$BE$37,25,0)-VLOOKUP(B556,#REF!,$N$2,0),0)</f>
        <v>0</v>
      </c>
      <c r="O556" s="9">
        <f>IFERROR(VLOOKUP(B556,cubo!$A$6:$BE$37,33,0)-VLOOKUP(B556,#REF!,$O$2,0),0)</f>
        <v>0</v>
      </c>
      <c r="P556" s="8">
        <f>IFERROR(VLOOKUP(B556,cubo!$A$6:$BE$37,37,0)-VLOOKUP(B556,#REF!,$P$2,0),0)</f>
        <v>0</v>
      </c>
      <c r="Q556" s="8">
        <f>IFERROR(VLOOKUP(B556,cubo!$A$6:$BE$37,56,0)-VLOOKUP(B556,#REF!,$Q$2,0),0)</f>
        <v>0</v>
      </c>
      <c r="R556" s="9">
        <f>IFERROR(VLOOKUP(B556,cubo!$A$6:$BE$37,40,0)-VLOOKUP(B556,#REF!,$R$2,0),0)</f>
        <v>0</v>
      </c>
      <c r="S556" s="9">
        <f>IFERROR(VLOOKUP(B556,cubo!$A$6:$BE$37,43,0)-VLOOKUP(B556,#REF!,$S$2,0),0)</f>
        <v>0</v>
      </c>
      <c r="T556" s="9">
        <f>IFERROR(VLOOKUP(B556,cubo!$A$6:$BE$37,46,0)-VLOOKUP(B556,#REF!,$T$2,0),0)</f>
        <v>0</v>
      </c>
      <c r="U556" s="9">
        <f>IFERROR(VLOOKUP(B556,cubo!$A$6:$BE$37,51,0)-VLOOKUP(B556,#REF!,$U$2,0),0)</f>
        <v>0</v>
      </c>
      <c r="V556" s="9">
        <f>IFERROR(VLOOKUP(B556,cubo!$A$6:$BJ$37,60,0)-VLOOKUP(B556,#REF!,$V$2,0),0)</f>
        <v>0</v>
      </c>
      <c r="W556" s="9">
        <f>IFERROR(VLOOKUP(B556,cubo!$A$6:$BE$37,26,0)-VLOOKUP(B556,#REF!,$W$2,0),0)</f>
        <v>0</v>
      </c>
      <c r="X556" s="9">
        <f>IFERROR(VLOOKUP(B556,cubo!$A$6:$BE$37,20,0)-VLOOKUP(B556,#REF!,$X$2,0),0)</f>
        <v>0</v>
      </c>
      <c r="Y556" s="9">
        <f>IFERROR(VLOOKUP(B556,cubo!$A$6:$BE$37,21,0)-VLOOKUP(B556,#REF!,$Y$2,0),0)</f>
        <v>0</v>
      </c>
      <c r="Z556" s="9">
        <f>IFERROR(VLOOKUP(B556,cubo!$A$6:$BE$37,27,0)-VLOOKUP(B556,#REF!,$Z$2,0),0)</f>
        <v>0</v>
      </c>
      <c r="AA556" s="9">
        <f>IFERROR(VLOOKUP(B556,cubo!$A$6:$BE$37,28,0)-VLOOKUP(B556,#REF!,$AA$2,0),0)</f>
        <v>0</v>
      </c>
      <c r="AB556" s="9">
        <f>IFERROR(VLOOKUP(B556,cubo!$A$6:$BE$37,29,0)-VLOOKUP(B556,#REF!,$AB$2,0),0)</f>
        <v>0</v>
      </c>
      <c r="AC556" s="9">
        <f>IFERROR(VLOOKUP(B556,cubo!$A$6:$BE$37,30,0)-VLOOKUP(B556,#REF!,$AC$2,0),0)</f>
        <v>0</v>
      </c>
      <c r="AD556" s="9">
        <f>IFERROR(VLOOKUP(B556,cubo!$A$6:$BE$37,31,0)-VLOOKUP(B556,#REF!,$AD$2,0),0)</f>
        <v>0</v>
      </c>
      <c r="AE556" s="9">
        <f>IFERROR(VLOOKUP(B556,cubo!$A$6:$BE$37,35,0)-VLOOKUP(B556,#REF!,$AE$2,0),0)</f>
        <v>0</v>
      </c>
      <c r="AF556" s="9" cm="1">
        <f t="array" aca="1" ref="AF556" ca="1">IFERROR(rrPROCV(B556,cubo!$A$6:$BE$37,48,0)-VLOOKUP(B556,#REF!,$AF$2,0),0)</f>
        <v>0</v>
      </c>
      <c r="AG556" s="9">
        <f>IFERROR(VLOOKUP(B556,cubo!$A$6:$BE$37,49,0)-VLOOKUP(B556,#REF!,$AG$2,0),0)</f>
        <v>0</v>
      </c>
      <c r="AH556" s="9">
        <f>IFERROR(VLOOKUP(B556,cubo!$A$6:$BE$37,50,0)-VLOOKUP(B556,#REF!,$AH$2,0),0)</f>
        <v>0</v>
      </c>
      <c r="AI556" s="9">
        <f>IFERROR(VLOOKUP(B556,cubo!$A$6:$BE$37,51,0)-VLOOKUP(B556,#REF!,$AI$2,0),0)</f>
        <v>0</v>
      </c>
      <c r="AJ556" s="9">
        <f>IFERROR(VLOOKUP(B556,cubo!$A$6:$BI$116,62,0)-VLOOKUP(B556,#REF!,$AJ$2,0),0)</f>
        <v>0</v>
      </c>
      <c r="AK556" s="9">
        <f>IFERROR(VLOOKUP(B556,cubo!$A$6:$BJ$37,63,0)-VLOOKUP(B556,#REF!,$AK$2,0),0)</f>
        <v>0</v>
      </c>
      <c r="AL556" s="9">
        <f>IFERROR(VLOOKUP(B556,cubo!$A$6:$BE$37,58,0)-VLOOKUP(B556,#REF!,$AL$2,0),0)</f>
        <v>0</v>
      </c>
      <c r="AM556" s="9">
        <f>IFERROR(VLOOKUP(B556,cubo!$A$6:$BK$37,64,0)-VLOOKUP(B556,#REF!,$AM$2,0),0)</f>
        <v>0</v>
      </c>
      <c r="AN556" s="9">
        <f>IFERROR(VLOOKUP(B556,cubo!$A$6:$AN$37,41,0)-VLOOKUP(B556,#REF!,$AN$2,0),0)</f>
        <v>0</v>
      </c>
    </row>
    <row r="557" spans="2:40" x14ac:dyDescent="0.25">
      <c r="B557" s="7">
        <f>[1]salario!A556</f>
        <v>0</v>
      </c>
      <c r="C557" s="8">
        <f>[1]salario!C556</f>
        <v>0</v>
      </c>
      <c r="D557" s="9">
        <f>IFERROR(VLOOKUP(B557,cubo!$A$6:$BE$37,3,0)-VLOOKUP(B557,#REF!,$D$2,0),0)</f>
        <v>0</v>
      </c>
      <c r="E557" s="10">
        <f>IFERROR(VLOOKUP(B557,cubo!$A$6:$BE$37,5,0)-VLOOKUP(B557,#REF!,$E$2,0),0)</f>
        <v>0</v>
      </c>
      <c r="F557" s="10">
        <f>IFERROR(VLOOKUP(B557,cubo!$A$6:$BE$37,8,0)-VLOOKUP(B557,#REF!,$F$2,0),0)</f>
        <v>0</v>
      </c>
      <c r="G557" s="9">
        <f>IFERROR(VLOOKUP(B557,cubo!$A$6:$BE$37,11,0)-VLOOKUP(B557,#REF!,$G$2,0),0)</f>
        <v>0</v>
      </c>
      <c r="H557" s="9">
        <f>IFERROR(VLOOKUP(B557,cubo!$A$6:$BE$37,53,0)-VLOOKUP(B557,#REF!,$H$2,0),0)</f>
        <v>0</v>
      </c>
      <c r="I557" s="10">
        <f>IFERROR(VLOOKUP(B557,cubo!$A$6:$BE$37,14,0)-VLOOKUP(B557,#REF!,$I$2,0),0)</f>
        <v>0</v>
      </c>
      <c r="J557" s="9">
        <f>IFERROR(VLOOKUP(B557,cubo!$A$6:$BE$37,16,0)-VLOOKUP(B557,#REF!,$J$2,0),0)</f>
        <v>0</v>
      </c>
      <c r="K557" s="9">
        <f>IFERROR(VLOOKUP(B557,cubo!$A$6:$BE$37,17,0)-VLOOKUP(B557,#REF!,$K$2,0),0)</f>
        <v>0</v>
      </c>
      <c r="L557" s="9">
        <f>IFERROR(VLOOKUP(B557,cubo!$A$6:$BE$37,19,0)-VLOOKUP(B557,#REF!,$L$2,0),0)</f>
        <v>0</v>
      </c>
      <c r="M557" s="9">
        <f>IFERROR(VLOOKUP(B557,cubo!$A$6:$BE$37,23,0)-VLOOKUP(B557,#REF!,$M$2,0),0)</f>
        <v>0</v>
      </c>
      <c r="N557" s="9">
        <f>IFERROR(VLOOKUP(B557,cubo!$A$6:$BE$37,25,0)-VLOOKUP(B557,#REF!,$N$2,0),0)</f>
        <v>0</v>
      </c>
      <c r="O557" s="9">
        <f>IFERROR(VLOOKUP(B557,cubo!$A$6:$BE$37,33,0)-VLOOKUP(B557,#REF!,$O$2,0),0)</f>
        <v>0</v>
      </c>
      <c r="P557" s="8">
        <f>IFERROR(VLOOKUP(B557,cubo!$A$6:$BE$37,37,0)-VLOOKUP(B557,#REF!,$P$2,0),0)</f>
        <v>0</v>
      </c>
      <c r="Q557" s="8">
        <f>IFERROR(VLOOKUP(B557,cubo!$A$6:$BE$37,56,0)-VLOOKUP(B557,#REF!,$Q$2,0),0)</f>
        <v>0</v>
      </c>
      <c r="R557" s="9">
        <f>IFERROR(VLOOKUP(B557,cubo!$A$6:$BE$37,40,0)-VLOOKUP(B557,#REF!,$R$2,0),0)</f>
        <v>0</v>
      </c>
      <c r="S557" s="9">
        <f>IFERROR(VLOOKUP(B557,cubo!$A$6:$BE$37,43,0)-VLOOKUP(B557,#REF!,$S$2,0),0)</f>
        <v>0</v>
      </c>
      <c r="T557" s="9">
        <f>IFERROR(VLOOKUP(B557,cubo!$A$6:$BE$37,46,0)-VLOOKUP(B557,#REF!,$T$2,0),0)</f>
        <v>0</v>
      </c>
      <c r="U557" s="9">
        <f>IFERROR(VLOOKUP(B557,cubo!$A$6:$BE$37,51,0)-VLOOKUP(B557,#REF!,$U$2,0),0)</f>
        <v>0</v>
      </c>
      <c r="V557" s="9">
        <f>IFERROR(VLOOKUP(B557,cubo!$A$6:$BJ$37,60,0)-VLOOKUP(B557,#REF!,$V$2,0),0)</f>
        <v>0</v>
      </c>
      <c r="W557" s="9">
        <f>IFERROR(VLOOKUP(B557,cubo!$A$6:$BE$37,26,0)-VLOOKUP(B557,#REF!,$W$2,0),0)</f>
        <v>0</v>
      </c>
      <c r="X557" s="9">
        <f>IFERROR(VLOOKUP(B557,cubo!$A$6:$BE$37,20,0)-VLOOKUP(B557,#REF!,$X$2,0),0)</f>
        <v>0</v>
      </c>
      <c r="Y557" s="9">
        <f>IFERROR(VLOOKUP(B557,cubo!$A$6:$BE$37,21,0)-VLOOKUP(B557,#REF!,$Y$2,0),0)</f>
        <v>0</v>
      </c>
      <c r="Z557" s="9">
        <f>IFERROR(VLOOKUP(B557,cubo!$A$6:$BE$37,27,0)-VLOOKUP(B557,#REF!,$Z$2,0),0)</f>
        <v>0</v>
      </c>
      <c r="AA557" s="9">
        <f>IFERROR(VLOOKUP(B557,cubo!$A$6:$BE$37,28,0)-VLOOKUP(B557,#REF!,$AA$2,0),0)</f>
        <v>0</v>
      </c>
      <c r="AB557" s="9">
        <f>IFERROR(VLOOKUP(B557,cubo!$A$6:$BE$37,29,0)-VLOOKUP(B557,#REF!,$AB$2,0),0)</f>
        <v>0</v>
      </c>
      <c r="AC557" s="9">
        <f>IFERROR(VLOOKUP(B557,cubo!$A$6:$BE$37,30,0)-VLOOKUP(B557,#REF!,$AC$2,0),0)</f>
        <v>0</v>
      </c>
      <c r="AD557" s="9">
        <f>IFERROR(VLOOKUP(B557,cubo!$A$6:$BE$37,31,0)-VLOOKUP(B557,#REF!,$AD$2,0),0)</f>
        <v>0</v>
      </c>
      <c r="AE557" s="9">
        <f>IFERROR(VLOOKUP(B557,cubo!$A$6:$BE$37,35,0)-VLOOKUP(B557,#REF!,$AE$2,0),0)</f>
        <v>0</v>
      </c>
      <c r="AF557" s="9" cm="1">
        <f t="array" aca="1" ref="AF557" ca="1">IFERROR(rrPROCV(B557,cubo!$A$6:$BE$37,48,0)-VLOOKUP(B557,#REF!,$AF$2,0),0)</f>
        <v>0</v>
      </c>
      <c r="AG557" s="9">
        <f>IFERROR(VLOOKUP(B557,cubo!$A$6:$BE$37,49,0)-VLOOKUP(B557,#REF!,$AG$2,0),0)</f>
        <v>0</v>
      </c>
      <c r="AH557" s="9">
        <f>IFERROR(VLOOKUP(B557,cubo!$A$6:$BE$37,50,0)-VLOOKUP(B557,#REF!,$AH$2,0),0)</f>
        <v>0</v>
      </c>
      <c r="AI557" s="9">
        <f>IFERROR(VLOOKUP(B557,cubo!$A$6:$BE$37,51,0)-VLOOKUP(B557,#REF!,$AI$2,0),0)</f>
        <v>0</v>
      </c>
      <c r="AJ557" s="9">
        <f>IFERROR(VLOOKUP(B557,cubo!$A$6:$BI$116,62,0)-VLOOKUP(B557,#REF!,$AJ$2,0),0)</f>
        <v>0</v>
      </c>
      <c r="AK557" s="9">
        <f>IFERROR(VLOOKUP(B557,cubo!$A$6:$BJ$37,63,0)-VLOOKUP(B557,#REF!,$AK$2,0),0)</f>
        <v>0</v>
      </c>
      <c r="AL557" s="9">
        <f>IFERROR(VLOOKUP(B557,cubo!$A$6:$BE$37,58,0)-VLOOKUP(B557,#REF!,$AL$2,0),0)</f>
        <v>0</v>
      </c>
      <c r="AM557" s="9">
        <f>IFERROR(VLOOKUP(B557,cubo!$A$6:$BK$37,64,0)-VLOOKUP(B557,#REF!,$AM$2,0),0)</f>
        <v>0</v>
      </c>
      <c r="AN557" s="9">
        <f>IFERROR(VLOOKUP(B557,cubo!$A$6:$AN$37,41,0)-VLOOKUP(B557,#REF!,$AN$2,0),0)</f>
        <v>0</v>
      </c>
    </row>
    <row r="558" spans="2:40" x14ac:dyDescent="0.25">
      <c r="B558" s="7">
        <f>[1]salario!A557</f>
        <v>0</v>
      </c>
      <c r="C558" s="8">
        <f>[1]salario!C557</f>
        <v>0</v>
      </c>
      <c r="D558" s="9">
        <f>IFERROR(VLOOKUP(B558,cubo!$A$6:$BE$37,3,0)-VLOOKUP(B558,#REF!,$D$2,0),0)</f>
        <v>0</v>
      </c>
      <c r="E558" s="10">
        <f>IFERROR(VLOOKUP(B558,cubo!$A$6:$BE$37,5,0)-VLOOKUP(B558,#REF!,$E$2,0),0)</f>
        <v>0</v>
      </c>
      <c r="F558" s="10">
        <f>IFERROR(VLOOKUP(B558,cubo!$A$6:$BE$37,8,0)-VLOOKUP(B558,#REF!,$F$2,0),0)</f>
        <v>0</v>
      </c>
      <c r="G558" s="9">
        <f>IFERROR(VLOOKUP(B558,cubo!$A$6:$BE$37,11,0)-VLOOKUP(B558,#REF!,$G$2,0),0)</f>
        <v>0</v>
      </c>
      <c r="H558" s="9">
        <f>IFERROR(VLOOKUP(B558,cubo!$A$6:$BE$37,53,0)-VLOOKUP(B558,#REF!,$H$2,0),0)</f>
        <v>0</v>
      </c>
      <c r="I558" s="10">
        <f>IFERROR(VLOOKUP(B558,cubo!$A$6:$BE$37,14,0)-VLOOKUP(B558,#REF!,$I$2,0),0)</f>
        <v>0</v>
      </c>
      <c r="J558" s="9">
        <f>IFERROR(VLOOKUP(B558,cubo!$A$6:$BE$37,16,0)-VLOOKUP(B558,#REF!,$J$2,0),0)</f>
        <v>0</v>
      </c>
      <c r="K558" s="9">
        <f>IFERROR(VLOOKUP(B558,cubo!$A$6:$BE$37,17,0)-VLOOKUP(B558,#REF!,$K$2,0),0)</f>
        <v>0</v>
      </c>
      <c r="L558" s="9">
        <f>IFERROR(VLOOKUP(B558,cubo!$A$6:$BE$37,19,0)-VLOOKUP(B558,#REF!,$L$2,0),0)</f>
        <v>0</v>
      </c>
      <c r="M558" s="9">
        <f>IFERROR(VLOOKUP(B558,cubo!$A$6:$BE$37,23,0)-VLOOKUP(B558,#REF!,$M$2,0),0)</f>
        <v>0</v>
      </c>
      <c r="N558" s="9">
        <f>IFERROR(VLOOKUP(B558,cubo!$A$6:$BE$37,25,0)-VLOOKUP(B558,#REF!,$N$2,0),0)</f>
        <v>0</v>
      </c>
      <c r="O558" s="9">
        <f>IFERROR(VLOOKUP(B558,cubo!$A$6:$BE$37,33,0)-VLOOKUP(B558,#REF!,$O$2,0),0)</f>
        <v>0</v>
      </c>
      <c r="P558" s="8">
        <f>IFERROR(VLOOKUP(B558,cubo!$A$6:$BE$37,37,0)-VLOOKUP(B558,#REF!,$P$2,0),0)</f>
        <v>0</v>
      </c>
      <c r="Q558" s="8">
        <f>IFERROR(VLOOKUP(B558,cubo!$A$6:$BE$37,56,0)-VLOOKUP(B558,#REF!,$Q$2,0),0)</f>
        <v>0</v>
      </c>
      <c r="R558" s="9">
        <f>IFERROR(VLOOKUP(B558,cubo!$A$6:$BE$37,40,0)-VLOOKUP(B558,#REF!,$R$2,0),0)</f>
        <v>0</v>
      </c>
      <c r="S558" s="9">
        <f>IFERROR(VLOOKUP(B558,cubo!$A$6:$BE$37,43,0)-VLOOKUP(B558,#REF!,$S$2,0),0)</f>
        <v>0</v>
      </c>
      <c r="T558" s="9">
        <f>IFERROR(VLOOKUP(B558,cubo!$A$6:$BE$37,46,0)-VLOOKUP(B558,#REF!,$T$2,0),0)</f>
        <v>0</v>
      </c>
      <c r="U558" s="9">
        <f>IFERROR(VLOOKUP(B558,cubo!$A$6:$BE$37,51,0)-VLOOKUP(B558,#REF!,$U$2,0),0)</f>
        <v>0</v>
      </c>
      <c r="V558" s="9">
        <f>IFERROR(VLOOKUP(B558,cubo!$A$6:$BJ$37,60,0)-VLOOKUP(B558,#REF!,$V$2,0),0)</f>
        <v>0</v>
      </c>
      <c r="W558" s="9">
        <f>IFERROR(VLOOKUP(B558,cubo!$A$6:$BE$37,26,0)-VLOOKUP(B558,#REF!,$W$2,0),0)</f>
        <v>0</v>
      </c>
      <c r="X558" s="9">
        <f>IFERROR(VLOOKUP(B558,cubo!$A$6:$BE$37,20,0)-VLOOKUP(B558,#REF!,$X$2,0),0)</f>
        <v>0</v>
      </c>
      <c r="Y558" s="9">
        <f>IFERROR(VLOOKUP(B558,cubo!$A$6:$BE$37,21,0)-VLOOKUP(B558,#REF!,$Y$2,0),0)</f>
        <v>0</v>
      </c>
      <c r="Z558" s="9">
        <f>IFERROR(VLOOKUP(B558,cubo!$A$6:$BE$37,27,0)-VLOOKUP(B558,#REF!,$Z$2,0),0)</f>
        <v>0</v>
      </c>
      <c r="AA558" s="9">
        <f>IFERROR(VLOOKUP(B558,cubo!$A$6:$BE$37,28,0)-VLOOKUP(B558,#REF!,$AA$2,0),0)</f>
        <v>0</v>
      </c>
      <c r="AB558" s="9">
        <f>IFERROR(VLOOKUP(B558,cubo!$A$6:$BE$37,29,0)-VLOOKUP(B558,#REF!,$AB$2,0),0)</f>
        <v>0</v>
      </c>
      <c r="AC558" s="9">
        <f>IFERROR(VLOOKUP(B558,cubo!$A$6:$BE$37,30,0)-VLOOKUP(B558,#REF!,$AC$2,0),0)</f>
        <v>0</v>
      </c>
      <c r="AD558" s="9">
        <f>IFERROR(VLOOKUP(B558,cubo!$A$6:$BE$37,31,0)-VLOOKUP(B558,#REF!,$AD$2,0),0)</f>
        <v>0</v>
      </c>
      <c r="AE558" s="9">
        <f>IFERROR(VLOOKUP(B558,cubo!$A$6:$BE$37,35,0)-VLOOKUP(B558,#REF!,$AE$2,0),0)</f>
        <v>0</v>
      </c>
      <c r="AF558" s="9" cm="1">
        <f t="array" aca="1" ref="AF558" ca="1">IFERROR(rrPROCV(B558,cubo!$A$6:$BE$37,48,0)-VLOOKUP(B558,#REF!,$AF$2,0),0)</f>
        <v>0</v>
      </c>
      <c r="AG558" s="9">
        <f>IFERROR(VLOOKUP(B558,cubo!$A$6:$BE$37,49,0)-VLOOKUP(B558,#REF!,$AG$2,0),0)</f>
        <v>0</v>
      </c>
      <c r="AH558" s="9">
        <f>IFERROR(VLOOKUP(B558,cubo!$A$6:$BE$37,50,0)-VLOOKUP(B558,#REF!,$AH$2,0),0)</f>
        <v>0</v>
      </c>
      <c r="AI558" s="9">
        <f>IFERROR(VLOOKUP(B558,cubo!$A$6:$BE$37,51,0)-VLOOKUP(B558,#REF!,$AI$2,0),0)</f>
        <v>0</v>
      </c>
      <c r="AJ558" s="9">
        <f>IFERROR(VLOOKUP(B558,cubo!$A$6:$BI$116,62,0)-VLOOKUP(B558,#REF!,$AJ$2,0),0)</f>
        <v>0</v>
      </c>
      <c r="AK558" s="9">
        <f>IFERROR(VLOOKUP(B558,cubo!$A$6:$BJ$37,63,0)-VLOOKUP(B558,#REF!,$AK$2,0),0)</f>
        <v>0</v>
      </c>
      <c r="AL558" s="9">
        <f>IFERROR(VLOOKUP(B558,cubo!$A$6:$BE$37,58,0)-VLOOKUP(B558,#REF!,$AL$2,0),0)</f>
        <v>0</v>
      </c>
      <c r="AM558" s="9">
        <f>IFERROR(VLOOKUP(B558,cubo!$A$6:$BK$37,64,0)-VLOOKUP(B558,#REF!,$AM$2,0),0)</f>
        <v>0</v>
      </c>
      <c r="AN558" s="9">
        <f>IFERROR(VLOOKUP(B558,cubo!$A$6:$AN$37,41,0)-VLOOKUP(B558,#REF!,$AN$2,0),0)</f>
        <v>0</v>
      </c>
    </row>
    <row r="559" spans="2:40" x14ac:dyDescent="0.25">
      <c r="B559" s="7">
        <f>[1]salario!A558</f>
        <v>0</v>
      </c>
      <c r="C559" s="8">
        <f>[1]salario!C558</f>
        <v>0</v>
      </c>
      <c r="D559" s="9">
        <f>IFERROR(VLOOKUP(B559,cubo!$A$6:$BE$37,3,0)-VLOOKUP(B559,#REF!,$D$2,0),0)</f>
        <v>0</v>
      </c>
      <c r="E559" s="10">
        <f>IFERROR(VLOOKUP(B559,cubo!$A$6:$BE$37,5,0)-VLOOKUP(B559,#REF!,$E$2,0),0)</f>
        <v>0</v>
      </c>
      <c r="F559" s="10">
        <f>IFERROR(VLOOKUP(B559,cubo!$A$6:$BE$37,8,0)-VLOOKUP(B559,#REF!,$F$2,0),0)</f>
        <v>0</v>
      </c>
      <c r="G559" s="9">
        <f>IFERROR(VLOOKUP(B559,cubo!$A$6:$BE$37,11,0)-VLOOKUP(B559,#REF!,$G$2,0),0)</f>
        <v>0</v>
      </c>
      <c r="H559" s="9">
        <f>IFERROR(VLOOKUP(B559,cubo!$A$6:$BE$37,53,0)-VLOOKUP(B559,#REF!,$H$2,0),0)</f>
        <v>0</v>
      </c>
      <c r="I559" s="10">
        <f>IFERROR(VLOOKUP(B559,cubo!$A$6:$BE$37,14,0)-VLOOKUP(B559,#REF!,$I$2,0),0)</f>
        <v>0</v>
      </c>
      <c r="J559" s="9">
        <f>IFERROR(VLOOKUP(B559,cubo!$A$6:$BE$37,16,0)-VLOOKUP(B559,#REF!,$J$2,0),0)</f>
        <v>0</v>
      </c>
      <c r="K559" s="9">
        <f>IFERROR(VLOOKUP(B559,cubo!$A$6:$BE$37,17,0)-VLOOKUP(B559,#REF!,$K$2,0),0)</f>
        <v>0</v>
      </c>
      <c r="L559" s="9">
        <f>IFERROR(VLOOKUP(B559,cubo!$A$6:$BE$37,19,0)-VLOOKUP(B559,#REF!,$L$2,0),0)</f>
        <v>0</v>
      </c>
      <c r="M559" s="9">
        <f>IFERROR(VLOOKUP(B559,cubo!$A$6:$BE$37,23,0)-VLOOKUP(B559,#REF!,$M$2,0),0)</f>
        <v>0</v>
      </c>
      <c r="N559" s="9">
        <f>IFERROR(VLOOKUP(B559,cubo!$A$6:$BE$37,25,0)-VLOOKUP(B559,#REF!,$N$2,0),0)</f>
        <v>0</v>
      </c>
      <c r="O559" s="9">
        <f>IFERROR(VLOOKUP(B559,cubo!$A$6:$BE$37,33,0)-VLOOKUP(B559,#REF!,$O$2,0),0)</f>
        <v>0</v>
      </c>
      <c r="P559" s="8">
        <f>IFERROR(VLOOKUP(B559,cubo!$A$6:$BE$37,37,0)-VLOOKUP(B559,#REF!,$P$2,0),0)</f>
        <v>0</v>
      </c>
      <c r="Q559" s="8">
        <f>IFERROR(VLOOKUP(B559,cubo!$A$6:$BE$37,56,0)-VLOOKUP(B559,#REF!,$Q$2,0),0)</f>
        <v>0</v>
      </c>
      <c r="R559" s="9">
        <f>IFERROR(VLOOKUP(B559,cubo!$A$6:$BE$37,40,0)-VLOOKUP(B559,#REF!,$R$2,0),0)</f>
        <v>0</v>
      </c>
      <c r="S559" s="9">
        <f>IFERROR(VLOOKUP(B559,cubo!$A$6:$BE$37,43,0)-VLOOKUP(B559,#REF!,$S$2,0),0)</f>
        <v>0</v>
      </c>
      <c r="T559" s="9">
        <f>IFERROR(VLOOKUP(B559,cubo!$A$6:$BE$37,46,0)-VLOOKUP(B559,#REF!,$T$2,0),0)</f>
        <v>0</v>
      </c>
      <c r="U559" s="9">
        <f>IFERROR(VLOOKUP(B559,cubo!$A$6:$BE$37,51,0)-VLOOKUP(B559,#REF!,$U$2,0),0)</f>
        <v>0</v>
      </c>
      <c r="V559" s="9">
        <f>IFERROR(VLOOKUP(B559,cubo!$A$6:$BJ$37,60,0)-VLOOKUP(B559,#REF!,$V$2,0),0)</f>
        <v>0</v>
      </c>
      <c r="W559" s="9">
        <f>IFERROR(VLOOKUP(B559,cubo!$A$6:$BE$37,26,0)-VLOOKUP(B559,#REF!,$W$2,0),0)</f>
        <v>0</v>
      </c>
      <c r="X559" s="9">
        <f>IFERROR(VLOOKUP(B559,cubo!$A$6:$BE$37,20,0)-VLOOKUP(B559,#REF!,$X$2,0),0)</f>
        <v>0</v>
      </c>
      <c r="Y559" s="9">
        <f>IFERROR(VLOOKUP(B559,cubo!$A$6:$BE$37,21,0)-VLOOKUP(B559,#REF!,$Y$2,0),0)</f>
        <v>0</v>
      </c>
      <c r="Z559" s="9">
        <f>IFERROR(VLOOKUP(B559,cubo!$A$6:$BE$37,27,0)-VLOOKUP(B559,#REF!,$Z$2,0),0)</f>
        <v>0</v>
      </c>
      <c r="AA559" s="9">
        <f>IFERROR(VLOOKUP(B559,cubo!$A$6:$BE$37,28,0)-VLOOKUP(B559,#REF!,$AA$2,0),0)</f>
        <v>0</v>
      </c>
      <c r="AB559" s="9">
        <f>IFERROR(VLOOKUP(B559,cubo!$A$6:$BE$37,29,0)-VLOOKUP(B559,#REF!,$AB$2,0),0)</f>
        <v>0</v>
      </c>
      <c r="AC559" s="9">
        <f>IFERROR(VLOOKUP(B559,cubo!$A$6:$BE$37,30,0)-VLOOKUP(B559,#REF!,$AC$2,0),0)</f>
        <v>0</v>
      </c>
      <c r="AD559" s="9">
        <f>IFERROR(VLOOKUP(B559,cubo!$A$6:$BE$37,31,0)-VLOOKUP(B559,#REF!,$AD$2,0),0)</f>
        <v>0</v>
      </c>
      <c r="AE559" s="9">
        <f>IFERROR(VLOOKUP(B559,cubo!$A$6:$BE$37,35,0)-VLOOKUP(B559,#REF!,$AE$2,0),0)</f>
        <v>0</v>
      </c>
      <c r="AF559" s="9" cm="1">
        <f t="array" aca="1" ref="AF559" ca="1">IFERROR(rrPROCV(B559,cubo!$A$6:$BE$37,48,0)-VLOOKUP(B559,#REF!,$AF$2,0),0)</f>
        <v>0</v>
      </c>
      <c r="AG559" s="9">
        <f>IFERROR(VLOOKUP(B559,cubo!$A$6:$BE$37,49,0)-VLOOKUP(B559,#REF!,$AG$2,0),0)</f>
        <v>0</v>
      </c>
      <c r="AH559" s="9">
        <f>IFERROR(VLOOKUP(B559,cubo!$A$6:$BE$37,50,0)-VLOOKUP(B559,#REF!,$AH$2,0),0)</f>
        <v>0</v>
      </c>
      <c r="AI559" s="9">
        <f>IFERROR(VLOOKUP(B559,cubo!$A$6:$BE$37,51,0)-VLOOKUP(B559,#REF!,$AI$2,0),0)</f>
        <v>0</v>
      </c>
      <c r="AJ559" s="9">
        <f>IFERROR(VLOOKUP(B559,cubo!$A$6:$BI$116,62,0)-VLOOKUP(B559,#REF!,$AJ$2,0),0)</f>
        <v>0</v>
      </c>
      <c r="AK559" s="9">
        <f>IFERROR(VLOOKUP(B559,cubo!$A$6:$BJ$37,63,0)-VLOOKUP(B559,#REF!,$AK$2,0),0)</f>
        <v>0</v>
      </c>
      <c r="AL559" s="9">
        <f>IFERROR(VLOOKUP(B559,cubo!$A$6:$BE$37,58,0)-VLOOKUP(B559,#REF!,$AL$2,0),0)</f>
        <v>0</v>
      </c>
      <c r="AM559" s="9">
        <f>IFERROR(VLOOKUP(B559,cubo!$A$6:$BK$37,64,0)-VLOOKUP(B559,#REF!,$AM$2,0),0)</f>
        <v>0</v>
      </c>
      <c r="AN559" s="9">
        <f>IFERROR(VLOOKUP(B559,cubo!$A$6:$AN$37,41,0)-VLOOKUP(B559,#REF!,$AN$2,0),0)</f>
        <v>0</v>
      </c>
    </row>
    <row r="560" spans="2:40" x14ac:dyDescent="0.25">
      <c r="B560" s="7">
        <f>[1]salario!A559</f>
        <v>0</v>
      </c>
      <c r="C560" s="8">
        <f>[1]salario!C559</f>
        <v>0</v>
      </c>
      <c r="D560" s="9">
        <f>IFERROR(VLOOKUP(B560,cubo!$A$6:$BE$37,3,0)-VLOOKUP(B560,#REF!,$D$2,0),0)</f>
        <v>0</v>
      </c>
      <c r="E560" s="10">
        <f>IFERROR(VLOOKUP(B560,cubo!$A$6:$BE$37,5,0)-VLOOKUP(B560,#REF!,$E$2,0),0)</f>
        <v>0</v>
      </c>
      <c r="F560" s="10">
        <f>IFERROR(VLOOKUP(B560,cubo!$A$6:$BE$37,8,0)-VLOOKUP(B560,#REF!,$F$2,0),0)</f>
        <v>0</v>
      </c>
      <c r="G560" s="9">
        <f>IFERROR(VLOOKUP(B560,cubo!$A$6:$BE$37,11,0)-VLOOKUP(B560,#REF!,$G$2,0),0)</f>
        <v>0</v>
      </c>
      <c r="H560" s="9">
        <f>IFERROR(VLOOKUP(B560,cubo!$A$6:$BE$37,53,0)-VLOOKUP(B560,#REF!,$H$2,0),0)</f>
        <v>0</v>
      </c>
      <c r="I560" s="10">
        <f>IFERROR(VLOOKUP(B560,cubo!$A$6:$BE$37,14,0)-VLOOKUP(B560,#REF!,$I$2,0),0)</f>
        <v>0</v>
      </c>
      <c r="J560" s="9">
        <f>IFERROR(VLOOKUP(B560,cubo!$A$6:$BE$37,16,0)-VLOOKUP(B560,#REF!,$J$2,0),0)</f>
        <v>0</v>
      </c>
      <c r="K560" s="9">
        <f>IFERROR(VLOOKUP(B560,cubo!$A$6:$BE$37,17,0)-VLOOKUP(B560,#REF!,$K$2,0),0)</f>
        <v>0</v>
      </c>
      <c r="L560" s="9">
        <f>IFERROR(VLOOKUP(B560,cubo!$A$6:$BE$37,19,0)-VLOOKUP(B560,#REF!,$L$2,0),0)</f>
        <v>0</v>
      </c>
      <c r="M560" s="9">
        <f>IFERROR(VLOOKUP(B560,cubo!$A$6:$BE$37,23,0)-VLOOKUP(B560,#REF!,$M$2,0),0)</f>
        <v>0</v>
      </c>
      <c r="N560" s="9">
        <f>IFERROR(VLOOKUP(B560,cubo!$A$6:$BE$37,25,0)-VLOOKUP(B560,#REF!,$N$2,0),0)</f>
        <v>0</v>
      </c>
      <c r="O560" s="9">
        <f>IFERROR(VLOOKUP(B560,cubo!$A$6:$BE$37,33,0)-VLOOKUP(B560,#REF!,$O$2,0),0)</f>
        <v>0</v>
      </c>
      <c r="P560" s="8">
        <f>IFERROR(VLOOKUP(B560,cubo!$A$6:$BE$37,37,0)-VLOOKUP(B560,#REF!,$P$2,0),0)</f>
        <v>0</v>
      </c>
      <c r="Q560" s="8">
        <f>IFERROR(VLOOKUP(B560,cubo!$A$6:$BE$37,56,0)-VLOOKUP(B560,#REF!,$Q$2,0),0)</f>
        <v>0</v>
      </c>
      <c r="R560" s="9">
        <f>IFERROR(VLOOKUP(B560,cubo!$A$6:$BE$37,40,0)-VLOOKUP(B560,#REF!,$R$2,0),0)</f>
        <v>0</v>
      </c>
      <c r="S560" s="9">
        <f>IFERROR(VLOOKUP(B560,cubo!$A$6:$BE$37,43,0)-VLOOKUP(B560,#REF!,$S$2,0),0)</f>
        <v>0</v>
      </c>
      <c r="T560" s="9">
        <f>IFERROR(VLOOKUP(B560,cubo!$A$6:$BE$37,46,0)-VLOOKUP(B560,#REF!,$T$2,0),0)</f>
        <v>0</v>
      </c>
      <c r="U560" s="9">
        <f>IFERROR(VLOOKUP(B560,cubo!$A$6:$BE$37,51,0)-VLOOKUP(B560,#REF!,$U$2,0),0)</f>
        <v>0</v>
      </c>
      <c r="V560" s="9">
        <f>IFERROR(VLOOKUP(B560,cubo!$A$6:$BJ$37,60,0)-VLOOKUP(B560,#REF!,$V$2,0),0)</f>
        <v>0</v>
      </c>
      <c r="W560" s="9">
        <f>IFERROR(VLOOKUP(B560,cubo!$A$6:$BE$37,26,0)-VLOOKUP(B560,#REF!,$W$2,0),0)</f>
        <v>0</v>
      </c>
      <c r="X560" s="9">
        <f>IFERROR(VLOOKUP(B560,cubo!$A$6:$BE$37,20,0)-VLOOKUP(B560,#REF!,$X$2,0),0)</f>
        <v>0</v>
      </c>
      <c r="Y560" s="9">
        <f>IFERROR(VLOOKUP(B560,cubo!$A$6:$BE$37,21,0)-VLOOKUP(B560,#REF!,$Y$2,0),0)</f>
        <v>0</v>
      </c>
      <c r="Z560" s="9">
        <f>IFERROR(VLOOKUP(B560,cubo!$A$6:$BE$37,27,0)-VLOOKUP(B560,#REF!,$Z$2,0),0)</f>
        <v>0</v>
      </c>
      <c r="AA560" s="9">
        <f>IFERROR(VLOOKUP(B560,cubo!$A$6:$BE$37,28,0)-VLOOKUP(B560,#REF!,$AA$2,0),0)</f>
        <v>0</v>
      </c>
      <c r="AB560" s="9">
        <f>IFERROR(VLOOKUP(B560,cubo!$A$6:$BE$37,29,0)-VLOOKUP(B560,#REF!,$AB$2,0),0)</f>
        <v>0</v>
      </c>
      <c r="AC560" s="9">
        <f>IFERROR(VLOOKUP(B560,cubo!$A$6:$BE$37,30,0)-VLOOKUP(B560,#REF!,$AC$2,0),0)</f>
        <v>0</v>
      </c>
      <c r="AD560" s="9">
        <f>IFERROR(VLOOKUP(B560,cubo!$A$6:$BE$37,31,0)-VLOOKUP(B560,#REF!,$AD$2,0),0)</f>
        <v>0</v>
      </c>
      <c r="AE560" s="9">
        <f>IFERROR(VLOOKUP(B560,cubo!$A$6:$BE$37,35,0)-VLOOKUP(B560,#REF!,$AE$2,0),0)</f>
        <v>0</v>
      </c>
      <c r="AF560" s="9" cm="1">
        <f t="array" aca="1" ref="AF560" ca="1">IFERROR(rrPROCV(B560,cubo!$A$6:$BE$37,48,0)-VLOOKUP(B560,#REF!,$AF$2,0),0)</f>
        <v>0</v>
      </c>
      <c r="AG560" s="9">
        <f>IFERROR(VLOOKUP(B560,cubo!$A$6:$BE$37,49,0)-VLOOKUP(B560,#REF!,$AG$2,0),0)</f>
        <v>0</v>
      </c>
      <c r="AH560" s="9">
        <f>IFERROR(VLOOKUP(B560,cubo!$A$6:$BE$37,50,0)-VLOOKUP(B560,#REF!,$AH$2,0),0)</f>
        <v>0</v>
      </c>
      <c r="AI560" s="9">
        <f>IFERROR(VLOOKUP(B560,cubo!$A$6:$BE$37,51,0)-VLOOKUP(B560,#REF!,$AI$2,0),0)</f>
        <v>0</v>
      </c>
      <c r="AJ560" s="9">
        <f>IFERROR(VLOOKUP(B560,cubo!$A$6:$BI$116,62,0)-VLOOKUP(B560,#REF!,$AJ$2,0),0)</f>
        <v>0</v>
      </c>
      <c r="AK560" s="9">
        <f>IFERROR(VLOOKUP(B560,cubo!$A$6:$BJ$37,63,0)-VLOOKUP(B560,#REF!,$AK$2,0),0)</f>
        <v>0</v>
      </c>
      <c r="AL560" s="9">
        <f>IFERROR(VLOOKUP(B560,cubo!$A$6:$BE$37,58,0)-VLOOKUP(B560,#REF!,$AL$2,0),0)</f>
        <v>0</v>
      </c>
      <c r="AM560" s="9">
        <f>IFERROR(VLOOKUP(B560,cubo!$A$6:$BK$37,64,0)-VLOOKUP(B560,#REF!,$AM$2,0),0)</f>
        <v>0</v>
      </c>
      <c r="AN560" s="9">
        <f>IFERROR(VLOOKUP(B560,cubo!$A$6:$AN$37,41,0)-VLOOKUP(B560,#REF!,$AN$2,0),0)</f>
        <v>0</v>
      </c>
    </row>
    <row r="561" spans="2:40" x14ac:dyDescent="0.25">
      <c r="B561" s="7">
        <f>[1]salario!A560</f>
        <v>0</v>
      </c>
      <c r="C561" s="8">
        <f>[1]salario!C560</f>
        <v>0</v>
      </c>
      <c r="D561" s="9">
        <f>IFERROR(VLOOKUP(B561,cubo!$A$6:$BE$37,3,0)-VLOOKUP(B561,#REF!,$D$2,0),0)</f>
        <v>0</v>
      </c>
      <c r="E561" s="10">
        <f>IFERROR(VLOOKUP(B561,cubo!$A$6:$BE$37,5,0)-VLOOKUP(B561,#REF!,$E$2,0),0)</f>
        <v>0</v>
      </c>
      <c r="F561" s="10">
        <f>IFERROR(VLOOKUP(B561,cubo!$A$6:$BE$37,8,0)-VLOOKUP(B561,#REF!,$F$2,0),0)</f>
        <v>0</v>
      </c>
      <c r="G561" s="9">
        <f>IFERROR(VLOOKUP(B561,cubo!$A$6:$BE$37,11,0)-VLOOKUP(B561,#REF!,$G$2,0),0)</f>
        <v>0</v>
      </c>
      <c r="H561" s="9">
        <f>IFERROR(VLOOKUP(B561,cubo!$A$6:$BE$37,53,0)-VLOOKUP(B561,#REF!,$H$2,0),0)</f>
        <v>0</v>
      </c>
      <c r="I561" s="10">
        <f>IFERROR(VLOOKUP(B561,cubo!$A$6:$BE$37,14,0)-VLOOKUP(B561,#REF!,$I$2,0),0)</f>
        <v>0</v>
      </c>
      <c r="J561" s="9">
        <f>IFERROR(VLOOKUP(B561,cubo!$A$6:$BE$37,16,0)-VLOOKUP(B561,#REF!,$J$2,0),0)</f>
        <v>0</v>
      </c>
      <c r="K561" s="9">
        <f>IFERROR(VLOOKUP(B561,cubo!$A$6:$BE$37,17,0)-VLOOKUP(B561,#REF!,$K$2,0),0)</f>
        <v>0</v>
      </c>
      <c r="L561" s="9">
        <f>IFERROR(VLOOKUP(B561,cubo!$A$6:$BE$37,19,0)-VLOOKUP(B561,#REF!,$L$2,0),0)</f>
        <v>0</v>
      </c>
      <c r="M561" s="9">
        <f>IFERROR(VLOOKUP(B561,cubo!$A$6:$BE$37,23,0)-VLOOKUP(B561,#REF!,$M$2,0),0)</f>
        <v>0</v>
      </c>
      <c r="N561" s="9">
        <f>IFERROR(VLOOKUP(B561,cubo!$A$6:$BE$37,25,0)-VLOOKUP(B561,#REF!,$N$2,0),0)</f>
        <v>0</v>
      </c>
      <c r="O561" s="9">
        <f>IFERROR(VLOOKUP(B561,cubo!$A$6:$BE$37,33,0)-VLOOKUP(B561,#REF!,$O$2,0),0)</f>
        <v>0</v>
      </c>
      <c r="P561" s="8">
        <f>IFERROR(VLOOKUP(B561,cubo!$A$6:$BE$37,37,0)-VLOOKUP(B561,#REF!,$P$2,0),0)</f>
        <v>0</v>
      </c>
      <c r="Q561" s="8">
        <f>IFERROR(VLOOKUP(B561,cubo!$A$6:$BE$37,56,0)-VLOOKUP(B561,#REF!,$Q$2,0),0)</f>
        <v>0</v>
      </c>
      <c r="R561" s="9">
        <f>IFERROR(VLOOKUP(B561,cubo!$A$6:$BE$37,40,0)-VLOOKUP(B561,#REF!,$R$2,0),0)</f>
        <v>0</v>
      </c>
      <c r="S561" s="9">
        <f>IFERROR(VLOOKUP(B561,cubo!$A$6:$BE$37,43,0)-VLOOKUP(B561,#REF!,$S$2,0),0)</f>
        <v>0</v>
      </c>
      <c r="T561" s="9">
        <f>IFERROR(VLOOKUP(B561,cubo!$A$6:$BE$37,46,0)-VLOOKUP(B561,#REF!,$T$2,0),0)</f>
        <v>0</v>
      </c>
      <c r="U561" s="9">
        <f>IFERROR(VLOOKUP(B561,cubo!$A$6:$BE$37,51,0)-VLOOKUP(B561,#REF!,$U$2,0),0)</f>
        <v>0</v>
      </c>
      <c r="V561" s="9">
        <f>IFERROR(VLOOKUP(B561,cubo!$A$6:$BJ$37,60,0)-VLOOKUP(B561,#REF!,$V$2,0),0)</f>
        <v>0</v>
      </c>
      <c r="W561" s="9">
        <f>IFERROR(VLOOKUP(B561,cubo!$A$6:$BE$37,26,0)-VLOOKUP(B561,#REF!,$W$2,0),0)</f>
        <v>0</v>
      </c>
      <c r="X561" s="9">
        <f>IFERROR(VLOOKUP(B561,cubo!$A$6:$BE$37,20,0)-VLOOKUP(B561,#REF!,$X$2,0),0)</f>
        <v>0</v>
      </c>
      <c r="Y561" s="9">
        <f>IFERROR(VLOOKUP(B561,cubo!$A$6:$BE$37,21,0)-VLOOKUP(B561,#REF!,$Y$2,0),0)</f>
        <v>0</v>
      </c>
      <c r="Z561" s="9">
        <f>IFERROR(VLOOKUP(B561,cubo!$A$6:$BE$37,27,0)-VLOOKUP(B561,#REF!,$Z$2,0),0)</f>
        <v>0</v>
      </c>
      <c r="AA561" s="9">
        <f>IFERROR(VLOOKUP(B561,cubo!$A$6:$BE$37,28,0)-VLOOKUP(B561,#REF!,$AA$2,0),0)</f>
        <v>0</v>
      </c>
      <c r="AB561" s="9">
        <f>IFERROR(VLOOKUP(B561,cubo!$A$6:$BE$37,29,0)-VLOOKUP(B561,#REF!,$AB$2,0),0)</f>
        <v>0</v>
      </c>
      <c r="AC561" s="9">
        <f>IFERROR(VLOOKUP(B561,cubo!$A$6:$BE$37,30,0)-VLOOKUP(B561,#REF!,$AC$2,0),0)</f>
        <v>0</v>
      </c>
      <c r="AD561" s="9">
        <f>IFERROR(VLOOKUP(B561,cubo!$A$6:$BE$37,31,0)-VLOOKUP(B561,#REF!,$AD$2,0),0)</f>
        <v>0</v>
      </c>
      <c r="AE561" s="9">
        <f>IFERROR(VLOOKUP(B561,cubo!$A$6:$BE$37,35,0)-VLOOKUP(B561,#REF!,$AE$2,0),0)</f>
        <v>0</v>
      </c>
      <c r="AF561" s="9" cm="1">
        <f t="array" aca="1" ref="AF561" ca="1">IFERROR(rrPROCV(B561,cubo!$A$6:$BE$37,48,0)-VLOOKUP(B561,#REF!,$AF$2,0),0)</f>
        <v>0</v>
      </c>
      <c r="AG561" s="9">
        <f>IFERROR(VLOOKUP(B561,cubo!$A$6:$BE$37,49,0)-VLOOKUP(B561,#REF!,$AG$2,0),0)</f>
        <v>0</v>
      </c>
      <c r="AH561" s="9">
        <f>IFERROR(VLOOKUP(B561,cubo!$A$6:$BE$37,50,0)-VLOOKUP(B561,#REF!,$AH$2,0),0)</f>
        <v>0</v>
      </c>
      <c r="AI561" s="9">
        <f>IFERROR(VLOOKUP(B561,cubo!$A$6:$BE$37,51,0)-VLOOKUP(B561,#REF!,$AI$2,0),0)</f>
        <v>0</v>
      </c>
      <c r="AJ561" s="9">
        <f>IFERROR(VLOOKUP(B561,cubo!$A$6:$BI$116,62,0)-VLOOKUP(B561,#REF!,$AJ$2,0),0)</f>
        <v>0</v>
      </c>
      <c r="AK561" s="9">
        <f>IFERROR(VLOOKUP(B561,cubo!$A$6:$BJ$37,63,0)-VLOOKUP(B561,#REF!,$AK$2,0),0)</f>
        <v>0</v>
      </c>
      <c r="AL561" s="9">
        <f>IFERROR(VLOOKUP(B561,cubo!$A$6:$BE$37,58,0)-VLOOKUP(B561,#REF!,$AL$2,0),0)</f>
        <v>0</v>
      </c>
      <c r="AM561" s="9">
        <f>IFERROR(VLOOKUP(B561,cubo!$A$6:$BK$37,64,0)-VLOOKUP(B561,#REF!,$AM$2,0),0)</f>
        <v>0</v>
      </c>
      <c r="AN561" s="9">
        <f>IFERROR(VLOOKUP(B561,cubo!$A$6:$AN$37,41,0)-VLOOKUP(B561,#REF!,$AN$2,0),0)</f>
        <v>0</v>
      </c>
    </row>
    <row r="562" spans="2:40" x14ac:dyDescent="0.25">
      <c r="B562" s="7">
        <f>[1]salario!A561</f>
        <v>0</v>
      </c>
      <c r="C562" s="8">
        <f>[1]salario!C561</f>
        <v>0</v>
      </c>
      <c r="D562" s="9">
        <f>IFERROR(VLOOKUP(B562,cubo!$A$6:$BE$37,3,0)-VLOOKUP(B562,#REF!,$D$2,0),0)</f>
        <v>0</v>
      </c>
      <c r="E562" s="10">
        <f>IFERROR(VLOOKUP(B562,cubo!$A$6:$BE$37,5,0)-VLOOKUP(B562,#REF!,$E$2,0),0)</f>
        <v>0</v>
      </c>
      <c r="F562" s="10">
        <f>IFERROR(VLOOKUP(B562,cubo!$A$6:$BE$37,8,0)-VLOOKUP(B562,#REF!,$F$2,0),0)</f>
        <v>0</v>
      </c>
      <c r="G562" s="9">
        <f>IFERROR(VLOOKUP(B562,cubo!$A$6:$BE$37,11,0)-VLOOKUP(B562,#REF!,$G$2,0),0)</f>
        <v>0</v>
      </c>
      <c r="H562" s="9">
        <f>IFERROR(VLOOKUP(B562,cubo!$A$6:$BE$37,53,0)-VLOOKUP(B562,#REF!,$H$2,0),0)</f>
        <v>0</v>
      </c>
      <c r="I562" s="10">
        <f>IFERROR(VLOOKUP(B562,cubo!$A$6:$BE$37,14,0)-VLOOKUP(B562,#REF!,$I$2,0),0)</f>
        <v>0</v>
      </c>
      <c r="J562" s="9">
        <f>IFERROR(VLOOKUP(B562,cubo!$A$6:$BE$37,16,0)-VLOOKUP(B562,#REF!,$J$2,0),0)</f>
        <v>0</v>
      </c>
      <c r="K562" s="9">
        <f>IFERROR(VLOOKUP(B562,cubo!$A$6:$BE$37,17,0)-VLOOKUP(B562,#REF!,$K$2,0),0)</f>
        <v>0</v>
      </c>
      <c r="L562" s="9">
        <f>IFERROR(VLOOKUP(B562,cubo!$A$6:$BE$37,19,0)-VLOOKUP(B562,#REF!,$L$2,0),0)</f>
        <v>0</v>
      </c>
      <c r="M562" s="9">
        <f>IFERROR(VLOOKUP(B562,cubo!$A$6:$BE$37,23,0)-VLOOKUP(B562,#REF!,$M$2,0),0)</f>
        <v>0</v>
      </c>
      <c r="N562" s="9">
        <f>IFERROR(VLOOKUP(B562,cubo!$A$6:$BE$37,25,0)-VLOOKUP(B562,#REF!,$N$2,0),0)</f>
        <v>0</v>
      </c>
      <c r="O562" s="9">
        <f>IFERROR(VLOOKUP(B562,cubo!$A$6:$BE$37,33,0)-VLOOKUP(B562,#REF!,$O$2,0),0)</f>
        <v>0</v>
      </c>
      <c r="P562" s="8">
        <f>IFERROR(VLOOKUP(B562,cubo!$A$6:$BE$37,37,0)-VLOOKUP(B562,#REF!,$P$2,0),0)</f>
        <v>0</v>
      </c>
      <c r="Q562" s="8">
        <f>IFERROR(VLOOKUP(B562,cubo!$A$6:$BE$37,56,0)-VLOOKUP(B562,#REF!,$Q$2,0),0)</f>
        <v>0</v>
      </c>
      <c r="R562" s="9">
        <f>IFERROR(VLOOKUP(B562,cubo!$A$6:$BE$37,40,0)-VLOOKUP(B562,#REF!,$R$2,0),0)</f>
        <v>0</v>
      </c>
      <c r="S562" s="9">
        <f>IFERROR(VLOOKUP(B562,cubo!$A$6:$BE$37,43,0)-VLOOKUP(B562,#REF!,$S$2,0),0)</f>
        <v>0</v>
      </c>
      <c r="T562" s="9">
        <f>IFERROR(VLOOKUP(B562,cubo!$A$6:$BE$37,46,0)-VLOOKUP(B562,#REF!,$T$2,0),0)</f>
        <v>0</v>
      </c>
      <c r="U562" s="9">
        <f>IFERROR(VLOOKUP(B562,cubo!$A$6:$BE$37,51,0)-VLOOKUP(B562,#REF!,$U$2,0),0)</f>
        <v>0</v>
      </c>
      <c r="V562" s="9">
        <f>IFERROR(VLOOKUP(B562,cubo!$A$6:$BJ$37,60,0)-VLOOKUP(B562,#REF!,$V$2,0),0)</f>
        <v>0</v>
      </c>
      <c r="W562" s="9">
        <f>IFERROR(VLOOKUP(B562,cubo!$A$6:$BE$37,26,0)-VLOOKUP(B562,#REF!,$W$2,0),0)</f>
        <v>0</v>
      </c>
      <c r="X562" s="9">
        <f>IFERROR(VLOOKUP(B562,cubo!$A$6:$BE$37,20,0)-VLOOKUP(B562,#REF!,$X$2,0),0)</f>
        <v>0</v>
      </c>
      <c r="Y562" s="9">
        <f>IFERROR(VLOOKUP(B562,cubo!$A$6:$BE$37,21,0)-VLOOKUP(B562,#REF!,$Y$2,0),0)</f>
        <v>0</v>
      </c>
      <c r="Z562" s="9">
        <f>IFERROR(VLOOKUP(B562,cubo!$A$6:$BE$37,27,0)-VLOOKUP(B562,#REF!,$Z$2,0),0)</f>
        <v>0</v>
      </c>
      <c r="AA562" s="9">
        <f>IFERROR(VLOOKUP(B562,cubo!$A$6:$BE$37,28,0)-VLOOKUP(B562,#REF!,$AA$2,0),0)</f>
        <v>0</v>
      </c>
      <c r="AB562" s="9">
        <f>IFERROR(VLOOKUP(B562,cubo!$A$6:$BE$37,29,0)-VLOOKUP(B562,#REF!,$AB$2,0),0)</f>
        <v>0</v>
      </c>
      <c r="AC562" s="9">
        <f>IFERROR(VLOOKUP(B562,cubo!$A$6:$BE$37,30,0)-VLOOKUP(B562,#REF!,$AC$2,0),0)</f>
        <v>0</v>
      </c>
      <c r="AD562" s="9">
        <f>IFERROR(VLOOKUP(B562,cubo!$A$6:$BE$37,31,0)-VLOOKUP(B562,#REF!,$AD$2,0),0)</f>
        <v>0</v>
      </c>
      <c r="AE562" s="9">
        <f>IFERROR(VLOOKUP(B562,cubo!$A$6:$BE$37,35,0)-VLOOKUP(B562,#REF!,$AE$2,0),0)</f>
        <v>0</v>
      </c>
      <c r="AF562" s="9" cm="1">
        <f t="array" aca="1" ref="AF562" ca="1">IFERROR(rrPROCV(B562,cubo!$A$6:$BE$37,48,0)-VLOOKUP(B562,#REF!,$AF$2,0),0)</f>
        <v>0</v>
      </c>
      <c r="AG562" s="9">
        <f>IFERROR(VLOOKUP(B562,cubo!$A$6:$BE$37,49,0)-VLOOKUP(B562,#REF!,$AG$2,0),0)</f>
        <v>0</v>
      </c>
      <c r="AH562" s="9">
        <f>IFERROR(VLOOKUP(B562,cubo!$A$6:$BE$37,50,0)-VLOOKUP(B562,#REF!,$AH$2,0),0)</f>
        <v>0</v>
      </c>
      <c r="AI562" s="9">
        <f>IFERROR(VLOOKUP(B562,cubo!$A$6:$BE$37,51,0)-VLOOKUP(B562,#REF!,$AI$2,0),0)</f>
        <v>0</v>
      </c>
      <c r="AJ562" s="9">
        <f>IFERROR(VLOOKUP(B562,cubo!$A$6:$BI$116,62,0)-VLOOKUP(B562,#REF!,$AJ$2,0),0)</f>
        <v>0</v>
      </c>
      <c r="AK562" s="9">
        <f>IFERROR(VLOOKUP(B562,cubo!$A$6:$BJ$37,63,0)-VLOOKUP(B562,#REF!,$AK$2,0),0)</f>
        <v>0</v>
      </c>
      <c r="AL562" s="9">
        <f>IFERROR(VLOOKUP(B562,cubo!$A$6:$BE$37,58,0)-VLOOKUP(B562,#REF!,$AL$2,0),0)</f>
        <v>0</v>
      </c>
      <c r="AM562" s="9">
        <f>IFERROR(VLOOKUP(B562,cubo!$A$6:$BK$37,64,0)-VLOOKUP(B562,#REF!,$AM$2,0),0)</f>
        <v>0</v>
      </c>
      <c r="AN562" s="9">
        <f>IFERROR(VLOOKUP(B562,cubo!$A$6:$AN$37,41,0)-VLOOKUP(B562,#REF!,$AN$2,0),0)</f>
        <v>0</v>
      </c>
    </row>
    <row r="563" spans="2:40" x14ac:dyDescent="0.25">
      <c r="B563" s="7">
        <f>[1]salario!A562</f>
        <v>0</v>
      </c>
      <c r="C563" s="8">
        <f>[1]salario!C562</f>
        <v>0</v>
      </c>
      <c r="D563" s="9">
        <f>IFERROR(VLOOKUP(B563,cubo!$A$6:$BE$37,3,0)-VLOOKUP(B563,#REF!,$D$2,0),0)</f>
        <v>0</v>
      </c>
      <c r="E563" s="10">
        <f>IFERROR(VLOOKUP(B563,cubo!$A$6:$BE$37,5,0)-VLOOKUP(B563,#REF!,$E$2,0),0)</f>
        <v>0</v>
      </c>
      <c r="F563" s="10">
        <f>IFERROR(VLOOKUP(B563,cubo!$A$6:$BE$37,8,0)-VLOOKUP(B563,#REF!,$F$2,0),0)</f>
        <v>0</v>
      </c>
      <c r="G563" s="9">
        <f>IFERROR(VLOOKUP(B563,cubo!$A$6:$BE$37,11,0)-VLOOKUP(B563,#REF!,$G$2,0),0)</f>
        <v>0</v>
      </c>
      <c r="H563" s="9">
        <f>IFERROR(VLOOKUP(B563,cubo!$A$6:$BE$37,53,0)-VLOOKUP(B563,#REF!,$H$2,0),0)</f>
        <v>0</v>
      </c>
      <c r="I563" s="10">
        <f>IFERROR(VLOOKUP(B563,cubo!$A$6:$BE$37,14,0)-VLOOKUP(B563,#REF!,$I$2,0),0)</f>
        <v>0</v>
      </c>
      <c r="J563" s="9">
        <f>IFERROR(VLOOKUP(B563,cubo!$A$6:$BE$37,16,0)-VLOOKUP(B563,#REF!,$J$2,0),0)</f>
        <v>0</v>
      </c>
      <c r="K563" s="9">
        <f>IFERROR(VLOOKUP(B563,cubo!$A$6:$BE$37,17,0)-VLOOKUP(B563,#REF!,$K$2,0),0)</f>
        <v>0</v>
      </c>
      <c r="L563" s="9">
        <f>IFERROR(VLOOKUP(B563,cubo!$A$6:$BE$37,19,0)-VLOOKUP(B563,#REF!,$L$2,0),0)</f>
        <v>0</v>
      </c>
      <c r="M563" s="9">
        <f>IFERROR(VLOOKUP(B563,cubo!$A$6:$BE$37,23,0)-VLOOKUP(B563,#REF!,$M$2,0),0)</f>
        <v>0</v>
      </c>
      <c r="N563" s="9">
        <f>IFERROR(VLOOKUP(B563,cubo!$A$6:$BE$37,25,0)-VLOOKUP(B563,#REF!,$N$2,0),0)</f>
        <v>0</v>
      </c>
      <c r="O563" s="9">
        <f>IFERROR(VLOOKUP(B563,cubo!$A$6:$BE$37,33,0)-VLOOKUP(B563,#REF!,$O$2,0),0)</f>
        <v>0</v>
      </c>
      <c r="P563" s="8">
        <f>IFERROR(VLOOKUP(B563,cubo!$A$6:$BE$37,37,0)-VLOOKUP(B563,#REF!,$P$2,0),0)</f>
        <v>0</v>
      </c>
      <c r="Q563" s="8">
        <f>IFERROR(VLOOKUP(B563,cubo!$A$6:$BE$37,56,0)-VLOOKUP(B563,#REF!,$Q$2,0),0)</f>
        <v>0</v>
      </c>
      <c r="R563" s="9">
        <f>IFERROR(VLOOKUP(B563,cubo!$A$6:$BE$37,40,0)-VLOOKUP(B563,#REF!,$R$2,0),0)</f>
        <v>0</v>
      </c>
      <c r="S563" s="9">
        <f>IFERROR(VLOOKUP(B563,cubo!$A$6:$BE$37,43,0)-VLOOKUP(B563,#REF!,$S$2,0),0)</f>
        <v>0</v>
      </c>
      <c r="T563" s="9">
        <f>IFERROR(VLOOKUP(B563,cubo!$A$6:$BE$37,46,0)-VLOOKUP(B563,#REF!,$T$2,0),0)</f>
        <v>0</v>
      </c>
      <c r="U563" s="9">
        <f>IFERROR(VLOOKUP(B563,cubo!$A$6:$BE$37,51,0)-VLOOKUP(B563,#REF!,$U$2,0),0)</f>
        <v>0</v>
      </c>
      <c r="V563" s="9">
        <f>IFERROR(VLOOKUP(B563,cubo!$A$6:$BJ$37,60,0)-VLOOKUP(B563,#REF!,$V$2,0),0)</f>
        <v>0</v>
      </c>
      <c r="W563" s="9">
        <f>IFERROR(VLOOKUP(B563,cubo!$A$6:$BE$37,26,0)-VLOOKUP(B563,#REF!,$W$2,0),0)</f>
        <v>0</v>
      </c>
      <c r="X563" s="9">
        <f>IFERROR(VLOOKUP(B563,cubo!$A$6:$BE$37,20,0)-VLOOKUP(B563,#REF!,$X$2,0),0)</f>
        <v>0</v>
      </c>
      <c r="Y563" s="9">
        <f>IFERROR(VLOOKUP(B563,cubo!$A$6:$BE$37,21,0)-VLOOKUP(B563,#REF!,$Y$2,0),0)</f>
        <v>0</v>
      </c>
      <c r="Z563" s="9">
        <f>IFERROR(VLOOKUP(B563,cubo!$A$6:$BE$37,27,0)-VLOOKUP(B563,#REF!,$Z$2,0),0)</f>
        <v>0</v>
      </c>
      <c r="AA563" s="9">
        <f>IFERROR(VLOOKUP(B563,cubo!$A$6:$BE$37,28,0)-VLOOKUP(B563,#REF!,$AA$2,0),0)</f>
        <v>0</v>
      </c>
      <c r="AB563" s="9">
        <f>IFERROR(VLOOKUP(B563,cubo!$A$6:$BE$37,29,0)-VLOOKUP(B563,#REF!,$AB$2,0),0)</f>
        <v>0</v>
      </c>
      <c r="AC563" s="9">
        <f>IFERROR(VLOOKUP(B563,cubo!$A$6:$BE$37,30,0)-VLOOKUP(B563,#REF!,$AC$2,0),0)</f>
        <v>0</v>
      </c>
      <c r="AD563" s="9">
        <f>IFERROR(VLOOKUP(B563,cubo!$A$6:$BE$37,31,0)-VLOOKUP(B563,#REF!,$AD$2,0),0)</f>
        <v>0</v>
      </c>
      <c r="AE563" s="9">
        <f>IFERROR(VLOOKUP(B563,cubo!$A$6:$BE$37,35,0)-VLOOKUP(B563,#REF!,$AE$2,0),0)</f>
        <v>0</v>
      </c>
      <c r="AF563" s="9" cm="1">
        <f t="array" aca="1" ref="AF563" ca="1">IFERROR(rrPROCV(B563,cubo!$A$6:$BE$37,48,0)-VLOOKUP(B563,#REF!,$AF$2,0),0)</f>
        <v>0</v>
      </c>
      <c r="AG563" s="9">
        <f>IFERROR(VLOOKUP(B563,cubo!$A$6:$BE$37,49,0)-VLOOKUP(B563,#REF!,$AG$2,0),0)</f>
        <v>0</v>
      </c>
      <c r="AH563" s="9">
        <f>IFERROR(VLOOKUP(B563,cubo!$A$6:$BE$37,50,0)-VLOOKUP(B563,#REF!,$AH$2,0),0)</f>
        <v>0</v>
      </c>
      <c r="AI563" s="9">
        <f>IFERROR(VLOOKUP(B563,cubo!$A$6:$BE$37,51,0)-VLOOKUP(B563,#REF!,$AI$2,0),0)</f>
        <v>0</v>
      </c>
      <c r="AJ563" s="9">
        <f>IFERROR(VLOOKUP(B563,cubo!$A$6:$BI$116,62,0)-VLOOKUP(B563,#REF!,$AJ$2,0),0)</f>
        <v>0</v>
      </c>
      <c r="AK563" s="9">
        <f>IFERROR(VLOOKUP(B563,cubo!$A$6:$BJ$37,63,0)-VLOOKUP(B563,#REF!,$AK$2,0),0)</f>
        <v>0</v>
      </c>
      <c r="AL563" s="9">
        <f>IFERROR(VLOOKUP(B563,cubo!$A$6:$BE$37,58,0)-VLOOKUP(B563,#REF!,$AL$2,0),0)</f>
        <v>0</v>
      </c>
      <c r="AM563" s="9">
        <f>IFERROR(VLOOKUP(B563,cubo!$A$6:$BK$37,64,0)-VLOOKUP(B563,#REF!,$AM$2,0),0)</f>
        <v>0</v>
      </c>
      <c r="AN563" s="9">
        <f>IFERROR(VLOOKUP(B563,cubo!$A$6:$AN$37,41,0)-VLOOKUP(B563,#REF!,$AN$2,0),0)</f>
        <v>0</v>
      </c>
    </row>
    <row r="564" spans="2:40" x14ac:dyDescent="0.25">
      <c r="B564" s="7">
        <f>[1]salario!A563</f>
        <v>0</v>
      </c>
      <c r="C564" s="8">
        <f>[1]salario!C563</f>
        <v>0</v>
      </c>
      <c r="D564" s="9">
        <f>IFERROR(VLOOKUP(B564,cubo!$A$6:$BE$37,3,0)-VLOOKUP(B564,#REF!,$D$2,0),0)</f>
        <v>0</v>
      </c>
      <c r="E564" s="10">
        <f>IFERROR(VLOOKUP(B564,cubo!$A$6:$BE$37,5,0)-VLOOKUP(B564,#REF!,$E$2,0),0)</f>
        <v>0</v>
      </c>
      <c r="F564" s="10">
        <f>IFERROR(VLOOKUP(B564,cubo!$A$6:$BE$37,8,0)-VLOOKUP(B564,#REF!,$F$2,0),0)</f>
        <v>0</v>
      </c>
      <c r="G564" s="9">
        <f>IFERROR(VLOOKUP(B564,cubo!$A$6:$BE$37,11,0)-VLOOKUP(B564,#REF!,$G$2,0),0)</f>
        <v>0</v>
      </c>
      <c r="H564" s="9">
        <f>IFERROR(VLOOKUP(B564,cubo!$A$6:$BE$37,53,0)-VLOOKUP(B564,#REF!,$H$2,0),0)</f>
        <v>0</v>
      </c>
      <c r="I564" s="10">
        <f>IFERROR(VLOOKUP(B564,cubo!$A$6:$BE$37,14,0)-VLOOKUP(B564,#REF!,$I$2,0),0)</f>
        <v>0</v>
      </c>
      <c r="J564" s="9">
        <f>IFERROR(VLOOKUP(B564,cubo!$A$6:$BE$37,16,0)-VLOOKUP(B564,#REF!,$J$2,0),0)</f>
        <v>0</v>
      </c>
      <c r="K564" s="9">
        <f>IFERROR(VLOOKUP(B564,cubo!$A$6:$BE$37,17,0)-VLOOKUP(B564,#REF!,$K$2,0),0)</f>
        <v>0</v>
      </c>
      <c r="L564" s="9">
        <f>IFERROR(VLOOKUP(B564,cubo!$A$6:$BE$37,19,0)-VLOOKUP(B564,#REF!,$L$2,0),0)</f>
        <v>0</v>
      </c>
      <c r="M564" s="9">
        <f>IFERROR(VLOOKUP(B564,cubo!$A$6:$BE$37,23,0)-VLOOKUP(B564,#REF!,$M$2,0),0)</f>
        <v>0</v>
      </c>
      <c r="N564" s="9">
        <f>IFERROR(VLOOKUP(B564,cubo!$A$6:$BE$37,25,0)-VLOOKUP(B564,#REF!,$N$2,0),0)</f>
        <v>0</v>
      </c>
      <c r="O564" s="9">
        <f>IFERROR(VLOOKUP(B564,cubo!$A$6:$BE$37,33,0)-VLOOKUP(B564,#REF!,$O$2,0),0)</f>
        <v>0</v>
      </c>
      <c r="P564" s="8">
        <f>IFERROR(VLOOKUP(B564,cubo!$A$6:$BE$37,37,0)-VLOOKUP(B564,#REF!,$P$2,0),0)</f>
        <v>0</v>
      </c>
      <c r="Q564" s="8">
        <f>IFERROR(VLOOKUP(B564,cubo!$A$6:$BE$37,56,0)-VLOOKUP(B564,#REF!,$Q$2,0),0)</f>
        <v>0</v>
      </c>
      <c r="R564" s="9">
        <f>IFERROR(VLOOKUP(B564,cubo!$A$6:$BE$37,40,0)-VLOOKUP(B564,#REF!,$R$2,0),0)</f>
        <v>0</v>
      </c>
      <c r="S564" s="9">
        <f>IFERROR(VLOOKUP(B564,cubo!$A$6:$BE$37,43,0)-VLOOKUP(B564,#REF!,$S$2,0),0)</f>
        <v>0</v>
      </c>
      <c r="T564" s="9">
        <f>IFERROR(VLOOKUP(B564,cubo!$A$6:$BE$37,46,0)-VLOOKUP(B564,#REF!,$T$2,0),0)</f>
        <v>0</v>
      </c>
      <c r="U564" s="9">
        <f>IFERROR(VLOOKUP(B564,cubo!$A$6:$BE$37,51,0)-VLOOKUP(B564,#REF!,$U$2,0),0)</f>
        <v>0</v>
      </c>
      <c r="V564" s="9">
        <f>IFERROR(VLOOKUP(B564,cubo!$A$6:$BJ$37,60,0)-VLOOKUP(B564,#REF!,$V$2,0),0)</f>
        <v>0</v>
      </c>
      <c r="W564" s="9">
        <f>IFERROR(VLOOKUP(B564,cubo!$A$6:$BE$37,26,0)-VLOOKUP(B564,#REF!,$W$2,0),0)</f>
        <v>0</v>
      </c>
      <c r="X564" s="9">
        <f>IFERROR(VLOOKUP(B564,cubo!$A$6:$BE$37,20,0)-VLOOKUP(B564,#REF!,$X$2,0),0)</f>
        <v>0</v>
      </c>
      <c r="Y564" s="9">
        <f>IFERROR(VLOOKUP(B564,cubo!$A$6:$BE$37,21,0)-VLOOKUP(B564,#REF!,$Y$2,0),0)</f>
        <v>0</v>
      </c>
      <c r="Z564" s="9">
        <f>IFERROR(VLOOKUP(B564,cubo!$A$6:$BE$37,27,0)-VLOOKUP(B564,#REF!,$Z$2,0),0)</f>
        <v>0</v>
      </c>
      <c r="AA564" s="9">
        <f>IFERROR(VLOOKUP(B564,cubo!$A$6:$BE$37,28,0)-VLOOKUP(B564,#REF!,$AA$2,0),0)</f>
        <v>0</v>
      </c>
      <c r="AB564" s="9">
        <f>IFERROR(VLOOKUP(B564,cubo!$A$6:$BE$37,29,0)-VLOOKUP(B564,#REF!,$AB$2,0),0)</f>
        <v>0</v>
      </c>
      <c r="AC564" s="9">
        <f>IFERROR(VLOOKUP(B564,cubo!$A$6:$BE$37,30,0)-VLOOKUP(B564,#REF!,$AC$2,0),0)</f>
        <v>0</v>
      </c>
      <c r="AD564" s="9">
        <f>IFERROR(VLOOKUP(B564,cubo!$A$6:$BE$37,31,0)-VLOOKUP(B564,#REF!,$AD$2,0),0)</f>
        <v>0</v>
      </c>
      <c r="AE564" s="9">
        <f>IFERROR(VLOOKUP(B564,cubo!$A$6:$BE$37,35,0)-VLOOKUP(B564,#REF!,$AE$2,0),0)</f>
        <v>0</v>
      </c>
      <c r="AF564" s="9" cm="1">
        <f t="array" aca="1" ref="AF564" ca="1">IFERROR(rrPROCV(B564,cubo!$A$6:$BE$37,48,0)-VLOOKUP(B564,#REF!,$AF$2,0),0)</f>
        <v>0</v>
      </c>
      <c r="AG564" s="9">
        <f>IFERROR(VLOOKUP(B564,cubo!$A$6:$BE$37,49,0)-VLOOKUP(B564,#REF!,$AG$2,0),0)</f>
        <v>0</v>
      </c>
      <c r="AH564" s="9">
        <f>IFERROR(VLOOKUP(B564,cubo!$A$6:$BE$37,50,0)-VLOOKUP(B564,#REF!,$AH$2,0),0)</f>
        <v>0</v>
      </c>
      <c r="AI564" s="9">
        <f>IFERROR(VLOOKUP(B564,cubo!$A$6:$BE$37,51,0)-VLOOKUP(B564,#REF!,$AI$2,0),0)</f>
        <v>0</v>
      </c>
      <c r="AJ564" s="9">
        <f>IFERROR(VLOOKUP(B564,cubo!$A$6:$BI$116,62,0)-VLOOKUP(B564,#REF!,$AJ$2,0),0)</f>
        <v>0</v>
      </c>
      <c r="AK564" s="9">
        <f>IFERROR(VLOOKUP(B564,cubo!$A$6:$BJ$37,63,0)-VLOOKUP(B564,#REF!,$AK$2,0),0)</f>
        <v>0</v>
      </c>
      <c r="AL564" s="9">
        <f>IFERROR(VLOOKUP(B564,cubo!$A$6:$BE$37,58,0)-VLOOKUP(B564,#REF!,$AL$2,0),0)</f>
        <v>0</v>
      </c>
      <c r="AM564" s="9">
        <f>IFERROR(VLOOKUP(B564,cubo!$A$6:$BK$37,64,0)-VLOOKUP(B564,#REF!,$AM$2,0),0)</f>
        <v>0</v>
      </c>
      <c r="AN564" s="9">
        <f>IFERROR(VLOOKUP(B564,cubo!$A$6:$AN$37,41,0)-VLOOKUP(B564,#REF!,$AN$2,0),0)</f>
        <v>0</v>
      </c>
    </row>
    <row r="565" spans="2:40" x14ac:dyDescent="0.25">
      <c r="B565" s="7">
        <f>[1]salario!A564</f>
        <v>0</v>
      </c>
      <c r="C565" s="8">
        <f>[1]salario!C564</f>
        <v>0</v>
      </c>
      <c r="D565" s="9">
        <f>IFERROR(VLOOKUP(B565,cubo!$A$6:$BE$37,3,0)-VLOOKUP(B565,#REF!,$D$2,0),0)</f>
        <v>0</v>
      </c>
      <c r="E565" s="10">
        <f>IFERROR(VLOOKUP(B565,cubo!$A$6:$BE$37,5,0)-VLOOKUP(B565,#REF!,$E$2,0),0)</f>
        <v>0</v>
      </c>
      <c r="F565" s="10">
        <f>IFERROR(VLOOKUP(B565,cubo!$A$6:$BE$37,8,0)-VLOOKUP(B565,#REF!,$F$2,0),0)</f>
        <v>0</v>
      </c>
      <c r="G565" s="9">
        <f>IFERROR(VLOOKUP(B565,cubo!$A$6:$BE$37,11,0)-VLOOKUP(B565,#REF!,$G$2,0),0)</f>
        <v>0</v>
      </c>
      <c r="H565" s="9">
        <f>IFERROR(VLOOKUP(B565,cubo!$A$6:$BE$37,53,0)-VLOOKUP(B565,#REF!,$H$2,0),0)</f>
        <v>0</v>
      </c>
      <c r="I565" s="10">
        <f>IFERROR(VLOOKUP(B565,cubo!$A$6:$BE$37,14,0)-VLOOKUP(B565,#REF!,$I$2,0),0)</f>
        <v>0</v>
      </c>
      <c r="J565" s="9">
        <f>IFERROR(VLOOKUP(B565,cubo!$A$6:$BE$37,16,0)-VLOOKUP(B565,#REF!,$J$2,0),0)</f>
        <v>0</v>
      </c>
      <c r="K565" s="9">
        <f>IFERROR(VLOOKUP(B565,cubo!$A$6:$BE$37,17,0)-VLOOKUP(B565,#REF!,$K$2,0),0)</f>
        <v>0</v>
      </c>
      <c r="L565" s="9">
        <f>IFERROR(VLOOKUP(B565,cubo!$A$6:$BE$37,19,0)-VLOOKUP(B565,#REF!,$L$2,0),0)</f>
        <v>0</v>
      </c>
      <c r="M565" s="9">
        <f>IFERROR(VLOOKUP(B565,cubo!$A$6:$BE$37,23,0)-VLOOKUP(B565,#REF!,$M$2,0),0)</f>
        <v>0</v>
      </c>
      <c r="N565" s="9">
        <f>IFERROR(VLOOKUP(B565,cubo!$A$6:$BE$37,25,0)-VLOOKUP(B565,#REF!,$N$2,0),0)</f>
        <v>0</v>
      </c>
      <c r="O565" s="9">
        <f>IFERROR(VLOOKUP(B565,cubo!$A$6:$BE$37,33,0)-VLOOKUP(B565,#REF!,$O$2,0),0)</f>
        <v>0</v>
      </c>
      <c r="P565" s="8">
        <f>IFERROR(VLOOKUP(B565,cubo!$A$6:$BE$37,37,0)-VLOOKUP(B565,#REF!,$P$2,0),0)</f>
        <v>0</v>
      </c>
      <c r="Q565" s="8">
        <f>IFERROR(VLOOKUP(B565,cubo!$A$6:$BE$37,56,0)-VLOOKUP(B565,#REF!,$Q$2,0),0)</f>
        <v>0</v>
      </c>
      <c r="R565" s="9">
        <f>IFERROR(VLOOKUP(B565,cubo!$A$6:$BE$37,40,0)-VLOOKUP(B565,#REF!,$R$2,0),0)</f>
        <v>0</v>
      </c>
      <c r="S565" s="9">
        <f>IFERROR(VLOOKUP(B565,cubo!$A$6:$BE$37,43,0)-VLOOKUP(B565,#REF!,$S$2,0),0)</f>
        <v>0</v>
      </c>
      <c r="T565" s="9">
        <f>IFERROR(VLOOKUP(B565,cubo!$A$6:$BE$37,46,0)-VLOOKUP(B565,#REF!,$T$2,0),0)</f>
        <v>0</v>
      </c>
      <c r="U565" s="9">
        <f>IFERROR(VLOOKUP(B565,cubo!$A$6:$BE$37,51,0)-VLOOKUP(B565,#REF!,$U$2,0),0)</f>
        <v>0</v>
      </c>
      <c r="V565" s="9">
        <f>IFERROR(VLOOKUP(B565,cubo!$A$6:$BJ$37,60,0)-VLOOKUP(B565,#REF!,$V$2,0),0)</f>
        <v>0</v>
      </c>
      <c r="W565" s="9">
        <f>IFERROR(VLOOKUP(B565,cubo!$A$6:$BE$37,26,0)-VLOOKUP(B565,#REF!,$W$2,0),0)</f>
        <v>0</v>
      </c>
      <c r="X565" s="9">
        <f>IFERROR(VLOOKUP(B565,cubo!$A$6:$BE$37,20,0)-VLOOKUP(B565,#REF!,$X$2,0),0)</f>
        <v>0</v>
      </c>
      <c r="Y565" s="9">
        <f>IFERROR(VLOOKUP(B565,cubo!$A$6:$BE$37,21,0)-VLOOKUP(B565,#REF!,$Y$2,0),0)</f>
        <v>0</v>
      </c>
      <c r="Z565" s="9">
        <f>IFERROR(VLOOKUP(B565,cubo!$A$6:$BE$37,27,0)-VLOOKUP(B565,#REF!,$Z$2,0),0)</f>
        <v>0</v>
      </c>
      <c r="AA565" s="9">
        <f>IFERROR(VLOOKUP(B565,cubo!$A$6:$BE$37,28,0)-VLOOKUP(B565,#REF!,$AA$2,0),0)</f>
        <v>0</v>
      </c>
      <c r="AB565" s="9">
        <f>IFERROR(VLOOKUP(B565,cubo!$A$6:$BE$37,29,0)-VLOOKUP(B565,#REF!,$AB$2,0),0)</f>
        <v>0</v>
      </c>
      <c r="AC565" s="9">
        <f>IFERROR(VLOOKUP(B565,cubo!$A$6:$BE$37,30,0)-VLOOKUP(B565,#REF!,$AC$2,0),0)</f>
        <v>0</v>
      </c>
      <c r="AD565" s="9">
        <f>IFERROR(VLOOKUP(B565,cubo!$A$6:$BE$37,31,0)-VLOOKUP(B565,#REF!,$AD$2,0),0)</f>
        <v>0</v>
      </c>
      <c r="AE565" s="9">
        <f>IFERROR(VLOOKUP(B565,cubo!$A$6:$BE$37,35,0)-VLOOKUP(B565,#REF!,$AE$2,0),0)</f>
        <v>0</v>
      </c>
      <c r="AF565" s="9" cm="1">
        <f t="array" aca="1" ref="AF565" ca="1">IFERROR(rrPROCV(B565,cubo!$A$6:$BE$37,48,0)-VLOOKUP(B565,#REF!,$AF$2,0),0)</f>
        <v>0</v>
      </c>
      <c r="AG565" s="9">
        <f>IFERROR(VLOOKUP(B565,cubo!$A$6:$BE$37,49,0)-VLOOKUP(B565,#REF!,$AG$2,0),0)</f>
        <v>0</v>
      </c>
      <c r="AH565" s="9">
        <f>IFERROR(VLOOKUP(B565,cubo!$A$6:$BE$37,50,0)-VLOOKUP(B565,#REF!,$AH$2,0),0)</f>
        <v>0</v>
      </c>
      <c r="AI565" s="9">
        <f>IFERROR(VLOOKUP(B565,cubo!$A$6:$BE$37,51,0)-VLOOKUP(B565,#REF!,$AI$2,0),0)</f>
        <v>0</v>
      </c>
      <c r="AJ565" s="9">
        <f>IFERROR(VLOOKUP(B565,cubo!$A$6:$BI$116,62,0)-VLOOKUP(B565,#REF!,$AJ$2,0),0)</f>
        <v>0</v>
      </c>
      <c r="AK565" s="9">
        <f>IFERROR(VLOOKUP(B565,cubo!$A$6:$BJ$37,63,0)-VLOOKUP(B565,#REF!,$AK$2,0),0)</f>
        <v>0</v>
      </c>
      <c r="AL565" s="9">
        <f>IFERROR(VLOOKUP(B565,cubo!$A$6:$BE$37,58,0)-VLOOKUP(B565,#REF!,$AL$2,0),0)</f>
        <v>0</v>
      </c>
      <c r="AM565" s="9">
        <f>IFERROR(VLOOKUP(B565,cubo!$A$6:$BK$37,64,0)-VLOOKUP(B565,#REF!,$AM$2,0),0)</f>
        <v>0</v>
      </c>
      <c r="AN565" s="9">
        <f>IFERROR(VLOOKUP(B565,cubo!$A$6:$AN$37,41,0)-VLOOKUP(B565,#REF!,$AN$2,0),0)</f>
        <v>0</v>
      </c>
    </row>
    <row r="566" spans="2:40" x14ac:dyDescent="0.25">
      <c r="B566" s="7">
        <f>[1]salario!A565</f>
        <v>0</v>
      </c>
      <c r="C566" s="8">
        <f>[1]salario!C565</f>
        <v>0</v>
      </c>
      <c r="D566" s="9">
        <f>IFERROR(VLOOKUP(B566,cubo!$A$6:$BE$37,3,0)-VLOOKUP(B566,#REF!,$D$2,0),0)</f>
        <v>0</v>
      </c>
      <c r="E566" s="10">
        <f>IFERROR(VLOOKUP(B566,cubo!$A$6:$BE$37,5,0)-VLOOKUP(B566,#REF!,$E$2,0),0)</f>
        <v>0</v>
      </c>
      <c r="F566" s="10">
        <f>IFERROR(VLOOKUP(B566,cubo!$A$6:$BE$37,8,0)-VLOOKUP(B566,#REF!,$F$2,0),0)</f>
        <v>0</v>
      </c>
      <c r="G566" s="9">
        <f>IFERROR(VLOOKUP(B566,cubo!$A$6:$BE$37,11,0)-VLOOKUP(B566,#REF!,$G$2,0),0)</f>
        <v>0</v>
      </c>
      <c r="H566" s="9">
        <f>IFERROR(VLOOKUP(B566,cubo!$A$6:$BE$37,53,0)-VLOOKUP(B566,#REF!,$H$2,0),0)</f>
        <v>0</v>
      </c>
      <c r="I566" s="10">
        <f>IFERROR(VLOOKUP(B566,cubo!$A$6:$BE$37,14,0)-VLOOKUP(B566,#REF!,$I$2,0),0)</f>
        <v>0</v>
      </c>
      <c r="J566" s="9">
        <f>IFERROR(VLOOKUP(B566,cubo!$A$6:$BE$37,16,0)-VLOOKUP(B566,#REF!,$J$2,0),0)</f>
        <v>0</v>
      </c>
      <c r="K566" s="9">
        <f>IFERROR(VLOOKUP(B566,cubo!$A$6:$BE$37,17,0)-VLOOKUP(B566,#REF!,$K$2,0),0)</f>
        <v>0</v>
      </c>
      <c r="L566" s="9">
        <f>IFERROR(VLOOKUP(B566,cubo!$A$6:$BE$37,19,0)-VLOOKUP(B566,#REF!,$L$2,0),0)</f>
        <v>0</v>
      </c>
      <c r="M566" s="9">
        <f>IFERROR(VLOOKUP(B566,cubo!$A$6:$BE$37,23,0)-VLOOKUP(B566,#REF!,$M$2,0),0)</f>
        <v>0</v>
      </c>
      <c r="N566" s="9">
        <f>IFERROR(VLOOKUP(B566,cubo!$A$6:$BE$37,25,0)-VLOOKUP(B566,#REF!,$N$2,0),0)</f>
        <v>0</v>
      </c>
      <c r="O566" s="9">
        <f>IFERROR(VLOOKUP(B566,cubo!$A$6:$BE$37,33,0)-VLOOKUP(B566,#REF!,$O$2,0),0)</f>
        <v>0</v>
      </c>
      <c r="P566" s="8">
        <f>IFERROR(VLOOKUP(B566,cubo!$A$6:$BE$37,37,0)-VLOOKUP(B566,#REF!,$P$2,0),0)</f>
        <v>0</v>
      </c>
      <c r="Q566" s="8">
        <f>IFERROR(VLOOKUP(B566,cubo!$A$6:$BE$37,56,0)-VLOOKUP(B566,#REF!,$Q$2,0),0)</f>
        <v>0</v>
      </c>
      <c r="R566" s="9">
        <f>IFERROR(VLOOKUP(B566,cubo!$A$6:$BE$37,40,0)-VLOOKUP(B566,#REF!,$R$2,0),0)</f>
        <v>0</v>
      </c>
      <c r="S566" s="9">
        <f>IFERROR(VLOOKUP(B566,cubo!$A$6:$BE$37,43,0)-VLOOKUP(B566,#REF!,$S$2,0),0)</f>
        <v>0</v>
      </c>
      <c r="T566" s="9">
        <f>IFERROR(VLOOKUP(B566,cubo!$A$6:$BE$37,46,0)-VLOOKUP(B566,#REF!,$T$2,0),0)</f>
        <v>0</v>
      </c>
      <c r="U566" s="9">
        <f>IFERROR(VLOOKUP(B566,cubo!$A$6:$BE$37,51,0)-VLOOKUP(B566,#REF!,$U$2,0),0)</f>
        <v>0</v>
      </c>
      <c r="V566" s="9">
        <f>IFERROR(VLOOKUP(B566,cubo!$A$6:$BJ$37,60,0)-VLOOKUP(B566,#REF!,$V$2,0),0)</f>
        <v>0</v>
      </c>
      <c r="W566" s="9">
        <f>IFERROR(VLOOKUP(B566,cubo!$A$6:$BE$37,26,0)-VLOOKUP(B566,#REF!,$W$2,0),0)</f>
        <v>0</v>
      </c>
      <c r="X566" s="9">
        <f>IFERROR(VLOOKUP(B566,cubo!$A$6:$BE$37,20,0)-VLOOKUP(B566,#REF!,$X$2,0),0)</f>
        <v>0</v>
      </c>
      <c r="Y566" s="9">
        <f>IFERROR(VLOOKUP(B566,cubo!$A$6:$BE$37,21,0)-VLOOKUP(B566,#REF!,$Y$2,0),0)</f>
        <v>0</v>
      </c>
      <c r="Z566" s="9">
        <f>IFERROR(VLOOKUP(B566,cubo!$A$6:$BE$37,27,0)-VLOOKUP(B566,#REF!,$Z$2,0),0)</f>
        <v>0</v>
      </c>
      <c r="AA566" s="9">
        <f>IFERROR(VLOOKUP(B566,cubo!$A$6:$BE$37,28,0)-VLOOKUP(B566,#REF!,$AA$2,0),0)</f>
        <v>0</v>
      </c>
      <c r="AB566" s="9">
        <f>IFERROR(VLOOKUP(B566,cubo!$A$6:$BE$37,29,0)-VLOOKUP(B566,#REF!,$AB$2,0),0)</f>
        <v>0</v>
      </c>
      <c r="AC566" s="9">
        <f>IFERROR(VLOOKUP(B566,cubo!$A$6:$BE$37,30,0)-VLOOKUP(B566,#REF!,$AC$2,0),0)</f>
        <v>0</v>
      </c>
      <c r="AD566" s="9">
        <f>IFERROR(VLOOKUP(B566,cubo!$A$6:$BE$37,31,0)-VLOOKUP(B566,#REF!,$AD$2,0),0)</f>
        <v>0</v>
      </c>
      <c r="AE566" s="9">
        <f>IFERROR(VLOOKUP(B566,cubo!$A$6:$BE$37,35,0)-VLOOKUP(B566,#REF!,$AE$2,0),0)</f>
        <v>0</v>
      </c>
      <c r="AF566" s="9" cm="1">
        <f t="array" aca="1" ref="AF566" ca="1">IFERROR(rrPROCV(B566,cubo!$A$6:$BE$37,48,0)-VLOOKUP(B566,#REF!,$AF$2,0),0)</f>
        <v>0</v>
      </c>
      <c r="AG566" s="9">
        <f>IFERROR(VLOOKUP(B566,cubo!$A$6:$BE$37,49,0)-VLOOKUP(B566,#REF!,$AG$2,0),0)</f>
        <v>0</v>
      </c>
      <c r="AH566" s="9">
        <f>IFERROR(VLOOKUP(B566,cubo!$A$6:$BE$37,50,0)-VLOOKUP(B566,#REF!,$AH$2,0),0)</f>
        <v>0</v>
      </c>
      <c r="AI566" s="9">
        <f>IFERROR(VLOOKUP(B566,cubo!$A$6:$BE$37,51,0)-VLOOKUP(B566,#REF!,$AI$2,0),0)</f>
        <v>0</v>
      </c>
      <c r="AJ566" s="9">
        <f>IFERROR(VLOOKUP(B566,cubo!$A$6:$BI$116,62,0)-VLOOKUP(B566,#REF!,$AJ$2,0),0)</f>
        <v>0</v>
      </c>
      <c r="AK566" s="9">
        <f>IFERROR(VLOOKUP(B566,cubo!$A$6:$BJ$37,63,0)-VLOOKUP(B566,#REF!,$AK$2,0),0)</f>
        <v>0</v>
      </c>
      <c r="AL566" s="9">
        <f>IFERROR(VLOOKUP(B566,cubo!$A$6:$BE$37,58,0)-VLOOKUP(B566,#REF!,$AL$2,0),0)</f>
        <v>0</v>
      </c>
      <c r="AM566" s="9">
        <f>IFERROR(VLOOKUP(B566,cubo!$A$6:$BK$37,64,0)-VLOOKUP(B566,#REF!,$AM$2,0),0)</f>
        <v>0</v>
      </c>
      <c r="AN566" s="9">
        <f>IFERROR(VLOOKUP(B566,cubo!$A$6:$AN$37,41,0)-VLOOKUP(B566,#REF!,$AN$2,0),0)</f>
        <v>0</v>
      </c>
    </row>
    <row r="567" spans="2:40" x14ac:dyDescent="0.25">
      <c r="B567" s="7">
        <f>[1]salario!A566</f>
        <v>0</v>
      </c>
      <c r="C567" s="8">
        <f>[1]salario!C566</f>
        <v>0</v>
      </c>
      <c r="D567" s="9">
        <f>IFERROR(VLOOKUP(B567,cubo!$A$6:$BE$37,3,0)-VLOOKUP(B567,#REF!,$D$2,0),0)</f>
        <v>0</v>
      </c>
      <c r="E567" s="10">
        <f>IFERROR(VLOOKUP(B567,cubo!$A$6:$BE$37,5,0)-VLOOKUP(B567,#REF!,$E$2,0),0)</f>
        <v>0</v>
      </c>
      <c r="F567" s="10">
        <f>IFERROR(VLOOKUP(B567,cubo!$A$6:$BE$37,8,0)-VLOOKUP(B567,#REF!,$F$2,0),0)</f>
        <v>0</v>
      </c>
      <c r="G567" s="9">
        <f>IFERROR(VLOOKUP(B567,cubo!$A$6:$BE$37,11,0)-VLOOKUP(B567,#REF!,$G$2,0),0)</f>
        <v>0</v>
      </c>
      <c r="H567" s="9">
        <f>IFERROR(VLOOKUP(B567,cubo!$A$6:$BE$37,53,0)-VLOOKUP(B567,#REF!,$H$2,0),0)</f>
        <v>0</v>
      </c>
      <c r="I567" s="10">
        <f>IFERROR(VLOOKUP(B567,cubo!$A$6:$BE$37,14,0)-VLOOKUP(B567,#REF!,$I$2,0),0)</f>
        <v>0</v>
      </c>
      <c r="J567" s="9">
        <f>IFERROR(VLOOKUP(B567,cubo!$A$6:$BE$37,16,0)-VLOOKUP(B567,#REF!,$J$2,0),0)</f>
        <v>0</v>
      </c>
      <c r="K567" s="9">
        <f>IFERROR(VLOOKUP(B567,cubo!$A$6:$BE$37,17,0)-VLOOKUP(B567,#REF!,$K$2,0),0)</f>
        <v>0</v>
      </c>
      <c r="L567" s="9">
        <f>IFERROR(VLOOKUP(B567,cubo!$A$6:$BE$37,19,0)-VLOOKUP(B567,#REF!,$L$2,0),0)</f>
        <v>0</v>
      </c>
      <c r="M567" s="9">
        <f>IFERROR(VLOOKUP(B567,cubo!$A$6:$BE$37,23,0)-VLOOKUP(B567,#REF!,$M$2,0),0)</f>
        <v>0</v>
      </c>
      <c r="N567" s="9">
        <f>IFERROR(VLOOKUP(B567,cubo!$A$6:$BE$37,25,0)-VLOOKUP(B567,#REF!,$N$2,0),0)</f>
        <v>0</v>
      </c>
      <c r="O567" s="9">
        <f>IFERROR(VLOOKUP(B567,cubo!$A$6:$BE$37,33,0)-VLOOKUP(B567,#REF!,$O$2,0),0)</f>
        <v>0</v>
      </c>
      <c r="P567" s="8">
        <f>IFERROR(VLOOKUP(B567,cubo!$A$6:$BE$37,37,0)-VLOOKUP(B567,#REF!,$P$2,0),0)</f>
        <v>0</v>
      </c>
      <c r="Q567" s="8">
        <f>IFERROR(VLOOKUP(B567,cubo!$A$6:$BE$37,56,0)-VLOOKUP(B567,#REF!,$Q$2,0),0)</f>
        <v>0</v>
      </c>
      <c r="R567" s="9">
        <f>IFERROR(VLOOKUP(B567,cubo!$A$6:$BE$37,40,0)-VLOOKUP(B567,#REF!,$R$2,0),0)</f>
        <v>0</v>
      </c>
      <c r="S567" s="9">
        <f>IFERROR(VLOOKUP(B567,cubo!$A$6:$BE$37,43,0)-VLOOKUP(B567,#REF!,$S$2,0),0)</f>
        <v>0</v>
      </c>
      <c r="T567" s="9">
        <f>IFERROR(VLOOKUP(B567,cubo!$A$6:$BE$37,46,0)-VLOOKUP(B567,#REF!,$T$2,0),0)</f>
        <v>0</v>
      </c>
      <c r="U567" s="9">
        <f>IFERROR(VLOOKUP(B567,cubo!$A$6:$BE$37,51,0)-VLOOKUP(B567,#REF!,$U$2,0),0)</f>
        <v>0</v>
      </c>
      <c r="V567" s="9">
        <f>IFERROR(VLOOKUP(B567,cubo!$A$6:$BJ$37,60,0)-VLOOKUP(B567,#REF!,$V$2,0),0)</f>
        <v>0</v>
      </c>
      <c r="W567" s="9">
        <f>IFERROR(VLOOKUP(B567,cubo!$A$6:$BE$37,26,0)-VLOOKUP(B567,#REF!,$W$2,0),0)</f>
        <v>0</v>
      </c>
      <c r="X567" s="9">
        <f>IFERROR(VLOOKUP(B567,cubo!$A$6:$BE$37,20,0)-VLOOKUP(B567,#REF!,$X$2,0),0)</f>
        <v>0</v>
      </c>
      <c r="Y567" s="9">
        <f>IFERROR(VLOOKUP(B567,cubo!$A$6:$BE$37,21,0)-VLOOKUP(B567,#REF!,$Y$2,0),0)</f>
        <v>0</v>
      </c>
      <c r="Z567" s="9">
        <f>IFERROR(VLOOKUP(B567,cubo!$A$6:$BE$37,27,0)-VLOOKUP(B567,#REF!,$Z$2,0),0)</f>
        <v>0</v>
      </c>
      <c r="AA567" s="9">
        <f>IFERROR(VLOOKUP(B567,cubo!$A$6:$BE$37,28,0)-VLOOKUP(B567,#REF!,$AA$2,0),0)</f>
        <v>0</v>
      </c>
      <c r="AB567" s="9">
        <f>IFERROR(VLOOKUP(B567,cubo!$A$6:$BE$37,29,0)-VLOOKUP(B567,#REF!,$AB$2,0),0)</f>
        <v>0</v>
      </c>
      <c r="AC567" s="9">
        <f>IFERROR(VLOOKUP(B567,cubo!$A$6:$BE$37,30,0)-VLOOKUP(B567,#REF!,$AC$2,0),0)</f>
        <v>0</v>
      </c>
      <c r="AD567" s="9">
        <f>IFERROR(VLOOKUP(B567,cubo!$A$6:$BE$37,31,0)-VLOOKUP(B567,#REF!,$AD$2,0),0)</f>
        <v>0</v>
      </c>
      <c r="AE567" s="9">
        <f>IFERROR(VLOOKUP(B567,cubo!$A$6:$BE$37,35,0)-VLOOKUP(B567,#REF!,$AE$2,0),0)</f>
        <v>0</v>
      </c>
      <c r="AF567" s="9" cm="1">
        <f t="array" aca="1" ref="AF567" ca="1">IFERROR(rrPROCV(B567,cubo!$A$6:$BE$37,48,0)-VLOOKUP(B567,#REF!,$AF$2,0),0)</f>
        <v>0</v>
      </c>
      <c r="AG567" s="9">
        <f>IFERROR(VLOOKUP(B567,cubo!$A$6:$BE$37,49,0)-VLOOKUP(B567,#REF!,$AG$2,0),0)</f>
        <v>0</v>
      </c>
      <c r="AH567" s="9">
        <f>IFERROR(VLOOKUP(B567,cubo!$A$6:$BE$37,50,0)-VLOOKUP(B567,#REF!,$AH$2,0),0)</f>
        <v>0</v>
      </c>
      <c r="AI567" s="9">
        <f>IFERROR(VLOOKUP(B567,cubo!$A$6:$BE$37,51,0)-VLOOKUP(B567,#REF!,$AI$2,0),0)</f>
        <v>0</v>
      </c>
      <c r="AJ567" s="9">
        <f>IFERROR(VLOOKUP(B567,cubo!$A$6:$BI$116,62,0)-VLOOKUP(B567,#REF!,$AJ$2,0),0)</f>
        <v>0</v>
      </c>
      <c r="AK567" s="9">
        <f>IFERROR(VLOOKUP(B567,cubo!$A$6:$BJ$37,63,0)-VLOOKUP(B567,#REF!,$AK$2,0),0)</f>
        <v>0</v>
      </c>
      <c r="AL567" s="9">
        <f>IFERROR(VLOOKUP(B567,cubo!$A$6:$BE$37,58,0)-VLOOKUP(B567,#REF!,$AL$2,0),0)</f>
        <v>0</v>
      </c>
      <c r="AM567" s="9">
        <f>IFERROR(VLOOKUP(B567,cubo!$A$6:$BK$37,64,0)-VLOOKUP(B567,#REF!,$AM$2,0),0)</f>
        <v>0</v>
      </c>
      <c r="AN567" s="9">
        <f>IFERROR(VLOOKUP(B567,cubo!$A$6:$AN$37,41,0)-VLOOKUP(B567,#REF!,$AN$2,0),0)</f>
        <v>0</v>
      </c>
    </row>
    <row r="568" spans="2:40" x14ac:dyDescent="0.25">
      <c r="B568" s="7">
        <f>[1]salario!A567</f>
        <v>0</v>
      </c>
      <c r="C568" s="8">
        <f>[1]salario!C567</f>
        <v>0</v>
      </c>
      <c r="D568" s="9">
        <f>IFERROR(VLOOKUP(B568,cubo!$A$6:$BE$37,3,0)-VLOOKUP(B568,#REF!,$D$2,0),0)</f>
        <v>0</v>
      </c>
      <c r="E568" s="10">
        <f>IFERROR(VLOOKUP(B568,cubo!$A$6:$BE$37,5,0)-VLOOKUP(B568,#REF!,$E$2,0),0)</f>
        <v>0</v>
      </c>
      <c r="F568" s="10">
        <f>IFERROR(VLOOKUP(B568,cubo!$A$6:$BE$37,8,0)-VLOOKUP(B568,#REF!,$F$2,0),0)</f>
        <v>0</v>
      </c>
      <c r="G568" s="9">
        <f>IFERROR(VLOOKUP(B568,cubo!$A$6:$BE$37,11,0)-VLOOKUP(B568,#REF!,$G$2,0),0)</f>
        <v>0</v>
      </c>
      <c r="H568" s="9">
        <f>IFERROR(VLOOKUP(B568,cubo!$A$6:$BE$37,53,0)-VLOOKUP(B568,#REF!,$H$2,0),0)</f>
        <v>0</v>
      </c>
      <c r="I568" s="10">
        <f>IFERROR(VLOOKUP(B568,cubo!$A$6:$BE$37,14,0)-VLOOKUP(B568,#REF!,$I$2,0),0)</f>
        <v>0</v>
      </c>
      <c r="J568" s="9">
        <f>IFERROR(VLOOKUP(B568,cubo!$A$6:$BE$37,16,0)-VLOOKUP(B568,#REF!,$J$2,0),0)</f>
        <v>0</v>
      </c>
      <c r="K568" s="9">
        <f>IFERROR(VLOOKUP(B568,cubo!$A$6:$BE$37,17,0)-VLOOKUP(B568,#REF!,$K$2,0),0)</f>
        <v>0</v>
      </c>
      <c r="L568" s="9">
        <f>IFERROR(VLOOKUP(B568,cubo!$A$6:$BE$37,19,0)-VLOOKUP(B568,#REF!,$L$2,0),0)</f>
        <v>0</v>
      </c>
      <c r="M568" s="9">
        <f>IFERROR(VLOOKUP(B568,cubo!$A$6:$BE$37,23,0)-VLOOKUP(B568,#REF!,$M$2,0),0)</f>
        <v>0</v>
      </c>
      <c r="N568" s="9">
        <f>IFERROR(VLOOKUP(B568,cubo!$A$6:$BE$37,25,0)-VLOOKUP(B568,#REF!,$N$2,0),0)</f>
        <v>0</v>
      </c>
      <c r="O568" s="9">
        <f>IFERROR(VLOOKUP(B568,cubo!$A$6:$BE$37,33,0)-VLOOKUP(B568,#REF!,$O$2,0),0)</f>
        <v>0</v>
      </c>
      <c r="P568" s="8">
        <f>IFERROR(VLOOKUP(B568,cubo!$A$6:$BE$37,37,0)-VLOOKUP(B568,#REF!,$P$2,0),0)</f>
        <v>0</v>
      </c>
      <c r="Q568" s="8">
        <f>IFERROR(VLOOKUP(B568,cubo!$A$6:$BE$37,56,0)-VLOOKUP(B568,#REF!,$Q$2,0),0)</f>
        <v>0</v>
      </c>
      <c r="R568" s="9">
        <f>IFERROR(VLOOKUP(B568,cubo!$A$6:$BE$37,40,0)-VLOOKUP(B568,#REF!,$R$2,0),0)</f>
        <v>0</v>
      </c>
      <c r="S568" s="9">
        <f>IFERROR(VLOOKUP(B568,cubo!$A$6:$BE$37,43,0)-VLOOKUP(B568,#REF!,$S$2,0),0)</f>
        <v>0</v>
      </c>
      <c r="T568" s="9">
        <f>IFERROR(VLOOKUP(B568,cubo!$A$6:$BE$37,46,0)-VLOOKUP(B568,#REF!,$T$2,0),0)</f>
        <v>0</v>
      </c>
      <c r="U568" s="9">
        <f>IFERROR(VLOOKUP(B568,cubo!$A$6:$BE$37,51,0)-VLOOKUP(B568,#REF!,$U$2,0),0)</f>
        <v>0</v>
      </c>
      <c r="V568" s="9">
        <f>IFERROR(VLOOKUP(B568,cubo!$A$6:$BJ$37,60,0)-VLOOKUP(B568,#REF!,$V$2,0),0)</f>
        <v>0</v>
      </c>
      <c r="W568" s="9">
        <f>IFERROR(VLOOKUP(B568,cubo!$A$6:$BE$37,26,0)-VLOOKUP(B568,#REF!,$W$2,0),0)</f>
        <v>0</v>
      </c>
      <c r="X568" s="9">
        <f>IFERROR(VLOOKUP(B568,cubo!$A$6:$BE$37,20,0)-VLOOKUP(B568,#REF!,$X$2,0),0)</f>
        <v>0</v>
      </c>
      <c r="Y568" s="9">
        <f>IFERROR(VLOOKUP(B568,cubo!$A$6:$BE$37,21,0)-VLOOKUP(B568,#REF!,$Y$2,0),0)</f>
        <v>0</v>
      </c>
      <c r="Z568" s="9">
        <f>IFERROR(VLOOKUP(B568,cubo!$A$6:$BE$37,27,0)-VLOOKUP(B568,#REF!,$Z$2,0),0)</f>
        <v>0</v>
      </c>
      <c r="AA568" s="9">
        <f>IFERROR(VLOOKUP(B568,cubo!$A$6:$BE$37,28,0)-VLOOKUP(B568,#REF!,$AA$2,0),0)</f>
        <v>0</v>
      </c>
      <c r="AB568" s="9">
        <f>IFERROR(VLOOKUP(B568,cubo!$A$6:$BE$37,29,0)-VLOOKUP(B568,#REF!,$AB$2,0),0)</f>
        <v>0</v>
      </c>
      <c r="AC568" s="9">
        <f>IFERROR(VLOOKUP(B568,cubo!$A$6:$BE$37,30,0)-VLOOKUP(B568,#REF!,$AC$2,0),0)</f>
        <v>0</v>
      </c>
      <c r="AD568" s="9">
        <f>IFERROR(VLOOKUP(B568,cubo!$A$6:$BE$37,31,0)-VLOOKUP(B568,#REF!,$AD$2,0),0)</f>
        <v>0</v>
      </c>
      <c r="AE568" s="9">
        <f>IFERROR(VLOOKUP(B568,cubo!$A$6:$BE$37,35,0)-VLOOKUP(B568,#REF!,$AE$2,0),0)</f>
        <v>0</v>
      </c>
      <c r="AF568" s="9" cm="1">
        <f t="array" aca="1" ref="AF568" ca="1">IFERROR(rrPROCV(B568,cubo!$A$6:$BE$37,48,0)-VLOOKUP(B568,#REF!,$AF$2,0),0)</f>
        <v>0</v>
      </c>
      <c r="AG568" s="9">
        <f>IFERROR(VLOOKUP(B568,cubo!$A$6:$BE$37,49,0)-VLOOKUP(B568,#REF!,$AG$2,0),0)</f>
        <v>0</v>
      </c>
      <c r="AH568" s="9">
        <f>IFERROR(VLOOKUP(B568,cubo!$A$6:$BE$37,50,0)-VLOOKUP(B568,#REF!,$AH$2,0),0)</f>
        <v>0</v>
      </c>
      <c r="AI568" s="9">
        <f>IFERROR(VLOOKUP(B568,cubo!$A$6:$BE$37,51,0)-VLOOKUP(B568,#REF!,$AI$2,0),0)</f>
        <v>0</v>
      </c>
      <c r="AJ568" s="9">
        <f>IFERROR(VLOOKUP(B568,cubo!$A$6:$BI$116,62,0)-VLOOKUP(B568,#REF!,$AJ$2,0),0)</f>
        <v>0</v>
      </c>
      <c r="AK568" s="9">
        <f>IFERROR(VLOOKUP(B568,cubo!$A$6:$BJ$37,63,0)-VLOOKUP(B568,#REF!,$AK$2,0),0)</f>
        <v>0</v>
      </c>
      <c r="AL568" s="9">
        <f>IFERROR(VLOOKUP(B568,cubo!$A$6:$BE$37,58,0)-VLOOKUP(B568,#REF!,$AL$2,0),0)</f>
        <v>0</v>
      </c>
      <c r="AM568" s="9">
        <f>IFERROR(VLOOKUP(B568,cubo!$A$6:$BK$37,64,0)-VLOOKUP(B568,#REF!,$AM$2,0),0)</f>
        <v>0</v>
      </c>
      <c r="AN568" s="9">
        <f>IFERROR(VLOOKUP(B568,cubo!$A$6:$AN$37,41,0)-VLOOKUP(B568,#REF!,$AN$2,0),0)</f>
        <v>0</v>
      </c>
    </row>
    <row r="569" spans="2:40" x14ac:dyDescent="0.25">
      <c r="B569" s="7">
        <f>[1]salario!A568</f>
        <v>0</v>
      </c>
      <c r="C569" s="8">
        <f>[1]salario!C568</f>
        <v>0</v>
      </c>
      <c r="D569" s="9">
        <f>IFERROR(VLOOKUP(B569,cubo!$A$6:$BE$37,3,0)-VLOOKUP(B569,#REF!,$D$2,0),0)</f>
        <v>0</v>
      </c>
      <c r="E569" s="10">
        <f>IFERROR(VLOOKUP(B569,cubo!$A$6:$BE$37,5,0)-VLOOKUP(B569,#REF!,$E$2,0),0)</f>
        <v>0</v>
      </c>
      <c r="F569" s="10">
        <f>IFERROR(VLOOKUP(B569,cubo!$A$6:$BE$37,8,0)-VLOOKUP(B569,#REF!,$F$2,0),0)</f>
        <v>0</v>
      </c>
      <c r="G569" s="9">
        <f>IFERROR(VLOOKUP(B569,cubo!$A$6:$BE$37,11,0)-VLOOKUP(B569,#REF!,$G$2,0),0)</f>
        <v>0</v>
      </c>
      <c r="H569" s="9">
        <f>IFERROR(VLOOKUP(B569,cubo!$A$6:$BE$37,53,0)-VLOOKUP(B569,#REF!,$H$2,0),0)</f>
        <v>0</v>
      </c>
      <c r="I569" s="10">
        <f>IFERROR(VLOOKUP(B569,cubo!$A$6:$BE$37,14,0)-VLOOKUP(B569,#REF!,$I$2,0),0)</f>
        <v>0</v>
      </c>
      <c r="J569" s="9">
        <f>IFERROR(VLOOKUP(B569,cubo!$A$6:$BE$37,16,0)-VLOOKUP(B569,#REF!,$J$2,0),0)</f>
        <v>0</v>
      </c>
      <c r="K569" s="9">
        <f>IFERROR(VLOOKUP(B569,cubo!$A$6:$BE$37,17,0)-VLOOKUP(B569,#REF!,$K$2,0),0)</f>
        <v>0</v>
      </c>
      <c r="L569" s="9">
        <f>IFERROR(VLOOKUP(B569,cubo!$A$6:$BE$37,19,0)-VLOOKUP(B569,#REF!,$L$2,0),0)</f>
        <v>0</v>
      </c>
      <c r="M569" s="9">
        <f>IFERROR(VLOOKUP(B569,cubo!$A$6:$BE$37,23,0)-VLOOKUP(B569,#REF!,$M$2,0),0)</f>
        <v>0</v>
      </c>
      <c r="N569" s="9">
        <f>IFERROR(VLOOKUP(B569,cubo!$A$6:$BE$37,25,0)-VLOOKUP(B569,#REF!,$N$2,0),0)</f>
        <v>0</v>
      </c>
      <c r="O569" s="9">
        <f>IFERROR(VLOOKUP(B569,cubo!$A$6:$BE$37,33,0)-VLOOKUP(B569,#REF!,$O$2,0),0)</f>
        <v>0</v>
      </c>
      <c r="P569" s="8">
        <f>IFERROR(VLOOKUP(B569,cubo!$A$6:$BE$37,37,0)-VLOOKUP(B569,#REF!,$P$2,0),0)</f>
        <v>0</v>
      </c>
      <c r="Q569" s="8">
        <f>IFERROR(VLOOKUP(B569,cubo!$A$6:$BE$37,56,0)-VLOOKUP(B569,#REF!,$Q$2,0),0)</f>
        <v>0</v>
      </c>
      <c r="R569" s="9">
        <f>IFERROR(VLOOKUP(B569,cubo!$A$6:$BE$37,40,0)-VLOOKUP(B569,#REF!,$R$2,0),0)</f>
        <v>0</v>
      </c>
      <c r="S569" s="9">
        <f>IFERROR(VLOOKUP(B569,cubo!$A$6:$BE$37,43,0)-VLOOKUP(B569,#REF!,$S$2,0),0)</f>
        <v>0</v>
      </c>
      <c r="T569" s="9">
        <f>IFERROR(VLOOKUP(B569,cubo!$A$6:$BE$37,46,0)-VLOOKUP(B569,#REF!,$T$2,0),0)</f>
        <v>0</v>
      </c>
      <c r="U569" s="9">
        <f>IFERROR(VLOOKUP(B569,cubo!$A$6:$BE$37,51,0)-VLOOKUP(B569,#REF!,$U$2,0),0)</f>
        <v>0</v>
      </c>
      <c r="V569" s="9">
        <f>IFERROR(VLOOKUP(B569,cubo!$A$6:$BJ$37,60,0)-VLOOKUP(B569,#REF!,$V$2,0),0)</f>
        <v>0</v>
      </c>
      <c r="W569" s="9">
        <f>IFERROR(VLOOKUP(B569,cubo!$A$6:$BE$37,26,0)-VLOOKUP(B569,#REF!,$W$2,0),0)</f>
        <v>0</v>
      </c>
      <c r="X569" s="9">
        <f>IFERROR(VLOOKUP(B569,cubo!$A$6:$BE$37,20,0)-VLOOKUP(B569,#REF!,$X$2,0),0)</f>
        <v>0</v>
      </c>
      <c r="Y569" s="9">
        <f>IFERROR(VLOOKUP(B569,cubo!$A$6:$BE$37,21,0)-VLOOKUP(B569,#REF!,$Y$2,0),0)</f>
        <v>0</v>
      </c>
      <c r="Z569" s="9">
        <f>IFERROR(VLOOKUP(B569,cubo!$A$6:$BE$37,27,0)-VLOOKUP(B569,#REF!,$Z$2,0),0)</f>
        <v>0</v>
      </c>
      <c r="AA569" s="9">
        <f>IFERROR(VLOOKUP(B569,cubo!$A$6:$BE$37,28,0)-VLOOKUP(B569,#REF!,$AA$2,0),0)</f>
        <v>0</v>
      </c>
      <c r="AB569" s="9">
        <f>IFERROR(VLOOKUP(B569,cubo!$A$6:$BE$37,29,0)-VLOOKUP(B569,#REF!,$AB$2,0),0)</f>
        <v>0</v>
      </c>
      <c r="AC569" s="9">
        <f>IFERROR(VLOOKUP(B569,cubo!$A$6:$BE$37,30,0)-VLOOKUP(B569,#REF!,$AC$2,0),0)</f>
        <v>0</v>
      </c>
      <c r="AD569" s="9">
        <f>IFERROR(VLOOKUP(B569,cubo!$A$6:$BE$37,31,0)-VLOOKUP(B569,#REF!,$AD$2,0),0)</f>
        <v>0</v>
      </c>
      <c r="AE569" s="9">
        <f>IFERROR(VLOOKUP(B569,cubo!$A$6:$BE$37,35,0)-VLOOKUP(B569,#REF!,$AE$2,0),0)</f>
        <v>0</v>
      </c>
      <c r="AF569" s="9" cm="1">
        <f t="array" aca="1" ref="AF569" ca="1">IFERROR(rrPROCV(B569,cubo!$A$6:$BE$37,48,0)-VLOOKUP(B569,#REF!,$AF$2,0),0)</f>
        <v>0</v>
      </c>
      <c r="AG569" s="9">
        <f>IFERROR(VLOOKUP(B569,cubo!$A$6:$BE$37,49,0)-VLOOKUP(B569,#REF!,$AG$2,0),0)</f>
        <v>0</v>
      </c>
      <c r="AH569" s="9">
        <f>IFERROR(VLOOKUP(B569,cubo!$A$6:$BE$37,50,0)-VLOOKUP(B569,#REF!,$AH$2,0),0)</f>
        <v>0</v>
      </c>
      <c r="AI569" s="9">
        <f>IFERROR(VLOOKUP(B569,cubo!$A$6:$BE$37,51,0)-VLOOKUP(B569,#REF!,$AI$2,0),0)</f>
        <v>0</v>
      </c>
      <c r="AJ569" s="9">
        <f>IFERROR(VLOOKUP(B569,cubo!$A$6:$BI$116,62,0)-VLOOKUP(B569,#REF!,$AJ$2,0),0)</f>
        <v>0</v>
      </c>
      <c r="AK569" s="9">
        <f>IFERROR(VLOOKUP(B569,cubo!$A$6:$BJ$37,63,0)-VLOOKUP(B569,#REF!,$AK$2,0),0)</f>
        <v>0</v>
      </c>
      <c r="AL569" s="9">
        <f>IFERROR(VLOOKUP(B569,cubo!$A$6:$BE$37,58,0)-VLOOKUP(B569,#REF!,$AL$2,0),0)</f>
        <v>0</v>
      </c>
      <c r="AM569" s="9">
        <f>IFERROR(VLOOKUP(B569,cubo!$A$6:$BK$37,64,0)-VLOOKUP(B569,#REF!,$AM$2,0),0)</f>
        <v>0</v>
      </c>
      <c r="AN569" s="9">
        <f>IFERROR(VLOOKUP(B569,cubo!$A$6:$AN$37,41,0)-VLOOKUP(B569,#REF!,$AN$2,0),0)</f>
        <v>0</v>
      </c>
    </row>
    <row r="570" spans="2:40" x14ac:dyDescent="0.25">
      <c r="B570" s="7">
        <f>[1]salario!A569</f>
        <v>0</v>
      </c>
      <c r="C570" s="8">
        <f>[1]salario!C569</f>
        <v>0</v>
      </c>
      <c r="D570" s="9">
        <f>IFERROR(VLOOKUP(B570,cubo!$A$6:$BE$37,3,0)-VLOOKUP(B570,#REF!,$D$2,0),0)</f>
        <v>0</v>
      </c>
      <c r="E570" s="10">
        <f>IFERROR(VLOOKUP(B570,cubo!$A$6:$BE$37,5,0)-VLOOKUP(B570,#REF!,$E$2,0),0)</f>
        <v>0</v>
      </c>
      <c r="F570" s="10">
        <f>IFERROR(VLOOKUP(B570,cubo!$A$6:$BE$37,8,0)-VLOOKUP(B570,#REF!,$F$2,0),0)</f>
        <v>0</v>
      </c>
      <c r="G570" s="9">
        <f>IFERROR(VLOOKUP(B570,cubo!$A$6:$BE$37,11,0)-VLOOKUP(B570,#REF!,$G$2,0),0)</f>
        <v>0</v>
      </c>
      <c r="H570" s="9">
        <f>IFERROR(VLOOKUP(B570,cubo!$A$6:$BE$37,53,0)-VLOOKUP(B570,#REF!,$H$2,0),0)</f>
        <v>0</v>
      </c>
      <c r="I570" s="10">
        <f>IFERROR(VLOOKUP(B570,cubo!$A$6:$BE$37,14,0)-VLOOKUP(B570,#REF!,$I$2,0),0)</f>
        <v>0</v>
      </c>
      <c r="J570" s="9">
        <f>IFERROR(VLOOKUP(B570,cubo!$A$6:$BE$37,16,0)-VLOOKUP(B570,#REF!,$J$2,0),0)</f>
        <v>0</v>
      </c>
      <c r="K570" s="9">
        <f>IFERROR(VLOOKUP(B570,cubo!$A$6:$BE$37,17,0)-VLOOKUP(B570,#REF!,$K$2,0),0)</f>
        <v>0</v>
      </c>
      <c r="L570" s="9">
        <f>IFERROR(VLOOKUP(B570,cubo!$A$6:$BE$37,19,0)-VLOOKUP(B570,#REF!,$L$2,0),0)</f>
        <v>0</v>
      </c>
      <c r="M570" s="9">
        <f>IFERROR(VLOOKUP(B570,cubo!$A$6:$BE$37,23,0)-VLOOKUP(B570,#REF!,$M$2,0),0)</f>
        <v>0</v>
      </c>
      <c r="N570" s="9">
        <f>IFERROR(VLOOKUP(B570,cubo!$A$6:$BE$37,25,0)-VLOOKUP(B570,#REF!,$N$2,0),0)</f>
        <v>0</v>
      </c>
      <c r="O570" s="9">
        <f>IFERROR(VLOOKUP(B570,cubo!$A$6:$BE$37,33,0)-VLOOKUP(B570,#REF!,$O$2,0),0)</f>
        <v>0</v>
      </c>
      <c r="P570" s="8">
        <f>IFERROR(VLOOKUP(B570,cubo!$A$6:$BE$37,37,0)-VLOOKUP(B570,#REF!,$P$2,0),0)</f>
        <v>0</v>
      </c>
      <c r="Q570" s="8">
        <f>IFERROR(VLOOKUP(B570,cubo!$A$6:$BE$37,56,0)-VLOOKUP(B570,#REF!,$Q$2,0),0)</f>
        <v>0</v>
      </c>
      <c r="R570" s="9">
        <f>IFERROR(VLOOKUP(B570,cubo!$A$6:$BE$37,40,0)-VLOOKUP(B570,#REF!,$R$2,0),0)</f>
        <v>0</v>
      </c>
      <c r="S570" s="9">
        <f>IFERROR(VLOOKUP(B570,cubo!$A$6:$BE$37,43,0)-VLOOKUP(B570,#REF!,$S$2,0),0)</f>
        <v>0</v>
      </c>
      <c r="T570" s="9">
        <f>IFERROR(VLOOKUP(B570,cubo!$A$6:$BE$37,46,0)-VLOOKUP(B570,#REF!,$T$2,0),0)</f>
        <v>0</v>
      </c>
      <c r="U570" s="9">
        <f>IFERROR(VLOOKUP(B570,cubo!$A$6:$BE$37,51,0)-VLOOKUP(B570,#REF!,$U$2,0),0)</f>
        <v>0</v>
      </c>
      <c r="V570" s="9">
        <f>IFERROR(VLOOKUP(B570,cubo!$A$6:$BJ$37,60,0)-VLOOKUP(B570,#REF!,$V$2,0),0)</f>
        <v>0</v>
      </c>
      <c r="W570" s="9">
        <f>IFERROR(VLOOKUP(B570,cubo!$A$6:$BE$37,26,0)-VLOOKUP(B570,#REF!,$W$2,0),0)</f>
        <v>0</v>
      </c>
      <c r="X570" s="9">
        <f>IFERROR(VLOOKUP(B570,cubo!$A$6:$BE$37,20,0)-VLOOKUP(B570,#REF!,$X$2,0),0)</f>
        <v>0</v>
      </c>
      <c r="Y570" s="9">
        <f>IFERROR(VLOOKUP(B570,cubo!$A$6:$BE$37,21,0)-VLOOKUP(B570,#REF!,$Y$2,0),0)</f>
        <v>0</v>
      </c>
      <c r="Z570" s="9">
        <f>IFERROR(VLOOKUP(B570,cubo!$A$6:$BE$37,27,0)-VLOOKUP(B570,#REF!,$Z$2,0),0)</f>
        <v>0</v>
      </c>
      <c r="AA570" s="9">
        <f>IFERROR(VLOOKUP(B570,cubo!$A$6:$BE$37,28,0)-VLOOKUP(B570,#REF!,$AA$2,0),0)</f>
        <v>0</v>
      </c>
      <c r="AB570" s="9">
        <f>IFERROR(VLOOKUP(B570,cubo!$A$6:$BE$37,29,0)-VLOOKUP(B570,#REF!,$AB$2,0),0)</f>
        <v>0</v>
      </c>
      <c r="AC570" s="9">
        <f>IFERROR(VLOOKUP(B570,cubo!$A$6:$BE$37,30,0)-VLOOKUP(B570,#REF!,$AC$2,0),0)</f>
        <v>0</v>
      </c>
      <c r="AD570" s="9">
        <f>IFERROR(VLOOKUP(B570,cubo!$A$6:$BE$37,31,0)-VLOOKUP(B570,#REF!,$AD$2,0),0)</f>
        <v>0</v>
      </c>
      <c r="AE570" s="9">
        <f>IFERROR(VLOOKUP(B570,cubo!$A$6:$BE$37,35,0)-VLOOKUP(B570,#REF!,$AE$2,0),0)</f>
        <v>0</v>
      </c>
      <c r="AF570" s="9" cm="1">
        <f t="array" aca="1" ref="AF570" ca="1">IFERROR(rrPROCV(B570,cubo!$A$6:$BE$37,48,0)-VLOOKUP(B570,#REF!,$AF$2,0),0)</f>
        <v>0</v>
      </c>
      <c r="AG570" s="9">
        <f>IFERROR(VLOOKUP(B570,cubo!$A$6:$BE$37,49,0)-VLOOKUP(B570,#REF!,$AG$2,0),0)</f>
        <v>0</v>
      </c>
      <c r="AH570" s="9">
        <f>IFERROR(VLOOKUP(B570,cubo!$A$6:$BE$37,50,0)-VLOOKUP(B570,#REF!,$AH$2,0),0)</f>
        <v>0</v>
      </c>
      <c r="AI570" s="9">
        <f>IFERROR(VLOOKUP(B570,cubo!$A$6:$BE$37,51,0)-VLOOKUP(B570,#REF!,$AI$2,0),0)</f>
        <v>0</v>
      </c>
      <c r="AJ570" s="9">
        <f>IFERROR(VLOOKUP(B570,cubo!$A$6:$BI$116,62,0)-VLOOKUP(B570,#REF!,$AJ$2,0),0)</f>
        <v>0</v>
      </c>
      <c r="AK570" s="9">
        <f>IFERROR(VLOOKUP(B570,cubo!$A$6:$BJ$37,63,0)-VLOOKUP(B570,#REF!,$AK$2,0),0)</f>
        <v>0</v>
      </c>
      <c r="AL570" s="9">
        <f>IFERROR(VLOOKUP(B570,cubo!$A$6:$BE$37,58,0)-VLOOKUP(B570,#REF!,$AL$2,0),0)</f>
        <v>0</v>
      </c>
      <c r="AM570" s="9">
        <f>IFERROR(VLOOKUP(B570,cubo!$A$6:$BK$37,64,0)-VLOOKUP(B570,#REF!,$AM$2,0),0)</f>
        <v>0</v>
      </c>
      <c r="AN570" s="9">
        <f>IFERROR(VLOOKUP(B570,cubo!$A$6:$AN$37,41,0)-VLOOKUP(B570,#REF!,$AN$2,0),0)</f>
        <v>0</v>
      </c>
    </row>
    <row r="571" spans="2:40" x14ac:dyDescent="0.25">
      <c r="B571" s="7">
        <f>[1]salario!A570</f>
        <v>0</v>
      </c>
      <c r="C571" s="8">
        <f>[1]salario!C570</f>
        <v>0</v>
      </c>
      <c r="D571" s="9">
        <f>IFERROR(VLOOKUP(B571,cubo!$A$6:$BE$37,3,0)-VLOOKUP(B571,#REF!,$D$2,0),0)</f>
        <v>0</v>
      </c>
      <c r="E571" s="10">
        <f>IFERROR(VLOOKUP(B571,cubo!$A$6:$BE$37,5,0)-VLOOKUP(B571,#REF!,$E$2,0),0)</f>
        <v>0</v>
      </c>
      <c r="F571" s="10">
        <f>IFERROR(VLOOKUP(B571,cubo!$A$6:$BE$37,8,0)-VLOOKUP(B571,#REF!,$F$2,0),0)</f>
        <v>0</v>
      </c>
      <c r="G571" s="9">
        <f>IFERROR(VLOOKUP(B571,cubo!$A$6:$BE$37,11,0)-VLOOKUP(B571,#REF!,$G$2,0),0)</f>
        <v>0</v>
      </c>
      <c r="H571" s="9">
        <f>IFERROR(VLOOKUP(B571,cubo!$A$6:$BE$37,53,0)-VLOOKUP(B571,#REF!,$H$2,0),0)</f>
        <v>0</v>
      </c>
      <c r="I571" s="10">
        <f>IFERROR(VLOOKUP(B571,cubo!$A$6:$BE$37,14,0)-VLOOKUP(B571,#REF!,$I$2,0),0)</f>
        <v>0</v>
      </c>
      <c r="J571" s="9">
        <f>IFERROR(VLOOKUP(B571,cubo!$A$6:$BE$37,16,0)-VLOOKUP(B571,#REF!,$J$2,0),0)</f>
        <v>0</v>
      </c>
      <c r="K571" s="9">
        <f>IFERROR(VLOOKUP(B571,cubo!$A$6:$BE$37,17,0)-VLOOKUP(B571,#REF!,$K$2,0),0)</f>
        <v>0</v>
      </c>
      <c r="L571" s="9">
        <f>IFERROR(VLOOKUP(B571,cubo!$A$6:$BE$37,19,0)-VLOOKUP(B571,#REF!,$L$2,0),0)</f>
        <v>0</v>
      </c>
      <c r="M571" s="9">
        <f>IFERROR(VLOOKUP(B571,cubo!$A$6:$BE$37,23,0)-VLOOKUP(B571,#REF!,$M$2,0),0)</f>
        <v>0</v>
      </c>
      <c r="N571" s="9">
        <f>IFERROR(VLOOKUP(B571,cubo!$A$6:$BE$37,25,0)-VLOOKUP(B571,#REF!,$N$2,0),0)</f>
        <v>0</v>
      </c>
      <c r="O571" s="9">
        <f>IFERROR(VLOOKUP(B571,cubo!$A$6:$BE$37,33,0)-VLOOKUP(B571,#REF!,$O$2,0),0)</f>
        <v>0</v>
      </c>
      <c r="P571" s="8">
        <f>IFERROR(VLOOKUP(B571,cubo!$A$6:$BE$37,37,0)-VLOOKUP(B571,#REF!,$P$2,0),0)</f>
        <v>0</v>
      </c>
      <c r="Q571" s="8">
        <f>IFERROR(VLOOKUP(B571,cubo!$A$6:$BE$37,56,0)-VLOOKUP(B571,#REF!,$Q$2,0),0)</f>
        <v>0</v>
      </c>
      <c r="R571" s="9">
        <f>IFERROR(VLOOKUP(B571,cubo!$A$6:$BE$37,40,0)-VLOOKUP(B571,#REF!,$R$2,0),0)</f>
        <v>0</v>
      </c>
      <c r="S571" s="9">
        <f>IFERROR(VLOOKUP(B571,cubo!$A$6:$BE$37,43,0)-VLOOKUP(B571,#REF!,$S$2,0),0)</f>
        <v>0</v>
      </c>
      <c r="T571" s="9">
        <f>IFERROR(VLOOKUP(B571,cubo!$A$6:$BE$37,46,0)-VLOOKUP(B571,#REF!,$T$2,0),0)</f>
        <v>0</v>
      </c>
      <c r="U571" s="9">
        <f>IFERROR(VLOOKUP(B571,cubo!$A$6:$BE$37,51,0)-VLOOKUP(B571,#REF!,$U$2,0),0)</f>
        <v>0</v>
      </c>
      <c r="V571" s="9">
        <f>IFERROR(VLOOKUP(B571,cubo!$A$6:$BJ$37,60,0)-VLOOKUP(B571,#REF!,$V$2,0),0)</f>
        <v>0</v>
      </c>
      <c r="W571" s="9">
        <f>IFERROR(VLOOKUP(B571,cubo!$A$6:$BE$37,26,0)-VLOOKUP(B571,#REF!,$W$2,0),0)</f>
        <v>0</v>
      </c>
      <c r="X571" s="9">
        <f>IFERROR(VLOOKUP(B571,cubo!$A$6:$BE$37,20,0)-VLOOKUP(B571,#REF!,$X$2,0),0)</f>
        <v>0</v>
      </c>
      <c r="Y571" s="9">
        <f>IFERROR(VLOOKUP(B571,cubo!$A$6:$BE$37,21,0)-VLOOKUP(B571,#REF!,$Y$2,0),0)</f>
        <v>0</v>
      </c>
      <c r="Z571" s="9">
        <f>IFERROR(VLOOKUP(B571,cubo!$A$6:$BE$37,27,0)-VLOOKUP(B571,#REF!,$Z$2,0),0)</f>
        <v>0</v>
      </c>
      <c r="AA571" s="9">
        <f>IFERROR(VLOOKUP(B571,cubo!$A$6:$BE$37,28,0)-VLOOKUP(B571,#REF!,$AA$2,0),0)</f>
        <v>0</v>
      </c>
      <c r="AB571" s="9">
        <f>IFERROR(VLOOKUP(B571,cubo!$A$6:$BE$37,29,0)-VLOOKUP(B571,#REF!,$AB$2,0),0)</f>
        <v>0</v>
      </c>
      <c r="AC571" s="9">
        <f>IFERROR(VLOOKUP(B571,cubo!$A$6:$BE$37,30,0)-VLOOKUP(B571,#REF!,$AC$2,0),0)</f>
        <v>0</v>
      </c>
      <c r="AD571" s="9">
        <f>IFERROR(VLOOKUP(B571,cubo!$A$6:$BE$37,31,0)-VLOOKUP(B571,#REF!,$AD$2,0),0)</f>
        <v>0</v>
      </c>
      <c r="AE571" s="9">
        <f>IFERROR(VLOOKUP(B571,cubo!$A$6:$BE$37,35,0)-VLOOKUP(B571,#REF!,$AE$2,0),0)</f>
        <v>0</v>
      </c>
      <c r="AF571" s="9" cm="1">
        <f t="array" aca="1" ref="AF571" ca="1">IFERROR(rrPROCV(B571,cubo!$A$6:$BE$37,48,0)-VLOOKUP(B571,#REF!,$AF$2,0),0)</f>
        <v>0</v>
      </c>
      <c r="AG571" s="9">
        <f>IFERROR(VLOOKUP(B571,cubo!$A$6:$BE$37,49,0)-VLOOKUP(B571,#REF!,$AG$2,0),0)</f>
        <v>0</v>
      </c>
      <c r="AH571" s="9">
        <f>IFERROR(VLOOKUP(B571,cubo!$A$6:$BE$37,50,0)-VLOOKUP(B571,#REF!,$AH$2,0),0)</f>
        <v>0</v>
      </c>
      <c r="AI571" s="9">
        <f>IFERROR(VLOOKUP(B571,cubo!$A$6:$BE$37,51,0)-VLOOKUP(B571,#REF!,$AI$2,0),0)</f>
        <v>0</v>
      </c>
      <c r="AJ571" s="9">
        <f>IFERROR(VLOOKUP(B571,cubo!$A$6:$BI$116,62,0)-VLOOKUP(B571,#REF!,$AJ$2,0),0)</f>
        <v>0</v>
      </c>
      <c r="AK571" s="9">
        <f>IFERROR(VLOOKUP(B571,cubo!$A$6:$BJ$37,63,0)-VLOOKUP(B571,#REF!,$AK$2,0),0)</f>
        <v>0</v>
      </c>
      <c r="AL571" s="9">
        <f>IFERROR(VLOOKUP(B571,cubo!$A$6:$BE$37,58,0)-VLOOKUP(B571,#REF!,$AL$2,0),0)</f>
        <v>0</v>
      </c>
      <c r="AM571" s="9">
        <f>IFERROR(VLOOKUP(B571,cubo!$A$6:$BK$37,64,0)-VLOOKUP(B571,#REF!,$AM$2,0),0)</f>
        <v>0</v>
      </c>
      <c r="AN571" s="9">
        <f>IFERROR(VLOOKUP(B571,cubo!$A$6:$AN$37,41,0)-VLOOKUP(B571,#REF!,$AN$2,0),0)</f>
        <v>0</v>
      </c>
    </row>
    <row r="572" spans="2:40" x14ac:dyDescent="0.25">
      <c r="B572" s="7">
        <f>[1]salario!A571</f>
        <v>0</v>
      </c>
      <c r="C572" s="8">
        <f>[1]salario!C571</f>
        <v>0</v>
      </c>
      <c r="D572" s="9">
        <f>IFERROR(VLOOKUP(B572,cubo!$A$6:$BE$37,3,0)-VLOOKUP(B572,#REF!,$D$2,0),0)</f>
        <v>0</v>
      </c>
      <c r="E572" s="10">
        <f>IFERROR(VLOOKUP(B572,cubo!$A$6:$BE$37,5,0)-VLOOKUP(B572,#REF!,$E$2,0),0)</f>
        <v>0</v>
      </c>
      <c r="F572" s="10">
        <f>IFERROR(VLOOKUP(B572,cubo!$A$6:$BE$37,8,0)-VLOOKUP(B572,#REF!,$F$2,0),0)</f>
        <v>0</v>
      </c>
      <c r="G572" s="9">
        <f>IFERROR(VLOOKUP(B572,cubo!$A$6:$BE$37,11,0)-VLOOKUP(B572,#REF!,$G$2,0),0)</f>
        <v>0</v>
      </c>
      <c r="H572" s="9">
        <f>IFERROR(VLOOKUP(B572,cubo!$A$6:$BE$37,53,0)-VLOOKUP(B572,#REF!,$H$2,0),0)</f>
        <v>0</v>
      </c>
      <c r="I572" s="10">
        <f>IFERROR(VLOOKUP(B572,cubo!$A$6:$BE$37,14,0)-VLOOKUP(B572,#REF!,$I$2,0),0)</f>
        <v>0</v>
      </c>
      <c r="J572" s="9">
        <f>IFERROR(VLOOKUP(B572,cubo!$A$6:$BE$37,16,0)-VLOOKUP(B572,#REF!,$J$2,0),0)</f>
        <v>0</v>
      </c>
      <c r="K572" s="9">
        <f>IFERROR(VLOOKUP(B572,cubo!$A$6:$BE$37,17,0)-VLOOKUP(B572,#REF!,$K$2,0),0)</f>
        <v>0</v>
      </c>
      <c r="L572" s="9">
        <f>IFERROR(VLOOKUP(B572,cubo!$A$6:$BE$37,19,0)-VLOOKUP(B572,#REF!,$L$2,0),0)</f>
        <v>0</v>
      </c>
      <c r="M572" s="9">
        <f>IFERROR(VLOOKUP(B572,cubo!$A$6:$BE$37,23,0)-VLOOKUP(B572,#REF!,$M$2,0),0)</f>
        <v>0</v>
      </c>
      <c r="N572" s="9">
        <f>IFERROR(VLOOKUP(B572,cubo!$A$6:$BE$37,25,0)-VLOOKUP(B572,#REF!,$N$2,0),0)</f>
        <v>0</v>
      </c>
      <c r="O572" s="9">
        <f>IFERROR(VLOOKUP(B572,cubo!$A$6:$BE$37,33,0)-VLOOKUP(B572,#REF!,$O$2,0),0)</f>
        <v>0</v>
      </c>
      <c r="P572" s="8">
        <f>IFERROR(VLOOKUP(B572,cubo!$A$6:$BE$37,37,0)-VLOOKUP(B572,#REF!,$P$2,0),0)</f>
        <v>0</v>
      </c>
      <c r="Q572" s="8">
        <f>IFERROR(VLOOKUP(B572,cubo!$A$6:$BE$37,56,0)-VLOOKUP(B572,#REF!,$Q$2,0),0)</f>
        <v>0</v>
      </c>
      <c r="R572" s="9">
        <f>IFERROR(VLOOKUP(B572,cubo!$A$6:$BE$37,40,0)-VLOOKUP(B572,#REF!,$R$2,0),0)</f>
        <v>0</v>
      </c>
      <c r="S572" s="9">
        <f>IFERROR(VLOOKUP(B572,cubo!$A$6:$BE$37,43,0)-VLOOKUP(B572,#REF!,$S$2,0),0)</f>
        <v>0</v>
      </c>
      <c r="T572" s="9">
        <f>IFERROR(VLOOKUP(B572,cubo!$A$6:$BE$37,46,0)-VLOOKUP(B572,#REF!,$T$2,0),0)</f>
        <v>0</v>
      </c>
      <c r="U572" s="9">
        <f>IFERROR(VLOOKUP(B572,cubo!$A$6:$BE$37,51,0)-VLOOKUP(B572,#REF!,$U$2,0),0)</f>
        <v>0</v>
      </c>
      <c r="V572" s="9">
        <f>IFERROR(VLOOKUP(B572,cubo!$A$6:$BJ$37,60,0)-VLOOKUP(B572,#REF!,$V$2,0),0)</f>
        <v>0</v>
      </c>
      <c r="W572" s="9">
        <f>IFERROR(VLOOKUP(B572,cubo!$A$6:$BE$37,26,0)-VLOOKUP(B572,#REF!,$W$2,0),0)</f>
        <v>0</v>
      </c>
      <c r="X572" s="9">
        <f>IFERROR(VLOOKUP(B572,cubo!$A$6:$BE$37,20,0)-VLOOKUP(B572,#REF!,$X$2,0),0)</f>
        <v>0</v>
      </c>
      <c r="Y572" s="9">
        <f>IFERROR(VLOOKUP(B572,cubo!$A$6:$BE$37,21,0)-VLOOKUP(B572,#REF!,$Y$2,0),0)</f>
        <v>0</v>
      </c>
      <c r="Z572" s="9">
        <f>IFERROR(VLOOKUP(B572,cubo!$A$6:$BE$37,27,0)-VLOOKUP(B572,#REF!,$Z$2,0),0)</f>
        <v>0</v>
      </c>
      <c r="AA572" s="9">
        <f>IFERROR(VLOOKUP(B572,cubo!$A$6:$BE$37,28,0)-VLOOKUP(B572,#REF!,$AA$2,0),0)</f>
        <v>0</v>
      </c>
      <c r="AB572" s="9">
        <f>IFERROR(VLOOKUP(B572,cubo!$A$6:$BE$37,29,0)-VLOOKUP(B572,#REF!,$AB$2,0),0)</f>
        <v>0</v>
      </c>
      <c r="AC572" s="9">
        <f>IFERROR(VLOOKUP(B572,cubo!$A$6:$BE$37,30,0)-VLOOKUP(B572,#REF!,$AC$2,0),0)</f>
        <v>0</v>
      </c>
      <c r="AD572" s="9">
        <f>IFERROR(VLOOKUP(B572,cubo!$A$6:$BE$37,31,0)-VLOOKUP(B572,#REF!,$AD$2,0),0)</f>
        <v>0</v>
      </c>
      <c r="AE572" s="9">
        <f>IFERROR(VLOOKUP(B572,cubo!$A$6:$BE$37,35,0)-VLOOKUP(B572,#REF!,$AE$2,0),0)</f>
        <v>0</v>
      </c>
      <c r="AF572" s="9" cm="1">
        <f t="array" aca="1" ref="AF572" ca="1">IFERROR(rrPROCV(B572,cubo!$A$6:$BE$37,48,0)-VLOOKUP(B572,#REF!,$AF$2,0),0)</f>
        <v>0</v>
      </c>
      <c r="AG572" s="9">
        <f>IFERROR(VLOOKUP(B572,cubo!$A$6:$BE$37,49,0)-VLOOKUP(B572,#REF!,$AG$2,0),0)</f>
        <v>0</v>
      </c>
      <c r="AH572" s="9">
        <f>IFERROR(VLOOKUP(B572,cubo!$A$6:$BE$37,50,0)-VLOOKUP(B572,#REF!,$AH$2,0),0)</f>
        <v>0</v>
      </c>
      <c r="AI572" s="9">
        <f>IFERROR(VLOOKUP(B572,cubo!$A$6:$BE$37,51,0)-VLOOKUP(B572,#REF!,$AI$2,0),0)</f>
        <v>0</v>
      </c>
      <c r="AJ572" s="9">
        <f>IFERROR(VLOOKUP(B572,cubo!$A$6:$BI$116,62,0)-VLOOKUP(B572,#REF!,$AJ$2,0),0)</f>
        <v>0</v>
      </c>
      <c r="AK572" s="9">
        <f>IFERROR(VLOOKUP(B572,cubo!$A$6:$BJ$37,63,0)-VLOOKUP(B572,#REF!,$AK$2,0),0)</f>
        <v>0</v>
      </c>
      <c r="AL572" s="9">
        <f>IFERROR(VLOOKUP(B572,cubo!$A$6:$BE$37,58,0)-VLOOKUP(B572,#REF!,$AL$2,0),0)</f>
        <v>0</v>
      </c>
      <c r="AM572" s="9">
        <f>IFERROR(VLOOKUP(B572,cubo!$A$6:$BK$37,64,0)-VLOOKUP(B572,#REF!,$AM$2,0),0)</f>
        <v>0</v>
      </c>
      <c r="AN572" s="9">
        <f>IFERROR(VLOOKUP(B572,cubo!$A$6:$AN$37,41,0)-VLOOKUP(B572,#REF!,$AN$2,0),0)</f>
        <v>0</v>
      </c>
    </row>
    <row r="573" spans="2:40" x14ac:dyDescent="0.25">
      <c r="B573" s="7">
        <f>[1]salario!A572</f>
        <v>0</v>
      </c>
      <c r="C573" s="8">
        <f>[1]salario!C572</f>
        <v>0</v>
      </c>
      <c r="D573" s="9">
        <f>IFERROR(VLOOKUP(B573,cubo!$A$6:$BE$37,3,0)-VLOOKUP(B573,#REF!,$D$2,0),0)</f>
        <v>0</v>
      </c>
      <c r="E573" s="10">
        <f>IFERROR(VLOOKUP(B573,cubo!$A$6:$BE$37,5,0)-VLOOKUP(B573,#REF!,$E$2,0),0)</f>
        <v>0</v>
      </c>
      <c r="F573" s="10">
        <f>IFERROR(VLOOKUP(B573,cubo!$A$6:$BE$37,8,0)-VLOOKUP(B573,#REF!,$F$2,0),0)</f>
        <v>0</v>
      </c>
      <c r="G573" s="9">
        <f>IFERROR(VLOOKUP(B573,cubo!$A$6:$BE$37,11,0)-VLOOKUP(B573,#REF!,$G$2,0),0)</f>
        <v>0</v>
      </c>
      <c r="H573" s="9">
        <f>IFERROR(VLOOKUP(B573,cubo!$A$6:$BE$37,53,0)-VLOOKUP(B573,#REF!,$H$2,0),0)</f>
        <v>0</v>
      </c>
      <c r="I573" s="10">
        <f>IFERROR(VLOOKUP(B573,cubo!$A$6:$BE$37,14,0)-VLOOKUP(B573,#REF!,$I$2,0),0)</f>
        <v>0</v>
      </c>
      <c r="J573" s="9">
        <f>IFERROR(VLOOKUP(B573,cubo!$A$6:$BE$37,16,0)-VLOOKUP(B573,#REF!,$J$2,0),0)</f>
        <v>0</v>
      </c>
      <c r="K573" s="9">
        <f>IFERROR(VLOOKUP(B573,cubo!$A$6:$BE$37,17,0)-VLOOKUP(B573,#REF!,$K$2,0),0)</f>
        <v>0</v>
      </c>
      <c r="L573" s="9">
        <f>IFERROR(VLOOKUP(B573,cubo!$A$6:$BE$37,19,0)-VLOOKUP(B573,#REF!,$L$2,0),0)</f>
        <v>0</v>
      </c>
      <c r="M573" s="9">
        <f>IFERROR(VLOOKUP(B573,cubo!$A$6:$BE$37,23,0)-VLOOKUP(B573,#REF!,$M$2,0),0)</f>
        <v>0</v>
      </c>
      <c r="N573" s="9">
        <f>IFERROR(VLOOKUP(B573,cubo!$A$6:$BE$37,25,0)-VLOOKUP(B573,#REF!,$N$2,0),0)</f>
        <v>0</v>
      </c>
      <c r="O573" s="9">
        <f>IFERROR(VLOOKUP(B573,cubo!$A$6:$BE$37,33,0)-VLOOKUP(B573,#REF!,$O$2,0),0)</f>
        <v>0</v>
      </c>
      <c r="P573" s="8">
        <f>IFERROR(VLOOKUP(B573,cubo!$A$6:$BE$37,37,0)-VLOOKUP(B573,#REF!,$P$2,0),0)</f>
        <v>0</v>
      </c>
      <c r="Q573" s="8">
        <f>IFERROR(VLOOKUP(B573,cubo!$A$6:$BE$37,56,0)-VLOOKUP(B573,#REF!,$Q$2,0),0)</f>
        <v>0</v>
      </c>
      <c r="R573" s="9">
        <f>IFERROR(VLOOKUP(B573,cubo!$A$6:$BE$37,40,0)-VLOOKUP(B573,#REF!,$R$2,0),0)</f>
        <v>0</v>
      </c>
      <c r="S573" s="9">
        <f>IFERROR(VLOOKUP(B573,cubo!$A$6:$BE$37,43,0)-VLOOKUP(B573,#REF!,$S$2,0),0)</f>
        <v>0</v>
      </c>
      <c r="T573" s="9">
        <f>IFERROR(VLOOKUP(B573,cubo!$A$6:$BE$37,46,0)-VLOOKUP(B573,#REF!,$T$2,0),0)</f>
        <v>0</v>
      </c>
      <c r="U573" s="9">
        <f>IFERROR(VLOOKUP(B573,cubo!$A$6:$BE$37,51,0)-VLOOKUP(B573,#REF!,$U$2,0),0)</f>
        <v>0</v>
      </c>
      <c r="V573" s="9">
        <f>IFERROR(VLOOKUP(B573,cubo!$A$6:$BJ$37,60,0)-VLOOKUP(B573,#REF!,$V$2,0),0)</f>
        <v>0</v>
      </c>
      <c r="W573" s="9">
        <f>IFERROR(VLOOKUP(B573,cubo!$A$6:$BE$37,26,0)-VLOOKUP(B573,#REF!,$W$2,0),0)</f>
        <v>0</v>
      </c>
      <c r="X573" s="9">
        <f>IFERROR(VLOOKUP(B573,cubo!$A$6:$BE$37,20,0)-VLOOKUP(B573,#REF!,$X$2,0),0)</f>
        <v>0</v>
      </c>
      <c r="Y573" s="9">
        <f>IFERROR(VLOOKUP(B573,cubo!$A$6:$BE$37,21,0)-VLOOKUP(B573,#REF!,$Y$2,0),0)</f>
        <v>0</v>
      </c>
      <c r="Z573" s="9">
        <f>IFERROR(VLOOKUP(B573,cubo!$A$6:$BE$37,27,0)-VLOOKUP(B573,#REF!,$Z$2,0),0)</f>
        <v>0</v>
      </c>
      <c r="AA573" s="9">
        <f>IFERROR(VLOOKUP(B573,cubo!$A$6:$BE$37,28,0)-VLOOKUP(B573,#REF!,$AA$2,0),0)</f>
        <v>0</v>
      </c>
      <c r="AB573" s="9">
        <f>IFERROR(VLOOKUP(B573,cubo!$A$6:$BE$37,29,0)-VLOOKUP(B573,#REF!,$AB$2,0),0)</f>
        <v>0</v>
      </c>
      <c r="AC573" s="9">
        <f>IFERROR(VLOOKUP(B573,cubo!$A$6:$BE$37,30,0)-VLOOKUP(B573,#REF!,$AC$2,0),0)</f>
        <v>0</v>
      </c>
      <c r="AD573" s="9">
        <f>IFERROR(VLOOKUP(B573,cubo!$A$6:$BE$37,31,0)-VLOOKUP(B573,#REF!,$AD$2,0),0)</f>
        <v>0</v>
      </c>
      <c r="AE573" s="9">
        <f>IFERROR(VLOOKUP(B573,cubo!$A$6:$BE$37,35,0)-VLOOKUP(B573,#REF!,$AE$2,0),0)</f>
        <v>0</v>
      </c>
      <c r="AF573" s="9" cm="1">
        <f t="array" aca="1" ref="AF573" ca="1">IFERROR(rrPROCV(B573,cubo!$A$6:$BE$37,48,0)-VLOOKUP(B573,#REF!,$AF$2,0),0)</f>
        <v>0</v>
      </c>
      <c r="AG573" s="9">
        <f>IFERROR(VLOOKUP(B573,cubo!$A$6:$BE$37,49,0)-VLOOKUP(B573,#REF!,$AG$2,0),0)</f>
        <v>0</v>
      </c>
      <c r="AH573" s="9">
        <f>IFERROR(VLOOKUP(B573,cubo!$A$6:$BE$37,50,0)-VLOOKUP(B573,#REF!,$AH$2,0),0)</f>
        <v>0</v>
      </c>
      <c r="AI573" s="9">
        <f>IFERROR(VLOOKUP(B573,cubo!$A$6:$BE$37,51,0)-VLOOKUP(B573,#REF!,$AI$2,0),0)</f>
        <v>0</v>
      </c>
      <c r="AJ573" s="9">
        <f>IFERROR(VLOOKUP(B573,cubo!$A$6:$BI$116,62,0)-VLOOKUP(B573,#REF!,$AJ$2,0),0)</f>
        <v>0</v>
      </c>
      <c r="AK573" s="9">
        <f>IFERROR(VLOOKUP(B573,cubo!$A$6:$BJ$37,63,0)-VLOOKUP(B573,#REF!,$AK$2,0),0)</f>
        <v>0</v>
      </c>
      <c r="AL573" s="9">
        <f>IFERROR(VLOOKUP(B573,cubo!$A$6:$BE$37,58,0)-VLOOKUP(B573,#REF!,$AL$2,0),0)</f>
        <v>0</v>
      </c>
      <c r="AM573" s="9">
        <f>IFERROR(VLOOKUP(B573,cubo!$A$6:$BK$37,64,0)-VLOOKUP(B573,#REF!,$AM$2,0),0)</f>
        <v>0</v>
      </c>
      <c r="AN573" s="9">
        <f>IFERROR(VLOOKUP(B573,cubo!$A$6:$AN$37,41,0)-VLOOKUP(B573,#REF!,$AN$2,0),0)</f>
        <v>0</v>
      </c>
    </row>
    <row r="574" spans="2:40" x14ac:dyDescent="0.25">
      <c r="B574" s="7">
        <f>[1]salario!A573</f>
        <v>0</v>
      </c>
      <c r="C574" s="8">
        <f>[1]salario!C573</f>
        <v>0</v>
      </c>
      <c r="D574" s="9">
        <f>IFERROR(VLOOKUP(B574,cubo!$A$6:$BE$37,3,0)-VLOOKUP(B574,#REF!,$D$2,0),0)</f>
        <v>0</v>
      </c>
      <c r="E574" s="10">
        <f>IFERROR(VLOOKUP(B574,cubo!$A$6:$BE$37,5,0)-VLOOKUP(B574,#REF!,$E$2,0),0)</f>
        <v>0</v>
      </c>
      <c r="F574" s="10">
        <f>IFERROR(VLOOKUP(B574,cubo!$A$6:$BE$37,8,0)-VLOOKUP(B574,#REF!,$F$2,0),0)</f>
        <v>0</v>
      </c>
      <c r="G574" s="9">
        <f>IFERROR(VLOOKUP(B574,cubo!$A$6:$BE$37,11,0)-VLOOKUP(B574,#REF!,$G$2,0),0)</f>
        <v>0</v>
      </c>
      <c r="H574" s="9">
        <f>IFERROR(VLOOKUP(B574,cubo!$A$6:$BE$37,53,0)-VLOOKUP(B574,#REF!,$H$2,0),0)</f>
        <v>0</v>
      </c>
      <c r="I574" s="10">
        <f>IFERROR(VLOOKUP(B574,cubo!$A$6:$BE$37,14,0)-VLOOKUP(B574,#REF!,$I$2,0),0)</f>
        <v>0</v>
      </c>
      <c r="J574" s="9">
        <f>IFERROR(VLOOKUP(B574,cubo!$A$6:$BE$37,16,0)-VLOOKUP(B574,#REF!,$J$2,0),0)</f>
        <v>0</v>
      </c>
      <c r="K574" s="9">
        <f>IFERROR(VLOOKUP(B574,cubo!$A$6:$BE$37,17,0)-VLOOKUP(B574,#REF!,$K$2,0),0)</f>
        <v>0</v>
      </c>
      <c r="L574" s="9">
        <f>IFERROR(VLOOKUP(B574,cubo!$A$6:$BE$37,19,0)-VLOOKUP(B574,#REF!,$L$2,0),0)</f>
        <v>0</v>
      </c>
      <c r="M574" s="9">
        <f>IFERROR(VLOOKUP(B574,cubo!$A$6:$BE$37,23,0)-VLOOKUP(B574,#REF!,$M$2,0),0)</f>
        <v>0</v>
      </c>
      <c r="N574" s="9">
        <f>IFERROR(VLOOKUP(B574,cubo!$A$6:$BE$37,25,0)-VLOOKUP(B574,#REF!,$N$2,0),0)</f>
        <v>0</v>
      </c>
      <c r="O574" s="9">
        <f>IFERROR(VLOOKUP(B574,cubo!$A$6:$BE$37,33,0)-VLOOKUP(B574,#REF!,$O$2,0),0)</f>
        <v>0</v>
      </c>
      <c r="P574" s="8">
        <f>IFERROR(VLOOKUP(B574,cubo!$A$6:$BE$37,37,0)-VLOOKUP(B574,#REF!,$P$2,0),0)</f>
        <v>0</v>
      </c>
      <c r="Q574" s="8">
        <f>IFERROR(VLOOKUP(B574,cubo!$A$6:$BE$37,56,0)-VLOOKUP(B574,#REF!,$Q$2,0),0)</f>
        <v>0</v>
      </c>
      <c r="R574" s="9">
        <f>IFERROR(VLOOKUP(B574,cubo!$A$6:$BE$37,40,0)-VLOOKUP(B574,#REF!,$R$2,0),0)</f>
        <v>0</v>
      </c>
      <c r="S574" s="9">
        <f>IFERROR(VLOOKUP(B574,cubo!$A$6:$BE$37,43,0)-VLOOKUP(B574,#REF!,$S$2,0),0)</f>
        <v>0</v>
      </c>
      <c r="T574" s="9">
        <f>IFERROR(VLOOKUP(B574,cubo!$A$6:$BE$37,46,0)-VLOOKUP(B574,#REF!,$T$2,0),0)</f>
        <v>0</v>
      </c>
      <c r="U574" s="9">
        <f>IFERROR(VLOOKUP(B574,cubo!$A$6:$BE$37,51,0)-VLOOKUP(B574,#REF!,$U$2,0),0)</f>
        <v>0</v>
      </c>
      <c r="V574" s="9">
        <f>IFERROR(VLOOKUP(B574,cubo!$A$6:$BJ$37,60,0)-VLOOKUP(B574,#REF!,$V$2,0),0)</f>
        <v>0</v>
      </c>
      <c r="W574" s="9">
        <f>IFERROR(VLOOKUP(B574,cubo!$A$6:$BE$37,26,0)-VLOOKUP(B574,#REF!,$W$2,0),0)</f>
        <v>0</v>
      </c>
      <c r="X574" s="9">
        <f>IFERROR(VLOOKUP(B574,cubo!$A$6:$BE$37,20,0)-VLOOKUP(B574,#REF!,$X$2,0),0)</f>
        <v>0</v>
      </c>
      <c r="Y574" s="9">
        <f>IFERROR(VLOOKUP(B574,cubo!$A$6:$BE$37,21,0)-VLOOKUP(B574,#REF!,$Y$2,0),0)</f>
        <v>0</v>
      </c>
      <c r="Z574" s="9">
        <f>IFERROR(VLOOKUP(B574,cubo!$A$6:$BE$37,27,0)-VLOOKUP(B574,#REF!,$Z$2,0),0)</f>
        <v>0</v>
      </c>
      <c r="AA574" s="9">
        <f>IFERROR(VLOOKUP(B574,cubo!$A$6:$BE$37,28,0)-VLOOKUP(B574,#REF!,$AA$2,0),0)</f>
        <v>0</v>
      </c>
      <c r="AB574" s="9">
        <f>IFERROR(VLOOKUP(B574,cubo!$A$6:$BE$37,29,0)-VLOOKUP(B574,#REF!,$AB$2,0),0)</f>
        <v>0</v>
      </c>
      <c r="AC574" s="9">
        <f>IFERROR(VLOOKUP(B574,cubo!$A$6:$BE$37,30,0)-VLOOKUP(B574,#REF!,$AC$2,0),0)</f>
        <v>0</v>
      </c>
      <c r="AD574" s="9">
        <f>IFERROR(VLOOKUP(B574,cubo!$A$6:$BE$37,31,0)-VLOOKUP(B574,#REF!,$AD$2,0),0)</f>
        <v>0</v>
      </c>
      <c r="AE574" s="9">
        <f>IFERROR(VLOOKUP(B574,cubo!$A$6:$BE$37,35,0)-VLOOKUP(B574,#REF!,$AE$2,0),0)</f>
        <v>0</v>
      </c>
      <c r="AF574" s="9" cm="1">
        <f t="array" aca="1" ref="AF574" ca="1">IFERROR(rrPROCV(B574,cubo!$A$6:$BE$37,48,0)-VLOOKUP(B574,#REF!,$AF$2,0),0)</f>
        <v>0</v>
      </c>
      <c r="AG574" s="9">
        <f>IFERROR(VLOOKUP(B574,cubo!$A$6:$BE$37,49,0)-VLOOKUP(B574,#REF!,$AG$2,0),0)</f>
        <v>0</v>
      </c>
      <c r="AH574" s="9">
        <f>IFERROR(VLOOKUP(B574,cubo!$A$6:$BE$37,50,0)-VLOOKUP(B574,#REF!,$AH$2,0),0)</f>
        <v>0</v>
      </c>
      <c r="AI574" s="9">
        <f>IFERROR(VLOOKUP(B574,cubo!$A$6:$BE$37,51,0)-VLOOKUP(B574,#REF!,$AI$2,0),0)</f>
        <v>0</v>
      </c>
      <c r="AJ574" s="9">
        <f>IFERROR(VLOOKUP(B574,cubo!$A$6:$BI$116,62,0)-VLOOKUP(B574,#REF!,$AJ$2,0),0)</f>
        <v>0</v>
      </c>
      <c r="AK574" s="9">
        <f>IFERROR(VLOOKUP(B574,cubo!$A$6:$BJ$37,63,0)-VLOOKUP(B574,#REF!,$AK$2,0),0)</f>
        <v>0</v>
      </c>
      <c r="AL574" s="9">
        <f>IFERROR(VLOOKUP(B574,cubo!$A$6:$BE$37,58,0)-VLOOKUP(B574,#REF!,$AL$2,0),0)</f>
        <v>0</v>
      </c>
      <c r="AM574" s="9">
        <f>IFERROR(VLOOKUP(B574,cubo!$A$6:$BK$37,64,0)-VLOOKUP(B574,#REF!,$AM$2,0),0)</f>
        <v>0</v>
      </c>
      <c r="AN574" s="9">
        <f>IFERROR(VLOOKUP(B574,cubo!$A$6:$AN$37,41,0)-VLOOKUP(B574,#REF!,$AN$2,0),0)</f>
        <v>0</v>
      </c>
    </row>
    <row r="575" spans="2:40" x14ac:dyDescent="0.25">
      <c r="B575" s="7">
        <f>[1]salario!A574</f>
        <v>0</v>
      </c>
      <c r="C575" s="8">
        <f>[1]salario!C574</f>
        <v>0</v>
      </c>
      <c r="D575" s="9">
        <f>IFERROR(VLOOKUP(B575,cubo!$A$6:$BE$37,3,0)-VLOOKUP(B575,#REF!,$D$2,0),0)</f>
        <v>0</v>
      </c>
      <c r="E575" s="10">
        <f>IFERROR(VLOOKUP(B575,cubo!$A$6:$BE$37,5,0)-VLOOKUP(B575,#REF!,$E$2,0),0)</f>
        <v>0</v>
      </c>
      <c r="F575" s="10">
        <f>IFERROR(VLOOKUP(B575,cubo!$A$6:$BE$37,8,0)-VLOOKUP(B575,#REF!,$F$2,0),0)</f>
        <v>0</v>
      </c>
      <c r="G575" s="9">
        <f>IFERROR(VLOOKUP(B575,cubo!$A$6:$BE$37,11,0)-VLOOKUP(B575,#REF!,$G$2,0),0)</f>
        <v>0</v>
      </c>
      <c r="H575" s="9">
        <f>IFERROR(VLOOKUP(B575,cubo!$A$6:$BE$37,53,0)-VLOOKUP(B575,#REF!,$H$2,0),0)</f>
        <v>0</v>
      </c>
      <c r="I575" s="10">
        <f>IFERROR(VLOOKUP(B575,cubo!$A$6:$BE$37,14,0)-VLOOKUP(B575,#REF!,$I$2,0),0)</f>
        <v>0</v>
      </c>
      <c r="J575" s="9">
        <f>IFERROR(VLOOKUP(B575,cubo!$A$6:$BE$37,16,0)-VLOOKUP(B575,#REF!,$J$2,0),0)</f>
        <v>0</v>
      </c>
      <c r="K575" s="9">
        <f>IFERROR(VLOOKUP(B575,cubo!$A$6:$BE$37,17,0)-VLOOKUP(B575,#REF!,$K$2,0),0)</f>
        <v>0</v>
      </c>
      <c r="L575" s="9">
        <f>IFERROR(VLOOKUP(B575,cubo!$A$6:$BE$37,19,0)-VLOOKUP(B575,#REF!,$L$2,0),0)</f>
        <v>0</v>
      </c>
      <c r="M575" s="9">
        <f>IFERROR(VLOOKUP(B575,cubo!$A$6:$BE$37,23,0)-VLOOKUP(B575,#REF!,$M$2,0),0)</f>
        <v>0</v>
      </c>
      <c r="N575" s="9">
        <f>IFERROR(VLOOKUP(B575,cubo!$A$6:$BE$37,25,0)-VLOOKUP(B575,#REF!,$N$2,0),0)</f>
        <v>0</v>
      </c>
      <c r="O575" s="9">
        <f>IFERROR(VLOOKUP(B575,cubo!$A$6:$BE$37,33,0)-VLOOKUP(B575,#REF!,$O$2,0),0)</f>
        <v>0</v>
      </c>
      <c r="P575" s="8">
        <f>IFERROR(VLOOKUP(B575,cubo!$A$6:$BE$37,37,0)-VLOOKUP(B575,#REF!,$P$2,0),0)</f>
        <v>0</v>
      </c>
      <c r="Q575" s="8">
        <f>IFERROR(VLOOKUP(B575,cubo!$A$6:$BE$37,56,0)-VLOOKUP(B575,#REF!,$Q$2,0),0)</f>
        <v>0</v>
      </c>
      <c r="R575" s="9">
        <f>IFERROR(VLOOKUP(B575,cubo!$A$6:$BE$37,40,0)-VLOOKUP(B575,#REF!,$R$2,0),0)</f>
        <v>0</v>
      </c>
      <c r="S575" s="9">
        <f>IFERROR(VLOOKUP(B575,cubo!$A$6:$BE$37,43,0)-VLOOKUP(B575,#REF!,$S$2,0),0)</f>
        <v>0</v>
      </c>
      <c r="T575" s="9">
        <f>IFERROR(VLOOKUP(B575,cubo!$A$6:$BE$37,46,0)-VLOOKUP(B575,#REF!,$T$2,0),0)</f>
        <v>0</v>
      </c>
      <c r="U575" s="9">
        <f>IFERROR(VLOOKUP(B575,cubo!$A$6:$BE$37,51,0)-VLOOKUP(B575,#REF!,$U$2,0),0)</f>
        <v>0</v>
      </c>
      <c r="V575" s="9">
        <f>IFERROR(VLOOKUP(B575,cubo!$A$6:$BJ$37,60,0)-VLOOKUP(B575,#REF!,$V$2,0),0)</f>
        <v>0</v>
      </c>
      <c r="W575" s="9">
        <f>IFERROR(VLOOKUP(B575,cubo!$A$6:$BE$37,26,0)-VLOOKUP(B575,#REF!,$W$2,0),0)</f>
        <v>0</v>
      </c>
      <c r="X575" s="9">
        <f>IFERROR(VLOOKUP(B575,cubo!$A$6:$BE$37,20,0)-VLOOKUP(B575,#REF!,$X$2,0),0)</f>
        <v>0</v>
      </c>
      <c r="Y575" s="9">
        <f>IFERROR(VLOOKUP(B575,cubo!$A$6:$BE$37,21,0)-VLOOKUP(B575,#REF!,$Y$2,0),0)</f>
        <v>0</v>
      </c>
      <c r="Z575" s="9">
        <f>IFERROR(VLOOKUP(B575,cubo!$A$6:$BE$37,27,0)-VLOOKUP(B575,#REF!,$Z$2,0),0)</f>
        <v>0</v>
      </c>
      <c r="AA575" s="9">
        <f>IFERROR(VLOOKUP(B575,cubo!$A$6:$BE$37,28,0)-VLOOKUP(B575,#REF!,$AA$2,0),0)</f>
        <v>0</v>
      </c>
      <c r="AB575" s="9">
        <f>IFERROR(VLOOKUP(B575,cubo!$A$6:$BE$37,29,0)-VLOOKUP(B575,#REF!,$AB$2,0),0)</f>
        <v>0</v>
      </c>
      <c r="AC575" s="9">
        <f>IFERROR(VLOOKUP(B575,cubo!$A$6:$BE$37,30,0)-VLOOKUP(B575,#REF!,$AC$2,0),0)</f>
        <v>0</v>
      </c>
      <c r="AD575" s="9">
        <f>IFERROR(VLOOKUP(B575,cubo!$A$6:$BE$37,31,0)-VLOOKUP(B575,#REF!,$AD$2,0),0)</f>
        <v>0</v>
      </c>
      <c r="AE575" s="9">
        <f>IFERROR(VLOOKUP(B575,cubo!$A$6:$BE$37,35,0)-VLOOKUP(B575,#REF!,$AE$2,0),0)</f>
        <v>0</v>
      </c>
      <c r="AF575" s="9" cm="1">
        <f t="array" aca="1" ref="AF575" ca="1">IFERROR(rrPROCV(B575,cubo!$A$6:$BE$37,48,0)-VLOOKUP(B575,#REF!,$AF$2,0),0)</f>
        <v>0</v>
      </c>
      <c r="AG575" s="9">
        <f>IFERROR(VLOOKUP(B575,cubo!$A$6:$BE$37,49,0)-VLOOKUP(B575,#REF!,$AG$2,0),0)</f>
        <v>0</v>
      </c>
      <c r="AH575" s="9">
        <f>IFERROR(VLOOKUP(B575,cubo!$A$6:$BE$37,50,0)-VLOOKUP(B575,#REF!,$AH$2,0),0)</f>
        <v>0</v>
      </c>
      <c r="AI575" s="9">
        <f>IFERROR(VLOOKUP(B575,cubo!$A$6:$BE$37,51,0)-VLOOKUP(B575,#REF!,$AI$2,0),0)</f>
        <v>0</v>
      </c>
      <c r="AJ575" s="9">
        <f>IFERROR(VLOOKUP(B575,cubo!$A$6:$BI$116,62,0)-VLOOKUP(B575,#REF!,$AJ$2,0),0)</f>
        <v>0</v>
      </c>
      <c r="AK575" s="9">
        <f>IFERROR(VLOOKUP(B575,cubo!$A$6:$BJ$37,63,0)-VLOOKUP(B575,#REF!,$AK$2,0),0)</f>
        <v>0</v>
      </c>
      <c r="AL575" s="9">
        <f>IFERROR(VLOOKUP(B575,cubo!$A$6:$BE$37,58,0)-VLOOKUP(B575,#REF!,$AL$2,0),0)</f>
        <v>0</v>
      </c>
      <c r="AM575" s="9">
        <f>IFERROR(VLOOKUP(B575,cubo!$A$6:$BK$37,64,0)-VLOOKUP(B575,#REF!,$AM$2,0),0)</f>
        <v>0</v>
      </c>
      <c r="AN575" s="9">
        <f>IFERROR(VLOOKUP(B575,cubo!$A$6:$AN$37,41,0)-VLOOKUP(B575,#REF!,$AN$2,0),0)</f>
        <v>0</v>
      </c>
    </row>
    <row r="576" spans="2:40" x14ac:dyDescent="0.25">
      <c r="B576" s="7">
        <f>[1]salario!A575</f>
        <v>0</v>
      </c>
      <c r="C576" s="8">
        <f>[1]salario!C575</f>
        <v>0</v>
      </c>
      <c r="D576" s="9">
        <f>IFERROR(VLOOKUP(B576,cubo!$A$6:$BE$37,3,0)-VLOOKUP(B576,#REF!,$D$2,0),0)</f>
        <v>0</v>
      </c>
      <c r="E576" s="10">
        <f>IFERROR(VLOOKUP(B576,cubo!$A$6:$BE$37,5,0)-VLOOKUP(B576,#REF!,$E$2,0),0)</f>
        <v>0</v>
      </c>
      <c r="F576" s="10">
        <f>IFERROR(VLOOKUP(B576,cubo!$A$6:$BE$37,8,0)-VLOOKUP(B576,#REF!,$F$2,0),0)</f>
        <v>0</v>
      </c>
      <c r="G576" s="9">
        <f>IFERROR(VLOOKUP(B576,cubo!$A$6:$BE$37,11,0)-VLOOKUP(B576,#REF!,$G$2,0),0)</f>
        <v>0</v>
      </c>
      <c r="H576" s="9">
        <f>IFERROR(VLOOKUP(B576,cubo!$A$6:$BE$37,53,0)-VLOOKUP(B576,#REF!,$H$2,0),0)</f>
        <v>0</v>
      </c>
      <c r="I576" s="10">
        <f>IFERROR(VLOOKUP(B576,cubo!$A$6:$BE$37,14,0)-VLOOKUP(B576,#REF!,$I$2,0),0)</f>
        <v>0</v>
      </c>
      <c r="J576" s="9">
        <f>IFERROR(VLOOKUP(B576,cubo!$A$6:$BE$37,16,0)-VLOOKUP(B576,#REF!,$J$2,0),0)</f>
        <v>0</v>
      </c>
      <c r="K576" s="9">
        <f>IFERROR(VLOOKUP(B576,cubo!$A$6:$BE$37,17,0)-VLOOKUP(B576,#REF!,$K$2,0),0)</f>
        <v>0</v>
      </c>
      <c r="L576" s="9">
        <f>IFERROR(VLOOKUP(B576,cubo!$A$6:$BE$37,19,0)-VLOOKUP(B576,#REF!,$L$2,0),0)</f>
        <v>0</v>
      </c>
      <c r="M576" s="9">
        <f>IFERROR(VLOOKUP(B576,cubo!$A$6:$BE$37,23,0)-VLOOKUP(B576,#REF!,$M$2,0),0)</f>
        <v>0</v>
      </c>
      <c r="N576" s="9">
        <f>IFERROR(VLOOKUP(B576,cubo!$A$6:$BE$37,25,0)-VLOOKUP(B576,#REF!,$N$2,0),0)</f>
        <v>0</v>
      </c>
      <c r="O576" s="9">
        <f>IFERROR(VLOOKUP(B576,cubo!$A$6:$BE$37,33,0)-VLOOKUP(B576,#REF!,$O$2,0),0)</f>
        <v>0</v>
      </c>
      <c r="P576" s="8">
        <f>IFERROR(VLOOKUP(B576,cubo!$A$6:$BE$37,37,0)-VLOOKUP(B576,#REF!,$P$2,0),0)</f>
        <v>0</v>
      </c>
      <c r="Q576" s="8">
        <f>IFERROR(VLOOKUP(B576,cubo!$A$6:$BE$37,56,0)-VLOOKUP(B576,#REF!,$Q$2,0),0)</f>
        <v>0</v>
      </c>
      <c r="R576" s="9">
        <f>IFERROR(VLOOKUP(B576,cubo!$A$6:$BE$37,40,0)-VLOOKUP(B576,#REF!,$R$2,0),0)</f>
        <v>0</v>
      </c>
      <c r="S576" s="9">
        <f>IFERROR(VLOOKUP(B576,cubo!$A$6:$BE$37,43,0)-VLOOKUP(B576,#REF!,$S$2,0),0)</f>
        <v>0</v>
      </c>
      <c r="T576" s="9">
        <f>IFERROR(VLOOKUP(B576,cubo!$A$6:$BE$37,46,0)-VLOOKUP(B576,#REF!,$T$2,0),0)</f>
        <v>0</v>
      </c>
      <c r="U576" s="9">
        <f>IFERROR(VLOOKUP(B576,cubo!$A$6:$BE$37,51,0)-VLOOKUP(B576,#REF!,$U$2,0),0)</f>
        <v>0</v>
      </c>
      <c r="V576" s="9">
        <f>IFERROR(VLOOKUP(B576,cubo!$A$6:$BJ$37,60,0)-VLOOKUP(B576,#REF!,$V$2,0),0)</f>
        <v>0</v>
      </c>
      <c r="W576" s="9">
        <f>IFERROR(VLOOKUP(B576,cubo!$A$6:$BE$37,26,0)-VLOOKUP(B576,#REF!,$W$2,0),0)</f>
        <v>0</v>
      </c>
      <c r="X576" s="9">
        <f>IFERROR(VLOOKUP(B576,cubo!$A$6:$BE$37,20,0)-VLOOKUP(B576,#REF!,$X$2,0),0)</f>
        <v>0</v>
      </c>
      <c r="Y576" s="9">
        <f>IFERROR(VLOOKUP(B576,cubo!$A$6:$BE$37,21,0)-VLOOKUP(B576,#REF!,$Y$2,0),0)</f>
        <v>0</v>
      </c>
      <c r="Z576" s="9">
        <f>IFERROR(VLOOKUP(B576,cubo!$A$6:$BE$37,27,0)-VLOOKUP(B576,#REF!,$Z$2,0),0)</f>
        <v>0</v>
      </c>
      <c r="AA576" s="9">
        <f>IFERROR(VLOOKUP(B576,cubo!$A$6:$BE$37,28,0)-VLOOKUP(B576,#REF!,$AA$2,0),0)</f>
        <v>0</v>
      </c>
      <c r="AB576" s="9">
        <f>IFERROR(VLOOKUP(B576,cubo!$A$6:$BE$37,29,0)-VLOOKUP(B576,#REF!,$AB$2,0),0)</f>
        <v>0</v>
      </c>
      <c r="AC576" s="9">
        <f>IFERROR(VLOOKUP(B576,cubo!$A$6:$BE$37,30,0)-VLOOKUP(B576,#REF!,$AC$2,0),0)</f>
        <v>0</v>
      </c>
      <c r="AD576" s="9">
        <f>IFERROR(VLOOKUP(B576,cubo!$A$6:$BE$37,31,0)-VLOOKUP(B576,#REF!,$AD$2,0),0)</f>
        <v>0</v>
      </c>
      <c r="AE576" s="9">
        <f>IFERROR(VLOOKUP(B576,cubo!$A$6:$BE$37,35,0)-VLOOKUP(B576,#REF!,$AE$2,0),0)</f>
        <v>0</v>
      </c>
      <c r="AF576" s="9" cm="1">
        <f t="array" aca="1" ref="AF576" ca="1">IFERROR(rrPROCV(B576,cubo!$A$6:$BE$37,48,0)-VLOOKUP(B576,#REF!,$AF$2,0),0)</f>
        <v>0</v>
      </c>
      <c r="AG576" s="9">
        <f>IFERROR(VLOOKUP(B576,cubo!$A$6:$BE$37,49,0)-VLOOKUP(B576,#REF!,$AG$2,0),0)</f>
        <v>0</v>
      </c>
      <c r="AH576" s="9">
        <f>IFERROR(VLOOKUP(B576,cubo!$A$6:$BE$37,50,0)-VLOOKUP(B576,#REF!,$AH$2,0),0)</f>
        <v>0</v>
      </c>
      <c r="AI576" s="9">
        <f>IFERROR(VLOOKUP(B576,cubo!$A$6:$BE$37,51,0)-VLOOKUP(B576,#REF!,$AI$2,0),0)</f>
        <v>0</v>
      </c>
      <c r="AJ576" s="9">
        <f>IFERROR(VLOOKUP(B576,cubo!$A$6:$BI$116,62,0)-VLOOKUP(B576,#REF!,$AJ$2,0),0)</f>
        <v>0</v>
      </c>
      <c r="AK576" s="9">
        <f>IFERROR(VLOOKUP(B576,cubo!$A$6:$BJ$37,63,0)-VLOOKUP(B576,#REF!,$AK$2,0),0)</f>
        <v>0</v>
      </c>
      <c r="AL576" s="9">
        <f>IFERROR(VLOOKUP(B576,cubo!$A$6:$BE$37,58,0)-VLOOKUP(B576,#REF!,$AL$2,0),0)</f>
        <v>0</v>
      </c>
      <c r="AM576" s="9">
        <f>IFERROR(VLOOKUP(B576,cubo!$A$6:$BK$37,64,0)-VLOOKUP(B576,#REF!,$AM$2,0),0)</f>
        <v>0</v>
      </c>
      <c r="AN576" s="9">
        <f>IFERROR(VLOOKUP(B576,cubo!$A$6:$AN$37,41,0)-VLOOKUP(B576,#REF!,$AN$2,0),0)</f>
        <v>0</v>
      </c>
    </row>
    <row r="577" spans="2:40" x14ac:dyDescent="0.25">
      <c r="B577" s="7">
        <f>[1]salario!A576</f>
        <v>0</v>
      </c>
      <c r="C577" s="8">
        <f>[1]salario!C576</f>
        <v>0</v>
      </c>
      <c r="D577" s="9">
        <f>IFERROR(VLOOKUP(B577,cubo!$A$6:$BE$37,3,0)-VLOOKUP(B577,#REF!,$D$2,0),0)</f>
        <v>0</v>
      </c>
      <c r="E577" s="10">
        <f>IFERROR(VLOOKUP(B577,cubo!$A$6:$BE$37,5,0)-VLOOKUP(B577,#REF!,$E$2,0),0)</f>
        <v>0</v>
      </c>
      <c r="F577" s="10">
        <f>IFERROR(VLOOKUP(B577,cubo!$A$6:$BE$37,8,0)-VLOOKUP(B577,#REF!,$F$2,0),0)</f>
        <v>0</v>
      </c>
      <c r="G577" s="9">
        <f>IFERROR(VLOOKUP(B577,cubo!$A$6:$BE$37,11,0)-VLOOKUP(B577,#REF!,$G$2,0),0)</f>
        <v>0</v>
      </c>
      <c r="H577" s="9">
        <f>IFERROR(VLOOKUP(B577,cubo!$A$6:$BE$37,53,0)-VLOOKUP(B577,#REF!,$H$2,0),0)</f>
        <v>0</v>
      </c>
      <c r="I577" s="10">
        <f>IFERROR(VLOOKUP(B577,cubo!$A$6:$BE$37,14,0)-VLOOKUP(B577,#REF!,$I$2,0),0)</f>
        <v>0</v>
      </c>
      <c r="J577" s="9">
        <f>IFERROR(VLOOKUP(B577,cubo!$A$6:$BE$37,16,0)-VLOOKUP(B577,#REF!,$J$2,0),0)</f>
        <v>0</v>
      </c>
      <c r="K577" s="9">
        <f>IFERROR(VLOOKUP(B577,cubo!$A$6:$BE$37,17,0)-VLOOKUP(B577,#REF!,$K$2,0),0)</f>
        <v>0</v>
      </c>
      <c r="L577" s="9">
        <f>IFERROR(VLOOKUP(B577,cubo!$A$6:$BE$37,19,0)-VLOOKUP(B577,#REF!,$L$2,0),0)</f>
        <v>0</v>
      </c>
      <c r="M577" s="9">
        <f>IFERROR(VLOOKUP(B577,cubo!$A$6:$BE$37,23,0)-VLOOKUP(B577,#REF!,$M$2,0),0)</f>
        <v>0</v>
      </c>
      <c r="N577" s="9">
        <f>IFERROR(VLOOKUP(B577,cubo!$A$6:$BE$37,25,0)-VLOOKUP(B577,#REF!,$N$2,0),0)</f>
        <v>0</v>
      </c>
      <c r="O577" s="9">
        <f>IFERROR(VLOOKUP(B577,cubo!$A$6:$BE$37,33,0)-VLOOKUP(B577,#REF!,$O$2,0),0)</f>
        <v>0</v>
      </c>
      <c r="P577" s="8">
        <f>IFERROR(VLOOKUP(B577,cubo!$A$6:$BE$37,37,0)-VLOOKUP(B577,#REF!,$P$2,0),0)</f>
        <v>0</v>
      </c>
      <c r="Q577" s="8">
        <f>IFERROR(VLOOKUP(B577,cubo!$A$6:$BE$37,56,0)-VLOOKUP(B577,#REF!,$Q$2,0),0)</f>
        <v>0</v>
      </c>
      <c r="R577" s="9">
        <f>IFERROR(VLOOKUP(B577,cubo!$A$6:$BE$37,40,0)-VLOOKUP(B577,#REF!,$R$2,0),0)</f>
        <v>0</v>
      </c>
      <c r="S577" s="9">
        <f>IFERROR(VLOOKUP(B577,cubo!$A$6:$BE$37,43,0)-VLOOKUP(B577,#REF!,$S$2,0),0)</f>
        <v>0</v>
      </c>
      <c r="T577" s="9">
        <f>IFERROR(VLOOKUP(B577,cubo!$A$6:$BE$37,46,0)-VLOOKUP(B577,#REF!,$T$2,0),0)</f>
        <v>0</v>
      </c>
      <c r="U577" s="9">
        <f>IFERROR(VLOOKUP(B577,cubo!$A$6:$BE$37,51,0)-VLOOKUP(B577,#REF!,$U$2,0),0)</f>
        <v>0</v>
      </c>
      <c r="V577" s="9">
        <f>IFERROR(VLOOKUP(B577,cubo!$A$6:$BJ$37,60,0)-VLOOKUP(B577,#REF!,$V$2,0),0)</f>
        <v>0</v>
      </c>
      <c r="W577" s="9">
        <f>IFERROR(VLOOKUP(B577,cubo!$A$6:$BE$37,26,0)-VLOOKUP(B577,#REF!,$W$2,0),0)</f>
        <v>0</v>
      </c>
      <c r="X577" s="9">
        <f>IFERROR(VLOOKUP(B577,cubo!$A$6:$BE$37,20,0)-VLOOKUP(B577,#REF!,$X$2,0),0)</f>
        <v>0</v>
      </c>
      <c r="Y577" s="9">
        <f>IFERROR(VLOOKUP(B577,cubo!$A$6:$BE$37,21,0)-VLOOKUP(B577,#REF!,$Y$2,0),0)</f>
        <v>0</v>
      </c>
      <c r="Z577" s="9">
        <f>IFERROR(VLOOKUP(B577,cubo!$A$6:$BE$37,27,0)-VLOOKUP(B577,#REF!,$Z$2,0),0)</f>
        <v>0</v>
      </c>
      <c r="AA577" s="9">
        <f>IFERROR(VLOOKUP(B577,cubo!$A$6:$BE$37,28,0)-VLOOKUP(B577,#REF!,$AA$2,0),0)</f>
        <v>0</v>
      </c>
      <c r="AB577" s="9">
        <f>IFERROR(VLOOKUP(B577,cubo!$A$6:$BE$37,29,0)-VLOOKUP(B577,#REF!,$AB$2,0),0)</f>
        <v>0</v>
      </c>
      <c r="AC577" s="9">
        <f>IFERROR(VLOOKUP(B577,cubo!$A$6:$BE$37,30,0)-VLOOKUP(B577,#REF!,$AC$2,0),0)</f>
        <v>0</v>
      </c>
      <c r="AD577" s="9">
        <f>IFERROR(VLOOKUP(B577,cubo!$A$6:$BE$37,31,0)-VLOOKUP(B577,#REF!,$AD$2,0),0)</f>
        <v>0</v>
      </c>
      <c r="AE577" s="9">
        <f>IFERROR(VLOOKUP(B577,cubo!$A$6:$BE$37,35,0)-VLOOKUP(B577,#REF!,$AE$2,0),0)</f>
        <v>0</v>
      </c>
      <c r="AF577" s="9" cm="1">
        <f t="array" aca="1" ref="AF577" ca="1">IFERROR(rrPROCV(B577,cubo!$A$6:$BE$37,48,0)-VLOOKUP(B577,#REF!,$AF$2,0),0)</f>
        <v>0</v>
      </c>
      <c r="AG577" s="9">
        <f>IFERROR(VLOOKUP(B577,cubo!$A$6:$BE$37,49,0)-VLOOKUP(B577,#REF!,$AG$2,0),0)</f>
        <v>0</v>
      </c>
      <c r="AH577" s="9">
        <f>IFERROR(VLOOKUP(B577,cubo!$A$6:$BE$37,50,0)-VLOOKUP(B577,#REF!,$AH$2,0),0)</f>
        <v>0</v>
      </c>
      <c r="AI577" s="9">
        <f>IFERROR(VLOOKUP(B577,cubo!$A$6:$BE$37,51,0)-VLOOKUP(B577,#REF!,$AI$2,0),0)</f>
        <v>0</v>
      </c>
      <c r="AJ577" s="9">
        <f>IFERROR(VLOOKUP(B577,cubo!$A$6:$BI$116,62,0)-VLOOKUP(B577,#REF!,$AJ$2,0),0)</f>
        <v>0</v>
      </c>
      <c r="AK577" s="9">
        <f>IFERROR(VLOOKUP(B577,cubo!$A$6:$BJ$37,63,0)-VLOOKUP(B577,#REF!,$AK$2,0),0)</f>
        <v>0</v>
      </c>
      <c r="AL577" s="9">
        <f>IFERROR(VLOOKUP(B577,cubo!$A$6:$BE$37,58,0)-VLOOKUP(B577,#REF!,$AL$2,0),0)</f>
        <v>0</v>
      </c>
      <c r="AM577" s="9">
        <f>IFERROR(VLOOKUP(B577,cubo!$A$6:$BK$37,64,0)-VLOOKUP(B577,#REF!,$AM$2,0),0)</f>
        <v>0</v>
      </c>
      <c r="AN577" s="9">
        <f>IFERROR(VLOOKUP(B577,cubo!$A$6:$AN$37,41,0)-VLOOKUP(B577,#REF!,$AN$2,0),0)</f>
        <v>0</v>
      </c>
    </row>
    <row r="578" spans="2:40" x14ac:dyDescent="0.25">
      <c r="B578" s="7">
        <f>[1]salario!A577</f>
        <v>0</v>
      </c>
      <c r="C578" s="8">
        <f>[1]salario!C577</f>
        <v>0</v>
      </c>
      <c r="D578" s="9">
        <f>IFERROR(VLOOKUP(B578,cubo!$A$6:$BE$37,3,0)-VLOOKUP(B578,#REF!,$D$2,0),0)</f>
        <v>0</v>
      </c>
      <c r="E578" s="10">
        <f>IFERROR(VLOOKUP(B578,cubo!$A$6:$BE$37,5,0)-VLOOKUP(B578,#REF!,$E$2,0),0)</f>
        <v>0</v>
      </c>
      <c r="F578" s="10">
        <f>IFERROR(VLOOKUP(B578,cubo!$A$6:$BE$37,8,0)-VLOOKUP(B578,#REF!,$F$2,0),0)</f>
        <v>0</v>
      </c>
      <c r="G578" s="9">
        <f>IFERROR(VLOOKUP(B578,cubo!$A$6:$BE$37,11,0)-VLOOKUP(B578,#REF!,$G$2,0),0)</f>
        <v>0</v>
      </c>
      <c r="H578" s="9">
        <f>IFERROR(VLOOKUP(B578,cubo!$A$6:$BE$37,53,0)-VLOOKUP(B578,#REF!,$H$2,0),0)</f>
        <v>0</v>
      </c>
      <c r="I578" s="10">
        <f>IFERROR(VLOOKUP(B578,cubo!$A$6:$BE$37,14,0)-VLOOKUP(B578,#REF!,$I$2,0),0)</f>
        <v>0</v>
      </c>
      <c r="J578" s="9">
        <f>IFERROR(VLOOKUP(B578,cubo!$A$6:$BE$37,16,0)-VLOOKUP(B578,#REF!,$J$2,0),0)</f>
        <v>0</v>
      </c>
      <c r="K578" s="9">
        <f>IFERROR(VLOOKUP(B578,cubo!$A$6:$BE$37,17,0)-VLOOKUP(B578,#REF!,$K$2,0),0)</f>
        <v>0</v>
      </c>
      <c r="L578" s="9">
        <f>IFERROR(VLOOKUP(B578,cubo!$A$6:$BE$37,19,0)-VLOOKUP(B578,#REF!,$L$2,0),0)</f>
        <v>0</v>
      </c>
      <c r="M578" s="9">
        <f>IFERROR(VLOOKUP(B578,cubo!$A$6:$BE$37,23,0)-VLOOKUP(B578,#REF!,$M$2,0),0)</f>
        <v>0</v>
      </c>
      <c r="N578" s="9">
        <f>IFERROR(VLOOKUP(B578,cubo!$A$6:$BE$37,25,0)-VLOOKUP(B578,#REF!,$N$2,0),0)</f>
        <v>0</v>
      </c>
      <c r="O578" s="9">
        <f>IFERROR(VLOOKUP(B578,cubo!$A$6:$BE$37,33,0)-VLOOKUP(B578,#REF!,$O$2,0),0)</f>
        <v>0</v>
      </c>
      <c r="P578" s="8">
        <f>IFERROR(VLOOKUP(B578,cubo!$A$6:$BE$37,37,0)-VLOOKUP(B578,#REF!,$P$2,0),0)</f>
        <v>0</v>
      </c>
      <c r="Q578" s="8">
        <f>IFERROR(VLOOKUP(B578,cubo!$A$6:$BE$37,56,0)-VLOOKUP(B578,#REF!,$Q$2,0),0)</f>
        <v>0</v>
      </c>
      <c r="R578" s="9">
        <f>IFERROR(VLOOKUP(B578,cubo!$A$6:$BE$37,40,0)-VLOOKUP(B578,#REF!,$R$2,0),0)</f>
        <v>0</v>
      </c>
      <c r="S578" s="9">
        <f>IFERROR(VLOOKUP(B578,cubo!$A$6:$BE$37,43,0)-VLOOKUP(B578,#REF!,$S$2,0),0)</f>
        <v>0</v>
      </c>
      <c r="T578" s="9">
        <f>IFERROR(VLOOKUP(B578,cubo!$A$6:$BE$37,46,0)-VLOOKUP(B578,#REF!,$T$2,0),0)</f>
        <v>0</v>
      </c>
      <c r="U578" s="9">
        <f>IFERROR(VLOOKUP(B578,cubo!$A$6:$BE$37,51,0)-VLOOKUP(B578,#REF!,$U$2,0),0)</f>
        <v>0</v>
      </c>
      <c r="V578" s="9">
        <f>IFERROR(VLOOKUP(B578,cubo!$A$6:$BJ$37,60,0)-VLOOKUP(B578,#REF!,$V$2,0),0)</f>
        <v>0</v>
      </c>
      <c r="W578" s="9">
        <f>IFERROR(VLOOKUP(B578,cubo!$A$6:$BE$37,26,0)-VLOOKUP(B578,#REF!,$W$2,0),0)</f>
        <v>0</v>
      </c>
      <c r="X578" s="9">
        <f>IFERROR(VLOOKUP(B578,cubo!$A$6:$BE$37,20,0)-VLOOKUP(B578,#REF!,$X$2,0),0)</f>
        <v>0</v>
      </c>
      <c r="Y578" s="9">
        <f>IFERROR(VLOOKUP(B578,cubo!$A$6:$BE$37,21,0)-VLOOKUP(B578,#REF!,$Y$2,0),0)</f>
        <v>0</v>
      </c>
      <c r="Z578" s="9">
        <f>IFERROR(VLOOKUP(B578,cubo!$A$6:$BE$37,27,0)-VLOOKUP(B578,#REF!,$Z$2,0),0)</f>
        <v>0</v>
      </c>
      <c r="AA578" s="9">
        <f>IFERROR(VLOOKUP(B578,cubo!$A$6:$BE$37,28,0)-VLOOKUP(B578,#REF!,$AA$2,0),0)</f>
        <v>0</v>
      </c>
      <c r="AB578" s="9">
        <f>IFERROR(VLOOKUP(B578,cubo!$A$6:$BE$37,29,0)-VLOOKUP(B578,#REF!,$AB$2,0),0)</f>
        <v>0</v>
      </c>
      <c r="AC578" s="9">
        <f>IFERROR(VLOOKUP(B578,cubo!$A$6:$BE$37,30,0)-VLOOKUP(B578,#REF!,$AC$2,0),0)</f>
        <v>0</v>
      </c>
      <c r="AD578" s="9">
        <f>IFERROR(VLOOKUP(B578,cubo!$A$6:$BE$37,31,0)-VLOOKUP(B578,#REF!,$AD$2,0),0)</f>
        <v>0</v>
      </c>
      <c r="AE578" s="9">
        <f>IFERROR(VLOOKUP(B578,cubo!$A$6:$BE$37,35,0)-VLOOKUP(B578,#REF!,$AE$2,0),0)</f>
        <v>0</v>
      </c>
      <c r="AF578" s="9" cm="1">
        <f t="array" aca="1" ref="AF578" ca="1">IFERROR(rrPROCV(B578,cubo!$A$6:$BE$37,48,0)-VLOOKUP(B578,#REF!,$AF$2,0),0)</f>
        <v>0</v>
      </c>
      <c r="AG578" s="9">
        <f>IFERROR(VLOOKUP(B578,cubo!$A$6:$BE$37,49,0)-VLOOKUP(B578,#REF!,$AG$2,0),0)</f>
        <v>0</v>
      </c>
      <c r="AH578" s="9">
        <f>IFERROR(VLOOKUP(B578,cubo!$A$6:$BE$37,50,0)-VLOOKUP(B578,#REF!,$AH$2,0),0)</f>
        <v>0</v>
      </c>
      <c r="AI578" s="9">
        <f>IFERROR(VLOOKUP(B578,cubo!$A$6:$BE$37,51,0)-VLOOKUP(B578,#REF!,$AI$2,0),0)</f>
        <v>0</v>
      </c>
      <c r="AJ578" s="9">
        <f>IFERROR(VLOOKUP(B578,cubo!$A$6:$BI$116,62,0)-VLOOKUP(B578,#REF!,$AJ$2,0),0)</f>
        <v>0</v>
      </c>
      <c r="AK578" s="9">
        <f>IFERROR(VLOOKUP(B578,cubo!$A$6:$BJ$37,63,0)-VLOOKUP(B578,#REF!,$AK$2,0),0)</f>
        <v>0</v>
      </c>
      <c r="AL578" s="9">
        <f>IFERROR(VLOOKUP(B578,cubo!$A$6:$BE$37,58,0)-VLOOKUP(B578,#REF!,$AL$2,0),0)</f>
        <v>0</v>
      </c>
      <c r="AM578" s="9">
        <f>IFERROR(VLOOKUP(B578,cubo!$A$6:$BK$37,64,0)-VLOOKUP(B578,#REF!,$AM$2,0),0)</f>
        <v>0</v>
      </c>
      <c r="AN578" s="9">
        <f>IFERROR(VLOOKUP(B578,cubo!$A$6:$AN$37,41,0)-VLOOKUP(B578,#REF!,$AN$2,0),0)</f>
        <v>0</v>
      </c>
    </row>
    <row r="579" spans="2:40" x14ac:dyDescent="0.25">
      <c r="B579" s="7">
        <f>[1]salario!A578</f>
        <v>0</v>
      </c>
      <c r="C579" s="8">
        <f>[1]salario!C578</f>
        <v>0</v>
      </c>
      <c r="D579" s="9">
        <f>IFERROR(VLOOKUP(B579,cubo!$A$6:$BE$37,3,0)-VLOOKUP(B579,#REF!,$D$2,0),0)</f>
        <v>0</v>
      </c>
      <c r="E579" s="10">
        <f>IFERROR(VLOOKUP(B579,cubo!$A$6:$BE$37,5,0)-VLOOKUP(B579,#REF!,$E$2,0),0)</f>
        <v>0</v>
      </c>
      <c r="F579" s="10">
        <f>IFERROR(VLOOKUP(B579,cubo!$A$6:$BE$37,8,0)-VLOOKUP(B579,#REF!,$F$2,0),0)</f>
        <v>0</v>
      </c>
      <c r="G579" s="9">
        <f>IFERROR(VLOOKUP(B579,cubo!$A$6:$BE$37,11,0)-VLOOKUP(B579,#REF!,$G$2,0),0)</f>
        <v>0</v>
      </c>
      <c r="H579" s="9">
        <f>IFERROR(VLOOKUP(B579,cubo!$A$6:$BE$37,53,0)-VLOOKUP(B579,#REF!,$H$2,0),0)</f>
        <v>0</v>
      </c>
      <c r="I579" s="10">
        <f>IFERROR(VLOOKUP(B579,cubo!$A$6:$BE$37,14,0)-VLOOKUP(B579,#REF!,$I$2,0),0)</f>
        <v>0</v>
      </c>
      <c r="J579" s="9">
        <f>IFERROR(VLOOKUP(B579,cubo!$A$6:$BE$37,16,0)-VLOOKUP(B579,#REF!,$J$2,0),0)</f>
        <v>0</v>
      </c>
      <c r="K579" s="9">
        <f>IFERROR(VLOOKUP(B579,cubo!$A$6:$BE$37,17,0)-VLOOKUP(B579,#REF!,$K$2,0),0)</f>
        <v>0</v>
      </c>
      <c r="L579" s="9">
        <f>IFERROR(VLOOKUP(B579,cubo!$A$6:$BE$37,19,0)-VLOOKUP(B579,#REF!,$L$2,0),0)</f>
        <v>0</v>
      </c>
      <c r="M579" s="9">
        <f>IFERROR(VLOOKUP(B579,cubo!$A$6:$BE$37,23,0)-VLOOKUP(B579,#REF!,$M$2,0),0)</f>
        <v>0</v>
      </c>
      <c r="N579" s="9">
        <f>IFERROR(VLOOKUP(B579,cubo!$A$6:$BE$37,25,0)-VLOOKUP(B579,#REF!,$N$2,0),0)</f>
        <v>0</v>
      </c>
      <c r="O579" s="9">
        <f>IFERROR(VLOOKUP(B579,cubo!$A$6:$BE$37,33,0)-VLOOKUP(B579,#REF!,$O$2,0),0)</f>
        <v>0</v>
      </c>
      <c r="P579" s="8">
        <f>IFERROR(VLOOKUP(B579,cubo!$A$6:$BE$37,37,0)-VLOOKUP(B579,#REF!,$P$2,0),0)</f>
        <v>0</v>
      </c>
      <c r="Q579" s="8">
        <f>IFERROR(VLOOKUP(B579,cubo!$A$6:$BE$37,56,0)-VLOOKUP(B579,#REF!,$Q$2,0),0)</f>
        <v>0</v>
      </c>
      <c r="R579" s="9">
        <f>IFERROR(VLOOKUP(B579,cubo!$A$6:$BE$37,40,0)-VLOOKUP(B579,#REF!,$R$2,0),0)</f>
        <v>0</v>
      </c>
      <c r="S579" s="9">
        <f>IFERROR(VLOOKUP(B579,cubo!$A$6:$BE$37,43,0)-VLOOKUP(B579,#REF!,$S$2,0),0)</f>
        <v>0</v>
      </c>
      <c r="T579" s="9">
        <f>IFERROR(VLOOKUP(B579,cubo!$A$6:$BE$37,46,0)-VLOOKUP(B579,#REF!,$T$2,0),0)</f>
        <v>0</v>
      </c>
      <c r="U579" s="9">
        <f>IFERROR(VLOOKUP(B579,cubo!$A$6:$BE$37,51,0)-VLOOKUP(B579,#REF!,$U$2,0),0)</f>
        <v>0</v>
      </c>
      <c r="V579" s="9">
        <f>IFERROR(VLOOKUP(B579,cubo!$A$6:$BJ$37,60,0)-VLOOKUP(B579,#REF!,$V$2,0),0)</f>
        <v>0</v>
      </c>
      <c r="W579" s="9">
        <f>IFERROR(VLOOKUP(B579,cubo!$A$6:$BE$37,26,0)-VLOOKUP(B579,#REF!,$W$2,0),0)</f>
        <v>0</v>
      </c>
      <c r="X579" s="9">
        <f>IFERROR(VLOOKUP(B579,cubo!$A$6:$BE$37,20,0)-VLOOKUP(B579,#REF!,$X$2,0),0)</f>
        <v>0</v>
      </c>
      <c r="Y579" s="9">
        <f>IFERROR(VLOOKUP(B579,cubo!$A$6:$BE$37,21,0)-VLOOKUP(B579,#REF!,$Y$2,0),0)</f>
        <v>0</v>
      </c>
      <c r="Z579" s="9">
        <f>IFERROR(VLOOKUP(B579,cubo!$A$6:$BE$37,27,0)-VLOOKUP(B579,#REF!,$Z$2,0),0)</f>
        <v>0</v>
      </c>
      <c r="AA579" s="9">
        <f>IFERROR(VLOOKUP(B579,cubo!$A$6:$BE$37,28,0)-VLOOKUP(B579,#REF!,$AA$2,0),0)</f>
        <v>0</v>
      </c>
      <c r="AB579" s="9">
        <f>IFERROR(VLOOKUP(B579,cubo!$A$6:$BE$37,29,0)-VLOOKUP(B579,#REF!,$AB$2,0),0)</f>
        <v>0</v>
      </c>
      <c r="AC579" s="9">
        <f>IFERROR(VLOOKUP(B579,cubo!$A$6:$BE$37,30,0)-VLOOKUP(B579,#REF!,$AC$2,0),0)</f>
        <v>0</v>
      </c>
      <c r="AD579" s="9">
        <f>IFERROR(VLOOKUP(B579,cubo!$A$6:$BE$37,31,0)-VLOOKUP(B579,#REF!,$AD$2,0),0)</f>
        <v>0</v>
      </c>
      <c r="AE579" s="9">
        <f>IFERROR(VLOOKUP(B579,cubo!$A$6:$BE$37,35,0)-VLOOKUP(B579,#REF!,$AE$2,0),0)</f>
        <v>0</v>
      </c>
      <c r="AF579" s="9" cm="1">
        <f t="array" aca="1" ref="AF579" ca="1">IFERROR(rrPROCV(B579,cubo!$A$6:$BE$37,48,0)-VLOOKUP(B579,#REF!,$AF$2,0),0)</f>
        <v>0</v>
      </c>
      <c r="AG579" s="9">
        <f>IFERROR(VLOOKUP(B579,cubo!$A$6:$BE$37,49,0)-VLOOKUP(B579,#REF!,$AG$2,0),0)</f>
        <v>0</v>
      </c>
      <c r="AH579" s="9">
        <f>IFERROR(VLOOKUP(B579,cubo!$A$6:$BE$37,50,0)-VLOOKUP(B579,#REF!,$AH$2,0),0)</f>
        <v>0</v>
      </c>
      <c r="AI579" s="9">
        <f>IFERROR(VLOOKUP(B579,cubo!$A$6:$BE$37,51,0)-VLOOKUP(B579,#REF!,$AI$2,0),0)</f>
        <v>0</v>
      </c>
      <c r="AJ579" s="9">
        <f>IFERROR(VLOOKUP(B579,cubo!$A$6:$BI$116,62,0)-VLOOKUP(B579,#REF!,$AJ$2,0),0)</f>
        <v>0</v>
      </c>
      <c r="AK579" s="9">
        <f>IFERROR(VLOOKUP(B579,cubo!$A$6:$BJ$37,63,0)-VLOOKUP(B579,#REF!,$AK$2,0),0)</f>
        <v>0</v>
      </c>
      <c r="AL579" s="9">
        <f>IFERROR(VLOOKUP(B579,cubo!$A$6:$BE$37,58,0)-VLOOKUP(B579,#REF!,$AL$2,0),0)</f>
        <v>0</v>
      </c>
      <c r="AM579" s="9">
        <f>IFERROR(VLOOKUP(B579,cubo!$A$6:$BK$37,64,0)-VLOOKUP(B579,#REF!,$AM$2,0),0)</f>
        <v>0</v>
      </c>
      <c r="AN579" s="9">
        <f>IFERROR(VLOOKUP(B579,cubo!$A$6:$AN$37,41,0)-VLOOKUP(B579,#REF!,$AN$2,0),0)</f>
        <v>0</v>
      </c>
    </row>
    <row r="580" spans="2:40" x14ac:dyDescent="0.25">
      <c r="B580" s="7">
        <f>[1]salario!A579</f>
        <v>0</v>
      </c>
      <c r="C580" s="8">
        <f>[1]salario!C579</f>
        <v>0</v>
      </c>
      <c r="D580" s="9">
        <f>IFERROR(VLOOKUP(B580,cubo!$A$6:$BE$37,3,0)-VLOOKUP(B580,#REF!,$D$2,0),0)</f>
        <v>0</v>
      </c>
      <c r="E580" s="10">
        <f>IFERROR(VLOOKUP(B580,cubo!$A$6:$BE$37,5,0)-VLOOKUP(B580,#REF!,$E$2,0),0)</f>
        <v>0</v>
      </c>
      <c r="F580" s="10">
        <f>IFERROR(VLOOKUP(B580,cubo!$A$6:$BE$37,8,0)-VLOOKUP(B580,#REF!,$F$2,0),0)</f>
        <v>0</v>
      </c>
      <c r="G580" s="9">
        <f>IFERROR(VLOOKUP(B580,cubo!$A$6:$BE$37,11,0)-VLOOKUP(B580,#REF!,$G$2,0),0)</f>
        <v>0</v>
      </c>
      <c r="H580" s="9">
        <f>IFERROR(VLOOKUP(B580,cubo!$A$6:$BE$37,53,0)-VLOOKUP(B580,#REF!,$H$2,0),0)</f>
        <v>0</v>
      </c>
      <c r="I580" s="10">
        <f>IFERROR(VLOOKUP(B580,cubo!$A$6:$BE$37,14,0)-VLOOKUP(B580,#REF!,$I$2,0),0)</f>
        <v>0</v>
      </c>
      <c r="J580" s="9">
        <f>IFERROR(VLOOKUP(B580,cubo!$A$6:$BE$37,16,0)-VLOOKUP(B580,#REF!,$J$2,0),0)</f>
        <v>0</v>
      </c>
      <c r="K580" s="9">
        <f>IFERROR(VLOOKUP(B580,cubo!$A$6:$BE$37,17,0)-VLOOKUP(B580,#REF!,$K$2,0),0)</f>
        <v>0</v>
      </c>
      <c r="L580" s="9">
        <f>IFERROR(VLOOKUP(B580,cubo!$A$6:$BE$37,19,0)-VLOOKUP(B580,#REF!,$L$2,0),0)</f>
        <v>0</v>
      </c>
      <c r="M580" s="9">
        <f>IFERROR(VLOOKUP(B580,cubo!$A$6:$BE$37,23,0)-VLOOKUP(B580,#REF!,$M$2,0),0)</f>
        <v>0</v>
      </c>
      <c r="N580" s="9">
        <f>IFERROR(VLOOKUP(B580,cubo!$A$6:$BE$37,25,0)-VLOOKUP(B580,#REF!,$N$2,0),0)</f>
        <v>0</v>
      </c>
      <c r="O580" s="9">
        <f>IFERROR(VLOOKUP(B580,cubo!$A$6:$BE$37,33,0)-VLOOKUP(B580,#REF!,$O$2,0),0)</f>
        <v>0</v>
      </c>
      <c r="P580" s="8">
        <f>IFERROR(VLOOKUP(B580,cubo!$A$6:$BE$37,37,0)-VLOOKUP(B580,#REF!,$P$2,0),0)</f>
        <v>0</v>
      </c>
      <c r="Q580" s="8">
        <f>IFERROR(VLOOKUP(B580,cubo!$A$6:$BE$37,56,0)-VLOOKUP(B580,#REF!,$Q$2,0),0)</f>
        <v>0</v>
      </c>
      <c r="R580" s="9">
        <f>IFERROR(VLOOKUP(B580,cubo!$A$6:$BE$37,40,0)-VLOOKUP(B580,#REF!,$R$2,0),0)</f>
        <v>0</v>
      </c>
      <c r="S580" s="9">
        <f>IFERROR(VLOOKUP(B580,cubo!$A$6:$BE$37,43,0)-VLOOKUP(B580,#REF!,$S$2,0),0)</f>
        <v>0</v>
      </c>
      <c r="T580" s="9">
        <f>IFERROR(VLOOKUP(B580,cubo!$A$6:$BE$37,46,0)-VLOOKUP(B580,#REF!,$T$2,0),0)</f>
        <v>0</v>
      </c>
      <c r="U580" s="9">
        <f>IFERROR(VLOOKUP(B580,cubo!$A$6:$BE$37,51,0)-VLOOKUP(B580,#REF!,$U$2,0),0)</f>
        <v>0</v>
      </c>
      <c r="V580" s="9">
        <f>IFERROR(VLOOKUP(B580,cubo!$A$6:$BJ$37,60,0)-VLOOKUP(B580,#REF!,$V$2,0),0)</f>
        <v>0</v>
      </c>
      <c r="W580" s="9">
        <f>IFERROR(VLOOKUP(B580,cubo!$A$6:$BE$37,26,0)-VLOOKUP(B580,#REF!,$W$2,0),0)</f>
        <v>0</v>
      </c>
      <c r="X580" s="9">
        <f>IFERROR(VLOOKUP(B580,cubo!$A$6:$BE$37,20,0)-VLOOKUP(B580,#REF!,$X$2,0),0)</f>
        <v>0</v>
      </c>
      <c r="Y580" s="9">
        <f>IFERROR(VLOOKUP(B580,cubo!$A$6:$BE$37,21,0)-VLOOKUP(B580,#REF!,$Y$2,0),0)</f>
        <v>0</v>
      </c>
      <c r="Z580" s="9">
        <f>IFERROR(VLOOKUP(B580,cubo!$A$6:$BE$37,27,0)-VLOOKUP(B580,#REF!,$Z$2,0),0)</f>
        <v>0</v>
      </c>
      <c r="AA580" s="9">
        <f>IFERROR(VLOOKUP(B580,cubo!$A$6:$BE$37,28,0)-VLOOKUP(B580,#REF!,$AA$2,0),0)</f>
        <v>0</v>
      </c>
      <c r="AB580" s="9">
        <f>IFERROR(VLOOKUP(B580,cubo!$A$6:$BE$37,29,0)-VLOOKUP(B580,#REF!,$AB$2,0),0)</f>
        <v>0</v>
      </c>
      <c r="AC580" s="9">
        <f>IFERROR(VLOOKUP(B580,cubo!$A$6:$BE$37,30,0)-VLOOKUP(B580,#REF!,$AC$2,0),0)</f>
        <v>0</v>
      </c>
      <c r="AD580" s="9">
        <f>IFERROR(VLOOKUP(B580,cubo!$A$6:$BE$37,31,0)-VLOOKUP(B580,#REF!,$AD$2,0),0)</f>
        <v>0</v>
      </c>
      <c r="AE580" s="9">
        <f>IFERROR(VLOOKUP(B580,cubo!$A$6:$BE$37,35,0)-VLOOKUP(B580,#REF!,$AE$2,0),0)</f>
        <v>0</v>
      </c>
      <c r="AF580" s="9" cm="1">
        <f t="array" aca="1" ref="AF580" ca="1">IFERROR(rrPROCV(B580,cubo!$A$6:$BE$37,48,0)-VLOOKUP(B580,#REF!,$AF$2,0),0)</f>
        <v>0</v>
      </c>
      <c r="AG580" s="9">
        <f>IFERROR(VLOOKUP(B580,cubo!$A$6:$BE$37,49,0)-VLOOKUP(B580,#REF!,$AG$2,0),0)</f>
        <v>0</v>
      </c>
      <c r="AH580" s="9">
        <f>IFERROR(VLOOKUP(B580,cubo!$A$6:$BE$37,50,0)-VLOOKUP(B580,#REF!,$AH$2,0),0)</f>
        <v>0</v>
      </c>
      <c r="AI580" s="9">
        <f>IFERROR(VLOOKUP(B580,cubo!$A$6:$BE$37,51,0)-VLOOKUP(B580,#REF!,$AI$2,0),0)</f>
        <v>0</v>
      </c>
      <c r="AJ580" s="9">
        <f>IFERROR(VLOOKUP(B580,cubo!$A$6:$BI$116,62,0)-VLOOKUP(B580,#REF!,$AJ$2,0),0)</f>
        <v>0</v>
      </c>
      <c r="AK580" s="9">
        <f>IFERROR(VLOOKUP(B580,cubo!$A$6:$BJ$37,63,0)-VLOOKUP(B580,#REF!,$AK$2,0),0)</f>
        <v>0</v>
      </c>
      <c r="AL580" s="9">
        <f>IFERROR(VLOOKUP(B580,cubo!$A$6:$BE$37,58,0)-VLOOKUP(B580,#REF!,$AL$2,0),0)</f>
        <v>0</v>
      </c>
      <c r="AM580" s="9">
        <f>IFERROR(VLOOKUP(B580,cubo!$A$6:$BK$37,64,0)-VLOOKUP(B580,#REF!,$AM$2,0),0)</f>
        <v>0</v>
      </c>
      <c r="AN580" s="9">
        <f>IFERROR(VLOOKUP(B580,cubo!$A$6:$AN$37,41,0)-VLOOKUP(B580,#REF!,$AN$2,0),0)</f>
        <v>0</v>
      </c>
    </row>
    <row r="581" spans="2:40" x14ac:dyDescent="0.25">
      <c r="B581" s="7">
        <f>[1]salario!A580</f>
        <v>0</v>
      </c>
      <c r="C581" s="8">
        <f>[1]salario!C580</f>
        <v>0</v>
      </c>
      <c r="D581" s="9">
        <f>IFERROR(VLOOKUP(B581,cubo!$A$6:$BE$37,3,0)-VLOOKUP(B581,#REF!,$D$2,0),0)</f>
        <v>0</v>
      </c>
      <c r="E581" s="10">
        <f>IFERROR(VLOOKUP(B581,cubo!$A$6:$BE$37,5,0)-VLOOKUP(B581,#REF!,$E$2,0),0)</f>
        <v>0</v>
      </c>
      <c r="F581" s="10">
        <f>IFERROR(VLOOKUP(B581,cubo!$A$6:$BE$37,8,0)-VLOOKUP(B581,#REF!,$F$2,0),0)</f>
        <v>0</v>
      </c>
      <c r="G581" s="9">
        <f>IFERROR(VLOOKUP(B581,cubo!$A$6:$BE$37,11,0)-VLOOKUP(B581,#REF!,$G$2,0),0)</f>
        <v>0</v>
      </c>
      <c r="H581" s="9">
        <f>IFERROR(VLOOKUP(B581,cubo!$A$6:$BE$37,53,0)-VLOOKUP(B581,#REF!,$H$2,0),0)</f>
        <v>0</v>
      </c>
      <c r="I581" s="10">
        <f>IFERROR(VLOOKUP(B581,cubo!$A$6:$BE$37,14,0)-VLOOKUP(B581,#REF!,$I$2,0),0)</f>
        <v>0</v>
      </c>
      <c r="J581" s="9">
        <f>IFERROR(VLOOKUP(B581,cubo!$A$6:$BE$37,16,0)-VLOOKUP(B581,#REF!,$J$2,0),0)</f>
        <v>0</v>
      </c>
      <c r="K581" s="9">
        <f>IFERROR(VLOOKUP(B581,cubo!$A$6:$BE$37,17,0)-VLOOKUP(B581,#REF!,$K$2,0),0)</f>
        <v>0</v>
      </c>
      <c r="L581" s="9">
        <f>IFERROR(VLOOKUP(B581,cubo!$A$6:$BE$37,19,0)-VLOOKUP(B581,#REF!,$L$2,0),0)</f>
        <v>0</v>
      </c>
      <c r="M581" s="9">
        <f>IFERROR(VLOOKUP(B581,cubo!$A$6:$BE$37,23,0)-VLOOKUP(B581,#REF!,$M$2,0),0)</f>
        <v>0</v>
      </c>
      <c r="N581" s="9">
        <f>IFERROR(VLOOKUP(B581,cubo!$A$6:$BE$37,25,0)-VLOOKUP(B581,#REF!,$N$2,0),0)</f>
        <v>0</v>
      </c>
      <c r="O581" s="9">
        <f>IFERROR(VLOOKUP(B581,cubo!$A$6:$BE$37,33,0)-VLOOKUP(B581,#REF!,$O$2,0),0)</f>
        <v>0</v>
      </c>
      <c r="P581" s="8">
        <f>IFERROR(VLOOKUP(B581,cubo!$A$6:$BE$37,37,0)-VLOOKUP(B581,#REF!,$P$2,0),0)</f>
        <v>0</v>
      </c>
      <c r="Q581" s="8">
        <f>IFERROR(VLOOKUP(B581,cubo!$A$6:$BE$37,56,0)-VLOOKUP(B581,#REF!,$Q$2,0),0)</f>
        <v>0</v>
      </c>
      <c r="R581" s="9">
        <f>IFERROR(VLOOKUP(B581,cubo!$A$6:$BE$37,40,0)-VLOOKUP(B581,#REF!,$R$2,0),0)</f>
        <v>0</v>
      </c>
      <c r="S581" s="9">
        <f>IFERROR(VLOOKUP(B581,cubo!$A$6:$BE$37,43,0)-VLOOKUP(B581,#REF!,$S$2,0),0)</f>
        <v>0</v>
      </c>
      <c r="T581" s="9">
        <f>IFERROR(VLOOKUP(B581,cubo!$A$6:$BE$37,46,0)-VLOOKUP(B581,#REF!,$T$2,0),0)</f>
        <v>0</v>
      </c>
      <c r="U581" s="9">
        <f>IFERROR(VLOOKUP(B581,cubo!$A$6:$BE$37,51,0)-VLOOKUP(B581,#REF!,$U$2,0),0)</f>
        <v>0</v>
      </c>
      <c r="V581" s="9">
        <f>IFERROR(VLOOKUP(B581,cubo!$A$6:$BJ$37,60,0)-VLOOKUP(B581,#REF!,$V$2,0),0)</f>
        <v>0</v>
      </c>
      <c r="W581" s="9">
        <f>IFERROR(VLOOKUP(B581,cubo!$A$6:$BE$37,26,0)-VLOOKUP(B581,#REF!,$W$2,0),0)</f>
        <v>0</v>
      </c>
      <c r="X581" s="9">
        <f>IFERROR(VLOOKUP(B581,cubo!$A$6:$BE$37,20,0)-VLOOKUP(B581,#REF!,$X$2,0),0)</f>
        <v>0</v>
      </c>
      <c r="Y581" s="9">
        <f>IFERROR(VLOOKUP(B581,cubo!$A$6:$BE$37,21,0)-VLOOKUP(B581,#REF!,$Y$2,0),0)</f>
        <v>0</v>
      </c>
      <c r="Z581" s="9">
        <f>IFERROR(VLOOKUP(B581,cubo!$A$6:$BE$37,27,0)-VLOOKUP(B581,#REF!,$Z$2,0),0)</f>
        <v>0</v>
      </c>
      <c r="AA581" s="9">
        <f>IFERROR(VLOOKUP(B581,cubo!$A$6:$BE$37,28,0)-VLOOKUP(B581,#REF!,$AA$2,0),0)</f>
        <v>0</v>
      </c>
      <c r="AB581" s="9">
        <f>IFERROR(VLOOKUP(B581,cubo!$A$6:$BE$37,29,0)-VLOOKUP(B581,#REF!,$AB$2,0),0)</f>
        <v>0</v>
      </c>
      <c r="AC581" s="9">
        <f>IFERROR(VLOOKUP(B581,cubo!$A$6:$BE$37,30,0)-VLOOKUP(B581,#REF!,$AC$2,0),0)</f>
        <v>0</v>
      </c>
      <c r="AD581" s="9">
        <f>IFERROR(VLOOKUP(B581,cubo!$A$6:$BE$37,31,0)-VLOOKUP(B581,#REF!,$AD$2,0),0)</f>
        <v>0</v>
      </c>
      <c r="AE581" s="9">
        <f>IFERROR(VLOOKUP(B581,cubo!$A$6:$BE$37,35,0)-VLOOKUP(B581,#REF!,$AE$2,0),0)</f>
        <v>0</v>
      </c>
      <c r="AF581" s="9" cm="1">
        <f t="array" aca="1" ref="AF581" ca="1">IFERROR(rrPROCV(B581,cubo!$A$6:$BE$37,48,0)-VLOOKUP(B581,#REF!,$AF$2,0),0)</f>
        <v>0</v>
      </c>
      <c r="AG581" s="9">
        <f>IFERROR(VLOOKUP(B581,cubo!$A$6:$BE$37,49,0)-VLOOKUP(B581,#REF!,$AG$2,0),0)</f>
        <v>0</v>
      </c>
      <c r="AH581" s="9">
        <f>IFERROR(VLOOKUP(B581,cubo!$A$6:$BE$37,50,0)-VLOOKUP(B581,#REF!,$AH$2,0),0)</f>
        <v>0</v>
      </c>
      <c r="AI581" s="9">
        <f>IFERROR(VLOOKUP(B581,cubo!$A$6:$BE$37,51,0)-VLOOKUP(B581,#REF!,$AI$2,0),0)</f>
        <v>0</v>
      </c>
      <c r="AJ581" s="9">
        <f>IFERROR(VLOOKUP(B581,cubo!$A$6:$BI$116,62,0)-VLOOKUP(B581,#REF!,$AJ$2,0),0)</f>
        <v>0</v>
      </c>
      <c r="AK581" s="9">
        <f>IFERROR(VLOOKUP(B581,cubo!$A$6:$BJ$37,63,0)-VLOOKUP(B581,#REF!,$AK$2,0),0)</f>
        <v>0</v>
      </c>
      <c r="AL581" s="9">
        <f>IFERROR(VLOOKUP(B581,cubo!$A$6:$BE$37,58,0)-VLOOKUP(B581,#REF!,$AL$2,0),0)</f>
        <v>0</v>
      </c>
      <c r="AM581" s="9">
        <f>IFERROR(VLOOKUP(B581,cubo!$A$6:$BK$37,64,0)-VLOOKUP(B581,#REF!,$AM$2,0),0)</f>
        <v>0</v>
      </c>
      <c r="AN581" s="9">
        <f>IFERROR(VLOOKUP(B581,cubo!$A$6:$AN$37,41,0)-VLOOKUP(B581,#REF!,$AN$2,0),0)</f>
        <v>0</v>
      </c>
    </row>
    <row r="582" spans="2:40" x14ac:dyDescent="0.25">
      <c r="B582" s="7">
        <f>[1]salario!A581</f>
        <v>0</v>
      </c>
      <c r="C582" s="8">
        <f>[1]salario!C581</f>
        <v>0</v>
      </c>
      <c r="D582" s="9">
        <f>IFERROR(VLOOKUP(B582,cubo!$A$6:$BE$37,3,0)-VLOOKUP(B582,#REF!,$D$2,0),0)</f>
        <v>0</v>
      </c>
      <c r="E582" s="10">
        <f>IFERROR(VLOOKUP(B582,cubo!$A$6:$BE$37,5,0)-VLOOKUP(B582,#REF!,$E$2,0),0)</f>
        <v>0</v>
      </c>
      <c r="F582" s="10">
        <f>IFERROR(VLOOKUP(B582,cubo!$A$6:$BE$37,8,0)-VLOOKUP(B582,#REF!,$F$2,0),0)</f>
        <v>0</v>
      </c>
      <c r="G582" s="9">
        <f>IFERROR(VLOOKUP(B582,cubo!$A$6:$BE$37,11,0)-VLOOKUP(B582,#REF!,$G$2,0),0)</f>
        <v>0</v>
      </c>
      <c r="H582" s="9">
        <f>IFERROR(VLOOKUP(B582,cubo!$A$6:$BE$37,53,0)-VLOOKUP(B582,#REF!,$H$2,0),0)</f>
        <v>0</v>
      </c>
      <c r="I582" s="10">
        <f>IFERROR(VLOOKUP(B582,cubo!$A$6:$BE$37,14,0)-VLOOKUP(B582,#REF!,$I$2,0),0)</f>
        <v>0</v>
      </c>
      <c r="J582" s="9">
        <f>IFERROR(VLOOKUP(B582,cubo!$A$6:$BE$37,16,0)-VLOOKUP(B582,#REF!,$J$2,0),0)</f>
        <v>0</v>
      </c>
      <c r="K582" s="9">
        <f>IFERROR(VLOOKUP(B582,cubo!$A$6:$BE$37,17,0)-VLOOKUP(B582,#REF!,$K$2,0),0)</f>
        <v>0</v>
      </c>
      <c r="L582" s="9">
        <f>IFERROR(VLOOKUP(B582,cubo!$A$6:$BE$37,19,0)-VLOOKUP(B582,#REF!,$L$2,0),0)</f>
        <v>0</v>
      </c>
      <c r="M582" s="9">
        <f>IFERROR(VLOOKUP(B582,cubo!$A$6:$BE$37,23,0)-VLOOKUP(B582,#REF!,$M$2,0),0)</f>
        <v>0</v>
      </c>
      <c r="N582" s="9">
        <f>IFERROR(VLOOKUP(B582,cubo!$A$6:$BE$37,25,0)-VLOOKUP(B582,#REF!,$N$2,0),0)</f>
        <v>0</v>
      </c>
      <c r="O582" s="9">
        <f>IFERROR(VLOOKUP(B582,cubo!$A$6:$BE$37,33,0)-VLOOKUP(B582,#REF!,$O$2,0),0)</f>
        <v>0</v>
      </c>
      <c r="P582" s="8">
        <f>IFERROR(VLOOKUP(B582,cubo!$A$6:$BE$37,37,0)-VLOOKUP(B582,#REF!,$P$2,0),0)</f>
        <v>0</v>
      </c>
      <c r="Q582" s="8">
        <f>IFERROR(VLOOKUP(B582,cubo!$A$6:$BE$37,56,0)-VLOOKUP(B582,#REF!,$Q$2,0),0)</f>
        <v>0</v>
      </c>
      <c r="R582" s="9">
        <f>IFERROR(VLOOKUP(B582,cubo!$A$6:$BE$37,40,0)-VLOOKUP(B582,#REF!,$R$2,0),0)</f>
        <v>0</v>
      </c>
      <c r="S582" s="9">
        <f>IFERROR(VLOOKUP(B582,cubo!$A$6:$BE$37,43,0)-VLOOKUP(B582,#REF!,$S$2,0),0)</f>
        <v>0</v>
      </c>
      <c r="T582" s="9">
        <f>IFERROR(VLOOKUP(B582,cubo!$A$6:$BE$37,46,0)-VLOOKUP(B582,#REF!,$T$2,0),0)</f>
        <v>0</v>
      </c>
      <c r="U582" s="9">
        <f>IFERROR(VLOOKUP(B582,cubo!$A$6:$BE$37,51,0)-VLOOKUP(B582,#REF!,$U$2,0),0)</f>
        <v>0</v>
      </c>
      <c r="V582" s="9">
        <f>IFERROR(VLOOKUP(B582,cubo!$A$6:$BJ$37,60,0)-VLOOKUP(B582,#REF!,$V$2,0),0)</f>
        <v>0</v>
      </c>
      <c r="W582" s="9">
        <f>IFERROR(VLOOKUP(B582,cubo!$A$6:$BE$37,26,0)-VLOOKUP(B582,#REF!,$W$2,0),0)</f>
        <v>0</v>
      </c>
      <c r="X582" s="9">
        <f>IFERROR(VLOOKUP(B582,cubo!$A$6:$BE$37,20,0)-VLOOKUP(B582,#REF!,$X$2,0),0)</f>
        <v>0</v>
      </c>
      <c r="Y582" s="9">
        <f>IFERROR(VLOOKUP(B582,cubo!$A$6:$BE$37,21,0)-VLOOKUP(B582,#REF!,$Y$2,0),0)</f>
        <v>0</v>
      </c>
      <c r="Z582" s="9">
        <f>IFERROR(VLOOKUP(B582,cubo!$A$6:$BE$37,27,0)-VLOOKUP(B582,#REF!,$Z$2,0),0)</f>
        <v>0</v>
      </c>
      <c r="AA582" s="9">
        <f>IFERROR(VLOOKUP(B582,cubo!$A$6:$BE$37,28,0)-VLOOKUP(B582,#REF!,$AA$2,0),0)</f>
        <v>0</v>
      </c>
      <c r="AB582" s="9">
        <f>IFERROR(VLOOKUP(B582,cubo!$A$6:$BE$37,29,0)-VLOOKUP(B582,#REF!,$AB$2,0),0)</f>
        <v>0</v>
      </c>
      <c r="AC582" s="9">
        <f>IFERROR(VLOOKUP(B582,cubo!$A$6:$BE$37,30,0)-VLOOKUP(B582,#REF!,$AC$2,0),0)</f>
        <v>0</v>
      </c>
      <c r="AD582" s="9">
        <f>IFERROR(VLOOKUP(B582,cubo!$A$6:$BE$37,31,0)-VLOOKUP(B582,#REF!,$AD$2,0),0)</f>
        <v>0</v>
      </c>
      <c r="AE582" s="9">
        <f>IFERROR(VLOOKUP(B582,cubo!$A$6:$BE$37,35,0)-VLOOKUP(B582,#REF!,$AE$2,0),0)</f>
        <v>0</v>
      </c>
      <c r="AF582" s="9" cm="1">
        <f t="array" aca="1" ref="AF582" ca="1">IFERROR(rrPROCV(B582,cubo!$A$6:$BE$37,48,0)-VLOOKUP(B582,#REF!,$AF$2,0),0)</f>
        <v>0</v>
      </c>
      <c r="AG582" s="9">
        <f>IFERROR(VLOOKUP(B582,cubo!$A$6:$BE$37,49,0)-VLOOKUP(B582,#REF!,$AG$2,0),0)</f>
        <v>0</v>
      </c>
      <c r="AH582" s="9">
        <f>IFERROR(VLOOKUP(B582,cubo!$A$6:$BE$37,50,0)-VLOOKUP(B582,#REF!,$AH$2,0),0)</f>
        <v>0</v>
      </c>
      <c r="AI582" s="9">
        <f>IFERROR(VLOOKUP(B582,cubo!$A$6:$BE$37,51,0)-VLOOKUP(B582,#REF!,$AI$2,0),0)</f>
        <v>0</v>
      </c>
      <c r="AJ582" s="9">
        <f>IFERROR(VLOOKUP(B582,cubo!$A$6:$BI$116,62,0)-VLOOKUP(B582,#REF!,$AJ$2,0),0)</f>
        <v>0</v>
      </c>
      <c r="AK582" s="9">
        <f>IFERROR(VLOOKUP(B582,cubo!$A$6:$BJ$37,63,0)-VLOOKUP(B582,#REF!,$AK$2,0),0)</f>
        <v>0</v>
      </c>
      <c r="AL582" s="9">
        <f>IFERROR(VLOOKUP(B582,cubo!$A$6:$BE$37,58,0)-VLOOKUP(B582,#REF!,$AL$2,0),0)</f>
        <v>0</v>
      </c>
      <c r="AM582" s="9">
        <f>IFERROR(VLOOKUP(B582,cubo!$A$6:$BK$37,64,0)-VLOOKUP(B582,#REF!,$AM$2,0),0)</f>
        <v>0</v>
      </c>
      <c r="AN582" s="9">
        <f>IFERROR(VLOOKUP(B582,cubo!$A$6:$AN$37,41,0)-VLOOKUP(B582,#REF!,$AN$2,0),0)</f>
        <v>0</v>
      </c>
    </row>
    <row r="583" spans="2:40" x14ac:dyDescent="0.25">
      <c r="B583" s="7">
        <f>[1]salario!A582</f>
        <v>0</v>
      </c>
      <c r="C583" s="8">
        <f>[1]salario!C582</f>
        <v>0</v>
      </c>
      <c r="D583" s="9">
        <f>IFERROR(VLOOKUP(B583,cubo!$A$6:$BE$37,3,0)-VLOOKUP(B583,#REF!,$D$2,0),0)</f>
        <v>0</v>
      </c>
      <c r="E583" s="10">
        <f>IFERROR(VLOOKUP(B583,cubo!$A$6:$BE$37,5,0)-VLOOKUP(B583,#REF!,$E$2,0),0)</f>
        <v>0</v>
      </c>
      <c r="F583" s="10">
        <f>IFERROR(VLOOKUP(B583,cubo!$A$6:$BE$37,8,0)-VLOOKUP(B583,#REF!,$F$2,0),0)</f>
        <v>0</v>
      </c>
      <c r="G583" s="9">
        <f>IFERROR(VLOOKUP(B583,cubo!$A$6:$BE$37,11,0)-VLOOKUP(B583,#REF!,$G$2,0),0)</f>
        <v>0</v>
      </c>
      <c r="H583" s="9">
        <f>IFERROR(VLOOKUP(B583,cubo!$A$6:$BE$37,53,0)-VLOOKUP(B583,#REF!,$H$2,0),0)</f>
        <v>0</v>
      </c>
      <c r="I583" s="10">
        <f>IFERROR(VLOOKUP(B583,cubo!$A$6:$BE$37,14,0)-VLOOKUP(B583,#REF!,$I$2,0),0)</f>
        <v>0</v>
      </c>
      <c r="J583" s="9">
        <f>IFERROR(VLOOKUP(B583,cubo!$A$6:$BE$37,16,0)-VLOOKUP(B583,#REF!,$J$2,0),0)</f>
        <v>0</v>
      </c>
      <c r="K583" s="9">
        <f>IFERROR(VLOOKUP(B583,cubo!$A$6:$BE$37,17,0)-VLOOKUP(B583,#REF!,$K$2,0),0)</f>
        <v>0</v>
      </c>
      <c r="L583" s="9">
        <f>IFERROR(VLOOKUP(B583,cubo!$A$6:$BE$37,19,0)-VLOOKUP(B583,#REF!,$L$2,0),0)</f>
        <v>0</v>
      </c>
      <c r="M583" s="9">
        <f>IFERROR(VLOOKUP(B583,cubo!$A$6:$BE$37,23,0)-VLOOKUP(B583,#REF!,$M$2,0),0)</f>
        <v>0</v>
      </c>
      <c r="N583" s="9">
        <f>IFERROR(VLOOKUP(B583,cubo!$A$6:$BE$37,25,0)-VLOOKUP(B583,#REF!,$N$2,0),0)</f>
        <v>0</v>
      </c>
      <c r="O583" s="9">
        <f>IFERROR(VLOOKUP(B583,cubo!$A$6:$BE$37,33,0)-VLOOKUP(B583,#REF!,$O$2,0),0)</f>
        <v>0</v>
      </c>
      <c r="P583" s="8">
        <f>IFERROR(VLOOKUP(B583,cubo!$A$6:$BE$37,37,0)-VLOOKUP(B583,#REF!,$P$2,0),0)</f>
        <v>0</v>
      </c>
      <c r="Q583" s="8">
        <f>IFERROR(VLOOKUP(B583,cubo!$A$6:$BE$37,56,0)-VLOOKUP(B583,#REF!,$Q$2,0),0)</f>
        <v>0</v>
      </c>
      <c r="R583" s="9">
        <f>IFERROR(VLOOKUP(B583,cubo!$A$6:$BE$37,40,0)-VLOOKUP(B583,#REF!,$R$2,0),0)</f>
        <v>0</v>
      </c>
      <c r="S583" s="9">
        <f>IFERROR(VLOOKUP(B583,cubo!$A$6:$BE$37,43,0)-VLOOKUP(B583,#REF!,$S$2,0),0)</f>
        <v>0</v>
      </c>
      <c r="T583" s="9">
        <f>IFERROR(VLOOKUP(B583,cubo!$A$6:$BE$37,46,0)-VLOOKUP(B583,#REF!,$T$2,0),0)</f>
        <v>0</v>
      </c>
      <c r="U583" s="9">
        <f>IFERROR(VLOOKUP(B583,cubo!$A$6:$BE$37,51,0)-VLOOKUP(B583,#REF!,$U$2,0),0)</f>
        <v>0</v>
      </c>
      <c r="V583" s="9">
        <f>IFERROR(VLOOKUP(B583,cubo!$A$6:$BJ$37,60,0)-VLOOKUP(B583,#REF!,$V$2,0),0)</f>
        <v>0</v>
      </c>
      <c r="W583" s="9">
        <f>IFERROR(VLOOKUP(B583,cubo!$A$6:$BE$37,26,0)-VLOOKUP(B583,#REF!,$W$2,0),0)</f>
        <v>0</v>
      </c>
      <c r="X583" s="9">
        <f>IFERROR(VLOOKUP(B583,cubo!$A$6:$BE$37,20,0)-VLOOKUP(B583,#REF!,$X$2,0),0)</f>
        <v>0</v>
      </c>
      <c r="Y583" s="9">
        <f>IFERROR(VLOOKUP(B583,cubo!$A$6:$BE$37,21,0)-VLOOKUP(B583,#REF!,$Y$2,0),0)</f>
        <v>0</v>
      </c>
      <c r="Z583" s="9">
        <f>IFERROR(VLOOKUP(B583,cubo!$A$6:$BE$37,27,0)-VLOOKUP(B583,#REF!,$Z$2,0),0)</f>
        <v>0</v>
      </c>
      <c r="AA583" s="9">
        <f>IFERROR(VLOOKUP(B583,cubo!$A$6:$BE$37,28,0)-VLOOKUP(B583,#REF!,$AA$2,0),0)</f>
        <v>0</v>
      </c>
      <c r="AB583" s="9">
        <f>IFERROR(VLOOKUP(B583,cubo!$A$6:$BE$37,29,0)-VLOOKUP(B583,#REF!,$AB$2,0),0)</f>
        <v>0</v>
      </c>
      <c r="AC583" s="9">
        <f>IFERROR(VLOOKUP(B583,cubo!$A$6:$BE$37,30,0)-VLOOKUP(B583,#REF!,$AC$2,0),0)</f>
        <v>0</v>
      </c>
      <c r="AD583" s="9">
        <f>IFERROR(VLOOKUP(B583,cubo!$A$6:$BE$37,31,0)-VLOOKUP(B583,#REF!,$AD$2,0),0)</f>
        <v>0</v>
      </c>
      <c r="AE583" s="9">
        <f>IFERROR(VLOOKUP(B583,cubo!$A$6:$BE$37,35,0)-VLOOKUP(B583,#REF!,$AE$2,0),0)</f>
        <v>0</v>
      </c>
      <c r="AF583" s="9" cm="1">
        <f t="array" aca="1" ref="AF583" ca="1">IFERROR(rrPROCV(B583,cubo!$A$6:$BE$37,48,0)-VLOOKUP(B583,#REF!,$AF$2,0),0)</f>
        <v>0</v>
      </c>
      <c r="AG583" s="9">
        <f>IFERROR(VLOOKUP(B583,cubo!$A$6:$BE$37,49,0)-VLOOKUP(B583,#REF!,$AG$2,0),0)</f>
        <v>0</v>
      </c>
      <c r="AH583" s="9">
        <f>IFERROR(VLOOKUP(B583,cubo!$A$6:$BE$37,50,0)-VLOOKUP(B583,#REF!,$AH$2,0),0)</f>
        <v>0</v>
      </c>
      <c r="AI583" s="9">
        <f>IFERROR(VLOOKUP(B583,cubo!$A$6:$BE$37,51,0)-VLOOKUP(B583,#REF!,$AI$2,0),0)</f>
        <v>0</v>
      </c>
      <c r="AJ583" s="9">
        <f>IFERROR(VLOOKUP(B583,cubo!$A$6:$BI$116,62,0)-VLOOKUP(B583,#REF!,$AJ$2,0),0)</f>
        <v>0</v>
      </c>
      <c r="AK583" s="9">
        <f>IFERROR(VLOOKUP(B583,cubo!$A$6:$BJ$37,63,0)-VLOOKUP(B583,#REF!,$AK$2,0),0)</f>
        <v>0</v>
      </c>
      <c r="AL583" s="9">
        <f>IFERROR(VLOOKUP(B583,cubo!$A$6:$BE$37,58,0)-VLOOKUP(B583,#REF!,$AL$2,0),0)</f>
        <v>0</v>
      </c>
      <c r="AM583" s="9">
        <f>IFERROR(VLOOKUP(B583,cubo!$A$6:$BK$37,64,0)-VLOOKUP(B583,#REF!,$AM$2,0),0)</f>
        <v>0</v>
      </c>
      <c r="AN583" s="9">
        <f>IFERROR(VLOOKUP(B583,cubo!$A$6:$AN$37,41,0)-VLOOKUP(B583,#REF!,$AN$2,0),0)</f>
        <v>0</v>
      </c>
    </row>
    <row r="584" spans="2:40" x14ac:dyDescent="0.25">
      <c r="B584" s="7">
        <f>[1]salario!A583</f>
        <v>0</v>
      </c>
      <c r="C584" s="8">
        <f>[1]salario!C583</f>
        <v>0</v>
      </c>
      <c r="D584" s="9">
        <f>IFERROR(VLOOKUP(B584,cubo!$A$6:$BE$37,3,0)-VLOOKUP(B584,#REF!,$D$2,0),0)</f>
        <v>0</v>
      </c>
      <c r="E584" s="10">
        <f>IFERROR(VLOOKUP(B584,cubo!$A$6:$BE$37,5,0)-VLOOKUP(B584,#REF!,$E$2,0),0)</f>
        <v>0</v>
      </c>
      <c r="F584" s="10">
        <f>IFERROR(VLOOKUP(B584,cubo!$A$6:$BE$37,8,0)-VLOOKUP(B584,#REF!,$F$2,0),0)</f>
        <v>0</v>
      </c>
      <c r="G584" s="9">
        <f>IFERROR(VLOOKUP(B584,cubo!$A$6:$BE$37,11,0)-VLOOKUP(B584,#REF!,$G$2,0),0)</f>
        <v>0</v>
      </c>
      <c r="H584" s="9">
        <f>IFERROR(VLOOKUP(B584,cubo!$A$6:$BE$37,53,0)-VLOOKUP(B584,#REF!,$H$2,0),0)</f>
        <v>0</v>
      </c>
      <c r="I584" s="10">
        <f>IFERROR(VLOOKUP(B584,cubo!$A$6:$BE$37,14,0)-VLOOKUP(B584,#REF!,$I$2,0),0)</f>
        <v>0</v>
      </c>
      <c r="J584" s="9">
        <f>IFERROR(VLOOKUP(B584,cubo!$A$6:$BE$37,16,0)-VLOOKUP(B584,#REF!,$J$2,0),0)</f>
        <v>0</v>
      </c>
      <c r="K584" s="9">
        <f>IFERROR(VLOOKUP(B584,cubo!$A$6:$BE$37,17,0)-VLOOKUP(B584,#REF!,$K$2,0),0)</f>
        <v>0</v>
      </c>
      <c r="L584" s="9">
        <f>IFERROR(VLOOKUP(B584,cubo!$A$6:$BE$37,19,0)-VLOOKUP(B584,#REF!,$L$2,0),0)</f>
        <v>0</v>
      </c>
      <c r="M584" s="9">
        <f>IFERROR(VLOOKUP(B584,cubo!$A$6:$BE$37,23,0)-VLOOKUP(B584,#REF!,$M$2,0),0)</f>
        <v>0</v>
      </c>
      <c r="N584" s="9">
        <f>IFERROR(VLOOKUP(B584,cubo!$A$6:$BE$37,25,0)-VLOOKUP(B584,#REF!,$N$2,0),0)</f>
        <v>0</v>
      </c>
      <c r="O584" s="9">
        <f>IFERROR(VLOOKUP(B584,cubo!$A$6:$BE$37,33,0)-VLOOKUP(B584,#REF!,$O$2,0),0)</f>
        <v>0</v>
      </c>
      <c r="P584" s="8">
        <f>IFERROR(VLOOKUP(B584,cubo!$A$6:$BE$37,37,0)-VLOOKUP(B584,#REF!,$P$2,0),0)</f>
        <v>0</v>
      </c>
      <c r="Q584" s="8">
        <f>IFERROR(VLOOKUP(B584,cubo!$A$6:$BE$37,56,0)-VLOOKUP(B584,#REF!,$Q$2,0),0)</f>
        <v>0</v>
      </c>
      <c r="R584" s="9">
        <f>IFERROR(VLOOKUP(B584,cubo!$A$6:$BE$37,40,0)-VLOOKUP(B584,#REF!,$R$2,0),0)</f>
        <v>0</v>
      </c>
      <c r="S584" s="9">
        <f>IFERROR(VLOOKUP(B584,cubo!$A$6:$BE$37,43,0)-VLOOKUP(B584,#REF!,$S$2,0),0)</f>
        <v>0</v>
      </c>
      <c r="T584" s="9">
        <f>IFERROR(VLOOKUP(B584,cubo!$A$6:$BE$37,46,0)-VLOOKUP(B584,#REF!,$T$2,0),0)</f>
        <v>0</v>
      </c>
      <c r="U584" s="9">
        <f>IFERROR(VLOOKUP(B584,cubo!$A$6:$BE$37,51,0)-VLOOKUP(B584,#REF!,$U$2,0),0)</f>
        <v>0</v>
      </c>
      <c r="V584" s="9">
        <f>IFERROR(VLOOKUP(B584,cubo!$A$6:$BJ$37,60,0)-VLOOKUP(B584,#REF!,$V$2,0),0)</f>
        <v>0</v>
      </c>
      <c r="W584" s="9">
        <f>IFERROR(VLOOKUP(B584,cubo!$A$6:$BE$37,26,0)-VLOOKUP(B584,#REF!,$W$2,0),0)</f>
        <v>0</v>
      </c>
      <c r="X584" s="9">
        <f>IFERROR(VLOOKUP(B584,cubo!$A$6:$BE$37,20,0)-VLOOKUP(B584,#REF!,$X$2,0),0)</f>
        <v>0</v>
      </c>
      <c r="Y584" s="9">
        <f>IFERROR(VLOOKUP(B584,cubo!$A$6:$BE$37,21,0)-VLOOKUP(B584,#REF!,$Y$2,0),0)</f>
        <v>0</v>
      </c>
      <c r="Z584" s="9">
        <f>IFERROR(VLOOKUP(B584,cubo!$A$6:$BE$37,27,0)-VLOOKUP(B584,#REF!,$Z$2,0),0)</f>
        <v>0</v>
      </c>
      <c r="AA584" s="9">
        <f>IFERROR(VLOOKUP(B584,cubo!$A$6:$BE$37,28,0)-VLOOKUP(B584,#REF!,$AA$2,0),0)</f>
        <v>0</v>
      </c>
      <c r="AB584" s="9">
        <f>IFERROR(VLOOKUP(B584,cubo!$A$6:$BE$37,29,0)-VLOOKUP(B584,#REF!,$AB$2,0),0)</f>
        <v>0</v>
      </c>
      <c r="AC584" s="9">
        <f>IFERROR(VLOOKUP(B584,cubo!$A$6:$BE$37,30,0)-VLOOKUP(B584,#REF!,$AC$2,0),0)</f>
        <v>0</v>
      </c>
      <c r="AD584" s="9">
        <f>IFERROR(VLOOKUP(B584,cubo!$A$6:$BE$37,31,0)-VLOOKUP(B584,#REF!,$AD$2,0),0)</f>
        <v>0</v>
      </c>
      <c r="AE584" s="9">
        <f>IFERROR(VLOOKUP(B584,cubo!$A$6:$BE$37,35,0)-VLOOKUP(B584,#REF!,$AE$2,0),0)</f>
        <v>0</v>
      </c>
      <c r="AF584" s="9" cm="1">
        <f t="array" aca="1" ref="AF584" ca="1">IFERROR(rrPROCV(B584,cubo!$A$6:$BE$37,48,0)-VLOOKUP(B584,#REF!,$AF$2,0),0)</f>
        <v>0</v>
      </c>
      <c r="AG584" s="9">
        <f>IFERROR(VLOOKUP(B584,cubo!$A$6:$BE$37,49,0)-VLOOKUP(B584,#REF!,$AG$2,0),0)</f>
        <v>0</v>
      </c>
      <c r="AH584" s="9">
        <f>IFERROR(VLOOKUP(B584,cubo!$A$6:$BE$37,50,0)-VLOOKUP(B584,#REF!,$AH$2,0),0)</f>
        <v>0</v>
      </c>
      <c r="AI584" s="9">
        <f>IFERROR(VLOOKUP(B584,cubo!$A$6:$BE$37,51,0)-VLOOKUP(B584,#REF!,$AI$2,0),0)</f>
        <v>0</v>
      </c>
      <c r="AJ584" s="9">
        <f>IFERROR(VLOOKUP(B584,cubo!$A$6:$BI$116,62,0)-VLOOKUP(B584,#REF!,$AJ$2,0),0)</f>
        <v>0</v>
      </c>
      <c r="AK584" s="9">
        <f>IFERROR(VLOOKUP(B584,cubo!$A$6:$BJ$37,63,0)-VLOOKUP(B584,#REF!,$AK$2,0),0)</f>
        <v>0</v>
      </c>
      <c r="AL584" s="9">
        <f>IFERROR(VLOOKUP(B584,cubo!$A$6:$BE$37,58,0)-VLOOKUP(B584,#REF!,$AL$2,0),0)</f>
        <v>0</v>
      </c>
      <c r="AM584" s="9">
        <f>IFERROR(VLOOKUP(B584,cubo!$A$6:$BK$37,64,0)-VLOOKUP(B584,#REF!,$AM$2,0),0)</f>
        <v>0</v>
      </c>
      <c r="AN584" s="9">
        <f>IFERROR(VLOOKUP(B584,cubo!$A$6:$AN$37,41,0)-VLOOKUP(B584,#REF!,$AN$2,0),0)</f>
        <v>0</v>
      </c>
    </row>
    <row r="585" spans="2:40" x14ac:dyDescent="0.25">
      <c r="B585" s="7">
        <f>[1]salario!A584</f>
        <v>0</v>
      </c>
      <c r="C585" s="8">
        <f>[1]salario!C584</f>
        <v>0</v>
      </c>
      <c r="D585" s="9">
        <f>IFERROR(VLOOKUP(B585,cubo!$A$6:$BE$37,3,0)-VLOOKUP(B585,#REF!,$D$2,0),0)</f>
        <v>0</v>
      </c>
      <c r="E585" s="10">
        <f>IFERROR(VLOOKUP(B585,cubo!$A$6:$BE$37,5,0)-VLOOKUP(B585,#REF!,$E$2,0),0)</f>
        <v>0</v>
      </c>
      <c r="F585" s="10">
        <f>IFERROR(VLOOKUP(B585,cubo!$A$6:$BE$37,8,0)-VLOOKUP(B585,#REF!,$F$2,0),0)</f>
        <v>0</v>
      </c>
      <c r="G585" s="9">
        <f>IFERROR(VLOOKUP(B585,cubo!$A$6:$BE$37,11,0)-VLOOKUP(B585,#REF!,$G$2,0),0)</f>
        <v>0</v>
      </c>
      <c r="H585" s="9">
        <f>IFERROR(VLOOKUP(B585,cubo!$A$6:$BE$37,53,0)-VLOOKUP(B585,#REF!,$H$2,0),0)</f>
        <v>0</v>
      </c>
      <c r="I585" s="10">
        <f>IFERROR(VLOOKUP(B585,cubo!$A$6:$BE$37,14,0)-VLOOKUP(B585,#REF!,$I$2,0),0)</f>
        <v>0</v>
      </c>
      <c r="J585" s="9">
        <f>IFERROR(VLOOKUP(B585,cubo!$A$6:$BE$37,16,0)-VLOOKUP(B585,#REF!,$J$2,0),0)</f>
        <v>0</v>
      </c>
      <c r="K585" s="9">
        <f>IFERROR(VLOOKUP(B585,cubo!$A$6:$BE$37,17,0)-VLOOKUP(B585,#REF!,$K$2,0),0)</f>
        <v>0</v>
      </c>
      <c r="L585" s="9">
        <f>IFERROR(VLOOKUP(B585,cubo!$A$6:$BE$37,19,0)-VLOOKUP(B585,#REF!,$L$2,0),0)</f>
        <v>0</v>
      </c>
      <c r="M585" s="9">
        <f>IFERROR(VLOOKUP(B585,cubo!$A$6:$BE$37,23,0)-VLOOKUP(B585,#REF!,$M$2,0),0)</f>
        <v>0</v>
      </c>
      <c r="N585" s="9">
        <f>IFERROR(VLOOKUP(B585,cubo!$A$6:$BE$37,25,0)-VLOOKUP(B585,#REF!,$N$2,0),0)</f>
        <v>0</v>
      </c>
      <c r="O585" s="9">
        <f>IFERROR(VLOOKUP(B585,cubo!$A$6:$BE$37,33,0)-VLOOKUP(B585,#REF!,$O$2,0),0)</f>
        <v>0</v>
      </c>
      <c r="P585" s="8">
        <f>IFERROR(VLOOKUP(B585,cubo!$A$6:$BE$37,37,0)-VLOOKUP(B585,#REF!,$P$2,0),0)</f>
        <v>0</v>
      </c>
      <c r="Q585" s="8">
        <f>IFERROR(VLOOKUP(B585,cubo!$A$6:$BE$37,56,0)-VLOOKUP(B585,#REF!,$Q$2,0),0)</f>
        <v>0</v>
      </c>
      <c r="R585" s="9">
        <f>IFERROR(VLOOKUP(B585,cubo!$A$6:$BE$37,40,0)-VLOOKUP(B585,#REF!,$R$2,0),0)</f>
        <v>0</v>
      </c>
      <c r="S585" s="9">
        <f>IFERROR(VLOOKUP(B585,cubo!$A$6:$BE$37,43,0)-VLOOKUP(B585,#REF!,$S$2,0),0)</f>
        <v>0</v>
      </c>
      <c r="T585" s="9">
        <f>IFERROR(VLOOKUP(B585,cubo!$A$6:$BE$37,46,0)-VLOOKUP(B585,#REF!,$T$2,0),0)</f>
        <v>0</v>
      </c>
      <c r="U585" s="9">
        <f>IFERROR(VLOOKUP(B585,cubo!$A$6:$BE$37,51,0)-VLOOKUP(B585,#REF!,$U$2,0),0)</f>
        <v>0</v>
      </c>
      <c r="V585" s="9">
        <f>IFERROR(VLOOKUP(B585,cubo!$A$6:$BJ$37,60,0)-VLOOKUP(B585,#REF!,$V$2,0),0)</f>
        <v>0</v>
      </c>
      <c r="W585" s="9">
        <f>IFERROR(VLOOKUP(B585,cubo!$A$6:$BE$37,26,0)-VLOOKUP(B585,#REF!,$W$2,0),0)</f>
        <v>0</v>
      </c>
      <c r="X585" s="9">
        <f>IFERROR(VLOOKUP(B585,cubo!$A$6:$BE$37,20,0)-VLOOKUP(B585,#REF!,$X$2,0),0)</f>
        <v>0</v>
      </c>
      <c r="Y585" s="9">
        <f>IFERROR(VLOOKUP(B585,cubo!$A$6:$BE$37,21,0)-VLOOKUP(B585,#REF!,$Y$2,0),0)</f>
        <v>0</v>
      </c>
      <c r="Z585" s="9">
        <f>IFERROR(VLOOKUP(B585,cubo!$A$6:$BE$37,27,0)-VLOOKUP(B585,#REF!,$Z$2,0),0)</f>
        <v>0</v>
      </c>
      <c r="AA585" s="9">
        <f>IFERROR(VLOOKUP(B585,cubo!$A$6:$BE$37,28,0)-VLOOKUP(B585,#REF!,$AA$2,0),0)</f>
        <v>0</v>
      </c>
      <c r="AB585" s="9">
        <f>IFERROR(VLOOKUP(B585,cubo!$A$6:$BE$37,29,0)-VLOOKUP(B585,#REF!,$AB$2,0),0)</f>
        <v>0</v>
      </c>
      <c r="AC585" s="9">
        <f>IFERROR(VLOOKUP(B585,cubo!$A$6:$BE$37,30,0)-VLOOKUP(B585,#REF!,$AC$2,0),0)</f>
        <v>0</v>
      </c>
      <c r="AD585" s="9">
        <f>IFERROR(VLOOKUP(B585,cubo!$A$6:$BE$37,31,0)-VLOOKUP(B585,#REF!,$AD$2,0),0)</f>
        <v>0</v>
      </c>
      <c r="AE585" s="9">
        <f>IFERROR(VLOOKUP(B585,cubo!$A$6:$BE$37,35,0)-VLOOKUP(B585,#REF!,$AE$2,0),0)</f>
        <v>0</v>
      </c>
      <c r="AF585" s="9" cm="1">
        <f t="array" aca="1" ref="AF585" ca="1">IFERROR(rrPROCV(B585,cubo!$A$6:$BE$37,48,0)-VLOOKUP(B585,#REF!,$AF$2,0),0)</f>
        <v>0</v>
      </c>
      <c r="AG585" s="9">
        <f>IFERROR(VLOOKUP(B585,cubo!$A$6:$BE$37,49,0)-VLOOKUP(B585,#REF!,$AG$2,0),0)</f>
        <v>0</v>
      </c>
      <c r="AH585" s="9">
        <f>IFERROR(VLOOKUP(B585,cubo!$A$6:$BE$37,50,0)-VLOOKUP(B585,#REF!,$AH$2,0),0)</f>
        <v>0</v>
      </c>
      <c r="AI585" s="9">
        <f>IFERROR(VLOOKUP(B585,cubo!$A$6:$BE$37,51,0)-VLOOKUP(B585,#REF!,$AI$2,0),0)</f>
        <v>0</v>
      </c>
      <c r="AJ585" s="9">
        <f>IFERROR(VLOOKUP(B585,cubo!$A$6:$BI$116,62,0)-VLOOKUP(B585,#REF!,$AJ$2,0),0)</f>
        <v>0</v>
      </c>
      <c r="AK585" s="9">
        <f>IFERROR(VLOOKUP(B585,cubo!$A$6:$BJ$37,63,0)-VLOOKUP(B585,#REF!,$AK$2,0),0)</f>
        <v>0</v>
      </c>
      <c r="AL585" s="9">
        <f>IFERROR(VLOOKUP(B585,cubo!$A$6:$BE$37,58,0)-VLOOKUP(B585,#REF!,$AL$2,0),0)</f>
        <v>0</v>
      </c>
      <c r="AM585" s="9">
        <f>IFERROR(VLOOKUP(B585,cubo!$A$6:$BK$37,64,0)-VLOOKUP(B585,#REF!,$AM$2,0),0)</f>
        <v>0</v>
      </c>
      <c r="AN585" s="9">
        <f>IFERROR(VLOOKUP(B585,cubo!$A$6:$AN$37,41,0)-VLOOKUP(B585,#REF!,$AN$2,0),0)</f>
        <v>0</v>
      </c>
    </row>
    <row r="586" spans="2:40" x14ac:dyDescent="0.25">
      <c r="B586" s="7">
        <f>[1]salario!A585</f>
        <v>0</v>
      </c>
      <c r="C586" s="8">
        <f>[1]salario!C585</f>
        <v>0</v>
      </c>
      <c r="D586" s="9">
        <f>IFERROR(VLOOKUP(B586,cubo!$A$6:$BE$37,3,0)-VLOOKUP(B586,#REF!,$D$2,0),0)</f>
        <v>0</v>
      </c>
      <c r="E586" s="10">
        <f>IFERROR(VLOOKUP(B586,cubo!$A$6:$BE$37,5,0)-VLOOKUP(B586,#REF!,$E$2,0),0)</f>
        <v>0</v>
      </c>
      <c r="F586" s="10">
        <f>IFERROR(VLOOKUP(B586,cubo!$A$6:$BE$37,8,0)-VLOOKUP(B586,#REF!,$F$2,0),0)</f>
        <v>0</v>
      </c>
      <c r="G586" s="9">
        <f>IFERROR(VLOOKUP(B586,cubo!$A$6:$BE$37,11,0)-VLOOKUP(B586,#REF!,$G$2,0),0)</f>
        <v>0</v>
      </c>
      <c r="H586" s="9">
        <f>IFERROR(VLOOKUP(B586,cubo!$A$6:$BE$37,53,0)-VLOOKUP(B586,#REF!,$H$2,0),0)</f>
        <v>0</v>
      </c>
      <c r="I586" s="10">
        <f>IFERROR(VLOOKUP(B586,cubo!$A$6:$BE$37,14,0)-VLOOKUP(B586,#REF!,$I$2,0),0)</f>
        <v>0</v>
      </c>
      <c r="J586" s="9">
        <f>IFERROR(VLOOKUP(B586,cubo!$A$6:$BE$37,16,0)-VLOOKUP(B586,#REF!,$J$2,0),0)</f>
        <v>0</v>
      </c>
      <c r="K586" s="9">
        <f>IFERROR(VLOOKUP(B586,cubo!$A$6:$BE$37,17,0)-VLOOKUP(B586,#REF!,$K$2,0),0)</f>
        <v>0</v>
      </c>
      <c r="L586" s="9">
        <f>IFERROR(VLOOKUP(B586,cubo!$A$6:$BE$37,19,0)-VLOOKUP(B586,#REF!,$L$2,0),0)</f>
        <v>0</v>
      </c>
      <c r="M586" s="9">
        <f>IFERROR(VLOOKUP(B586,cubo!$A$6:$BE$37,23,0)-VLOOKUP(B586,#REF!,$M$2,0),0)</f>
        <v>0</v>
      </c>
      <c r="N586" s="9">
        <f>IFERROR(VLOOKUP(B586,cubo!$A$6:$BE$37,25,0)-VLOOKUP(B586,#REF!,$N$2,0),0)</f>
        <v>0</v>
      </c>
      <c r="O586" s="9">
        <f>IFERROR(VLOOKUP(B586,cubo!$A$6:$BE$37,33,0)-VLOOKUP(B586,#REF!,$O$2,0),0)</f>
        <v>0</v>
      </c>
      <c r="P586" s="8">
        <f>IFERROR(VLOOKUP(B586,cubo!$A$6:$BE$37,37,0)-VLOOKUP(B586,#REF!,$P$2,0),0)</f>
        <v>0</v>
      </c>
      <c r="Q586" s="8">
        <f>IFERROR(VLOOKUP(B586,cubo!$A$6:$BE$37,56,0)-VLOOKUP(B586,#REF!,$Q$2,0),0)</f>
        <v>0</v>
      </c>
      <c r="R586" s="9">
        <f>IFERROR(VLOOKUP(B586,cubo!$A$6:$BE$37,40,0)-VLOOKUP(B586,#REF!,$R$2,0),0)</f>
        <v>0</v>
      </c>
      <c r="S586" s="9">
        <f>IFERROR(VLOOKUP(B586,cubo!$A$6:$BE$37,43,0)-VLOOKUP(B586,#REF!,$S$2,0),0)</f>
        <v>0</v>
      </c>
      <c r="T586" s="9">
        <f>IFERROR(VLOOKUP(B586,cubo!$A$6:$BE$37,46,0)-VLOOKUP(B586,#REF!,$T$2,0),0)</f>
        <v>0</v>
      </c>
      <c r="U586" s="9">
        <f>IFERROR(VLOOKUP(B586,cubo!$A$6:$BE$37,51,0)-VLOOKUP(B586,#REF!,$U$2,0),0)</f>
        <v>0</v>
      </c>
      <c r="V586" s="9">
        <f>IFERROR(VLOOKUP(B586,cubo!$A$6:$BJ$37,60,0)-VLOOKUP(B586,#REF!,$V$2,0),0)</f>
        <v>0</v>
      </c>
      <c r="W586" s="9">
        <f>IFERROR(VLOOKUP(B586,cubo!$A$6:$BE$37,26,0)-VLOOKUP(B586,#REF!,$W$2,0),0)</f>
        <v>0</v>
      </c>
      <c r="X586" s="9">
        <f>IFERROR(VLOOKUP(B586,cubo!$A$6:$BE$37,20,0)-VLOOKUP(B586,#REF!,$X$2,0),0)</f>
        <v>0</v>
      </c>
      <c r="Y586" s="9">
        <f>IFERROR(VLOOKUP(B586,cubo!$A$6:$BE$37,21,0)-VLOOKUP(B586,#REF!,$Y$2,0),0)</f>
        <v>0</v>
      </c>
      <c r="Z586" s="9">
        <f>IFERROR(VLOOKUP(B586,cubo!$A$6:$BE$37,27,0)-VLOOKUP(B586,#REF!,$Z$2,0),0)</f>
        <v>0</v>
      </c>
      <c r="AA586" s="9">
        <f>IFERROR(VLOOKUP(B586,cubo!$A$6:$BE$37,28,0)-VLOOKUP(B586,#REF!,$AA$2,0),0)</f>
        <v>0</v>
      </c>
      <c r="AB586" s="9">
        <f>IFERROR(VLOOKUP(B586,cubo!$A$6:$BE$37,29,0)-VLOOKUP(B586,#REF!,$AB$2,0),0)</f>
        <v>0</v>
      </c>
      <c r="AC586" s="9">
        <f>IFERROR(VLOOKUP(B586,cubo!$A$6:$BE$37,30,0)-VLOOKUP(B586,#REF!,$AC$2,0),0)</f>
        <v>0</v>
      </c>
      <c r="AD586" s="9">
        <f>IFERROR(VLOOKUP(B586,cubo!$A$6:$BE$37,31,0)-VLOOKUP(B586,#REF!,$AD$2,0),0)</f>
        <v>0</v>
      </c>
      <c r="AE586" s="9">
        <f>IFERROR(VLOOKUP(B586,cubo!$A$6:$BE$37,35,0)-VLOOKUP(B586,#REF!,$AE$2,0),0)</f>
        <v>0</v>
      </c>
      <c r="AF586" s="9" cm="1">
        <f t="array" aca="1" ref="AF586" ca="1">IFERROR(rrPROCV(B586,cubo!$A$6:$BE$37,48,0)-VLOOKUP(B586,#REF!,$AF$2,0),0)</f>
        <v>0</v>
      </c>
      <c r="AG586" s="9">
        <f>IFERROR(VLOOKUP(B586,cubo!$A$6:$BE$37,49,0)-VLOOKUP(B586,#REF!,$AG$2,0),0)</f>
        <v>0</v>
      </c>
      <c r="AH586" s="9">
        <f>IFERROR(VLOOKUP(B586,cubo!$A$6:$BE$37,50,0)-VLOOKUP(B586,#REF!,$AH$2,0),0)</f>
        <v>0</v>
      </c>
      <c r="AI586" s="9">
        <f>IFERROR(VLOOKUP(B586,cubo!$A$6:$BE$37,51,0)-VLOOKUP(B586,#REF!,$AI$2,0),0)</f>
        <v>0</v>
      </c>
      <c r="AJ586" s="9">
        <f>IFERROR(VLOOKUP(B586,cubo!$A$6:$BI$116,62,0)-VLOOKUP(B586,#REF!,$AJ$2,0),0)</f>
        <v>0</v>
      </c>
      <c r="AK586" s="9">
        <f>IFERROR(VLOOKUP(B586,cubo!$A$6:$BJ$37,63,0)-VLOOKUP(B586,#REF!,$AK$2,0),0)</f>
        <v>0</v>
      </c>
      <c r="AL586" s="9">
        <f>IFERROR(VLOOKUP(B586,cubo!$A$6:$BE$37,58,0)-VLOOKUP(B586,#REF!,$AL$2,0),0)</f>
        <v>0</v>
      </c>
      <c r="AM586" s="9">
        <f>IFERROR(VLOOKUP(B586,cubo!$A$6:$BK$37,64,0)-VLOOKUP(B586,#REF!,$AM$2,0),0)</f>
        <v>0</v>
      </c>
      <c r="AN586" s="9">
        <f>IFERROR(VLOOKUP(B586,cubo!$A$6:$AN$37,41,0)-VLOOKUP(B586,#REF!,$AN$2,0),0)</f>
        <v>0</v>
      </c>
    </row>
    <row r="587" spans="2:40" x14ac:dyDescent="0.25">
      <c r="B587" s="7">
        <f>[1]salario!A586</f>
        <v>0</v>
      </c>
      <c r="C587" s="8">
        <f>[1]salario!C586</f>
        <v>0</v>
      </c>
      <c r="D587" s="9">
        <f>IFERROR(VLOOKUP(B587,cubo!$A$6:$BE$37,3,0)-VLOOKUP(B587,#REF!,$D$2,0),0)</f>
        <v>0</v>
      </c>
      <c r="E587" s="10">
        <f>IFERROR(VLOOKUP(B587,cubo!$A$6:$BE$37,5,0)-VLOOKUP(B587,#REF!,$E$2,0),0)</f>
        <v>0</v>
      </c>
      <c r="F587" s="10">
        <f>IFERROR(VLOOKUP(B587,cubo!$A$6:$BE$37,8,0)-VLOOKUP(B587,#REF!,$F$2,0),0)</f>
        <v>0</v>
      </c>
      <c r="G587" s="9">
        <f>IFERROR(VLOOKUP(B587,cubo!$A$6:$BE$37,11,0)-VLOOKUP(B587,#REF!,$G$2,0),0)</f>
        <v>0</v>
      </c>
      <c r="H587" s="9">
        <f>IFERROR(VLOOKUP(B587,cubo!$A$6:$BE$37,53,0)-VLOOKUP(B587,#REF!,$H$2,0),0)</f>
        <v>0</v>
      </c>
      <c r="I587" s="10">
        <f>IFERROR(VLOOKUP(B587,cubo!$A$6:$BE$37,14,0)-VLOOKUP(B587,#REF!,$I$2,0),0)</f>
        <v>0</v>
      </c>
      <c r="J587" s="9">
        <f>IFERROR(VLOOKUP(B587,cubo!$A$6:$BE$37,16,0)-VLOOKUP(B587,#REF!,$J$2,0),0)</f>
        <v>0</v>
      </c>
      <c r="K587" s="9">
        <f>IFERROR(VLOOKUP(B587,cubo!$A$6:$BE$37,17,0)-VLOOKUP(B587,#REF!,$K$2,0),0)</f>
        <v>0</v>
      </c>
      <c r="L587" s="9">
        <f>IFERROR(VLOOKUP(B587,cubo!$A$6:$BE$37,19,0)-VLOOKUP(B587,#REF!,$L$2,0),0)</f>
        <v>0</v>
      </c>
      <c r="M587" s="9">
        <f>IFERROR(VLOOKUP(B587,cubo!$A$6:$BE$37,23,0)-VLOOKUP(B587,#REF!,$M$2,0),0)</f>
        <v>0</v>
      </c>
      <c r="N587" s="9">
        <f>IFERROR(VLOOKUP(B587,cubo!$A$6:$BE$37,25,0)-VLOOKUP(B587,#REF!,$N$2,0),0)</f>
        <v>0</v>
      </c>
      <c r="O587" s="9">
        <f>IFERROR(VLOOKUP(B587,cubo!$A$6:$BE$37,33,0)-VLOOKUP(B587,#REF!,$O$2,0),0)</f>
        <v>0</v>
      </c>
      <c r="P587" s="8">
        <f>IFERROR(VLOOKUP(B587,cubo!$A$6:$BE$37,37,0)-VLOOKUP(B587,#REF!,$P$2,0),0)</f>
        <v>0</v>
      </c>
      <c r="Q587" s="8">
        <f>IFERROR(VLOOKUP(B587,cubo!$A$6:$BE$37,56,0)-VLOOKUP(B587,#REF!,$Q$2,0),0)</f>
        <v>0</v>
      </c>
      <c r="R587" s="9">
        <f>IFERROR(VLOOKUP(B587,cubo!$A$6:$BE$37,40,0)-VLOOKUP(B587,#REF!,$R$2,0),0)</f>
        <v>0</v>
      </c>
      <c r="S587" s="9">
        <f>IFERROR(VLOOKUP(B587,cubo!$A$6:$BE$37,43,0)-VLOOKUP(B587,#REF!,$S$2,0),0)</f>
        <v>0</v>
      </c>
      <c r="T587" s="9">
        <f>IFERROR(VLOOKUP(B587,cubo!$A$6:$BE$37,46,0)-VLOOKUP(B587,#REF!,$T$2,0),0)</f>
        <v>0</v>
      </c>
      <c r="U587" s="9">
        <f>IFERROR(VLOOKUP(B587,cubo!$A$6:$BE$37,51,0)-VLOOKUP(B587,#REF!,$U$2,0),0)</f>
        <v>0</v>
      </c>
      <c r="V587" s="9">
        <f>IFERROR(VLOOKUP(B587,cubo!$A$6:$BJ$37,60,0)-VLOOKUP(B587,#REF!,$V$2,0),0)</f>
        <v>0</v>
      </c>
      <c r="W587" s="9">
        <f>IFERROR(VLOOKUP(B587,cubo!$A$6:$BE$37,26,0)-VLOOKUP(B587,#REF!,$W$2,0),0)</f>
        <v>0</v>
      </c>
      <c r="X587" s="9">
        <f>IFERROR(VLOOKUP(B587,cubo!$A$6:$BE$37,20,0)-VLOOKUP(B587,#REF!,$X$2,0),0)</f>
        <v>0</v>
      </c>
      <c r="Y587" s="9">
        <f>IFERROR(VLOOKUP(B587,cubo!$A$6:$BE$37,21,0)-VLOOKUP(B587,#REF!,$Y$2,0),0)</f>
        <v>0</v>
      </c>
      <c r="Z587" s="9">
        <f>IFERROR(VLOOKUP(B587,cubo!$A$6:$BE$37,27,0)-VLOOKUP(B587,#REF!,$Z$2,0),0)</f>
        <v>0</v>
      </c>
      <c r="AA587" s="9">
        <f>IFERROR(VLOOKUP(B587,cubo!$A$6:$BE$37,28,0)-VLOOKUP(B587,#REF!,$AA$2,0),0)</f>
        <v>0</v>
      </c>
      <c r="AB587" s="9">
        <f>IFERROR(VLOOKUP(B587,cubo!$A$6:$BE$37,29,0)-VLOOKUP(B587,#REF!,$AB$2,0),0)</f>
        <v>0</v>
      </c>
      <c r="AC587" s="9">
        <f>IFERROR(VLOOKUP(B587,cubo!$A$6:$BE$37,30,0)-VLOOKUP(B587,#REF!,$AC$2,0),0)</f>
        <v>0</v>
      </c>
      <c r="AD587" s="9">
        <f>IFERROR(VLOOKUP(B587,cubo!$A$6:$BE$37,31,0)-VLOOKUP(B587,#REF!,$AD$2,0),0)</f>
        <v>0</v>
      </c>
      <c r="AE587" s="9">
        <f>IFERROR(VLOOKUP(B587,cubo!$A$6:$BE$37,35,0)-VLOOKUP(B587,#REF!,$AE$2,0),0)</f>
        <v>0</v>
      </c>
      <c r="AF587" s="9" cm="1">
        <f t="array" aca="1" ref="AF587" ca="1">IFERROR(rrPROCV(B587,cubo!$A$6:$BE$37,48,0)-VLOOKUP(B587,#REF!,$AF$2,0),0)</f>
        <v>0</v>
      </c>
      <c r="AG587" s="9">
        <f>IFERROR(VLOOKUP(B587,cubo!$A$6:$BE$37,49,0)-VLOOKUP(B587,#REF!,$AG$2,0),0)</f>
        <v>0</v>
      </c>
      <c r="AH587" s="9">
        <f>IFERROR(VLOOKUP(B587,cubo!$A$6:$BE$37,50,0)-VLOOKUP(B587,#REF!,$AH$2,0),0)</f>
        <v>0</v>
      </c>
      <c r="AI587" s="9">
        <f>IFERROR(VLOOKUP(B587,cubo!$A$6:$BE$37,51,0)-VLOOKUP(B587,#REF!,$AI$2,0),0)</f>
        <v>0</v>
      </c>
      <c r="AJ587" s="9">
        <f>IFERROR(VLOOKUP(B587,cubo!$A$6:$BI$116,62,0)-VLOOKUP(B587,#REF!,$AJ$2,0),0)</f>
        <v>0</v>
      </c>
      <c r="AK587" s="9">
        <f>IFERROR(VLOOKUP(B587,cubo!$A$6:$BJ$37,63,0)-VLOOKUP(B587,#REF!,$AK$2,0),0)</f>
        <v>0</v>
      </c>
      <c r="AL587" s="9">
        <f>IFERROR(VLOOKUP(B587,cubo!$A$6:$BE$37,58,0)-VLOOKUP(B587,#REF!,$AL$2,0),0)</f>
        <v>0</v>
      </c>
      <c r="AM587" s="9">
        <f>IFERROR(VLOOKUP(B587,cubo!$A$6:$BK$37,64,0)-VLOOKUP(B587,#REF!,$AM$2,0),0)</f>
        <v>0</v>
      </c>
      <c r="AN587" s="9">
        <f>IFERROR(VLOOKUP(B587,cubo!$A$6:$AN$37,41,0)-VLOOKUP(B587,#REF!,$AN$2,0),0)</f>
        <v>0</v>
      </c>
    </row>
    <row r="588" spans="2:40" x14ac:dyDescent="0.25">
      <c r="B588" s="7">
        <f>[1]salario!A587</f>
        <v>0</v>
      </c>
      <c r="C588" s="8">
        <f>[1]salario!C587</f>
        <v>0</v>
      </c>
      <c r="D588" s="9">
        <f>IFERROR(VLOOKUP(B588,cubo!$A$6:$BE$37,3,0)-VLOOKUP(B588,#REF!,$D$2,0),0)</f>
        <v>0</v>
      </c>
      <c r="E588" s="10">
        <f>IFERROR(VLOOKUP(B588,cubo!$A$6:$BE$37,5,0)-VLOOKUP(B588,#REF!,$E$2,0),0)</f>
        <v>0</v>
      </c>
      <c r="F588" s="10">
        <f>IFERROR(VLOOKUP(B588,cubo!$A$6:$BE$37,8,0)-VLOOKUP(B588,#REF!,$F$2,0),0)</f>
        <v>0</v>
      </c>
      <c r="G588" s="9">
        <f>IFERROR(VLOOKUP(B588,cubo!$A$6:$BE$37,11,0)-VLOOKUP(B588,#REF!,$G$2,0),0)</f>
        <v>0</v>
      </c>
      <c r="H588" s="9">
        <f>IFERROR(VLOOKUP(B588,cubo!$A$6:$BE$37,53,0)-VLOOKUP(B588,#REF!,$H$2,0),0)</f>
        <v>0</v>
      </c>
      <c r="I588" s="10">
        <f>IFERROR(VLOOKUP(B588,cubo!$A$6:$BE$37,14,0)-VLOOKUP(B588,#REF!,$I$2,0),0)</f>
        <v>0</v>
      </c>
      <c r="J588" s="9">
        <f>IFERROR(VLOOKUP(B588,cubo!$A$6:$BE$37,16,0)-VLOOKUP(B588,#REF!,$J$2,0),0)</f>
        <v>0</v>
      </c>
      <c r="K588" s="9">
        <f>IFERROR(VLOOKUP(B588,cubo!$A$6:$BE$37,17,0)-VLOOKUP(B588,#REF!,$K$2,0),0)</f>
        <v>0</v>
      </c>
      <c r="L588" s="9">
        <f>IFERROR(VLOOKUP(B588,cubo!$A$6:$BE$37,19,0)-VLOOKUP(B588,#REF!,$L$2,0),0)</f>
        <v>0</v>
      </c>
      <c r="M588" s="9">
        <f>IFERROR(VLOOKUP(B588,cubo!$A$6:$BE$37,23,0)-VLOOKUP(B588,#REF!,$M$2,0),0)</f>
        <v>0</v>
      </c>
      <c r="N588" s="9">
        <f>IFERROR(VLOOKUP(B588,cubo!$A$6:$BE$37,25,0)-VLOOKUP(B588,#REF!,$N$2,0),0)</f>
        <v>0</v>
      </c>
      <c r="O588" s="9">
        <f>IFERROR(VLOOKUP(B588,cubo!$A$6:$BE$37,33,0)-VLOOKUP(B588,#REF!,$O$2,0),0)</f>
        <v>0</v>
      </c>
      <c r="P588" s="8">
        <f>IFERROR(VLOOKUP(B588,cubo!$A$6:$BE$37,37,0)-VLOOKUP(B588,#REF!,$P$2,0),0)</f>
        <v>0</v>
      </c>
      <c r="Q588" s="8">
        <f>IFERROR(VLOOKUP(B588,cubo!$A$6:$BE$37,56,0)-VLOOKUP(B588,#REF!,$Q$2,0),0)</f>
        <v>0</v>
      </c>
      <c r="R588" s="9">
        <f>IFERROR(VLOOKUP(B588,cubo!$A$6:$BE$37,40,0)-VLOOKUP(B588,#REF!,$R$2,0),0)</f>
        <v>0</v>
      </c>
      <c r="S588" s="9">
        <f>IFERROR(VLOOKUP(B588,cubo!$A$6:$BE$37,43,0)-VLOOKUP(B588,#REF!,$S$2,0),0)</f>
        <v>0</v>
      </c>
      <c r="T588" s="9">
        <f>IFERROR(VLOOKUP(B588,cubo!$A$6:$BE$37,46,0)-VLOOKUP(B588,#REF!,$T$2,0),0)</f>
        <v>0</v>
      </c>
      <c r="U588" s="9">
        <f>IFERROR(VLOOKUP(B588,cubo!$A$6:$BE$37,51,0)-VLOOKUP(B588,#REF!,$U$2,0),0)</f>
        <v>0</v>
      </c>
      <c r="V588" s="9">
        <f>IFERROR(VLOOKUP(B588,cubo!$A$6:$BJ$37,60,0)-VLOOKUP(B588,#REF!,$V$2,0),0)</f>
        <v>0</v>
      </c>
      <c r="W588" s="9">
        <f>IFERROR(VLOOKUP(B588,cubo!$A$6:$BE$37,26,0)-VLOOKUP(B588,#REF!,$W$2,0),0)</f>
        <v>0</v>
      </c>
      <c r="X588" s="9">
        <f>IFERROR(VLOOKUP(B588,cubo!$A$6:$BE$37,20,0)-VLOOKUP(B588,#REF!,$X$2,0),0)</f>
        <v>0</v>
      </c>
      <c r="Y588" s="9">
        <f>IFERROR(VLOOKUP(B588,cubo!$A$6:$BE$37,21,0)-VLOOKUP(B588,#REF!,$Y$2,0),0)</f>
        <v>0</v>
      </c>
      <c r="Z588" s="9">
        <f>IFERROR(VLOOKUP(B588,cubo!$A$6:$BE$37,27,0)-VLOOKUP(B588,#REF!,$Z$2,0),0)</f>
        <v>0</v>
      </c>
      <c r="AA588" s="9">
        <f>IFERROR(VLOOKUP(B588,cubo!$A$6:$BE$37,28,0)-VLOOKUP(B588,#REF!,$AA$2,0),0)</f>
        <v>0</v>
      </c>
      <c r="AB588" s="9">
        <f>IFERROR(VLOOKUP(B588,cubo!$A$6:$BE$37,29,0)-VLOOKUP(B588,#REF!,$AB$2,0),0)</f>
        <v>0</v>
      </c>
      <c r="AC588" s="9">
        <f>IFERROR(VLOOKUP(B588,cubo!$A$6:$BE$37,30,0)-VLOOKUP(B588,#REF!,$AC$2,0),0)</f>
        <v>0</v>
      </c>
      <c r="AD588" s="9">
        <f>IFERROR(VLOOKUP(B588,cubo!$A$6:$BE$37,31,0)-VLOOKUP(B588,#REF!,$AD$2,0),0)</f>
        <v>0</v>
      </c>
      <c r="AE588" s="9">
        <f>IFERROR(VLOOKUP(B588,cubo!$A$6:$BE$37,35,0)-VLOOKUP(B588,#REF!,$AE$2,0),0)</f>
        <v>0</v>
      </c>
      <c r="AF588" s="9" cm="1">
        <f t="array" aca="1" ref="AF588" ca="1">IFERROR(rrPROCV(B588,cubo!$A$6:$BE$37,48,0)-VLOOKUP(B588,#REF!,$AF$2,0),0)</f>
        <v>0</v>
      </c>
      <c r="AG588" s="9">
        <f>IFERROR(VLOOKUP(B588,cubo!$A$6:$BE$37,49,0)-VLOOKUP(B588,#REF!,$AG$2,0),0)</f>
        <v>0</v>
      </c>
      <c r="AH588" s="9">
        <f>IFERROR(VLOOKUP(B588,cubo!$A$6:$BE$37,50,0)-VLOOKUP(B588,#REF!,$AH$2,0),0)</f>
        <v>0</v>
      </c>
      <c r="AI588" s="9">
        <f>IFERROR(VLOOKUP(B588,cubo!$A$6:$BE$37,51,0)-VLOOKUP(B588,#REF!,$AI$2,0),0)</f>
        <v>0</v>
      </c>
      <c r="AJ588" s="9">
        <f>IFERROR(VLOOKUP(B588,cubo!$A$6:$BI$116,62,0)-VLOOKUP(B588,#REF!,$AJ$2,0),0)</f>
        <v>0</v>
      </c>
      <c r="AK588" s="9">
        <f>IFERROR(VLOOKUP(B588,cubo!$A$6:$BJ$37,63,0)-VLOOKUP(B588,#REF!,$AK$2,0),0)</f>
        <v>0</v>
      </c>
      <c r="AL588" s="9">
        <f>IFERROR(VLOOKUP(B588,cubo!$A$6:$BE$37,58,0)-VLOOKUP(B588,#REF!,$AL$2,0),0)</f>
        <v>0</v>
      </c>
      <c r="AM588" s="9">
        <f>IFERROR(VLOOKUP(B588,cubo!$A$6:$BK$37,64,0)-VLOOKUP(B588,#REF!,$AM$2,0),0)</f>
        <v>0</v>
      </c>
      <c r="AN588" s="9">
        <f>IFERROR(VLOOKUP(B588,cubo!$A$6:$AN$37,41,0)-VLOOKUP(B588,#REF!,$AN$2,0),0)</f>
        <v>0</v>
      </c>
    </row>
    <row r="589" spans="2:40" x14ac:dyDescent="0.25">
      <c r="B589" s="7">
        <f>[1]salario!A588</f>
        <v>0</v>
      </c>
      <c r="C589" s="8">
        <f>[1]salario!C588</f>
        <v>0</v>
      </c>
      <c r="D589" s="9">
        <f>IFERROR(VLOOKUP(B589,cubo!$A$6:$BE$37,3,0)-VLOOKUP(B589,#REF!,$D$2,0),0)</f>
        <v>0</v>
      </c>
      <c r="E589" s="10">
        <f>IFERROR(VLOOKUP(B589,cubo!$A$6:$BE$37,5,0)-VLOOKUP(B589,#REF!,$E$2,0),0)</f>
        <v>0</v>
      </c>
      <c r="F589" s="10">
        <f>IFERROR(VLOOKUP(B589,cubo!$A$6:$BE$37,8,0)-VLOOKUP(B589,#REF!,$F$2,0),0)</f>
        <v>0</v>
      </c>
      <c r="G589" s="9">
        <f>IFERROR(VLOOKUP(B589,cubo!$A$6:$BE$37,11,0)-VLOOKUP(B589,#REF!,$G$2,0),0)</f>
        <v>0</v>
      </c>
      <c r="H589" s="9">
        <f>IFERROR(VLOOKUP(B589,cubo!$A$6:$BE$37,53,0)-VLOOKUP(B589,#REF!,$H$2,0),0)</f>
        <v>0</v>
      </c>
      <c r="I589" s="10">
        <f>IFERROR(VLOOKUP(B589,cubo!$A$6:$BE$37,14,0)-VLOOKUP(B589,#REF!,$I$2,0),0)</f>
        <v>0</v>
      </c>
      <c r="J589" s="9">
        <f>IFERROR(VLOOKUP(B589,cubo!$A$6:$BE$37,16,0)-VLOOKUP(B589,#REF!,$J$2,0),0)</f>
        <v>0</v>
      </c>
      <c r="K589" s="9">
        <f>IFERROR(VLOOKUP(B589,cubo!$A$6:$BE$37,17,0)-VLOOKUP(B589,#REF!,$K$2,0),0)</f>
        <v>0</v>
      </c>
      <c r="L589" s="9">
        <f>IFERROR(VLOOKUP(B589,cubo!$A$6:$BE$37,19,0)-VLOOKUP(B589,#REF!,$L$2,0),0)</f>
        <v>0</v>
      </c>
      <c r="M589" s="9">
        <f>IFERROR(VLOOKUP(B589,cubo!$A$6:$BE$37,23,0)-VLOOKUP(B589,#REF!,$M$2,0),0)</f>
        <v>0</v>
      </c>
      <c r="N589" s="9">
        <f>IFERROR(VLOOKUP(B589,cubo!$A$6:$BE$37,25,0)-VLOOKUP(B589,#REF!,$N$2,0),0)</f>
        <v>0</v>
      </c>
      <c r="O589" s="9">
        <f>IFERROR(VLOOKUP(B589,cubo!$A$6:$BE$37,33,0)-VLOOKUP(B589,#REF!,$O$2,0),0)</f>
        <v>0</v>
      </c>
      <c r="P589" s="8">
        <f>IFERROR(VLOOKUP(B589,cubo!$A$6:$BE$37,37,0)-VLOOKUP(B589,#REF!,$P$2,0),0)</f>
        <v>0</v>
      </c>
      <c r="Q589" s="8">
        <f>IFERROR(VLOOKUP(B589,cubo!$A$6:$BE$37,56,0)-VLOOKUP(B589,#REF!,$Q$2,0),0)</f>
        <v>0</v>
      </c>
      <c r="R589" s="9">
        <f>IFERROR(VLOOKUP(B589,cubo!$A$6:$BE$37,40,0)-VLOOKUP(B589,#REF!,$R$2,0),0)</f>
        <v>0</v>
      </c>
      <c r="S589" s="9">
        <f>IFERROR(VLOOKUP(B589,cubo!$A$6:$BE$37,43,0)-VLOOKUP(B589,#REF!,$S$2,0),0)</f>
        <v>0</v>
      </c>
      <c r="T589" s="9">
        <f>IFERROR(VLOOKUP(B589,cubo!$A$6:$BE$37,46,0)-VLOOKUP(B589,#REF!,$T$2,0),0)</f>
        <v>0</v>
      </c>
      <c r="U589" s="9">
        <f>IFERROR(VLOOKUP(B589,cubo!$A$6:$BE$37,51,0)-VLOOKUP(B589,#REF!,$U$2,0),0)</f>
        <v>0</v>
      </c>
      <c r="V589" s="9">
        <f>IFERROR(VLOOKUP(B589,cubo!$A$6:$BJ$37,60,0)-VLOOKUP(B589,#REF!,$V$2,0),0)</f>
        <v>0</v>
      </c>
      <c r="W589" s="9">
        <f>IFERROR(VLOOKUP(B589,cubo!$A$6:$BE$37,26,0)-VLOOKUP(B589,#REF!,$W$2,0),0)</f>
        <v>0</v>
      </c>
      <c r="X589" s="9">
        <f>IFERROR(VLOOKUP(B589,cubo!$A$6:$BE$37,20,0)-VLOOKUP(B589,#REF!,$X$2,0),0)</f>
        <v>0</v>
      </c>
      <c r="Y589" s="9">
        <f>IFERROR(VLOOKUP(B589,cubo!$A$6:$BE$37,21,0)-VLOOKUP(B589,#REF!,$Y$2,0),0)</f>
        <v>0</v>
      </c>
      <c r="Z589" s="9">
        <f>IFERROR(VLOOKUP(B589,cubo!$A$6:$BE$37,27,0)-VLOOKUP(B589,#REF!,$Z$2,0),0)</f>
        <v>0</v>
      </c>
      <c r="AA589" s="9">
        <f>IFERROR(VLOOKUP(B589,cubo!$A$6:$BE$37,28,0)-VLOOKUP(B589,#REF!,$AA$2,0),0)</f>
        <v>0</v>
      </c>
      <c r="AB589" s="9">
        <f>IFERROR(VLOOKUP(B589,cubo!$A$6:$BE$37,29,0)-VLOOKUP(B589,#REF!,$AB$2,0),0)</f>
        <v>0</v>
      </c>
      <c r="AC589" s="9">
        <f>IFERROR(VLOOKUP(B589,cubo!$A$6:$BE$37,30,0)-VLOOKUP(B589,#REF!,$AC$2,0),0)</f>
        <v>0</v>
      </c>
      <c r="AD589" s="9">
        <f>IFERROR(VLOOKUP(B589,cubo!$A$6:$BE$37,31,0)-VLOOKUP(B589,#REF!,$AD$2,0),0)</f>
        <v>0</v>
      </c>
      <c r="AE589" s="9">
        <f>IFERROR(VLOOKUP(B589,cubo!$A$6:$BE$37,35,0)-VLOOKUP(B589,#REF!,$AE$2,0),0)</f>
        <v>0</v>
      </c>
      <c r="AF589" s="9" cm="1">
        <f t="array" aca="1" ref="AF589" ca="1">IFERROR(rrPROCV(B589,cubo!$A$6:$BE$37,48,0)-VLOOKUP(B589,#REF!,$AF$2,0),0)</f>
        <v>0</v>
      </c>
      <c r="AG589" s="9">
        <f>IFERROR(VLOOKUP(B589,cubo!$A$6:$BE$37,49,0)-VLOOKUP(B589,#REF!,$AG$2,0),0)</f>
        <v>0</v>
      </c>
      <c r="AH589" s="9">
        <f>IFERROR(VLOOKUP(B589,cubo!$A$6:$BE$37,50,0)-VLOOKUP(B589,#REF!,$AH$2,0),0)</f>
        <v>0</v>
      </c>
      <c r="AI589" s="9">
        <f>IFERROR(VLOOKUP(B589,cubo!$A$6:$BE$37,51,0)-VLOOKUP(B589,#REF!,$AI$2,0),0)</f>
        <v>0</v>
      </c>
      <c r="AJ589" s="9">
        <f>IFERROR(VLOOKUP(B589,cubo!$A$6:$BI$116,62,0)-VLOOKUP(B589,#REF!,$AJ$2,0),0)</f>
        <v>0</v>
      </c>
      <c r="AK589" s="9">
        <f>IFERROR(VLOOKUP(B589,cubo!$A$6:$BJ$37,63,0)-VLOOKUP(B589,#REF!,$AK$2,0),0)</f>
        <v>0</v>
      </c>
      <c r="AL589" s="9">
        <f>IFERROR(VLOOKUP(B589,cubo!$A$6:$BE$37,58,0)-VLOOKUP(B589,#REF!,$AL$2,0),0)</f>
        <v>0</v>
      </c>
      <c r="AM589" s="9">
        <f>IFERROR(VLOOKUP(B589,cubo!$A$6:$BK$37,64,0)-VLOOKUP(B589,#REF!,$AM$2,0),0)</f>
        <v>0</v>
      </c>
      <c r="AN589" s="9">
        <f>IFERROR(VLOOKUP(B589,cubo!$A$6:$AN$37,41,0)-VLOOKUP(B589,#REF!,$AN$2,0),0)</f>
        <v>0</v>
      </c>
    </row>
    <row r="590" spans="2:40" x14ac:dyDescent="0.25">
      <c r="B590" s="7">
        <f>[1]salario!A589</f>
        <v>0</v>
      </c>
      <c r="C590" s="8">
        <f>[1]salario!C589</f>
        <v>0</v>
      </c>
      <c r="D590" s="9">
        <f>IFERROR(VLOOKUP(B590,cubo!$A$6:$BE$37,3,0)-VLOOKUP(B590,#REF!,$D$2,0),0)</f>
        <v>0</v>
      </c>
      <c r="E590" s="10">
        <f>IFERROR(VLOOKUP(B590,cubo!$A$6:$BE$37,5,0)-VLOOKUP(B590,#REF!,$E$2,0),0)</f>
        <v>0</v>
      </c>
      <c r="F590" s="10">
        <f>IFERROR(VLOOKUP(B590,cubo!$A$6:$BE$37,8,0)-VLOOKUP(B590,#REF!,$F$2,0),0)</f>
        <v>0</v>
      </c>
      <c r="G590" s="9">
        <f>IFERROR(VLOOKUP(B590,cubo!$A$6:$BE$37,11,0)-VLOOKUP(B590,#REF!,$G$2,0),0)</f>
        <v>0</v>
      </c>
      <c r="H590" s="9">
        <f>IFERROR(VLOOKUP(B590,cubo!$A$6:$BE$37,53,0)-VLOOKUP(B590,#REF!,$H$2,0),0)</f>
        <v>0</v>
      </c>
      <c r="I590" s="10">
        <f>IFERROR(VLOOKUP(B590,cubo!$A$6:$BE$37,14,0)-VLOOKUP(B590,#REF!,$I$2,0),0)</f>
        <v>0</v>
      </c>
      <c r="J590" s="9">
        <f>IFERROR(VLOOKUP(B590,cubo!$A$6:$BE$37,16,0)-VLOOKUP(B590,#REF!,$J$2,0),0)</f>
        <v>0</v>
      </c>
      <c r="K590" s="9">
        <f>IFERROR(VLOOKUP(B590,cubo!$A$6:$BE$37,17,0)-VLOOKUP(B590,#REF!,$K$2,0),0)</f>
        <v>0</v>
      </c>
      <c r="L590" s="9">
        <f>IFERROR(VLOOKUP(B590,cubo!$A$6:$BE$37,19,0)-VLOOKUP(B590,#REF!,$L$2,0),0)</f>
        <v>0</v>
      </c>
      <c r="M590" s="9">
        <f>IFERROR(VLOOKUP(B590,cubo!$A$6:$BE$37,23,0)-VLOOKUP(B590,#REF!,$M$2,0),0)</f>
        <v>0</v>
      </c>
      <c r="N590" s="9">
        <f>IFERROR(VLOOKUP(B590,cubo!$A$6:$BE$37,25,0)-VLOOKUP(B590,#REF!,$N$2,0),0)</f>
        <v>0</v>
      </c>
      <c r="O590" s="9">
        <f>IFERROR(VLOOKUP(B590,cubo!$A$6:$BE$37,33,0)-VLOOKUP(B590,#REF!,$O$2,0),0)</f>
        <v>0</v>
      </c>
      <c r="P590" s="8">
        <f>IFERROR(VLOOKUP(B590,cubo!$A$6:$BE$37,37,0)-VLOOKUP(B590,#REF!,$P$2,0),0)</f>
        <v>0</v>
      </c>
      <c r="Q590" s="8">
        <f>IFERROR(VLOOKUP(B590,cubo!$A$6:$BE$37,56,0)-VLOOKUP(B590,#REF!,$Q$2,0),0)</f>
        <v>0</v>
      </c>
      <c r="R590" s="9">
        <f>IFERROR(VLOOKUP(B590,cubo!$A$6:$BE$37,40,0)-VLOOKUP(B590,#REF!,$R$2,0),0)</f>
        <v>0</v>
      </c>
      <c r="S590" s="9">
        <f>IFERROR(VLOOKUP(B590,cubo!$A$6:$BE$37,43,0)-VLOOKUP(B590,#REF!,$S$2,0),0)</f>
        <v>0</v>
      </c>
      <c r="T590" s="9">
        <f>IFERROR(VLOOKUP(B590,cubo!$A$6:$BE$37,46,0)-VLOOKUP(B590,#REF!,$T$2,0),0)</f>
        <v>0</v>
      </c>
      <c r="U590" s="9">
        <f>IFERROR(VLOOKUP(B590,cubo!$A$6:$BE$37,51,0)-VLOOKUP(B590,#REF!,$U$2,0),0)</f>
        <v>0</v>
      </c>
      <c r="V590" s="9">
        <f>IFERROR(VLOOKUP(B590,cubo!$A$6:$BJ$37,60,0)-VLOOKUP(B590,#REF!,$V$2,0),0)</f>
        <v>0</v>
      </c>
      <c r="W590" s="9">
        <f>IFERROR(VLOOKUP(B590,cubo!$A$6:$BE$37,26,0)-VLOOKUP(B590,#REF!,$W$2,0),0)</f>
        <v>0</v>
      </c>
      <c r="X590" s="9">
        <f>IFERROR(VLOOKUP(B590,cubo!$A$6:$BE$37,20,0)-VLOOKUP(B590,#REF!,$X$2,0),0)</f>
        <v>0</v>
      </c>
      <c r="Y590" s="9">
        <f>IFERROR(VLOOKUP(B590,cubo!$A$6:$BE$37,21,0)-VLOOKUP(B590,#REF!,$Y$2,0),0)</f>
        <v>0</v>
      </c>
      <c r="Z590" s="9">
        <f>IFERROR(VLOOKUP(B590,cubo!$A$6:$BE$37,27,0)-VLOOKUP(B590,#REF!,$Z$2,0),0)</f>
        <v>0</v>
      </c>
      <c r="AA590" s="9">
        <f>IFERROR(VLOOKUP(B590,cubo!$A$6:$BE$37,28,0)-VLOOKUP(B590,#REF!,$AA$2,0),0)</f>
        <v>0</v>
      </c>
      <c r="AB590" s="9">
        <f>IFERROR(VLOOKUP(B590,cubo!$A$6:$BE$37,29,0)-VLOOKUP(B590,#REF!,$AB$2,0),0)</f>
        <v>0</v>
      </c>
      <c r="AC590" s="9">
        <f>IFERROR(VLOOKUP(B590,cubo!$A$6:$BE$37,30,0)-VLOOKUP(B590,#REF!,$AC$2,0),0)</f>
        <v>0</v>
      </c>
      <c r="AD590" s="9">
        <f>IFERROR(VLOOKUP(B590,cubo!$A$6:$BE$37,31,0)-VLOOKUP(B590,#REF!,$AD$2,0),0)</f>
        <v>0</v>
      </c>
      <c r="AE590" s="9">
        <f>IFERROR(VLOOKUP(B590,cubo!$A$6:$BE$37,35,0)-VLOOKUP(B590,#REF!,$AE$2,0),0)</f>
        <v>0</v>
      </c>
      <c r="AF590" s="9" cm="1">
        <f t="array" aca="1" ref="AF590" ca="1">IFERROR(rrPROCV(B590,cubo!$A$6:$BE$37,48,0)-VLOOKUP(B590,#REF!,$AF$2,0),0)</f>
        <v>0</v>
      </c>
      <c r="AG590" s="9">
        <f>IFERROR(VLOOKUP(B590,cubo!$A$6:$BE$37,49,0)-VLOOKUP(B590,#REF!,$AG$2,0),0)</f>
        <v>0</v>
      </c>
      <c r="AH590" s="9">
        <f>IFERROR(VLOOKUP(B590,cubo!$A$6:$BE$37,50,0)-VLOOKUP(B590,#REF!,$AH$2,0),0)</f>
        <v>0</v>
      </c>
      <c r="AI590" s="9">
        <f>IFERROR(VLOOKUP(B590,cubo!$A$6:$BE$37,51,0)-VLOOKUP(B590,#REF!,$AI$2,0),0)</f>
        <v>0</v>
      </c>
      <c r="AJ590" s="9">
        <f>IFERROR(VLOOKUP(B590,cubo!$A$6:$BI$116,62,0)-VLOOKUP(B590,#REF!,$AJ$2,0),0)</f>
        <v>0</v>
      </c>
      <c r="AK590" s="9">
        <f>IFERROR(VLOOKUP(B590,cubo!$A$6:$BJ$37,63,0)-VLOOKUP(B590,#REF!,$AK$2,0),0)</f>
        <v>0</v>
      </c>
      <c r="AL590" s="9">
        <f>IFERROR(VLOOKUP(B590,cubo!$A$6:$BE$37,58,0)-VLOOKUP(B590,#REF!,$AL$2,0),0)</f>
        <v>0</v>
      </c>
      <c r="AM590" s="9">
        <f>IFERROR(VLOOKUP(B590,cubo!$A$6:$BK$37,64,0)-VLOOKUP(B590,#REF!,$AM$2,0),0)</f>
        <v>0</v>
      </c>
      <c r="AN590" s="9">
        <f>IFERROR(VLOOKUP(B590,cubo!$A$6:$AN$37,41,0)-VLOOKUP(B590,#REF!,$AN$2,0),0)</f>
        <v>0</v>
      </c>
    </row>
    <row r="591" spans="2:40" x14ac:dyDescent="0.25">
      <c r="B591" s="7">
        <f>[1]salario!A590</f>
        <v>0</v>
      </c>
      <c r="C591" s="8">
        <f>[1]salario!C590</f>
        <v>0</v>
      </c>
      <c r="D591" s="9">
        <f>IFERROR(VLOOKUP(B591,cubo!$A$6:$BE$37,3,0)-VLOOKUP(B591,#REF!,$D$2,0),0)</f>
        <v>0</v>
      </c>
      <c r="E591" s="10">
        <f>IFERROR(VLOOKUP(B591,cubo!$A$6:$BE$37,5,0)-VLOOKUP(B591,#REF!,$E$2,0),0)</f>
        <v>0</v>
      </c>
      <c r="F591" s="10">
        <f>IFERROR(VLOOKUP(B591,cubo!$A$6:$BE$37,8,0)-VLOOKUP(B591,#REF!,$F$2,0),0)</f>
        <v>0</v>
      </c>
      <c r="G591" s="9">
        <f>IFERROR(VLOOKUP(B591,cubo!$A$6:$BE$37,11,0)-VLOOKUP(B591,#REF!,$G$2,0),0)</f>
        <v>0</v>
      </c>
      <c r="H591" s="9">
        <f>IFERROR(VLOOKUP(B591,cubo!$A$6:$BE$37,53,0)-VLOOKUP(B591,#REF!,$H$2,0),0)</f>
        <v>0</v>
      </c>
      <c r="I591" s="10">
        <f>IFERROR(VLOOKUP(B591,cubo!$A$6:$BE$37,14,0)-VLOOKUP(B591,#REF!,$I$2,0),0)</f>
        <v>0</v>
      </c>
      <c r="J591" s="9">
        <f>IFERROR(VLOOKUP(B591,cubo!$A$6:$BE$37,16,0)-VLOOKUP(B591,#REF!,$J$2,0),0)</f>
        <v>0</v>
      </c>
      <c r="K591" s="9">
        <f>IFERROR(VLOOKUP(B591,cubo!$A$6:$BE$37,17,0)-VLOOKUP(B591,#REF!,$K$2,0),0)</f>
        <v>0</v>
      </c>
      <c r="L591" s="9">
        <f>IFERROR(VLOOKUP(B591,cubo!$A$6:$BE$37,19,0)-VLOOKUP(B591,#REF!,$L$2,0),0)</f>
        <v>0</v>
      </c>
      <c r="M591" s="9">
        <f>IFERROR(VLOOKUP(B591,cubo!$A$6:$BE$37,23,0)-VLOOKUP(B591,#REF!,$M$2,0),0)</f>
        <v>0</v>
      </c>
      <c r="N591" s="9">
        <f>IFERROR(VLOOKUP(B591,cubo!$A$6:$BE$37,25,0)-VLOOKUP(B591,#REF!,$N$2,0),0)</f>
        <v>0</v>
      </c>
      <c r="O591" s="9">
        <f>IFERROR(VLOOKUP(B591,cubo!$A$6:$BE$37,33,0)-VLOOKUP(B591,#REF!,$O$2,0),0)</f>
        <v>0</v>
      </c>
      <c r="P591" s="8">
        <f>IFERROR(VLOOKUP(B591,cubo!$A$6:$BE$37,37,0)-VLOOKUP(B591,#REF!,$P$2,0),0)</f>
        <v>0</v>
      </c>
      <c r="Q591" s="8">
        <f>IFERROR(VLOOKUP(B591,cubo!$A$6:$BE$37,56,0)-VLOOKUP(B591,#REF!,$Q$2,0),0)</f>
        <v>0</v>
      </c>
      <c r="R591" s="9">
        <f>IFERROR(VLOOKUP(B591,cubo!$A$6:$BE$37,40,0)-VLOOKUP(B591,#REF!,$R$2,0),0)</f>
        <v>0</v>
      </c>
      <c r="S591" s="9">
        <f>IFERROR(VLOOKUP(B591,cubo!$A$6:$BE$37,43,0)-VLOOKUP(B591,#REF!,$S$2,0),0)</f>
        <v>0</v>
      </c>
      <c r="T591" s="9">
        <f>IFERROR(VLOOKUP(B591,cubo!$A$6:$BE$37,46,0)-VLOOKUP(B591,#REF!,$T$2,0),0)</f>
        <v>0</v>
      </c>
      <c r="U591" s="9">
        <f>IFERROR(VLOOKUP(B591,cubo!$A$6:$BE$37,51,0)-VLOOKUP(B591,#REF!,$U$2,0),0)</f>
        <v>0</v>
      </c>
      <c r="V591" s="9">
        <f>IFERROR(VLOOKUP(B591,cubo!$A$6:$BJ$37,60,0)-VLOOKUP(B591,#REF!,$V$2,0),0)</f>
        <v>0</v>
      </c>
      <c r="W591" s="9">
        <f>IFERROR(VLOOKUP(B591,cubo!$A$6:$BE$37,26,0)-VLOOKUP(B591,#REF!,$W$2,0),0)</f>
        <v>0</v>
      </c>
      <c r="X591" s="9">
        <f>IFERROR(VLOOKUP(B591,cubo!$A$6:$BE$37,20,0)-VLOOKUP(B591,#REF!,$X$2,0),0)</f>
        <v>0</v>
      </c>
      <c r="Y591" s="9">
        <f>IFERROR(VLOOKUP(B591,cubo!$A$6:$BE$37,21,0)-VLOOKUP(B591,#REF!,$Y$2,0),0)</f>
        <v>0</v>
      </c>
      <c r="Z591" s="9">
        <f>IFERROR(VLOOKUP(B591,cubo!$A$6:$BE$37,27,0)-VLOOKUP(B591,#REF!,$Z$2,0),0)</f>
        <v>0</v>
      </c>
      <c r="AA591" s="9">
        <f>IFERROR(VLOOKUP(B591,cubo!$A$6:$BE$37,28,0)-VLOOKUP(B591,#REF!,$AA$2,0),0)</f>
        <v>0</v>
      </c>
      <c r="AB591" s="9">
        <f>IFERROR(VLOOKUP(B591,cubo!$A$6:$BE$37,29,0)-VLOOKUP(B591,#REF!,$AB$2,0),0)</f>
        <v>0</v>
      </c>
      <c r="AC591" s="9">
        <f>IFERROR(VLOOKUP(B591,cubo!$A$6:$BE$37,30,0)-VLOOKUP(B591,#REF!,$AC$2,0),0)</f>
        <v>0</v>
      </c>
      <c r="AD591" s="9">
        <f>IFERROR(VLOOKUP(B591,cubo!$A$6:$BE$37,31,0)-VLOOKUP(B591,#REF!,$AD$2,0),0)</f>
        <v>0</v>
      </c>
      <c r="AE591" s="9">
        <f>IFERROR(VLOOKUP(B591,cubo!$A$6:$BE$37,35,0)-VLOOKUP(B591,#REF!,$AE$2,0),0)</f>
        <v>0</v>
      </c>
      <c r="AF591" s="9" cm="1">
        <f t="array" aca="1" ref="AF591" ca="1">IFERROR(rrPROCV(B591,cubo!$A$6:$BE$37,48,0)-VLOOKUP(B591,#REF!,$AF$2,0),0)</f>
        <v>0</v>
      </c>
      <c r="AG591" s="9">
        <f>IFERROR(VLOOKUP(B591,cubo!$A$6:$BE$37,49,0)-VLOOKUP(B591,#REF!,$AG$2,0),0)</f>
        <v>0</v>
      </c>
      <c r="AH591" s="9">
        <f>IFERROR(VLOOKUP(B591,cubo!$A$6:$BE$37,50,0)-VLOOKUP(B591,#REF!,$AH$2,0),0)</f>
        <v>0</v>
      </c>
      <c r="AI591" s="9">
        <f>IFERROR(VLOOKUP(B591,cubo!$A$6:$BE$37,51,0)-VLOOKUP(B591,#REF!,$AI$2,0),0)</f>
        <v>0</v>
      </c>
      <c r="AJ591" s="9">
        <f>IFERROR(VLOOKUP(B591,cubo!$A$6:$BI$116,62,0)-VLOOKUP(B591,#REF!,$AJ$2,0),0)</f>
        <v>0</v>
      </c>
      <c r="AK591" s="9">
        <f>IFERROR(VLOOKUP(B591,cubo!$A$6:$BJ$37,63,0)-VLOOKUP(B591,#REF!,$AK$2,0),0)</f>
        <v>0</v>
      </c>
      <c r="AL591" s="9">
        <f>IFERROR(VLOOKUP(B591,cubo!$A$6:$BE$37,58,0)-VLOOKUP(B591,#REF!,$AL$2,0),0)</f>
        <v>0</v>
      </c>
      <c r="AM591" s="9">
        <f>IFERROR(VLOOKUP(B591,cubo!$A$6:$BK$37,64,0)-VLOOKUP(B591,#REF!,$AM$2,0),0)</f>
        <v>0</v>
      </c>
      <c r="AN591" s="9">
        <f>IFERROR(VLOOKUP(B591,cubo!$A$6:$AN$37,41,0)-VLOOKUP(B591,#REF!,$AN$2,0),0)</f>
        <v>0</v>
      </c>
    </row>
    <row r="592" spans="2:40" x14ac:dyDescent="0.25">
      <c r="B592" s="7">
        <f>[1]salario!A591</f>
        <v>0</v>
      </c>
      <c r="C592" s="8">
        <f>[1]salario!C591</f>
        <v>0</v>
      </c>
      <c r="D592" s="9">
        <f>IFERROR(VLOOKUP(B592,cubo!$A$6:$BE$37,3,0)-VLOOKUP(B592,#REF!,$D$2,0),0)</f>
        <v>0</v>
      </c>
      <c r="E592" s="10">
        <f>IFERROR(VLOOKUP(B592,cubo!$A$6:$BE$37,5,0)-VLOOKUP(B592,#REF!,$E$2,0),0)</f>
        <v>0</v>
      </c>
      <c r="F592" s="10">
        <f>IFERROR(VLOOKUP(B592,cubo!$A$6:$BE$37,8,0)-VLOOKUP(B592,#REF!,$F$2,0),0)</f>
        <v>0</v>
      </c>
      <c r="G592" s="9">
        <f>IFERROR(VLOOKUP(B592,cubo!$A$6:$BE$37,11,0)-VLOOKUP(B592,#REF!,$G$2,0),0)</f>
        <v>0</v>
      </c>
      <c r="H592" s="9">
        <f>IFERROR(VLOOKUP(B592,cubo!$A$6:$BE$37,53,0)-VLOOKUP(B592,#REF!,$H$2,0),0)</f>
        <v>0</v>
      </c>
      <c r="I592" s="10">
        <f>IFERROR(VLOOKUP(B592,cubo!$A$6:$BE$37,14,0)-VLOOKUP(B592,#REF!,$I$2,0),0)</f>
        <v>0</v>
      </c>
      <c r="J592" s="9">
        <f>IFERROR(VLOOKUP(B592,cubo!$A$6:$BE$37,16,0)-VLOOKUP(B592,#REF!,$J$2,0),0)</f>
        <v>0</v>
      </c>
      <c r="K592" s="9">
        <f>IFERROR(VLOOKUP(B592,cubo!$A$6:$BE$37,17,0)-VLOOKUP(B592,#REF!,$K$2,0),0)</f>
        <v>0</v>
      </c>
      <c r="L592" s="9">
        <f>IFERROR(VLOOKUP(B592,cubo!$A$6:$BE$37,19,0)-VLOOKUP(B592,#REF!,$L$2,0),0)</f>
        <v>0</v>
      </c>
      <c r="M592" s="9">
        <f>IFERROR(VLOOKUP(B592,cubo!$A$6:$BE$37,23,0)-VLOOKUP(B592,#REF!,$M$2,0),0)</f>
        <v>0</v>
      </c>
      <c r="N592" s="9">
        <f>IFERROR(VLOOKUP(B592,cubo!$A$6:$BE$37,25,0)-VLOOKUP(B592,#REF!,$N$2,0),0)</f>
        <v>0</v>
      </c>
      <c r="O592" s="9">
        <f>IFERROR(VLOOKUP(B592,cubo!$A$6:$BE$37,33,0)-VLOOKUP(B592,#REF!,$O$2,0),0)</f>
        <v>0</v>
      </c>
      <c r="P592" s="8">
        <f>IFERROR(VLOOKUP(B592,cubo!$A$6:$BE$37,37,0)-VLOOKUP(B592,#REF!,$P$2,0),0)</f>
        <v>0</v>
      </c>
      <c r="Q592" s="8">
        <f>IFERROR(VLOOKUP(B592,cubo!$A$6:$BE$37,56,0)-VLOOKUP(B592,#REF!,$Q$2,0),0)</f>
        <v>0</v>
      </c>
      <c r="R592" s="9">
        <f>IFERROR(VLOOKUP(B592,cubo!$A$6:$BE$37,40,0)-VLOOKUP(B592,#REF!,$R$2,0),0)</f>
        <v>0</v>
      </c>
      <c r="S592" s="9">
        <f>IFERROR(VLOOKUP(B592,cubo!$A$6:$BE$37,43,0)-VLOOKUP(B592,#REF!,$S$2,0),0)</f>
        <v>0</v>
      </c>
      <c r="T592" s="9">
        <f>IFERROR(VLOOKUP(B592,cubo!$A$6:$BE$37,46,0)-VLOOKUP(B592,#REF!,$T$2,0),0)</f>
        <v>0</v>
      </c>
      <c r="U592" s="9">
        <f>IFERROR(VLOOKUP(B592,cubo!$A$6:$BE$37,51,0)-VLOOKUP(B592,#REF!,$U$2,0),0)</f>
        <v>0</v>
      </c>
      <c r="V592" s="9">
        <f>IFERROR(VLOOKUP(B592,cubo!$A$6:$BJ$37,60,0)-VLOOKUP(B592,#REF!,$V$2,0),0)</f>
        <v>0</v>
      </c>
      <c r="W592" s="9">
        <f>IFERROR(VLOOKUP(B592,cubo!$A$6:$BE$37,26,0)-VLOOKUP(B592,#REF!,$W$2,0),0)</f>
        <v>0</v>
      </c>
      <c r="X592" s="9">
        <f>IFERROR(VLOOKUP(B592,cubo!$A$6:$BE$37,20,0)-VLOOKUP(B592,#REF!,$X$2,0),0)</f>
        <v>0</v>
      </c>
      <c r="Y592" s="9">
        <f>IFERROR(VLOOKUP(B592,cubo!$A$6:$BE$37,21,0)-VLOOKUP(B592,#REF!,$Y$2,0),0)</f>
        <v>0</v>
      </c>
      <c r="Z592" s="9">
        <f>IFERROR(VLOOKUP(B592,cubo!$A$6:$BE$37,27,0)-VLOOKUP(B592,#REF!,$Z$2,0),0)</f>
        <v>0</v>
      </c>
      <c r="AA592" s="9">
        <f>IFERROR(VLOOKUP(B592,cubo!$A$6:$BE$37,28,0)-VLOOKUP(B592,#REF!,$AA$2,0),0)</f>
        <v>0</v>
      </c>
      <c r="AB592" s="9">
        <f>IFERROR(VLOOKUP(B592,cubo!$A$6:$BE$37,29,0)-VLOOKUP(B592,#REF!,$AB$2,0),0)</f>
        <v>0</v>
      </c>
      <c r="AC592" s="9">
        <f>IFERROR(VLOOKUP(B592,cubo!$A$6:$BE$37,30,0)-VLOOKUP(B592,#REF!,$AC$2,0),0)</f>
        <v>0</v>
      </c>
      <c r="AD592" s="9">
        <f>IFERROR(VLOOKUP(B592,cubo!$A$6:$BE$37,31,0)-VLOOKUP(B592,#REF!,$AD$2,0),0)</f>
        <v>0</v>
      </c>
      <c r="AE592" s="9">
        <f>IFERROR(VLOOKUP(B592,cubo!$A$6:$BE$37,35,0)-VLOOKUP(B592,#REF!,$AE$2,0),0)</f>
        <v>0</v>
      </c>
      <c r="AF592" s="9" cm="1">
        <f t="array" aca="1" ref="AF592" ca="1">IFERROR(rrPROCV(B592,cubo!$A$6:$BE$37,48,0)-VLOOKUP(B592,#REF!,$AF$2,0),0)</f>
        <v>0</v>
      </c>
      <c r="AG592" s="9">
        <f>IFERROR(VLOOKUP(B592,cubo!$A$6:$BE$37,49,0)-VLOOKUP(B592,#REF!,$AG$2,0),0)</f>
        <v>0</v>
      </c>
      <c r="AH592" s="9">
        <f>IFERROR(VLOOKUP(B592,cubo!$A$6:$BE$37,50,0)-VLOOKUP(B592,#REF!,$AH$2,0),0)</f>
        <v>0</v>
      </c>
      <c r="AI592" s="9">
        <f>IFERROR(VLOOKUP(B592,cubo!$A$6:$BE$37,51,0)-VLOOKUP(B592,#REF!,$AI$2,0),0)</f>
        <v>0</v>
      </c>
      <c r="AJ592" s="9">
        <f>IFERROR(VLOOKUP(B592,cubo!$A$6:$BI$116,62,0)-VLOOKUP(B592,#REF!,$AJ$2,0),0)</f>
        <v>0</v>
      </c>
      <c r="AK592" s="9">
        <f>IFERROR(VLOOKUP(B592,cubo!$A$6:$BJ$37,63,0)-VLOOKUP(B592,#REF!,$AK$2,0),0)</f>
        <v>0</v>
      </c>
      <c r="AL592" s="9">
        <f>IFERROR(VLOOKUP(B592,cubo!$A$6:$BE$37,58,0)-VLOOKUP(B592,#REF!,$AL$2,0),0)</f>
        <v>0</v>
      </c>
      <c r="AM592" s="9">
        <f>IFERROR(VLOOKUP(B592,cubo!$A$6:$BK$37,64,0)-VLOOKUP(B592,#REF!,$AM$2,0),0)</f>
        <v>0</v>
      </c>
      <c r="AN592" s="9">
        <f>IFERROR(VLOOKUP(B592,cubo!$A$6:$AN$37,41,0)-VLOOKUP(B592,#REF!,$AN$2,0),0)</f>
        <v>0</v>
      </c>
    </row>
    <row r="593" spans="2:40" x14ac:dyDescent="0.25">
      <c r="B593" s="7">
        <f>[1]salario!A592</f>
        <v>0</v>
      </c>
      <c r="C593" s="8">
        <f>[1]salario!C592</f>
        <v>0</v>
      </c>
      <c r="D593" s="9">
        <f>IFERROR(VLOOKUP(B593,cubo!$A$6:$BE$37,3,0)-VLOOKUP(B593,#REF!,$D$2,0),0)</f>
        <v>0</v>
      </c>
      <c r="E593" s="10">
        <f>IFERROR(VLOOKUP(B593,cubo!$A$6:$BE$37,5,0)-VLOOKUP(B593,#REF!,$E$2,0),0)</f>
        <v>0</v>
      </c>
      <c r="F593" s="10">
        <f>IFERROR(VLOOKUP(B593,cubo!$A$6:$BE$37,8,0)-VLOOKUP(B593,#REF!,$F$2,0),0)</f>
        <v>0</v>
      </c>
      <c r="G593" s="9">
        <f>IFERROR(VLOOKUP(B593,cubo!$A$6:$BE$37,11,0)-VLOOKUP(B593,#REF!,$G$2,0),0)</f>
        <v>0</v>
      </c>
      <c r="H593" s="9">
        <f>IFERROR(VLOOKUP(B593,cubo!$A$6:$BE$37,53,0)-VLOOKUP(B593,#REF!,$H$2,0),0)</f>
        <v>0</v>
      </c>
      <c r="I593" s="10">
        <f>IFERROR(VLOOKUP(B593,cubo!$A$6:$BE$37,14,0)-VLOOKUP(B593,#REF!,$I$2,0),0)</f>
        <v>0</v>
      </c>
      <c r="J593" s="9">
        <f>IFERROR(VLOOKUP(B593,cubo!$A$6:$BE$37,16,0)-VLOOKUP(B593,#REF!,$J$2,0),0)</f>
        <v>0</v>
      </c>
      <c r="K593" s="9">
        <f>IFERROR(VLOOKUP(B593,cubo!$A$6:$BE$37,17,0)-VLOOKUP(B593,#REF!,$K$2,0),0)</f>
        <v>0</v>
      </c>
      <c r="L593" s="9">
        <f>IFERROR(VLOOKUP(B593,cubo!$A$6:$BE$37,19,0)-VLOOKUP(B593,#REF!,$L$2,0),0)</f>
        <v>0</v>
      </c>
      <c r="M593" s="9">
        <f>IFERROR(VLOOKUP(B593,cubo!$A$6:$BE$37,23,0)-VLOOKUP(B593,#REF!,$M$2,0),0)</f>
        <v>0</v>
      </c>
      <c r="N593" s="9">
        <f>IFERROR(VLOOKUP(B593,cubo!$A$6:$BE$37,25,0)-VLOOKUP(B593,#REF!,$N$2,0),0)</f>
        <v>0</v>
      </c>
      <c r="O593" s="9">
        <f>IFERROR(VLOOKUP(B593,cubo!$A$6:$BE$37,33,0)-VLOOKUP(B593,#REF!,$O$2,0),0)</f>
        <v>0</v>
      </c>
      <c r="P593" s="8">
        <f>IFERROR(VLOOKUP(B593,cubo!$A$6:$BE$37,37,0)-VLOOKUP(B593,#REF!,$P$2,0),0)</f>
        <v>0</v>
      </c>
      <c r="Q593" s="8">
        <f>IFERROR(VLOOKUP(B593,cubo!$A$6:$BE$37,56,0)-VLOOKUP(B593,#REF!,$Q$2,0),0)</f>
        <v>0</v>
      </c>
      <c r="R593" s="9">
        <f>IFERROR(VLOOKUP(B593,cubo!$A$6:$BE$37,40,0)-VLOOKUP(B593,#REF!,$R$2,0),0)</f>
        <v>0</v>
      </c>
      <c r="S593" s="9">
        <f>IFERROR(VLOOKUP(B593,cubo!$A$6:$BE$37,43,0)-VLOOKUP(B593,#REF!,$S$2,0),0)</f>
        <v>0</v>
      </c>
      <c r="T593" s="9">
        <f>IFERROR(VLOOKUP(B593,cubo!$A$6:$BE$37,46,0)-VLOOKUP(B593,#REF!,$T$2,0),0)</f>
        <v>0</v>
      </c>
      <c r="U593" s="9">
        <f>IFERROR(VLOOKUP(B593,cubo!$A$6:$BE$37,51,0)-VLOOKUP(B593,#REF!,$U$2,0),0)</f>
        <v>0</v>
      </c>
      <c r="V593" s="9">
        <f>IFERROR(VLOOKUP(B593,cubo!$A$6:$BJ$37,60,0)-VLOOKUP(B593,#REF!,$V$2,0),0)</f>
        <v>0</v>
      </c>
      <c r="W593" s="9">
        <f>IFERROR(VLOOKUP(B593,cubo!$A$6:$BE$37,26,0)-VLOOKUP(B593,#REF!,$W$2,0),0)</f>
        <v>0</v>
      </c>
      <c r="X593" s="9">
        <f>IFERROR(VLOOKUP(B593,cubo!$A$6:$BE$37,20,0)-VLOOKUP(B593,#REF!,$X$2,0),0)</f>
        <v>0</v>
      </c>
      <c r="Y593" s="9">
        <f>IFERROR(VLOOKUP(B593,cubo!$A$6:$BE$37,21,0)-VLOOKUP(B593,#REF!,$Y$2,0),0)</f>
        <v>0</v>
      </c>
      <c r="Z593" s="9">
        <f>IFERROR(VLOOKUP(B593,cubo!$A$6:$BE$37,27,0)-VLOOKUP(B593,#REF!,$Z$2,0),0)</f>
        <v>0</v>
      </c>
      <c r="AA593" s="9">
        <f>IFERROR(VLOOKUP(B593,cubo!$A$6:$BE$37,28,0)-VLOOKUP(B593,#REF!,$AA$2,0),0)</f>
        <v>0</v>
      </c>
      <c r="AB593" s="9">
        <f>IFERROR(VLOOKUP(B593,cubo!$A$6:$BE$37,29,0)-VLOOKUP(B593,#REF!,$AB$2,0),0)</f>
        <v>0</v>
      </c>
      <c r="AC593" s="9">
        <f>IFERROR(VLOOKUP(B593,cubo!$A$6:$BE$37,30,0)-VLOOKUP(B593,#REF!,$AC$2,0),0)</f>
        <v>0</v>
      </c>
      <c r="AD593" s="9">
        <f>IFERROR(VLOOKUP(B593,cubo!$A$6:$BE$37,31,0)-VLOOKUP(B593,#REF!,$AD$2,0),0)</f>
        <v>0</v>
      </c>
      <c r="AE593" s="9">
        <f>IFERROR(VLOOKUP(B593,cubo!$A$6:$BE$37,35,0)-VLOOKUP(B593,#REF!,$AE$2,0),0)</f>
        <v>0</v>
      </c>
      <c r="AF593" s="9" cm="1">
        <f t="array" aca="1" ref="AF593" ca="1">IFERROR(rrPROCV(B593,cubo!$A$6:$BE$37,48,0)-VLOOKUP(B593,#REF!,$AF$2,0),0)</f>
        <v>0</v>
      </c>
      <c r="AG593" s="9">
        <f>IFERROR(VLOOKUP(B593,cubo!$A$6:$BE$37,49,0)-VLOOKUP(B593,#REF!,$AG$2,0),0)</f>
        <v>0</v>
      </c>
      <c r="AH593" s="9">
        <f>IFERROR(VLOOKUP(B593,cubo!$A$6:$BE$37,50,0)-VLOOKUP(B593,#REF!,$AH$2,0),0)</f>
        <v>0</v>
      </c>
      <c r="AI593" s="9">
        <f>IFERROR(VLOOKUP(B593,cubo!$A$6:$BE$37,51,0)-VLOOKUP(B593,#REF!,$AI$2,0),0)</f>
        <v>0</v>
      </c>
      <c r="AJ593" s="9">
        <f>IFERROR(VLOOKUP(B593,cubo!$A$6:$BI$116,62,0)-VLOOKUP(B593,#REF!,$AJ$2,0),0)</f>
        <v>0</v>
      </c>
      <c r="AK593" s="9">
        <f>IFERROR(VLOOKUP(B593,cubo!$A$6:$BJ$37,63,0)-VLOOKUP(B593,#REF!,$AK$2,0),0)</f>
        <v>0</v>
      </c>
      <c r="AL593" s="9">
        <f>IFERROR(VLOOKUP(B593,cubo!$A$6:$BE$37,58,0)-VLOOKUP(B593,#REF!,$AL$2,0),0)</f>
        <v>0</v>
      </c>
      <c r="AM593" s="9">
        <f>IFERROR(VLOOKUP(B593,cubo!$A$6:$BK$37,64,0)-VLOOKUP(B593,#REF!,$AM$2,0),0)</f>
        <v>0</v>
      </c>
      <c r="AN593" s="9">
        <f>IFERROR(VLOOKUP(B593,cubo!$A$6:$AN$37,41,0)-VLOOKUP(B593,#REF!,$AN$2,0),0)</f>
        <v>0</v>
      </c>
    </row>
    <row r="594" spans="2:40" x14ac:dyDescent="0.25">
      <c r="B594" s="7">
        <f>[1]salario!A593</f>
        <v>0</v>
      </c>
      <c r="C594" s="8">
        <f>[1]salario!C593</f>
        <v>0</v>
      </c>
      <c r="D594" s="9">
        <f>IFERROR(VLOOKUP(B594,cubo!$A$6:$BE$37,3,0)-VLOOKUP(B594,#REF!,$D$2,0),0)</f>
        <v>0</v>
      </c>
      <c r="E594" s="10">
        <f>IFERROR(VLOOKUP(B594,cubo!$A$6:$BE$37,5,0)-VLOOKUP(B594,#REF!,$E$2,0),0)</f>
        <v>0</v>
      </c>
      <c r="F594" s="10">
        <f>IFERROR(VLOOKUP(B594,cubo!$A$6:$BE$37,8,0)-VLOOKUP(B594,#REF!,$F$2,0),0)</f>
        <v>0</v>
      </c>
      <c r="G594" s="9">
        <f>IFERROR(VLOOKUP(B594,cubo!$A$6:$BE$37,11,0)-VLOOKUP(B594,#REF!,$G$2,0),0)</f>
        <v>0</v>
      </c>
      <c r="H594" s="9">
        <f>IFERROR(VLOOKUP(B594,cubo!$A$6:$BE$37,53,0)-VLOOKUP(B594,#REF!,$H$2,0),0)</f>
        <v>0</v>
      </c>
      <c r="I594" s="10">
        <f>IFERROR(VLOOKUP(B594,cubo!$A$6:$BE$37,14,0)-VLOOKUP(B594,#REF!,$I$2,0),0)</f>
        <v>0</v>
      </c>
      <c r="J594" s="9">
        <f>IFERROR(VLOOKUP(B594,cubo!$A$6:$BE$37,16,0)-VLOOKUP(B594,#REF!,$J$2,0),0)</f>
        <v>0</v>
      </c>
      <c r="K594" s="9">
        <f>IFERROR(VLOOKUP(B594,cubo!$A$6:$BE$37,17,0)-VLOOKUP(B594,#REF!,$K$2,0),0)</f>
        <v>0</v>
      </c>
      <c r="L594" s="9">
        <f>IFERROR(VLOOKUP(B594,cubo!$A$6:$BE$37,19,0)-VLOOKUP(B594,#REF!,$L$2,0),0)</f>
        <v>0</v>
      </c>
      <c r="M594" s="9">
        <f>IFERROR(VLOOKUP(B594,cubo!$A$6:$BE$37,23,0)-VLOOKUP(B594,#REF!,$M$2,0),0)</f>
        <v>0</v>
      </c>
      <c r="N594" s="9">
        <f>IFERROR(VLOOKUP(B594,cubo!$A$6:$BE$37,25,0)-VLOOKUP(B594,#REF!,$N$2,0),0)</f>
        <v>0</v>
      </c>
      <c r="O594" s="9">
        <f>IFERROR(VLOOKUP(B594,cubo!$A$6:$BE$37,33,0)-VLOOKUP(B594,#REF!,$O$2,0),0)</f>
        <v>0</v>
      </c>
      <c r="P594" s="8">
        <f>IFERROR(VLOOKUP(B594,cubo!$A$6:$BE$37,37,0)-VLOOKUP(B594,#REF!,$P$2,0),0)</f>
        <v>0</v>
      </c>
      <c r="Q594" s="8">
        <f>IFERROR(VLOOKUP(B594,cubo!$A$6:$BE$37,56,0)-VLOOKUP(B594,#REF!,$Q$2,0),0)</f>
        <v>0</v>
      </c>
      <c r="R594" s="9">
        <f>IFERROR(VLOOKUP(B594,cubo!$A$6:$BE$37,40,0)-VLOOKUP(B594,#REF!,$R$2,0),0)</f>
        <v>0</v>
      </c>
      <c r="S594" s="9">
        <f>IFERROR(VLOOKUP(B594,cubo!$A$6:$BE$37,43,0)-VLOOKUP(B594,#REF!,$S$2,0),0)</f>
        <v>0</v>
      </c>
      <c r="T594" s="9">
        <f>IFERROR(VLOOKUP(B594,cubo!$A$6:$BE$37,46,0)-VLOOKUP(B594,#REF!,$T$2,0),0)</f>
        <v>0</v>
      </c>
      <c r="U594" s="9">
        <f>IFERROR(VLOOKUP(B594,cubo!$A$6:$BE$37,51,0)-VLOOKUP(B594,#REF!,$U$2,0),0)</f>
        <v>0</v>
      </c>
      <c r="V594" s="9">
        <f>IFERROR(VLOOKUP(B594,cubo!$A$6:$BJ$37,60,0)-VLOOKUP(B594,#REF!,$V$2,0),0)</f>
        <v>0</v>
      </c>
      <c r="W594" s="9">
        <f>IFERROR(VLOOKUP(B594,cubo!$A$6:$BE$37,26,0)-VLOOKUP(B594,#REF!,$W$2,0),0)</f>
        <v>0</v>
      </c>
      <c r="X594" s="9">
        <f>IFERROR(VLOOKUP(B594,cubo!$A$6:$BE$37,20,0)-VLOOKUP(B594,#REF!,$X$2,0),0)</f>
        <v>0</v>
      </c>
      <c r="Y594" s="9">
        <f>IFERROR(VLOOKUP(B594,cubo!$A$6:$BE$37,21,0)-VLOOKUP(B594,#REF!,$Y$2,0),0)</f>
        <v>0</v>
      </c>
      <c r="Z594" s="9">
        <f>IFERROR(VLOOKUP(B594,cubo!$A$6:$BE$37,27,0)-VLOOKUP(B594,#REF!,$Z$2,0),0)</f>
        <v>0</v>
      </c>
      <c r="AA594" s="9">
        <f>IFERROR(VLOOKUP(B594,cubo!$A$6:$BE$37,28,0)-VLOOKUP(B594,#REF!,$AA$2,0),0)</f>
        <v>0</v>
      </c>
      <c r="AB594" s="9">
        <f>IFERROR(VLOOKUP(B594,cubo!$A$6:$BE$37,29,0)-VLOOKUP(B594,#REF!,$AB$2,0),0)</f>
        <v>0</v>
      </c>
      <c r="AC594" s="9">
        <f>IFERROR(VLOOKUP(B594,cubo!$A$6:$BE$37,30,0)-VLOOKUP(B594,#REF!,$AC$2,0),0)</f>
        <v>0</v>
      </c>
      <c r="AD594" s="9">
        <f>IFERROR(VLOOKUP(B594,cubo!$A$6:$BE$37,31,0)-VLOOKUP(B594,#REF!,$AD$2,0),0)</f>
        <v>0</v>
      </c>
      <c r="AE594" s="9">
        <f>IFERROR(VLOOKUP(B594,cubo!$A$6:$BE$37,35,0)-VLOOKUP(B594,#REF!,$AE$2,0),0)</f>
        <v>0</v>
      </c>
      <c r="AF594" s="9" cm="1">
        <f t="array" aca="1" ref="AF594" ca="1">IFERROR(rrPROCV(B594,cubo!$A$6:$BE$37,48,0)-VLOOKUP(B594,#REF!,$AF$2,0),0)</f>
        <v>0</v>
      </c>
      <c r="AG594" s="9">
        <f>IFERROR(VLOOKUP(B594,cubo!$A$6:$BE$37,49,0)-VLOOKUP(B594,#REF!,$AG$2,0),0)</f>
        <v>0</v>
      </c>
      <c r="AH594" s="9">
        <f>IFERROR(VLOOKUP(B594,cubo!$A$6:$BE$37,50,0)-VLOOKUP(B594,#REF!,$AH$2,0),0)</f>
        <v>0</v>
      </c>
      <c r="AI594" s="9">
        <f>IFERROR(VLOOKUP(B594,cubo!$A$6:$BE$37,51,0)-VLOOKUP(B594,#REF!,$AI$2,0),0)</f>
        <v>0</v>
      </c>
      <c r="AJ594" s="9">
        <f>IFERROR(VLOOKUP(B594,cubo!$A$6:$BI$116,62,0)-VLOOKUP(B594,#REF!,$AJ$2,0),0)</f>
        <v>0</v>
      </c>
      <c r="AK594" s="9">
        <f>IFERROR(VLOOKUP(B594,cubo!$A$6:$BJ$37,63,0)-VLOOKUP(B594,#REF!,$AK$2,0),0)</f>
        <v>0</v>
      </c>
      <c r="AL594" s="9">
        <f>IFERROR(VLOOKUP(B594,cubo!$A$6:$BE$37,58,0)-VLOOKUP(B594,#REF!,$AL$2,0),0)</f>
        <v>0</v>
      </c>
      <c r="AM594" s="9">
        <f>IFERROR(VLOOKUP(B594,cubo!$A$6:$BK$37,64,0)-VLOOKUP(B594,#REF!,$AM$2,0),0)</f>
        <v>0</v>
      </c>
      <c r="AN594" s="9">
        <f>IFERROR(VLOOKUP(B594,cubo!$A$6:$AN$37,41,0)-VLOOKUP(B594,#REF!,$AN$2,0),0)</f>
        <v>0</v>
      </c>
    </row>
    <row r="595" spans="2:40" x14ac:dyDescent="0.25">
      <c r="B595" s="7">
        <f>[1]salario!A594</f>
        <v>0</v>
      </c>
      <c r="C595" s="8">
        <f>[1]salario!C594</f>
        <v>0</v>
      </c>
      <c r="D595" s="9">
        <f>IFERROR(VLOOKUP(B595,cubo!$A$6:$BE$37,3,0)-VLOOKUP(B595,#REF!,$D$2,0),0)</f>
        <v>0</v>
      </c>
      <c r="E595" s="10">
        <f>IFERROR(VLOOKUP(B595,cubo!$A$6:$BE$37,5,0)-VLOOKUP(B595,#REF!,$E$2,0),0)</f>
        <v>0</v>
      </c>
      <c r="F595" s="10">
        <f>IFERROR(VLOOKUP(B595,cubo!$A$6:$BE$37,8,0)-VLOOKUP(B595,#REF!,$F$2,0),0)</f>
        <v>0</v>
      </c>
      <c r="G595" s="9">
        <f>IFERROR(VLOOKUP(B595,cubo!$A$6:$BE$37,11,0)-VLOOKUP(B595,#REF!,$G$2,0),0)</f>
        <v>0</v>
      </c>
      <c r="H595" s="9">
        <f>IFERROR(VLOOKUP(B595,cubo!$A$6:$BE$37,53,0)-VLOOKUP(B595,#REF!,$H$2,0),0)</f>
        <v>0</v>
      </c>
      <c r="I595" s="10">
        <f>IFERROR(VLOOKUP(B595,cubo!$A$6:$BE$37,14,0)-VLOOKUP(B595,#REF!,$I$2,0),0)</f>
        <v>0</v>
      </c>
      <c r="J595" s="9">
        <f>IFERROR(VLOOKUP(B595,cubo!$A$6:$BE$37,16,0)-VLOOKUP(B595,#REF!,$J$2,0),0)</f>
        <v>0</v>
      </c>
      <c r="K595" s="9">
        <f>IFERROR(VLOOKUP(B595,cubo!$A$6:$BE$37,17,0)-VLOOKUP(B595,#REF!,$K$2,0),0)</f>
        <v>0</v>
      </c>
      <c r="L595" s="9">
        <f>IFERROR(VLOOKUP(B595,cubo!$A$6:$BE$37,19,0)-VLOOKUP(B595,#REF!,$L$2,0),0)</f>
        <v>0</v>
      </c>
      <c r="M595" s="9">
        <f>IFERROR(VLOOKUP(B595,cubo!$A$6:$BE$37,23,0)-VLOOKUP(B595,#REF!,$M$2,0),0)</f>
        <v>0</v>
      </c>
      <c r="N595" s="9">
        <f>IFERROR(VLOOKUP(B595,cubo!$A$6:$BE$37,25,0)-VLOOKUP(B595,#REF!,$N$2,0),0)</f>
        <v>0</v>
      </c>
      <c r="O595" s="9">
        <f>IFERROR(VLOOKUP(B595,cubo!$A$6:$BE$37,33,0)-VLOOKUP(B595,#REF!,$O$2,0),0)</f>
        <v>0</v>
      </c>
      <c r="P595" s="8">
        <f>IFERROR(VLOOKUP(B595,cubo!$A$6:$BE$37,37,0)-VLOOKUP(B595,#REF!,$P$2,0),0)</f>
        <v>0</v>
      </c>
      <c r="Q595" s="8">
        <f>IFERROR(VLOOKUP(B595,cubo!$A$6:$BE$37,56,0)-VLOOKUP(B595,#REF!,$Q$2,0),0)</f>
        <v>0</v>
      </c>
      <c r="R595" s="9">
        <f>IFERROR(VLOOKUP(B595,cubo!$A$6:$BE$37,40,0)-VLOOKUP(B595,#REF!,$R$2,0),0)</f>
        <v>0</v>
      </c>
      <c r="S595" s="9">
        <f>IFERROR(VLOOKUP(B595,cubo!$A$6:$BE$37,43,0)-VLOOKUP(B595,#REF!,$S$2,0),0)</f>
        <v>0</v>
      </c>
      <c r="T595" s="9">
        <f>IFERROR(VLOOKUP(B595,cubo!$A$6:$BE$37,46,0)-VLOOKUP(B595,#REF!,$T$2,0),0)</f>
        <v>0</v>
      </c>
      <c r="U595" s="9">
        <f>IFERROR(VLOOKUP(B595,cubo!$A$6:$BE$37,51,0)-VLOOKUP(B595,#REF!,$U$2,0),0)</f>
        <v>0</v>
      </c>
      <c r="V595" s="9">
        <f>IFERROR(VLOOKUP(B595,cubo!$A$6:$BJ$37,60,0)-VLOOKUP(B595,#REF!,$V$2,0),0)</f>
        <v>0</v>
      </c>
      <c r="W595" s="9">
        <f>IFERROR(VLOOKUP(B595,cubo!$A$6:$BE$37,26,0)-VLOOKUP(B595,#REF!,$W$2,0),0)</f>
        <v>0</v>
      </c>
      <c r="X595" s="9">
        <f>IFERROR(VLOOKUP(B595,cubo!$A$6:$BE$37,20,0)-VLOOKUP(B595,#REF!,$X$2,0),0)</f>
        <v>0</v>
      </c>
      <c r="Y595" s="9">
        <f>IFERROR(VLOOKUP(B595,cubo!$A$6:$BE$37,21,0)-VLOOKUP(B595,#REF!,$Y$2,0),0)</f>
        <v>0</v>
      </c>
      <c r="Z595" s="9">
        <f>IFERROR(VLOOKUP(B595,cubo!$A$6:$BE$37,27,0)-VLOOKUP(B595,#REF!,$Z$2,0),0)</f>
        <v>0</v>
      </c>
      <c r="AA595" s="9">
        <f>IFERROR(VLOOKUP(B595,cubo!$A$6:$BE$37,28,0)-VLOOKUP(B595,#REF!,$AA$2,0),0)</f>
        <v>0</v>
      </c>
      <c r="AB595" s="9">
        <f>IFERROR(VLOOKUP(B595,cubo!$A$6:$BE$37,29,0)-VLOOKUP(B595,#REF!,$AB$2,0),0)</f>
        <v>0</v>
      </c>
      <c r="AC595" s="9">
        <f>IFERROR(VLOOKUP(B595,cubo!$A$6:$BE$37,30,0)-VLOOKUP(B595,#REF!,$AC$2,0),0)</f>
        <v>0</v>
      </c>
      <c r="AD595" s="9">
        <f>IFERROR(VLOOKUP(B595,cubo!$A$6:$BE$37,31,0)-VLOOKUP(B595,#REF!,$AD$2,0),0)</f>
        <v>0</v>
      </c>
      <c r="AE595" s="9">
        <f>IFERROR(VLOOKUP(B595,cubo!$A$6:$BE$37,35,0)-VLOOKUP(B595,#REF!,$AE$2,0),0)</f>
        <v>0</v>
      </c>
      <c r="AF595" s="9" cm="1">
        <f t="array" aca="1" ref="AF595" ca="1">IFERROR(rrPROCV(B595,cubo!$A$6:$BE$37,48,0)-VLOOKUP(B595,#REF!,$AF$2,0),0)</f>
        <v>0</v>
      </c>
      <c r="AG595" s="9">
        <f>IFERROR(VLOOKUP(B595,cubo!$A$6:$BE$37,49,0)-VLOOKUP(B595,#REF!,$AG$2,0),0)</f>
        <v>0</v>
      </c>
      <c r="AH595" s="9">
        <f>IFERROR(VLOOKUP(B595,cubo!$A$6:$BE$37,50,0)-VLOOKUP(B595,#REF!,$AH$2,0),0)</f>
        <v>0</v>
      </c>
      <c r="AI595" s="9">
        <f>IFERROR(VLOOKUP(B595,cubo!$A$6:$BE$37,51,0)-VLOOKUP(B595,#REF!,$AI$2,0),0)</f>
        <v>0</v>
      </c>
      <c r="AJ595" s="9">
        <f>IFERROR(VLOOKUP(B595,cubo!$A$6:$BI$116,62,0)-VLOOKUP(B595,#REF!,$AJ$2,0),0)</f>
        <v>0</v>
      </c>
      <c r="AK595" s="9">
        <f>IFERROR(VLOOKUP(B595,cubo!$A$6:$BJ$37,63,0)-VLOOKUP(B595,#REF!,$AK$2,0),0)</f>
        <v>0</v>
      </c>
      <c r="AL595" s="9">
        <f>IFERROR(VLOOKUP(B595,cubo!$A$6:$BE$37,58,0)-VLOOKUP(B595,#REF!,$AL$2,0),0)</f>
        <v>0</v>
      </c>
      <c r="AM595" s="9">
        <f>IFERROR(VLOOKUP(B595,cubo!$A$6:$BK$37,64,0)-VLOOKUP(B595,#REF!,$AM$2,0),0)</f>
        <v>0</v>
      </c>
      <c r="AN595" s="9">
        <f>IFERROR(VLOOKUP(B595,cubo!$A$6:$AN$37,41,0)-VLOOKUP(B595,#REF!,$AN$2,0),0)</f>
        <v>0</v>
      </c>
    </row>
    <row r="596" spans="2:40" x14ac:dyDescent="0.25">
      <c r="B596" s="7">
        <f>[1]salario!A595</f>
        <v>0</v>
      </c>
      <c r="C596" s="8">
        <f>[1]salario!C595</f>
        <v>0</v>
      </c>
      <c r="D596" s="9">
        <f>IFERROR(VLOOKUP(B596,cubo!$A$6:$BE$37,3,0)-VLOOKUP(B596,#REF!,$D$2,0),0)</f>
        <v>0</v>
      </c>
      <c r="E596" s="10">
        <f>IFERROR(VLOOKUP(B596,cubo!$A$6:$BE$37,5,0)-VLOOKUP(B596,#REF!,$E$2,0),0)</f>
        <v>0</v>
      </c>
      <c r="F596" s="10">
        <f>IFERROR(VLOOKUP(B596,cubo!$A$6:$BE$37,8,0)-VLOOKUP(B596,#REF!,$F$2,0),0)</f>
        <v>0</v>
      </c>
      <c r="G596" s="9">
        <f>IFERROR(VLOOKUP(B596,cubo!$A$6:$BE$37,11,0)-VLOOKUP(B596,#REF!,$G$2,0),0)</f>
        <v>0</v>
      </c>
      <c r="H596" s="9">
        <f>IFERROR(VLOOKUP(B596,cubo!$A$6:$BE$37,53,0)-VLOOKUP(B596,#REF!,$H$2,0),0)</f>
        <v>0</v>
      </c>
      <c r="I596" s="10">
        <f>IFERROR(VLOOKUP(B596,cubo!$A$6:$BE$37,14,0)-VLOOKUP(B596,#REF!,$I$2,0),0)</f>
        <v>0</v>
      </c>
      <c r="J596" s="9">
        <f>IFERROR(VLOOKUP(B596,cubo!$A$6:$BE$37,16,0)-VLOOKUP(B596,#REF!,$J$2,0),0)</f>
        <v>0</v>
      </c>
      <c r="K596" s="9">
        <f>IFERROR(VLOOKUP(B596,cubo!$A$6:$BE$37,17,0)-VLOOKUP(B596,#REF!,$K$2,0),0)</f>
        <v>0</v>
      </c>
      <c r="L596" s="9">
        <f>IFERROR(VLOOKUP(B596,cubo!$A$6:$BE$37,19,0)-VLOOKUP(B596,#REF!,$L$2,0),0)</f>
        <v>0</v>
      </c>
      <c r="M596" s="9">
        <f>IFERROR(VLOOKUP(B596,cubo!$A$6:$BE$37,23,0)-VLOOKUP(B596,#REF!,$M$2,0),0)</f>
        <v>0</v>
      </c>
      <c r="N596" s="9">
        <f>IFERROR(VLOOKUP(B596,cubo!$A$6:$BE$37,25,0)-VLOOKUP(B596,#REF!,$N$2,0),0)</f>
        <v>0</v>
      </c>
      <c r="O596" s="9">
        <f>IFERROR(VLOOKUP(B596,cubo!$A$6:$BE$37,33,0)-VLOOKUP(B596,#REF!,$O$2,0),0)</f>
        <v>0</v>
      </c>
      <c r="P596" s="8">
        <f>IFERROR(VLOOKUP(B596,cubo!$A$6:$BE$37,37,0)-VLOOKUP(B596,#REF!,$P$2,0),0)</f>
        <v>0</v>
      </c>
      <c r="Q596" s="8">
        <f>IFERROR(VLOOKUP(B596,cubo!$A$6:$BE$37,56,0)-VLOOKUP(B596,#REF!,$Q$2,0),0)</f>
        <v>0</v>
      </c>
      <c r="R596" s="9">
        <f>IFERROR(VLOOKUP(B596,cubo!$A$6:$BE$37,40,0)-VLOOKUP(B596,#REF!,$R$2,0),0)</f>
        <v>0</v>
      </c>
      <c r="S596" s="9">
        <f>IFERROR(VLOOKUP(B596,cubo!$A$6:$BE$37,43,0)-VLOOKUP(B596,#REF!,$S$2,0),0)</f>
        <v>0</v>
      </c>
      <c r="T596" s="9">
        <f>IFERROR(VLOOKUP(B596,cubo!$A$6:$BE$37,46,0)-VLOOKUP(B596,#REF!,$T$2,0),0)</f>
        <v>0</v>
      </c>
      <c r="U596" s="9">
        <f>IFERROR(VLOOKUP(B596,cubo!$A$6:$BE$37,51,0)-VLOOKUP(B596,#REF!,$U$2,0),0)</f>
        <v>0</v>
      </c>
      <c r="V596" s="9">
        <f>IFERROR(VLOOKUP(B596,cubo!$A$6:$BJ$37,60,0)-VLOOKUP(B596,#REF!,$V$2,0),0)</f>
        <v>0</v>
      </c>
      <c r="W596" s="9">
        <f>IFERROR(VLOOKUP(B596,cubo!$A$6:$BE$37,26,0)-VLOOKUP(B596,#REF!,$W$2,0),0)</f>
        <v>0</v>
      </c>
      <c r="X596" s="9">
        <f>IFERROR(VLOOKUP(B596,cubo!$A$6:$BE$37,20,0)-VLOOKUP(B596,#REF!,$X$2,0),0)</f>
        <v>0</v>
      </c>
      <c r="Y596" s="9">
        <f>IFERROR(VLOOKUP(B596,cubo!$A$6:$BE$37,21,0)-VLOOKUP(B596,#REF!,$Y$2,0),0)</f>
        <v>0</v>
      </c>
      <c r="Z596" s="9">
        <f>IFERROR(VLOOKUP(B596,cubo!$A$6:$BE$37,27,0)-VLOOKUP(B596,#REF!,$Z$2,0),0)</f>
        <v>0</v>
      </c>
      <c r="AA596" s="9">
        <f>IFERROR(VLOOKUP(B596,cubo!$A$6:$BE$37,28,0)-VLOOKUP(B596,#REF!,$AA$2,0),0)</f>
        <v>0</v>
      </c>
      <c r="AB596" s="9">
        <f>IFERROR(VLOOKUP(B596,cubo!$A$6:$BE$37,29,0)-VLOOKUP(B596,#REF!,$AB$2,0),0)</f>
        <v>0</v>
      </c>
      <c r="AC596" s="9">
        <f>IFERROR(VLOOKUP(B596,cubo!$A$6:$BE$37,30,0)-VLOOKUP(B596,#REF!,$AC$2,0),0)</f>
        <v>0</v>
      </c>
      <c r="AD596" s="9">
        <f>IFERROR(VLOOKUP(B596,cubo!$A$6:$BE$37,31,0)-VLOOKUP(B596,#REF!,$AD$2,0),0)</f>
        <v>0</v>
      </c>
      <c r="AE596" s="9">
        <f>IFERROR(VLOOKUP(B596,cubo!$A$6:$BE$37,35,0)-VLOOKUP(B596,#REF!,$AE$2,0),0)</f>
        <v>0</v>
      </c>
      <c r="AF596" s="9" cm="1">
        <f t="array" aca="1" ref="AF596" ca="1">IFERROR(rrPROCV(B596,cubo!$A$6:$BE$37,48,0)-VLOOKUP(B596,#REF!,$AF$2,0),0)</f>
        <v>0</v>
      </c>
      <c r="AG596" s="9">
        <f>IFERROR(VLOOKUP(B596,cubo!$A$6:$BE$37,49,0)-VLOOKUP(B596,#REF!,$AG$2,0),0)</f>
        <v>0</v>
      </c>
      <c r="AH596" s="9">
        <f>IFERROR(VLOOKUP(B596,cubo!$A$6:$BE$37,50,0)-VLOOKUP(B596,#REF!,$AH$2,0),0)</f>
        <v>0</v>
      </c>
      <c r="AI596" s="9">
        <f>IFERROR(VLOOKUP(B596,cubo!$A$6:$BE$37,51,0)-VLOOKUP(B596,#REF!,$AI$2,0),0)</f>
        <v>0</v>
      </c>
      <c r="AJ596" s="9">
        <f>IFERROR(VLOOKUP(B596,cubo!$A$6:$BI$116,62,0)-VLOOKUP(B596,#REF!,$AJ$2,0),0)</f>
        <v>0</v>
      </c>
      <c r="AK596" s="9">
        <f>IFERROR(VLOOKUP(B596,cubo!$A$6:$BJ$37,63,0)-VLOOKUP(B596,#REF!,$AK$2,0),0)</f>
        <v>0</v>
      </c>
      <c r="AL596" s="9">
        <f>IFERROR(VLOOKUP(B596,cubo!$A$6:$BE$37,58,0)-VLOOKUP(B596,#REF!,$AL$2,0),0)</f>
        <v>0</v>
      </c>
      <c r="AM596" s="9">
        <f>IFERROR(VLOOKUP(B596,cubo!$A$6:$BK$37,64,0)-VLOOKUP(B596,#REF!,$AM$2,0),0)</f>
        <v>0</v>
      </c>
      <c r="AN596" s="9">
        <f>IFERROR(VLOOKUP(B596,cubo!$A$6:$AN$37,41,0)-VLOOKUP(B596,#REF!,$AN$2,0),0)</f>
        <v>0</v>
      </c>
    </row>
    <row r="597" spans="2:40" x14ac:dyDescent="0.25">
      <c r="B597" s="7">
        <f>[1]salario!A596</f>
        <v>0</v>
      </c>
      <c r="C597" s="8">
        <f>[1]salario!C596</f>
        <v>0</v>
      </c>
      <c r="D597" s="9">
        <f>IFERROR(VLOOKUP(B597,cubo!$A$6:$BE$37,3,0)-VLOOKUP(B597,#REF!,$D$2,0),0)</f>
        <v>0</v>
      </c>
      <c r="E597" s="10">
        <f>IFERROR(VLOOKUP(B597,cubo!$A$6:$BE$37,5,0)-VLOOKUP(B597,#REF!,$E$2,0),0)</f>
        <v>0</v>
      </c>
      <c r="F597" s="10">
        <f>IFERROR(VLOOKUP(B597,cubo!$A$6:$BE$37,8,0)-VLOOKUP(B597,#REF!,$F$2,0),0)</f>
        <v>0</v>
      </c>
      <c r="G597" s="9">
        <f>IFERROR(VLOOKUP(B597,cubo!$A$6:$BE$37,11,0)-VLOOKUP(B597,#REF!,$G$2,0),0)</f>
        <v>0</v>
      </c>
      <c r="H597" s="9">
        <f>IFERROR(VLOOKUP(B597,cubo!$A$6:$BE$37,53,0)-VLOOKUP(B597,#REF!,$H$2,0),0)</f>
        <v>0</v>
      </c>
      <c r="I597" s="10">
        <f>IFERROR(VLOOKUP(B597,cubo!$A$6:$BE$37,14,0)-VLOOKUP(B597,#REF!,$I$2,0),0)</f>
        <v>0</v>
      </c>
      <c r="J597" s="9">
        <f>IFERROR(VLOOKUP(B597,cubo!$A$6:$BE$37,16,0)-VLOOKUP(B597,#REF!,$J$2,0),0)</f>
        <v>0</v>
      </c>
      <c r="K597" s="9">
        <f>IFERROR(VLOOKUP(B597,cubo!$A$6:$BE$37,17,0)-VLOOKUP(B597,#REF!,$K$2,0),0)</f>
        <v>0</v>
      </c>
      <c r="L597" s="9">
        <f>IFERROR(VLOOKUP(B597,cubo!$A$6:$BE$37,19,0)-VLOOKUP(B597,#REF!,$L$2,0),0)</f>
        <v>0</v>
      </c>
      <c r="M597" s="9">
        <f>IFERROR(VLOOKUP(B597,cubo!$A$6:$BE$37,23,0)-VLOOKUP(B597,#REF!,$M$2,0),0)</f>
        <v>0</v>
      </c>
      <c r="N597" s="9">
        <f>IFERROR(VLOOKUP(B597,cubo!$A$6:$BE$37,25,0)-VLOOKUP(B597,#REF!,$N$2,0),0)</f>
        <v>0</v>
      </c>
      <c r="O597" s="9">
        <f>IFERROR(VLOOKUP(B597,cubo!$A$6:$BE$37,33,0)-VLOOKUP(B597,#REF!,$O$2,0),0)</f>
        <v>0</v>
      </c>
      <c r="P597" s="8">
        <f>IFERROR(VLOOKUP(B597,cubo!$A$6:$BE$37,37,0)-VLOOKUP(B597,#REF!,$P$2,0),0)</f>
        <v>0</v>
      </c>
      <c r="Q597" s="8">
        <f>IFERROR(VLOOKUP(B597,cubo!$A$6:$BE$37,56,0)-VLOOKUP(B597,#REF!,$Q$2,0),0)</f>
        <v>0</v>
      </c>
      <c r="R597" s="9">
        <f>IFERROR(VLOOKUP(B597,cubo!$A$6:$BE$37,40,0)-VLOOKUP(B597,#REF!,$R$2,0),0)</f>
        <v>0</v>
      </c>
      <c r="S597" s="9">
        <f>IFERROR(VLOOKUP(B597,cubo!$A$6:$BE$37,43,0)-VLOOKUP(B597,#REF!,$S$2,0),0)</f>
        <v>0</v>
      </c>
      <c r="T597" s="9">
        <f>IFERROR(VLOOKUP(B597,cubo!$A$6:$BE$37,46,0)-VLOOKUP(B597,#REF!,$T$2,0),0)</f>
        <v>0</v>
      </c>
      <c r="U597" s="9">
        <f>IFERROR(VLOOKUP(B597,cubo!$A$6:$BE$37,51,0)-VLOOKUP(B597,#REF!,$U$2,0),0)</f>
        <v>0</v>
      </c>
      <c r="V597" s="9">
        <f>IFERROR(VLOOKUP(B597,cubo!$A$6:$BJ$37,60,0)-VLOOKUP(B597,#REF!,$V$2,0),0)</f>
        <v>0</v>
      </c>
      <c r="W597" s="9">
        <f>IFERROR(VLOOKUP(B597,cubo!$A$6:$BE$37,26,0)-VLOOKUP(B597,#REF!,$W$2,0),0)</f>
        <v>0</v>
      </c>
      <c r="X597" s="9">
        <f>IFERROR(VLOOKUP(B597,cubo!$A$6:$BE$37,20,0)-VLOOKUP(B597,#REF!,$X$2,0),0)</f>
        <v>0</v>
      </c>
      <c r="Y597" s="9">
        <f>IFERROR(VLOOKUP(B597,cubo!$A$6:$BE$37,21,0)-VLOOKUP(B597,#REF!,$Y$2,0),0)</f>
        <v>0</v>
      </c>
      <c r="Z597" s="9">
        <f>IFERROR(VLOOKUP(B597,cubo!$A$6:$BE$37,27,0)-VLOOKUP(B597,#REF!,$Z$2,0),0)</f>
        <v>0</v>
      </c>
      <c r="AA597" s="9">
        <f>IFERROR(VLOOKUP(B597,cubo!$A$6:$BE$37,28,0)-VLOOKUP(B597,#REF!,$AA$2,0),0)</f>
        <v>0</v>
      </c>
      <c r="AB597" s="9">
        <f>IFERROR(VLOOKUP(B597,cubo!$A$6:$BE$37,29,0)-VLOOKUP(B597,#REF!,$AB$2,0),0)</f>
        <v>0</v>
      </c>
      <c r="AC597" s="9">
        <f>IFERROR(VLOOKUP(B597,cubo!$A$6:$BE$37,30,0)-VLOOKUP(B597,#REF!,$AC$2,0),0)</f>
        <v>0</v>
      </c>
      <c r="AD597" s="9">
        <f>IFERROR(VLOOKUP(B597,cubo!$A$6:$BE$37,31,0)-VLOOKUP(B597,#REF!,$AD$2,0),0)</f>
        <v>0</v>
      </c>
      <c r="AE597" s="9">
        <f>IFERROR(VLOOKUP(B597,cubo!$A$6:$BE$37,35,0)-VLOOKUP(B597,#REF!,$AE$2,0),0)</f>
        <v>0</v>
      </c>
      <c r="AF597" s="9" cm="1">
        <f t="array" aca="1" ref="AF597" ca="1">IFERROR(rrPROCV(B597,cubo!$A$6:$BE$37,48,0)-VLOOKUP(B597,#REF!,$AF$2,0),0)</f>
        <v>0</v>
      </c>
      <c r="AG597" s="9">
        <f>IFERROR(VLOOKUP(B597,cubo!$A$6:$BE$37,49,0)-VLOOKUP(B597,#REF!,$AG$2,0),0)</f>
        <v>0</v>
      </c>
      <c r="AH597" s="9">
        <f>IFERROR(VLOOKUP(B597,cubo!$A$6:$BE$37,50,0)-VLOOKUP(B597,#REF!,$AH$2,0),0)</f>
        <v>0</v>
      </c>
      <c r="AI597" s="9">
        <f>IFERROR(VLOOKUP(B597,cubo!$A$6:$BE$37,51,0)-VLOOKUP(B597,#REF!,$AI$2,0),0)</f>
        <v>0</v>
      </c>
      <c r="AJ597" s="9">
        <f>IFERROR(VLOOKUP(B597,cubo!$A$6:$BI$116,62,0)-VLOOKUP(B597,#REF!,$AJ$2,0),0)</f>
        <v>0</v>
      </c>
      <c r="AK597" s="9">
        <f>IFERROR(VLOOKUP(B597,cubo!$A$6:$BJ$37,63,0)-VLOOKUP(B597,#REF!,$AK$2,0),0)</f>
        <v>0</v>
      </c>
      <c r="AL597" s="9">
        <f>IFERROR(VLOOKUP(B597,cubo!$A$6:$BE$37,58,0)-VLOOKUP(B597,#REF!,$AL$2,0),0)</f>
        <v>0</v>
      </c>
      <c r="AM597" s="9">
        <f>IFERROR(VLOOKUP(B597,cubo!$A$6:$BK$37,64,0)-VLOOKUP(B597,#REF!,$AM$2,0),0)</f>
        <v>0</v>
      </c>
      <c r="AN597" s="9">
        <f>IFERROR(VLOOKUP(B597,cubo!$A$6:$AN$37,41,0)-VLOOKUP(B597,#REF!,$AN$2,0),0)</f>
        <v>0</v>
      </c>
    </row>
    <row r="598" spans="2:40" x14ac:dyDescent="0.25">
      <c r="B598" s="7">
        <f>[1]salario!A597</f>
        <v>0</v>
      </c>
      <c r="C598" s="8">
        <f>[1]salario!C597</f>
        <v>0</v>
      </c>
      <c r="D598" s="9">
        <f>IFERROR(VLOOKUP(B598,cubo!$A$6:$BE$37,3,0)-VLOOKUP(B598,#REF!,$D$2,0),0)</f>
        <v>0</v>
      </c>
      <c r="E598" s="10">
        <f>IFERROR(VLOOKUP(B598,cubo!$A$6:$BE$37,5,0)-VLOOKUP(B598,#REF!,$E$2,0),0)</f>
        <v>0</v>
      </c>
      <c r="F598" s="10">
        <f>IFERROR(VLOOKUP(B598,cubo!$A$6:$BE$37,8,0)-VLOOKUP(B598,#REF!,$F$2,0),0)</f>
        <v>0</v>
      </c>
      <c r="G598" s="9">
        <f>IFERROR(VLOOKUP(B598,cubo!$A$6:$BE$37,11,0)-VLOOKUP(B598,#REF!,$G$2,0),0)</f>
        <v>0</v>
      </c>
      <c r="H598" s="9">
        <f>IFERROR(VLOOKUP(B598,cubo!$A$6:$BE$37,53,0)-VLOOKUP(B598,#REF!,$H$2,0),0)</f>
        <v>0</v>
      </c>
      <c r="I598" s="10">
        <f>IFERROR(VLOOKUP(B598,cubo!$A$6:$BE$37,14,0)-VLOOKUP(B598,#REF!,$I$2,0),0)</f>
        <v>0</v>
      </c>
      <c r="J598" s="9">
        <f>IFERROR(VLOOKUP(B598,cubo!$A$6:$BE$37,16,0)-VLOOKUP(B598,#REF!,$J$2,0),0)</f>
        <v>0</v>
      </c>
      <c r="K598" s="9">
        <f>IFERROR(VLOOKUP(B598,cubo!$A$6:$BE$37,17,0)-VLOOKUP(B598,#REF!,$K$2,0),0)</f>
        <v>0</v>
      </c>
      <c r="L598" s="9">
        <f>IFERROR(VLOOKUP(B598,cubo!$A$6:$BE$37,19,0)-VLOOKUP(B598,#REF!,$L$2,0),0)</f>
        <v>0</v>
      </c>
      <c r="M598" s="9">
        <f>IFERROR(VLOOKUP(B598,cubo!$A$6:$BE$37,23,0)-VLOOKUP(B598,#REF!,$M$2,0),0)</f>
        <v>0</v>
      </c>
      <c r="N598" s="9">
        <f>IFERROR(VLOOKUP(B598,cubo!$A$6:$BE$37,25,0)-VLOOKUP(B598,#REF!,$N$2,0),0)</f>
        <v>0</v>
      </c>
      <c r="O598" s="9">
        <f>IFERROR(VLOOKUP(B598,cubo!$A$6:$BE$37,33,0)-VLOOKUP(B598,#REF!,$O$2,0),0)</f>
        <v>0</v>
      </c>
      <c r="P598" s="8">
        <f>IFERROR(VLOOKUP(B598,cubo!$A$6:$BE$37,37,0)-VLOOKUP(B598,#REF!,$P$2,0),0)</f>
        <v>0</v>
      </c>
      <c r="Q598" s="8">
        <f>IFERROR(VLOOKUP(B598,cubo!$A$6:$BE$37,56,0)-VLOOKUP(B598,#REF!,$Q$2,0),0)</f>
        <v>0</v>
      </c>
      <c r="R598" s="9">
        <f>IFERROR(VLOOKUP(B598,cubo!$A$6:$BE$37,40,0)-VLOOKUP(B598,#REF!,$R$2,0),0)</f>
        <v>0</v>
      </c>
      <c r="S598" s="9">
        <f>IFERROR(VLOOKUP(B598,cubo!$A$6:$BE$37,43,0)-VLOOKUP(B598,#REF!,$S$2,0),0)</f>
        <v>0</v>
      </c>
      <c r="T598" s="9">
        <f>IFERROR(VLOOKUP(B598,cubo!$A$6:$BE$37,46,0)-VLOOKUP(B598,#REF!,$T$2,0),0)</f>
        <v>0</v>
      </c>
      <c r="U598" s="9">
        <f>IFERROR(VLOOKUP(B598,cubo!$A$6:$BE$37,51,0)-VLOOKUP(B598,#REF!,$U$2,0),0)</f>
        <v>0</v>
      </c>
      <c r="V598" s="9">
        <f>IFERROR(VLOOKUP(B598,cubo!$A$6:$BJ$37,60,0)-VLOOKUP(B598,#REF!,$V$2,0),0)</f>
        <v>0</v>
      </c>
      <c r="W598" s="9">
        <f>IFERROR(VLOOKUP(B598,cubo!$A$6:$BE$37,26,0)-VLOOKUP(B598,#REF!,$W$2,0),0)</f>
        <v>0</v>
      </c>
      <c r="X598" s="9">
        <f>IFERROR(VLOOKUP(B598,cubo!$A$6:$BE$37,20,0)-VLOOKUP(B598,#REF!,$X$2,0),0)</f>
        <v>0</v>
      </c>
      <c r="Y598" s="9">
        <f>IFERROR(VLOOKUP(B598,cubo!$A$6:$BE$37,21,0)-VLOOKUP(B598,#REF!,$Y$2,0),0)</f>
        <v>0</v>
      </c>
      <c r="Z598" s="9">
        <f>IFERROR(VLOOKUP(B598,cubo!$A$6:$BE$37,27,0)-VLOOKUP(B598,#REF!,$Z$2,0),0)</f>
        <v>0</v>
      </c>
      <c r="AA598" s="9">
        <f>IFERROR(VLOOKUP(B598,cubo!$A$6:$BE$37,28,0)-VLOOKUP(B598,#REF!,$AA$2,0),0)</f>
        <v>0</v>
      </c>
      <c r="AB598" s="9">
        <f>IFERROR(VLOOKUP(B598,cubo!$A$6:$BE$37,29,0)-VLOOKUP(B598,#REF!,$AB$2,0),0)</f>
        <v>0</v>
      </c>
      <c r="AC598" s="9">
        <f>IFERROR(VLOOKUP(B598,cubo!$A$6:$BE$37,30,0)-VLOOKUP(B598,#REF!,$AC$2,0),0)</f>
        <v>0</v>
      </c>
      <c r="AD598" s="9">
        <f>IFERROR(VLOOKUP(B598,cubo!$A$6:$BE$37,31,0)-VLOOKUP(B598,#REF!,$AD$2,0),0)</f>
        <v>0</v>
      </c>
      <c r="AE598" s="9">
        <f>IFERROR(VLOOKUP(B598,cubo!$A$6:$BE$37,35,0)-VLOOKUP(B598,#REF!,$AE$2,0),0)</f>
        <v>0</v>
      </c>
      <c r="AF598" s="9" cm="1">
        <f t="array" aca="1" ref="AF598" ca="1">IFERROR(rrPROCV(B598,cubo!$A$6:$BE$37,48,0)-VLOOKUP(B598,#REF!,$AF$2,0),0)</f>
        <v>0</v>
      </c>
      <c r="AG598" s="9">
        <f>IFERROR(VLOOKUP(B598,cubo!$A$6:$BE$37,49,0)-VLOOKUP(B598,#REF!,$AG$2,0),0)</f>
        <v>0</v>
      </c>
      <c r="AH598" s="9">
        <f>IFERROR(VLOOKUP(B598,cubo!$A$6:$BE$37,50,0)-VLOOKUP(B598,#REF!,$AH$2,0),0)</f>
        <v>0</v>
      </c>
      <c r="AI598" s="9">
        <f>IFERROR(VLOOKUP(B598,cubo!$A$6:$BE$37,51,0)-VLOOKUP(B598,#REF!,$AI$2,0),0)</f>
        <v>0</v>
      </c>
      <c r="AJ598" s="9">
        <f>IFERROR(VLOOKUP(B598,cubo!$A$6:$BI$116,62,0)-VLOOKUP(B598,#REF!,$AJ$2,0),0)</f>
        <v>0</v>
      </c>
      <c r="AK598" s="9">
        <f>IFERROR(VLOOKUP(B598,cubo!$A$6:$BJ$37,63,0)-VLOOKUP(B598,#REF!,$AK$2,0),0)</f>
        <v>0</v>
      </c>
      <c r="AL598" s="9">
        <f>IFERROR(VLOOKUP(B598,cubo!$A$6:$BE$37,58,0)-VLOOKUP(B598,#REF!,$AL$2,0),0)</f>
        <v>0</v>
      </c>
      <c r="AM598" s="9">
        <f>IFERROR(VLOOKUP(B598,cubo!$A$6:$BK$37,64,0)-VLOOKUP(B598,#REF!,$AM$2,0),0)</f>
        <v>0</v>
      </c>
      <c r="AN598" s="9">
        <f>IFERROR(VLOOKUP(B598,cubo!$A$6:$AN$37,41,0)-VLOOKUP(B598,#REF!,$AN$2,0),0)</f>
        <v>0</v>
      </c>
    </row>
    <row r="599" spans="2:40" x14ac:dyDescent="0.25">
      <c r="B599" s="7">
        <f>[1]salario!A598</f>
        <v>0</v>
      </c>
      <c r="C599" s="8">
        <f>[1]salario!C598</f>
        <v>0</v>
      </c>
      <c r="D599" s="9">
        <f>IFERROR(VLOOKUP(B599,cubo!$A$6:$BE$37,3,0)-VLOOKUP(B599,#REF!,$D$2,0),0)</f>
        <v>0</v>
      </c>
      <c r="E599" s="10">
        <f>IFERROR(VLOOKUP(B599,cubo!$A$6:$BE$37,5,0)-VLOOKUP(B599,#REF!,$E$2,0),0)</f>
        <v>0</v>
      </c>
      <c r="F599" s="10">
        <f>IFERROR(VLOOKUP(B599,cubo!$A$6:$BE$37,8,0)-VLOOKUP(B599,#REF!,$F$2,0),0)</f>
        <v>0</v>
      </c>
      <c r="G599" s="9">
        <f>IFERROR(VLOOKUP(B599,cubo!$A$6:$BE$37,11,0)-VLOOKUP(B599,#REF!,$G$2,0),0)</f>
        <v>0</v>
      </c>
      <c r="H599" s="9">
        <f>IFERROR(VLOOKUP(B599,cubo!$A$6:$BE$37,53,0)-VLOOKUP(B599,#REF!,$H$2,0),0)</f>
        <v>0</v>
      </c>
      <c r="I599" s="10">
        <f>IFERROR(VLOOKUP(B599,cubo!$A$6:$BE$37,14,0)-VLOOKUP(B599,#REF!,$I$2,0),0)</f>
        <v>0</v>
      </c>
      <c r="J599" s="9">
        <f>IFERROR(VLOOKUP(B599,cubo!$A$6:$BE$37,16,0)-VLOOKUP(B599,#REF!,$J$2,0),0)</f>
        <v>0</v>
      </c>
      <c r="K599" s="9">
        <f>IFERROR(VLOOKUP(B599,cubo!$A$6:$BE$37,17,0)-VLOOKUP(B599,#REF!,$K$2,0),0)</f>
        <v>0</v>
      </c>
      <c r="L599" s="9">
        <f>IFERROR(VLOOKUP(B599,cubo!$A$6:$BE$37,19,0)-VLOOKUP(B599,#REF!,$L$2,0),0)</f>
        <v>0</v>
      </c>
      <c r="M599" s="9">
        <f>IFERROR(VLOOKUP(B599,cubo!$A$6:$BE$37,23,0)-VLOOKUP(B599,#REF!,$M$2,0),0)</f>
        <v>0</v>
      </c>
      <c r="N599" s="9">
        <f>IFERROR(VLOOKUP(B599,cubo!$A$6:$BE$37,25,0)-VLOOKUP(B599,#REF!,$N$2,0),0)</f>
        <v>0</v>
      </c>
      <c r="O599" s="9">
        <f>IFERROR(VLOOKUP(B599,cubo!$A$6:$BE$37,33,0)-VLOOKUP(B599,#REF!,$O$2,0),0)</f>
        <v>0</v>
      </c>
      <c r="P599" s="8">
        <f>IFERROR(VLOOKUP(B599,cubo!$A$6:$BE$37,37,0)-VLOOKUP(B599,#REF!,$P$2,0),0)</f>
        <v>0</v>
      </c>
      <c r="Q599" s="8">
        <f>IFERROR(VLOOKUP(B599,cubo!$A$6:$BE$37,56,0)-VLOOKUP(B599,#REF!,$Q$2,0),0)</f>
        <v>0</v>
      </c>
      <c r="R599" s="9">
        <f>IFERROR(VLOOKUP(B599,cubo!$A$6:$BE$37,40,0)-VLOOKUP(B599,#REF!,$R$2,0),0)</f>
        <v>0</v>
      </c>
      <c r="S599" s="9">
        <f>IFERROR(VLOOKUP(B599,cubo!$A$6:$BE$37,43,0)-VLOOKUP(B599,#REF!,$S$2,0),0)</f>
        <v>0</v>
      </c>
      <c r="T599" s="9">
        <f>IFERROR(VLOOKUP(B599,cubo!$A$6:$BE$37,46,0)-VLOOKUP(B599,#REF!,$T$2,0),0)</f>
        <v>0</v>
      </c>
      <c r="U599" s="9">
        <f>IFERROR(VLOOKUP(B599,cubo!$A$6:$BE$37,51,0)-VLOOKUP(B599,#REF!,$U$2,0),0)</f>
        <v>0</v>
      </c>
      <c r="V599" s="9">
        <f>IFERROR(VLOOKUP(B599,cubo!$A$6:$BJ$37,60,0)-VLOOKUP(B599,#REF!,$V$2,0),0)</f>
        <v>0</v>
      </c>
      <c r="W599" s="9">
        <f>IFERROR(VLOOKUP(B599,cubo!$A$6:$BE$37,26,0)-VLOOKUP(B599,#REF!,$W$2,0),0)</f>
        <v>0</v>
      </c>
      <c r="X599" s="9">
        <f>IFERROR(VLOOKUP(B599,cubo!$A$6:$BE$37,20,0)-VLOOKUP(B599,#REF!,$X$2,0),0)</f>
        <v>0</v>
      </c>
      <c r="Y599" s="9">
        <f>IFERROR(VLOOKUP(B599,cubo!$A$6:$BE$37,21,0)-VLOOKUP(B599,#REF!,$Y$2,0),0)</f>
        <v>0</v>
      </c>
      <c r="Z599" s="9">
        <f>IFERROR(VLOOKUP(B599,cubo!$A$6:$BE$37,27,0)-VLOOKUP(B599,#REF!,$Z$2,0),0)</f>
        <v>0</v>
      </c>
      <c r="AA599" s="9">
        <f>IFERROR(VLOOKUP(B599,cubo!$A$6:$BE$37,28,0)-VLOOKUP(B599,#REF!,$AA$2,0),0)</f>
        <v>0</v>
      </c>
      <c r="AB599" s="9">
        <f>IFERROR(VLOOKUP(B599,cubo!$A$6:$BE$37,29,0)-VLOOKUP(B599,#REF!,$AB$2,0),0)</f>
        <v>0</v>
      </c>
      <c r="AC599" s="9">
        <f>IFERROR(VLOOKUP(B599,cubo!$A$6:$BE$37,30,0)-VLOOKUP(B599,#REF!,$AC$2,0),0)</f>
        <v>0</v>
      </c>
      <c r="AD599" s="9">
        <f>IFERROR(VLOOKUP(B599,cubo!$A$6:$BE$37,31,0)-VLOOKUP(B599,#REF!,$AD$2,0),0)</f>
        <v>0</v>
      </c>
      <c r="AE599" s="9">
        <f>IFERROR(VLOOKUP(B599,cubo!$A$6:$BE$37,35,0)-VLOOKUP(B599,#REF!,$AE$2,0),0)</f>
        <v>0</v>
      </c>
      <c r="AF599" s="9" cm="1">
        <f t="array" aca="1" ref="AF599" ca="1">IFERROR(rrPROCV(B599,cubo!$A$6:$BE$37,48,0)-VLOOKUP(B599,#REF!,$AF$2,0),0)</f>
        <v>0</v>
      </c>
      <c r="AG599" s="9">
        <f>IFERROR(VLOOKUP(B599,cubo!$A$6:$BE$37,49,0)-VLOOKUP(B599,#REF!,$AG$2,0),0)</f>
        <v>0</v>
      </c>
      <c r="AH599" s="9">
        <f>IFERROR(VLOOKUP(B599,cubo!$A$6:$BE$37,50,0)-VLOOKUP(B599,#REF!,$AH$2,0),0)</f>
        <v>0</v>
      </c>
      <c r="AI599" s="9">
        <f>IFERROR(VLOOKUP(B599,cubo!$A$6:$BE$37,51,0)-VLOOKUP(B599,#REF!,$AI$2,0),0)</f>
        <v>0</v>
      </c>
      <c r="AJ599" s="9">
        <f>IFERROR(VLOOKUP(B599,cubo!$A$6:$BI$116,62,0)-VLOOKUP(B599,#REF!,$AJ$2,0),0)</f>
        <v>0</v>
      </c>
      <c r="AK599" s="9">
        <f>IFERROR(VLOOKUP(B599,cubo!$A$6:$BJ$37,63,0)-VLOOKUP(B599,#REF!,$AK$2,0),0)</f>
        <v>0</v>
      </c>
      <c r="AL599" s="9">
        <f>IFERROR(VLOOKUP(B599,cubo!$A$6:$BE$37,58,0)-VLOOKUP(B599,#REF!,$AL$2,0),0)</f>
        <v>0</v>
      </c>
      <c r="AM599" s="9">
        <f>IFERROR(VLOOKUP(B599,cubo!$A$6:$BK$37,64,0)-VLOOKUP(B599,#REF!,$AM$2,0),0)</f>
        <v>0</v>
      </c>
      <c r="AN599" s="9">
        <f>IFERROR(VLOOKUP(B599,cubo!$A$6:$AN$37,41,0)-VLOOKUP(B599,#REF!,$AN$2,0),0)</f>
        <v>0</v>
      </c>
    </row>
    <row r="600" spans="2:40" x14ac:dyDescent="0.25">
      <c r="B600" s="7">
        <f>[1]salario!A599</f>
        <v>0</v>
      </c>
      <c r="C600" s="8">
        <f>[1]salario!C599</f>
        <v>0</v>
      </c>
      <c r="D600" s="9">
        <f>IFERROR(VLOOKUP(B600,cubo!$A$6:$BE$37,3,0)-VLOOKUP(B600,#REF!,$D$2,0),0)</f>
        <v>0</v>
      </c>
      <c r="E600" s="10">
        <f>IFERROR(VLOOKUP(B600,cubo!$A$6:$BE$37,5,0)-VLOOKUP(B600,#REF!,$E$2,0),0)</f>
        <v>0</v>
      </c>
      <c r="F600" s="10">
        <f>IFERROR(VLOOKUP(B600,cubo!$A$6:$BE$37,8,0)-VLOOKUP(B600,#REF!,$F$2,0),0)</f>
        <v>0</v>
      </c>
      <c r="G600" s="9">
        <f>IFERROR(VLOOKUP(B600,cubo!$A$6:$BE$37,11,0)-VLOOKUP(B600,#REF!,$G$2,0),0)</f>
        <v>0</v>
      </c>
      <c r="H600" s="9">
        <f>IFERROR(VLOOKUP(B600,cubo!$A$6:$BE$37,53,0)-VLOOKUP(B600,#REF!,$H$2,0),0)</f>
        <v>0</v>
      </c>
      <c r="I600" s="10">
        <f>IFERROR(VLOOKUP(B600,cubo!$A$6:$BE$37,14,0)-VLOOKUP(B600,#REF!,$I$2,0),0)</f>
        <v>0</v>
      </c>
      <c r="J600" s="9">
        <f>IFERROR(VLOOKUP(B600,cubo!$A$6:$BE$37,16,0)-VLOOKUP(B600,#REF!,$J$2,0),0)</f>
        <v>0</v>
      </c>
      <c r="K600" s="9">
        <f>IFERROR(VLOOKUP(B600,cubo!$A$6:$BE$37,17,0)-VLOOKUP(B600,#REF!,$K$2,0),0)</f>
        <v>0</v>
      </c>
      <c r="L600" s="9">
        <f>IFERROR(VLOOKUP(B600,cubo!$A$6:$BE$37,19,0)-VLOOKUP(B600,#REF!,$L$2,0),0)</f>
        <v>0</v>
      </c>
      <c r="M600" s="9">
        <f>IFERROR(VLOOKUP(B600,cubo!$A$6:$BE$37,23,0)-VLOOKUP(B600,#REF!,$M$2,0),0)</f>
        <v>0</v>
      </c>
      <c r="N600" s="9">
        <f>IFERROR(VLOOKUP(B600,cubo!$A$6:$BE$37,25,0)-VLOOKUP(B600,#REF!,$N$2,0),0)</f>
        <v>0</v>
      </c>
      <c r="O600" s="9">
        <f>IFERROR(VLOOKUP(B600,cubo!$A$6:$BE$37,33,0)-VLOOKUP(B600,#REF!,$O$2,0),0)</f>
        <v>0</v>
      </c>
      <c r="P600" s="8">
        <f>IFERROR(VLOOKUP(B600,cubo!$A$6:$BE$37,37,0)-VLOOKUP(B600,#REF!,$P$2,0),0)</f>
        <v>0</v>
      </c>
      <c r="Q600" s="8">
        <f>IFERROR(VLOOKUP(B600,cubo!$A$6:$BE$37,56,0)-VLOOKUP(B600,#REF!,$Q$2,0),0)</f>
        <v>0</v>
      </c>
      <c r="R600" s="9">
        <f>IFERROR(VLOOKUP(B600,cubo!$A$6:$BE$37,40,0)-VLOOKUP(B600,#REF!,$R$2,0),0)</f>
        <v>0</v>
      </c>
      <c r="S600" s="9">
        <f>IFERROR(VLOOKUP(B600,cubo!$A$6:$BE$37,43,0)-VLOOKUP(B600,#REF!,$S$2,0),0)</f>
        <v>0</v>
      </c>
      <c r="T600" s="9">
        <f>IFERROR(VLOOKUP(B600,cubo!$A$6:$BE$37,46,0)-VLOOKUP(B600,#REF!,$T$2,0),0)</f>
        <v>0</v>
      </c>
      <c r="U600" s="9">
        <f>IFERROR(VLOOKUP(B600,cubo!$A$6:$BE$37,51,0)-VLOOKUP(B600,#REF!,$U$2,0),0)</f>
        <v>0</v>
      </c>
      <c r="V600" s="9">
        <f>IFERROR(VLOOKUP(B600,cubo!$A$6:$BJ$37,60,0)-VLOOKUP(B600,#REF!,$V$2,0),0)</f>
        <v>0</v>
      </c>
      <c r="W600" s="9">
        <f>IFERROR(VLOOKUP(B600,cubo!$A$6:$BE$37,26,0)-VLOOKUP(B600,#REF!,$W$2,0),0)</f>
        <v>0</v>
      </c>
      <c r="X600" s="9">
        <f>IFERROR(VLOOKUP(B600,cubo!$A$6:$BE$37,20,0)-VLOOKUP(B600,#REF!,$X$2,0),0)</f>
        <v>0</v>
      </c>
      <c r="Y600" s="9">
        <f>IFERROR(VLOOKUP(B600,cubo!$A$6:$BE$37,21,0)-VLOOKUP(B600,#REF!,$Y$2,0),0)</f>
        <v>0</v>
      </c>
      <c r="Z600" s="9">
        <f>IFERROR(VLOOKUP(B600,cubo!$A$6:$BE$37,27,0)-VLOOKUP(B600,#REF!,$Z$2,0),0)</f>
        <v>0</v>
      </c>
      <c r="AA600" s="9">
        <f>IFERROR(VLOOKUP(B600,cubo!$A$6:$BE$37,28,0)-VLOOKUP(B600,#REF!,$AA$2,0),0)</f>
        <v>0</v>
      </c>
      <c r="AB600" s="9">
        <f>IFERROR(VLOOKUP(B600,cubo!$A$6:$BE$37,29,0)-VLOOKUP(B600,#REF!,$AB$2,0),0)</f>
        <v>0</v>
      </c>
      <c r="AC600" s="9">
        <f>IFERROR(VLOOKUP(B600,cubo!$A$6:$BE$37,30,0)-VLOOKUP(B600,#REF!,$AC$2,0),0)</f>
        <v>0</v>
      </c>
      <c r="AD600" s="9">
        <f>IFERROR(VLOOKUP(B600,cubo!$A$6:$BE$37,31,0)-VLOOKUP(B600,#REF!,$AD$2,0),0)</f>
        <v>0</v>
      </c>
      <c r="AE600" s="9">
        <f>IFERROR(VLOOKUP(B600,cubo!$A$6:$BE$37,35,0)-VLOOKUP(B600,#REF!,$AE$2,0),0)</f>
        <v>0</v>
      </c>
      <c r="AF600" s="9" cm="1">
        <f t="array" aca="1" ref="AF600" ca="1">IFERROR(rrPROCV(B600,cubo!$A$6:$BE$37,48,0)-VLOOKUP(B600,#REF!,$AF$2,0),0)</f>
        <v>0</v>
      </c>
      <c r="AG600" s="9">
        <f>IFERROR(VLOOKUP(B600,cubo!$A$6:$BE$37,49,0)-VLOOKUP(B600,#REF!,$AG$2,0),0)</f>
        <v>0</v>
      </c>
      <c r="AH600" s="9">
        <f>IFERROR(VLOOKUP(B600,cubo!$A$6:$BE$37,50,0)-VLOOKUP(B600,#REF!,$AH$2,0),0)</f>
        <v>0</v>
      </c>
      <c r="AI600" s="9">
        <f>IFERROR(VLOOKUP(B600,cubo!$A$6:$BE$37,51,0)-VLOOKUP(B600,#REF!,$AI$2,0),0)</f>
        <v>0</v>
      </c>
      <c r="AJ600" s="9">
        <f>IFERROR(VLOOKUP(B600,cubo!$A$6:$BI$116,62,0)-VLOOKUP(B600,#REF!,$AJ$2,0),0)</f>
        <v>0</v>
      </c>
      <c r="AK600" s="9">
        <f>IFERROR(VLOOKUP(B600,cubo!$A$6:$BJ$37,63,0)-VLOOKUP(B600,#REF!,$AK$2,0),0)</f>
        <v>0</v>
      </c>
      <c r="AL600" s="9">
        <f>IFERROR(VLOOKUP(B600,cubo!$A$6:$BE$37,58,0)-VLOOKUP(B600,#REF!,$AL$2,0),0)</f>
        <v>0</v>
      </c>
      <c r="AM600" s="9">
        <f>IFERROR(VLOOKUP(B600,cubo!$A$6:$BK$37,64,0)-VLOOKUP(B600,#REF!,$AM$2,0),0)</f>
        <v>0</v>
      </c>
      <c r="AN600" s="9">
        <f>IFERROR(VLOOKUP(B600,cubo!$A$6:$AN$37,41,0)-VLOOKUP(B600,#REF!,$AN$2,0),0)</f>
        <v>0</v>
      </c>
    </row>
    <row r="601" spans="2:40" x14ac:dyDescent="0.25">
      <c r="B601" s="7">
        <f>[1]salario!A600</f>
        <v>0</v>
      </c>
      <c r="C601" s="8">
        <f>[1]salario!C600</f>
        <v>0</v>
      </c>
      <c r="D601" s="9">
        <f>IFERROR(VLOOKUP(B601,cubo!$A$6:$BE$37,3,0)-VLOOKUP(B601,#REF!,$D$2,0),0)</f>
        <v>0</v>
      </c>
      <c r="E601" s="10">
        <f>IFERROR(VLOOKUP(B601,cubo!$A$6:$BE$37,5,0)-VLOOKUP(B601,#REF!,$E$2,0),0)</f>
        <v>0</v>
      </c>
      <c r="F601" s="10">
        <f>IFERROR(VLOOKUP(B601,cubo!$A$6:$BE$37,8,0)-VLOOKUP(B601,#REF!,$F$2,0),0)</f>
        <v>0</v>
      </c>
      <c r="G601" s="9">
        <f>IFERROR(VLOOKUP(B601,cubo!$A$6:$BE$37,11,0)-VLOOKUP(B601,#REF!,$G$2,0),0)</f>
        <v>0</v>
      </c>
      <c r="H601" s="9">
        <f>IFERROR(VLOOKUP(B601,cubo!$A$6:$BE$37,53,0)-VLOOKUP(B601,#REF!,$H$2,0),0)</f>
        <v>0</v>
      </c>
      <c r="I601" s="10">
        <f>IFERROR(VLOOKUP(B601,cubo!$A$6:$BE$37,14,0)-VLOOKUP(B601,#REF!,$I$2,0),0)</f>
        <v>0</v>
      </c>
      <c r="J601" s="9">
        <f>IFERROR(VLOOKUP(B601,cubo!$A$6:$BE$37,16,0)-VLOOKUP(B601,#REF!,$J$2,0),0)</f>
        <v>0</v>
      </c>
      <c r="K601" s="9">
        <f>IFERROR(VLOOKUP(B601,cubo!$A$6:$BE$37,17,0)-VLOOKUP(B601,#REF!,$K$2,0),0)</f>
        <v>0</v>
      </c>
      <c r="L601" s="9">
        <f>IFERROR(VLOOKUP(B601,cubo!$A$6:$BE$37,19,0)-VLOOKUP(B601,#REF!,$L$2,0),0)</f>
        <v>0</v>
      </c>
      <c r="M601" s="9">
        <f>IFERROR(VLOOKUP(B601,cubo!$A$6:$BE$37,23,0)-VLOOKUP(B601,#REF!,$M$2,0),0)</f>
        <v>0</v>
      </c>
      <c r="N601" s="9">
        <f>IFERROR(VLOOKUP(B601,cubo!$A$6:$BE$37,25,0)-VLOOKUP(B601,#REF!,$N$2,0),0)</f>
        <v>0</v>
      </c>
      <c r="O601" s="9">
        <f>IFERROR(VLOOKUP(B601,cubo!$A$6:$BE$37,33,0)-VLOOKUP(B601,#REF!,$O$2,0),0)</f>
        <v>0</v>
      </c>
      <c r="P601" s="8">
        <f>IFERROR(VLOOKUP(B601,cubo!$A$6:$BE$37,37,0)-VLOOKUP(B601,#REF!,$P$2,0),0)</f>
        <v>0</v>
      </c>
      <c r="Q601" s="8">
        <f>IFERROR(VLOOKUP(B601,cubo!$A$6:$BE$37,56,0)-VLOOKUP(B601,#REF!,$Q$2,0),0)</f>
        <v>0</v>
      </c>
      <c r="R601" s="9">
        <f>IFERROR(VLOOKUP(B601,cubo!$A$6:$BE$37,40,0)-VLOOKUP(B601,#REF!,$R$2,0),0)</f>
        <v>0</v>
      </c>
      <c r="S601" s="9">
        <f>IFERROR(VLOOKUP(B601,cubo!$A$6:$BE$37,43,0)-VLOOKUP(B601,#REF!,$S$2,0),0)</f>
        <v>0</v>
      </c>
      <c r="T601" s="9">
        <f>IFERROR(VLOOKUP(B601,cubo!$A$6:$BE$37,46,0)-VLOOKUP(B601,#REF!,$T$2,0),0)</f>
        <v>0</v>
      </c>
      <c r="U601" s="9">
        <f>IFERROR(VLOOKUP(B601,cubo!$A$6:$BE$37,51,0)-VLOOKUP(B601,#REF!,$U$2,0),0)</f>
        <v>0</v>
      </c>
      <c r="V601" s="9">
        <f>IFERROR(VLOOKUP(B601,cubo!$A$6:$BJ$37,60,0)-VLOOKUP(B601,#REF!,$V$2,0),0)</f>
        <v>0</v>
      </c>
      <c r="W601" s="9">
        <f>IFERROR(VLOOKUP(B601,cubo!$A$6:$BE$37,26,0)-VLOOKUP(B601,#REF!,$W$2,0),0)</f>
        <v>0</v>
      </c>
      <c r="X601" s="9">
        <f>IFERROR(VLOOKUP(B601,cubo!$A$6:$BE$37,20,0)-VLOOKUP(B601,#REF!,$X$2,0),0)</f>
        <v>0</v>
      </c>
      <c r="Y601" s="9">
        <f>IFERROR(VLOOKUP(B601,cubo!$A$6:$BE$37,21,0)-VLOOKUP(B601,#REF!,$Y$2,0),0)</f>
        <v>0</v>
      </c>
      <c r="Z601" s="9">
        <f>IFERROR(VLOOKUP(B601,cubo!$A$6:$BE$37,27,0)-VLOOKUP(B601,#REF!,$Z$2,0),0)</f>
        <v>0</v>
      </c>
      <c r="AA601" s="9">
        <f>IFERROR(VLOOKUP(B601,cubo!$A$6:$BE$37,28,0)-VLOOKUP(B601,#REF!,$AA$2,0),0)</f>
        <v>0</v>
      </c>
      <c r="AB601" s="9">
        <f>IFERROR(VLOOKUP(B601,cubo!$A$6:$BE$37,29,0)-VLOOKUP(B601,#REF!,$AB$2,0),0)</f>
        <v>0</v>
      </c>
      <c r="AC601" s="9">
        <f>IFERROR(VLOOKUP(B601,cubo!$A$6:$BE$37,30,0)-VLOOKUP(B601,#REF!,$AC$2,0),0)</f>
        <v>0</v>
      </c>
      <c r="AD601" s="9">
        <f>IFERROR(VLOOKUP(B601,cubo!$A$6:$BE$37,31,0)-VLOOKUP(B601,#REF!,$AD$2,0),0)</f>
        <v>0</v>
      </c>
      <c r="AE601" s="9">
        <f>IFERROR(VLOOKUP(B601,cubo!$A$6:$BE$37,35,0)-VLOOKUP(B601,#REF!,$AE$2,0),0)</f>
        <v>0</v>
      </c>
      <c r="AF601" s="9" cm="1">
        <f t="array" aca="1" ref="AF601" ca="1">IFERROR(rrPROCV(B601,cubo!$A$6:$BE$37,48,0)-VLOOKUP(B601,#REF!,$AF$2,0),0)</f>
        <v>0</v>
      </c>
      <c r="AG601" s="9">
        <f>IFERROR(VLOOKUP(B601,cubo!$A$6:$BE$37,49,0)-VLOOKUP(B601,#REF!,$AG$2,0),0)</f>
        <v>0</v>
      </c>
      <c r="AH601" s="9">
        <f>IFERROR(VLOOKUP(B601,cubo!$A$6:$BE$37,50,0)-VLOOKUP(B601,#REF!,$AH$2,0),0)</f>
        <v>0</v>
      </c>
      <c r="AI601" s="9">
        <f>IFERROR(VLOOKUP(B601,cubo!$A$6:$BE$37,51,0)-VLOOKUP(B601,#REF!,$AI$2,0),0)</f>
        <v>0</v>
      </c>
      <c r="AJ601" s="9">
        <f>IFERROR(VLOOKUP(B601,cubo!$A$6:$BI$116,62,0)-VLOOKUP(B601,#REF!,$AJ$2,0),0)</f>
        <v>0</v>
      </c>
      <c r="AK601" s="9">
        <f>IFERROR(VLOOKUP(B601,cubo!$A$6:$BJ$37,63,0)-VLOOKUP(B601,#REF!,$AK$2,0),0)</f>
        <v>0</v>
      </c>
      <c r="AL601" s="9">
        <f>IFERROR(VLOOKUP(B601,cubo!$A$6:$BE$37,58,0)-VLOOKUP(B601,#REF!,$AL$2,0),0)</f>
        <v>0</v>
      </c>
      <c r="AM601" s="9">
        <f>IFERROR(VLOOKUP(B601,cubo!$A$6:$BK$37,64,0)-VLOOKUP(B601,#REF!,$AM$2,0),0)</f>
        <v>0</v>
      </c>
      <c r="AN601" s="9">
        <f>IFERROR(VLOOKUP(B601,cubo!$A$6:$AN$37,41,0)-VLOOKUP(B601,#REF!,$AN$2,0),0)</f>
        <v>0</v>
      </c>
    </row>
    <row r="602" spans="2:40" x14ac:dyDescent="0.25">
      <c r="B602" s="7">
        <f>[1]salario!A601</f>
        <v>0</v>
      </c>
      <c r="C602" s="8">
        <f>[1]salario!C601</f>
        <v>0</v>
      </c>
      <c r="D602" s="9">
        <f>IFERROR(VLOOKUP(B602,cubo!$A$6:$BE$37,3,0)-VLOOKUP(B602,#REF!,$D$2,0),0)</f>
        <v>0</v>
      </c>
      <c r="E602" s="10">
        <f>IFERROR(VLOOKUP(B602,cubo!$A$6:$BE$37,5,0)-VLOOKUP(B602,#REF!,$E$2,0),0)</f>
        <v>0</v>
      </c>
      <c r="F602" s="10">
        <f>IFERROR(VLOOKUP(B602,cubo!$A$6:$BE$37,8,0)-VLOOKUP(B602,#REF!,$F$2,0),0)</f>
        <v>0</v>
      </c>
      <c r="G602" s="9">
        <f>IFERROR(VLOOKUP(B602,cubo!$A$6:$BE$37,11,0)-VLOOKUP(B602,#REF!,$G$2,0),0)</f>
        <v>0</v>
      </c>
      <c r="H602" s="9">
        <f>IFERROR(VLOOKUP(B602,cubo!$A$6:$BE$37,53,0)-VLOOKUP(B602,#REF!,$H$2,0),0)</f>
        <v>0</v>
      </c>
      <c r="I602" s="10">
        <f>IFERROR(VLOOKUP(B602,cubo!$A$6:$BE$37,14,0)-VLOOKUP(B602,#REF!,$I$2,0),0)</f>
        <v>0</v>
      </c>
      <c r="J602" s="9">
        <f>IFERROR(VLOOKUP(B602,cubo!$A$6:$BE$37,16,0)-VLOOKUP(B602,#REF!,$J$2,0),0)</f>
        <v>0</v>
      </c>
      <c r="K602" s="9">
        <f>IFERROR(VLOOKUP(B602,cubo!$A$6:$BE$37,17,0)-VLOOKUP(B602,#REF!,$K$2,0),0)</f>
        <v>0</v>
      </c>
      <c r="L602" s="9">
        <f>IFERROR(VLOOKUP(B602,cubo!$A$6:$BE$37,19,0)-VLOOKUP(B602,#REF!,$L$2,0),0)</f>
        <v>0</v>
      </c>
      <c r="M602" s="9">
        <f>IFERROR(VLOOKUP(B602,cubo!$A$6:$BE$37,23,0)-VLOOKUP(B602,#REF!,$M$2,0),0)</f>
        <v>0</v>
      </c>
      <c r="N602" s="9">
        <f>IFERROR(VLOOKUP(B602,cubo!$A$6:$BE$37,25,0)-VLOOKUP(B602,#REF!,$N$2,0),0)</f>
        <v>0</v>
      </c>
      <c r="O602" s="9">
        <f>IFERROR(VLOOKUP(B602,cubo!$A$6:$BE$37,33,0)-VLOOKUP(B602,#REF!,$O$2,0),0)</f>
        <v>0</v>
      </c>
      <c r="P602" s="8">
        <f>IFERROR(VLOOKUP(B602,cubo!$A$6:$BE$37,37,0)-VLOOKUP(B602,#REF!,$P$2,0),0)</f>
        <v>0</v>
      </c>
      <c r="Q602" s="8">
        <f>IFERROR(VLOOKUP(B602,cubo!$A$6:$BE$37,56,0)-VLOOKUP(B602,#REF!,$Q$2,0),0)</f>
        <v>0</v>
      </c>
      <c r="R602" s="9">
        <f>IFERROR(VLOOKUP(B602,cubo!$A$6:$BE$37,40,0)-VLOOKUP(B602,#REF!,$R$2,0),0)</f>
        <v>0</v>
      </c>
      <c r="S602" s="9">
        <f>IFERROR(VLOOKUP(B602,cubo!$A$6:$BE$37,43,0)-VLOOKUP(B602,#REF!,$S$2,0),0)</f>
        <v>0</v>
      </c>
      <c r="T602" s="9">
        <f>IFERROR(VLOOKUP(B602,cubo!$A$6:$BE$37,46,0)-VLOOKUP(B602,#REF!,$T$2,0),0)</f>
        <v>0</v>
      </c>
      <c r="U602" s="9">
        <f>IFERROR(VLOOKUP(B602,cubo!$A$6:$BE$37,51,0)-VLOOKUP(B602,#REF!,$U$2,0),0)</f>
        <v>0</v>
      </c>
      <c r="V602" s="9">
        <f>IFERROR(VLOOKUP(B602,cubo!$A$6:$BJ$37,60,0)-VLOOKUP(B602,#REF!,$V$2,0),0)</f>
        <v>0</v>
      </c>
      <c r="W602" s="9">
        <f>IFERROR(VLOOKUP(B602,cubo!$A$6:$BE$37,26,0)-VLOOKUP(B602,#REF!,$W$2,0),0)</f>
        <v>0</v>
      </c>
      <c r="X602" s="9">
        <f>IFERROR(VLOOKUP(B602,cubo!$A$6:$BE$37,20,0)-VLOOKUP(B602,#REF!,$X$2,0),0)</f>
        <v>0</v>
      </c>
      <c r="Y602" s="9">
        <f>IFERROR(VLOOKUP(B602,cubo!$A$6:$BE$37,21,0)-VLOOKUP(B602,#REF!,$Y$2,0),0)</f>
        <v>0</v>
      </c>
      <c r="Z602" s="9">
        <f>IFERROR(VLOOKUP(B602,cubo!$A$6:$BE$37,27,0)-VLOOKUP(B602,#REF!,$Z$2,0),0)</f>
        <v>0</v>
      </c>
      <c r="AA602" s="9">
        <f>IFERROR(VLOOKUP(B602,cubo!$A$6:$BE$37,28,0)-VLOOKUP(B602,#REF!,$AA$2,0),0)</f>
        <v>0</v>
      </c>
      <c r="AB602" s="9">
        <f>IFERROR(VLOOKUP(B602,cubo!$A$6:$BE$37,29,0)-VLOOKUP(B602,#REF!,$AB$2,0),0)</f>
        <v>0</v>
      </c>
      <c r="AC602" s="9">
        <f>IFERROR(VLOOKUP(B602,cubo!$A$6:$BE$37,30,0)-VLOOKUP(B602,#REF!,$AC$2,0),0)</f>
        <v>0</v>
      </c>
      <c r="AD602" s="9">
        <f>IFERROR(VLOOKUP(B602,cubo!$A$6:$BE$37,31,0)-VLOOKUP(B602,#REF!,$AD$2,0),0)</f>
        <v>0</v>
      </c>
      <c r="AE602" s="9">
        <f>IFERROR(VLOOKUP(B602,cubo!$A$6:$BE$37,35,0)-VLOOKUP(B602,#REF!,$AE$2,0),0)</f>
        <v>0</v>
      </c>
      <c r="AF602" s="9" cm="1">
        <f t="array" aca="1" ref="AF602" ca="1">IFERROR(rrPROCV(B602,cubo!$A$6:$BE$37,48,0)-VLOOKUP(B602,#REF!,$AF$2,0),0)</f>
        <v>0</v>
      </c>
      <c r="AG602" s="9">
        <f>IFERROR(VLOOKUP(B602,cubo!$A$6:$BE$37,49,0)-VLOOKUP(B602,#REF!,$AG$2,0),0)</f>
        <v>0</v>
      </c>
      <c r="AH602" s="9">
        <f>IFERROR(VLOOKUP(B602,cubo!$A$6:$BE$37,50,0)-VLOOKUP(B602,#REF!,$AH$2,0),0)</f>
        <v>0</v>
      </c>
      <c r="AI602" s="9">
        <f>IFERROR(VLOOKUP(B602,cubo!$A$6:$BE$37,51,0)-VLOOKUP(B602,#REF!,$AI$2,0),0)</f>
        <v>0</v>
      </c>
      <c r="AJ602" s="9">
        <f>IFERROR(VLOOKUP(B602,cubo!$A$6:$BI$116,62,0)-VLOOKUP(B602,#REF!,$AJ$2,0),0)</f>
        <v>0</v>
      </c>
      <c r="AK602" s="9">
        <f>IFERROR(VLOOKUP(B602,cubo!$A$6:$BJ$37,63,0)-VLOOKUP(B602,#REF!,$AK$2,0),0)</f>
        <v>0</v>
      </c>
      <c r="AL602" s="9">
        <f>IFERROR(VLOOKUP(B602,cubo!$A$6:$BE$37,58,0)-VLOOKUP(B602,#REF!,$AL$2,0),0)</f>
        <v>0</v>
      </c>
      <c r="AM602" s="9">
        <f>IFERROR(VLOOKUP(B602,cubo!$A$6:$BK$37,64,0)-VLOOKUP(B602,#REF!,$AM$2,0),0)</f>
        <v>0</v>
      </c>
      <c r="AN602" s="9">
        <f>IFERROR(VLOOKUP(B602,cubo!$A$6:$AN$37,41,0)-VLOOKUP(B602,#REF!,$AN$2,0),0)</f>
        <v>0</v>
      </c>
    </row>
    <row r="603" spans="2:40" x14ac:dyDescent="0.25">
      <c r="B603" s="7">
        <f>[1]salario!A602</f>
        <v>0</v>
      </c>
      <c r="C603" s="8">
        <f>[1]salario!C602</f>
        <v>0</v>
      </c>
      <c r="D603" s="9">
        <f>IFERROR(VLOOKUP(B603,cubo!$A$6:$BE$37,3,0)-VLOOKUP(B603,#REF!,$D$2,0),0)</f>
        <v>0</v>
      </c>
      <c r="E603" s="10">
        <f>IFERROR(VLOOKUP(B603,cubo!$A$6:$BE$37,5,0)-VLOOKUP(B603,#REF!,$E$2,0),0)</f>
        <v>0</v>
      </c>
      <c r="F603" s="10">
        <f>IFERROR(VLOOKUP(B603,cubo!$A$6:$BE$37,8,0)-VLOOKUP(B603,#REF!,$F$2,0),0)</f>
        <v>0</v>
      </c>
      <c r="G603" s="9">
        <f>IFERROR(VLOOKUP(B603,cubo!$A$6:$BE$37,11,0)-VLOOKUP(B603,#REF!,$G$2,0),0)</f>
        <v>0</v>
      </c>
      <c r="H603" s="9">
        <f>IFERROR(VLOOKUP(B603,cubo!$A$6:$BE$37,53,0)-VLOOKUP(B603,#REF!,$H$2,0),0)</f>
        <v>0</v>
      </c>
      <c r="I603" s="10">
        <f>IFERROR(VLOOKUP(B603,cubo!$A$6:$BE$37,14,0)-VLOOKUP(B603,#REF!,$I$2,0),0)</f>
        <v>0</v>
      </c>
      <c r="J603" s="9">
        <f>IFERROR(VLOOKUP(B603,cubo!$A$6:$BE$37,16,0)-VLOOKUP(B603,#REF!,$J$2,0),0)</f>
        <v>0</v>
      </c>
      <c r="K603" s="9">
        <f>IFERROR(VLOOKUP(B603,cubo!$A$6:$BE$37,17,0)-VLOOKUP(B603,#REF!,$K$2,0),0)</f>
        <v>0</v>
      </c>
      <c r="L603" s="9">
        <f>IFERROR(VLOOKUP(B603,cubo!$A$6:$BE$37,19,0)-VLOOKUP(B603,#REF!,$L$2,0),0)</f>
        <v>0</v>
      </c>
      <c r="M603" s="9">
        <f>IFERROR(VLOOKUP(B603,cubo!$A$6:$BE$37,23,0)-VLOOKUP(B603,#REF!,$M$2,0),0)</f>
        <v>0</v>
      </c>
      <c r="N603" s="9">
        <f>IFERROR(VLOOKUP(B603,cubo!$A$6:$BE$37,25,0)-VLOOKUP(B603,#REF!,$N$2,0),0)</f>
        <v>0</v>
      </c>
      <c r="O603" s="9">
        <f>IFERROR(VLOOKUP(B603,cubo!$A$6:$BE$37,33,0)-VLOOKUP(B603,#REF!,$O$2,0),0)</f>
        <v>0</v>
      </c>
      <c r="P603" s="8">
        <f>IFERROR(VLOOKUP(B603,cubo!$A$6:$BE$37,37,0)-VLOOKUP(B603,#REF!,$P$2,0),0)</f>
        <v>0</v>
      </c>
      <c r="Q603" s="8">
        <f>IFERROR(VLOOKUP(B603,cubo!$A$6:$BE$37,56,0)-VLOOKUP(B603,#REF!,$Q$2,0),0)</f>
        <v>0</v>
      </c>
      <c r="R603" s="9">
        <f>IFERROR(VLOOKUP(B603,cubo!$A$6:$BE$37,40,0)-VLOOKUP(B603,#REF!,$R$2,0),0)</f>
        <v>0</v>
      </c>
      <c r="S603" s="9">
        <f>IFERROR(VLOOKUP(B603,cubo!$A$6:$BE$37,43,0)-VLOOKUP(B603,#REF!,$S$2,0),0)</f>
        <v>0</v>
      </c>
      <c r="T603" s="9">
        <f>IFERROR(VLOOKUP(B603,cubo!$A$6:$BE$37,46,0)-VLOOKUP(B603,#REF!,$T$2,0),0)</f>
        <v>0</v>
      </c>
      <c r="U603" s="9">
        <f>IFERROR(VLOOKUP(B603,cubo!$A$6:$BE$37,51,0)-VLOOKUP(B603,#REF!,$U$2,0),0)</f>
        <v>0</v>
      </c>
      <c r="V603" s="9">
        <f>IFERROR(VLOOKUP(B603,cubo!$A$6:$BJ$37,60,0)-VLOOKUP(B603,#REF!,$V$2,0),0)</f>
        <v>0</v>
      </c>
      <c r="W603" s="9">
        <f>IFERROR(VLOOKUP(B603,cubo!$A$6:$BE$37,26,0)-VLOOKUP(B603,#REF!,$W$2,0),0)</f>
        <v>0</v>
      </c>
      <c r="X603" s="9">
        <f>IFERROR(VLOOKUP(B603,cubo!$A$6:$BE$37,20,0)-VLOOKUP(B603,#REF!,$X$2,0),0)</f>
        <v>0</v>
      </c>
      <c r="Y603" s="9">
        <f>IFERROR(VLOOKUP(B603,cubo!$A$6:$BE$37,21,0)-VLOOKUP(B603,#REF!,$Y$2,0),0)</f>
        <v>0</v>
      </c>
      <c r="Z603" s="9">
        <f>IFERROR(VLOOKUP(B603,cubo!$A$6:$BE$37,27,0)-VLOOKUP(B603,#REF!,$Z$2,0),0)</f>
        <v>0</v>
      </c>
      <c r="AA603" s="9">
        <f>IFERROR(VLOOKUP(B603,cubo!$A$6:$BE$37,28,0)-VLOOKUP(B603,#REF!,$AA$2,0),0)</f>
        <v>0</v>
      </c>
      <c r="AB603" s="9">
        <f>IFERROR(VLOOKUP(B603,cubo!$A$6:$BE$37,29,0)-VLOOKUP(B603,#REF!,$AB$2,0),0)</f>
        <v>0</v>
      </c>
      <c r="AC603" s="9">
        <f>IFERROR(VLOOKUP(B603,cubo!$A$6:$BE$37,30,0)-VLOOKUP(B603,#REF!,$AC$2,0),0)</f>
        <v>0</v>
      </c>
      <c r="AD603" s="9">
        <f>IFERROR(VLOOKUP(B603,cubo!$A$6:$BE$37,31,0)-VLOOKUP(B603,#REF!,$AD$2,0),0)</f>
        <v>0</v>
      </c>
      <c r="AE603" s="9">
        <f>IFERROR(VLOOKUP(B603,cubo!$A$6:$BE$37,35,0)-VLOOKUP(B603,#REF!,$AE$2,0),0)</f>
        <v>0</v>
      </c>
      <c r="AF603" s="9" cm="1">
        <f t="array" aca="1" ref="AF603" ca="1">IFERROR(rrPROCV(B603,cubo!$A$6:$BE$37,48,0)-VLOOKUP(B603,#REF!,$AF$2,0),0)</f>
        <v>0</v>
      </c>
      <c r="AG603" s="9">
        <f>IFERROR(VLOOKUP(B603,cubo!$A$6:$BE$37,49,0)-VLOOKUP(B603,#REF!,$AG$2,0),0)</f>
        <v>0</v>
      </c>
      <c r="AH603" s="9">
        <f>IFERROR(VLOOKUP(B603,cubo!$A$6:$BE$37,50,0)-VLOOKUP(B603,#REF!,$AH$2,0),0)</f>
        <v>0</v>
      </c>
      <c r="AI603" s="9">
        <f>IFERROR(VLOOKUP(B603,cubo!$A$6:$BE$37,51,0)-VLOOKUP(B603,#REF!,$AI$2,0),0)</f>
        <v>0</v>
      </c>
      <c r="AJ603" s="9">
        <f>IFERROR(VLOOKUP(B603,cubo!$A$6:$BI$116,62,0)-VLOOKUP(B603,#REF!,$AJ$2,0),0)</f>
        <v>0</v>
      </c>
      <c r="AK603" s="9">
        <f>IFERROR(VLOOKUP(B603,cubo!$A$6:$BJ$37,63,0)-VLOOKUP(B603,#REF!,$AK$2,0),0)</f>
        <v>0</v>
      </c>
      <c r="AL603" s="9">
        <f>IFERROR(VLOOKUP(B603,cubo!$A$6:$BE$37,58,0)-VLOOKUP(B603,#REF!,$AL$2,0),0)</f>
        <v>0</v>
      </c>
      <c r="AM603" s="9">
        <f>IFERROR(VLOOKUP(B603,cubo!$A$6:$BK$37,64,0)-VLOOKUP(B603,#REF!,$AM$2,0),0)</f>
        <v>0</v>
      </c>
      <c r="AN603" s="9">
        <f>IFERROR(VLOOKUP(B603,cubo!$A$6:$AN$37,41,0)-VLOOKUP(B603,#REF!,$AN$2,0),0)</f>
        <v>0</v>
      </c>
    </row>
    <row r="604" spans="2:40" x14ac:dyDescent="0.25">
      <c r="B604" s="7">
        <f>[1]salario!A603</f>
        <v>0</v>
      </c>
      <c r="C604" s="8">
        <f>[1]salario!C603</f>
        <v>0</v>
      </c>
      <c r="D604" s="9">
        <f>IFERROR(VLOOKUP(B604,cubo!$A$6:$BE$37,3,0)-VLOOKUP(B604,#REF!,$D$2,0),0)</f>
        <v>0</v>
      </c>
      <c r="E604" s="10">
        <f>IFERROR(VLOOKUP(B604,cubo!$A$6:$BE$37,5,0)-VLOOKUP(B604,#REF!,$E$2,0),0)</f>
        <v>0</v>
      </c>
      <c r="F604" s="10">
        <f>IFERROR(VLOOKUP(B604,cubo!$A$6:$BE$37,8,0)-VLOOKUP(B604,#REF!,$F$2,0),0)</f>
        <v>0</v>
      </c>
      <c r="G604" s="9">
        <f>IFERROR(VLOOKUP(B604,cubo!$A$6:$BE$37,11,0)-VLOOKUP(B604,#REF!,$G$2,0),0)</f>
        <v>0</v>
      </c>
      <c r="H604" s="9">
        <f>IFERROR(VLOOKUP(B604,cubo!$A$6:$BE$37,53,0)-VLOOKUP(B604,#REF!,$H$2,0),0)</f>
        <v>0</v>
      </c>
      <c r="I604" s="10">
        <f>IFERROR(VLOOKUP(B604,cubo!$A$6:$BE$37,14,0)-VLOOKUP(B604,#REF!,$I$2,0),0)</f>
        <v>0</v>
      </c>
      <c r="J604" s="9">
        <f>IFERROR(VLOOKUP(B604,cubo!$A$6:$BE$37,16,0)-VLOOKUP(B604,#REF!,$J$2,0),0)</f>
        <v>0</v>
      </c>
      <c r="K604" s="9">
        <f>IFERROR(VLOOKUP(B604,cubo!$A$6:$BE$37,17,0)-VLOOKUP(B604,#REF!,$K$2,0),0)</f>
        <v>0</v>
      </c>
      <c r="L604" s="9">
        <f>IFERROR(VLOOKUP(B604,cubo!$A$6:$BE$37,19,0)-VLOOKUP(B604,#REF!,$L$2,0),0)</f>
        <v>0</v>
      </c>
      <c r="M604" s="9">
        <f>IFERROR(VLOOKUP(B604,cubo!$A$6:$BE$37,23,0)-VLOOKUP(B604,#REF!,$M$2,0),0)</f>
        <v>0</v>
      </c>
      <c r="N604" s="9">
        <f>IFERROR(VLOOKUP(B604,cubo!$A$6:$BE$37,25,0)-VLOOKUP(B604,#REF!,$N$2,0),0)</f>
        <v>0</v>
      </c>
      <c r="O604" s="9">
        <f>IFERROR(VLOOKUP(B604,cubo!$A$6:$BE$37,33,0)-VLOOKUP(B604,#REF!,$O$2,0),0)</f>
        <v>0</v>
      </c>
      <c r="P604" s="8">
        <f>IFERROR(VLOOKUP(B604,cubo!$A$6:$BE$37,37,0)-VLOOKUP(B604,#REF!,$P$2,0),0)</f>
        <v>0</v>
      </c>
      <c r="Q604" s="8">
        <f>IFERROR(VLOOKUP(B604,cubo!$A$6:$BE$37,56,0)-VLOOKUP(B604,#REF!,$Q$2,0),0)</f>
        <v>0</v>
      </c>
      <c r="R604" s="9">
        <f>IFERROR(VLOOKUP(B604,cubo!$A$6:$BE$37,40,0)-VLOOKUP(B604,#REF!,$R$2,0),0)</f>
        <v>0</v>
      </c>
      <c r="S604" s="9">
        <f>IFERROR(VLOOKUP(B604,cubo!$A$6:$BE$37,43,0)-VLOOKUP(B604,#REF!,$S$2,0),0)</f>
        <v>0</v>
      </c>
      <c r="T604" s="9">
        <f>IFERROR(VLOOKUP(B604,cubo!$A$6:$BE$37,46,0)-VLOOKUP(B604,#REF!,$T$2,0),0)</f>
        <v>0</v>
      </c>
      <c r="U604" s="9">
        <f>IFERROR(VLOOKUP(B604,cubo!$A$6:$BE$37,51,0)-VLOOKUP(B604,#REF!,$U$2,0),0)</f>
        <v>0</v>
      </c>
      <c r="V604" s="9">
        <f>IFERROR(VLOOKUP(B604,cubo!$A$6:$BJ$37,60,0)-VLOOKUP(B604,#REF!,$V$2,0),0)</f>
        <v>0</v>
      </c>
      <c r="W604" s="9">
        <f>IFERROR(VLOOKUP(B604,cubo!$A$6:$BE$37,26,0)-VLOOKUP(B604,#REF!,$W$2,0),0)</f>
        <v>0</v>
      </c>
      <c r="X604" s="9">
        <f>IFERROR(VLOOKUP(B604,cubo!$A$6:$BE$37,20,0)-VLOOKUP(B604,#REF!,$X$2,0),0)</f>
        <v>0</v>
      </c>
      <c r="Y604" s="9">
        <f>IFERROR(VLOOKUP(B604,cubo!$A$6:$BE$37,21,0)-VLOOKUP(B604,#REF!,$Y$2,0),0)</f>
        <v>0</v>
      </c>
      <c r="Z604" s="9">
        <f>IFERROR(VLOOKUP(B604,cubo!$A$6:$BE$37,27,0)-VLOOKUP(B604,#REF!,$Z$2,0),0)</f>
        <v>0</v>
      </c>
      <c r="AA604" s="9">
        <f>IFERROR(VLOOKUP(B604,cubo!$A$6:$BE$37,28,0)-VLOOKUP(B604,#REF!,$AA$2,0),0)</f>
        <v>0</v>
      </c>
      <c r="AB604" s="9">
        <f>IFERROR(VLOOKUP(B604,cubo!$A$6:$BE$37,29,0)-VLOOKUP(B604,#REF!,$AB$2,0),0)</f>
        <v>0</v>
      </c>
      <c r="AC604" s="9">
        <f>IFERROR(VLOOKUP(B604,cubo!$A$6:$BE$37,30,0)-VLOOKUP(B604,#REF!,$AC$2,0),0)</f>
        <v>0</v>
      </c>
      <c r="AD604" s="9">
        <f>IFERROR(VLOOKUP(B604,cubo!$A$6:$BE$37,31,0)-VLOOKUP(B604,#REF!,$AD$2,0),0)</f>
        <v>0</v>
      </c>
      <c r="AE604" s="9">
        <f>IFERROR(VLOOKUP(B604,cubo!$A$6:$BE$37,35,0)-VLOOKUP(B604,#REF!,$AE$2,0),0)</f>
        <v>0</v>
      </c>
      <c r="AF604" s="9" cm="1">
        <f t="array" aca="1" ref="AF604" ca="1">IFERROR(rrPROCV(B604,cubo!$A$6:$BE$37,48,0)-VLOOKUP(B604,#REF!,$AF$2,0),0)</f>
        <v>0</v>
      </c>
      <c r="AG604" s="9">
        <f>IFERROR(VLOOKUP(B604,cubo!$A$6:$BE$37,49,0)-VLOOKUP(B604,#REF!,$AG$2,0),0)</f>
        <v>0</v>
      </c>
      <c r="AH604" s="9">
        <f>IFERROR(VLOOKUP(B604,cubo!$A$6:$BE$37,50,0)-VLOOKUP(B604,#REF!,$AH$2,0),0)</f>
        <v>0</v>
      </c>
      <c r="AI604" s="9">
        <f>IFERROR(VLOOKUP(B604,cubo!$A$6:$BE$37,51,0)-VLOOKUP(B604,#REF!,$AI$2,0),0)</f>
        <v>0</v>
      </c>
      <c r="AJ604" s="9">
        <f>IFERROR(VLOOKUP(B604,cubo!$A$6:$BI$116,62,0)-VLOOKUP(B604,#REF!,$AJ$2,0),0)</f>
        <v>0</v>
      </c>
      <c r="AK604" s="9">
        <f>IFERROR(VLOOKUP(B604,cubo!$A$6:$BJ$37,63,0)-VLOOKUP(B604,#REF!,$AK$2,0),0)</f>
        <v>0</v>
      </c>
      <c r="AL604" s="9">
        <f>IFERROR(VLOOKUP(B604,cubo!$A$6:$BE$37,58,0)-VLOOKUP(B604,#REF!,$AL$2,0),0)</f>
        <v>0</v>
      </c>
      <c r="AM604" s="9">
        <f>IFERROR(VLOOKUP(B604,cubo!$A$6:$BK$37,64,0)-VLOOKUP(B604,#REF!,$AM$2,0),0)</f>
        <v>0</v>
      </c>
      <c r="AN604" s="9">
        <f>IFERROR(VLOOKUP(B604,cubo!$A$6:$AN$37,41,0)-VLOOKUP(B604,#REF!,$AN$2,0),0)</f>
        <v>0</v>
      </c>
    </row>
    <row r="605" spans="2:40" x14ac:dyDescent="0.25">
      <c r="B605" s="7">
        <f>[1]salario!A604</f>
        <v>0</v>
      </c>
      <c r="C605" s="8">
        <f>[1]salario!C604</f>
        <v>0</v>
      </c>
      <c r="D605" s="9">
        <f>IFERROR(VLOOKUP(B605,cubo!$A$6:$BE$37,3,0)-VLOOKUP(B605,#REF!,$D$2,0),0)</f>
        <v>0</v>
      </c>
      <c r="E605" s="10">
        <f>IFERROR(VLOOKUP(B605,cubo!$A$6:$BE$37,5,0)-VLOOKUP(B605,#REF!,$E$2,0),0)</f>
        <v>0</v>
      </c>
      <c r="F605" s="10">
        <f>IFERROR(VLOOKUP(B605,cubo!$A$6:$BE$37,8,0)-VLOOKUP(B605,#REF!,$F$2,0),0)</f>
        <v>0</v>
      </c>
      <c r="G605" s="9">
        <f>IFERROR(VLOOKUP(B605,cubo!$A$6:$BE$37,11,0)-VLOOKUP(B605,#REF!,$G$2,0),0)</f>
        <v>0</v>
      </c>
      <c r="H605" s="9">
        <f>IFERROR(VLOOKUP(B605,cubo!$A$6:$BE$37,53,0)-VLOOKUP(B605,#REF!,$H$2,0),0)</f>
        <v>0</v>
      </c>
      <c r="I605" s="10">
        <f>IFERROR(VLOOKUP(B605,cubo!$A$6:$BE$37,14,0)-VLOOKUP(B605,#REF!,$I$2,0),0)</f>
        <v>0</v>
      </c>
      <c r="J605" s="9">
        <f>IFERROR(VLOOKUP(B605,cubo!$A$6:$BE$37,16,0)-VLOOKUP(B605,#REF!,$J$2,0),0)</f>
        <v>0</v>
      </c>
      <c r="K605" s="9">
        <f>IFERROR(VLOOKUP(B605,cubo!$A$6:$BE$37,17,0)-VLOOKUP(B605,#REF!,$K$2,0),0)</f>
        <v>0</v>
      </c>
      <c r="L605" s="9">
        <f>IFERROR(VLOOKUP(B605,cubo!$A$6:$BE$37,19,0)-VLOOKUP(B605,#REF!,$L$2,0),0)</f>
        <v>0</v>
      </c>
      <c r="M605" s="9">
        <f>IFERROR(VLOOKUP(B605,cubo!$A$6:$BE$37,23,0)-VLOOKUP(B605,#REF!,$M$2,0),0)</f>
        <v>0</v>
      </c>
      <c r="N605" s="9">
        <f>IFERROR(VLOOKUP(B605,cubo!$A$6:$BE$37,25,0)-VLOOKUP(B605,#REF!,$N$2,0),0)</f>
        <v>0</v>
      </c>
      <c r="O605" s="9">
        <f>IFERROR(VLOOKUP(B605,cubo!$A$6:$BE$37,33,0)-VLOOKUP(B605,#REF!,$O$2,0),0)</f>
        <v>0</v>
      </c>
      <c r="P605" s="8">
        <f>IFERROR(VLOOKUP(B605,cubo!$A$6:$BE$37,37,0)-VLOOKUP(B605,#REF!,$P$2,0),0)</f>
        <v>0</v>
      </c>
      <c r="Q605" s="8">
        <f>IFERROR(VLOOKUP(B605,cubo!$A$6:$BE$37,56,0)-VLOOKUP(B605,#REF!,$Q$2,0),0)</f>
        <v>0</v>
      </c>
      <c r="R605" s="9">
        <f>IFERROR(VLOOKUP(B605,cubo!$A$6:$BE$37,40,0)-VLOOKUP(B605,#REF!,$R$2,0),0)</f>
        <v>0</v>
      </c>
      <c r="S605" s="9">
        <f>IFERROR(VLOOKUP(B605,cubo!$A$6:$BE$37,43,0)-VLOOKUP(B605,#REF!,$S$2,0),0)</f>
        <v>0</v>
      </c>
      <c r="T605" s="9">
        <f>IFERROR(VLOOKUP(B605,cubo!$A$6:$BE$37,46,0)-VLOOKUP(B605,#REF!,$T$2,0),0)</f>
        <v>0</v>
      </c>
      <c r="U605" s="9">
        <f>IFERROR(VLOOKUP(B605,cubo!$A$6:$BE$37,51,0)-VLOOKUP(B605,#REF!,$U$2,0),0)</f>
        <v>0</v>
      </c>
      <c r="V605" s="9">
        <f>IFERROR(VLOOKUP(B605,cubo!$A$6:$BJ$37,60,0)-VLOOKUP(B605,#REF!,$V$2,0),0)</f>
        <v>0</v>
      </c>
      <c r="W605" s="9">
        <f>IFERROR(VLOOKUP(B605,cubo!$A$6:$BE$37,26,0)-VLOOKUP(B605,#REF!,$W$2,0),0)</f>
        <v>0</v>
      </c>
      <c r="X605" s="9">
        <f>IFERROR(VLOOKUP(B605,cubo!$A$6:$BE$37,20,0)-VLOOKUP(B605,#REF!,$X$2,0),0)</f>
        <v>0</v>
      </c>
      <c r="Y605" s="9">
        <f>IFERROR(VLOOKUP(B605,cubo!$A$6:$BE$37,21,0)-VLOOKUP(B605,#REF!,$Y$2,0),0)</f>
        <v>0</v>
      </c>
      <c r="Z605" s="9">
        <f>IFERROR(VLOOKUP(B605,cubo!$A$6:$BE$37,27,0)-VLOOKUP(B605,#REF!,$Z$2,0),0)</f>
        <v>0</v>
      </c>
      <c r="AA605" s="9">
        <f>IFERROR(VLOOKUP(B605,cubo!$A$6:$BE$37,28,0)-VLOOKUP(B605,#REF!,$AA$2,0),0)</f>
        <v>0</v>
      </c>
      <c r="AB605" s="9">
        <f>IFERROR(VLOOKUP(B605,cubo!$A$6:$BE$37,29,0)-VLOOKUP(B605,#REF!,$AB$2,0),0)</f>
        <v>0</v>
      </c>
      <c r="AC605" s="9">
        <f>IFERROR(VLOOKUP(B605,cubo!$A$6:$BE$37,30,0)-VLOOKUP(B605,#REF!,$AC$2,0),0)</f>
        <v>0</v>
      </c>
      <c r="AD605" s="9">
        <f>IFERROR(VLOOKUP(B605,cubo!$A$6:$BE$37,31,0)-VLOOKUP(B605,#REF!,$AD$2,0),0)</f>
        <v>0</v>
      </c>
      <c r="AE605" s="9">
        <f>IFERROR(VLOOKUP(B605,cubo!$A$6:$BE$37,35,0)-VLOOKUP(B605,#REF!,$AE$2,0),0)</f>
        <v>0</v>
      </c>
      <c r="AF605" s="9" cm="1">
        <f t="array" aca="1" ref="AF605" ca="1">IFERROR(rrPROCV(B605,cubo!$A$6:$BE$37,48,0)-VLOOKUP(B605,#REF!,$AF$2,0),0)</f>
        <v>0</v>
      </c>
      <c r="AG605" s="9">
        <f>IFERROR(VLOOKUP(B605,cubo!$A$6:$BE$37,49,0)-VLOOKUP(B605,#REF!,$AG$2,0),0)</f>
        <v>0</v>
      </c>
      <c r="AH605" s="9">
        <f>IFERROR(VLOOKUP(B605,cubo!$A$6:$BE$37,50,0)-VLOOKUP(B605,#REF!,$AH$2,0),0)</f>
        <v>0</v>
      </c>
      <c r="AI605" s="9">
        <f>IFERROR(VLOOKUP(B605,cubo!$A$6:$BE$37,51,0)-VLOOKUP(B605,#REF!,$AI$2,0),0)</f>
        <v>0</v>
      </c>
      <c r="AJ605" s="9">
        <f>IFERROR(VLOOKUP(B605,cubo!$A$6:$BI$116,62,0)-VLOOKUP(B605,#REF!,$AJ$2,0),0)</f>
        <v>0</v>
      </c>
      <c r="AK605" s="9">
        <f>IFERROR(VLOOKUP(B605,cubo!$A$6:$BJ$37,63,0)-VLOOKUP(B605,#REF!,$AK$2,0),0)</f>
        <v>0</v>
      </c>
      <c r="AL605" s="9">
        <f>IFERROR(VLOOKUP(B605,cubo!$A$6:$BE$37,58,0)-VLOOKUP(B605,#REF!,$AL$2,0),0)</f>
        <v>0</v>
      </c>
      <c r="AM605" s="9">
        <f>IFERROR(VLOOKUP(B605,cubo!$A$6:$BK$37,64,0)-VLOOKUP(B605,#REF!,$AM$2,0),0)</f>
        <v>0</v>
      </c>
      <c r="AN605" s="9">
        <f>IFERROR(VLOOKUP(B605,cubo!$A$6:$AN$37,41,0)-VLOOKUP(B605,#REF!,$AN$2,0),0)</f>
        <v>0</v>
      </c>
    </row>
    <row r="606" spans="2:40" x14ac:dyDescent="0.25">
      <c r="B606" s="7">
        <f>[1]salario!A605</f>
        <v>0</v>
      </c>
      <c r="C606" s="8">
        <f>[1]salario!C605</f>
        <v>0</v>
      </c>
      <c r="D606" s="9">
        <f>IFERROR(VLOOKUP(B606,cubo!$A$6:$BE$37,3,0)-VLOOKUP(B606,#REF!,$D$2,0),0)</f>
        <v>0</v>
      </c>
      <c r="E606" s="10">
        <f>IFERROR(VLOOKUP(B606,cubo!$A$6:$BE$37,5,0)-VLOOKUP(B606,#REF!,$E$2,0),0)</f>
        <v>0</v>
      </c>
      <c r="F606" s="10">
        <f>IFERROR(VLOOKUP(B606,cubo!$A$6:$BE$37,8,0)-VLOOKUP(B606,#REF!,$F$2,0),0)</f>
        <v>0</v>
      </c>
      <c r="G606" s="9">
        <f>IFERROR(VLOOKUP(B606,cubo!$A$6:$BE$37,11,0)-VLOOKUP(B606,#REF!,$G$2,0),0)</f>
        <v>0</v>
      </c>
      <c r="H606" s="9">
        <f>IFERROR(VLOOKUP(B606,cubo!$A$6:$BE$37,53,0)-VLOOKUP(B606,#REF!,$H$2,0),0)</f>
        <v>0</v>
      </c>
      <c r="I606" s="10">
        <f>IFERROR(VLOOKUP(B606,cubo!$A$6:$BE$37,14,0)-VLOOKUP(B606,#REF!,$I$2,0),0)</f>
        <v>0</v>
      </c>
      <c r="J606" s="9">
        <f>IFERROR(VLOOKUP(B606,cubo!$A$6:$BE$37,16,0)-VLOOKUP(B606,#REF!,$J$2,0),0)</f>
        <v>0</v>
      </c>
      <c r="K606" s="9">
        <f>IFERROR(VLOOKUP(B606,cubo!$A$6:$BE$37,17,0)-VLOOKUP(B606,#REF!,$K$2,0),0)</f>
        <v>0</v>
      </c>
      <c r="L606" s="9">
        <f>IFERROR(VLOOKUP(B606,cubo!$A$6:$BE$37,19,0)-VLOOKUP(B606,#REF!,$L$2,0),0)</f>
        <v>0</v>
      </c>
      <c r="M606" s="9">
        <f>IFERROR(VLOOKUP(B606,cubo!$A$6:$BE$37,23,0)-VLOOKUP(B606,#REF!,$M$2,0),0)</f>
        <v>0</v>
      </c>
      <c r="N606" s="9">
        <f>IFERROR(VLOOKUP(B606,cubo!$A$6:$BE$37,25,0)-VLOOKUP(B606,#REF!,$N$2,0),0)</f>
        <v>0</v>
      </c>
      <c r="O606" s="9">
        <f>IFERROR(VLOOKUP(B606,cubo!$A$6:$BE$37,33,0)-VLOOKUP(B606,#REF!,$O$2,0),0)</f>
        <v>0</v>
      </c>
      <c r="P606" s="8">
        <f>IFERROR(VLOOKUP(B606,cubo!$A$6:$BE$37,37,0)-VLOOKUP(B606,#REF!,$P$2,0),0)</f>
        <v>0</v>
      </c>
      <c r="Q606" s="8">
        <f>IFERROR(VLOOKUP(B606,cubo!$A$6:$BE$37,56,0)-VLOOKUP(B606,#REF!,$Q$2,0),0)</f>
        <v>0</v>
      </c>
      <c r="R606" s="9">
        <f>IFERROR(VLOOKUP(B606,cubo!$A$6:$BE$37,40,0)-VLOOKUP(B606,#REF!,$R$2,0),0)</f>
        <v>0</v>
      </c>
      <c r="S606" s="9">
        <f>IFERROR(VLOOKUP(B606,cubo!$A$6:$BE$37,43,0)-VLOOKUP(B606,#REF!,$S$2,0),0)</f>
        <v>0</v>
      </c>
      <c r="T606" s="9">
        <f>IFERROR(VLOOKUP(B606,cubo!$A$6:$BE$37,46,0)-VLOOKUP(B606,#REF!,$T$2,0),0)</f>
        <v>0</v>
      </c>
      <c r="U606" s="9">
        <f>IFERROR(VLOOKUP(B606,cubo!$A$6:$BE$37,51,0)-VLOOKUP(B606,#REF!,$U$2,0),0)</f>
        <v>0</v>
      </c>
      <c r="V606" s="9">
        <f>IFERROR(VLOOKUP(B606,cubo!$A$6:$BJ$37,60,0)-VLOOKUP(B606,#REF!,$V$2,0),0)</f>
        <v>0</v>
      </c>
      <c r="W606" s="9">
        <f>IFERROR(VLOOKUP(B606,cubo!$A$6:$BE$37,26,0)-VLOOKUP(B606,#REF!,$W$2,0),0)</f>
        <v>0</v>
      </c>
      <c r="X606" s="9">
        <f>IFERROR(VLOOKUP(B606,cubo!$A$6:$BE$37,20,0)-VLOOKUP(B606,#REF!,$X$2,0),0)</f>
        <v>0</v>
      </c>
      <c r="Y606" s="9">
        <f>IFERROR(VLOOKUP(B606,cubo!$A$6:$BE$37,21,0)-VLOOKUP(B606,#REF!,$Y$2,0),0)</f>
        <v>0</v>
      </c>
      <c r="Z606" s="9">
        <f>IFERROR(VLOOKUP(B606,cubo!$A$6:$BE$37,27,0)-VLOOKUP(B606,#REF!,$Z$2,0),0)</f>
        <v>0</v>
      </c>
      <c r="AA606" s="9">
        <f>IFERROR(VLOOKUP(B606,cubo!$A$6:$BE$37,28,0)-VLOOKUP(B606,#REF!,$AA$2,0),0)</f>
        <v>0</v>
      </c>
      <c r="AB606" s="9">
        <f>IFERROR(VLOOKUP(B606,cubo!$A$6:$BE$37,29,0)-VLOOKUP(B606,#REF!,$AB$2,0),0)</f>
        <v>0</v>
      </c>
      <c r="AC606" s="9">
        <f>IFERROR(VLOOKUP(B606,cubo!$A$6:$BE$37,30,0)-VLOOKUP(B606,#REF!,$AC$2,0),0)</f>
        <v>0</v>
      </c>
      <c r="AD606" s="9">
        <f>IFERROR(VLOOKUP(B606,cubo!$A$6:$BE$37,31,0)-VLOOKUP(B606,#REF!,$AD$2,0),0)</f>
        <v>0</v>
      </c>
      <c r="AE606" s="9">
        <f>IFERROR(VLOOKUP(B606,cubo!$A$6:$BE$37,35,0)-VLOOKUP(B606,#REF!,$AE$2,0),0)</f>
        <v>0</v>
      </c>
      <c r="AF606" s="9" cm="1">
        <f t="array" aca="1" ref="AF606" ca="1">IFERROR(rrPROCV(B606,cubo!$A$6:$BE$37,48,0)-VLOOKUP(B606,#REF!,$AF$2,0),0)</f>
        <v>0</v>
      </c>
      <c r="AG606" s="9">
        <f>IFERROR(VLOOKUP(B606,cubo!$A$6:$BE$37,49,0)-VLOOKUP(B606,#REF!,$AG$2,0),0)</f>
        <v>0</v>
      </c>
      <c r="AH606" s="9">
        <f>IFERROR(VLOOKUP(B606,cubo!$A$6:$BE$37,50,0)-VLOOKUP(B606,#REF!,$AH$2,0),0)</f>
        <v>0</v>
      </c>
      <c r="AI606" s="9">
        <f>IFERROR(VLOOKUP(B606,cubo!$A$6:$BE$37,51,0)-VLOOKUP(B606,#REF!,$AI$2,0),0)</f>
        <v>0</v>
      </c>
      <c r="AJ606" s="9">
        <f>IFERROR(VLOOKUP(B606,cubo!$A$6:$BI$116,62,0)-VLOOKUP(B606,#REF!,$AJ$2,0),0)</f>
        <v>0</v>
      </c>
      <c r="AK606" s="9">
        <f>IFERROR(VLOOKUP(B606,cubo!$A$6:$BJ$37,63,0)-VLOOKUP(B606,#REF!,$AK$2,0),0)</f>
        <v>0</v>
      </c>
      <c r="AL606" s="9">
        <f>IFERROR(VLOOKUP(B606,cubo!$A$6:$BE$37,58,0)-VLOOKUP(B606,#REF!,$AL$2,0),0)</f>
        <v>0</v>
      </c>
      <c r="AM606" s="9">
        <f>IFERROR(VLOOKUP(B606,cubo!$A$6:$BK$37,64,0)-VLOOKUP(B606,#REF!,$AM$2,0),0)</f>
        <v>0</v>
      </c>
      <c r="AN606" s="9">
        <f>IFERROR(VLOOKUP(B606,cubo!$A$6:$AN$37,41,0)-VLOOKUP(B606,#REF!,$AN$2,0),0)</f>
        <v>0</v>
      </c>
    </row>
    <row r="607" spans="2:40" x14ac:dyDescent="0.25">
      <c r="B607" s="7">
        <f>[1]salario!A606</f>
        <v>0</v>
      </c>
      <c r="C607" s="8">
        <f>[1]salario!C606</f>
        <v>0</v>
      </c>
      <c r="D607" s="9">
        <f>IFERROR(VLOOKUP(B607,cubo!$A$6:$BE$37,3,0)-VLOOKUP(B607,#REF!,$D$2,0),0)</f>
        <v>0</v>
      </c>
      <c r="E607" s="10">
        <f>IFERROR(VLOOKUP(B607,cubo!$A$6:$BE$37,5,0)-VLOOKUP(B607,#REF!,$E$2,0),0)</f>
        <v>0</v>
      </c>
      <c r="F607" s="10">
        <f>IFERROR(VLOOKUP(B607,cubo!$A$6:$BE$37,8,0)-VLOOKUP(B607,#REF!,$F$2,0),0)</f>
        <v>0</v>
      </c>
      <c r="G607" s="9">
        <f>IFERROR(VLOOKUP(B607,cubo!$A$6:$BE$37,11,0)-VLOOKUP(B607,#REF!,$G$2,0),0)</f>
        <v>0</v>
      </c>
      <c r="H607" s="9">
        <f>IFERROR(VLOOKUP(B607,cubo!$A$6:$BE$37,53,0)-VLOOKUP(B607,#REF!,$H$2,0),0)</f>
        <v>0</v>
      </c>
      <c r="I607" s="10">
        <f>IFERROR(VLOOKUP(B607,cubo!$A$6:$BE$37,14,0)-VLOOKUP(B607,#REF!,$I$2,0),0)</f>
        <v>0</v>
      </c>
      <c r="J607" s="9">
        <f>IFERROR(VLOOKUP(B607,cubo!$A$6:$BE$37,16,0)-VLOOKUP(B607,#REF!,$J$2,0),0)</f>
        <v>0</v>
      </c>
      <c r="K607" s="9">
        <f>IFERROR(VLOOKUP(B607,cubo!$A$6:$BE$37,17,0)-VLOOKUP(B607,#REF!,$K$2,0),0)</f>
        <v>0</v>
      </c>
      <c r="L607" s="9">
        <f>IFERROR(VLOOKUP(B607,cubo!$A$6:$BE$37,19,0)-VLOOKUP(B607,#REF!,$L$2,0),0)</f>
        <v>0</v>
      </c>
      <c r="M607" s="9">
        <f>IFERROR(VLOOKUP(B607,cubo!$A$6:$BE$37,23,0)-VLOOKUP(B607,#REF!,$M$2,0),0)</f>
        <v>0</v>
      </c>
      <c r="N607" s="9">
        <f>IFERROR(VLOOKUP(B607,cubo!$A$6:$BE$37,25,0)-VLOOKUP(B607,#REF!,$N$2,0),0)</f>
        <v>0</v>
      </c>
      <c r="O607" s="9">
        <f>IFERROR(VLOOKUP(B607,cubo!$A$6:$BE$37,33,0)-VLOOKUP(B607,#REF!,$O$2,0),0)</f>
        <v>0</v>
      </c>
      <c r="P607" s="8">
        <f>IFERROR(VLOOKUP(B607,cubo!$A$6:$BE$37,37,0)-VLOOKUP(B607,#REF!,$P$2,0),0)</f>
        <v>0</v>
      </c>
      <c r="Q607" s="8">
        <f>IFERROR(VLOOKUP(B607,cubo!$A$6:$BE$37,56,0)-VLOOKUP(B607,#REF!,$Q$2,0),0)</f>
        <v>0</v>
      </c>
      <c r="R607" s="9">
        <f>IFERROR(VLOOKUP(B607,cubo!$A$6:$BE$37,40,0)-VLOOKUP(B607,#REF!,$R$2,0),0)</f>
        <v>0</v>
      </c>
      <c r="S607" s="9">
        <f>IFERROR(VLOOKUP(B607,cubo!$A$6:$BE$37,43,0)-VLOOKUP(B607,#REF!,$S$2,0),0)</f>
        <v>0</v>
      </c>
      <c r="T607" s="9">
        <f>IFERROR(VLOOKUP(B607,cubo!$A$6:$BE$37,46,0)-VLOOKUP(B607,#REF!,$T$2,0),0)</f>
        <v>0</v>
      </c>
      <c r="U607" s="9">
        <f>IFERROR(VLOOKUP(B607,cubo!$A$6:$BE$37,51,0)-VLOOKUP(B607,#REF!,$U$2,0),0)</f>
        <v>0</v>
      </c>
      <c r="V607" s="9">
        <f>IFERROR(VLOOKUP(B607,cubo!$A$6:$BJ$37,60,0)-VLOOKUP(B607,#REF!,$V$2,0),0)</f>
        <v>0</v>
      </c>
      <c r="W607" s="9">
        <f>IFERROR(VLOOKUP(B607,cubo!$A$6:$BE$37,26,0)-VLOOKUP(B607,#REF!,$W$2,0),0)</f>
        <v>0</v>
      </c>
      <c r="X607" s="9">
        <f>IFERROR(VLOOKUP(B607,cubo!$A$6:$BE$37,20,0)-VLOOKUP(B607,#REF!,$X$2,0),0)</f>
        <v>0</v>
      </c>
      <c r="Y607" s="9">
        <f>IFERROR(VLOOKUP(B607,cubo!$A$6:$BE$37,21,0)-VLOOKUP(B607,#REF!,$Y$2,0),0)</f>
        <v>0</v>
      </c>
      <c r="Z607" s="9">
        <f>IFERROR(VLOOKUP(B607,cubo!$A$6:$BE$37,27,0)-VLOOKUP(B607,#REF!,$Z$2,0),0)</f>
        <v>0</v>
      </c>
      <c r="AA607" s="9">
        <f>IFERROR(VLOOKUP(B607,cubo!$A$6:$BE$37,28,0)-VLOOKUP(B607,#REF!,$AA$2,0),0)</f>
        <v>0</v>
      </c>
      <c r="AB607" s="9">
        <f>IFERROR(VLOOKUP(B607,cubo!$A$6:$BE$37,29,0)-VLOOKUP(B607,#REF!,$AB$2,0),0)</f>
        <v>0</v>
      </c>
      <c r="AC607" s="9">
        <f>IFERROR(VLOOKUP(B607,cubo!$A$6:$BE$37,30,0)-VLOOKUP(B607,#REF!,$AC$2,0),0)</f>
        <v>0</v>
      </c>
      <c r="AD607" s="9">
        <f>IFERROR(VLOOKUP(B607,cubo!$A$6:$BE$37,31,0)-VLOOKUP(B607,#REF!,$AD$2,0),0)</f>
        <v>0</v>
      </c>
      <c r="AE607" s="9">
        <f>IFERROR(VLOOKUP(B607,cubo!$A$6:$BE$37,35,0)-VLOOKUP(B607,#REF!,$AE$2,0),0)</f>
        <v>0</v>
      </c>
      <c r="AF607" s="9" cm="1">
        <f t="array" aca="1" ref="AF607" ca="1">IFERROR(rrPROCV(B607,cubo!$A$6:$BE$37,48,0)-VLOOKUP(B607,#REF!,$AF$2,0),0)</f>
        <v>0</v>
      </c>
      <c r="AG607" s="9">
        <f>IFERROR(VLOOKUP(B607,cubo!$A$6:$BE$37,49,0)-VLOOKUP(B607,#REF!,$AG$2,0),0)</f>
        <v>0</v>
      </c>
      <c r="AH607" s="9">
        <f>IFERROR(VLOOKUP(B607,cubo!$A$6:$BE$37,50,0)-VLOOKUP(B607,#REF!,$AH$2,0),0)</f>
        <v>0</v>
      </c>
      <c r="AI607" s="9">
        <f>IFERROR(VLOOKUP(B607,cubo!$A$6:$BE$37,51,0)-VLOOKUP(B607,#REF!,$AI$2,0),0)</f>
        <v>0</v>
      </c>
      <c r="AJ607" s="9">
        <f>IFERROR(VLOOKUP(B607,cubo!$A$6:$BI$116,62,0)-VLOOKUP(B607,#REF!,$AJ$2,0),0)</f>
        <v>0</v>
      </c>
      <c r="AK607" s="9">
        <f>IFERROR(VLOOKUP(B607,cubo!$A$6:$BJ$37,63,0)-VLOOKUP(B607,#REF!,$AK$2,0),0)</f>
        <v>0</v>
      </c>
      <c r="AL607" s="9">
        <f>IFERROR(VLOOKUP(B607,cubo!$A$6:$BE$37,58,0)-VLOOKUP(B607,#REF!,$AL$2,0),0)</f>
        <v>0</v>
      </c>
      <c r="AM607" s="9">
        <f>IFERROR(VLOOKUP(B607,cubo!$A$6:$BK$37,64,0)-VLOOKUP(B607,#REF!,$AM$2,0),0)</f>
        <v>0</v>
      </c>
      <c r="AN607" s="9">
        <f>IFERROR(VLOOKUP(B607,cubo!$A$6:$AN$37,41,0)-VLOOKUP(B607,#REF!,$AN$2,0),0)</f>
        <v>0</v>
      </c>
    </row>
    <row r="608" spans="2:40" x14ac:dyDescent="0.25">
      <c r="B608" s="7">
        <f>[1]salario!A607</f>
        <v>0</v>
      </c>
      <c r="C608" s="8">
        <f>[1]salario!C607</f>
        <v>0</v>
      </c>
      <c r="D608" s="9">
        <f>IFERROR(VLOOKUP(B608,cubo!$A$6:$BE$37,3,0)-VLOOKUP(B608,#REF!,$D$2,0),0)</f>
        <v>0</v>
      </c>
      <c r="E608" s="10">
        <f>IFERROR(VLOOKUP(B608,cubo!$A$6:$BE$37,5,0)-VLOOKUP(B608,#REF!,$E$2,0),0)</f>
        <v>0</v>
      </c>
      <c r="F608" s="10">
        <f>IFERROR(VLOOKUP(B608,cubo!$A$6:$BE$37,8,0)-VLOOKUP(B608,#REF!,$F$2,0),0)</f>
        <v>0</v>
      </c>
      <c r="G608" s="9">
        <f>IFERROR(VLOOKUP(B608,cubo!$A$6:$BE$37,11,0)-VLOOKUP(B608,#REF!,$G$2,0),0)</f>
        <v>0</v>
      </c>
      <c r="H608" s="9">
        <f>IFERROR(VLOOKUP(B608,cubo!$A$6:$BE$37,53,0)-VLOOKUP(B608,#REF!,$H$2,0),0)</f>
        <v>0</v>
      </c>
      <c r="I608" s="10">
        <f>IFERROR(VLOOKUP(B608,cubo!$A$6:$BE$37,14,0)-VLOOKUP(B608,#REF!,$I$2,0),0)</f>
        <v>0</v>
      </c>
      <c r="J608" s="9">
        <f>IFERROR(VLOOKUP(B608,cubo!$A$6:$BE$37,16,0)-VLOOKUP(B608,#REF!,$J$2,0),0)</f>
        <v>0</v>
      </c>
      <c r="K608" s="9">
        <f>IFERROR(VLOOKUP(B608,cubo!$A$6:$BE$37,17,0)-VLOOKUP(B608,#REF!,$K$2,0),0)</f>
        <v>0</v>
      </c>
      <c r="L608" s="9">
        <f>IFERROR(VLOOKUP(B608,cubo!$A$6:$BE$37,19,0)-VLOOKUP(B608,#REF!,$L$2,0),0)</f>
        <v>0</v>
      </c>
      <c r="M608" s="9">
        <f>IFERROR(VLOOKUP(B608,cubo!$A$6:$BE$37,23,0)-VLOOKUP(B608,#REF!,$M$2,0),0)</f>
        <v>0</v>
      </c>
      <c r="N608" s="9">
        <f>IFERROR(VLOOKUP(B608,cubo!$A$6:$BE$37,25,0)-VLOOKUP(B608,#REF!,$N$2,0),0)</f>
        <v>0</v>
      </c>
      <c r="O608" s="9">
        <f>IFERROR(VLOOKUP(B608,cubo!$A$6:$BE$37,33,0)-VLOOKUP(B608,#REF!,$O$2,0),0)</f>
        <v>0</v>
      </c>
      <c r="P608" s="8">
        <f>IFERROR(VLOOKUP(B608,cubo!$A$6:$BE$37,37,0)-VLOOKUP(B608,#REF!,$P$2,0),0)</f>
        <v>0</v>
      </c>
      <c r="Q608" s="8">
        <f>IFERROR(VLOOKUP(B608,cubo!$A$6:$BE$37,56,0)-VLOOKUP(B608,#REF!,$Q$2,0),0)</f>
        <v>0</v>
      </c>
      <c r="R608" s="9">
        <f>IFERROR(VLOOKUP(B608,cubo!$A$6:$BE$37,40,0)-VLOOKUP(B608,#REF!,$R$2,0),0)</f>
        <v>0</v>
      </c>
      <c r="S608" s="9">
        <f>IFERROR(VLOOKUP(B608,cubo!$A$6:$BE$37,43,0)-VLOOKUP(B608,#REF!,$S$2,0),0)</f>
        <v>0</v>
      </c>
      <c r="T608" s="9">
        <f>IFERROR(VLOOKUP(B608,cubo!$A$6:$BE$37,46,0)-VLOOKUP(B608,#REF!,$T$2,0),0)</f>
        <v>0</v>
      </c>
      <c r="U608" s="9">
        <f>IFERROR(VLOOKUP(B608,cubo!$A$6:$BE$37,51,0)-VLOOKUP(B608,#REF!,$U$2,0),0)</f>
        <v>0</v>
      </c>
      <c r="V608" s="9">
        <f>IFERROR(VLOOKUP(B608,cubo!$A$6:$BJ$37,60,0)-VLOOKUP(B608,#REF!,$V$2,0),0)</f>
        <v>0</v>
      </c>
      <c r="W608" s="9">
        <f>IFERROR(VLOOKUP(B608,cubo!$A$6:$BE$37,26,0)-VLOOKUP(B608,#REF!,$W$2,0),0)</f>
        <v>0</v>
      </c>
      <c r="X608" s="9">
        <f>IFERROR(VLOOKUP(B608,cubo!$A$6:$BE$37,20,0)-VLOOKUP(B608,#REF!,$X$2,0),0)</f>
        <v>0</v>
      </c>
      <c r="Y608" s="9">
        <f>IFERROR(VLOOKUP(B608,cubo!$A$6:$BE$37,21,0)-VLOOKUP(B608,#REF!,$Y$2,0),0)</f>
        <v>0</v>
      </c>
      <c r="Z608" s="9">
        <f>IFERROR(VLOOKUP(B608,cubo!$A$6:$BE$37,27,0)-VLOOKUP(B608,#REF!,$Z$2,0),0)</f>
        <v>0</v>
      </c>
      <c r="AA608" s="9">
        <f>IFERROR(VLOOKUP(B608,cubo!$A$6:$BE$37,28,0)-VLOOKUP(B608,#REF!,$AA$2,0),0)</f>
        <v>0</v>
      </c>
      <c r="AB608" s="9">
        <f>IFERROR(VLOOKUP(B608,cubo!$A$6:$BE$37,29,0)-VLOOKUP(B608,#REF!,$AB$2,0),0)</f>
        <v>0</v>
      </c>
      <c r="AC608" s="9">
        <f>IFERROR(VLOOKUP(B608,cubo!$A$6:$BE$37,30,0)-VLOOKUP(B608,#REF!,$AC$2,0),0)</f>
        <v>0</v>
      </c>
      <c r="AD608" s="9">
        <f>IFERROR(VLOOKUP(B608,cubo!$A$6:$BE$37,31,0)-VLOOKUP(B608,#REF!,$AD$2,0),0)</f>
        <v>0</v>
      </c>
      <c r="AE608" s="9">
        <f>IFERROR(VLOOKUP(B608,cubo!$A$6:$BE$37,35,0)-VLOOKUP(B608,#REF!,$AE$2,0),0)</f>
        <v>0</v>
      </c>
      <c r="AF608" s="9" cm="1">
        <f t="array" aca="1" ref="AF608" ca="1">IFERROR(rrPROCV(B608,cubo!$A$6:$BE$37,48,0)-VLOOKUP(B608,#REF!,$AF$2,0),0)</f>
        <v>0</v>
      </c>
      <c r="AG608" s="9">
        <f>IFERROR(VLOOKUP(B608,cubo!$A$6:$BE$37,49,0)-VLOOKUP(B608,#REF!,$AG$2,0),0)</f>
        <v>0</v>
      </c>
      <c r="AH608" s="9">
        <f>IFERROR(VLOOKUP(B608,cubo!$A$6:$BE$37,50,0)-VLOOKUP(B608,#REF!,$AH$2,0),0)</f>
        <v>0</v>
      </c>
      <c r="AI608" s="9">
        <f>IFERROR(VLOOKUP(B608,cubo!$A$6:$BE$37,51,0)-VLOOKUP(B608,#REF!,$AI$2,0),0)</f>
        <v>0</v>
      </c>
      <c r="AJ608" s="9">
        <f>IFERROR(VLOOKUP(B608,cubo!$A$6:$BI$116,62,0)-VLOOKUP(B608,#REF!,$AJ$2,0),0)</f>
        <v>0</v>
      </c>
      <c r="AK608" s="9">
        <f>IFERROR(VLOOKUP(B608,cubo!$A$6:$BJ$37,63,0)-VLOOKUP(B608,#REF!,$AK$2,0),0)</f>
        <v>0</v>
      </c>
      <c r="AL608" s="9">
        <f>IFERROR(VLOOKUP(B608,cubo!$A$6:$BE$37,58,0)-VLOOKUP(B608,#REF!,$AL$2,0),0)</f>
        <v>0</v>
      </c>
      <c r="AM608" s="9">
        <f>IFERROR(VLOOKUP(B608,cubo!$A$6:$BK$37,64,0)-VLOOKUP(B608,#REF!,$AM$2,0),0)</f>
        <v>0</v>
      </c>
      <c r="AN608" s="9">
        <f>IFERROR(VLOOKUP(B608,cubo!$A$6:$AN$37,41,0)-VLOOKUP(B608,#REF!,$AN$2,0),0)</f>
        <v>0</v>
      </c>
    </row>
    <row r="609" spans="2:40" x14ac:dyDescent="0.25">
      <c r="B609" s="7">
        <f>[1]salario!A608</f>
        <v>0</v>
      </c>
      <c r="C609" s="8">
        <f>[1]salario!C608</f>
        <v>0</v>
      </c>
      <c r="D609" s="9">
        <f>IFERROR(VLOOKUP(B609,cubo!$A$6:$BE$37,3,0)-VLOOKUP(B609,#REF!,$D$2,0),0)</f>
        <v>0</v>
      </c>
      <c r="E609" s="10">
        <f>IFERROR(VLOOKUP(B609,cubo!$A$6:$BE$37,5,0)-VLOOKUP(B609,#REF!,$E$2,0),0)</f>
        <v>0</v>
      </c>
      <c r="F609" s="10">
        <f>IFERROR(VLOOKUP(B609,cubo!$A$6:$BE$37,8,0)-VLOOKUP(B609,#REF!,$F$2,0),0)</f>
        <v>0</v>
      </c>
      <c r="G609" s="9">
        <f>IFERROR(VLOOKUP(B609,cubo!$A$6:$BE$37,11,0)-VLOOKUP(B609,#REF!,$G$2,0),0)</f>
        <v>0</v>
      </c>
      <c r="H609" s="9">
        <f>IFERROR(VLOOKUP(B609,cubo!$A$6:$BE$37,53,0)-VLOOKUP(B609,#REF!,$H$2,0),0)</f>
        <v>0</v>
      </c>
      <c r="I609" s="10">
        <f>IFERROR(VLOOKUP(B609,cubo!$A$6:$BE$37,14,0)-VLOOKUP(B609,#REF!,$I$2,0),0)</f>
        <v>0</v>
      </c>
      <c r="J609" s="9">
        <f>IFERROR(VLOOKUP(B609,cubo!$A$6:$BE$37,16,0)-VLOOKUP(B609,#REF!,$J$2,0),0)</f>
        <v>0</v>
      </c>
      <c r="K609" s="9">
        <f>IFERROR(VLOOKUP(B609,cubo!$A$6:$BE$37,17,0)-VLOOKUP(B609,#REF!,$K$2,0),0)</f>
        <v>0</v>
      </c>
      <c r="L609" s="9">
        <f>IFERROR(VLOOKUP(B609,cubo!$A$6:$BE$37,19,0)-VLOOKUP(B609,#REF!,$L$2,0),0)</f>
        <v>0</v>
      </c>
      <c r="M609" s="9">
        <f>IFERROR(VLOOKUP(B609,cubo!$A$6:$BE$37,23,0)-VLOOKUP(B609,#REF!,$M$2,0),0)</f>
        <v>0</v>
      </c>
      <c r="N609" s="9">
        <f>IFERROR(VLOOKUP(B609,cubo!$A$6:$BE$37,25,0)-VLOOKUP(B609,#REF!,$N$2,0),0)</f>
        <v>0</v>
      </c>
      <c r="O609" s="9">
        <f>IFERROR(VLOOKUP(B609,cubo!$A$6:$BE$37,33,0)-VLOOKUP(B609,#REF!,$O$2,0),0)</f>
        <v>0</v>
      </c>
      <c r="P609" s="8">
        <f>IFERROR(VLOOKUP(B609,cubo!$A$6:$BE$37,37,0)-VLOOKUP(B609,#REF!,$P$2,0),0)</f>
        <v>0</v>
      </c>
      <c r="Q609" s="8">
        <f>IFERROR(VLOOKUP(B609,cubo!$A$6:$BE$37,56,0)-VLOOKUP(B609,#REF!,$Q$2,0),0)</f>
        <v>0</v>
      </c>
      <c r="R609" s="9">
        <f>IFERROR(VLOOKUP(B609,cubo!$A$6:$BE$37,40,0)-VLOOKUP(B609,#REF!,$R$2,0),0)</f>
        <v>0</v>
      </c>
      <c r="S609" s="9">
        <f>IFERROR(VLOOKUP(B609,cubo!$A$6:$BE$37,43,0)-VLOOKUP(B609,#REF!,$S$2,0),0)</f>
        <v>0</v>
      </c>
      <c r="T609" s="9">
        <f>IFERROR(VLOOKUP(B609,cubo!$A$6:$BE$37,46,0)-VLOOKUP(B609,#REF!,$T$2,0),0)</f>
        <v>0</v>
      </c>
      <c r="U609" s="9">
        <f>IFERROR(VLOOKUP(B609,cubo!$A$6:$BE$37,51,0)-VLOOKUP(B609,#REF!,$U$2,0),0)</f>
        <v>0</v>
      </c>
      <c r="V609" s="9">
        <f>IFERROR(VLOOKUP(B609,cubo!$A$6:$BJ$37,60,0)-VLOOKUP(B609,#REF!,$V$2,0),0)</f>
        <v>0</v>
      </c>
      <c r="W609" s="9">
        <f>IFERROR(VLOOKUP(B609,cubo!$A$6:$BE$37,26,0)-VLOOKUP(B609,#REF!,$W$2,0),0)</f>
        <v>0</v>
      </c>
      <c r="X609" s="9">
        <f>IFERROR(VLOOKUP(B609,cubo!$A$6:$BE$37,20,0)-VLOOKUP(B609,#REF!,$X$2,0),0)</f>
        <v>0</v>
      </c>
      <c r="Y609" s="9">
        <f>IFERROR(VLOOKUP(B609,cubo!$A$6:$BE$37,21,0)-VLOOKUP(B609,#REF!,$Y$2,0),0)</f>
        <v>0</v>
      </c>
      <c r="Z609" s="9">
        <f>IFERROR(VLOOKUP(B609,cubo!$A$6:$BE$37,27,0)-VLOOKUP(B609,#REF!,$Z$2,0),0)</f>
        <v>0</v>
      </c>
      <c r="AA609" s="9">
        <f>IFERROR(VLOOKUP(B609,cubo!$A$6:$BE$37,28,0)-VLOOKUP(B609,#REF!,$AA$2,0),0)</f>
        <v>0</v>
      </c>
      <c r="AB609" s="9">
        <f>IFERROR(VLOOKUP(B609,cubo!$A$6:$BE$37,29,0)-VLOOKUP(B609,#REF!,$AB$2,0),0)</f>
        <v>0</v>
      </c>
      <c r="AC609" s="9">
        <f>IFERROR(VLOOKUP(B609,cubo!$A$6:$BE$37,30,0)-VLOOKUP(B609,#REF!,$AC$2,0),0)</f>
        <v>0</v>
      </c>
      <c r="AD609" s="9">
        <f>IFERROR(VLOOKUP(B609,cubo!$A$6:$BE$37,31,0)-VLOOKUP(B609,#REF!,$AD$2,0),0)</f>
        <v>0</v>
      </c>
      <c r="AE609" s="9">
        <f>IFERROR(VLOOKUP(B609,cubo!$A$6:$BE$37,35,0)-VLOOKUP(B609,#REF!,$AE$2,0),0)</f>
        <v>0</v>
      </c>
      <c r="AF609" s="9" cm="1">
        <f t="array" aca="1" ref="AF609" ca="1">IFERROR(rrPROCV(B609,cubo!$A$6:$BE$37,48,0)-VLOOKUP(B609,#REF!,$AF$2,0),0)</f>
        <v>0</v>
      </c>
      <c r="AG609" s="9">
        <f>IFERROR(VLOOKUP(B609,cubo!$A$6:$BE$37,49,0)-VLOOKUP(B609,#REF!,$AG$2,0),0)</f>
        <v>0</v>
      </c>
      <c r="AH609" s="9">
        <f>IFERROR(VLOOKUP(B609,cubo!$A$6:$BE$37,50,0)-VLOOKUP(B609,#REF!,$AH$2,0),0)</f>
        <v>0</v>
      </c>
      <c r="AI609" s="9">
        <f>IFERROR(VLOOKUP(B609,cubo!$A$6:$BE$37,51,0)-VLOOKUP(B609,#REF!,$AI$2,0),0)</f>
        <v>0</v>
      </c>
      <c r="AJ609" s="9">
        <f>IFERROR(VLOOKUP(B609,cubo!$A$6:$BI$116,62,0)-VLOOKUP(B609,#REF!,$AJ$2,0),0)</f>
        <v>0</v>
      </c>
      <c r="AK609" s="9">
        <f>IFERROR(VLOOKUP(B609,cubo!$A$6:$BJ$37,63,0)-VLOOKUP(B609,#REF!,$AK$2,0),0)</f>
        <v>0</v>
      </c>
      <c r="AL609" s="9">
        <f>IFERROR(VLOOKUP(B609,cubo!$A$6:$BE$37,58,0)-VLOOKUP(B609,#REF!,$AL$2,0),0)</f>
        <v>0</v>
      </c>
      <c r="AM609" s="9">
        <f>IFERROR(VLOOKUP(B609,cubo!$A$6:$BK$37,64,0)-VLOOKUP(B609,#REF!,$AM$2,0),0)</f>
        <v>0</v>
      </c>
      <c r="AN609" s="9">
        <f>IFERROR(VLOOKUP(B609,cubo!$A$6:$AN$37,41,0)-VLOOKUP(B609,#REF!,$AN$2,0),0)</f>
        <v>0</v>
      </c>
    </row>
    <row r="610" spans="2:40" x14ac:dyDescent="0.25">
      <c r="B610" s="7">
        <f>[1]salario!A609</f>
        <v>0</v>
      </c>
      <c r="C610" s="8">
        <f>[1]salario!C609</f>
        <v>0</v>
      </c>
      <c r="D610" s="9">
        <f>IFERROR(VLOOKUP(B610,cubo!$A$6:$BE$37,3,0)-VLOOKUP(B610,#REF!,$D$2,0),0)</f>
        <v>0</v>
      </c>
      <c r="E610" s="10">
        <f>IFERROR(VLOOKUP(B610,cubo!$A$6:$BE$37,5,0)-VLOOKUP(B610,#REF!,$E$2,0),0)</f>
        <v>0</v>
      </c>
      <c r="F610" s="10">
        <f>IFERROR(VLOOKUP(B610,cubo!$A$6:$BE$37,8,0)-VLOOKUP(B610,#REF!,$F$2,0),0)</f>
        <v>0</v>
      </c>
      <c r="G610" s="9">
        <f>IFERROR(VLOOKUP(B610,cubo!$A$6:$BE$37,11,0)-VLOOKUP(B610,#REF!,$G$2,0),0)</f>
        <v>0</v>
      </c>
      <c r="H610" s="9">
        <f>IFERROR(VLOOKUP(B610,cubo!$A$6:$BE$37,53,0)-VLOOKUP(B610,#REF!,$H$2,0),0)</f>
        <v>0</v>
      </c>
      <c r="I610" s="10">
        <f>IFERROR(VLOOKUP(B610,cubo!$A$6:$BE$37,14,0)-VLOOKUP(B610,#REF!,$I$2,0),0)</f>
        <v>0</v>
      </c>
      <c r="J610" s="9">
        <f>IFERROR(VLOOKUP(B610,cubo!$A$6:$BE$37,16,0)-VLOOKUP(B610,#REF!,$J$2,0),0)</f>
        <v>0</v>
      </c>
      <c r="K610" s="9">
        <f>IFERROR(VLOOKUP(B610,cubo!$A$6:$BE$37,17,0)-VLOOKUP(B610,#REF!,$K$2,0),0)</f>
        <v>0</v>
      </c>
      <c r="L610" s="9">
        <f>IFERROR(VLOOKUP(B610,cubo!$A$6:$BE$37,19,0)-VLOOKUP(B610,#REF!,$L$2,0),0)</f>
        <v>0</v>
      </c>
      <c r="M610" s="9">
        <f>IFERROR(VLOOKUP(B610,cubo!$A$6:$BE$37,23,0)-VLOOKUP(B610,#REF!,$M$2,0),0)</f>
        <v>0</v>
      </c>
      <c r="N610" s="9">
        <f>IFERROR(VLOOKUP(B610,cubo!$A$6:$BE$37,25,0)-VLOOKUP(B610,#REF!,$N$2,0),0)</f>
        <v>0</v>
      </c>
      <c r="O610" s="9">
        <f>IFERROR(VLOOKUP(B610,cubo!$A$6:$BE$37,33,0)-VLOOKUP(B610,#REF!,$O$2,0),0)</f>
        <v>0</v>
      </c>
      <c r="P610" s="8">
        <f>IFERROR(VLOOKUP(B610,cubo!$A$6:$BE$37,37,0)-VLOOKUP(B610,#REF!,$P$2,0),0)</f>
        <v>0</v>
      </c>
      <c r="Q610" s="8">
        <f>IFERROR(VLOOKUP(B610,cubo!$A$6:$BE$37,56,0)-VLOOKUP(B610,#REF!,$Q$2,0),0)</f>
        <v>0</v>
      </c>
      <c r="R610" s="9">
        <f>IFERROR(VLOOKUP(B610,cubo!$A$6:$BE$37,40,0)-VLOOKUP(B610,#REF!,$R$2,0),0)</f>
        <v>0</v>
      </c>
      <c r="S610" s="9">
        <f>IFERROR(VLOOKUP(B610,cubo!$A$6:$BE$37,43,0)-VLOOKUP(B610,#REF!,$S$2,0),0)</f>
        <v>0</v>
      </c>
      <c r="T610" s="9">
        <f>IFERROR(VLOOKUP(B610,cubo!$A$6:$BE$37,46,0)-VLOOKUP(B610,#REF!,$T$2,0),0)</f>
        <v>0</v>
      </c>
      <c r="U610" s="9">
        <f>IFERROR(VLOOKUP(B610,cubo!$A$6:$BE$37,51,0)-VLOOKUP(B610,#REF!,$U$2,0),0)</f>
        <v>0</v>
      </c>
      <c r="V610" s="9">
        <f>IFERROR(VLOOKUP(B610,cubo!$A$6:$BJ$37,60,0)-VLOOKUP(B610,#REF!,$V$2,0),0)</f>
        <v>0</v>
      </c>
      <c r="W610" s="9">
        <f>IFERROR(VLOOKUP(B610,cubo!$A$6:$BE$37,26,0)-VLOOKUP(B610,#REF!,$W$2,0),0)</f>
        <v>0</v>
      </c>
      <c r="X610" s="9">
        <f>IFERROR(VLOOKUP(B610,cubo!$A$6:$BE$37,20,0)-VLOOKUP(B610,#REF!,$X$2,0),0)</f>
        <v>0</v>
      </c>
      <c r="Y610" s="9">
        <f>IFERROR(VLOOKUP(B610,cubo!$A$6:$BE$37,21,0)-VLOOKUP(B610,#REF!,$Y$2,0),0)</f>
        <v>0</v>
      </c>
      <c r="Z610" s="9">
        <f>IFERROR(VLOOKUP(B610,cubo!$A$6:$BE$37,27,0)-VLOOKUP(B610,#REF!,$Z$2,0),0)</f>
        <v>0</v>
      </c>
      <c r="AA610" s="9">
        <f>IFERROR(VLOOKUP(B610,cubo!$A$6:$BE$37,28,0)-VLOOKUP(B610,#REF!,$AA$2,0),0)</f>
        <v>0</v>
      </c>
      <c r="AB610" s="9">
        <f>IFERROR(VLOOKUP(B610,cubo!$A$6:$BE$37,29,0)-VLOOKUP(B610,#REF!,$AB$2,0),0)</f>
        <v>0</v>
      </c>
      <c r="AC610" s="9">
        <f>IFERROR(VLOOKUP(B610,cubo!$A$6:$BE$37,30,0)-VLOOKUP(B610,#REF!,$AC$2,0),0)</f>
        <v>0</v>
      </c>
      <c r="AD610" s="9">
        <f>IFERROR(VLOOKUP(B610,cubo!$A$6:$BE$37,31,0)-VLOOKUP(B610,#REF!,$AD$2,0),0)</f>
        <v>0</v>
      </c>
      <c r="AE610" s="9">
        <f>IFERROR(VLOOKUP(B610,cubo!$A$6:$BE$37,35,0)-VLOOKUP(B610,#REF!,$AE$2,0),0)</f>
        <v>0</v>
      </c>
      <c r="AF610" s="9" cm="1">
        <f t="array" aca="1" ref="AF610" ca="1">IFERROR(rrPROCV(B610,cubo!$A$6:$BE$37,48,0)-VLOOKUP(B610,#REF!,$AF$2,0),0)</f>
        <v>0</v>
      </c>
      <c r="AG610" s="9">
        <f>IFERROR(VLOOKUP(B610,cubo!$A$6:$BE$37,49,0)-VLOOKUP(B610,#REF!,$AG$2,0),0)</f>
        <v>0</v>
      </c>
      <c r="AH610" s="9">
        <f>IFERROR(VLOOKUP(B610,cubo!$A$6:$BE$37,50,0)-VLOOKUP(B610,#REF!,$AH$2,0),0)</f>
        <v>0</v>
      </c>
      <c r="AI610" s="9">
        <f>IFERROR(VLOOKUP(B610,cubo!$A$6:$BE$37,51,0)-VLOOKUP(B610,#REF!,$AI$2,0),0)</f>
        <v>0</v>
      </c>
      <c r="AJ610" s="9">
        <f>IFERROR(VLOOKUP(B610,cubo!$A$6:$BI$116,62,0)-VLOOKUP(B610,#REF!,$AJ$2,0),0)</f>
        <v>0</v>
      </c>
      <c r="AK610" s="9">
        <f>IFERROR(VLOOKUP(B610,cubo!$A$6:$BJ$37,63,0)-VLOOKUP(B610,#REF!,$AK$2,0),0)</f>
        <v>0</v>
      </c>
      <c r="AL610" s="9">
        <f>IFERROR(VLOOKUP(B610,cubo!$A$6:$BE$37,58,0)-VLOOKUP(B610,#REF!,$AL$2,0),0)</f>
        <v>0</v>
      </c>
      <c r="AM610" s="9">
        <f>IFERROR(VLOOKUP(B610,cubo!$A$6:$BK$37,64,0)-VLOOKUP(B610,#REF!,$AM$2,0),0)</f>
        <v>0</v>
      </c>
      <c r="AN610" s="9">
        <f>IFERROR(VLOOKUP(B610,cubo!$A$6:$AN$37,41,0)-VLOOKUP(B610,#REF!,$AN$2,0),0)</f>
        <v>0</v>
      </c>
    </row>
    <row r="611" spans="2:40" x14ac:dyDescent="0.25">
      <c r="B611" s="7">
        <f>[1]salario!A610</f>
        <v>0</v>
      </c>
      <c r="C611" s="8">
        <f>[1]salario!C610</f>
        <v>0</v>
      </c>
      <c r="D611" s="9">
        <f>IFERROR(VLOOKUP(B611,cubo!$A$6:$BE$37,3,0)-VLOOKUP(B611,#REF!,$D$2,0),0)</f>
        <v>0</v>
      </c>
      <c r="E611" s="10">
        <f>IFERROR(VLOOKUP(B611,cubo!$A$6:$BE$37,5,0)-VLOOKUP(B611,#REF!,$E$2,0),0)</f>
        <v>0</v>
      </c>
      <c r="F611" s="10">
        <f>IFERROR(VLOOKUP(B611,cubo!$A$6:$BE$37,8,0)-VLOOKUP(B611,#REF!,$F$2,0),0)</f>
        <v>0</v>
      </c>
      <c r="G611" s="9">
        <f>IFERROR(VLOOKUP(B611,cubo!$A$6:$BE$37,11,0)-VLOOKUP(B611,#REF!,$G$2,0),0)</f>
        <v>0</v>
      </c>
      <c r="H611" s="9">
        <f>IFERROR(VLOOKUP(B611,cubo!$A$6:$BE$37,53,0)-VLOOKUP(B611,#REF!,$H$2,0),0)</f>
        <v>0</v>
      </c>
      <c r="I611" s="10">
        <f>IFERROR(VLOOKUP(B611,cubo!$A$6:$BE$37,14,0)-VLOOKUP(B611,#REF!,$I$2,0),0)</f>
        <v>0</v>
      </c>
      <c r="J611" s="9">
        <f>IFERROR(VLOOKUP(B611,cubo!$A$6:$BE$37,16,0)-VLOOKUP(B611,#REF!,$J$2,0),0)</f>
        <v>0</v>
      </c>
      <c r="K611" s="9">
        <f>IFERROR(VLOOKUP(B611,cubo!$A$6:$BE$37,17,0)-VLOOKUP(B611,#REF!,$K$2,0),0)</f>
        <v>0</v>
      </c>
      <c r="L611" s="9">
        <f>IFERROR(VLOOKUP(B611,cubo!$A$6:$BE$37,19,0)-VLOOKUP(B611,#REF!,$L$2,0),0)</f>
        <v>0</v>
      </c>
      <c r="M611" s="9">
        <f>IFERROR(VLOOKUP(B611,cubo!$A$6:$BE$37,23,0)-VLOOKUP(B611,#REF!,$M$2,0),0)</f>
        <v>0</v>
      </c>
      <c r="N611" s="9">
        <f>IFERROR(VLOOKUP(B611,cubo!$A$6:$BE$37,25,0)-VLOOKUP(B611,#REF!,$N$2,0),0)</f>
        <v>0</v>
      </c>
      <c r="O611" s="9">
        <f>IFERROR(VLOOKUP(B611,cubo!$A$6:$BE$37,33,0)-VLOOKUP(B611,#REF!,$O$2,0),0)</f>
        <v>0</v>
      </c>
      <c r="P611" s="8">
        <f>IFERROR(VLOOKUP(B611,cubo!$A$6:$BE$37,37,0)-VLOOKUP(B611,#REF!,$P$2,0),0)</f>
        <v>0</v>
      </c>
      <c r="Q611" s="8">
        <f>IFERROR(VLOOKUP(B611,cubo!$A$6:$BE$37,56,0)-VLOOKUP(B611,#REF!,$Q$2,0),0)</f>
        <v>0</v>
      </c>
      <c r="R611" s="9">
        <f>IFERROR(VLOOKUP(B611,cubo!$A$6:$BE$37,40,0)-VLOOKUP(B611,#REF!,$R$2,0),0)</f>
        <v>0</v>
      </c>
      <c r="S611" s="9">
        <f>IFERROR(VLOOKUP(B611,cubo!$A$6:$BE$37,43,0)-VLOOKUP(B611,#REF!,$S$2,0),0)</f>
        <v>0</v>
      </c>
      <c r="T611" s="9">
        <f>IFERROR(VLOOKUP(B611,cubo!$A$6:$BE$37,46,0)-VLOOKUP(B611,#REF!,$T$2,0),0)</f>
        <v>0</v>
      </c>
      <c r="U611" s="9">
        <f>IFERROR(VLOOKUP(B611,cubo!$A$6:$BE$37,51,0)-VLOOKUP(B611,#REF!,$U$2,0),0)</f>
        <v>0</v>
      </c>
      <c r="V611" s="9">
        <f>IFERROR(VLOOKUP(B611,cubo!$A$6:$BJ$37,60,0)-VLOOKUP(B611,#REF!,$V$2,0),0)</f>
        <v>0</v>
      </c>
      <c r="W611" s="9">
        <f>IFERROR(VLOOKUP(B611,cubo!$A$6:$BE$37,26,0)-VLOOKUP(B611,#REF!,$W$2,0),0)</f>
        <v>0</v>
      </c>
      <c r="X611" s="9">
        <f>IFERROR(VLOOKUP(B611,cubo!$A$6:$BE$37,20,0)-VLOOKUP(B611,#REF!,$X$2,0),0)</f>
        <v>0</v>
      </c>
      <c r="Y611" s="9">
        <f>IFERROR(VLOOKUP(B611,cubo!$A$6:$BE$37,21,0)-VLOOKUP(B611,#REF!,$Y$2,0),0)</f>
        <v>0</v>
      </c>
      <c r="Z611" s="9">
        <f>IFERROR(VLOOKUP(B611,cubo!$A$6:$BE$37,27,0)-VLOOKUP(B611,#REF!,$Z$2,0),0)</f>
        <v>0</v>
      </c>
      <c r="AA611" s="9">
        <f>IFERROR(VLOOKUP(B611,cubo!$A$6:$BE$37,28,0)-VLOOKUP(B611,#REF!,$AA$2,0),0)</f>
        <v>0</v>
      </c>
      <c r="AB611" s="9">
        <f>IFERROR(VLOOKUP(B611,cubo!$A$6:$BE$37,29,0)-VLOOKUP(B611,#REF!,$AB$2,0),0)</f>
        <v>0</v>
      </c>
      <c r="AC611" s="9">
        <f>IFERROR(VLOOKUP(B611,cubo!$A$6:$BE$37,30,0)-VLOOKUP(B611,#REF!,$AC$2,0),0)</f>
        <v>0</v>
      </c>
      <c r="AD611" s="9">
        <f>IFERROR(VLOOKUP(B611,cubo!$A$6:$BE$37,31,0)-VLOOKUP(B611,#REF!,$AD$2,0),0)</f>
        <v>0</v>
      </c>
      <c r="AE611" s="9">
        <f>IFERROR(VLOOKUP(B611,cubo!$A$6:$BE$37,35,0)-VLOOKUP(B611,#REF!,$AE$2,0),0)</f>
        <v>0</v>
      </c>
      <c r="AF611" s="9" cm="1">
        <f t="array" aca="1" ref="AF611" ca="1">IFERROR(rrPROCV(B611,cubo!$A$6:$BE$37,48,0)-VLOOKUP(B611,#REF!,$AF$2,0),0)</f>
        <v>0</v>
      </c>
      <c r="AG611" s="9">
        <f>IFERROR(VLOOKUP(B611,cubo!$A$6:$BE$37,49,0)-VLOOKUP(B611,#REF!,$AG$2,0),0)</f>
        <v>0</v>
      </c>
      <c r="AH611" s="9">
        <f>IFERROR(VLOOKUP(B611,cubo!$A$6:$BE$37,50,0)-VLOOKUP(B611,#REF!,$AH$2,0),0)</f>
        <v>0</v>
      </c>
      <c r="AI611" s="9">
        <f>IFERROR(VLOOKUP(B611,cubo!$A$6:$BE$37,51,0)-VLOOKUP(B611,#REF!,$AI$2,0),0)</f>
        <v>0</v>
      </c>
      <c r="AJ611" s="9">
        <f>IFERROR(VLOOKUP(B611,cubo!$A$6:$BI$116,62,0)-VLOOKUP(B611,#REF!,$AJ$2,0),0)</f>
        <v>0</v>
      </c>
      <c r="AK611" s="9">
        <f>IFERROR(VLOOKUP(B611,cubo!$A$6:$BJ$37,63,0)-VLOOKUP(B611,#REF!,$AK$2,0),0)</f>
        <v>0</v>
      </c>
      <c r="AL611" s="9">
        <f>IFERROR(VLOOKUP(B611,cubo!$A$6:$BE$37,58,0)-VLOOKUP(B611,#REF!,$AL$2,0),0)</f>
        <v>0</v>
      </c>
      <c r="AM611" s="9">
        <f>IFERROR(VLOOKUP(B611,cubo!$A$6:$BK$37,64,0)-VLOOKUP(B611,#REF!,$AM$2,0),0)</f>
        <v>0</v>
      </c>
      <c r="AN611" s="9">
        <f>IFERROR(VLOOKUP(B611,cubo!$A$6:$AN$37,41,0)-VLOOKUP(B611,#REF!,$AN$2,0),0)</f>
        <v>0</v>
      </c>
    </row>
    <row r="612" spans="2:40" x14ac:dyDescent="0.25">
      <c r="B612" s="7">
        <f>[1]salario!A611</f>
        <v>0</v>
      </c>
      <c r="C612" s="8">
        <f>[1]salario!C611</f>
        <v>0</v>
      </c>
      <c r="D612" s="9">
        <f>IFERROR(VLOOKUP(B612,cubo!$A$6:$BE$37,3,0)-VLOOKUP(B612,#REF!,$D$2,0),0)</f>
        <v>0</v>
      </c>
      <c r="E612" s="10">
        <f>IFERROR(VLOOKUP(B612,cubo!$A$6:$BE$37,5,0)-VLOOKUP(B612,#REF!,$E$2,0),0)</f>
        <v>0</v>
      </c>
      <c r="F612" s="10">
        <f>IFERROR(VLOOKUP(B612,cubo!$A$6:$BE$37,8,0)-VLOOKUP(B612,#REF!,$F$2,0),0)</f>
        <v>0</v>
      </c>
      <c r="G612" s="9">
        <f>IFERROR(VLOOKUP(B612,cubo!$A$6:$BE$37,11,0)-VLOOKUP(B612,#REF!,$G$2,0),0)</f>
        <v>0</v>
      </c>
      <c r="H612" s="9">
        <f>IFERROR(VLOOKUP(B612,cubo!$A$6:$BE$37,53,0)-VLOOKUP(B612,#REF!,$H$2,0),0)</f>
        <v>0</v>
      </c>
      <c r="I612" s="10">
        <f>IFERROR(VLOOKUP(B612,cubo!$A$6:$BE$37,14,0)-VLOOKUP(B612,#REF!,$I$2,0),0)</f>
        <v>0</v>
      </c>
      <c r="J612" s="9">
        <f>IFERROR(VLOOKUP(B612,cubo!$A$6:$BE$37,16,0)-VLOOKUP(B612,#REF!,$J$2,0),0)</f>
        <v>0</v>
      </c>
      <c r="K612" s="9">
        <f>IFERROR(VLOOKUP(B612,cubo!$A$6:$BE$37,17,0)-VLOOKUP(B612,#REF!,$K$2,0),0)</f>
        <v>0</v>
      </c>
      <c r="L612" s="9">
        <f>IFERROR(VLOOKUP(B612,cubo!$A$6:$BE$37,19,0)-VLOOKUP(B612,#REF!,$L$2,0),0)</f>
        <v>0</v>
      </c>
      <c r="M612" s="9">
        <f>IFERROR(VLOOKUP(B612,cubo!$A$6:$BE$37,23,0)-VLOOKUP(B612,#REF!,$M$2,0),0)</f>
        <v>0</v>
      </c>
      <c r="N612" s="9">
        <f>IFERROR(VLOOKUP(B612,cubo!$A$6:$BE$37,25,0)-VLOOKUP(B612,#REF!,$N$2,0),0)</f>
        <v>0</v>
      </c>
      <c r="O612" s="9">
        <f>IFERROR(VLOOKUP(B612,cubo!$A$6:$BE$37,33,0)-VLOOKUP(B612,#REF!,$O$2,0),0)</f>
        <v>0</v>
      </c>
      <c r="P612" s="8">
        <f>IFERROR(VLOOKUP(B612,cubo!$A$6:$BE$37,37,0)-VLOOKUP(B612,#REF!,$P$2,0),0)</f>
        <v>0</v>
      </c>
      <c r="Q612" s="8">
        <f>IFERROR(VLOOKUP(B612,cubo!$A$6:$BE$37,56,0)-VLOOKUP(B612,#REF!,$Q$2,0),0)</f>
        <v>0</v>
      </c>
      <c r="R612" s="9">
        <f>IFERROR(VLOOKUP(B612,cubo!$A$6:$BE$37,40,0)-VLOOKUP(B612,#REF!,$R$2,0),0)</f>
        <v>0</v>
      </c>
      <c r="S612" s="9">
        <f>IFERROR(VLOOKUP(B612,cubo!$A$6:$BE$37,43,0)-VLOOKUP(B612,#REF!,$S$2,0),0)</f>
        <v>0</v>
      </c>
      <c r="T612" s="9">
        <f>IFERROR(VLOOKUP(B612,cubo!$A$6:$BE$37,46,0)-VLOOKUP(B612,#REF!,$T$2,0),0)</f>
        <v>0</v>
      </c>
      <c r="U612" s="9">
        <f>IFERROR(VLOOKUP(B612,cubo!$A$6:$BE$37,51,0)-VLOOKUP(B612,#REF!,$U$2,0),0)</f>
        <v>0</v>
      </c>
      <c r="V612" s="9">
        <f>IFERROR(VLOOKUP(B612,cubo!$A$6:$BJ$37,60,0)-VLOOKUP(B612,#REF!,$V$2,0),0)</f>
        <v>0</v>
      </c>
      <c r="W612" s="9">
        <f>IFERROR(VLOOKUP(B612,cubo!$A$6:$BE$37,26,0)-VLOOKUP(B612,#REF!,$W$2,0),0)</f>
        <v>0</v>
      </c>
      <c r="X612" s="9">
        <f>IFERROR(VLOOKUP(B612,cubo!$A$6:$BE$37,20,0)-VLOOKUP(B612,#REF!,$X$2,0),0)</f>
        <v>0</v>
      </c>
      <c r="Y612" s="9">
        <f>IFERROR(VLOOKUP(B612,cubo!$A$6:$BE$37,21,0)-VLOOKUP(B612,#REF!,$Y$2,0),0)</f>
        <v>0</v>
      </c>
      <c r="Z612" s="9">
        <f>IFERROR(VLOOKUP(B612,cubo!$A$6:$BE$37,27,0)-VLOOKUP(B612,#REF!,$Z$2,0),0)</f>
        <v>0</v>
      </c>
      <c r="AA612" s="9">
        <f>IFERROR(VLOOKUP(B612,cubo!$A$6:$BE$37,28,0)-VLOOKUP(B612,#REF!,$AA$2,0),0)</f>
        <v>0</v>
      </c>
      <c r="AB612" s="9">
        <f>IFERROR(VLOOKUP(B612,cubo!$A$6:$BE$37,29,0)-VLOOKUP(B612,#REF!,$AB$2,0),0)</f>
        <v>0</v>
      </c>
      <c r="AC612" s="9">
        <f>IFERROR(VLOOKUP(B612,cubo!$A$6:$BE$37,30,0)-VLOOKUP(B612,#REF!,$AC$2,0),0)</f>
        <v>0</v>
      </c>
      <c r="AD612" s="9">
        <f>IFERROR(VLOOKUP(B612,cubo!$A$6:$BE$37,31,0)-VLOOKUP(B612,#REF!,$AD$2,0),0)</f>
        <v>0</v>
      </c>
      <c r="AE612" s="9">
        <f>IFERROR(VLOOKUP(B612,cubo!$A$6:$BE$37,35,0)-VLOOKUP(B612,#REF!,$AE$2,0),0)</f>
        <v>0</v>
      </c>
      <c r="AF612" s="9" cm="1">
        <f t="array" aca="1" ref="AF612" ca="1">IFERROR(rrPROCV(B612,cubo!$A$6:$BE$37,48,0)-VLOOKUP(B612,#REF!,$AF$2,0),0)</f>
        <v>0</v>
      </c>
      <c r="AG612" s="9">
        <f>IFERROR(VLOOKUP(B612,cubo!$A$6:$BE$37,49,0)-VLOOKUP(B612,#REF!,$AG$2,0),0)</f>
        <v>0</v>
      </c>
      <c r="AH612" s="9">
        <f>IFERROR(VLOOKUP(B612,cubo!$A$6:$BE$37,50,0)-VLOOKUP(B612,#REF!,$AH$2,0),0)</f>
        <v>0</v>
      </c>
      <c r="AI612" s="9">
        <f>IFERROR(VLOOKUP(B612,cubo!$A$6:$BE$37,51,0)-VLOOKUP(B612,#REF!,$AI$2,0),0)</f>
        <v>0</v>
      </c>
      <c r="AJ612" s="9">
        <f>IFERROR(VLOOKUP(B612,cubo!$A$6:$BI$116,62,0)-VLOOKUP(B612,#REF!,$AJ$2,0),0)</f>
        <v>0</v>
      </c>
      <c r="AK612" s="9">
        <f>IFERROR(VLOOKUP(B612,cubo!$A$6:$BJ$37,63,0)-VLOOKUP(B612,#REF!,$AK$2,0),0)</f>
        <v>0</v>
      </c>
      <c r="AL612" s="9">
        <f>IFERROR(VLOOKUP(B612,cubo!$A$6:$BE$37,58,0)-VLOOKUP(B612,#REF!,$AL$2,0),0)</f>
        <v>0</v>
      </c>
      <c r="AM612" s="9">
        <f>IFERROR(VLOOKUP(B612,cubo!$A$6:$BK$37,64,0)-VLOOKUP(B612,#REF!,$AM$2,0),0)</f>
        <v>0</v>
      </c>
      <c r="AN612" s="9">
        <f>IFERROR(VLOOKUP(B612,cubo!$A$6:$AN$37,41,0)-VLOOKUP(B612,#REF!,$AN$2,0),0)</f>
        <v>0</v>
      </c>
    </row>
    <row r="613" spans="2:40" x14ac:dyDescent="0.25">
      <c r="B613" s="7">
        <f>[1]salario!A612</f>
        <v>0</v>
      </c>
      <c r="C613" s="8">
        <f>[1]salario!C612</f>
        <v>0</v>
      </c>
      <c r="D613" s="9">
        <f>IFERROR(VLOOKUP(B613,cubo!$A$6:$BE$37,3,0)-VLOOKUP(B613,#REF!,$D$2,0),0)</f>
        <v>0</v>
      </c>
      <c r="E613" s="10">
        <f>IFERROR(VLOOKUP(B613,cubo!$A$6:$BE$37,5,0)-VLOOKUP(B613,#REF!,$E$2,0),0)</f>
        <v>0</v>
      </c>
      <c r="F613" s="10">
        <f>IFERROR(VLOOKUP(B613,cubo!$A$6:$BE$37,8,0)-VLOOKUP(B613,#REF!,$F$2,0),0)</f>
        <v>0</v>
      </c>
      <c r="G613" s="9">
        <f>IFERROR(VLOOKUP(B613,cubo!$A$6:$BE$37,11,0)-VLOOKUP(B613,#REF!,$G$2,0),0)</f>
        <v>0</v>
      </c>
      <c r="H613" s="9">
        <f>IFERROR(VLOOKUP(B613,cubo!$A$6:$BE$37,53,0)-VLOOKUP(B613,#REF!,$H$2,0),0)</f>
        <v>0</v>
      </c>
      <c r="I613" s="10">
        <f>IFERROR(VLOOKUP(B613,cubo!$A$6:$BE$37,14,0)-VLOOKUP(B613,#REF!,$I$2,0),0)</f>
        <v>0</v>
      </c>
      <c r="J613" s="9">
        <f>IFERROR(VLOOKUP(B613,cubo!$A$6:$BE$37,16,0)-VLOOKUP(B613,#REF!,$J$2,0),0)</f>
        <v>0</v>
      </c>
      <c r="K613" s="9">
        <f>IFERROR(VLOOKUP(B613,cubo!$A$6:$BE$37,17,0)-VLOOKUP(B613,#REF!,$K$2,0),0)</f>
        <v>0</v>
      </c>
      <c r="L613" s="9">
        <f>IFERROR(VLOOKUP(B613,cubo!$A$6:$BE$37,19,0)-VLOOKUP(B613,#REF!,$L$2,0),0)</f>
        <v>0</v>
      </c>
      <c r="M613" s="9">
        <f>IFERROR(VLOOKUP(B613,cubo!$A$6:$BE$37,23,0)-VLOOKUP(B613,#REF!,$M$2,0),0)</f>
        <v>0</v>
      </c>
      <c r="N613" s="9">
        <f>IFERROR(VLOOKUP(B613,cubo!$A$6:$BE$37,25,0)-VLOOKUP(B613,#REF!,$N$2,0),0)</f>
        <v>0</v>
      </c>
      <c r="O613" s="9">
        <f>IFERROR(VLOOKUP(B613,cubo!$A$6:$BE$37,33,0)-VLOOKUP(B613,#REF!,$O$2,0),0)</f>
        <v>0</v>
      </c>
      <c r="P613" s="8">
        <f>IFERROR(VLOOKUP(B613,cubo!$A$6:$BE$37,37,0)-VLOOKUP(B613,#REF!,$P$2,0),0)</f>
        <v>0</v>
      </c>
      <c r="Q613" s="8">
        <f>IFERROR(VLOOKUP(B613,cubo!$A$6:$BE$37,56,0)-VLOOKUP(B613,#REF!,$Q$2,0),0)</f>
        <v>0</v>
      </c>
      <c r="R613" s="9">
        <f>IFERROR(VLOOKUP(B613,cubo!$A$6:$BE$37,40,0)-VLOOKUP(B613,#REF!,$R$2,0),0)</f>
        <v>0</v>
      </c>
      <c r="S613" s="9">
        <f>IFERROR(VLOOKUP(B613,cubo!$A$6:$BE$37,43,0)-VLOOKUP(B613,#REF!,$S$2,0),0)</f>
        <v>0</v>
      </c>
      <c r="T613" s="9">
        <f>IFERROR(VLOOKUP(B613,cubo!$A$6:$BE$37,46,0)-VLOOKUP(B613,#REF!,$T$2,0),0)</f>
        <v>0</v>
      </c>
      <c r="U613" s="9">
        <f>IFERROR(VLOOKUP(B613,cubo!$A$6:$BE$37,51,0)-VLOOKUP(B613,#REF!,$U$2,0),0)</f>
        <v>0</v>
      </c>
      <c r="V613" s="9">
        <f>IFERROR(VLOOKUP(B613,cubo!$A$6:$BJ$37,60,0)-VLOOKUP(B613,#REF!,$V$2,0),0)</f>
        <v>0</v>
      </c>
      <c r="W613" s="9">
        <f>IFERROR(VLOOKUP(B613,cubo!$A$6:$BE$37,26,0)-VLOOKUP(B613,#REF!,$W$2,0),0)</f>
        <v>0</v>
      </c>
      <c r="X613" s="9">
        <f>IFERROR(VLOOKUP(B613,cubo!$A$6:$BE$37,20,0)-VLOOKUP(B613,#REF!,$X$2,0),0)</f>
        <v>0</v>
      </c>
      <c r="Y613" s="9">
        <f>IFERROR(VLOOKUP(B613,cubo!$A$6:$BE$37,21,0)-VLOOKUP(B613,#REF!,$Y$2,0),0)</f>
        <v>0</v>
      </c>
      <c r="Z613" s="9">
        <f>IFERROR(VLOOKUP(B613,cubo!$A$6:$BE$37,27,0)-VLOOKUP(B613,#REF!,$Z$2,0),0)</f>
        <v>0</v>
      </c>
      <c r="AA613" s="9">
        <f>IFERROR(VLOOKUP(B613,cubo!$A$6:$BE$37,28,0)-VLOOKUP(B613,#REF!,$AA$2,0),0)</f>
        <v>0</v>
      </c>
      <c r="AB613" s="9">
        <f>IFERROR(VLOOKUP(B613,cubo!$A$6:$BE$37,29,0)-VLOOKUP(B613,#REF!,$AB$2,0),0)</f>
        <v>0</v>
      </c>
      <c r="AC613" s="9">
        <f>IFERROR(VLOOKUP(B613,cubo!$A$6:$BE$37,30,0)-VLOOKUP(B613,#REF!,$AC$2,0),0)</f>
        <v>0</v>
      </c>
      <c r="AD613" s="9">
        <f>IFERROR(VLOOKUP(B613,cubo!$A$6:$BE$37,31,0)-VLOOKUP(B613,#REF!,$AD$2,0),0)</f>
        <v>0</v>
      </c>
      <c r="AE613" s="9">
        <f>IFERROR(VLOOKUP(B613,cubo!$A$6:$BE$37,35,0)-VLOOKUP(B613,#REF!,$AE$2,0),0)</f>
        <v>0</v>
      </c>
      <c r="AF613" s="9" cm="1">
        <f t="array" aca="1" ref="AF613" ca="1">IFERROR(rrPROCV(B613,cubo!$A$6:$BE$37,48,0)-VLOOKUP(B613,#REF!,$AF$2,0),0)</f>
        <v>0</v>
      </c>
      <c r="AG613" s="9">
        <f>IFERROR(VLOOKUP(B613,cubo!$A$6:$BE$37,49,0)-VLOOKUP(B613,#REF!,$AG$2,0),0)</f>
        <v>0</v>
      </c>
      <c r="AH613" s="9">
        <f>IFERROR(VLOOKUP(B613,cubo!$A$6:$BE$37,50,0)-VLOOKUP(B613,#REF!,$AH$2,0),0)</f>
        <v>0</v>
      </c>
      <c r="AI613" s="9">
        <f>IFERROR(VLOOKUP(B613,cubo!$A$6:$BE$37,51,0)-VLOOKUP(B613,#REF!,$AI$2,0),0)</f>
        <v>0</v>
      </c>
      <c r="AJ613" s="9">
        <f>IFERROR(VLOOKUP(B613,cubo!$A$6:$BI$116,62,0)-VLOOKUP(B613,#REF!,$AJ$2,0),0)</f>
        <v>0</v>
      </c>
      <c r="AK613" s="9">
        <f>IFERROR(VLOOKUP(B613,cubo!$A$6:$BJ$37,63,0)-VLOOKUP(B613,#REF!,$AK$2,0),0)</f>
        <v>0</v>
      </c>
      <c r="AL613" s="9">
        <f>IFERROR(VLOOKUP(B613,cubo!$A$6:$BE$37,58,0)-VLOOKUP(B613,#REF!,$AL$2,0),0)</f>
        <v>0</v>
      </c>
      <c r="AM613" s="9">
        <f>IFERROR(VLOOKUP(B613,cubo!$A$6:$BK$37,64,0)-VLOOKUP(B613,#REF!,$AM$2,0),0)</f>
        <v>0</v>
      </c>
      <c r="AN613" s="9">
        <f>IFERROR(VLOOKUP(B613,cubo!$A$6:$AN$37,41,0)-VLOOKUP(B613,#REF!,$AN$2,0),0)</f>
        <v>0</v>
      </c>
    </row>
    <row r="614" spans="2:40" x14ac:dyDescent="0.25">
      <c r="B614" s="7">
        <f>[1]salario!A613</f>
        <v>0</v>
      </c>
      <c r="C614" s="14">
        <f>[1]salario!C613</f>
        <v>0</v>
      </c>
      <c r="D614" s="9">
        <f>IFERROR(VLOOKUP(B614,cubo!$A$6:$BE$37,3,0)-VLOOKUP(B614,#REF!,$D$2,0),0)</f>
        <v>0</v>
      </c>
      <c r="E614" s="10">
        <f>IFERROR(VLOOKUP(B614,cubo!$A$6:$BE$37,5,0)-VLOOKUP(B614,#REF!,$E$2,0),0)</f>
        <v>0</v>
      </c>
      <c r="F614" s="10">
        <f>IFERROR(VLOOKUP(B614,cubo!$A$6:$BE$37,8,0)-VLOOKUP(B614,#REF!,$F$2,0),0)</f>
        <v>0</v>
      </c>
      <c r="G614" s="9">
        <f>IFERROR(VLOOKUP(B614,cubo!$A$6:$BE$37,11,0)-VLOOKUP(B614,#REF!,$G$2,0),0)</f>
        <v>0</v>
      </c>
      <c r="H614" s="9">
        <f>IFERROR(VLOOKUP(B614,cubo!$A$6:$BE$37,53,0)-VLOOKUP(B614,#REF!,$H$2,0),0)</f>
        <v>0</v>
      </c>
      <c r="I614" s="10">
        <f>IFERROR(VLOOKUP(B614,cubo!$A$6:$BE$37,14,0)-VLOOKUP(B614,#REF!,$I$2,0),0)</f>
        <v>0</v>
      </c>
      <c r="J614" s="9">
        <f>IFERROR(VLOOKUP(B614,cubo!$A$6:$BE$37,16,0)-VLOOKUP(B614,#REF!,$J$2,0),0)</f>
        <v>0</v>
      </c>
      <c r="K614" s="9">
        <f>IFERROR(VLOOKUP(B614,cubo!$A$6:$BE$37,17,0)-VLOOKUP(B614,#REF!,$K$2,0),0)</f>
        <v>0</v>
      </c>
      <c r="L614" s="9">
        <f>IFERROR(VLOOKUP(B614,cubo!$A$6:$BE$37,19,0)-VLOOKUP(B614,#REF!,$L$2,0),0)</f>
        <v>0</v>
      </c>
      <c r="M614" s="9">
        <f>IFERROR(VLOOKUP(B614,cubo!$A$6:$BE$37,23,0)-VLOOKUP(B614,#REF!,$M$2,0),0)</f>
        <v>0</v>
      </c>
      <c r="N614" s="9">
        <f>IFERROR(VLOOKUP(B614,cubo!$A$6:$BE$37,25,0)-VLOOKUP(B614,#REF!,$N$2,0),0)</f>
        <v>0</v>
      </c>
      <c r="O614" s="9">
        <f>IFERROR(VLOOKUP(B614,cubo!$A$6:$BE$37,33,0)-VLOOKUP(B614,#REF!,$O$2,0),0)</f>
        <v>0</v>
      </c>
      <c r="P614" s="8">
        <f>IFERROR(VLOOKUP(B614,cubo!$A$6:$BE$37,37,0)-VLOOKUP(B614,#REF!,$P$2,0),0)</f>
        <v>0</v>
      </c>
      <c r="Q614" s="8">
        <f>IFERROR(VLOOKUP(B614,cubo!$A$6:$BE$37,56,0)-VLOOKUP(B614,#REF!,$Q$2,0),0)</f>
        <v>0</v>
      </c>
      <c r="R614" s="9">
        <f>IFERROR(VLOOKUP(B614,cubo!$A$6:$BE$37,40,0)-VLOOKUP(B614,#REF!,$R$2,0),0)</f>
        <v>0</v>
      </c>
      <c r="S614" s="9">
        <f>IFERROR(VLOOKUP(B614,cubo!$A$6:$BE$37,43,0)-VLOOKUP(B614,#REF!,$S$2,0),0)</f>
        <v>0</v>
      </c>
      <c r="T614" s="9">
        <f>IFERROR(VLOOKUP(B614,cubo!$A$6:$BE$37,46,0)-VLOOKUP(B614,#REF!,$T$2,0),0)</f>
        <v>0</v>
      </c>
      <c r="U614" s="9">
        <f>IFERROR(VLOOKUP(B614,cubo!$A$6:$BE$37,51,0)-VLOOKUP(B614,#REF!,$U$2,0),0)</f>
        <v>0</v>
      </c>
      <c r="V614" s="9">
        <f>IFERROR(VLOOKUP(B614,cubo!$A$6:$BJ$37,60,0)-VLOOKUP(B614,#REF!,$V$2,0),0)</f>
        <v>0</v>
      </c>
      <c r="W614" s="9">
        <f>IFERROR(VLOOKUP(B614,cubo!$A$6:$BE$37,26,0)-VLOOKUP(B614,#REF!,$W$2,0),0)</f>
        <v>0</v>
      </c>
      <c r="X614" s="9">
        <f>IFERROR(VLOOKUP(B614,cubo!$A$6:$BE$37,20,0)-VLOOKUP(B614,#REF!,$X$2,0),0)</f>
        <v>0</v>
      </c>
      <c r="Y614" s="9">
        <f>IFERROR(VLOOKUP(B614,cubo!$A$6:$BE$37,21,0)-VLOOKUP(B614,#REF!,$Y$2,0),0)</f>
        <v>0</v>
      </c>
      <c r="Z614" s="9">
        <f>IFERROR(VLOOKUP(B614,cubo!$A$6:$BE$37,27,0)-VLOOKUP(B614,#REF!,$Z$2,0),0)</f>
        <v>0</v>
      </c>
      <c r="AA614" s="9">
        <f>IFERROR(VLOOKUP(B614,cubo!$A$6:$BE$37,28,0)-VLOOKUP(B614,#REF!,$AA$2,0),0)</f>
        <v>0</v>
      </c>
      <c r="AB614" s="9">
        <f>IFERROR(VLOOKUP(B614,cubo!$A$6:$BE$37,29,0)-VLOOKUP(B614,#REF!,$AB$2,0),0)</f>
        <v>0</v>
      </c>
      <c r="AC614" s="9">
        <f>IFERROR(VLOOKUP(B614,cubo!$A$6:$BE$37,30,0)-VLOOKUP(B614,#REF!,$AC$2,0),0)</f>
        <v>0</v>
      </c>
      <c r="AD614" s="9">
        <f>IFERROR(VLOOKUP(B614,cubo!$A$6:$BE$37,31,0)-VLOOKUP(B614,#REF!,$AD$2,0),0)</f>
        <v>0</v>
      </c>
      <c r="AE614" s="9">
        <f>IFERROR(VLOOKUP(B614,cubo!$A$6:$BE$37,35,0)-VLOOKUP(B614,#REF!,$AE$2,0),0)</f>
        <v>0</v>
      </c>
      <c r="AF614" s="9" cm="1">
        <f t="array" aca="1" ref="AF614" ca="1">IFERROR(rrPROCV(B614,cubo!$A$6:$BE$37,48,0)-VLOOKUP(B614,#REF!,$AF$2,0),0)</f>
        <v>0</v>
      </c>
      <c r="AG614" s="9">
        <f>IFERROR(VLOOKUP(B614,cubo!$A$6:$BE$37,49,0)-VLOOKUP(B614,#REF!,$AG$2,0),0)</f>
        <v>0</v>
      </c>
      <c r="AH614" s="9">
        <f>IFERROR(VLOOKUP(B614,cubo!$A$6:$BE$37,50,0)-VLOOKUP(B614,#REF!,$AH$2,0),0)</f>
        <v>0</v>
      </c>
      <c r="AI614" s="9">
        <f>IFERROR(VLOOKUP(B614,cubo!$A$6:$BE$37,51,0)-VLOOKUP(B614,#REF!,$AI$2,0),0)</f>
        <v>0</v>
      </c>
      <c r="AJ614" s="9">
        <f>IFERROR(VLOOKUP(B614,cubo!$A$6:$BI$116,62,0)-VLOOKUP(B614,#REF!,$AJ$2,0),0)</f>
        <v>0</v>
      </c>
      <c r="AK614" s="9">
        <f>IFERROR(VLOOKUP(B614,cubo!$A$6:$BJ$37,63,0)-VLOOKUP(B614,#REF!,$AK$2,0),0)</f>
        <v>0</v>
      </c>
      <c r="AL614" s="9">
        <f>IFERROR(VLOOKUP(B614,cubo!$A$6:$BE$37,58,0)-VLOOKUP(B614,#REF!,$AL$2,0),0)</f>
        <v>0</v>
      </c>
      <c r="AM614" s="9">
        <f>IFERROR(VLOOKUP(B614,cubo!$A$6:$BK$37,64,0)-VLOOKUP(B614,#REF!,$AM$2,0),0)</f>
        <v>0</v>
      </c>
      <c r="AN614" s="9">
        <f>IFERROR(VLOOKUP(B614,cubo!$A$6:$AN$37,41,0)-VLOOKUP(B614,#REF!,$AN$2,0),0)</f>
        <v>0</v>
      </c>
    </row>
    <row r="615" spans="2:40" x14ac:dyDescent="0.25">
      <c r="B615" s="7">
        <f>[1]salario!A614</f>
        <v>0</v>
      </c>
      <c r="C615" s="8">
        <f>[1]salario!C614</f>
        <v>0</v>
      </c>
      <c r="D615" s="9">
        <f>IFERROR(VLOOKUP(B615,cubo!$A$6:$BE$37,3,0)-VLOOKUP(B615,#REF!,$D$2,0),0)</f>
        <v>0</v>
      </c>
      <c r="E615" s="10">
        <f>IFERROR(VLOOKUP(B615,cubo!$A$6:$BE$37,5,0)-VLOOKUP(B615,#REF!,$E$2,0),0)</f>
        <v>0</v>
      </c>
      <c r="F615" s="10">
        <f>IFERROR(VLOOKUP(B615,cubo!$A$6:$BE$37,8,0)-VLOOKUP(B615,#REF!,$F$2,0),0)</f>
        <v>0</v>
      </c>
      <c r="G615" s="9">
        <f>IFERROR(VLOOKUP(B615,cubo!$A$6:$BE$37,11,0)-VLOOKUP(B615,#REF!,$G$2,0),0)</f>
        <v>0</v>
      </c>
      <c r="H615" s="9">
        <f>IFERROR(VLOOKUP(B615,cubo!$A$6:$BE$37,53,0)-VLOOKUP(B615,#REF!,$H$2,0),0)</f>
        <v>0</v>
      </c>
      <c r="I615" s="10">
        <f>IFERROR(VLOOKUP(B615,cubo!$A$6:$BE$37,14,0)-VLOOKUP(B615,#REF!,$I$2,0),0)</f>
        <v>0</v>
      </c>
      <c r="J615" s="9">
        <f>IFERROR(VLOOKUP(B615,cubo!$A$6:$BE$37,16,0)-VLOOKUP(B615,#REF!,$J$2,0),0)</f>
        <v>0</v>
      </c>
      <c r="K615" s="9">
        <f>IFERROR(VLOOKUP(B615,cubo!$A$6:$BE$37,17,0)-VLOOKUP(B615,#REF!,$K$2,0),0)</f>
        <v>0</v>
      </c>
      <c r="L615" s="9">
        <f>IFERROR(VLOOKUP(B615,cubo!$A$6:$BE$37,19,0)-VLOOKUP(B615,#REF!,$L$2,0),0)</f>
        <v>0</v>
      </c>
      <c r="M615" s="9">
        <f>IFERROR(VLOOKUP(B615,cubo!$A$6:$BE$37,23,0)-VLOOKUP(B615,#REF!,$M$2,0),0)</f>
        <v>0</v>
      </c>
      <c r="N615" s="9">
        <f>IFERROR(VLOOKUP(B615,cubo!$A$6:$BE$37,25,0)-VLOOKUP(B615,#REF!,$N$2,0),0)</f>
        <v>0</v>
      </c>
      <c r="O615" s="9">
        <f>IFERROR(VLOOKUP(B615,cubo!$A$6:$BE$37,33,0)-VLOOKUP(B615,#REF!,$O$2,0),0)</f>
        <v>0</v>
      </c>
      <c r="P615" s="8">
        <f>IFERROR(VLOOKUP(B615,cubo!$A$6:$BE$37,37,0)-VLOOKUP(B615,#REF!,$P$2,0),0)</f>
        <v>0</v>
      </c>
      <c r="Q615" s="8">
        <f>IFERROR(VLOOKUP(B615,cubo!$A$6:$BE$37,56,0)-VLOOKUP(B615,#REF!,$Q$2,0),0)</f>
        <v>0</v>
      </c>
      <c r="R615" s="9">
        <f>IFERROR(VLOOKUP(B615,cubo!$A$6:$BE$37,40,0)-VLOOKUP(B615,#REF!,$R$2,0),0)</f>
        <v>0</v>
      </c>
      <c r="S615" s="9">
        <f>IFERROR(VLOOKUP(B615,cubo!$A$6:$BE$37,43,0)-VLOOKUP(B615,#REF!,$S$2,0),0)</f>
        <v>0</v>
      </c>
      <c r="T615" s="9">
        <f>IFERROR(VLOOKUP(B615,cubo!$A$6:$BE$37,46,0)-VLOOKUP(B615,#REF!,$T$2,0),0)</f>
        <v>0</v>
      </c>
      <c r="U615" s="9">
        <f>IFERROR(VLOOKUP(B615,cubo!$A$6:$BE$37,51,0)-VLOOKUP(B615,#REF!,$U$2,0),0)</f>
        <v>0</v>
      </c>
      <c r="V615" s="9">
        <f>IFERROR(VLOOKUP(B615,cubo!$A$6:$BJ$37,60,0)-VLOOKUP(B615,#REF!,$V$2,0),0)</f>
        <v>0</v>
      </c>
      <c r="W615" s="9">
        <f>IFERROR(VLOOKUP(B615,cubo!$A$6:$BE$37,26,0)-VLOOKUP(B615,#REF!,$W$2,0),0)</f>
        <v>0</v>
      </c>
      <c r="X615" s="9">
        <f>IFERROR(VLOOKUP(B615,cubo!$A$6:$BE$37,20,0)-VLOOKUP(B615,#REF!,$X$2,0),0)</f>
        <v>0</v>
      </c>
      <c r="Y615" s="9">
        <f>IFERROR(VLOOKUP(B615,cubo!$A$6:$BE$37,21,0)-VLOOKUP(B615,#REF!,$Y$2,0),0)</f>
        <v>0</v>
      </c>
      <c r="Z615" s="9">
        <f>IFERROR(VLOOKUP(B615,cubo!$A$6:$BE$37,27,0)-VLOOKUP(B615,#REF!,$Z$2,0),0)</f>
        <v>0</v>
      </c>
      <c r="AA615" s="9">
        <f>IFERROR(VLOOKUP(B615,cubo!$A$6:$BE$37,28,0)-VLOOKUP(B615,#REF!,$AA$2,0),0)</f>
        <v>0</v>
      </c>
      <c r="AB615" s="9">
        <f>IFERROR(VLOOKUP(B615,cubo!$A$6:$BE$37,29,0)-VLOOKUP(B615,#REF!,$AB$2,0),0)</f>
        <v>0</v>
      </c>
      <c r="AC615" s="9">
        <f>IFERROR(VLOOKUP(B615,cubo!$A$6:$BE$37,30,0)-VLOOKUP(B615,#REF!,$AC$2,0),0)</f>
        <v>0</v>
      </c>
      <c r="AD615" s="9">
        <f>IFERROR(VLOOKUP(B615,cubo!$A$6:$BE$37,31,0)-VLOOKUP(B615,#REF!,$AD$2,0),0)</f>
        <v>0</v>
      </c>
      <c r="AE615" s="9">
        <f>IFERROR(VLOOKUP(B615,cubo!$A$6:$BE$37,35,0)-VLOOKUP(B615,#REF!,$AE$2,0),0)</f>
        <v>0</v>
      </c>
      <c r="AF615" s="9" cm="1">
        <f t="array" aca="1" ref="AF615" ca="1">IFERROR(rrPROCV(B615,cubo!$A$6:$BE$37,48,0)-VLOOKUP(B615,#REF!,$AF$2,0),0)</f>
        <v>0</v>
      </c>
      <c r="AG615" s="9">
        <f>IFERROR(VLOOKUP(B615,cubo!$A$6:$BE$37,49,0)-VLOOKUP(B615,#REF!,$AG$2,0),0)</f>
        <v>0</v>
      </c>
      <c r="AH615" s="9">
        <f>IFERROR(VLOOKUP(B615,cubo!$A$6:$BE$37,50,0)-VLOOKUP(B615,#REF!,$AH$2,0),0)</f>
        <v>0</v>
      </c>
      <c r="AI615" s="9">
        <f>IFERROR(VLOOKUP(B615,cubo!$A$6:$BE$37,51,0)-VLOOKUP(B615,#REF!,$AI$2,0),0)</f>
        <v>0</v>
      </c>
      <c r="AJ615" s="9">
        <f>IFERROR(VLOOKUP(B615,cubo!$A$6:$BI$116,62,0)-VLOOKUP(B615,#REF!,$AJ$2,0),0)</f>
        <v>0</v>
      </c>
      <c r="AK615" s="9">
        <f>IFERROR(VLOOKUP(B615,cubo!$A$6:$BJ$37,63,0)-VLOOKUP(B615,#REF!,$AK$2,0),0)</f>
        <v>0</v>
      </c>
      <c r="AL615" s="9">
        <f>IFERROR(VLOOKUP(B615,cubo!$A$6:$BE$37,58,0)-VLOOKUP(B615,#REF!,$AL$2,0),0)</f>
        <v>0</v>
      </c>
      <c r="AM615" s="9">
        <f>IFERROR(VLOOKUP(B615,cubo!$A$6:$BK$37,64,0)-VLOOKUP(B615,#REF!,$AM$2,0),0)</f>
        <v>0</v>
      </c>
      <c r="AN615" s="9">
        <f>IFERROR(VLOOKUP(B615,cubo!$A$6:$AN$37,41,0)-VLOOKUP(B615,#REF!,$AN$2,0),0)</f>
        <v>0</v>
      </c>
    </row>
    <row r="616" spans="2:40" x14ac:dyDescent="0.25">
      <c r="B616" s="7">
        <f>[1]salario!A615</f>
        <v>0</v>
      </c>
      <c r="C616" s="8">
        <f>[1]salario!C615</f>
        <v>0</v>
      </c>
      <c r="D616" s="9">
        <f>IFERROR(VLOOKUP(B616,cubo!$A$6:$BE$37,3,0)-VLOOKUP(B616,#REF!,$D$2,0),0)</f>
        <v>0</v>
      </c>
      <c r="E616" s="10">
        <f>IFERROR(VLOOKUP(B616,cubo!$A$6:$BE$37,5,0)-VLOOKUP(B616,#REF!,$E$2,0),0)</f>
        <v>0</v>
      </c>
      <c r="F616" s="10">
        <f>IFERROR(VLOOKUP(B616,cubo!$A$6:$BE$37,8,0)-VLOOKUP(B616,#REF!,$F$2,0),0)</f>
        <v>0</v>
      </c>
      <c r="G616" s="9">
        <f>IFERROR(VLOOKUP(B616,cubo!$A$6:$BE$37,11,0)-VLOOKUP(B616,#REF!,$G$2,0),0)</f>
        <v>0</v>
      </c>
      <c r="H616" s="9">
        <f>IFERROR(VLOOKUP(B616,cubo!$A$6:$BE$37,53,0)-VLOOKUP(B616,#REF!,$H$2,0),0)</f>
        <v>0</v>
      </c>
      <c r="I616" s="10">
        <f>IFERROR(VLOOKUP(B616,cubo!$A$6:$BE$37,14,0)-VLOOKUP(B616,#REF!,$I$2,0),0)</f>
        <v>0</v>
      </c>
      <c r="J616" s="9">
        <f>IFERROR(VLOOKUP(B616,cubo!$A$6:$BE$37,16,0)-VLOOKUP(B616,#REF!,$J$2,0),0)</f>
        <v>0</v>
      </c>
      <c r="K616" s="9">
        <f>IFERROR(VLOOKUP(B616,cubo!$A$6:$BE$37,17,0)-VLOOKUP(B616,#REF!,$K$2,0),0)</f>
        <v>0</v>
      </c>
      <c r="L616" s="9">
        <f>IFERROR(VLOOKUP(B616,cubo!$A$6:$BE$37,19,0)-VLOOKUP(B616,#REF!,$L$2,0),0)</f>
        <v>0</v>
      </c>
      <c r="M616" s="9">
        <f>IFERROR(VLOOKUP(B616,cubo!$A$6:$BE$37,23,0)-VLOOKUP(B616,#REF!,$M$2,0),0)</f>
        <v>0</v>
      </c>
      <c r="N616" s="9">
        <f>IFERROR(VLOOKUP(B616,cubo!$A$6:$BE$37,25,0)-VLOOKUP(B616,#REF!,$N$2,0),0)</f>
        <v>0</v>
      </c>
      <c r="O616" s="9">
        <f>IFERROR(VLOOKUP(B616,cubo!$A$6:$BE$37,33,0)-VLOOKUP(B616,#REF!,$O$2,0),0)</f>
        <v>0</v>
      </c>
      <c r="P616" s="8">
        <f>IFERROR(VLOOKUP(B616,cubo!$A$6:$BE$37,37,0)-VLOOKUP(B616,#REF!,$P$2,0),0)</f>
        <v>0</v>
      </c>
      <c r="Q616" s="8">
        <f>IFERROR(VLOOKUP(B616,cubo!$A$6:$BE$37,56,0)-VLOOKUP(B616,#REF!,$Q$2,0),0)</f>
        <v>0</v>
      </c>
      <c r="R616" s="9">
        <f>IFERROR(VLOOKUP(B616,cubo!$A$6:$BE$37,40,0)-VLOOKUP(B616,#REF!,$R$2,0),0)</f>
        <v>0</v>
      </c>
      <c r="S616" s="9">
        <f>IFERROR(VLOOKUP(B616,cubo!$A$6:$BE$37,43,0)-VLOOKUP(B616,#REF!,$S$2,0),0)</f>
        <v>0</v>
      </c>
      <c r="T616" s="9">
        <f>IFERROR(VLOOKUP(B616,cubo!$A$6:$BE$37,46,0)-VLOOKUP(B616,#REF!,$T$2,0),0)</f>
        <v>0</v>
      </c>
      <c r="U616" s="9">
        <f>IFERROR(VLOOKUP(B616,cubo!$A$6:$BE$37,51,0)-VLOOKUP(B616,#REF!,$U$2,0),0)</f>
        <v>0</v>
      </c>
      <c r="V616" s="9">
        <f>IFERROR(VLOOKUP(B616,cubo!$A$6:$BJ$37,60,0)-VLOOKUP(B616,#REF!,$V$2,0),0)</f>
        <v>0</v>
      </c>
      <c r="W616" s="9">
        <f>IFERROR(VLOOKUP(B616,cubo!$A$6:$BE$37,26,0)-VLOOKUP(B616,#REF!,$W$2,0),0)</f>
        <v>0</v>
      </c>
      <c r="X616" s="9">
        <f>IFERROR(VLOOKUP(B616,cubo!$A$6:$BE$37,20,0)-VLOOKUP(B616,#REF!,$X$2,0),0)</f>
        <v>0</v>
      </c>
      <c r="Y616" s="9">
        <f>IFERROR(VLOOKUP(B616,cubo!$A$6:$BE$37,21,0)-VLOOKUP(B616,#REF!,$Y$2,0),0)</f>
        <v>0</v>
      </c>
      <c r="Z616" s="9">
        <f>IFERROR(VLOOKUP(B616,cubo!$A$6:$BE$37,27,0)-VLOOKUP(B616,#REF!,$Z$2,0),0)</f>
        <v>0</v>
      </c>
      <c r="AA616" s="9">
        <f>IFERROR(VLOOKUP(B616,cubo!$A$6:$BE$37,28,0)-VLOOKUP(B616,#REF!,$AA$2,0),0)</f>
        <v>0</v>
      </c>
      <c r="AB616" s="9">
        <f>IFERROR(VLOOKUP(B616,cubo!$A$6:$BE$37,29,0)-VLOOKUP(B616,#REF!,$AB$2,0),0)</f>
        <v>0</v>
      </c>
      <c r="AC616" s="9">
        <f>IFERROR(VLOOKUP(B616,cubo!$A$6:$BE$37,30,0)-VLOOKUP(B616,#REF!,$AC$2,0),0)</f>
        <v>0</v>
      </c>
      <c r="AD616" s="9">
        <f>IFERROR(VLOOKUP(B616,cubo!$A$6:$BE$37,31,0)-VLOOKUP(B616,#REF!,$AD$2,0),0)</f>
        <v>0</v>
      </c>
      <c r="AE616" s="9">
        <f>IFERROR(VLOOKUP(B616,cubo!$A$6:$BE$37,35,0)-VLOOKUP(B616,#REF!,$AE$2,0),0)</f>
        <v>0</v>
      </c>
      <c r="AF616" s="9" cm="1">
        <f t="array" aca="1" ref="AF616" ca="1">IFERROR(rrPROCV(B616,cubo!$A$6:$BE$37,48,0)-VLOOKUP(B616,#REF!,$AF$2,0),0)</f>
        <v>0</v>
      </c>
      <c r="AG616" s="9">
        <f>IFERROR(VLOOKUP(B616,cubo!$A$6:$BE$37,49,0)-VLOOKUP(B616,#REF!,$AG$2,0),0)</f>
        <v>0</v>
      </c>
      <c r="AH616" s="9">
        <f>IFERROR(VLOOKUP(B616,cubo!$A$6:$BE$37,50,0)-VLOOKUP(B616,#REF!,$AH$2,0),0)</f>
        <v>0</v>
      </c>
      <c r="AI616" s="9">
        <f>IFERROR(VLOOKUP(B616,cubo!$A$6:$BE$37,51,0)-VLOOKUP(B616,#REF!,$AI$2,0),0)</f>
        <v>0</v>
      </c>
      <c r="AJ616" s="9">
        <f>IFERROR(VLOOKUP(B616,cubo!$A$6:$BI$116,62,0)-VLOOKUP(B616,#REF!,$AJ$2,0),0)</f>
        <v>0</v>
      </c>
      <c r="AK616" s="9">
        <f>IFERROR(VLOOKUP(B616,cubo!$A$6:$BJ$37,63,0)-VLOOKUP(B616,#REF!,$AK$2,0),0)</f>
        <v>0</v>
      </c>
      <c r="AL616" s="9">
        <f>IFERROR(VLOOKUP(B616,cubo!$A$6:$BE$37,58,0)-VLOOKUP(B616,#REF!,$AL$2,0),0)</f>
        <v>0</v>
      </c>
      <c r="AM616" s="9">
        <f>IFERROR(VLOOKUP(B616,cubo!$A$6:$BK$37,64,0)-VLOOKUP(B616,#REF!,$AM$2,0),0)</f>
        <v>0</v>
      </c>
      <c r="AN616" s="9">
        <f>IFERROR(VLOOKUP(B616,cubo!$A$6:$AN$37,41,0)-VLOOKUP(B616,#REF!,$AN$2,0),0)</f>
        <v>0</v>
      </c>
    </row>
    <row r="617" spans="2:40" x14ac:dyDescent="0.25">
      <c r="B617" s="7">
        <f>[1]salario!A616</f>
        <v>0</v>
      </c>
      <c r="C617" s="8">
        <f>[1]salario!C616</f>
        <v>0</v>
      </c>
      <c r="D617" s="9">
        <f>IFERROR(VLOOKUP(B617,cubo!$A$6:$BE$37,3,0)-VLOOKUP(B617,#REF!,$D$2,0),0)</f>
        <v>0</v>
      </c>
      <c r="E617" s="10">
        <f>IFERROR(VLOOKUP(B617,cubo!$A$6:$BE$37,5,0)-VLOOKUP(B617,#REF!,$E$2,0),0)</f>
        <v>0</v>
      </c>
      <c r="F617" s="10">
        <f>IFERROR(VLOOKUP(B617,cubo!$A$6:$BE$37,8,0)-VLOOKUP(B617,#REF!,$F$2,0),0)</f>
        <v>0</v>
      </c>
      <c r="G617" s="9">
        <f>IFERROR(VLOOKUP(B617,cubo!$A$6:$BE$37,11,0)-VLOOKUP(B617,#REF!,$G$2,0),0)</f>
        <v>0</v>
      </c>
      <c r="H617" s="9">
        <f>IFERROR(VLOOKUP(B617,cubo!$A$6:$BE$37,53,0)-VLOOKUP(B617,#REF!,$H$2,0),0)</f>
        <v>0</v>
      </c>
      <c r="I617" s="10">
        <f>IFERROR(VLOOKUP(B617,cubo!$A$6:$BE$37,14,0)-VLOOKUP(B617,#REF!,$I$2,0),0)</f>
        <v>0</v>
      </c>
      <c r="J617" s="9">
        <f>IFERROR(VLOOKUP(B617,cubo!$A$6:$BE$37,16,0)-VLOOKUP(B617,#REF!,$J$2,0),0)</f>
        <v>0</v>
      </c>
      <c r="K617" s="9">
        <f>IFERROR(VLOOKUP(B617,cubo!$A$6:$BE$37,17,0)-VLOOKUP(B617,#REF!,$K$2,0),0)</f>
        <v>0</v>
      </c>
      <c r="L617" s="9">
        <f>IFERROR(VLOOKUP(B617,cubo!$A$6:$BE$37,19,0)-VLOOKUP(B617,#REF!,$L$2,0),0)</f>
        <v>0</v>
      </c>
      <c r="M617" s="9">
        <f>IFERROR(VLOOKUP(B617,cubo!$A$6:$BE$37,23,0)-VLOOKUP(B617,#REF!,$M$2,0),0)</f>
        <v>0</v>
      </c>
      <c r="N617" s="9">
        <f>IFERROR(VLOOKUP(B617,cubo!$A$6:$BE$37,25,0)-VLOOKUP(B617,#REF!,$N$2,0),0)</f>
        <v>0</v>
      </c>
      <c r="O617" s="9">
        <f>IFERROR(VLOOKUP(B617,cubo!$A$6:$BE$37,33,0)-VLOOKUP(B617,#REF!,$O$2,0),0)</f>
        <v>0</v>
      </c>
      <c r="P617" s="8">
        <f>IFERROR(VLOOKUP(B617,cubo!$A$6:$BE$37,37,0)-VLOOKUP(B617,#REF!,$P$2,0),0)</f>
        <v>0</v>
      </c>
      <c r="Q617" s="8">
        <f>IFERROR(VLOOKUP(B617,cubo!$A$6:$BE$37,56,0)-VLOOKUP(B617,#REF!,$Q$2,0),0)</f>
        <v>0</v>
      </c>
      <c r="R617" s="9">
        <f>IFERROR(VLOOKUP(B617,cubo!$A$6:$BE$37,40,0)-VLOOKUP(B617,#REF!,$R$2,0),0)</f>
        <v>0</v>
      </c>
      <c r="S617" s="9">
        <f>IFERROR(VLOOKUP(B617,cubo!$A$6:$BE$37,43,0)-VLOOKUP(B617,#REF!,$S$2,0),0)</f>
        <v>0</v>
      </c>
      <c r="T617" s="9">
        <f>IFERROR(VLOOKUP(B617,cubo!$A$6:$BE$37,46,0)-VLOOKUP(B617,#REF!,$T$2,0),0)</f>
        <v>0</v>
      </c>
      <c r="U617" s="9">
        <f>IFERROR(VLOOKUP(B617,cubo!$A$6:$BE$37,51,0)-VLOOKUP(B617,#REF!,$U$2,0),0)</f>
        <v>0</v>
      </c>
      <c r="V617" s="9">
        <f>IFERROR(VLOOKUP(B617,cubo!$A$6:$BJ$37,60,0)-VLOOKUP(B617,#REF!,$V$2,0),0)</f>
        <v>0</v>
      </c>
      <c r="W617" s="9">
        <f>IFERROR(VLOOKUP(B617,cubo!$A$6:$BE$37,26,0)-VLOOKUP(B617,#REF!,$W$2,0),0)</f>
        <v>0</v>
      </c>
      <c r="X617" s="9">
        <f>IFERROR(VLOOKUP(B617,cubo!$A$6:$BE$37,20,0)-VLOOKUP(B617,#REF!,$X$2,0),0)</f>
        <v>0</v>
      </c>
      <c r="Y617" s="9">
        <f>IFERROR(VLOOKUP(B617,cubo!$A$6:$BE$37,21,0)-VLOOKUP(B617,#REF!,$Y$2,0),0)</f>
        <v>0</v>
      </c>
      <c r="Z617" s="9">
        <f>IFERROR(VLOOKUP(B617,cubo!$A$6:$BE$37,27,0)-VLOOKUP(B617,#REF!,$Z$2,0),0)</f>
        <v>0</v>
      </c>
      <c r="AA617" s="9">
        <f>IFERROR(VLOOKUP(B617,cubo!$A$6:$BE$37,28,0)-VLOOKUP(B617,#REF!,$AA$2,0),0)</f>
        <v>0</v>
      </c>
      <c r="AB617" s="9">
        <f>IFERROR(VLOOKUP(B617,cubo!$A$6:$BE$37,29,0)-VLOOKUP(B617,#REF!,$AB$2,0),0)</f>
        <v>0</v>
      </c>
      <c r="AC617" s="9">
        <f>IFERROR(VLOOKUP(B617,cubo!$A$6:$BE$37,30,0)-VLOOKUP(B617,#REF!,$AC$2,0),0)</f>
        <v>0</v>
      </c>
      <c r="AD617" s="9">
        <f>IFERROR(VLOOKUP(B617,cubo!$A$6:$BE$37,31,0)-VLOOKUP(B617,#REF!,$AD$2,0),0)</f>
        <v>0</v>
      </c>
      <c r="AE617" s="9">
        <f>IFERROR(VLOOKUP(B617,cubo!$A$6:$BE$37,35,0)-VLOOKUP(B617,#REF!,$AE$2,0),0)</f>
        <v>0</v>
      </c>
      <c r="AF617" s="9" cm="1">
        <f t="array" aca="1" ref="AF617" ca="1">IFERROR(rrPROCV(B617,cubo!$A$6:$BE$37,48,0)-VLOOKUP(B617,#REF!,$AF$2,0),0)</f>
        <v>0</v>
      </c>
      <c r="AG617" s="9">
        <f>IFERROR(VLOOKUP(B617,cubo!$A$6:$BE$37,49,0)-VLOOKUP(B617,#REF!,$AG$2,0),0)</f>
        <v>0</v>
      </c>
      <c r="AH617" s="9">
        <f>IFERROR(VLOOKUP(B617,cubo!$A$6:$BE$37,50,0)-VLOOKUP(B617,#REF!,$AH$2,0),0)</f>
        <v>0</v>
      </c>
      <c r="AI617" s="9">
        <f>IFERROR(VLOOKUP(B617,cubo!$A$6:$BE$37,51,0)-VLOOKUP(B617,#REF!,$AI$2,0),0)</f>
        <v>0</v>
      </c>
      <c r="AJ617" s="9">
        <f>IFERROR(VLOOKUP(B617,cubo!$A$6:$BI$116,62,0)-VLOOKUP(B617,#REF!,$AJ$2,0),0)</f>
        <v>0</v>
      </c>
      <c r="AK617" s="9">
        <f>IFERROR(VLOOKUP(B617,cubo!$A$6:$BJ$37,63,0)-VLOOKUP(B617,#REF!,$AK$2,0),0)</f>
        <v>0</v>
      </c>
      <c r="AL617" s="9">
        <f>IFERROR(VLOOKUP(B617,cubo!$A$6:$BE$37,58,0)-VLOOKUP(B617,#REF!,$AL$2,0),0)</f>
        <v>0</v>
      </c>
      <c r="AM617" s="9">
        <f>IFERROR(VLOOKUP(B617,cubo!$A$6:$BK$37,64,0)-VLOOKUP(B617,#REF!,$AM$2,0),0)</f>
        <v>0</v>
      </c>
      <c r="AN617" s="9">
        <f>IFERROR(VLOOKUP(B617,cubo!$A$6:$AN$37,41,0)-VLOOKUP(B617,#REF!,$AN$2,0),0)</f>
        <v>0</v>
      </c>
    </row>
    <row r="618" spans="2:40" x14ac:dyDescent="0.25">
      <c r="B618" s="7">
        <f>[1]salario!A617</f>
        <v>0</v>
      </c>
      <c r="C618" s="8">
        <f>[1]salario!C617</f>
        <v>0</v>
      </c>
      <c r="D618" s="9">
        <f>IFERROR(VLOOKUP(B618,cubo!$A$6:$BE$37,3,0)-VLOOKUP(B618,#REF!,$D$2,0),0)</f>
        <v>0</v>
      </c>
      <c r="E618" s="10">
        <f>IFERROR(VLOOKUP(B618,cubo!$A$6:$BE$37,5,0)-VLOOKUP(B618,#REF!,$E$2,0),0)</f>
        <v>0</v>
      </c>
      <c r="F618" s="10">
        <f>IFERROR(VLOOKUP(B618,cubo!$A$6:$BE$37,8,0)-VLOOKUP(B618,#REF!,$F$2,0),0)</f>
        <v>0</v>
      </c>
      <c r="G618" s="9">
        <f>IFERROR(VLOOKUP(B618,cubo!$A$6:$BE$37,11,0)-VLOOKUP(B618,#REF!,$G$2,0),0)</f>
        <v>0</v>
      </c>
      <c r="H618" s="9">
        <f>IFERROR(VLOOKUP(B618,cubo!$A$6:$BE$37,53,0)-VLOOKUP(B618,#REF!,$H$2,0),0)</f>
        <v>0</v>
      </c>
      <c r="I618" s="10">
        <f>IFERROR(VLOOKUP(B618,cubo!$A$6:$BE$37,14,0)-VLOOKUP(B618,#REF!,$I$2,0),0)</f>
        <v>0</v>
      </c>
      <c r="J618" s="9">
        <f>IFERROR(VLOOKUP(B618,cubo!$A$6:$BE$37,16,0)-VLOOKUP(B618,#REF!,$J$2,0),0)</f>
        <v>0</v>
      </c>
      <c r="K618" s="9">
        <f>IFERROR(VLOOKUP(B618,cubo!$A$6:$BE$37,17,0)-VLOOKUP(B618,#REF!,$K$2,0),0)</f>
        <v>0</v>
      </c>
      <c r="L618" s="9">
        <f>IFERROR(VLOOKUP(B618,cubo!$A$6:$BE$37,19,0)-VLOOKUP(B618,#REF!,$L$2,0),0)</f>
        <v>0</v>
      </c>
      <c r="M618" s="9">
        <f>IFERROR(VLOOKUP(B618,cubo!$A$6:$BE$37,23,0)-VLOOKUP(B618,#REF!,$M$2,0),0)</f>
        <v>0</v>
      </c>
      <c r="N618" s="9">
        <f>IFERROR(VLOOKUP(B618,cubo!$A$6:$BE$37,25,0)-VLOOKUP(B618,#REF!,$N$2,0),0)</f>
        <v>0</v>
      </c>
      <c r="O618" s="9">
        <f>IFERROR(VLOOKUP(B618,cubo!$A$6:$BE$37,33,0)-VLOOKUP(B618,#REF!,$O$2,0),0)</f>
        <v>0</v>
      </c>
      <c r="P618" s="8">
        <f>IFERROR(VLOOKUP(B618,cubo!$A$6:$BE$37,37,0)-VLOOKUP(B618,#REF!,$P$2,0),0)</f>
        <v>0</v>
      </c>
      <c r="Q618" s="8">
        <f>IFERROR(VLOOKUP(B618,cubo!$A$6:$BE$37,56,0)-VLOOKUP(B618,#REF!,$Q$2,0),0)</f>
        <v>0</v>
      </c>
      <c r="R618" s="9">
        <f>IFERROR(VLOOKUP(B618,cubo!$A$6:$BE$37,40,0)-VLOOKUP(B618,#REF!,$R$2,0),0)</f>
        <v>0</v>
      </c>
      <c r="S618" s="9">
        <f>IFERROR(VLOOKUP(B618,cubo!$A$6:$BE$37,43,0)-VLOOKUP(B618,#REF!,$S$2,0),0)</f>
        <v>0</v>
      </c>
      <c r="T618" s="9">
        <f>IFERROR(VLOOKUP(B618,cubo!$A$6:$BE$37,46,0)-VLOOKUP(B618,#REF!,$T$2,0),0)</f>
        <v>0</v>
      </c>
      <c r="U618" s="9">
        <f>IFERROR(VLOOKUP(B618,cubo!$A$6:$BE$37,51,0)-VLOOKUP(B618,#REF!,$U$2,0),0)</f>
        <v>0</v>
      </c>
      <c r="V618" s="9">
        <f>IFERROR(VLOOKUP(B618,cubo!$A$6:$BJ$37,60,0)-VLOOKUP(B618,#REF!,$V$2,0),0)</f>
        <v>0</v>
      </c>
      <c r="W618" s="9">
        <f>IFERROR(VLOOKUP(B618,cubo!$A$6:$BE$37,26,0)-VLOOKUP(B618,#REF!,$W$2,0),0)</f>
        <v>0</v>
      </c>
      <c r="X618" s="9">
        <f>IFERROR(VLOOKUP(B618,cubo!$A$6:$BE$37,20,0)-VLOOKUP(B618,#REF!,$X$2,0),0)</f>
        <v>0</v>
      </c>
      <c r="Y618" s="9">
        <f>IFERROR(VLOOKUP(B618,cubo!$A$6:$BE$37,21,0)-VLOOKUP(B618,#REF!,$Y$2,0),0)</f>
        <v>0</v>
      </c>
      <c r="Z618" s="9">
        <f>IFERROR(VLOOKUP(B618,cubo!$A$6:$BE$37,27,0)-VLOOKUP(B618,#REF!,$Z$2,0),0)</f>
        <v>0</v>
      </c>
      <c r="AA618" s="9">
        <f>IFERROR(VLOOKUP(B618,cubo!$A$6:$BE$37,28,0)-VLOOKUP(B618,#REF!,$AA$2,0),0)</f>
        <v>0</v>
      </c>
      <c r="AB618" s="9">
        <f>IFERROR(VLOOKUP(B618,cubo!$A$6:$BE$37,29,0)-VLOOKUP(B618,#REF!,$AB$2,0),0)</f>
        <v>0</v>
      </c>
      <c r="AC618" s="9">
        <f>IFERROR(VLOOKUP(B618,cubo!$A$6:$BE$37,30,0)-VLOOKUP(B618,#REF!,$AC$2,0),0)</f>
        <v>0</v>
      </c>
      <c r="AD618" s="9">
        <f>IFERROR(VLOOKUP(B618,cubo!$A$6:$BE$37,31,0)-VLOOKUP(B618,#REF!,$AD$2,0),0)</f>
        <v>0</v>
      </c>
      <c r="AE618" s="9">
        <f>IFERROR(VLOOKUP(B618,cubo!$A$6:$BE$37,35,0)-VLOOKUP(B618,#REF!,$AE$2,0),0)</f>
        <v>0</v>
      </c>
      <c r="AF618" s="9" cm="1">
        <f t="array" aca="1" ref="AF618" ca="1">IFERROR(rrPROCV(B618,cubo!$A$6:$BE$37,48,0)-VLOOKUP(B618,#REF!,$AF$2,0),0)</f>
        <v>0</v>
      </c>
      <c r="AG618" s="9">
        <f>IFERROR(VLOOKUP(B618,cubo!$A$6:$BE$37,49,0)-VLOOKUP(B618,#REF!,$AG$2,0),0)</f>
        <v>0</v>
      </c>
      <c r="AH618" s="9">
        <f>IFERROR(VLOOKUP(B618,cubo!$A$6:$BE$37,50,0)-VLOOKUP(B618,#REF!,$AH$2,0),0)</f>
        <v>0</v>
      </c>
      <c r="AI618" s="9">
        <f>IFERROR(VLOOKUP(B618,cubo!$A$6:$BE$37,51,0)-VLOOKUP(B618,#REF!,$AI$2,0),0)</f>
        <v>0</v>
      </c>
      <c r="AJ618" s="9">
        <f>IFERROR(VLOOKUP(B618,cubo!$A$6:$BI$116,62,0)-VLOOKUP(B618,#REF!,$AJ$2,0),0)</f>
        <v>0</v>
      </c>
      <c r="AK618" s="9">
        <f>IFERROR(VLOOKUP(B618,cubo!$A$6:$BJ$37,63,0)-VLOOKUP(B618,#REF!,$AK$2,0),0)</f>
        <v>0</v>
      </c>
      <c r="AL618" s="9">
        <f>IFERROR(VLOOKUP(B618,cubo!$A$6:$BE$37,58,0)-VLOOKUP(B618,#REF!,$AL$2,0),0)</f>
        <v>0</v>
      </c>
      <c r="AM618" s="9">
        <f>IFERROR(VLOOKUP(B618,cubo!$A$6:$BK$37,64,0)-VLOOKUP(B618,#REF!,$AM$2,0),0)</f>
        <v>0</v>
      </c>
      <c r="AN618" s="9">
        <f>IFERROR(VLOOKUP(B618,cubo!$A$6:$AN$37,41,0)-VLOOKUP(B618,#REF!,$AN$2,0),0)</f>
        <v>0</v>
      </c>
    </row>
    <row r="619" spans="2:40" x14ac:dyDescent="0.25">
      <c r="B619" s="7">
        <f>[1]salario!A618</f>
        <v>0</v>
      </c>
      <c r="C619" s="8">
        <f>[1]salario!C618</f>
        <v>0</v>
      </c>
      <c r="D619" s="9">
        <f>IFERROR(VLOOKUP(B619,cubo!$A$6:$BE$37,3,0)-VLOOKUP(B619,#REF!,$D$2,0),0)</f>
        <v>0</v>
      </c>
      <c r="E619" s="10">
        <f>IFERROR(VLOOKUP(B619,cubo!$A$6:$BE$37,5,0)-VLOOKUP(B619,#REF!,$E$2,0),0)</f>
        <v>0</v>
      </c>
      <c r="F619" s="10">
        <f>IFERROR(VLOOKUP(B619,cubo!$A$6:$BE$37,8,0)-VLOOKUP(B619,#REF!,$F$2,0),0)</f>
        <v>0</v>
      </c>
      <c r="G619" s="9">
        <f>IFERROR(VLOOKUP(B619,cubo!$A$6:$BE$37,11,0)-VLOOKUP(B619,#REF!,$G$2,0),0)</f>
        <v>0</v>
      </c>
      <c r="H619" s="9">
        <f>IFERROR(VLOOKUP(B619,cubo!$A$6:$BE$37,53,0)-VLOOKUP(B619,#REF!,$H$2,0),0)</f>
        <v>0</v>
      </c>
      <c r="I619" s="10">
        <f>IFERROR(VLOOKUP(B619,cubo!$A$6:$BE$37,14,0)-VLOOKUP(B619,#REF!,$I$2,0),0)</f>
        <v>0</v>
      </c>
      <c r="J619" s="9">
        <f>IFERROR(VLOOKUP(B619,cubo!$A$6:$BE$37,16,0)-VLOOKUP(B619,#REF!,$J$2,0),0)</f>
        <v>0</v>
      </c>
      <c r="K619" s="9">
        <f>IFERROR(VLOOKUP(B619,cubo!$A$6:$BE$37,17,0)-VLOOKUP(B619,#REF!,$K$2,0),0)</f>
        <v>0</v>
      </c>
      <c r="L619" s="9">
        <f>IFERROR(VLOOKUP(B619,cubo!$A$6:$BE$37,19,0)-VLOOKUP(B619,#REF!,$L$2,0),0)</f>
        <v>0</v>
      </c>
      <c r="M619" s="9">
        <f>IFERROR(VLOOKUP(B619,cubo!$A$6:$BE$37,23,0)-VLOOKUP(B619,#REF!,$M$2,0),0)</f>
        <v>0</v>
      </c>
      <c r="N619" s="9">
        <f>IFERROR(VLOOKUP(B619,cubo!$A$6:$BE$37,25,0)-VLOOKUP(B619,#REF!,$N$2,0),0)</f>
        <v>0</v>
      </c>
      <c r="O619" s="9">
        <f>IFERROR(VLOOKUP(B619,cubo!$A$6:$BE$37,33,0)-VLOOKUP(B619,#REF!,$O$2,0),0)</f>
        <v>0</v>
      </c>
      <c r="P619" s="8">
        <f>IFERROR(VLOOKUP(B619,cubo!$A$6:$BE$37,37,0)-VLOOKUP(B619,#REF!,$P$2,0),0)</f>
        <v>0</v>
      </c>
      <c r="Q619" s="8">
        <f>IFERROR(VLOOKUP(B619,cubo!$A$6:$BE$37,56,0)-VLOOKUP(B619,#REF!,$Q$2,0),0)</f>
        <v>0</v>
      </c>
      <c r="R619" s="9">
        <f>IFERROR(VLOOKUP(B619,cubo!$A$6:$BE$37,40,0)-VLOOKUP(B619,#REF!,$R$2,0),0)</f>
        <v>0</v>
      </c>
      <c r="S619" s="9">
        <f>IFERROR(VLOOKUP(B619,cubo!$A$6:$BE$37,43,0)-VLOOKUP(B619,#REF!,$S$2,0),0)</f>
        <v>0</v>
      </c>
      <c r="T619" s="9">
        <f>IFERROR(VLOOKUP(B619,cubo!$A$6:$BE$37,46,0)-VLOOKUP(B619,#REF!,$T$2,0),0)</f>
        <v>0</v>
      </c>
      <c r="U619" s="9">
        <f>IFERROR(VLOOKUP(B619,cubo!$A$6:$BE$37,51,0)-VLOOKUP(B619,#REF!,$U$2,0),0)</f>
        <v>0</v>
      </c>
      <c r="V619" s="9">
        <f>IFERROR(VLOOKUP(B619,cubo!$A$6:$BJ$37,60,0)-VLOOKUP(B619,#REF!,$V$2,0),0)</f>
        <v>0</v>
      </c>
      <c r="W619" s="9">
        <f>IFERROR(VLOOKUP(B619,cubo!$A$6:$BE$37,26,0)-VLOOKUP(B619,#REF!,$W$2,0),0)</f>
        <v>0</v>
      </c>
      <c r="X619" s="9">
        <f>IFERROR(VLOOKUP(B619,cubo!$A$6:$BE$37,20,0)-VLOOKUP(B619,#REF!,$X$2,0),0)</f>
        <v>0</v>
      </c>
      <c r="Y619" s="9">
        <f>IFERROR(VLOOKUP(B619,cubo!$A$6:$BE$37,21,0)-VLOOKUP(B619,#REF!,$Y$2,0),0)</f>
        <v>0</v>
      </c>
      <c r="Z619" s="9">
        <f>IFERROR(VLOOKUP(B619,cubo!$A$6:$BE$37,27,0)-VLOOKUP(B619,#REF!,$Z$2,0),0)</f>
        <v>0</v>
      </c>
      <c r="AA619" s="9">
        <f>IFERROR(VLOOKUP(B619,cubo!$A$6:$BE$37,28,0)-VLOOKUP(B619,#REF!,$AA$2,0),0)</f>
        <v>0</v>
      </c>
      <c r="AB619" s="9">
        <f>IFERROR(VLOOKUP(B619,cubo!$A$6:$BE$37,29,0)-VLOOKUP(B619,#REF!,$AB$2,0),0)</f>
        <v>0</v>
      </c>
      <c r="AC619" s="9">
        <f>IFERROR(VLOOKUP(B619,cubo!$A$6:$BE$37,30,0)-VLOOKUP(B619,#REF!,$AC$2,0),0)</f>
        <v>0</v>
      </c>
      <c r="AD619" s="9">
        <f>IFERROR(VLOOKUP(B619,cubo!$A$6:$BE$37,31,0)-VLOOKUP(B619,#REF!,$AD$2,0),0)</f>
        <v>0</v>
      </c>
      <c r="AE619" s="9">
        <f>IFERROR(VLOOKUP(B619,cubo!$A$6:$BE$37,35,0)-VLOOKUP(B619,#REF!,$AE$2,0),0)</f>
        <v>0</v>
      </c>
      <c r="AF619" s="9" cm="1">
        <f t="array" aca="1" ref="AF619" ca="1">IFERROR(rrPROCV(B619,cubo!$A$6:$BE$37,48,0)-VLOOKUP(B619,#REF!,$AF$2,0),0)</f>
        <v>0</v>
      </c>
      <c r="AG619" s="9">
        <f>IFERROR(VLOOKUP(B619,cubo!$A$6:$BE$37,49,0)-VLOOKUP(B619,#REF!,$AG$2,0),0)</f>
        <v>0</v>
      </c>
      <c r="AH619" s="9">
        <f>IFERROR(VLOOKUP(B619,cubo!$A$6:$BE$37,50,0)-VLOOKUP(B619,#REF!,$AH$2,0),0)</f>
        <v>0</v>
      </c>
      <c r="AI619" s="9">
        <f>IFERROR(VLOOKUP(B619,cubo!$A$6:$BE$37,51,0)-VLOOKUP(B619,#REF!,$AI$2,0),0)</f>
        <v>0</v>
      </c>
      <c r="AJ619" s="9">
        <f>IFERROR(VLOOKUP(B619,cubo!$A$6:$BI$116,62,0)-VLOOKUP(B619,#REF!,$AJ$2,0),0)</f>
        <v>0</v>
      </c>
      <c r="AK619" s="9">
        <f>IFERROR(VLOOKUP(B619,cubo!$A$6:$BJ$37,63,0)-VLOOKUP(B619,#REF!,$AK$2,0),0)</f>
        <v>0</v>
      </c>
      <c r="AL619" s="9">
        <f>IFERROR(VLOOKUP(B619,cubo!$A$6:$BE$37,58,0)-VLOOKUP(B619,#REF!,$AL$2,0),0)</f>
        <v>0</v>
      </c>
      <c r="AM619" s="9">
        <f>IFERROR(VLOOKUP(B619,cubo!$A$6:$BK$37,64,0)-VLOOKUP(B619,#REF!,$AM$2,0),0)</f>
        <v>0</v>
      </c>
      <c r="AN619" s="9">
        <f>IFERROR(VLOOKUP(B619,cubo!$A$6:$AN$37,41,0)-VLOOKUP(B619,#REF!,$AN$2,0),0)</f>
        <v>0</v>
      </c>
    </row>
    <row r="620" spans="2:40" x14ac:dyDescent="0.25">
      <c r="B620" s="7">
        <f>[1]salario!A619</f>
        <v>0</v>
      </c>
      <c r="C620" s="8">
        <f>[1]salario!C619</f>
        <v>0</v>
      </c>
      <c r="D620" s="9">
        <f>IFERROR(VLOOKUP(B620,cubo!$A$6:$BE$37,3,0)-VLOOKUP(B620,#REF!,$D$2,0),0)</f>
        <v>0</v>
      </c>
      <c r="E620" s="10">
        <f>IFERROR(VLOOKUP(B620,cubo!$A$6:$BE$37,5,0)-VLOOKUP(B620,#REF!,$E$2,0),0)</f>
        <v>0</v>
      </c>
      <c r="F620" s="10">
        <f>IFERROR(VLOOKUP(B620,cubo!$A$6:$BE$37,8,0)-VLOOKUP(B620,#REF!,$F$2,0),0)</f>
        <v>0</v>
      </c>
      <c r="G620" s="9">
        <f>IFERROR(VLOOKUP(B620,cubo!$A$6:$BE$37,11,0)-VLOOKUP(B620,#REF!,$G$2,0),0)</f>
        <v>0</v>
      </c>
      <c r="H620" s="9">
        <f>IFERROR(VLOOKUP(B620,cubo!$A$6:$BE$37,53,0)-VLOOKUP(B620,#REF!,$H$2,0),0)</f>
        <v>0</v>
      </c>
      <c r="I620" s="10">
        <f>IFERROR(VLOOKUP(B620,cubo!$A$6:$BE$37,14,0)-VLOOKUP(B620,#REF!,$I$2,0),0)</f>
        <v>0</v>
      </c>
      <c r="J620" s="9">
        <f>IFERROR(VLOOKUP(B620,cubo!$A$6:$BE$37,16,0)-VLOOKUP(B620,#REF!,$J$2,0),0)</f>
        <v>0</v>
      </c>
      <c r="K620" s="9">
        <f>IFERROR(VLOOKUP(B620,cubo!$A$6:$BE$37,17,0)-VLOOKUP(B620,#REF!,$K$2,0),0)</f>
        <v>0</v>
      </c>
      <c r="L620" s="9">
        <f>IFERROR(VLOOKUP(B620,cubo!$A$6:$BE$37,19,0)-VLOOKUP(B620,#REF!,$L$2,0),0)</f>
        <v>0</v>
      </c>
      <c r="M620" s="9">
        <f>IFERROR(VLOOKUP(B620,cubo!$A$6:$BE$37,23,0)-VLOOKUP(B620,#REF!,$M$2,0),0)</f>
        <v>0</v>
      </c>
      <c r="N620" s="9">
        <f>IFERROR(VLOOKUP(B620,cubo!$A$6:$BE$37,25,0)-VLOOKUP(B620,#REF!,$N$2,0),0)</f>
        <v>0</v>
      </c>
      <c r="O620" s="9">
        <f>IFERROR(VLOOKUP(B620,cubo!$A$6:$BE$37,33,0)-VLOOKUP(B620,#REF!,$O$2,0),0)</f>
        <v>0</v>
      </c>
      <c r="P620" s="8">
        <f>IFERROR(VLOOKUP(B620,cubo!$A$6:$BE$37,37,0)-VLOOKUP(B620,#REF!,$P$2,0),0)</f>
        <v>0</v>
      </c>
      <c r="Q620" s="8">
        <f>IFERROR(VLOOKUP(B620,cubo!$A$6:$BE$37,56,0)-VLOOKUP(B620,#REF!,$Q$2,0),0)</f>
        <v>0</v>
      </c>
      <c r="R620" s="9">
        <f>IFERROR(VLOOKUP(B620,cubo!$A$6:$BE$37,40,0)-VLOOKUP(B620,#REF!,$R$2,0),0)</f>
        <v>0</v>
      </c>
      <c r="S620" s="9">
        <f>IFERROR(VLOOKUP(B620,cubo!$A$6:$BE$37,43,0)-VLOOKUP(B620,#REF!,$S$2,0),0)</f>
        <v>0</v>
      </c>
      <c r="T620" s="9">
        <f>IFERROR(VLOOKUP(B620,cubo!$A$6:$BE$37,46,0)-VLOOKUP(B620,#REF!,$T$2,0),0)</f>
        <v>0</v>
      </c>
      <c r="U620" s="9">
        <f>IFERROR(VLOOKUP(B620,cubo!$A$6:$BE$37,51,0)-VLOOKUP(B620,#REF!,$U$2,0),0)</f>
        <v>0</v>
      </c>
      <c r="V620" s="9">
        <f>IFERROR(VLOOKUP(B620,cubo!$A$6:$BJ$37,60,0)-VLOOKUP(B620,#REF!,$V$2,0),0)</f>
        <v>0</v>
      </c>
      <c r="W620" s="9">
        <f>IFERROR(VLOOKUP(B620,cubo!$A$6:$BE$37,26,0)-VLOOKUP(B620,#REF!,$W$2,0),0)</f>
        <v>0</v>
      </c>
      <c r="X620" s="9">
        <f>IFERROR(VLOOKUP(B620,cubo!$A$6:$BE$37,20,0)-VLOOKUP(B620,#REF!,$X$2,0),0)</f>
        <v>0</v>
      </c>
      <c r="Y620" s="9">
        <f>IFERROR(VLOOKUP(B620,cubo!$A$6:$BE$37,21,0)-VLOOKUP(B620,#REF!,$Y$2,0),0)</f>
        <v>0</v>
      </c>
      <c r="Z620" s="9">
        <f>IFERROR(VLOOKUP(B620,cubo!$A$6:$BE$37,27,0)-VLOOKUP(B620,#REF!,$Z$2,0),0)</f>
        <v>0</v>
      </c>
      <c r="AA620" s="9">
        <f>IFERROR(VLOOKUP(B620,cubo!$A$6:$BE$37,28,0)-VLOOKUP(B620,#REF!,$AA$2,0),0)</f>
        <v>0</v>
      </c>
      <c r="AB620" s="9">
        <f>IFERROR(VLOOKUP(B620,cubo!$A$6:$BE$37,29,0)-VLOOKUP(B620,#REF!,$AB$2,0),0)</f>
        <v>0</v>
      </c>
      <c r="AC620" s="9">
        <f>IFERROR(VLOOKUP(B620,cubo!$A$6:$BE$37,30,0)-VLOOKUP(B620,#REF!,$AC$2,0),0)</f>
        <v>0</v>
      </c>
      <c r="AD620" s="9">
        <f>IFERROR(VLOOKUP(B620,cubo!$A$6:$BE$37,31,0)-VLOOKUP(B620,#REF!,$AD$2,0),0)</f>
        <v>0</v>
      </c>
      <c r="AE620" s="9">
        <f>IFERROR(VLOOKUP(B620,cubo!$A$6:$BE$37,35,0)-VLOOKUP(B620,#REF!,$AE$2,0),0)</f>
        <v>0</v>
      </c>
      <c r="AF620" s="9" cm="1">
        <f t="array" aca="1" ref="AF620" ca="1">IFERROR(rrPROCV(B620,cubo!$A$6:$BE$37,48,0)-VLOOKUP(B620,#REF!,$AF$2,0),0)</f>
        <v>0</v>
      </c>
      <c r="AG620" s="9">
        <f>IFERROR(VLOOKUP(B620,cubo!$A$6:$BE$37,49,0)-VLOOKUP(B620,#REF!,$AG$2,0),0)</f>
        <v>0</v>
      </c>
      <c r="AH620" s="9">
        <f>IFERROR(VLOOKUP(B620,cubo!$A$6:$BE$37,50,0)-VLOOKUP(B620,#REF!,$AH$2,0),0)</f>
        <v>0</v>
      </c>
      <c r="AI620" s="9">
        <f>IFERROR(VLOOKUP(B620,cubo!$A$6:$BE$37,51,0)-VLOOKUP(B620,#REF!,$AI$2,0),0)</f>
        <v>0</v>
      </c>
      <c r="AJ620" s="9">
        <f>IFERROR(VLOOKUP(B620,cubo!$A$6:$BI$116,62,0)-VLOOKUP(B620,#REF!,$AJ$2,0),0)</f>
        <v>0</v>
      </c>
      <c r="AK620" s="9">
        <f>IFERROR(VLOOKUP(B620,cubo!$A$6:$BJ$37,63,0)-VLOOKUP(B620,#REF!,$AK$2,0),0)</f>
        <v>0</v>
      </c>
      <c r="AL620" s="9">
        <f>IFERROR(VLOOKUP(B620,cubo!$A$6:$BE$37,58,0)-VLOOKUP(B620,#REF!,$AL$2,0),0)</f>
        <v>0</v>
      </c>
      <c r="AM620" s="9">
        <f>IFERROR(VLOOKUP(B620,cubo!$A$6:$BK$37,64,0)-VLOOKUP(B620,#REF!,$AM$2,0),0)</f>
        <v>0</v>
      </c>
      <c r="AN620" s="9">
        <f>IFERROR(VLOOKUP(B620,cubo!$A$6:$AN$37,41,0)-VLOOKUP(B620,#REF!,$AN$2,0),0)</f>
        <v>0</v>
      </c>
    </row>
    <row r="621" spans="2:40" x14ac:dyDescent="0.25">
      <c r="B621" s="7">
        <f>[1]salario!A620</f>
        <v>0</v>
      </c>
      <c r="C621" s="8">
        <f>[1]salario!C620</f>
        <v>0</v>
      </c>
      <c r="D621" s="9">
        <f>IFERROR(VLOOKUP(B621,cubo!$A$6:$BE$37,3,0)-VLOOKUP(B621,#REF!,$D$2,0),0)</f>
        <v>0</v>
      </c>
      <c r="E621" s="10">
        <f>IFERROR(VLOOKUP(B621,cubo!$A$6:$BE$37,5,0)-VLOOKUP(B621,#REF!,$E$2,0),0)</f>
        <v>0</v>
      </c>
      <c r="F621" s="10">
        <f>IFERROR(VLOOKUP(B621,cubo!$A$6:$BE$37,8,0)-VLOOKUP(B621,#REF!,$F$2,0),0)</f>
        <v>0</v>
      </c>
      <c r="G621" s="9">
        <f>IFERROR(VLOOKUP(B621,cubo!$A$6:$BE$37,11,0)-VLOOKUP(B621,#REF!,$G$2,0),0)</f>
        <v>0</v>
      </c>
      <c r="H621" s="9">
        <f>IFERROR(VLOOKUP(B621,cubo!$A$6:$BE$37,53,0)-VLOOKUP(B621,#REF!,$H$2,0),0)</f>
        <v>0</v>
      </c>
      <c r="I621" s="10">
        <f>IFERROR(VLOOKUP(B621,cubo!$A$6:$BE$37,14,0)-VLOOKUP(B621,#REF!,$I$2,0),0)</f>
        <v>0</v>
      </c>
      <c r="J621" s="9">
        <f>IFERROR(VLOOKUP(B621,cubo!$A$6:$BE$37,16,0)-VLOOKUP(B621,#REF!,$J$2,0),0)</f>
        <v>0</v>
      </c>
      <c r="K621" s="9">
        <f>IFERROR(VLOOKUP(B621,cubo!$A$6:$BE$37,17,0)-VLOOKUP(B621,#REF!,$K$2,0),0)</f>
        <v>0</v>
      </c>
      <c r="L621" s="9">
        <f>IFERROR(VLOOKUP(B621,cubo!$A$6:$BE$37,19,0)-VLOOKUP(B621,#REF!,$L$2,0),0)</f>
        <v>0</v>
      </c>
      <c r="M621" s="9">
        <f>IFERROR(VLOOKUP(B621,cubo!$A$6:$BE$37,23,0)-VLOOKUP(B621,#REF!,$M$2,0),0)</f>
        <v>0</v>
      </c>
      <c r="N621" s="9">
        <f>IFERROR(VLOOKUP(B621,cubo!$A$6:$BE$37,25,0)-VLOOKUP(B621,#REF!,$N$2,0),0)</f>
        <v>0</v>
      </c>
      <c r="O621" s="9">
        <f>IFERROR(VLOOKUP(B621,cubo!$A$6:$BE$37,33,0)-VLOOKUP(B621,#REF!,$O$2,0),0)</f>
        <v>0</v>
      </c>
      <c r="P621" s="8">
        <f>IFERROR(VLOOKUP(B621,cubo!$A$6:$BE$37,37,0)-VLOOKUP(B621,#REF!,$P$2,0),0)</f>
        <v>0</v>
      </c>
      <c r="Q621" s="8">
        <f>IFERROR(VLOOKUP(B621,cubo!$A$6:$BE$37,56,0)-VLOOKUP(B621,#REF!,$Q$2,0),0)</f>
        <v>0</v>
      </c>
      <c r="R621" s="9">
        <f>IFERROR(VLOOKUP(B621,cubo!$A$6:$BE$37,40,0)-VLOOKUP(B621,#REF!,$R$2,0),0)</f>
        <v>0</v>
      </c>
      <c r="S621" s="9">
        <f>IFERROR(VLOOKUP(B621,cubo!$A$6:$BE$37,43,0)-VLOOKUP(B621,#REF!,$S$2,0),0)</f>
        <v>0</v>
      </c>
      <c r="T621" s="9">
        <f>IFERROR(VLOOKUP(B621,cubo!$A$6:$BE$37,46,0)-VLOOKUP(B621,#REF!,$T$2,0),0)</f>
        <v>0</v>
      </c>
      <c r="U621" s="9">
        <f>IFERROR(VLOOKUP(B621,cubo!$A$6:$BE$37,51,0)-VLOOKUP(B621,#REF!,$U$2,0),0)</f>
        <v>0</v>
      </c>
      <c r="V621" s="9">
        <f>IFERROR(VLOOKUP(B621,cubo!$A$6:$BJ$37,60,0)-VLOOKUP(B621,#REF!,$V$2,0),0)</f>
        <v>0</v>
      </c>
      <c r="W621" s="9">
        <f>IFERROR(VLOOKUP(B621,cubo!$A$6:$BE$37,26,0)-VLOOKUP(B621,#REF!,$W$2,0),0)</f>
        <v>0</v>
      </c>
      <c r="X621" s="9">
        <f>IFERROR(VLOOKUP(B621,cubo!$A$6:$BE$37,20,0)-VLOOKUP(B621,#REF!,$X$2,0),0)</f>
        <v>0</v>
      </c>
      <c r="Y621" s="9">
        <f>IFERROR(VLOOKUP(B621,cubo!$A$6:$BE$37,21,0)-VLOOKUP(B621,#REF!,$Y$2,0),0)</f>
        <v>0</v>
      </c>
      <c r="Z621" s="9">
        <f>IFERROR(VLOOKUP(B621,cubo!$A$6:$BE$37,27,0)-VLOOKUP(B621,#REF!,$Z$2,0),0)</f>
        <v>0</v>
      </c>
      <c r="AA621" s="9">
        <f>IFERROR(VLOOKUP(B621,cubo!$A$6:$BE$37,28,0)-VLOOKUP(B621,#REF!,$AA$2,0),0)</f>
        <v>0</v>
      </c>
      <c r="AB621" s="9">
        <f>IFERROR(VLOOKUP(B621,cubo!$A$6:$BE$37,29,0)-VLOOKUP(B621,#REF!,$AB$2,0),0)</f>
        <v>0</v>
      </c>
      <c r="AC621" s="9">
        <f>IFERROR(VLOOKUP(B621,cubo!$A$6:$BE$37,30,0)-VLOOKUP(B621,#REF!,$AC$2,0),0)</f>
        <v>0</v>
      </c>
      <c r="AD621" s="9">
        <f>IFERROR(VLOOKUP(B621,cubo!$A$6:$BE$37,31,0)-VLOOKUP(B621,#REF!,$AD$2,0),0)</f>
        <v>0</v>
      </c>
      <c r="AE621" s="9">
        <f>IFERROR(VLOOKUP(B621,cubo!$A$6:$BE$37,35,0)-VLOOKUP(B621,#REF!,$AE$2,0),0)</f>
        <v>0</v>
      </c>
      <c r="AF621" s="9" cm="1">
        <f t="array" aca="1" ref="AF621" ca="1">IFERROR(rrPROCV(B621,cubo!$A$6:$BE$37,48,0)-VLOOKUP(B621,#REF!,$AF$2,0),0)</f>
        <v>0</v>
      </c>
      <c r="AG621" s="9">
        <f>IFERROR(VLOOKUP(B621,cubo!$A$6:$BE$37,49,0)-VLOOKUP(B621,#REF!,$AG$2,0),0)</f>
        <v>0</v>
      </c>
      <c r="AH621" s="9">
        <f>IFERROR(VLOOKUP(B621,cubo!$A$6:$BE$37,50,0)-VLOOKUP(B621,#REF!,$AH$2,0),0)</f>
        <v>0</v>
      </c>
      <c r="AI621" s="9">
        <f>IFERROR(VLOOKUP(B621,cubo!$A$6:$BE$37,51,0)-VLOOKUP(B621,#REF!,$AI$2,0),0)</f>
        <v>0</v>
      </c>
      <c r="AJ621" s="9">
        <f>IFERROR(VLOOKUP(B621,cubo!$A$6:$BI$116,62,0)-VLOOKUP(B621,#REF!,$AJ$2,0),0)</f>
        <v>0</v>
      </c>
      <c r="AK621" s="9">
        <f>IFERROR(VLOOKUP(B621,cubo!$A$6:$BJ$37,63,0)-VLOOKUP(B621,#REF!,$AK$2,0),0)</f>
        <v>0</v>
      </c>
      <c r="AL621" s="9">
        <f>IFERROR(VLOOKUP(B621,cubo!$A$6:$BE$37,58,0)-VLOOKUP(B621,#REF!,$AL$2,0),0)</f>
        <v>0</v>
      </c>
      <c r="AM621" s="9">
        <f>IFERROR(VLOOKUP(B621,cubo!$A$6:$BK$37,64,0)-VLOOKUP(B621,#REF!,$AM$2,0),0)</f>
        <v>0</v>
      </c>
      <c r="AN621" s="9">
        <f>IFERROR(VLOOKUP(B621,cubo!$A$6:$AN$37,41,0)-VLOOKUP(B621,#REF!,$AN$2,0),0)</f>
        <v>0</v>
      </c>
    </row>
    <row r="622" spans="2:40" x14ac:dyDescent="0.25">
      <c r="B622" s="7">
        <f>[1]salario!A621</f>
        <v>0</v>
      </c>
      <c r="C622" s="8">
        <f>[1]salario!C621</f>
        <v>0</v>
      </c>
      <c r="D622" s="9">
        <f>IFERROR(VLOOKUP(B622,cubo!$A$6:$BE$37,3,0)-VLOOKUP(B622,#REF!,$D$2,0),0)</f>
        <v>0</v>
      </c>
      <c r="E622" s="10">
        <f>IFERROR(VLOOKUP(B622,cubo!$A$6:$BE$37,5,0)-VLOOKUP(B622,#REF!,$E$2,0),0)</f>
        <v>0</v>
      </c>
      <c r="F622" s="10">
        <f>IFERROR(VLOOKUP(B622,cubo!$A$6:$BE$37,8,0)-VLOOKUP(B622,#REF!,$F$2,0),0)</f>
        <v>0</v>
      </c>
      <c r="G622" s="9">
        <f>IFERROR(VLOOKUP(B622,cubo!$A$6:$BE$37,11,0)-VLOOKUP(B622,#REF!,$G$2,0),0)</f>
        <v>0</v>
      </c>
      <c r="H622" s="9">
        <f>IFERROR(VLOOKUP(B622,cubo!$A$6:$BE$37,53,0)-VLOOKUP(B622,#REF!,$H$2,0),0)</f>
        <v>0</v>
      </c>
      <c r="I622" s="10">
        <f>IFERROR(VLOOKUP(B622,cubo!$A$6:$BE$37,14,0)-VLOOKUP(B622,#REF!,$I$2,0),0)</f>
        <v>0</v>
      </c>
      <c r="J622" s="9">
        <f>IFERROR(VLOOKUP(B622,cubo!$A$6:$BE$37,16,0)-VLOOKUP(B622,#REF!,$J$2,0),0)</f>
        <v>0</v>
      </c>
      <c r="K622" s="9">
        <f>IFERROR(VLOOKUP(B622,cubo!$A$6:$BE$37,17,0)-VLOOKUP(B622,#REF!,$K$2,0),0)</f>
        <v>0</v>
      </c>
      <c r="L622" s="9">
        <f>IFERROR(VLOOKUP(B622,cubo!$A$6:$BE$37,19,0)-VLOOKUP(B622,#REF!,$L$2,0),0)</f>
        <v>0</v>
      </c>
      <c r="M622" s="9">
        <f>IFERROR(VLOOKUP(B622,cubo!$A$6:$BE$37,23,0)-VLOOKUP(B622,#REF!,$M$2,0),0)</f>
        <v>0</v>
      </c>
      <c r="N622" s="9">
        <f>IFERROR(VLOOKUP(B622,cubo!$A$6:$BE$37,25,0)-VLOOKUP(B622,#REF!,$N$2,0),0)</f>
        <v>0</v>
      </c>
      <c r="O622" s="9">
        <f>IFERROR(VLOOKUP(B622,cubo!$A$6:$BE$37,33,0)-VLOOKUP(B622,#REF!,$O$2,0),0)</f>
        <v>0</v>
      </c>
      <c r="P622" s="8">
        <f>IFERROR(VLOOKUP(B622,cubo!$A$6:$BE$37,37,0)-VLOOKUP(B622,#REF!,$P$2,0),0)</f>
        <v>0</v>
      </c>
      <c r="Q622" s="8">
        <f>IFERROR(VLOOKUP(B622,cubo!$A$6:$BE$37,56,0)-VLOOKUP(B622,#REF!,$Q$2,0),0)</f>
        <v>0</v>
      </c>
      <c r="R622" s="9">
        <f>IFERROR(VLOOKUP(B622,cubo!$A$6:$BE$37,40,0)-VLOOKUP(B622,#REF!,$R$2,0),0)</f>
        <v>0</v>
      </c>
      <c r="S622" s="9">
        <f>IFERROR(VLOOKUP(B622,cubo!$A$6:$BE$37,43,0)-VLOOKUP(B622,#REF!,$S$2,0),0)</f>
        <v>0</v>
      </c>
      <c r="T622" s="9">
        <f>IFERROR(VLOOKUP(B622,cubo!$A$6:$BE$37,46,0)-VLOOKUP(B622,#REF!,$T$2,0),0)</f>
        <v>0</v>
      </c>
      <c r="U622" s="9">
        <f>IFERROR(VLOOKUP(B622,cubo!$A$6:$BE$37,51,0)-VLOOKUP(B622,#REF!,$U$2,0),0)</f>
        <v>0</v>
      </c>
      <c r="V622" s="9">
        <f>IFERROR(VLOOKUP(B622,cubo!$A$6:$BJ$37,60,0)-VLOOKUP(B622,#REF!,$V$2,0),0)</f>
        <v>0</v>
      </c>
      <c r="W622" s="9">
        <f>IFERROR(VLOOKUP(B622,cubo!$A$6:$BE$37,26,0)-VLOOKUP(B622,#REF!,$W$2,0),0)</f>
        <v>0</v>
      </c>
      <c r="X622" s="9">
        <f>IFERROR(VLOOKUP(B622,cubo!$A$6:$BE$37,20,0)-VLOOKUP(B622,#REF!,$X$2,0),0)</f>
        <v>0</v>
      </c>
      <c r="Y622" s="9">
        <f>IFERROR(VLOOKUP(B622,cubo!$A$6:$BE$37,21,0)-VLOOKUP(B622,#REF!,$Y$2,0),0)</f>
        <v>0</v>
      </c>
      <c r="Z622" s="9">
        <f>IFERROR(VLOOKUP(B622,cubo!$A$6:$BE$37,27,0)-VLOOKUP(B622,#REF!,$Z$2,0),0)</f>
        <v>0</v>
      </c>
      <c r="AA622" s="9">
        <f>IFERROR(VLOOKUP(B622,cubo!$A$6:$BE$37,28,0)-VLOOKUP(B622,#REF!,$AA$2,0),0)</f>
        <v>0</v>
      </c>
      <c r="AB622" s="9">
        <f>IFERROR(VLOOKUP(B622,cubo!$A$6:$BE$37,29,0)-VLOOKUP(B622,#REF!,$AB$2,0),0)</f>
        <v>0</v>
      </c>
      <c r="AC622" s="9">
        <f>IFERROR(VLOOKUP(B622,cubo!$A$6:$BE$37,30,0)-VLOOKUP(B622,#REF!,$AC$2,0),0)</f>
        <v>0</v>
      </c>
      <c r="AD622" s="9">
        <f>IFERROR(VLOOKUP(B622,cubo!$A$6:$BE$37,31,0)-VLOOKUP(B622,#REF!,$AD$2,0),0)</f>
        <v>0</v>
      </c>
      <c r="AE622" s="9">
        <f>IFERROR(VLOOKUP(B622,cubo!$A$6:$BE$37,35,0)-VLOOKUP(B622,#REF!,$AE$2,0),0)</f>
        <v>0</v>
      </c>
      <c r="AF622" s="9" cm="1">
        <f t="array" aca="1" ref="AF622" ca="1">IFERROR(rrPROCV(B622,cubo!$A$6:$BE$37,48,0)-VLOOKUP(B622,#REF!,$AF$2,0),0)</f>
        <v>0</v>
      </c>
      <c r="AG622" s="9">
        <f>IFERROR(VLOOKUP(B622,cubo!$A$6:$BE$37,49,0)-VLOOKUP(B622,#REF!,$AG$2,0),0)</f>
        <v>0</v>
      </c>
      <c r="AH622" s="9">
        <f>IFERROR(VLOOKUP(B622,cubo!$A$6:$BE$37,50,0)-VLOOKUP(B622,#REF!,$AH$2,0),0)</f>
        <v>0</v>
      </c>
      <c r="AI622" s="9">
        <f>IFERROR(VLOOKUP(B622,cubo!$A$6:$BE$37,51,0)-VLOOKUP(B622,#REF!,$AI$2,0),0)</f>
        <v>0</v>
      </c>
      <c r="AJ622" s="9">
        <f>IFERROR(VLOOKUP(B622,cubo!$A$6:$BI$116,62,0)-VLOOKUP(B622,#REF!,$AJ$2,0),0)</f>
        <v>0</v>
      </c>
      <c r="AK622" s="9">
        <f>IFERROR(VLOOKUP(B622,cubo!$A$6:$BJ$37,63,0)-VLOOKUP(B622,#REF!,$AK$2,0),0)</f>
        <v>0</v>
      </c>
      <c r="AL622" s="9">
        <f>IFERROR(VLOOKUP(B622,cubo!$A$6:$BE$37,58,0)-VLOOKUP(B622,#REF!,$AL$2,0),0)</f>
        <v>0</v>
      </c>
      <c r="AM622" s="9">
        <f>IFERROR(VLOOKUP(B622,cubo!$A$6:$BK$37,64,0)-VLOOKUP(B622,#REF!,$AM$2,0),0)</f>
        <v>0</v>
      </c>
      <c r="AN622" s="9">
        <f>IFERROR(VLOOKUP(B622,cubo!$A$6:$AN$37,41,0)-VLOOKUP(B622,#REF!,$AN$2,0),0)</f>
        <v>0</v>
      </c>
    </row>
    <row r="623" spans="2:40" x14ac:dyDescent="0.25">
      <c r="B623" s="7">
        <f>[1]salario!A622</f>
        <v>0</v>
      </c>
      <c r="C623" s="8">
        <f>[1]salario!C622</f>
        <v>0</v>
      </c>
      <c r="D623" s="9">
        <f>IFERROR(VLOOKUP(B623,cubo!$A$6:$BE$37,3,0)-VLOOKUP(B623,#REF!,$D$2,0),0)</f>
        <v>0</v>
      </c>
      <c r="E623" s="10">
        <f>IFERROR(VLOOKUP(B623,cubo!$A$6:$BE$37,5,0)-VLOOKUP(B623,#REF!,$E$2,0),0)</f>
        <v>0</v>
      </c>
      <c r="F623" s="10">
        <f>IFERROR(VLOOKUP(B623,cubo!$A$6:$BE$37,8,0)-VLOOKUP(B623,#REF!,$F$2,0),0)</f>
        <v>0</v>
      </c>
      <c r="G623" s="9">
        <f>IFERROR(VLOOKUP(B623,cubo!$A$6:$BE$37,11,0)-VLOOKUP(B623,#REF!,$G$2,0),0)</f>
        <v>0</v>
      </c>
      <c r="H623" s="9">
        <f>IFERROR(VLOOKUP(B623,cubo!$A$6:$BE$37,53,0)-VLOOKUP(B623,#REF!,$H$2,0),0)</f>
        <v>0</v>
      </c>
      <c r="I623" s="10">
        <f>IFERROR(VLOOKUP(B623,cubo!$A$6:$BE$37,14,0)-VLOOKUP(B623,#REF!,$I$2,0),0)</f>
        <v>0</v>
      </c>
      <c r="J623" s="9">
        <f>IFERROR(VLOOKUP(B623,cubo!$A$6:$BE$37,16,0)-VLOOKUP(B623,#REF!,$J$2,0),0)</f>
        <v>0</v>
      </c>
      <c r="K623" s="9">
        <f>IFERROR(VLOOKUP(B623,cubo!$A$6:$BE$37,17,0)-VLOOKUP(B623,#REF!,$K$2,0),0)</f>
        <v>0</v>
      </c>
      <c r="L623" s="9">
        <f>IFERROR(VLOOKUP(B623,cubo!$A$6:$BE$37,19,0)-VLOOKUP(B623,#REF!,$L$2,0),0)</f>
        <v>0</v>
      </c>
      <c r="M623" s="9">
        <f>IFERROR(VLOOKUP(B623,cubo!$A$6:$BE$37,23,0)-VLOOKUP(B623,#REF!,$M$2,0),0)</f>
        <v>0</v>
      </c>
      <c r="N623" s="9">
        <f>IFERROR(VLOOKUP(B623,cubo!$A$6:$BE$37,25,0)-VLOOKUP(B623,#REF!,$N$2,0),0)</f>
        <v>0</v>
      </c>
      <c r="O623" s="9">
        <f>IFERROR(VLOOKUP(B623,cubo!$A$6:$BE$37,33,0)-VLOOKUP(B623,#REF!,$O$2,0),0)</f>
        <v>0</v>
      </c>
      <c r="P623" s="8">
        <f>IFERROR(VLOOKUP(B623,cubo!$A$6:$BE$37,37,0)-VLOOKUP(B623,#REF!,$P$2,0),0)</f>
        <v>0</v>
      </c>
      <c r="Q623" s="8">
        <f>IFERROR(VLOOKUP(B623,cubo!$A$6:$BE$37,56,0)-VLOOKUP(B623,#REF!,$Q$2,0),0)</f>
        <v>0</v>
      </c>
      <c r="R623" s="9">
        <f>IFERROR(VLOOKUP(B623,cubo!$A$6:$BE$37,40,0)-VLOOKUP(B623,#REF!,$R$2,0),0)</f>
        <v>0</v>
      </c>
      <c r="S623" s="9">
        <f>IFERROR(VLOOKUP(B623,cubo!$A$6:$BE$37,43,0)-VLOOKUP(B623,#REF!,$S$2,0),0)</f>
        <v>0</v>
      </c>
      <c r="T623" s="9">
        <f>IFERROR(VLOOKUP(B623,cubo!$A$6:$BE$37,46,0)-VLOOKUP(B623,#REF!,$T$2,0),0)</f>
        <v>0</v>
      </c>
      <c r="U623" s="9">
        <f>IFERROR(VLOOKUP(B623,cubo!$A$6:$BE$37,51,0)-VLOOKUP(B623,#REF!,$U$2,0),0)</f>
        <v>0</v>
      </c>
      <c r="V623" s="9">
        <f>IFERROR(VLOOKUP(B623,cubo!$A$6:$BJ$37,60,0)-VLOOKUP(B623,#REF!,$V$2,0),0)</f>
        <v>0</v>
      </c>
      <c r="W623" s="9">
        <f>IFERROR(VLOOKUP(B623,cubo!$A$6:$BE$37,26,0)-VLOOKUP(B623,#REF!,$W$2,0),0)</f>
        <v>0</v>
      </c>
      <c r="X623" s="9">
        <f>IFERROR(VLOOKUP(B623,cubo!$A$6:$BE$37,20,0)-VLOOKUP(B623,#REF!,$X$2,0),0)</f>
        <v>0</v>
      </c>
      <c r="Y623" s="9">
        <f>IFERROR(VLOOKUP(B623,cubo!$A$6:$BE$37,21,0)-VLOOKUP(B623,#REF!,$Y$2,0),0)</f>
        <v>0</v>
      </c>
      <c r="Z623" s="9">
        <f>IFERROR(VLOOKUP(B623,cubo!$A$6:$BE$37,27,0)-VLOOKUP(B623,#REF!,$Z$2,0),0)</f>
        <v>0</v>
      </c>
      <c r="AA623" s="9">
        <f>IFERROR(VLOOKUP(B623,cubo!$A$6:$BE$37,28,0)-VLOOKUP(B623,#REF!,$AA$2,0),0)</f>
        <v>0</v>
      </c>
      <c r="AB623" s="9">
        <f>IFERROR(VLOOKUP(B623,cubo!$A$6:$BE$37,29,0)-VLOOKUP(B623,#REF!,$AB$2,0),0)</f>
        <v>0</v>
      </c>
      <c r="AC623" s="9">
        <f>IFERROR(VLOOKUP(B623,cubo!$A$6:$BE$37,30,0)-VLOOKUP(B623,#REF!,$AC$2,0),0)</f>
        <v>0</v>
      </c>
      <c r="AD623" s="9">
        <f>IFERROR(VLOOKUP(B623,cubo!$A$6:$BE$37,31,0)-VLOOKUP(B623,#REF!,$AD$2,0),0)</f>
        <v>0</v>
      </c>
      <c r="AE623" s="9">
        <f>IFERROR(VLOOKUP(B623,cubo!$A$6:$BE$37,35,0)-VLOOKUP(B623,#REF!,$AE$2,0),0)</f>
        <v>0</v>
      </c>
      <c r="AF623" s="9" cm="1">
        <f t="array" aca="1" ref="AF623" ca="1">IFERROR(rrPROCV(B623,cubo!$A$6:$BE$37,48,0)-VLOOKUP(B623,#REF!,$AF$2,0),0)</f>
        <v>0</v>
      </c>
      <c r="AG623" s="9">
        <f>IFERROR(VLOOKUP(B623,cubo!$A$6:$BE$37,49,0)-VLOOKUP(B623,#REF!,$AG$2,0),0)</f>
        <v>0</v>
      </c>
      <c r="AH623" s="9">
        <f>IFERROR(VLOOKUP(B623,cubo!$A$6:$BE$37,50,0)-VLOOKUP(B623,#REF!,$AH$2,0),0)</f>
        <v>0</v>
      </c>
      <c r="AI623" s="9">
        <f>IFERROR(VLOOKUP(B623,cubo!$A$6:$BE$37,51,0)-VLOOKUP(B623,#REF!,$AI$2,0),0)</f>
        <v>0</v>
      </c>
      <c r="AJ623" s="9">
        <f>IFERROR(VLOOKUP(B623,cubo!$A$6:$BI$116,62,0)-VLOOKUP(B623,#REF!,$AJ$2,0),0)</f>
        <v>0</v>
      </c>
      <c r="AK623" s="9">
        <f>IFERROR(VLOOKUP(B623,cubo!$A$6:$BJ$37,63,0)-VLOOKUP(B623,#REF!,$AK$2,0),0)</f>
        <v>0</v>
      </c>
      <c r="AL623" s="9">
        <f>IFERROR(VLOOKUP(B623,cubo!$A$6:$BE$37,58,0)-VLOOKUP(B623,#REF!,$AL$2,0),0)</f>
        <v>0</v>
      </c>
      <c r="AM623" s="9">
        <f>IFERROR(VLOOKUP(B623,cubo!$A$6:$BK$37,64,0)-VLOOKUP(B623,#REF!,$AM$2,0),0)</f>
        <v>0</v>
      </c>
      <c r="AN623" s="9">
        <f>IFERROR(VLOOKUP(B623,cubo!$A$6:$AN$37,41,0)-VLOOKUP(B623,#REF!,$AN$2,0),0)</f>
        <v>0</v>
      </c>
    </row>
    <row r="624" spans="2:40" x14ac:dyDescent="0.25">
      <c r="B624" s="7">
        <f>[1]salario!A623</f>
        <v>0</v>
      </c>
      <c r="C624" s="8">
        <f>[1]salario!C623</f>
        <v>0</v>
      </c>
      <c r="D624" s="9">
        <f>IFERROR(VLOOKUP(B624,cubo!$A$6:$BE$37,3,0)-VLOOKUP(B624,#REF!,$D$2,0),0)</f>
        <v>0</v>
      </c>
      <c r="E624" s="10">
        <f>IFERROR(VLOOKUP(B624,cubo!$A$6:$BE$37,5,0)-VLOOKUP(B624,#REF!,$E$2,0),0)</f>
        <v>0</v>
      </c>
      <c r="F624" s="10">
        <f>IFERROR(VLOOKUP(B624,cubo!$A$6:$BE$37,8,0)-VLOOKUP(B624,#REF!,$F$2,0),0)</f>
        <v>0</v>
      </c>
      <c r="G624" s="9">
        <f>IFERROR(VLOOKUP(B624,cubo!$A$6:$BE$37,11,0)-VLOOKUP(B624,#REF!,$G$2,0),0)</f>
        <v>0</v>
      </c>
      <c r="H624" s="9">
        <f>IFERROR(VLOOKUP(B624,cubo!$A$6:$BE$37,53,0)-VLOOKUP(B624,#REF!,$H$2,0),0)</f>
        <v>0</v>
      </c>
      <c r="I624" s="10">
        <f>IFERROR(VLOOKUP(B624,cubo!$A$6:$BE$37,14,0)-VLOOKUP(B624,#REF!,$I$2,0),0)</f>
        <v>0</v>
      </c>
      <c r="J624" s="9">
        <f>IFERROR(VLOOKUP(B624,cubo!$A$6:$BE$37,16,0)-VLOOKUP(B624,#REF!,$J$2,0),0)</f>
        <v>0</v>
      </c>
      <c r="K624" s="9">
        <f>IFERROR(VLOOKUP(B624,cubo!$A$6:$BE$37,17,0)-VLOOKUP(B624,#REF!,$K$2,0),0)</f>
        <v>0</v>
      </c>
      <c r="L624" s="9">
        <f>IFERROR(VLOOKUP(B624,cubo!$A$6:$BE$37,19,0)-VLOOKUP(B624,#REF!,$L$2,0),0)</f>
        <v>0</v>
      </c>
      <c r="M624" s="9">
        <f>IFERROR(VLOOKUP(B624,cubo!$A$6:$BE$37,23,0)-VLOOKUP(B624,#REF!,$M$2,0),0)</f>
        <v>0</v>
      </c>
      <c r="N624" s="9">
        <f>IFERROR(VLOOKUP(B624,cubo!$A$6:$BE$37,25,0)-VLOOKUP(B624,#REF!,$N$2,0),0)</f>
        <v>0</v>
      </c>
      <c r="O624" s="9">
        <f>IFERROR(VLOOKUP(B624,cubo!$A$6:$BE$37,33,0)-VLOOKUP(B624,#REF!,$O$2,0),0)</f>
        <v>0</v>
      </c>
      <c r="P624" s="8">
        <f>IFERROR(VLOOKUP(B624,cubo!$A$6:$BE$37,37,0)-VLOOKUP(B624,#REF!,$P$2,0),0)</f>
        <v>0</v>
      </c>
      <c r="Q624" s="8">
        <f>IFERROR(VLOOKUP(B624,cubo!$A$6:$BE$37,56,0)-VLOOKUP(B624,#REF!,$Q$2,0),0)</f>
        <v>0</v>
      </c>
      <c r="R624" s="9">
        <f>IFERROR(VLOOKUP(B624,cubo!$A$6:$BE$37,40,0)-VLOOKUP(B624,#REF!,$R$2,0),0)</f>
        <v>0</v>
      </c>
      <c r="S624" s="9">
        <f>IFERROR(VLOOKUP(B624,cubo!$A$6:$BE$37,43,0)-VLOOKUP(B624,#REF!,$S$2,0),0)</f>
        <v>0</v>
      </c>
      <c r="T624" s="9">
        <f>IFERROR(VLOOKUP(B624,cubo!$A$6:$BE$37,46,0)-VLOOKUP(B624,#REF!,$T$2,0),0)</f>
        <v>0</v>
      </c>
      <c r="U624" s="9">
        <f>IFERROR(VLOOKUP(B624,cubo!$A$6:$BE$37,51,0)-VLOOKUP(B624,#REF!,$U$2,0),0)</f>
        <v>0</v>
      </c>
      <c r="V624" s="9">
        <f>IFERROR(VLOOKUP(B624,cubo!$A$6:$BJ$37,60,0)-VLOOKUP(B624,#REF!,$V$2,0),0)</f>
        <v>0</v>
      </c>
      <c r="W624" s="9">
        <f>IFERROR(VLOOKUP(B624,cubo!$A$6:$BE$37,26,0)-VLOOKUP(B624,#REF!,$W$2,0),0)</f>
        <v>0</v>
      </c>
      <c r="X624" s="9">
        <f>IFERROR(VLOOKUP(B624,cubo!$A$6:$BE$37,20,0)-VLOOKUP(B624,#REF!,$X$2,0),0)</f>
        <v>0</v>
      </c>
      <c r="Y624" s="9">
        <f>IFERROR(VLOOKUP(B624,cubo!$A$6:$BE$37,21,0)-VLOOKUP(B624,#REF!,$Y$2,0),0)</f>
        <v>0</v>
      </c>
      <c r="Z624" s="9">
        <f>IFERROR(VLOOKUP(B624,cubo!$A$6:$BE$37,27,0)-VLOOKUP(B624,#REF!,$Z$2,0),0)</f>
        <v>0</v>
      </c>
      <c r="AA624" s="9">
        <f>IFERROR(VLOOKUP(B624,cubo!$A$6:$BE$37,28,0)-VLOOKUP(B624,#REF!,$AA$2,0),0)</f>
        <v>0</v>
      </c>
      <c r="AB624" s="9">
        <f>IFERROR(VLOOKUP(B624,cubo!$A$6:$BE$37,29,0)-VLOOKUP(B624,#REF!,$AB$2,0),0)</f>
        <v>0</v>
      </c>
      <c r="AC624" s="9">
        <f>IFERROR(VLOOKUP(B624,cubo!$A$6:$BE$37,30,0)-VLOOKUP(B624,#REF!,$AC$2,0),0)</f>
        <v>0</v>
      </c>
      <c r="AD624" s="9">
        <f>IFERROR(VLOOKUP(B624,cubo!$A$6:$BE$37,31,0)-VLOOKUP(B624,#REF!,$AD$2,0),0)</f>
        <v>0</v>
      </c>
      <c r="AE624" s="9">
        <f>IFERROR(VLOOKUP(B624,cubo!$A$6:$BE$37,35,0)-VLOOKUP(B624,#REF!,$AE$2,0),0)</f>
        <v>0</v>
      </c>
      <c r="AF624" s="9" cm="1">
        <f t="array" aca="1" ref="AF624" ca="1">IFERROR(rrPROCV(B624,cubo!$A$6:$BE$37,48,0)-VLOOKUP(B624,#REF!,$AF$2,0),0)</f>
        <v>0</v>
      </c>
      <c r="AG624" s="9">
        <f>IFERROR(VLOOKUP(B624,cubo!$A$6:$BE$37,49,0)-VLOOKUP(B624,#REF!,$AG$2,0),0)</f>
        <v>0</v>
      </c>
      <c r="AH624" s="9">
        <f>IFERROR(VLOOKUP(B624,cubo!$A$6:$BE$37,50,0)-VLOOKUP(B624,#REF!,$AH$2,0),0)</f>
        <v>0</v>
      </c>
      <c r="AI624" s="9">
        <f>IFERROR(VLOOKUP(B624,cubo!$A$6:$BE$37,51,0)-VLOOKUP(B624,#REF!,$AI$2,0),0)</f>
        <v>0</v>
      </c>
      <c r="AJ624" s="9">
        <f>IFERROR(VLOOKUP(B624,cubo!$A$6:$BI$116,62,0)-VLOOKUP(B624,#REF!,$AJ$2,0),0)</f>
        <v>0</v>
      </c>
      <c r="AK624" s="9">
        <f>IFERROR(VLOOKUP(B624,cubo!$A$6:$BJ$37,63,0)-VLOOKUP(B624,#REF!,$AK$2,0),0)</f>
        <v>0</v>
      </c>
      <c r="AL624" s="9">
        <f>IFERROR(VLOOKUP(B624,cubo!$A$6:$BE$37,58,0)-VLOOKUP(B624,#REF!,$AL$2,0),0)</f>
        <v>0</v>
      </c>
      <c r="AM624" s="9">
        <f>IFERROR(VLOOKUP(B624,cubo!$A$6:$BK$37,64,0)-VLOOKUP(B624,#REF!,$AM$2,0),0)</f>
        <v>0</v>
      </c>
      <c r="AN624" s="9">
        <f>IFERROR(VLOOKUP(B624,cubo!$A$6:$AN$37,41,0)-VLOOKUP(B624,#REF!,$AN$2,0),0)</f>
        <v>0</v>
      </c>
    </row>
    <row r="625" spans="2:40" x14ac:dyDescent="0.25">
      <c r="B625" s="7">
        <f>[1]salario!A624</f>
        <v>0</v>
      </c>
      <c r="C625" s="8">
        <f>[1]salario!C624</f>
        <v>0</v>
      </c>
      <c r="D625" s="9">
        <f>IFERROR(VLOOKUP(B625,cubo!$A$6:$BE$37,3,0)-VLOOKUP(B625,#REF!,$D$2,0),0)</f>
        <v>0</v>
      </c>
      <c r="E625" s="10">
        <f>IFERROR(VLOOKUP(B625,cubo!$A$6:$BE$37,5,0)-VLOOKUP(B625,#REF!,$E$2,0),0)</f>
        <v>0</v>
      </c>
      <c r="F625" s="10">
        <f>IFERROR(VLOOKUP(B625,cubo!$A$6:$BE$37,8,0)-VLOOKUP(B625,#REF!,$F$2,0),0)</f>
        <v>0</v>
      </c>
      <c r="G625" s="9">
        <f>IFERROR(VLOOKUP(B625,cubo!$A$6:$BE$37,11,0)-VLOOKUP(B625,#REF!,$G$2,0),0)</f>
        <v>0</v>
      </c>
      <c r="H625" s="9">
        <f>IFERROR(VLOOKUP(B625,cubo!$A$6:$BE$37,53,0)-VLOOKUP(B625,#REF!,$H$2,0),0)</f>
        <v>0</v>
      </c>
      <c r="I625" s="10">
        <f>IFERROR(VLOOKUP(B625,cubo!$A$6:$BE$37,14,0)-VLOOKUP(B625,#REF!,$I$2,0),0)</f>
        <v>0</v>
      </c>
      <c r="J625" s="9">
        <f>IFERROR(VLOOKUP(B625,cubo!$A$6:$BE$37,16,0)-VLOOKUP(B625,#REF!,$J$2,0),0)</f>
        <v>0</v>
      </c>
      <c r="K625" s="9">
        <f>IFERROR(VLOOKUP(B625,cubo!$A$6:$BE$37,17,0)-VLOOKUP(B625,#REF!,$K$2,0),0)</f>
        <v>0</v>
      </c>
      <c r="L625" s="9">
        <f>IFERROR(VLOOKUP(B625,cubo!$A$6:$BE$37,19,0)-VLOOKUP(B625,#REF!,$L$2,0),0)</f>
        <v>0</v>
      </c>
      <c r="M625" s="9">
        <f>IFERROR(VLOOKUP(B625,cubo!$A$6:$BE$37,23,0)-VLOOKUP(B625,#REF!,$M$2,0),0)</f>
        <v>0</v>
      </c>
      <c r="N625" s="9">
        <f>IFERROR(VLOOKUP(B625,cubo!$A$6:$BE$37,25,0)-VLOOKUP(B625,#REF!,$N$2,0),0)</f>
        <v>0</v>
      </c>
      <c r="O625" s="9">
        <f>IFERROR(VLOOKUP(B625,cubo!$A$6:$BE$37,33,0)-VLOOKUP(B625,#REF!,$O$2,0),0)</f>
        <v>0</v>
      </c>
      <c r="P625" s="8">
        <f>IFERROR(VLOOKUP(B625,cubo!$A$6:$BE$37,37,0)-VLOOKUP(B625,#REF!,$P$2,0),0)</f>
        <v>0</v>
      </c>
      <c r="Q625" s="8">
        <f>IFERROR(VLOOKUP(B625,cubo!$A$6:$BE$37,56,0)-VLOOKUP(B625,#REF!,$Q$2,0),0)</f>
        <v>0</v>
      </c>
      <c r="R625" s="9">
        <f>IFERROR(VLOOKUP(B625,cubo!$A$6:$BE$37,40,0)-VLOOKUP(B625,#REF!,$R$2,0),0)</f>
        <v>0</v>
      </c>
      <c r="S625" s="9">
        <f>IFERROR(VLOOKUP(B625,cubo!$A$6:$BE$37,43,0)-VLOOKUP(B625,#REF!,$S$2,0),0)</f>
        <v>0</v>
      </c>
      <c r="T625" s="9">
        <f>IFERROR(VLOOKUP(B625,cubo!$A$6:$BE$37,46,0)-VLOOKUP(B625,#REF!,$T$2,0),0)</f>
        <v>0</v>
      </c>
      <c r="U625" s="9">
        <f>IFERROR(VLOOKUP(B625,cubo!$A$6:$BE$37,51,0)-VLOOKUP(B625,#REF!,$U$2,0),0)</f>
        <v>0</v>
      </c>
      <c r="V625" s="9">
        <f>IFERROR(VLOOKUP(B625,cubo!$A$6:$BJ$37,60,0)-VLOOKUP(B625,#REF!,$V$2,0),0)</f>
        <v>0</v>
      </c>
      <c r="W625" s="9">
        <f>IFERROR(VLOOKUP(B625,cubo!$A$6:$BE$37,26,0)-VLOOKUP(B625,#REF!,$W$2,0),0)</f>
        <v>0</v>
      </c>
      <c r="X625" s="9">
        <f>IFERROR(VLOOKUP(B625,cubo!$A$6:$BE$37,20,0)-VLOOKUP(B625,#REF!,$X$2,0),0)</f>
        <v>0</v>
      </c>
      <c r="Y625" s="9">
        <f>IFERROR(VLOOKUP(B625,cubo!$A$6:$BE$37,21,0)-VLOOKUP(B625,#REF!,$Y$2,0),0)</f>
        <v>0</v>
      </c>
      <c r="Z625" s="9">
        <f>IFERROR(VLOOKUP(B625,cubo!$A$6:$BE$37,27,0)-VLOOKUP(B625,#REF!,$Z$2,0),0)</f>
        <v>0</v>
      </c>
      <c r="AA625" s="9">
        <f>IFERROR(VLOOKUP(B625,cubo!$A$6:$BE$37,28,0)-VLOOKUP(B625,#REF!,$AA$2,0),0)</f>
        <v>0</v>
      </c>
      <c r="AB625" s="9">
        <f>IFERROR(VLOOKUP(B625,cubo!$A$6:$BE$37,29,0)-VLOOKUP(B625,#REF!,$AB$2,0),0)</f>
        <v>0</v>
      </c>
      <c r="AC625" s="9">
        <f>IFERROR(VLOOKUP(B625,cubo!$A$6:$BE$37,30,0)-VLOOKUP(B625,#REF!,$AC$2,0),0)</f>
        <v>0</v>
      </c>
      <c r="AD625" s="9">
        <f>IFERROR(VLOOKUP(B625,cubo!$A$6:$BE$37,31,0)-VLOOKUP(B625,#REF!,$AD$2,0),0)</f>
        <v>0</v>
      </c>
      <c r="AE625" s="9">
        <f>IFERROR(VLOOKUP(B625,cubo!$A$6:$BE$37,35,0)-VLOOKUP(B625,#REF!,$AE$2,0),0)</f>
        <v>0</v>
      </c>
      <c r="AF625" s="9" cm="1">
        <f t="array" aca="1" ref="AF625" ca="1">IFERROR(rrPROCV(B625,cubo!$A$6:$BE$37,48,0)-VLOOKUP(B625,#REF!,$AF$2,0),0)</f>
        <v>0</v>
      </c>
      <c r="AG625" s="9">
        <f>IFERROR(VLOOKUP(B625,cubo!$A$6:$BE$37,49,0)-VLOOKUP(B625,#REF!,$AG$2,0),0)</f>
        <v>0</v>
      </c>
      <c r="AH625" s="9">
        <f>IFERROR(VLOOKUP(B625,cubo!$A$6:$BE$37,50,0)-VLOOKUP(B625,#REF!,$AH$2,0),0)</f>
        <v>0</v>
      </c>
      <c r="AI625" s="9">
        <f>IFERROR(VLOOKUP(B625,cubo!$A$6:$BE$37,51,0)-VLOOKUP(B625,#REF!,$AI$2,0),0)</f>
        <v>0</v>
      </c>
      <c r="AJ625" s="9">
        <f>IFERROR(VLOOKUP(B625,cubo!$A$6:$BI$116,62,0)-VLOOKUP(B625,#REF!,$AJ$2,0),0)</f>
        <v>0</v>
      </c>
      <c r="AK625" s="9">
        <f>IFERROR(VLOOKUP(B625,cubo!$A$6:$BJ$37,63,0)-VLOOKUP(B625,#REF!,$AK$2,0),0)</f>
        <v>0</v>
      </c>
      <c r="AL625" s="9">
        <f>IFERROR(VLOOKUP(B625,cubo!$A$6:$BE$37,58,0)-VLOOKUP(B625,#REF!,$AL$2,0),0)</f>
        <v>0</v>
      </c>
      <c r="AM625" s="9">
        <f>IFERROR(VLOOKUP(B625,cubo!$A$6:$BK$37,64,0)-VLOOKUP(B625,#REF!,$AM$2,0),0)</f>
        <v>0</v>
      </c>
      <c r="AN625" s="9">
        <f>IFERROR(VLOOKUP(B625,cubo!$A$6:$AN$37,41,0)-VLOOKUP(B625,#REF!,$AN$2,0),0)</f>
        <v>0</v>
      </c>
    </row>
    <row r="626" spans="2:40" x14ac:dyDescent="0.25">
      <c r="B626" s="7">
        <f>[1]salario!A625</f>
        <v>0</v>
      </c>
      <c r="C626" s="8">
        <f>[1]salario!C625</f>
        <v>0</v>
      </c>
      <c r="D626" s="9">
        <f>IFERROR(VLOOKUP(B626,cubo!$A$6:$BE$37,3,0)-VLOOKUP(B626,#REF!,$D$2,0),0)</f>
        <v>0</v>
      </c>
      <c r="E626" s="10">
        <f>IFERROR(VLOOKUP(B626,cubo!$A$6:$BE$37,5,0)-VLOOKUP(B626,#REF!,$E$2,0),0)</f>
        <v>0</v>
      </c>
      <c r="F626" s="10">
        <f>IFERROR(VLOOKUP(B626,cubo!$A$6:$BE$37,8,0)-VLOOKUP(B626,#REF!,$F$2,0),0)</f>
        <v>0</v>
      </c>
      <c r="G626" s="9">
        <f>IFERROR(VLOOKUP(B626,cubo!$A$6:$BE$37,11,0)-VLOOKUP(B626,#REF!,$G$2,0),0)</f>
        <v>0</v>
      </c>
      <c r="H626" s="9">
        <f>IFERROR(VLOOKUP(B626,cubo!$A$6:$BE$37,53,0)-VLOOKUP(B626,#REF!,$H$2,0),0)</f>
        <v>0</v>
      </c>
      <c r="I626" s="10">
        <f>IFERROR(VLOOKUP(B626,cubo!$A$6:$BE$37,14,0)-VLOOKUP(B626,#REF!,$I$2,0),0)</f>
        <v>0</v>
      </c>
      <c r="J626" s="9">
        <f>IFERROR(VLOOKUP(B626,cubo!$A$6:$BE$37,16,0)-VLOOKUP(B626,#REF!,$J$2,0),0)</f>
        <v>0</v>
      </c>
      <c r="K626" s="9">
        <f>IFERROR(VLOOKUP(B626,cubo!$A$6:$BE$37,17,0)-VLOOKUP(B626,#REF!,$K$2,0),0)</f>
        <v>0</v>
      </c>
      <c r="L626" s="9">
        <f>IFERROR(VLOOKUP(B626,cubo!$A$6:$BE$37,19,0)-VLOOKUP(B626,#REF!,$L$2,0),0)</f>
        <v>0</v>
      </c>
      <c r="M626" s="9">
        <f>IFERROR(VLOOKUP(B626,cubo!$A$6:$BE$37,23,0)-VLOOKUP(B626,#REF!,$M$2,0),0)</f>
        <v>0</v>
      </c>
      <c r="N626" s="9">
        <f>IFERROR(VLOOKUP(B626,cubo!$A$6:$BE$37,25,0)-VLOOKUP(B626,#REF!,$N$2,0),0)</f>
        <v>0</v>
      </c>
      <c r="O626" s="9">
        <f>IFERROR(VLOOKUP(B626,cubo!$A$6:$BE$37,33,0)-VLOOKUP(B626,#REF!,$O$2,0),0)</f>
        <v>0</v>
      </c>
      <c r="P626" s="8">
        <f>IFERROR(VLOOKUP(B626,cubo!$A$6:$BE$37,37,0)-VLOOKUP(B626,#REF!,$P$2,0),0)</f>
        <v>0</v>
      </c>
      <c r="Q626" s="8">
        <f>IFERROR(VLOOKUP(B626,cubo!$A$6:$BE$37,56,0)-VLOOKUP(B626,#REF!,$Q$2,0),0)</f>
        <v>0</v>
      </c>
      <c r="R626" s="9">
        <f>IFERROR(VLOOKUP(B626,cubo!$A$6:$BE$37,40,0)-VLOOKUP(B626,#REF!,$R$2,0),0)</f>
        <v>0</v>
      </c>
      <c r="S626" s="9">
        <f>IFERROR(VLOOKUP(B626,cubo!$A$6:$BE$37,43,0)-VLOOKUP(B626,#REF!,$S$2,0),0)</f>
        <v>0</v>
      </c>
      <c r="T626" s="9">
        <f>IFERROR(VLOOKUP(B626,cubo!$A$6:$BE$37,46,0)-VLOOKUP(B626,#REF!,$T$2,0),0)</f>
        <v>0</v>
      </c>
      <c r="U626" s="9">
        <f>IFERROR(VLOOKUP(B626,cubo!$A$6:$BE$37,51,0)-VLOOKUP(B626,#REF!,$U$2,0),0)</f>
        <v>0</v>
      </c>
      <c r="V626" s="9">
        <f>IFERROR(VLOOKUP(B626,cubo!$A$6:$BJ$37,60,0)-VLOOKUP(B626,#REF!,$V$2,0),0)</f>
        <v>0</v>
      </c>
      <c r="W626" s="9">
        <f>IFERROR(VLOOKUP(B626,cubo!$A$6:$BE$37,26,0)-VLOOKUP(B626,#REF!,$W$2,0),0)</f>
        <v>0</v>
      </c>
      <c r="X626" s="9">
        <f>IFERROR(VLOOKUP(B626,cubo!$A$6:$BE$37,20,0)-VLOOKUP(B626,#REF!,$X$2,0),0)</f>
        <v>0</v>
      </c>
      <c r="Y626" s="9">
        <f>IFERROR(VLOOKUP(B626,cubo!$A$6:$BE$37,21,0)-VLOOKUP(B626,#REF!,$Y$2,0),0)</f>
        <v>0</v>
      </c>
      <c r="Z626" s="9">
        <f>IFERROR(VLOOKUP(B626,cubo!$A$6:$BE$37,27,0)-VLOOKUP(B626,#REF!,$Z$2,0),0)</f>
        <v>0</v>
      </c>
      <c r="AA626" s="9">
        <f>IFERROR(VLOOKUP(B626,cubo!$A$6:$BE$37,28,0)-VLOOKUP(B626,#REF!,$AA$2,0),0)</f>
        <v>0</v>
      </c>
      <c r="AB626" s="9">
        <f>IFERROR(VLOOKUP(B626,cubo!$A$6:$BE$37,29,0)-VLOOKUP(B626,#REF!,$AB$2,0),0)</f>
        <v>0</v>
      </c>
      <c r="AC626" s="9">
        <f>IFERROR(VLOOKUP(B626,cubo!$A$6:$BE$37,30,0)-VLOOKUP(B626,#REF!,$AC$2,0),0)</f>
        <v>0</v>
      </c>
      <c r="AD626" s="9">
        <f>IFERROR(VLOOKUP(B626,cubo!$A$6:$BE$37,31,0)-VLOOKUP(B626,#REF!,$AD$2,0),0)</f>
        <v>0</v>
      </c>
      <c r="AE626" s="9">
        <f>IFERROR(VLOOKUP(B626,cubo!$A$6:$BE$37,35,0)-VLOOKUP(B626,#REF!,$AE$2,0),0)</f>
        <v>0</v>
      </c>
      <c r="AF626" s="9" cm="1">
        <f t="array" aca="1" ref="AF626" ca="1">IFERROR(rrPROCV(B626,cubo!$A$6:$BE$37,48,0)-VLOOKUP(B626,#REF!,$AF$2,0),0)</f>
        <v>0</v>
      </c>
      <c r="AG626" s="9">
        <f>IFERROR(VLOOKUP(B626,cubo!$A$6:$BE$37,49,0)-VLOOKUP(B626,#REF!,$AG$2,0),0)</f>
        <v>0</v>
      </c>
      <c r="AH626" s="9">
        <f>IFERROR(VLOOKUP(B626,cubo!$A$6:$BE$37,50,0)-VLOOKUP(B626,#REF!,$AH$2,0),0)</f>
        <v>0</v>
      </c>
      <c r="AI626" s="9">
        <f>IFERROR(VLOOKUP(B626,cubo!$A$6:$BE$37,51,0)-VLOOKUP(B626,#REF!,$AI$2,0),0)</f>
        <v>0</v>
      </c>
      <c r="AJ626" s="9">
        <f>IFERROR(VLOOKUP(B626,cubo!$A$6:$BI$116,62,0)-VLOOKUP(B626,#REF!,$AJ$2,0),0)</f>
        <v>0</v>
      </c>
      <c r="AK626" s="9">
        <f>IFERROR(VLOOKUP(B626,cubo!$A$6:$BJ$37,63,0)-VLOOKUP(B626,#REF!,$AK$2,0),0)</f>
        <v>0</v>
      </c>
      <c r="AL626" s="9">
        <f>IFERROR(VLOOKUP(B626,cubo!$A$6:$BE$37,58,0)-VLOOKUP(B626,#REF!,$AL$2,0),0)</f>
        <v>0</v>
      </c>
      <c r="AM626" s="9">
        <f>IFERROR(VLOOKUP(B626,cubo!$A$6:$BK$37,64,0)-VLOOKUP(B626,#REF!,$AM$2,0),0)</f>
        <v>0</v>
      </c>
      <c r="AN626" s="9">
        <f>IFERROR(VLOOKUP(B626,cubo!$A$6:$AN$37,41,0)-VLOOKUP(B626,#REF!,$AN$2,0),0)</f>
        <v>0</v>
      </c>
    </row>
    <row r="627" spans="2:40" x14ac:dyDescent="0.25">
      <c r="B627" s="7">
        <f>[1]salario!A626</f>
        <v>0</v>
      </c>
      <c r="C627" s="8">
        <f>[1]salario!C626</f>
        <v>0</v>
      </c>
      <c r="D627" s="9">
        <f>IFERROR(VLOOKUP(B627,cubo!$A$6:$BE$37,3,0)-VLOOKUP(B627,#REF!,$D$2,0),0)</f>
        <v>0</v>
      </c>
      <c r="E627" s="10">
        <f>IFERROR(VLOOKUP(B627,cubo!$A$6:$BE$37,5,0)-VLOOKUP(B627,#REF!,$E$2,0),0)</f>
        <v>0</v>
      </c>
      <c r="F627" s="10">
        <f>IFERROR(VLOOKUP(B627,cubo!$A$6:$BE$37,8,0)-VLOOKUP(B627,#REF!,$F$2,0),0)</f>
        <v>0</v>
      </c>
      <c r="G627" s="9">
        <f>IFERROR(VLOOKUP(B627,cubo!$A$6:$BE$37,11,0)-VLOOKUP(B627,#REF!,$G$2,0),0)</f>
        <v>0</v>
      </c>
      <c r="H627" s="9">
        <f>IFERROR(VLOOKUP(B627,cubo!$A$6:$BE$37,53,0)-VLOOKUP(B627,#REF!,$H$2,0),0)</f>
        <v>0</v>
      </c>
      <c r="I627" s="10">
        <f>IFERROR(VLOOKUP(B627,cubo!$A$6:$BE$37,14,0)-VLOOKUP(B627,#REF!,$I$2,0),0)</f>
        <v>0</v>
      </c>
      <c r="J627" s="9">
        <f>IFERROR(VLOOKUP(B627,cubo!$A$6:$BE$37,16,0)-VLOOKUP(B627,#REF!,$J$2,0),0)</f>
        <v>0</v>
      </c>
      <c r="K627" s="9">
        <f>IFERROR(VLOOKUP(B627,cubo!$A$6:$BE$37,17,0)-VLOOKUP(B627,#REF!,$K$2,0),0)</f>
        <v>0</v>
      </c>
      <c r="L627" s="9">
        <f>IFERROR(VLOOKUP(B627,cubo!$A$6:$BE$37,19,0)-VLOOKUP(B627,#REF!,$L$2,0),0)</f>
        <v>0</v>
      </c>
      <c r="M627" s="9">
        <f>IFERROR(VLOOKUP(B627,cubo!$A$6:$BE$37,23,0)-VLOOKUP(B627,#REF!,$M$2,0),0)</f>
        <v>0</v>
      </c>
      <c r="N627" s="9">
        <f>IFERROR(VLOOKUP(B627,cubo!$A$6:$BE$37,25,0)-VLOOKUP(B627,#REF!,$N$2,0),0)</f>
        <v>0</v>
      </c>
      <c r="O627" s="9">
        <f>IFERROR(VLOOKUP(B627,cubo!$A$6:$BE$37,33,0)-VLOOKUP(B627,#REF!,$O$2,0),0)</f>
        <v>0</v>
      </c>
      <c r="P627" s="8">
        <f>IFERROR(VLOOKUP(B627,cubo!$A$6:$BE$37,37,0)-VLOOKUP(B627,#REF!,$P$2,0),0)</f>
        <v>0</v>
      </c>
      <c r="Q627" s="8">
        <f>IFERROR(VLOOKUP(B627,cubo!$A$6:$BE$37,56,0)-VLOOKUP(B627,#REF!,$Q$2,0),0)</f>
        <v>0</v>
      </c>
      <c r="R627" s="9">
        <f>IFERROR(VLOOKUP(B627,cubo!$A$6:$BE$37,40,0)-VLOOKUP(B627,#REF!,$R$2,0),0)</f>
        <v>0</v>
      </c>
      <c r="S627" s="9">
        <f>IFERROR(VLOOKUP(B627,cubo!$A$6:$BE$37,43,0)-VLOOKUP(B627,#REF!,$S$2,0),0)</f>
        <v>0</v>
      </c>
      <c r="T627" s="9">
        <f>IFERROR(VLOOKUP(B627,cubo!$A$6:$BE$37,46,0)-VLOOKUP(B627,#REF!,$T$2,0),0)</f>
        <v>0</v>
      </c>
      <c r="U627" s="9">
        <f>IFERROR(VLOOKUP(B627,cubo!$A$6:$BE$37,51,0)-VLOOKUP(B627,#REF!,$U$2,0),0)</f>
        <v>0</v>
      </c>
      <c r="V627" s="9">
        <f>IFERROR(VLOOKUP(B627,cubo!$A$6:$BJ$37,60,0)-VLOOKUP(B627,#REF!,$V$2,0),0)</f>
        <v>0</v>
      </c>
      <c r="W627" s="9">
        <f>IFERROR(VLOOKUP(B627,cubo!$A$6:$BE$37,26,0)-VLOOKUP(B627,#REF!,$W$2,0),0)</f>
        <v>0</v>
      </c>
      <c r="X627" s="9">
        <f>IFERROR(VLOOKUP(B627,cubo!$A$6:$BE$37,20,0)-VLOOKUP(B627,#REF!,$X$2,0),0)</f>
        <v>0</v>
      </c>
      <c r="Y627" s="9">
        <f>IFERROR(VLOOKUP(B627,cubo!$A$6:$BE$37,21,0)-VLOOKUP(B627,#REF!,$Y$2,0),0)</f>
        <v>0</v>
      </c>
      <c r="Z627" s="9">
        <f>IFERROR(VLOOKUP(B627,cubo!$A$6:$BE$37,27,0)-VLOOKUP(B627,#REF!,$Z$2,0),0)</f>
        <v>0</v>
      </c>
      <c r="AA627" s="9">
        <f>IFERROR(VLOOKUP(B627,cubo!$A$6:$BE$37,28,0)-VLOOKUP(B627,#REF!,$AA$2,0),0)</f>
        <v>0</v>
      </c>
      <c r="AB627" s="9">
        <f>IFERROR(VLOOKUP(B627,cubo!$A$6:$BE$37,29,0)-VLOOKUP(B627,#REF!,$AB$2,0),0)</f>
        <v>0</v>
      </c>
      <c r="AC627" s="9">
        <f>IFERROR(VLOOKUP(B627,cubo!$A$6:$BE$37,30,0)-VLOOKUP(B627,#REF!,$AC$2,0),0)</f>
        <v>0</v>
      </c>
      <c r="AD627" s="9">
        <f>IFERROR(VLOOKUP(B627,cubo!$A$6:$BE$37,31,0)-VLOOKUP(B627,#REF!,$AD$2,0),0)</f>
        <v>0</v>
      </c>
      <c r="AE627" s="9">
        <f>IFERROR(VLOOKUP(B627,cubo!$A$6:$BE$37,35,0)-VLOOKUP(B627,#REF!,$AE$2,0),0)</f>
        <v>0</v>
      </c>
      <c r="AF627" s="9" cm="1">
        <f t="array" aca="1" ref="AF627" ca="1">IFERROR(rrPROCV(B627,cubo!$A$6:$BE$37,48,0)-VLOOKUP(B627,#REF!,$AF$2,0),0)</f>
        <v>0</v>
      </c>
      <c r="AG627" s="9">
        <f>IFERROR(VLOOKUP(B627,cubo!$A$6:$BE$37,49,0)-VLOOKUP(B627,#REF!,$AG$2,0),0)</f>
        <v>0</v>
      </c>
      <c r="AH627" s="9">
        <f>IFERROR(VLOOKUP(B627,cubo!$A$6:$BE$37,50,0)-VLOOKUP(B627,#REF!,$AH$2,0),0)</f>
        <v>0</v>
      </c>
      <c r="AI627" s="9">
        <f>IFERROR(VLOOKUP(B627,cubo!$A$6:$BE$37,51,0)-VLOOKUP(B627,#REF!,$AI$2,0),0)</f>
        <v>0</v>
      </c>
      <c r="AJ627" s="9">
        <f>IFERROR(VLOOKUP(B627,cubo!$A$6:$BI$116,62,0)-VLOOKUP(B627,#REF!,$AJ$2,0),0)</f>
        <v>0</v>
      </c>
      <c r="AK627" s="9">
        <f>IFERROR(VLOOKUP(B627,cubo!$A$6:$BJ$37,63,0)-VLOOKUP(B627,#REF!,$AK$2,0),0)</f>
        <v>0</v>
      </c>
      <c r="AL627" s="9">
        <f>IFERROR(VLOOKUP(B627,cubo!$A$6:$BE$37,58,0)-VLOOKUP(B627,#REF!,$AL$2,0),0)</f>
        <v>0</v>
      </c>
      <c r="AM627" s="9">
        <f>IFERROR(VLOOKUP(B627,cubo!$A$6:$BK$37,64,0)-VLOOKUP(B627,#REF!,$AM$2,0),0)</f>
        <v>0</v>
      </c>
      <c r="AN627" s="9">
        <f>IFERROR(VLOOKUP(B627,cubo!$A$6:$AN$37,41,0)-VLOOKUP(B627,#REF!,$AN$2,0),0)</f>
        <v>0</v>
      </c>
    </row>
    <row r="628" spans="2:40" x14ac:dyDescent="0.25">
      <c r="B628" s="7">
        <f>[1]salario!A627</f>
        <v>0</v>
      </c>
      <c r="C628" s="8">
        <f>[1]salario!C627</f>
        <v>0</v>
      </c>
      <c r="D628" s="9">
        <f>IFERROR(VLOOKUP(B628,cubo!$A$6:$BE$37,3,0)-VLOOKUP(B628,#REF!,$D$2,0),0)</f>
        <v>0</v>
      </c>
      <c r="E628" s="10">
        <f>IFERROR(VLOOKUP(B628,cubo!$A$6:$BE$37,5,0)-VLOOKUP(B628,#REF!,$E$2,0),0)</f>
        <v>0</v>
      </c>
      <c r="F628" s="10">
        <f>IFERROR(VLOOKUP(B628,cubo!$A$6:$BE$37,8,0)-VLOOKUP(B628,#REF!,$F$2,0),0)</f>
        <v>0</v>
      </c>
      <c r="G628" s="9">
        <f>IFERROR(VLOOKUP(B628,cubo!$A$6:$BE$37,11,0)-VLOOKUP(B628,#REF!,$G$2,0),0)</f>
        <v>0</v>
      </c>
      <c r="H628" s="9">
        <f>IFERROR(VLOOKUP(B628,cubo!$A$6:$BE$37,53,0)-VLOOKUP(B628,#REF!,$H$2,0),0)</f>
        <v>0</v>
      </c>
      <c r="I628" s="10">
        <f>IFERROR(VLOOKUP(B628,cubo!$A$6:$BE$37,14,0)-VLOOKUP(B628,#REF!,$I$2,0),0)</f>
        <v>0</v>
      </c>
      <c r="J628" s="9">
        <f>IFERROR(VLOOKUP(B628,cubo!$A$6:$BE$37,16,0)-VLOOKUP(B628,#REF!,$J$2,0),0)</f>
        <v>0</v>
      </c>
      <c r="K628" s="9">
        <f>IFERROR(VLOOKUP(B628,cubo!$A$6:$BE$37,17,0)-VLOOKUP(B628,#REF!,$K$2,0),0)</f>
        <v>0</v>
      </c>
      <c r="L628" s="9">
        <f>IFERROR(VLOOKUP(B628,cubo!$A$6:$BE$37,19,0)-VLOOKUP(B628,#REF!,$L$2,0),0)</f>
        <v>0</v>
      </c>
      <c r="M628" s="9">
        <f>IFERROR(VLOOKUP(B628,cubo!$A$6:$BE$37,23,0)-VLOOKUP(B628,#REF!,$M$2,0),0)</f>
        <v>0</v>
      </c>
      <c r="N628" s="9">
        <f>IFERROR(VLOOKUP(B628,cubo!$A$6:$BE$37,25,0)-VLOOKUP(B628,#REF!,$N$2,0),0)</f>
        <v>0</v>
      </c>
      <c r="O628" s="9">
        <f>IFERROR(VLOOKUP(B628,cubo!$A$6:$BE$37,33,0)-VLOOKUP(B628,#REF!,$O$2,0),0)</f>
        <v>0</v>
      </c>
      <c r="P628" s="8">
        <f>IFERROR(VLOOKUP(B628,cubo!$A$6:$BE$37,37,0)-VLOOKUP(B628,#REF!,$P$2,0),0)</f>
        <v>0</v>
      </c>
      <c r="Q628" s="8">
        <f>IFERROR(VLOOKUP(B628,cubo!$A$6:$BE$37,56,0)-VLOOKUP(B628,#REF!,$Q$2,0),0)</f>
        <v>0</v>
      </c>
      <c r="R628" s="9">
        <f>IFERROR(VLOOKUP(B628,cubo!$A$6:$BE$37,40,0)-VLOOKUP(B628,#REF!,$R$2,0),0)</f>
        <v>0</v>
      </c>
      <c r="S628" s="9">
        <f>IFERROR(VLOOKUP(B628,cubo!$A$6:$BE$37,43,0)-VLOOKUP(B628,#REF!,$S$2,0),0)</f>
        <v>0</v>
      </c>
      <c r="T628" s="9">
        <f>IFERROR(VLOOKUP(B628,cubo!$A$6:$BE$37,46,0)-VLOOKUP(B628,#REF!,$T$2,0),0)</f>
        <v>0</v>
      </c>
      <c r="U628" s="9">
        <f>IFERROR(VLOOKUP(B628,cubo!$A$6:$BE$37,51,0)-VLOOKUP(B628,#REF!,$U$2,0),0)</f>
        <v>0</v>
      </c>
      <c r="V628" s="9">
        <f>IFERROR(VLOOKUP(B628,cubo!$A$6:$BJ$37,60,0)-VLOOKUP(B628,#REF!,$V$2,0),0)</f>
        <v>0</v>
      </c>
      <c r="W628" s="9">
        <f>IFERROR(VLOOKUP(B628,cubo!$A$6:$BE$37,26,0)-VLOOKUP(B628,#REF!,$W$2,0),0)</f>
        <v>0</v>
      </c>
      <c r="X628" s="9">
        <f>IFERROR(VLOOKUP(B628,cubo!$A$6:$BE$37,20,0)-VLOOKUP(B628,#REF!,$X$2,0),0)</f>
        <v>0</v>
      </c>
      <c r="Y628" s="9">
        <f>IFERROR(VLOOKUP(B628,cubo!$A$6:$BE$37,21,0)-VLOOKUP(B628,#REF!,$Y$2,0),0)</f>
        <v>0</v>
      </c>
      <c r="Z628" s="9">
        <f>IFERROR(VLOOKUP(B628,cubo!$A$6:$BE$37,27,0)-VLOOKUP(B628,#REF!,$Z$2,0),0)</f>
        <v>0</v>
      </c>
      <c r="AA628" s="9">
        <f>IFERROR(VLOOKUP(B628,cubo!$A$6:$BE$37,28,0)-VLOOKUP(B628,#REF!,$AA$2,0),0)</f>
        <v>0</v>
      </c>
      <c r="AB628" s="9">
        <f>IFERROR(VLOOKUP(B628,cubo!$A$6:$BE$37,29,0)-VLOOKUP(B628,#REF!,$AB$2,0),0)</f>
        <v>0</v>
      </c>
      <c r="AC628" s="9">
        <f>IFERROR(VLOOKUP(B628,cubo!$A$6:$BE$37,30,0)-VLOOKUP(B628,#REF!,$AC$2,0),0)</f>
        <v>0</v>
      </c>
      <c r="AD628" s="9">
        <f>IFERROR(VLOOKUP(B628,cubo!$A$6:$BE$37,31,0)-VLOOKUP(B628,#REF!,$AD$2,0),0)</f>
        <v>0</v>
      </c>
      <c r="AE628" s="9">
        <f>IFERROR(VLOOKUP(B628,cubo!$A$6:$BE$37,35,0)-VLOOKUP(B628,#REF!,$AE$2,0),0)</f>
        <v>0</v>
      </c>
      <c r="AF628" s="9" cm="1">
        <f t="array" aca="1" ref="AF628" ca="1">IFERROR(rrPROCV(B628,cubo!$A$6:$BE$37,48,0)-VLOOKUP(B628,#REF!,$AF$2,0),0)</f>
        <v>0</v>
      </c>
      <c r="AG628" s="9">
        <f>IFERROR(VLOOKUP(B628,cubo!$A$6:$BE$37,49,0)-VLOOKUP(B628,#REF!,$AG$2,0),0)</f>
        <v>0</v>
      </c>
      <c r="AH628" s="9">
        <f>IFERROR(VLOOKUP(B628,cubo!$A$6:$BE$37,50,0)-VLOOKUP(B628,#REF!,$AH$2,0),0)</f>
        <v>0</v>
      </c>
      <c r="AI628" s="9">
        <f>IFERROR(VLOOKUP(B628,cubo!$A$6:$BE$37,51,0)-VLOOKUP(B628,#REF!,$AI$2,0),0)</f>
        <v>0</v>
      </c>
      <c r="AJ628" s="9">
        <f>IFERROR(VLOOKUP(B628,cubo!$A$6:$BI$116,62,0)-VLOOKUP(B628,#REF!,$AJ$2,0),0)</f>
        <v>0</v>
      </c>
      <c r="AK628" s="9">
        <f>IFERROR(VLOOKUP(B628,cubo!$A$6:$BJ$37,63,0)-VLOOKUP(B628,#REF!,$AK$2,0),0)</f>
        <v>0</v>
      </c>
      <c r="AL628" s="9">
        <f>IFERROR(VLOOKUP(B628,cubo!$A$6:$BE$37,58,0)-VLOOKUP(B628,#REF!,$AL$2,0),0)</f>
        <v>0</v>
      </c>
      <c r="AM628" s="9">
        <f>IFERROR(VLOOKUP(B628,cubo!$A$6:$BK$37,64,0)-VLOOKUP(B628,#REF!,$AM$2,0),0)</f>
        <v>0</v>
      </c>
      <c r="AN628" s="9">
        <f>IFERROR(VLOOKUP(B628,cubo!$A$6:$AN$37,41,0)-VLOOKUP(B628,#REF!,$AN$2,0),0)</f>
        <v>0</v>
      </c>
    </row>
    <row r="629" spans="2:40" x14ac:dyDescent="0.25">
      <c r="B629" s="7">
        <f>[1]salario!A628</f>
        <v>0</v>
      </c>
      <c r="C629" s="8">
        <f>[1]salario!C628</f>
        <v>0</v>
      </c>
      <c r="D629" s="9">
        <f>IFERROR(VLOOKUP(B629,cubo!$A$6:$BE$37,3,0)-VLOOKUP(B629,#REF!,$D$2,0),0)</f>
        <v>0</v>
      </c>
      <c r="E629" s="10">
        <f>IFERROR(VLOOKUP(B629,cubo!$A$6:$BE$37,5,0)-VLOOKUP(B629,#REF!,$E$2,0),0)</f>
        <v>0</v>
      </c>
      <c r="F629" s="10">
        <f>IFERROR(VLOOKUP(B629,cubo!$A$6:$BE$37,8,0)-VLOOKUP(B629,#REF!,$F$2,0),0)</f>
        <v>0</v>
      </c>
      <c r="G629" s="9">
        <f>IFERROR(VLOOKUP(B629,cubo!$A$6:$BE$37,11,0)-VLOOKUP(B629,#REF!,$G$2,0),0)</f>
        <v>0</v>
      </c>
      <c r="H629" s="9">
        <f>IFERROR(VLOOKUP(B629,cubo!$A$6:$BE$37,53,0)-VLOOKUP(B629,#REF!,$H$2,0),0)</f>
        <v>0</v>
      </c>
      <c r="I629" s="10">
        <f>IFERROR(VLOOKUP(B629,cubo!$A$6:$BE$37,14,0)-VLOOKUP(B629,#REF!,$I$2,0),0)</f>
        <v>0</v>
      </c>
      <c r="J629" s="9">
        <f>IFERROR(VLOOKUP(B629,cubo!$A$6:$BE$37,16,0)-VLOOKUP(B629,#REF!,$J$2,0),0)</f>
        <v>0</v>
      </c>
      <c r="K629" s="9">
        <f>IFERROR(VLOOKUP(B629,cubo!$A$6:$BE$37,17,0)-VLOOKUP(B629,#REF!,$K$2,0),0)</f>
        <v>0</v>
      </c>
      <c r="L629" s="9">
        <f>IFERROR(VLOOKUP(B629,cubo!$A$6:$BE$37,19,0)-VLOOKUP(B629,#REF!,$L$2,0),0)</f>
        <v>0</v>
      </c>
      <c r="M629" s="9">
        <f>IFERROR(VLOOKUP(B629,cubo!$A$6:$BE$37,23,0)-VLOOKUP(B629,#REF!,$M$2,0),0)</f>
        <v>0</v>
      </c>
      <c r="N629" s="9">
        <f>IFERROR(VLOOKUP(B629,cubo!$A$6:$BE$37,25,0)-VLOOKUP(B629,#REF!,$N$2,0),0)</f>
        <v>0</v>
      </c>
      <c r="O629" s="9">
        <f>IFERROR(VLOOKUP(B629,cubo!$A$6:$BE$37,33,0)-VLOOKUP(B629,#REF!,$O$2,0),0)</f>
        <v>0</v>
      </c>
      <c r="P629" s="8">
        <f>IFERROR(VLOOKUP(B629,cubo!$A$6:$BE$37,37,0)-VLOOKUP(B629,#REF!,$P$2,0),0)</f>
        <v>0</v>
      </c>
      <c r="Q629" s="8">
        <f>IFERROR(VLOOKUP(B629,cubo!$A$6:$BE$37,56,0)-VLOOKUP(B629,#REF!,$Q$2,0),0)</f>
        <v>0</v>
      </c>
      <c r="R629" s="9">
        <f>IFERROR(VLOOKUP(B629,cubo!$A$6:$BE$37,40,0)-VLOOKUP(B629,#REF!,$R$2,0),0)</f>
        <v>0</v>
      </c>
      <c r="S629" s="9">
        <f>IFERROR(VLOOKUP(B629,cubo!$A$6:$BE$37,43,0)-VLOOKUP(B629,#REF!,$S$2,0),0)</f>
        <v>0</v>
      </c>
      <c r="T629" s="9">
        <f>IFERROR(VLOOKUP(B629,cubo!$A$6:$BE$37,46,0)-VLOOKUP(B629,#REF!,$T$2,0),0)</f>
        <v>0</v>
      </c>
      <c r="U629" s="9">
        <f>IFERROR(VLOOKUP(B629,cubo!$A$6:$BE$37,51,0)-VLOOKUP(B629,#REF!,$U$2,0),0)</f>
        <v>0</v>
      </c>
      <c r="V629" s="9">
        <f>IFERROR(VLOOKUP(B629,cubo!$A$6:$BJ$37,60,0)-VLOOKUP(B629,#REF!,$V$2,0),0)</f>
        <v>0</v>
      </c>
      <c r="W629" s="9">
        <f>IFERROR(VLOOKUP(B629,cubo!$A$6:$BE$37,26,0)-VLOOKUP(B629,#REF!,$W$2,0),0)</f>
        <v>0</v>
      </c>
      <c r="X629" s="9">
        <f>IFERROR(VLOOKUP(B629,cubo!$A$6:$BE$37,20,0)-VLOOKUP(B629,#REF!,$X$2,0),0)</f>
        <v>0</v>
      </c>
      <c r="Y629" s="9">
        <f>IFERROR(VLOOKUP(B629,cubo!$A$6:$BE$37,21,0)-VLOOKUP(B629,#REF!,$Y$2,0),0)</f>
        <v>0</v>
      </c>
      <c r="Z629" s="9">
        <f>IFERROR(VLOOKUP(B629,cubo!$A$6:$BE$37,27,0)-VLOOKUP(B629,#REF!,$Z$2,0),0)</f>
        <v>0</v>
      </c>
      <c r="AA629" s="9">
        <f>IFERROR(VLOOKUP(B629,cubo!$A$6:$BE$37,28,0)-VLOOKUP(B629,#REF!,$AA$2,0),0)</f>
        <v>0</v>
      </c>
      <c r="AB629" s="9">
        <f>IFERROR(VLOOKUP(B629,cubo!$A$6:$BE$37,29,0)-VLOOKUP(B629,#REF!,$AB$2,0),0)</f>
        <v>0</v>
      </c>
      <c r="AC629" s="9">
        <f>IFERROR(VLOOKUP(B629,cubo!$A$6:$BE$37,30,0)-VLOOKUP(B629,#REF!,$AC$2,0),0)</f>
        <v>0</v>
      </c>
      <c r="AD629" s="9">
        <f>IFERROR(VLOOKUP(B629,cubo!$A$6:$BE$37,31,0)-VLOOKUP(B629,#REF!,$AD$2,0),0)</f>
        <v>0</v>
      </c>
      <c r="AE629" s="9">
        <f>IFERROR(VLOOKUP(B629,cubo!$A$6:$BE$37,35,0)-VLOOKUP(B629,#REF!,$AE$2,0),0)</f>
        <v>0</v>
      </c>
      <c r="AF629" s="9" cm="1">
        <f t="array" aca="1" ref="AF629" ca="1">IFERROR(rrPROCV(B629,cubo!$A$6:$BE$37,48,0)-VLOOKUP(B629,#REF!,$AF$2,0),0)</f>
        <v>0</v>
      </c>
      <c r="AG629" s="9">
        <f>IFERROR(VLOOKUP(B629,cubo!$A$6:$BE$37,49,0)-VLOOKUP(B629,#REF!,$AG$2,0),0)</f>
        <v>0</v>
      </c>
      <c r="AH629" s="9">
        <f>IFERROR(VLOOKUP(B629,cubo!$A$6:$BE$37,50,0)-VLOOKUP(B629,#REF!,$AH$2,0),0)</f>
        <v>0</v>
      </c>
      <c r="AI629" s="9">
        <f>IFERROR(VLOOKUP(B629,cubo!$A$6:$BE$37,51,0)-VLOOKUP(B629,#REF!,$AI$2,0),0)</f>
        <v>0</v>
      </c>
      <c r="AJ629" s="9">
        <f>IFERROR(VLOOKUP(B629,cubo!$A$6:$BI$116,62,0)-VLOOKUP(B629,#REF!,$AJ$2,0),0)</f>
        <v>0</v>
      </c>
      <c r="AK629" s="9">
        <f>IFERROR(VLOOKUP(B629,cubo!$A$6:$BJ$37,63,0)-VLOOKUP(B629,#REF!,$AK$2,0),0)</f>
        <v>0</v>
      </c>
      <c r="AL629" s="9">
        <f>IFERROR(VLOOKUP(B629,cubo!$A$6:$BE$37,58,0)-VLOOKUP(B629,#REF!,$AL$2,0),0)</f>
        <v>0</v>
      </c>
      <c r="AM629" s="9">
        <f>IFERROR(VLOOKUP(B629,cubo!$A$6:$BK$37,64,0)-VLOOKUP(B629,#REF!,$AM$2,0),0)</f>
        <v>0</v>
      </c>
      <c r="AN629" s="9">
        <f>IFERROR(VLOOKUP(B629,cubo!$A$6:$AN$37,41,0)-VLOOKUP(B629,#REF!,$AN$2,0),0)</f>
        <v>0</v>
      </c>
    </row>
    <row r="630" spans="2:40" x14ac:dyDescent="0.25">
      <c r="B630" s="7">
        <f>[1]salario!A629</f>
        <v>0</v>
      </c>
      <c r="C630" s="8">
        <f>[1]salario!C629</f>
        <v>0</v>
      </c>
      <c r="D630" s="9">
        <f>IFERROR(VLOOKUP(B630,cubo!$A$6:$BE$37,3,0)-VLOOKUP(B630,#REF!,$D$2,0),0)</f>
        <v>0</v>
      </c>
      <c r="E630" s="10">
        <f>IFERROR(VLOOKUP(B630,cubo!$A$6:$BE$37,5,0)-VLOOKUP(B630,#REF!,$E$2,0),0)</f>
        <v>0</v>
      </c>
      <c r="F630" s="10">
        <f>IFERROR(VLOOKUP(B630,cubo!$A$6:$BE$37,8,0)-VLOOKUP(B630,#REF!,$F$2,0),0)</f>
        <v>0</v>
      </c>
      <c r="G630" s="9">
        <f>IFERROR(VLOOKUP(B630,cubo!$A$6:$BE$37,11,0)-VLOOKUP(B630,#REF!,$G$2,0),0)</f>
        <v>0</v>
      </c>
      <c r="H630" s="9">
        <f>IFERROR(VLOOKUP(B630,cubo!$A$6:$BE$37,53,0)-VLOOKUP(B630,#REF!,$H$2,0),0)</f>
        <v>0</v>
      </c>
      <c r="I630" s="10">
        <f>IFERROR(VLOOKUP(B630,cubo!$A$6:$BE$37,14,0)-VLOOKUP(B630,#REF!,$I$2,0),0)</f>
        <v>0</v>
      </c>
      <c r="J630" s="9">
        <f>IFERROR(VLOOKUP(B630,cubo!$A$6:$BE$37,16,0)-VLOOKUP(B630,#REF!,$J$2,0),0)</f>
        <v>0</v>
      </c>
      <c r="K630" s="9">
        <f>IFERROR(VLOOKUP(B630,cubo!$A$6:$BE$37,17,0)-VLOOKUP(B630,#REF!,$K$2,0),0)</f>
        <v>0</v>
      </c>
      <c r="L630" s="9">
        <f>IFERROR(VLOOKUP(B630,cubo!$A$6:$BE$37,19,0)-VLOOKUP(B630,#REF!,$L$2,0),0)</f>
        <v>0</v>
      </c>
      <c r="M630" s="9">
        <f>IFERROR(VLOOKUP(B630,cubo!$A$6:$BE$37,23,0)-VLOOKUP(B630,#REF!,$M$2,0),0)</f>
        <v>0</v>
      </c>
      <c r="N630" s="9">
        <f>IFERROR(VLOOKUP(B630,cubo!$A$6:$BE$37,25,0)-VLOOKUP(B630,#REF!,$N$2,0),0)</f>
        <v>0</v>
      </c>
      <c r="O630" s="9">
        <f>IFERROR(VLOOKUP(B630,cubo!$A$6:$BE$37,33,0)-VLOOKUP(B630,#REF!,$O$2,0),0)</f>
        <v>0</v>
      </c>
      <c r="P630" s="8">
        <f>IFERROR(VLOOKUP(B630,cubo!$A$6:$BE$37,37,0)-VLOOKUP(B630,#REF!,$P$2,0),0)</f>
        <v>0</v>
      </c>
      <c r="Q630" s="8">
        <f>IFERROR(VLOOKUP(B630,cubo!$A$6:$BE$37,56,0)-VLOOKUP(B630,#REF!,$Q$2,0),0)</f>
        <v>0</v>
      </c>
      <c r="R630" s="9">
        <f>IFERROR(VLOOKUP(B630,cubo!$A$6:$BE$37,40,0)-VLOOKUP(B630,#REF!,$R$2,0),0)</f>
        <v>0</v>
      </c>
      <c r="S630" s="9">
        <f>IFERROR(VLOOKUP(B630,cubo!$A$6:$BE$37,43,0)-VLOOKUP(B630,#REF!,$S$2,0),0)</f>
        <v>0</v>
      </c>
      <c r="T630" s="9">
        <f>IFERROR(VLOOKUP(B630,cubo!$A$6:$BE$37,46,0)-VLOOKUP(B630,#REF!,$T$2,0),0)</f>
        <v>0</v>
      </c>
      <c r="U630" s="9">
        <f>IFERROR(VLOOKUP(B630,cubo!$A$6:$BE$37,51,0)-VLOOKUP(B630,#REF!,$U$2,0),0)</f>
        <v>0</v>
      </c>
      <c r="V630" s="9">
        <f>IFERROR(VLOOKUP(B630,cubo!$A$6:$BJ$37,60,0)-VLOOKUP(B630,#REF!,$V$2,0),0)</f>
        <v>0</v>
      </c>
      <c r="W630" s="9">
        <f>IFERROR(VLOOKUP(B630,cubo!$A$6:$BE$37,26,0)-VLOOKUP(B630,#REF!,$W$2,0),0)</f>
        <v>0</v>
      </c>
      <c r="X630" s="9">
        <f>IFERROR(VLOOKUP(B630,cubo!$A$6:$BE$37,20,0)-VLOOKUP(B630,#REF!,$X$2,0),0)</f>
        <v>0</v>
      </c>
      <c r="Y630" s="9">
        <f>IFERROR(VLOOKUP(B630,cubo!$A$6:$BE$37,21,0)-VLOOKUP(B630,#REF!,$Y$2,0),0)</f>
        <v>0</v>
      </c>
      <c r="Z630" s="9">
        <f>IFERROR(VLOOKUP(B630,cubo!$A$6:$BE$37,27,0)-VLOOKUP(B630,#REF!,$Z$2,0),0)</f>
        <v>0</v>
      </c>
      <c r="AA630" s="9">
        <f>IFERROR(VLOOKUP(B630,cubo!$A$6:$BE$37,28,0)-VLOOKUP(B630,#REF!,$AA$2,0),0)</f>
        <v>0</v>
      </c>
      <c r="AB630" s="9">
        <f>IFERROR(VLOOKUP(B630,cubo!$A$6:$BE$37,29,0)-VLOOKUP(B630,#REF!,$AB$2,0),0)</f>
        <v>0</v>
      </c>
      <c r="AC630" s="9">
        <f>IFERROR(VLOOKUP(B630,cubo!$A$6:$BE$37,30,0)-VLOOKUP(B630,#REF!,$AC$2,0),0)</f>
        <v>0</v>
      </c>
      <c r="AD630" s="9">
        <f>IFERROR(VLOOKUP(B630,cubo!$A$6:$BE$37,31,0)-VLOOKUP(B630,#REF!,$AD$2,0),0)</f>
        <v>0</v>
      </c>
      <c r="AE630" s="9">
        <f>IFERROR(VLOOKUP(B630,cubo!$A$6:$BE$37,35,0)-VLOOKUP(B630,#REF!,$AE$2,0),0)</f>
        <v>0</v>
      </c>
      <c r="AF630" s="9" cm="1">
        <f t="array" aca="1" ref="AF630" ca="1">IFERROR(rrPROCV(B630,cubo!$A$6:$BE$37,48,0)-VLOOKUP(B630,#REF!,$AF$2,0),0)</f>
        <v>0</v>
      </c>
      <c r="AG630" s="9">
        <f>IFERROR(VLOOKUP(B630,cubo!$A$6:$BE$37,49,0)-VLOOKUP(B630,#REF!,$AG$2,0),0)</f>
        <v>0</v>
      </c>
      <c r="AH630" s="9">
        <f>IFERROR(VLOOKUP(B630,cubo!$A$6:$BE$37,50,0)-VLOOKUP(B630,#REF!,$AH$2,0),0)</f>
        <v>0</v>
      </c>
      <c r="AI630" s="9">
        <f>IFERROR(VLOOKUP(B630,cubo!$A$6:$BE$37,51,0)-VLOOKUP(B630,#REF!,$AI$2,0),0)</f>
        <v>0</v>
      </c>
      <c r="AJ630" s="9">
        <f>IFERROR(VLOOKUP(B630,cubo!$A$6:$BI$116,62,0)-VLOOKUP(B630,#REF!,$AJ$2,0),0)</f>
        <v>0</v>
      </c>
      <c r="AK630" s="9">
        <f>IFERROR(VLOOKUP(B630,cubo!$A$6:$BJ$37,63,0)-VLOOKUP(B630,#REF!,$AK$2,0),0)</f>
        <v>0</v>
      </c>
      <c r="AL630" s="9">
        <f>IFERROR(VLOOKUP(B630,cubo!$A$6:$BE$37,58,0)-VLOOKUP(B630,#REF!,$AL$2,0),0)</f>
        <v>0</v>
      </c>
      <c r="AM630" s="9">
        <f>IFERROR(VLOOKUP(B630,cubo!$A$6:$BK$37,64,0)-VLOOKUP(B630,#REF!,$AM$2,0),0)</f>
        <v>0</v>
      </c>
      <c r="AN630" s="9">
        <f>IFERROR(VLOOKUP(B630,cubo!$A$6:$AN$37,41,0)-VLOOKUP(B630,#REF!,$AN$2,0),0)</f>
        <v>0</v>
      </c>
    </row>
    <row r="631" spans="2:40" x14ac:dyDescent="0.25">
      <c r="B631" s="7">
        <f>[1]salario!A630</f>
        <v>0</v>
      </c>
      <c r="C631" s="8">
        <f>[1]salario!C630</f>
        <v>0</v>
      </c>
      <c r="D631" s="9">
        <f>IFERROR(VLOOKUP(B631,cubo!$A$6:$BE$37,3,0)-VLOOKUP(B631,#REF!,$D$2,0),0)</f>
        <v>0</v>
      </c>
      <c r="E631" s="10">
        <f>IFERROR(VLOOKUP(B631,cubo!$A$6:$BE$37,5,0)-VLOOKUP(B631,#REF!,$E$2,0),0)</f>
        <v>0</v>
      </c>
      <c r="F631" s="10">
        <f>IFERROR(VLOOKUP(B631,cubo!$A$6:$BE$37,8,0)-VLOOKUP(B631,#REF!,$F$2,0),0)</f>
        <v>0</v>
      </c>
      <c r="G631" s="9">
        <f>IFERROR(VLOOKUP(B631,cubo!$A$6:$BE$37,11,0)-VLOOKUP(B631,#REF!,$G$2,0),0)</f>
        <v>0</v>
      </c>
      <c r="H631" s="9">
        <f>IFERROR(VLOOKUP(B631,cubo!$A$6:$BE$37,53,0)-VLOOKUP(B631,#REF!,$H$2,0),0)</f>
        <v>0</v>
      </c>
      <c r="I631" s="10">
        <f>IFERROR(VLOOKUP(B631,cubo!$A$6:$BE$37,14,0)-VLOOKUP(B631,#REF!,$I$2,0),0)</f>
        <v>0</v>
      </c>
      <c r="J631" s="9">
        <f>IFERROR(VLOOKUP(B631,cubo!$A$6:$BE$37,16,0)-VLOOKUP(B631,#REF!,$J$2,0),0)</f>
        <v>0</v>
      </c>
      <c r="K631" s="9">
        <f>IFERROR(VLOOKUP(B631,cubo!$A$6:$BE$37,17,0)-VLOOKUP(B631,#REF!,$K$2,0),0)</f>
        <v>0</v>
      </c>
      <c r="L631" s="9">
        <f>IFERROR(VLOOKUP(B631,cubo!$A$6:$BE$37,19,0)-VLOOKUP(B631,#REF!,$L$2,0),0)</f>
        <v>0</v>
      </c>
      <c r="M631" s="9">
        <f>IFERROR(VLOOKUP(B631,cubo!$A$6:$BE$37,23,0)-VLOOKUP(B631,#REF!,$M$2,0),0)</f>
        <v>0</v>
      </c>
      <c r="N631" s="9">
        <f>IFERROR(VLOOKUP(B631,cubo!$A$6:$BE$37,25,0)-VLOOKUP(B631,#REF!,$N$2,0),0)</f>
        <v>0</v>
      </c>
      <c r="O631" s="9">
        <f>IFERROR(VLOOKUP(B631,cubo!$A$6:$BE$37,33,0)-VLOOKUP(B631,#REF!,$O$2,0),0)</f>
        <v>0</v>
      </c>
      <c r="P631" s="8">
        <f>IFERROR(VLOOKUP(B631,cubo!$A$6:$BE$37,37,0)-VLOOKUP(B631,#REF!,$P$2,0),0)</f>
        <v>0</v>
      </c>
      <c r="Q631" s="8">
        <f>IFERROR(VLOOKUP(B631,cubo!$A$6:$BE$37,56,0)-VLOOKUP(B631,#REF!,$Q$2,0),0)</f>
        <v>0</v>
      </c>
      <c r="R631" s="9">
        <f>IFERROR(VLOOKUP(B631,cubo!$A$6:$BE$37,40,0)-VLOOKUP(B631,#REF!,$R$2,0),0)</f>
        <v>0</v>
      </c>
      <c r="S631" s="9">
        <f>IFERROR(VLOOKUP(B631,cubo!$A$6:$BE$37,43,0)-VLOOKUP(B631,#REF!,$S$2,0),0)</f>
        <v>0</v>
      </c>
      <c r="T631" s="9">
        <f>IFERROR(VLOOKUP(B631,cubo!$A$6:$BE$37,46,0)-VLOOKUP(B631,#REF!,$T$2,0),0)</f>
        <v>0</v>
      </c>
      <c r="U631" s="9">
        <f>IFERROR(VLOOKUP(B631,cubo!$A$6:$BE$37,51,0)-VLOOKUP(B631,#REF!,$U$2,0),0)</f>
        <v>0</v>
      </c>
      <c r="V631" s="9">
        <f>IFERROR(VLOOKUP(B631,cubo!$A$6:$BJ$37,60,0)-VLOOKUP(B631,#REF!,$V$2,0),0)</f>
        <v>0</v>
      </c>
      <c r="W631" s="9">
        <f>IFERROR(VLOOKUP(B631,cubo!$A$6:$BE$37,26,0)-VLOOKUP(B631,#REF!,$W$2,0),0)</f>
        <v>0</v>
      </c>
      <c r="X631" s="9">
        <f>IFERROR(VLOOKUP(B631,cubo!$A$6:$BE$37,20,0)-VLOOKUP(B631,#REF!,$X$2,0),0)</f>
        <v>0</v>
      </c>
      <c r="Y631" s="9">
        <f>IFERROR(VLOOKUP(B631,cubo!$A$6:$BE$37,21,0)-VLOOKUP(B631,#REF!,$Y$2,0),0)</f>
        <v>0</v>
      </c>
      <c r="Z631" s="9">
        <f>IFERROR(VLOOKUP(B631,cubo!$A$6:$BE$37,27,0)-VLOOKUP(B631,#REF!,$Z$2,0),0)</f>
        <v>0</v>
      </c>
      <c r="AA631" s="9">
        <f>IFERROR(VLOOKUP(B631,cubo!$A$6:$BE$37,28,0)-VLOOKUP(B631,#REF!,$AA$2,0),0)</f>
        <v>0</v>
      </c>
      <c r="AB631" s="9">
        <f>IFERROR(VLOOKUP(B631,cubo!$A$6:$BE$37,29,0)-VLOOKUP(B631,#REF!,$AB$2,0),0)</f>
        <v>0</v>
      </c>
      <c r="AC631" s="9">
        <f>IFERROR(VLOOKUP(B631,cubo!$A$6:$BE$37,30,0)-VLOOKUP(B631,#REF!,$AC$2,0),0)</f>
        <v>0</v>
      </c>
      <c r="AD631" s="9">
        <f>IFERROR(VLOOKUP(B631,cubo!$A$6:$BE$37,31,0)-VLOOKUP(B631,#REF!,$AD$2,0),0)</f>
        <v>0</v>
      </c>
      <c r="AE631" s="9">
        <f>IFERROR(VLOOKUP(B631,cubo!$A$6:$BE$37,35,0)-VLOOKUP(B631,#REF!,$AE$2,0),0)</f>
        <v>0</v>
      </c>
      <c r="AF631" s="9" cm="1">
        <f t="array" aca="1" ref="AF631" ca="1">IFERROR(rrPROCV(B631,cubo!$A$6:$BE$37,48,0)-VLOOKUP(B631,#REF!,$AF$2,0),0)</f>
        <v>0</v>
      </c>
      <c r="AG631" s="9">
        <f>IFERROR(VLOOKUP(B631,cubo!$A$6:$BE$37,49,0)-VLOOKUP(B631,#REF!,$AG$2,0),0)</f>
        <v>0</v>
      </c>
      <c r="AH631" s="9">
        <f>IFERROR(VLOOKUP(B631,cubo!$A$6:$BE$37,50,0)-VLOOKUP(B631,#REF!,$AH$2,0),0)</f>
        <v>0</v>
      </c>
      <c r="AI631" s="9">
        <f>IFERROR(VLOOKUP(B631,cubo!$A$6:$BE$37,51,0)-VLOOKUP(B631,#REF!,$AI$2,0),0)</f>
        <v>0</v>
      </c>
      <c r="AJ631" s="9">
        <f>IFERROR(VLOOKUP(B631,cubo!$A$6:$BI$116,62,0)-VLOOKUP(B631,#REF!,$AJ$2,0),0)</f>
        <v>0</v>
      </c>
      <c r="AK631" s="9">
        <f>IFERROR(VLOOKUP(B631,cubo!$A$6:$BJ$37,63,0)-VLOOKUP(B631,#REF!,$AK$2,0),0)</f>
        <v>0</v>
      </c>
      <c r="AL631" s="9">
        <f>IFERROR(VLOOKUP(B631,cubo!$A$6:$BE$37,58,0)-VLOOKUP(B631,#REF!,$AL$2,0),0)</f>
        <v>0</v>
      </c>
      <c r="AM631" s="9">
        <f>IFERROR(VLOOKUP(B631,cubo!$A$6:$BK$37,64,0)-VLOOKUP(B631,#REF!,$AM$2,0),0)</f>
        <v>0</v>
      </c>
      <c r="AN631" s="9">
        <f>IFERROR(VLOOKUP(B631,cubo!$A$6:$AN$37,41,0)-VLOOKUP(B631,#REF!,$AN$2,0),0)</f>
        <v>0</v>
      </c>
    </row>
    <row r="632" spans="2:40" x14ac:dyDescent="0.25">
      <c r="B632" s="7">
        <f>[1]salario!A631</f>
        <v>0</v>
      </c>
      <c r="C632" s="8">
        <f>[1]salario!C631</f>
        <v>0</v>
      </c>
      <c r="D632" s="9">
        <f>IFERROR(VLOOKUP(B632,cubo!$A$6:$BE$37,3,0)-VLOOKUP(B632,#REF!,$D$2,0),0)</f>
        <v>0</v>
      </c>
      <c r="E632" s="10">
        <f>IFERROR(VLOOKUP(B632,cubo!$A$6:$BE$37,5,0)-VLOOKUP(B632,#REF!,$E$2,0),0)</f>
        <v>0</v>
      </c>
      <c r="F632" s="10">
        <f>IFERROR(VLOOKUP(B632,cubo!$A$6:$BE$37,8,0)-VLOOKUP(B632,#REF!,$F$2,0),0)</f>
        <v>0</v>
      </c>
      <c r="G632" s="9">
        <f>IFERROR(VLOOKUP(B632,cubo!$A$6:$BE$37,11,0)-VLOOKUP(B632,#REF!,$G$2,0),0)</f>
        <v>0</v>
      </c>
      <c r="H632" s="9">
        <f>IFERROR(VLOOKUP(B632,cubo!$A$6:$BE$37,53,0)-VLOOKUP(B632,#REF!,$H$2,0),0)</f>
        <v>0</v>
      </c>
      <c r="I632" s="10">
        <f>IFERROR(VLOOKUP(B632,cubo!$A$6:$BE$37,14,0)-VLOOKUP(B632,#REF!,$I$2,0),0)</f>
        <v>0</v>
      </c>
      <c r="J632" s="9">
        <f>IFERROR(VLOOKUP(B632,cubo!$A$6:$BE$37,16,0)-VLOOKUP(B632,#REF!,$J$2,0),0)</f>
        <v>0</v>
      </c>
      <c r="K632" s="9">
        <f>IFERROR(VLOOKUP(B632,cubo!$A$6:$BE$37,17,0)-VLOOKUP(B632,#REF!,$K$2,0),0)</f>
        <v>0</v>
      </c>
      <c r="L632" s="9">
        <f>IFERROR(VLOOKUP(B632,cubo!$A$6:$BE$37,19,0)-VLOOKUP(B632,#REF!,$L$2,0),0)</f>
        <v>0</v>
      </c>
      <c r="M632" s="9">
        <f>IFERROR(VLOOKUP(B632,cubo!$A$6:$BE$37,23,0)-VLOOKUP(B632,#REF!,$M$2,0),0)</f>
        <v>0</v>
      </c>
      <c r="N632" s="9">
        <f>IFERROR(VLOOKUP(B632,cubo!$A$6:$BE$37,25,0)-VLOOKUP(B632,#REF!,$N$2,0),0)</f>
        <v>0</v>
      </c>
      <c r="O632" s="9">
        <f>IFERROR(VLOOKUP(B632,cubo!$A$6:$BE$37,33,0)-VLOOKUP(B632,#REF!,$O$2,0),0)</f>
        <v>0</v>
      </c>
      <c r="P632" s="8">
        <f>IFERROR(VLOOKUP(B632,cubo!$A$6:$BE$37,37,0)-VLOOKUP(B632,#REF!,$P$2,0),0)</f>
        <v>0</v>
      </c>
      <c r="Q632" s="8">
        <f>IFERROR(VLOOKUP(B632,cubo!$A$6:$BE$37,56,0)-VLOOKUP(B632,#REF!,$Q$2,0),0)</f>
        <v>0</v>
      </c>
      <c r="R632" s="9">
        <f>IFERROR(VLOOKUP(B632,cubo!$A$6:$BE$37,40,0)-VLOOKUP(B632,#REF!,$R$2,0),0)</f>
        <v>0</v>
      </c>
      <c r="S632" s="9">
        <f>IFERROR(VLOOKUP(B632,cubo!$A$6:$BE$37,43,0)-VLOOKUP(B632,#REF!,$S$2,0),0)</f>
        <v>0</v>
      </c>
      <c r="T632" s="9">
        <f>IFERROR(VLOOKUP(B632,cubo!$A$6:$BE$37,46,0)-VLOOKUP(B632,#REF!,$T$2,0),0)</f>
        <v>0</v>
      </c>
      <c r="U632" s="9">
        <f>IFERROR(VLOOKUP(B632,cubo!$A$6:$BE$37,51,0)-VLOOKUP(B632,#REF!,$U$2,0),0)</f>
        <v>0</v>
      </c>
      <c r="V632" s="9">
        <f>IFERROR(VLOOKUP(B632,cubo!$A$6:$BJ$37,60,0)-VLOOKUP(B632,#REF!,$V$2,0),0)</f>
        <v>0</v>
      </c>
      <c r="W632" s="9">
        <f>IFERROR(VLOOKUP(B632,cubo!$A$6:$BE$37,26,0)-VLOOKUP(B632,#REF!,$W$2,0),0)</f>
        <v>0</v>
      </c>
      <c r="X632" s="9">
        <f>IFERROR(VLOOKUP(B632,cubo!$A$6:$BE$37,20,0)-VLOOKUP(B632,#REF!,$X$2,0),0)</f>
        <v>0</v>
      </c>
      <c r="Y632" s="9">
        <f>IFERROR(VLOOKUP(B632,cubo!$A$6:$BE$37,21,0)-VLOOKUP(B632,#REF!,$Y$2,0),0)</f>
        <v>0</v>
      </c>
      <c r="Z632" s="9">
        <f>IFERROR(VLOOKUP(B632,cubo!$A$6:$BE$37,27,0)-VLOOKUP(B632,#REF!,$Z$2,0),0)</f>
        <v>0</v>
      </c>
      <c r="AA632" s="9">
        <f>IFERROR(VLOOKUP(B632,cubo!$A$6:$BE$37,28,0)-VLOOKUP(B632,#REF!,$AA$2,0),0)</f>
        <v>0</v>
      </c>
      <c r="AB632" s="9">
        <f>IFERROR(VLOOKUP(B632,cubo!$A$6:$BE$37,29,0)-VLOOKUP(B632,#REF!,$AB$2,0),0)</f>
        <v>0</v>
      </c>
      <c r="AC632" s="9">
        <f>IFERROR(VLOOKUP(B632,cubo!$A$6:$BE$37,30,0)-VLOOKUP(B632,#REF!,$AC$2,0),0)</f>
        <v>0</v>
      </c>
      <c r="AD632" s="9">
        <f>IFERROR(VLOOKUP(B632,cubo!$A$6:$BE$37,31,0)-VLOOKUP(B632,#REF!,$AD$2,0),0)</f>
        <v>0</v>
      </c>
      <c r="AE632" s="9">
        <f>IFERROR(VLOOKUP(B632,cubo!$A$6:$BE$37,35,0)-VLOOKUP(B632,#REF!,$AE$2,0),0)</f>
        <v>0</v>
      </c>
      <c r="AF632" s="9" cm="1">
        <f t="array" aca="1" ref="AF632" ca="1">IFERROR(rrPROCV(B632,cubo!$A$6:$BE$37,48,0)-VLOOKUP(B632,#REF!,$AF$2,0),0)</f>
        <v>0</v>
      </c>
      <c r="AG632" s="9">
        <f>IFERROR(VLOOKUP(B632,cubo!$A$6:$BE$37,49,0)-VLOOKUP(B632,#REF!,$AG$2,0),0)</f>
        <v>0</v>
      </c>
      <c r="AH632" s="9">
        <f>IFERROR(VLOOKUP(B632,cubo!$A$6:$BE$37,50,0)-VLOOKUP(B632,#REF!,$AH$2,0),0)</f>
        <v>0</v>
      </c>
      <c r="AI632" s="9">
        <f>IFERROR(VLOOKUP(B632,cubo!$A$6:$BE$37,51,0)-VLOOKUP(B632,#REF!,$AI$2,0),0)</f>
        <v>0</v>
      </c>
      <c r="AJ632" s="9">
        <f>IFERROR(VLOOKUP(B632,cubo!$A$6:$BI$116,62,0)-VLOOKUP(B632,#REF!,$AJ$2,0),0)</f>
        <v>0</v>
      </c>
      <c r="AK632" s="9">
        <f>IFERROR(VLOOKUP(B632,cubo!$A$6:$BJ$37,63,0)-VLOOKUP(B632,#REF!,$AK$2,0),0)</f>
        <v>0</v>
      </c>
      <c r="AL632" s="9">
        <f>IFERROR(VLOOKUP(B632,cubo!$A$6:$BE$37,58,0)-VLOOKUP(B632,#REF!,$AL$2,0),0)</f>
        <v>0</v>
      </c>
      <c r="AM632" s="9">
        <f>IFERROR(VLOOKUP(B632,cubo!$A$6:$BK$37,64,0)-VLOOKUP(B632,#REF!,$AM$2,0),0)</f>
        <v>0</v>
      </c>
      <c r="AN632" s="9">
        <f>IFERROR(VLOOKUP(B632,cubo!$A$6:$AN$37,41,0)-VLOOKUP(B632,#REF!,$AN$2,0),0)</f>
        <v>0</v>
      </c>
    </row>
    <row r="633" spans="2:40" x14ac:dyDescent="0.25">
      <c r="B633" s="7">
        <f>[1]salario!A632</f>
        <v>0</v>
      </c>
      <c r="C633" s="8">
        <f>[1]salario!C632</f>
        <v>0</v>
      </c>
      <c r="D633" s="9">
        <f>IFERROR(VLOOKUP(B633,cubo!$A$6:$BE$37,3,0)-VLOOKUP(B633,#REF!,$D$2,0),0)</f>
        <v>0</v>
      </c>
      <c r="E633" s="10">
        <f>IFERROR(VLOOKUP(B633,cubo!$A$6:$BE$37,5,0)-VLOOKUP(B633,#REF!,$E$2,0),0)</f>
        <v>0</v>
      </c>
      <c r="F633" s="10">
        <f>IFERROR(VLOOKUP(B633,cubo!$A$6:$BE$37,8,0)-VLOOKUP(B633,#REF!,$F$2,0),0)</f>
        <v>0</v>
      </c>
      <c r="G633" s="9">
        <f>IFERROR(VLOOKUP(B633,cubo!$A$6:$BE$37,11,0)-VLOOKUP(B633,#REF!,$G$2,0),0)</f>
        <v>0</v>
      </c>
      <c r="H633" s="9">
        <f>IFERROR(VLOOKUP(B633,cubo!$A$6:$BE$37,53,0)-VLOOKUP(B633,#REF!,$H$2,0),0)</f>
        <v>0</v>
      </c>
      <c r="I633" s="10">
        <f>IFERROR(VLOOKUP(B633,cubo!$A$6:$BE$37,14,0)-VLOOKUP(B633,#REF!,$I$2,0),0)</f>
        <v>0</v>
      </c>
      <c r="J633" s="9">
        <f>IFERROR(VLOOKUP(B633,cubo!$A$6:$BE$37,16,0)-VLOOKUP(B633,#REF!,$J$2,0),0)</f>
        <v>0</v>
      </c>
      <c r="K633" s="9">
        <f>IFERROR(VLOOKUP(B633,cubo!$A$6:$BE$37,17,0)-VLOOKUP(B633,#REF!,$K$2,0),0)</f>
        <v>0</v>
      </c>
      <c r="L633" s="9">
        <f>IFERROR(VLOOKUP(B633,cubo!$A$6:$BE$37,19,0)-VLOOKUP(B633,#REF!,$L$2,0),0)</f>
        <v>0</v>
      </c>
      <c r="M633" s="9">
        <f>IFERROR(VLOOKUP(B633,cubo!$A$6:$BE$37,23,0)-VLOOKUP(B633,#REF!,$M$2,0),0)</f>
        <v>0</v>
      </c>
      <c r="N633" s="9">
        <f>IFERROR(VLOOKUP(B633,cubo!$A$6:$BE$37,25,0)-VLOOKUP(B633,#REF!,$N$2,0),0)</f>
        <v>0</v>
      </c>
      <c r="O633" s="9">
        <f>IFERROR(VLOOKUP(B633,cubo!$A$6:$BE$37,33,0)-VLOOKUP(B633,#REF!,$O$2,0),0)</f>
        <v>0</v>
      </c>
      <c r="P633" s="8">
        <f>IFERROR(VLOOKUP(B633,cubo!$A$6:$BE$37,37,0)-VLOOKUP(B633,#REF!,$P$2,0),0)</f>
        <v>0</v>
      </c>
      <c r="Q633" s="8">
        <f>IFERROR(VLOOKUP(B633,cubo!$A$6:$BE$37,56,0)-VLOOKUP(B633,#REF!,$Q$2,0),0)</f>
        <v>0</v>
      </c>
      <c r="R633" s="9">
        <f>IFERROR(VLOOKUP(B633,cubo!$A$6:$BE$37,40,0)-VLOOKUP(B633,#REF!,$R$2,0),0)</f>
        <v>0</v>
      </c>
      <c r="S633" s="9">
        <f>IFERROR(VLOOKUP(B633,cubo!$A$6:$BE$37,43,0)-VLOOKUP(B633,#REF!,$S$2,0),0)</f>
        <v>0</v>
      </c>
      <c r="T633" s="9">
        <f>IFERROR(VLOOKUP(B633,cubo!$A$6:$BE$37,46,0)-VLOOKUP(B633,#REF!,$T$2,0),0)</f>
        <v>0</v>
      </c>
      <c r="U633" s="9">
        <f>IFERROR(VLOOKUP(B633,cubo!$A$6:$BE$37,51,0)-VLOOKUP(B633,#REF!,$U$2,0),0)</f>
        <v>0</v>
      </c>
      <c r="V633" s="9">
        <f>IFERROR(VLOOKUP(B633,cubo!$A$6:$BJ$37,60,0)-VLOOKUP(B633,#REF!,$V$2,0),0)</f>
        <v>0</v>
      </c>
      <c r="W633" s="9">
        <f>IFERROR(VLOOKUP(B633,cubo!$A$6:$BE$37,26,0)-VLOOKUP(B633,#REF!,$W$2,0),0)</f>
        <v>0</v>
      </c>
      <c r="X633" s="9">
        <f>IFERROR(VLOOKUP(B633,cubo!$A$6:$BE$37,20,0)-VLOOKUP(B633,#REF!,$X$2,0),0)</f>
        <v>0</v>
      </c>
      <c r="Y633" s="9">
        <f>IFERROR(VLOOKUP(B633,cubo!$A$6:$BE$37,21,0)-VLOOKUP(B633,#REF!,$Y$2,0),0)</f>
        <v>0</v>
      </c>
      <c r="Z633" s="9">
        <f>IFERROR(VLOOKUP(B633,cubo!$A$6:$BE$37,27,0)-VLOOKUP(B633,#REF!,$Z$2,0),0)</f>
        <v>0</v>
      </c>
      <c r="AA633" s="9">
        <f>IFERROR(VLOOKUP(B633,cubo!$A$6:$BE$37,28,0)-VLOOKUP(B633,#REF!,$AA$2,0),0)</f>
        <v>0</v>
      </c>
      <c r="AB633" s="9">
        <f>IFERROR(VLOOKUP(B633,cubo!$A$6:$BE$37,29,0)-VLOOKUP(B633,#REF!,$AB$2,0),0)</f>
        <v>0</v>
      </c>
      <c r="AC633" s="9">
        <f>IFERROR(VLOOKUP(B633,cubo!$A$6:$BE$37,30,0)-VLOOKUP(B633,#REF!,$AC$2,0),0)</f>
        <v>0</v>
      </c>
      <c r="AD633" s="9">
        <f>IFERROR(VLOOKUP(B633,cubo!$A$6:$BE$37,31,0)-VLOOKUP(B633,#REF!,$AD$2,0),0)</f>
        <v>0</v>
      </c>
      <c r="AE633" s="9">
        <f>IFERROR(VLOOKUP(B633,cubo!$A$6:$BE$37,35,0)-VLOOKUP(B633,#REF!,$AE$2,0),0)</f>
        <v>0</v>
      </c>
      <c r="AF633" s="9" cm="1">
        <f t="array" aca="1" ref="AF633" ca="1">IFERROR(rrPROCV(B633,cubo!$A$6:$BE$37,48,0)-VLOOKUP(B633,#REF!,$AF$2,0),0)</f>
        <v>0</v>
      </c>
      <c r="AG633" s="9">
        <f>IFERROR(VLOOKUP(B633,cubo!$A$6:$BE$37,49,0)-VLOOKUP(B633,#REF!,$AG$2,0),0)</f>
        <v>0</v>
      </c>
      <c r="AH633" s="9">
        <f>IFERROR(VLOOKUP(B633,cubo!$A$6:$BE$37,50,0)-VLOOKUP(B633,#REF!,$AH$2,0),0)</f>
        <v>0</v>
      </c>
      <c r="AI633" s="9">
        <f>IFERROR(VLOOKUP(B633,cubo!$A$6:$BE$37,51,0)-VLOOKUP(B633,#REF!,$AI$2,0),0)</f>
        <v>0</v>
      </c>
      <c r="AJ633" s="9">
        <f>IFERROR(VLOOKUP(B633,cubo!$A$6:$BI$116,62,0)-VLOOKUP(B633,#REF!,$AJ$2,0),0)</f>
        <v>0</v>
      </c>
      <c r="AK633" s="9">
        <f>IFERROR(VLOOKUP(B633,cubo!$A$6:$BJ$37,63,0)-VLOOKUP(B633,#REF!,$AK$2,0),0)</f>
        <v>0</v>
      </c>
      <c r="AL633" s="9">
        <f>IFERROR(VLOOKUP(B633,cubo!$A$6:$BE$37,58,0)-VLOOKUP(B633,#REF!,$AL$2,0),0)</f>
        <v>0</v>
      </c>
      <c r="AM633" s="9">
        <f>IFERROR(VLOOKUP(B633,cubo!$A$6:$BK$37,64,0)-VLOOKUP(B633,#REF!,$AM$2,0),0)</f>
        <v>0</v>
      </c>
      <c r="AN633" s="9">
        <f>IFERROR(VLOOKUP(B633,cubo!$A$6:$AN$37,41,0)-VLOOKUP(B633,#REF!,$AN$2,0),0)</f>
        <v>0</v>
      </c>
    </row>
    <row r="634" spans="2:40" x14ac:dyDescent="0.25">
      <c r="B634" s="7">
        <f>[1]salario!A633</f>
        <v>0</v>
      </c>
      <c r="C634" s="8">
        <f>[1]salario!C633</f>
        <v>0</v>
      </c>
      <c r="D634" s="9">
        <f>IFERROR(VLOOKUP(B634,cubo!$A$6:$BE$37,3,0)-VLOOKUP(B634,#REF!,$D$2,0),0)</f>
        <v>0</v>
      </c>
      <c r="E634" s="10">
        <f>IFERROR(VLOOKUP(B634,cubo!$A$6:$BE$37,5,0)-VLOOKUP(B634,#REF!,$E$2,0),0)</f>
        <v>0</v>
      </c>
      <c r="F634" s="10">
        <f>IFERROR(VLOOKUP(B634,cubo!$A$6:$BE$37,8,0)-VLOOKUP(B634,#REF!,$F$2,0),0)</f>
        <v>0</v>
      </c>
      <c r="G634" s="9">
        <f>IFERROR(VLOOKUP(B634,cubo!$A$6:$BE$37,11,0)-VLOOKUP(B634,#REF!,$G$2,0),0)</f>
        <v>0</v>
      </c>
      <c r="H634" s="9">
        <f>IFERROR(VLOOKUP(B634,cubo!$A$6:$BE$37,53,0)-VLOOKUP(B634,#REF!,$H$2,0),0)</f>
        <v>0</v>
      </c>
      <c r="I634" s="10">
        <f>IFERROR(VLOOKUP(B634,cubo!$A$6:$BE$37,14,0)-VLOOKUP(B634,#REF!,$I$2,0),0)</f>
        <v>0</v>
      </c>
      <c r="J634" s="9">
        <f>IFERROR(VLOOKUP(B634,cubo!$A$6:$BE$37,16,0)-VLOOKUP(B634,#REF!,$J$2,0),0)</f>
        <v>0</v>
      </c>
      <c r="K634" s="9">
        <f>IFERROR(VLOOKUP(B634,cubo!$A$6:$BE$37,17,0)-VLOOKUP(B634,#REF!,$K$2,0),0)</f>
        <v>0</v>
      </c>
      <c r="L634" s="9">
        <f>IFERROR(VLOOKUP(B634,cubo!$A$6:$BE$37,19,0)-VLOOKUP(B634,#REF!,$L$2,0),0)</f>
        <v>0</v>
      </c>
      <c r="M634" s="9">
        <f>IFERROR(VLOOKUP(B634,cubo!$A$6:$BE$37,23,0)-VLOOKUP(B634,#REF!,$M$2,0),0)</f>
        <v>0</v>
      </c>
      <c r="N634" s="9">
        <f>IFERROR(VLOOKUP(B634,cubo!$A$6:$BE$37,25,0)-VLOOKUP(B634,#REF!,$N$2,0),0)</f>
        <v>0</v>
      </c>
      <c r="O634" s="9">
        <f>IFERROR(VLOOKUP(B634,cubo!$A$6:$BE$37,33,0)-VLOOKUP(B634,#REF!,$O$2,0),0)</f>
        <v>0</v>
      </c>
      <c r="P634" s="8">
        <f>IFERROR(VLOOKUP(B634,cubo!$A$6:$BE$37,37,0)-VLOOKUP(B634,#REF!,$P$2,0),0)</f>
        <v>0</v>
      </c>
      <c r="Q634" s="8">
        <f>IFERROR(VLOOKUP(B634,cubo!$A$6:$BE$37,56,0)-VLOOKUP(B634,#REF!,$Q$2,0),0)</f>
        <v>0</v>
      </c>
      <c r="R634" s="9">
        <f>IFERROR(VLOOKUP(B634,cubo!$A$6:$BE$37,40,0)-VLOOKUP(B634,#REF!,$R$2,0),0)</f>
        <v>0</v>
      </c>
      <c r="S634" s="9">
        <f>IFERROR(VLOOKUP(B634,cubo!$A$6:$BE$37,43,0)-VLOOKUP(B634,#REF!,$S$2,0),0)</f>
        <v>0</v>
      </c>
      <c r="T634" s="9">
        <f>IFERROR(VLOOKUP(B634,cubo!$A$6:$BE$37,46,0)-VLOOKUP(B634,#REF!,$T$2,0),0)</f>
        <v>0</v>
      </c>
      <c r="U634" s="9">
        <f>IFERROR(VLOOKUP(B634,cubo!$A$6:$BE$37,51,0)-VLOOKUP(B634,#REF!,$U$2,0),0)</f>
        <v>0</v>
      </c>
      <c r="V634" s="9">
        <f>IFERROR(VLOOKUP(B634,cubo!$A$6:$BJ$37,60,0)-VLOOKUP(B634,#REF!,$V$2,0),0)</f>
        <v>0</v>
      </c>
      <c r="W634" s="9">
        <f>IFERROR(VLOOKUP(B634,cubo!$A$6:$BE$37,26,0)-VLOOKUP(B634,#REF!,$W$2,0),0)</f>
        <v>0</v>
      </c>
      <c r="X634" s="9">
        <f>IFERROR(VLOOKUP(B634,cubo!$A$6:$BE$37,20,0)-VLOOKUP(B634,#REF!,$X$2,0),0)</f>
        <v>0</v>
      </c>
      <c r="Y634" s="9">
        <f>IFERROR(VLOOKUP(B634,cubo!$A$6:$BE$37,21,0)-VLOOKUP(B634,#REF!,$Y$2,0),0)</f>
        <v>0</v>
      </c>
      <c r="Z634" s="9">
        <f>IFERROR(VLOOKUP(B634,cubo!$A$6:$BE$37,27,0)-VLOOKUP(B634,#REF!,$Z$2,0),0)</f>
        <v>0</v>
      </c>
      <c r="AA634" s="9">
        <f>IFERROR(VLOOKUP(B634,cubo!$A$6:$BE$37,28,0)-VLOOKUP(B634,#REF!,$AA$2,0),0)</f>
        <v>0</v>
      </c>
      <c r="AB634" s="9">
        <f>IFERROR(VLOOKUP(B634,cubo!$A$6:$BE$37,29,0)-VLOOKUP(B634,#REF!,$AB$2,0),0)</f>
        <v>0</v>
      </c>
      <c r="AC634" s="9">
        <f>IFERROR(VLOOKUP(B634,cubo!$A$6:$BE$37,30,0)-VLOOKUP(B634,#REF!,$AC$2,0),0)</f>
        <v>0</v>
      </c>
      <c r="AD634" s="9">
        <f>IFERROR(VLOOKUP(B634,cubo!$A$6:$BE$37,31,0)-VLOOKUP(B634,#REF!,$AD$2,0),0)</f>
        <v>0</v>
      </c>
      <c r="AE634" s="9">
        <f>IFERROR(VLOOKUP(B634,cubo!$A$6:$BE$37,35,0)-VLOOKUP(B634,#REF!,$AE$2,0),0)</f>
        <v>0</v>
      </c>
      <c r="AF634" s="9" cm="1">
        <f t="array" aca="1" ref="AF634" ca="1">IFERROR(rrPROCV(B634,cubo!$A$6:$BE$37,48,0)-VLOOKUP(B634,#REF!,$AF$2,0),0)</f>
        <v>0</v>
      </c>
      <c r="AG634" s="9">
        <f>IFERROR(VLOOKUP(B634,cubo!$A$6:$BE$37,49,0)-VLOOKUP(B634,#REF!,$AG$2,0),0)</f>
        <v>0</v>
      </c>
      <c r="AH634" s="9">
        <f>IFERROR(VLOOKUP(B634,cubo!$A$6:$BE$37,50,0)-VLOOKUP(B634,#REF!,$AH$2,0),0)</f>
        <v>0</v>
      </c>
      <c r="AI634" s="9">
        <f>IFERROR(VLOOKUP(B634,cubo!$A$6:$BE$37,51,0)-VLOOKUP(B634,#REF!,$AI$2,0),0)</f>
        <v>0</v>
      </c>
      <c r="AJ634" s="9">
        <f>IFERROR(VLOOKUP(B634,cubo!$A$6:$BI$116,62,0)-VLOOKUP(B634,#REF!,$AJ$2,0),0)</f>
        <v>0</v>
      </c>
      <c r="AK634" s="9">
        <f>IFERROR(VLOOKUP(B634,cubo!$A$6:$BJ$37,63,0)-VLOOKUP(B634,#REF!,$AK$2,0),0)</f>
        <v>0</v>
      </c>
      <c r="AL634" s="9">
        <f>IFERROR(VLOOKUP(B634,cubo!$A$6:$BE$37,58,0)-VLOOKUP(B634,#REF!,$AL$2,0),0)</f>
        <v>0</v>
      </c>
      <c r="AM634" s="9">
        <f>IFERROR(VLOOKUP(B634,cubo!$A$6:$BK$37,64,0)-VLOOKUP(B634,#REF!,$AM$2,0),0)</f>
        <v>0</v>
      </c>
      <c r="AN634" s="9">
        <f>IFERROR(VLOOKUP(B634,cubo!$A$6:$AN$37,41,0)-VLOOKUP(B634,#REF!,$AN$2,0),0)</f>
        <v>0</v>
      </c>
    </row>
    <row r="635" spans="2:40" x14ac:dyDescent="0.25">
      <c r="B635" s="7">
        <f>[1]salario!A634</f>
        <v>0</v>
      </c>
      <c r="C635" s="8">
        <f>[1]salario!C634</f>
        <v>0</v>
      </c>
      <c r="D635" s="9">
        <f>IFERROR(VLOOKUP(B635,cubo!$A$6:$BE$37,3,0)-VLOOKUP(B635,#REF!,$D$2,0),0)</f>
        <v>0</v>
      </c>
      <c r="E635" s="10">
        <f>IFERROR(VLOOKUP(B635,cubo!$A$6:$BE$37,5,0)-VLOOKUP(B635,#REF!,$E$2,0),0)</f>
        <v>0</v>
      </c>
      <c r="F635" s="10">
        <f>IFERROR(VLOOKUP(B635,cubo!$A$6:$BE$37,8,0)-VLOOKUP(B635,#REF!,$F$2,0),0)</f>
        <v>0</v>
      </c>
      <c r="G635" s="9">
        <f>IFERROR(VLOOKUP(B635,cubo!$A$6:$BE$37,11,0)-VLOOKUP(B635,#REF!,$G$2,0),0)</f>
        <v>0</v>
      </c>
      <c r="H635" s="9">
        <f>IFERROR(VLOOKUP(B635,cubo!$A$6:$BE$37,53,0)-VLOOKUP(B635,#REF!,$H$2,0),0)</f>
        <v>0</v>
      </c>
      <c r="I635" s="10">
        <f>IFERROR(VLOOKUP(B635,cubo!$A$6:$BE$37,14,0)-VLOOKUP(B635,#REF!,$I$2,0),0)</f>
        <v>0</v>
      </c>
      <c r="J635" s="9">
        <f>IFERROR(VLOOKUP(B635,cubo!$A$6:$BE$37,16,0)-VLOOKUP(B635,#REF!,$J$2,0),0)</f>
        <v>0</v>
      </c>
      <c r="K635" s="9">
        <f>IFERROR(VLOOKUP(B635,cubo!$A$6:$BE$37,17,0)-VLOOKUP(B635,#REF!,$K$2,0),0)</f>
        <v>0</v>
      </c>
      <c r="L635" s="9">
        <f>IFERROR(VLOOKUP(B635,cubo!$A$6:$BE$37,19,0)-VLOOKUP(B635,#REF!,$L$2,0),0)</f>
        <v>0</v>
      </c>
      <c r="M635" s="9">
        <f>IFERROR(VLOOKUP(B635,cubo!$A$6:$BE$37,23,0)-VLOOKUP(B635,#REF!,$M$2,0),0)</f>
        <v>0</v>
      </c>
      <c r="N635" s="9">
        <f>IFERROR(VLOOKUP(B635,cubo!$A$6:$BE$37,25,0)-VLOOKUP(B635,#REF!,$N$2,0),0)</f>
        <v>0</v>
      </c>
      <c r="O635" s="9">
        <f>IFERROR(VLOOKUP(B635,cubo!$A$6:$BE$37,33,0)-VLOOKUP(B635,#REF!,$O$2,0),0)</f>
        <v>0</v>
      </c>
      <c r="P635" s="8">
        <f>IFERROR(VLOOKUP(B635,cubo!$A$6:$BE$37,37,0)-VLOOKUP(B635,#REF!,$P$2,0),0)</f>
        <v>0</v>
      </c>
      <c r="Q635" s="8">
        <f>IFERROR(VLOOKUP(B635,cubo!$A$6:$BE$37,56,0)-VLOOKUP(B635,#REF!,$Q$2,0),0)</f>
        <v>0</v>
      </c>
      <c r="R635" s="9">
        <f>IFERROR(VLOOKUP(B635,cubo!$A$6:$BE$37,40,0)-VLOOKUP(B635,#REF!,$R$2,0),0)</f>
        <v>0</v>
      </c>
      <c r="S635" s="9">
        <f>IFERROR(VLOOKUP(B635,cubo!$A$6:$BE$37,43,0)-VLOOKUP(B635,#REF!,$S$2,0),0)</f>
        <v>0</v>
      </c>
      <c r="T635" s="9">
        <f>IFERROR(VLOOKUP(B635,cubo!$A$6:$BE$37,46,0)-VLOOKUP(B635,#REF!,$T$2,0),0)</f>
        <v>0</v>
      </c>
      <c r="U635" s="9">
        <f>IFERROR(VLOOKUP(B635,cubo!$A$6:$BE$37,51,0)-VLOOKUP(B635,#REF!,$U$2,0),0)</f>
        <v>0</v>
      </c>
      <c r="V635" s="9">
        <f>IFERROR(VLOOKUP(B635,cubo!$A$6:$BJ$37,60,0)-VLOOKUP(B635,#REF!,$V$2,0),0)</f>
        <v>0</v>
      </c>
      <c r="W635" s="9">
        <f>IFERROR(VLOOKUP(B635,cubo!$A$6:$BE$37,26,0)-VLOOKUP(B635,#REF!,$W$2,0),0)</f>
        <v>0</v>
      </c>
      <c r="X635" s="9">
        <f>IFERROR(VLOOKUP(B635,cubo!$A$6:$BE$37,20,0)-VLOOKUP(B635,#REF!,$X$2,0),0)</f>
        <v>0</v>
      </c>
      <c r="Y635" s="9">
        <f>IFERROR(VLOOKUP(B635,cubo!$A$6:$BE$37,21,0)-VLOOKUP(B635,#REF!,$Y$2,0),0)</f>
        <v>0</v>
      </c>
      <c r="Z635" s="9">
        <f>IFERROR(VLOOKUP(B635,cubo!$A$6:$BE$37,27,0)-VLOOKUP(B635,#REF!,$Z$2,0),0)</f>
        <v>0</v>
      </c>
      <c r="AA635" s="9">
        <f>IFERROR(VLOOKUP(B635,cubo!$A$6:$BE$37,28,0)-VLOOKUP(B635,#REF!,$AA$2,0),0)</f>
        <v>0</v>
      </c>
      <c r="AB635" s="9">
        <f>IFERROR(VLOOKUP(B635,cubo!$A$6:$BE$37,29,0)-VLOOKUP(B635,#REF!,$AB$2,0),0)</f>
        <v>0</v>
      </c>
      <c r="AC635" s="9">
        <f>IFERROR(VLOOKUP(B635,cubo!$A$6:$BE$37,30,0)-VLOOKUP(B635,#REF!,$AC$2,0),0)</f>
        <v>0</v>
      </c>
      <c r="AD635" s="9">
        <f>IFERROR(VLOOKUP(B635,cubo!$A$6:$BE$37,31,0)-VLOOKUP(B635,#REF!,$AD$2,0),0)</f>
        <v>0</v>
      </c>
      <c r="AE635" s="9">
        <f>IFERROR(VLOOKUP(B635,cubo!$A$6:$BE$37,35,0)-VLOOKUP(B635,#REF!,$AE$2,0),0)</f>
        <v>0</v>
      </c>
      <c r="AF635" s="9" cm="1">
        <f t="array" aca="1" ref="AF635" ca="1">IFERROR(rrPROCV(B635,cubo!$A$6:$BE$37,48,0)-VLOOKUP(B635,#REF!,$AF$2,0),0)</f>
        <v>0</v>
      </c>
      <c r="AG635" s="9">
        <f>IFERROR(VLOOKUP(B635,cubo!$A$6:$BE$37,49,0)-VLOOKUP(B635,#REF!,$AG$2,0),0)</f>
        <v>0</v>
      </c>
      <c r="AH635" s="9">
        <f>IFERROR(VLOOKUP(B635,cubo!$A$6:$BE$37,50,0)-VLOOKUP(B635,#REF!,$AH$2,0),0)</f>
        <v>0</v>
      </c>
      <c r="AI635" s="9">
        <f>IFERROR(VLOOKUP(B635,cubo!$A$6:$BE$37,51,0)-VLOOKUP(B635,#REF!,$AI$2,0),0)</f>
        <v>0</v>
      </c>
      <c r="AJ635" s="9">
        <f>IFERROR(VLOOKUP(B635,cubo!$A$6:$BI$116,62,0)-VLOOKUP(B635,#REF!,$AJ$2,0),0)</f>
        <v>0</v>
      </c>
      <c r="AK635" s="9">
        <f>IFERROR(VLOOKUP(B635,cubo!$A$6:$BJ$37,63,0)-VLOOKUP(B635,#REF!,$AK$2,0),0)</f>
        <v>0</v>
      </c>
      <c r="AL635" s="9">
        <f>IFERROR(VLOOKUP(B635,cubo!$A$6:$BE$37,58,0)-VLOOKUP(B635,#REF!,$AL$2,0),0)</f>
        <v>0</v>
      </c>
      <c r="AM635" s="9">
        <f>IFERROR(VLOOKUP(B635,cubo!$A$6:$BK$37,64,0)-VLOOKUP(B635,#REF!,$AM$2,0),0)</f>
        <v>0</v>
      </c>
      <c r="AN635" s="9">
        <f>IFERROR(VLOOKUP(B635,cubo!$A$6:$AN$37,41,0)-VLOOKUP(B635,#REF!,$AN$2,0),0)</f>
        <v>0</v>
      </c>
    </row>
    <row r="636" spans="2:40" x14ac:dyDescent="0.25">
      <c r="B636" s="7">
        <f>[1]salario!A635</f>
        <v>0</v>
      </c>
      <c r="C636" s="8">
        <f>[1]salario!C635</f>
        <v>0</v>
      </c>
      <c r="D636" s="9">
        <f>IFERROR(VLOOKUP(B636,cubo!$A$6:$BE$37,3,0)-VLOOKUP(B636,#REF!,$D$2,0),0)</f>
        <v>0</v>
      </c>
      <c r="E636" s="10">
        <f>IFERROR(VLOOKUP(B636,cubo!$A$6:$BE$37,5,0)-VLOOKUP(B636,#REF!,$E$2,0),0)</f>
        <v>0</v>
      </c>
      <c r="F636" s="10">
        <f>IFERROR(VLOOKUP(B636,cubo!$A$6:$BE$37,8,0)-VLOOKUP(B636,#REF!,$F$2,0),0)</f>
        <v>0</v>
      </c>
      <c r="G636" s="9">
        <f>IFERROR(VLOOKUP(B636,cubo!$A$6:$BE$37,11,0)-VLOOKUP(B636,#REF!,$G$2,0),0)</f>
        <v>0</v>
      </c>
      <c r="H636" s="9">
        <f>IFERROR(VLOOKUP(B636,cubo!$A$6:$BE$37,53,0)-VLOOKUP(B636,#REF!,$H$2,0),0)</f>
        <v>0</v>
      </c>
      <c r="I636" s="10">
        <f>IFERROR(VLOOKUP(B636,cubo!$A$6:$BE$37,14,0)-VLOOKUP(B636,#REF!,$I$2,0),0)</f>
        <v>0</v>
      </c>
      <c r="J636" s="9">
        <f>IFERROR(VLOOKUP(B636,cubo!$A$6:$BE$37,16,0)-VLOOKUP(B636,#REF!,$J$2,0),0)</f>
        <v>0</v>
      </c>
      <c r="K636" s="9">
        <f>IFERROR(VLOOKUP(B636,cubo!$A$6:$BE$37,17,0)-VLOOKUP(B636,#REF!,$K$2,0),0)</f>
        <v>0</v>
      </c>
      <c r="L636" s="9">
        <f>IFERROR(VLOOKUP(B636,cubo!$A$6:$BE$37,19,0)-VLOOKUP(B636,#REF!,$L$2,0),0)</f>
        <v>0</v>
      </c>
      <c r="M636" s="9">
        <f>IFERROR(VLOOKUP(B636,cubo!$A$6:$BE$37,23,0)-VLOOKUP(B636,#REF!,$M$2,0),0)</f>
        <v>0</v>
      </c>
      <c r="N636" s="9">
        <f>IFERROR(VLOOKUP(B636,cubo!$A$6:$BE$37,25,0)-VLOOKUP(B636,#REF!,$N$2,0),0)</f>
        <v>0</v>
      </c>
      <c r="O636" s="9">
        <f>IFERROR(VLOOKUP(B636,cubo!$A$6:$BE$37,33,0)-VLOOKUP(B636,#REF!,$O$2,0),0)</f>
        <v>0</v>
      </c>
      <c r="P636" s="8">
        <f>IFERROR(VLOOKUP(B636,cubo!$A$6:$BE$37,37,0)-VLOOKUP(B636,#REF!,$P$2,0),0)</f>
        <v>0</v>
      </c>
      <c r="Q636" s="8">
        <f>IFERROR(VLOOKUP(B636,cubo!$A$6:$BE$37,56,0)-VLOOKUP(B636,#REF!,$Q$2,0),0)</f>
        <v>0</v>
      </c>
      <c r="R636" s="9">
        <f>IFERROR(VLOOKUP(B636,cubo!$A$6:$BE$37,40,0)-VLOOKUP(B636,#REF!,$R$2,0),0)</f>
        <v>0</v>
      </c>
      <c r="S636" s="9">
        <f>IFERROR(VLOOKUP(B636,cubo!$A$6:$BE$37,43,0)-VLOOKUP(B636,#REF!,$S$2,0),0)</f>
        <v>0</v>
      </c>
      <c r="T636" s="9">
        <f>IFERROR(VLOOKUP(B636,cubo!$A$6:$BE$37,46,0)-VLOOKUP(B636,#REF!,$T$2,0),0)</f>
        <v>0</v>
      </c>
      <c r="U636" s="9">
        <f>IFERROR(VLOOKUP(B636,cubo!$A$6:$BE$37,51,0)-VLOOKUP(B636,#REF!,$U$2,0),0)</f>
        <v>0</v>
      </c>
      <c r="V636" s="9">
        <f>IFERROR(VLOOKUP(B636,cubo!$A$6:$BJ$37,60,0)-VLOOKUP(B636,#REF!,$V$2,0),0)</f>
        <v>0</v>
      </c>
      <c r="W636" s="9">
        <f>IFERROR(VLOOKUP(B636,cubo!$A$6:$BE$37,26,0)-VLOOKUP(B636,#REF!,$W$2,0),0)</f>
        <v>0</v>
      </c>
      <c r="X636" s="9">
        <f>IFERROR(VLOOKUP(B636,cubo!$A$6:$BE$37,20,0)-VLOOKUP(B636,#REF!,$X$2,0),0)</f>
        <v>0</v>
      </c>
      <c r="Y636" s="9">
        <f>IFERROR(VLOOKUP(B636,cubo!$A$6:$BE$37,21,0)-VLOOKUP(B636,#REF!,$Y$2,0),0)</f>
        <v>0</v>
      </c>
      <c r="Z636" s="9">
        <f>IFERROR(VLOOKUP(B636,cubo!$A$6:$BE$37,27,0)-VLOOKUP(B636,#REF!,$Z$2,0),0)</f>
        <v>0</v>
      </c>
      <c r="AA636" s="9">
        <f>IFERROR(VLOOKUP(B636,cubo!$A$6:$BE$37,28,0)-VLOOKUP(B636,#REF!,$AA$2,0),0)</f>
        <v>0</v>
      </c>
      <c r="AB636" s="9">
        <f>IFERROR(VLOOKUP(B636,cubo!$A$6:$BE$37,29,0)-VLOOKUP(B636,#REF!,$AB$2,0),0)</f>
        <v>0</v>
      </c>
      <c r="AC636" s="9">
        <f>IFERROR(VLOOKUP(B636,cubo!$A$6:$BE$37,30,0)-VLOOKUP(B636,#REF!,$AC$2,0),0)</f>
        <v>0</v>
      </c>
      <c r="AD636" s="9">
        <f>IFERROR(VLOOKUP(B636,cubo!$A$6:$BE$37,31,0)-VLOOKUP(B636,#REF!,$AD$2,0),0)</f>
        <v>0</v>
      </c>
      <c r="AE636" s="9">
        <f>IFERROR(VLOOKUP(B636,cubo!$A$6:$BE$37,35,0)-VLOOKUP(B636,#REF!,$AE$2,0),0)</f>
        <v>0</v>
      </c>
      <c r="AF636" s="9" cm="1">
        <f t="array" aca="1" ref="AF636" ca="1">IFERROR(rrPROCV(B636,cubo!$A$6:$BE$37,48,0)-VLOOKUP(B636,#REF!,$AF$2,0),0)</f>
        <v>0</v>
      </c>
      <c r="AG636" s="9">
        <f>IFERROR(VLOOKUP(B636,cubo!$A$6:$BE$37,49,0)-VLOOKUP(B636,#REF!,$AG$2,0),0)</f>
        <v>0</v>
      </c>
      <c r="AH636" s="9">
        <f>IFERROR(VLOOKUP(B636,cubo!$A$6:$BE$37,50,0)-VLOOKUP(B636,#REF!,$AH$2,0),0)</f>
        <v>0</v>
      </c>
      <c r="AI636" s="9">
        <f>IFERROR(VLOOKUP(B636,cubo!$A$6:$BE$37,51,0)-VLOOKUP(B636,#REF!,$AI$2,0),0)</f>
        <v>0</v>
      </c>
      <c r="AJ636" s="9">
        <f>IFERROR(VLOOKUP(B636,cubo!$A$6:$BI$116,62,0)-VLOOKUP(B636,#REF!,$AJ$2,0),0)</f>
        <v>0</v>
      </c>
      <c r="AK636" s="9">
        <f>IFERROR(VLOOKUP(B636,cubo!$A$6:$BJ$37,63,0)-VLOOKUP(B636,#REF!,$AK$2,0),0)</f>
        <v>0</v>
      </c>
      <c r="AL636" s="9">
        <f>IFERROR(VLOOKUP(B636,cubo!$A$6:$BE$37,58,0)-VLOOKUP(B636,#REF!,$AL$2,0),0)</f>
        <v>0</v>
      </c>
      <c r="AM636" s="9">
        <f>IFERROR(VLOOKUP(B636,cubo!$A$6:$BK$37,64,0)-VLOOKUP(B636,#REF!,$AM$2,0),0)</f>
        <v>0</v>
      </c>
      <c r="AN636" s="9">
        <f>IFERROR(VLOOKUP(B636,cubo!$A$6:$AN$37,41,0)-VLOOKUP(B636,#REF!,$AN$2,0),0)</f>
        <v>0</v>
      </c>
    </row>
    <row r="637" spans="2:40" x14ac:dyDescent="0.25">
      <c r="B637" s="7">
        <f>[1]salario!A636</f>
        <v>0</v>
      </c>
      <c r="C637" s="8">
        <f>[1]salario!C636</f>
        <v>0</v>
      </c>
      <c r="D637" s="9">
        <f>IFERROR(VLOOKUP(B637,cubo!$A$6:$BE$37,3,0)-VLOOKUP(B637,#REF!,$D$2,0),0)</f>
        <v>0</v>
      </c>
      <c r="E637" s="10">
        <f>IFERROR(VLOOKUP(B637,cubo!$A$6:$BE$37,5,0)-VLOOKUP(B637,#REF!,$E$2,0),0)</f>
        <v>0</v>
      </c>
      <c r="F637" s="10">
        <f>IFERROR(VLOOKUP(B637,cubo!$A$6:$BE$37,8,0)-VLOOKUP(B637,#REF!,$F$2,0),0)</f>
        <v>0</v>
      </c>
      <c r="G637" s="9">
        <f>IFERROR(VLOOKUP(B637,cubo!$A$6:$BE$37,11,0)-VLOOKUP(B637,#REF!,$G$2,0),0)</f>
        <v>0</v>
      </c>
      <c r="H637" s="9">
        <f>IFERROR(VLOOKUP(B637,cubo!$A$6:$BE$37,53,0)-VLOOKUP(B637,#REF!,$H$2,0),0)</f>
        <v>0</v>
      </c>
      <c r="I637" s="10">
        <f>IFERROR(VLOOKUP(B637,cubo!$A$6:$BE$37,14,0)-VLOOKUP(B637,#REF!,$I$2,0),0)</f>
        <v>0</v>
      </c>
      <c r="J637" s="9">
        <f>IFERROR(VLOOKUP(B637,cubo!$A$6:$BE$37,16,0)-VLOOKUP(B637,#REF!,$J$2,0),0)</f>
        <v>0</v>
      </c>
      <c r="K637" s="9">
        <f>IFERROR(VLOOKUP(B637,cubo!$A$6:$BE$37,17,0)-VLOOKUP(B637,#REF!,$K$2,0),0)</f>
        <v>0</v>
      </c>
      <c r="L637" s="9">
        <f>IFERROR(VLOOKUP(B637,cubo!$A$6:$BE$37,19,0)-VLOOKUP(B637,#REF!,$L$2,0),0)</f>
        <v>0</v>
      </c>
      <c r="M637" s="9">
        <f>IFERROR(VLOOKUP(B637,cubo!$A$6:$BE$37,23,0)-VLOOKUP(B637,#REF!,$M$2,0),0)</f>
        <v>0</v>
      </c>
      <c r="N637" s="9">
        <f>IFERROR(VLOOKUP(B637,cubo!$A$6:$BE$37,25,0)-VLOOKUP(B637,#REF!,$N$2,0),0)</f>
        <v>0</v>
      </c>
      <c r="O637" s="9">
        <f>IFERROR(VLOOKUP(B637,cubo!$A$6:$BE$37,33,0)-VLOOKUP(B637,#REF!,$O$2,0),0)</f>
        <v>0</v>
      </c>
      <c r="P637" s="8">
        <f>IFERROR(VLOOKUP(B637,cubo!$A$6:$BE$37,37,0)-VLOOKUP(B637,#REF!,$P$2,0),0)</f>
        <v>0</v>
      </c>
      <c r="Q637" s="8">
        <f>IFERROR(VLOOKUP(B637,cubo!$A$6:$BE$37,56,0)-VLOOKUP(B637,#REF!,$Q$2,0),0)</f>
        <v>0</v>
      </c>
      <c r="R637" s="9">
        <f>IFERROR(VLOOKUP(B637,cubo!$A$6:$BE$37,40,0)-VLOOKUP(B637,#REF!,$R$2,0),0)</f>
        <v>0</v>
      </c>
      <c r="S637" s="9">
        <f>IFERROR(VLOOKUP(B637,cubo!$A$6:$BE$37,43,0)-VLOOKUP(B637,#REF!,$S$2,0),0)</f>
        <v>0</v>
      </c>
      <c r="T637" s="9">
        <f>IFERROR(VLOOKUP(B637,cubo!$A$6:$BE$37,46,0)-VLOOKUP(B637,#REF!,$T$2,0),0)</f>
        <v>0</v>
      </c>
      <c r="U637" s="9">
        <f>IFERROR(VLOOKUP(B637,cubo!$A$6:$BE$37,51,0)-VLOOKUP(B637,#REF!,$U$2,0),0)</f>
        <v>0</v>
      </c>
      <c r="V637" s="9">
        <f>IFERROR(VLOOKUP(B637,cubo!$A$6:$BJ$37,60,0)-VLOOKUP(B637,#REF!,$V$2,0),0)</f>
        <v>0</v>
      </c>
      <c r="W637" s="9">
        <f>IFERROR(VLOOKUP(B637,cubo!$A$6:$BE$37,26,0)-VLOOKUP(B637,#REF!,$W$2,0),0)</f>
        <v>0</v>
      </c>
      <c r="X637" s="9">
        <f>IFERROR(VLOOKUP(B637,cubo!$A$6:$BE$37,20,0)-VLOOKUP(B637,#REF!,$X$2,0),0)</f>
        <v>0</v>
      </c>
      <c r="Y637" s="9">
        <f>IFERROR(VLOOKUP(B637,cubo!$A$6:$BE$37,21,0)-VLOOKUP(B637,#REF!,$Y$2,0),0)</f>
        <v>0</v>
      </c>
      <c r="Z637" s="9">
        <f>IFERROR(VLOOKUP(B637,cubo!$A$6:$BE$37,27,0)-VLOOKUP(B637,#REF!,$Z$2,0),0)</f>
        <v>0</v>
      </c>
      <c r="AA637" s="9">
        <f>IFERROR(VLOOKUP(B637,cubo!$A$6:$BE$37,28,0)-VLOOKUP(B637,#REF!,$AA$2,0),0)</f>
        <v>0</v>
      </c>
      <c r="AB637" s="9">
        <f>IFERROR(VLOOKUP(B637,cubo!$A$6:$BE$37,29,0)-VLOOKUP(B637,#REF!,$AB$2,0),0)</f>
        <v>0</v>
      </c>
      <c r="AC637" s="9">
        <f>IFERROR(VLOOKUP(B637,cubo!$A$6:$BE$37,30,0)-VLOOKUP(B637,#REF!,$AC$2,0),0)</f>
        <v>0</v>
      </c>
      <c r="AD637" s="9">
        <f>IFERROR(VLOOKUP(B637,cubo!$A$6:$BE$37,31,0)-VLOOKUP(B637,#REF!,$AD$2,0),0)</f>
        <v>0</v>
      </c>
      <c r="AE637" s="9">
        <f>IFERROR(VLOOKUP(B637,cubo!$A$6:$BE$37,35,0)-VLOOKUP(B637,#REF!,$AE$2,0),0)</f>
        <v>0</v>
      </c>
      <c r="AF637" s="9" cm="1">
        <f t="array" aca="1" ref="AF637" ca="1">IFERROR(rrPROCV(B637,cubo!$A$6:$BE$37,48,0)-VLOOKUP(B637,#REF!,$AF$2,0),0)</f>
        <v>0</v>
      </c>
      <c r="AG637" s="9">
        <f>IFERROR(VLOOKUP(B637,cubo!$A$6:$BE$37,49,0)-VLOOKUP(B637,#REF!,$AG$2,0),0)</f>
        <v>0</v>
      </c>
      <c r="AH637" s="9">
        <f>IFERROR(VLOOKUP(B637,cubo!$A$6:$BE$37,50,0)-VLOOKUP(B637,#REF!,$AH$2,0),0)</f>
        <v>0</v>
      </c>
      <c r="AI637" s="9">
        <f>IFERROR(VLOOKUP(B637,cubo!$A$6:$BE$37,51,0)-VLOOKUP(B637,#REF!,$AI$2,0),0)</f>
        <v>0</v>
      </c>
      <c r="AJ637" s="9">
        <f>IFERROR(VLOOKUP(B637,cubo!$A$6:$BI$116,62,0)-VLOOKUP(B637,#REF!,$AJ$2,0),0)</f>
        <v>0</v>
      </c>
      <c r="AK637" s="9">
        <f>IFERROR(VLOOKUP(B637,cubo!$A$6:$BJ$37,63,0)-VLOOKUP(B637,#REF!,$AK$2,0),0)</f>
        <v>0</v>
      </c>
      <c r="AL637" s="9">
        <f>IFERROR(VLOOKUP(B637,cubo!$A$6:$BE$37,58,0)-VLOOKUP(B637,#REF!,$AL$2,0),0)</f>
        <v>0</v>
      </c>
      <c r="AM637" s="9">
        <f>IFERROR(VLOOKUP(B637,cubo!$A$6:$BK$37,64,0)-VLOOKUP(B637,#REF!,$AM$2,0),0)</f>
        <v>0</v>
      </c>
      <c r="AN637" s="9">
        <f>IFERROR(VLOOKUP(B637,cubo!$A$6:$AN$37,41,0)-VLOOKUP(B637,#REF!,$AN$2,0),0)</f>
        <v>0</v>
      </c>
    </row>
    <row r="638" spans="2:40" x14ac:dyDescent="0.25">
      <c r="B638" s="7">
        <f>[1]salario!A637</f>
        <v>0</v>
      </c>
      <c r="C638" s="8">
        <f>[1]salario!C637</f>
        <v>0</v>
      </c>
      <c r="D638" s="9">
        <f>IFERROR(VLOOKUP(B638,cubo!$A$6:$BE$37,3,0)-VLOOKUP(B638,#REF!,$D$2,0),0)</f>
        <v>0</v>
      </c>
      <c r="E638" s="10">
        <f>IFERROR(VLOOKUP(B638,cubo!$A$6:$BE$37,5,0)-VLOOKUP(B638,#REF!,$E$2,0),0)</f>
        <v>0</v>
      </c>
      <c r="F638" s="10">
        <f>IFERROR(VLOOKUP(B638,cubo!$A$6:$BE$37,8,0)-VLOOKUP(B638,#REF!,$F$2,0),0)</f>
        <v>0</v>
      </c>
      <c r="G638" s="9">
        <f>IFERROR(VLOOKUP(B638,cubo!$A$6:$BE$37,11,0)-VLOOKUP(B638,#REF!,$G$2,0),0)</f>
        <v>0</v>
      </c>
      <c r="H638" s="9">
        <f>IFERROR(VLOOKUP(B638,cubo!$A$6:$BE$37,53,0)-VLOOKUP(B638,#REF!,$H$2,0),0)</f>
        <v>0</v>
      </c>
      <c r="I638" s="10">
        <f>IFERROR(VLOOKUP(B638,cubo!$A$6:$BE$37,14,0)-VLOOKUP(B638,#REF!,$I$2,0),0)</f>
        <v>0</v>
      </c>
      <c r="J638" s="9">
        <f>IFERROR(VLOOKUP(B638,cubo!$A$6:$BE$37,16,0)-VLOOKUP(B638,#REF!,$J$2,0),0)</f>
        <v>0</v>
      </c>
      <c r="K638" s="9">
        <f>IFERROR(VLOOKUP(B638,cubo!$A$6:$BE$37,17,0)-VLOOKUP(B638,#REF!,$K$2,0),0)</f>
        <v>0</v>
      </c>
      <c r="L638" s="9">
        <f>IFERROR(VLOOKUP(B638,cubo!$A$6:$BE$37,19,0)-VLOOKUP(B638,#REF!,$L$2,0),0)</f>
        <v>0</v>
      </c>
      <c r="M638" s="9">
        <f>IFERROR(VLOOKUP(B638,cubo!$A$6:$BE$37,23,0)-VLOOKUP(B638,#REF!,$M$2,0),0)</f>
        <v>0</v>
      </c>
      <c r="N638" s="9">
        <f>IFERROR(VLOOKUP(B638,cubo!$A$6:$BE$37,25,0)-VLOOKUP(B638,#REF!,$N$2,0),0)</f>
        <v>0</v>
      </c>
      <c r="O638" s="9">
        <f>IFERROR(VLOOKUP(B638,cubo!$A$6:$BE$37,33,0)-VLOOKUP(B638,#REF!,$O$2,0),0)</f>
        <v>0</v>
      </c>
      <c r="P638" s="8">
        <f>IFERROR(VLOOKUP(B638,cubo!$A$6:$BE$37,37,0)-VLOOKUP(B638,#REF!,$P$2,0),0)</f>
        <v>0</v>
      </c>
      <c r="Q638" s="8">
        <f>IFERROR(VLOOKUP(B638,cubo!$A$6:$BE$37,56,0)-VLOOKUP(B638,#REF!,$Q$2,0),0)</f>
        <v>0</v>
      </c>
      <c r="R638" s="9">
        <f>IFERROR(VLOOKUP(B638,cubo!$A$6:$BE$37,40,0)-VLOOKUP(B638,#REF!,$R$2,0),0)</f>
        <v>0</v>
      </c>
      <c r="S638" s="9">
        <f>IFERROR(VLOOKUP(B638,cubo!$A$6:$BE$37,43,0)-VLOOKUP(B638,#REF!,$S$2,0),0)</f>
        <v>0</v>
      </c>
      <c r="T638" s="9">
        <f>IFERROR(VLOOKUP(B638,cubo!$A$6:$BE$37,46,0)-VLOOKUP(B638,#REF!,$T$2,0),0)</f>
        <v>0</v>
      </c>
      <c r="U638" s="9">
        <f>IFERROR(VLOOKUP(B638,cubo!$A$6:$BE$37,51,0)-VLOOKUP(B638,#REF!,$U$2,0),0)</f>
        <v>0</v>
      </c>
      <c r="V638" s="9">
        <f>IFERROR(VLOOKUP(B638,cubo!$A$6:$BJ$37,60,0)-VLOOKUP(B638,#REF!,$V$2,0),0)</f>
        <v>0</v>
      </c>
      <c r="W638" s="9">
        <f>IFERROR(VLOOKUP(B638,cubo!$A$6:$BE$37,26,0)-VLOOKUP(B638,#REF!,$W$2,0),0)</f>
        <v>0</v>
      </c>
      <c r="X638" s="9">
        <f>IFERROR(VLOOKUP(B638,cubo!$A$6:$BE$37,20,0)-VLOOKUP(B638,#REF!,$X$2,0),0)</f>
        <v>0</v>
      </c>
      <c r="Y638" s="9">
        <f>IFERROR(VLOOKUP(B638,cubo!$A$6:$BE$37,21,0)-VLOOKUP(B638,#REF!,$Y$2,0),0)</f>
        <v>0</v>
      </c>
      <c r="Z638" s="9">
        <f>IFERROR(VLOOKUP(B638,cubo!$A$6:$BE$37,27,0)-VLOOKUP(B638,#REF!,$Z$2,0),0)</f>
        <v>0</v>
      </c>
      <c r="AA638" s="9">
        <f>IFERROR(VLOOKUP(B638,cubo!$A$6:$BE$37,28,0)-VLOOKUP(B638,#REF!,$AA$2,0),0)</f>
        <v>0</v>
      </c>
      <c r="AB638" s="9">
        <f>IFERROR(VLOOKUP(B638,cubo!$A$6:$BE$37,29,0)-VLOOKUP(B638,#REF!,$AB$2,0),0)</f>
        <v>0</v>
      </c>
      <c r="AC638" s="9">
        <f>IFERROR(VLOOKUP(B638,cubo!$A$6:$BE$37,30,0)-VLOOKUP(B638,#REF!,$AC$2,0),0)</f>
        <v>0</v>
      </c>
      <c r="AD638" s="9">
        <f>IFERROR(VLOOKUP(B638,cubo!$A$6:$BE$37,31,0)-VLOOKUP(B638,#REF!,$AD$2,0),0)</f>
        <v>0</v>
      </c>
      <c r="AE638" s="9">
        <f>IFERROR(VLOOKUP(B638,cubo!$A$6:$BE$37,35,0)-VLOOKUP(B638,#REF!,$AE$2,0),0)</f>
        <v>0</v>
      </c>
      <c r="AF638" s="9" cm="1">
        <f t="array" aca="1" ref="AF638" ca="1">IFERROR(rrPROCV(B638,cubo!$A$6:$BE$37,48,0)-VLOOKUP(B638,#REF!,$AF$2,0),0)</f>
        <v>0</v>
      </c>
      <c r="AG638" s="9">
        <f>IFERROR(VLOOKUP(B638,cubo!$A$6:$BE$37,49,0)-VLOOKUP(B638,#REF!,$AG$2,0),0)</f>
        <v>0</v>
      </c>
      <c r="AH638" s="9">
        <f>IFERROR(VLOOKUP(B638,cubo!$A$6:$BE$37,50,0)-VLOOKUP(B638,#REF!,$AH$2,0),0)</f>
        <v>0</v>
      </c>
      <c r="AI638" s="9">
        <f>IFERROR(VLOOKUP(B638,cubo!$A$6:$BE$37,51,0)-VLOOKUP(B638,#REF!,$AI$2,0),0)</f>
        <v>0</v>
      </c>
      <c r="AJ638" s="9">
        <f>IFERROR(VLOOKUP(B638,cubo!$A$6:$BI$116,62,0)-VLOOKUP(B638,#REF!,$AJ$2,0),0)</f>
        <v>0</v>
      </c>
      <c r="AK638" s="9">
        <f>IFERROR(VLOOKUP(B638,cubo!$A$6:$BJ$37,63,0)-VLOOKUP(B638,#REF!,$AK$2,0),0)</f>
        <v>0</v>
      </c>
      <c r="AL638" s="9">
        <f>IFERROR(VLOOKUP(B638,cubo!$A$6:$BE$37,58,0)-VLOOKUP(B638,#REF!,$AL$2,0),0)</f>
        <v>0</v>
      </c>
      <c r="AM638" s="9">
        <f>IFERROR(VLOOKUP(B638,cubo!$A$6:$BK$37,64,0)-VLOOKUP(B638,#REF!,$AM$2,0),0)</f>
        <v>0</v>
      </c>
      <c r="AN638" s="9">
        <f>IFERROR(VLOOKUP(B638,cubo!$A$6:$AN$37,41,0)-VLOOKUP(B638,#REF!,$AN$2,0),0)</f>
        <v>0</v>
      </c>
    </row>
    <row r="639" spans="2:40" x14ac:dyDescent="0.25">
      <c r="B639" s="7">
        <f>[1]salario!A638</f>
        <v>0</v>
      </c>
      <c r="C639" s="8">
        <f>[1]salario!C638</f>
        <v>0</v>
      </c>
      <c r="D639" s="9">
        <f>IFERROR(VLOOKUP(B639,cubo!$A$6:$BE$37,3,0)-VLOOKUP(B639,#REF!,$D$2,0),0)</f>
        <v>0</v>
      </c>
      <c r="E639" s="10">
        <f>IFERROR(VLOOKUP(B639,cubo!$A$6:$BE$37,5,0)-VLOOKUP(B639,#REF!,$E$2,0),0)</f>
        <v>0</v>
      </c>
      <c r="F639" s="10">
        <f>IFERROR(VLOOKUP(B639,cubo!$A$6:$BE$37,8,0)-VLOOKUP(B639,#REF!,$F$2,0),0)</f>
        <v>0</v>
      </c>
      <c r="G639" s="9">
        <f>IFERROR(VLOOKUP(B639,cubo!$A$6:$BE$37,11,0)-VLOOKUP(B639,#REF!,$G$2,0),0)</f>
        <v>0</v>
      </c>
      <c r="H639" s="9">
        <f>IFERROR(VLOOKUP(B639,cubo!$A$6:$BE$37,53,0)-VLOOKUP(B639,#REF!,$H$2,0),0)</f>
        <v>0</v>
      </c>
      <c r="I639" s="10">
        <f>IFERROR(VLOOKUP(B639,cubo!$A$6:$BE$37,14,0)-VLOOKUP(B639,#REF!,$I$2,0),0)</f>
        <v>0</v>
      </c>
      <c r="J639" s="9">
        <f>IFERROR(VLOOKUP(B639,cubo!$A$6:$BE$37,16,0)-VLOOKUP(B639,#REF!,$J$2,0),0)</f>
        <v>0</v>
      </c>
      <c r="K639" s="9">
        <f>IFERROR(VLOOKUP(B639,cubo!$A$6:$BE$37,17,0)-VLOOKUP(B639,#REF!,$K$2,0),0)</f>
        <v>0</v>
      </c>
      <c r="L639" s="9">
        <f>IFERROR(VLOOKUP(B639,cubo!$A$6:$BE$37,19,0)-VLOOKUP(B639,#REF!,$L$2,0),0)</f>
        <v>0</v>
      </c>
      <c r="M639" s="9">
        <f>IFERROR(VLOOKUP(B639,cubo!$A$6:$BE$37,23,0)-VLOOKUP(B639,#REF!,$M$2,0),0)</f>
        <v>0</v>
      </c>
      <c r="N639" s="9">
        <f>IFERROR(VLOOKUP(B639,cubo!$A$6:$BE$37,25,0)-VLOOKUP(B639,#REF!,$N$2,0),0)</f>
        <v>0</v>
      </c>
      <c r="O639" s="9">
        <f>IFERROR(VLOOKUP(B639,cubo!$A$6:$BE$37,33,0)-VLOOKUP(B639,#REF!,$O$2,0),0)</f>
        <v>0</v>
      </c>
      <c r="P639" s="8">
        <f>IFERROR(VLOOKUP(B639,cubo!$A$6:$BE$37,37,0)-VLOOKUP(B639,#REF!,$P$2,0),0)</f>
        <v>0</v>
      </c>
      <c r="Q639" s="8">
        <f>IFERROR(VLOOKUP(B639,cubo!$A$6:$BE$37,56,0)-VLOOKUP(B639,#REF!,$Q$2,0),0)</f>
        <v>0</v>
      </c>
      <c r="R639" s="9">
        <f>IFERROR(VLOOKUP(B639,cubo!$A$6:$BE$37,40,0)-VLOOKUP(B639,#REF!,$R$2,0),0)</f>
        <v>0</v>
      </c>
      <c r="S639" s="9">
        <f>IFERROR(VLOOKUP(B639,cubo!$A$6:$BE$37,43,0)-VLOOKUP(B639,#REF!,$S$2,0),0)</f>
        <v>0</v>
      </c>
      <c r="T639" s="9">
        <f>IFERROR(VLOOKUP(B639,cubo!$A$6:$BE$37,46,0)-VLOOKUP(B639,#REF!,$T$2,0),0)</f>
        <v>0</v>
      </c>
      <c r="U639" s="9">
        <f>IFERROR(VLOOKUP(B639,cubo!$A$6:$BE$37,51,0)-VLOOKUP(B639,#REF!,$U$2,0),0)</f>
        <v>0</v>
      </c>
      <c r="V639" s="9">
        <f>IFERROR(VLOOKUP(B639,cubo!$A$6:$BJ$37,60,0)-VLOOKUP(B639,#REF!,$V$2,0),0)</f>
        <v>0</v>
      </c>
      <c r="W639" s="9">
        <f>IFERROR(VLOOKUP(B639,cubo!$A$6:$BE$37,26,0)-VLOOKUP(B639,#REF!,$W$2,0),0)</f>
        <v>0</v>
      </c>
      <c r="X639" s="9">
        <f>IFERROR(VLOOKUP(B639,cubo!$A$6:$BE$37,20,0)-VLOOKUP(B639,#REF!,$X$2,0),0)</f>
        <v>0</v>
      </c>
      <c r="Y639" s="9">
        <f>IFERROR(VLOOKUP(B639,cubo!$A$6:$BE$37,21,0)-VLOOKUP(B639,#REF!,$Y$2,0),0)</f>
        <v>0</v>
      </c>
      <c r="Z639" s="9">
        <f>IFERROR(VLOOKUP(B639,cubo!$A$6:$BE$37,27,0)-VLOOKUP(B639,#REF!,$Z$2,0),0)</f>
        <v>0</v>
      </c>
      <c r="AA639" s="9">
        <f>IFERROR(VLOOKUP(B639,cubo!$A$6:$BE$37,28,0)-VLOOKUP(B639,#REF!,$AA$2,0),0)</f>
        <v>0</v>
      </c>
      <c r="AB639" s="9">
        <f>IFERROR(VLOOKUP(B639,cubo!$A$6:$BE$37,29,0)-VLOOKUP(B639,#REF!,$AB$2,0),0)</f>
        <v>0</v>
      </c>
      <c r="AC639" s="9">
        <f>IFERROR(VLOOKUP(B639,cubo!$A$6:$BE$37,30,0)-VLOOKUP(B639,#REF!,$AC$2,0),0)</f>
        <v>0</v>
      </c>
      <c r="AD639" s="9">
        <f>IFERROR(VLOOKUP(B639,cubo!$A$6:$BE$37,31,0)-VLOOKUP(B639,#REF!,$AD$2,0),0)</f>
        <v>0</v>
      </c>
      <c r="AE639" s="9">
        <f>IFERROR(VLOOKUP(B639,cubo!$A$6:$BE$37,35,0)-VLOOKUP(B639,#REF!,$AE$2,0),0)</f>
        <v>0</v>
      </c>
      <c r="AF639" s="9" cm="1">
        <f t="array" aca="1" ref="AF639" ca="1">IFERROR(rrPROCV(B639,cubo!$A$6:$BE$37,48,0)-VLOOKUP(B639,#REF!,$AF$2,0),0)</f>
        <v>0</v>
      </c>
      <c r="AG639" s="9">
        <f>IFERROR(VLOOKUP(B639,cubo!$A$6:$BE$37,49,0)-VLOOKUP(B639,#REF!,$AG$2,0),0)</f>
        <v>0</v>
      </c>
      <c r="AH639" s="9">
        <f>IFERROR(VLOOKUP(B639,cubo!$A$6:$BE$37,50,0)-VLOOKUP(B639,#REF!,$AH$2,0),0)</f>
        <v>0</v>
      </c>
      <c r="AI639" s="9">
        <f>IFERROR(VLOOKUP(B639,cubo!$A$6:$BE$37,51,0)-VLOOKUP(B639,#REF!,$AI$2,0),0)</f>
        <v>0</v>
      </c>
      <c r="AJ639" s="9">
        <f>IFERROR(VLOOKUP(B639,cubo!$A$6:$BI$116,62,0)-VLOOKUP(B639,#REF!,$AJ$2,0),0)</f>
        <v>0</v>
      </c>
      <c r="AK639" s="9">
        <f>IFERROR(VLOOKUP(B639,cubo!$A$6:$BJ$37,63,0)-VLOOKUP(B639,#REF!,$AK$2,0),0)</f>
        <v>0</v>
      </c>
      <c r="AL639" s="9">
        <f>IFERROR(VLOOKUP(B639,cubo!$A$6:$BE$37,58,0)-VLOOKUP(B639,#REF!,$AL$2,0),0)</f>
        <v>0</v>
      </c>
      <c r="AM639" s="9">
        <f>IFERROR(VLOOKUP(B639,cubo!$A$6:$BK$37,64,0)-VLOOKUP(B639,#REF!,$AM$2,0),0)</f>
        <v>0</v>
      </c>
      <c r="AN639" s="9">
        <f>IFERROR(VLOOKUP(B639,cubo!$A$6:$AN$37,41,0)-VLOOKUP(B639,#REF!,$AN$2,0),0)</f>
        <v>0</v>
      </c>
    </row>
    <row r="640" spans="2:40" x14ac:dyDescent="0.25">
      <c r="B640" s="7">
        <f>[1]salario!A639</f>
        <v>0</v>
      </c>
      <c r="C640" s="8">
        <f>[1]salario!C639</f>
        <v>0</v>
      </c>
      <c r="D640" s="9">
        <f>IFERROR(VLOOKUP(B640,cubo!$A$6:$BE$37,3,0)-VLOOKUP(B640,#REF!,$D$2,0),0)</f>
        <v>0</v>
      </c>
      <c r="E640" s="10">
        <f>IFERROR(VLOOKUP(B640,cubo!$A$6:$BE$37,5,0)-VLOOKUP(B640,#REF!,$E$2,0),0)</f>
        <v>0</v>
      </c>
      <c r="F640" s="10">
        <f>IFERROR(VLOOKUP(B640,cubo!$A$6:$BE$37,8,0)-VLOOKUP(B640,#REF!,$F$2,0),0)</f>
        <v>0</v>
      </c>
      <c r="G640" s="9">
        <f>IFERROR(VLOOKUP(B640,cubo!$A$6:$BE$37,11,0)-VLOOKUP(B640,#REF!,$G$2,0),0)</f>
        <v>0</v>
      </c>
      <c r="H640" s="9">
        <f>IFERROR(VLOOKUP(B640,cubo!$A$6:$BE$37,53,0)-VLOOKUP(B640,#REF!,$H$2,0),0)</f>
        <v>0</v>
      </c>
      <c r="I640" s="10">
        <f>IFERROR(VLOOKUP(B640,cubo!$A$6:$BE$37,14,0)-VLOOKUP(B640,#REF!,$I$2,0),0)</f>
        <v>0</v>
      </c>
      <c r="J640" s="9">
        <f>IFERROR(VLOOKUP(B640,cubo!$A$6:$BE$37,16,0)-VLOOKUP(B640,#REF!,$J$2,0),0)</f>
        <v>0</v>
      </c>
      <c r="K640" s="9">
        <f>IFERROR(VLOOKUP(B640,cubo!$A$6:$BE$37,17,0)-VLOOKUP(B640,#REF!,$K$2,0),0)</f>
        <v>0</v>
      </c>
      <c r="L640" s="9">
        <f>IFERROR(VLOOKUP(B640,cubo!$A$6:$BE$37,19,0)-VLOOKUP(B640,#REF!,$L$2,0),0)</f>
        <v>0</v>
      </c>
      <c r="M640" s="9">
        <f>IFERROR(VLOOKUP(B640,cubo!$A$6:$BE$37,23,0)-VLOOKUP(B640,#REF!,$M$2,0),0)</f>
        <v>0</v>
      </c>
      <c r="N640" s="9">
        <f>IFERROR(VLOOKUP(B640,cubo!$A$6:$BE$37,25,0)-VLOOKUP(B640,#REF!,$N$2,0),0)</f>
        <v>0</v>
      </c>
      <c r="O640" s="9">
        <f>IFERROR(VLOOKUP(B640,cubo!$A$6:$BE$37,33,0)-VLOOKUP(B640,#REF!,$O$2,0),0)</f>
        <v>0</v>
      </c>
      <c r="P640" s="8">
        <f>IFERROR(VLOOKUP(B640,cubo!$A$6:$BE$37,37,0)-VLOOKUP(B640,#REF!,$P$2,0),0)</f>
        <v>0</v>
      </c>
      <c r="Q640" s="8">
        <f>IFERROR(VLOOKUP(B640,cubo!$A$6:$BE$37,56,0)-VLOOKUP(B640,#REF!,$Q$2,0),0)</f>
        <v>0</v>
      </c>
      <c r="R640" s="9">
        <f>IFERROR(VLOOKUP(B640,cubo!$A$6:$BE$37,40,0)-VLOOKUP(B640,#REF!,$R$2,0),0)</f>
        <v>0</v>
      </c>
      <c r="S640" s="9">
        <f>IFERROR(VLOOKUP(B640,cubo!$A$6:$BE$37,43,0)-VLOOKUP(B640,#REF!,$S$2,0),0)</f>
        <v>0</v>
      </c>
      <c r="T640" s="9">
        <f>IFERROR(VLOOKUP(B640,cubo!$A$6:$BE$37,46,0)-VLOOKUP(B640,#REF!,$T$2,0),0)</f>
        <v>0</v>
      </c>
      <c r="U640" s="9">
        <f>IFERROR(VLOOKUP(B640,cubo!$A$6:$BE$37,51,0)-VLOOKUP(B640,#REF!,$U$2,0),0)</f>
        <v>0</v>
      </c>
      <c r="V640" s="9">
        <f>IFERROR(VLOOKUP(B640,cubo!$A$6:$BJ$37,60,0)-VLOOKUP(B640,#REF!,$V$2,0),0)</f>
        <v>0</v>
      </c>
      <c r="W640" s="9">
        <f>IFERROR(VLOOKUP(B640,cubo!$A$6:$BE$37,26,0)-VLOOKUP(B640,#REF!,$W$2,0),0)</f>
        <v>0</v>
      </c>
      <c r="X640" s="9">
        <f>IFERROR(VLOOKUP(B640,cubo!$A$6:$BE$37,20,0)-VLOOKUP(B640,#REF!,$X$2,0),0)</f>
        <v>0</v>
      </c>
      <c r="Y640" s="9">
        <f>IFERROR(VLOOKUP(B640,cubo!$A$6:$BE$37,21,0)-VLOOKUP(B640,#REF!,$Y$2,0),0)</f>
        <v>0</v>
      </c>
      <c r="Z640" s="9">
        <f>IFERROR(VLOOKUP(B640,cubo!$A$6:$BE$37,27,0)-VLOOKUP(B640,#REF!,$Z$2,0),0)</f>
        <v>0</v>
      </c>
      <c r="AA640" s="9">
        <f>IFERROR(VLOOKUP(B640,cubo!$A$6:$BE$37,28,0)-VLOOKUP(B640,#REF!,$AA$2,0),0)</f>
        <v>0</v>
      </c>
      <c r="AB640" s="9">
        <f>IFERROR(VLOOKUP(B640,cubo!$A$6:$BE$37,29,0)-VLOOKUP(B640,#REF!,$AB$2,0),0)</f>
        <v>0</v>
      </c>
      <c r="AC640" s="9">
        <f>IFERROR(VLOOKUP(B640,cubo!$A$6:$BE$37,30,0)-VLOOKUP(B640,#REF!,$AC$2,0),0)</f>
        <v>0</v>
      </c>
      <c r="AD640" s="9">
        <f>IFERROR(VLOOKUP(B640,cubo!$A$6:$BE$37,31,0)-VLOOKUP(B640,#REF!,$AD$2,0),0)</f>
        <v>0</v>
      </c>
      <c r="AE640" s="9">
        <f>IFERROR(VLOOKUP(B640,cubo!$A$6:$BE$37,35,0)-VLOOKUP(B640,#REF!,$AE$2,0),0)</f>
        <v>0</v>
      </c>
      <c r="AF640" s="9" cm="1">
        <f t="array" aca="1" ref="AF640" ca="1">IFERROR(rrPROCV(B640,cubo!$A$6:$BE$37,48,0)-VLOOKUP(B640,#REF!,$AF$2,0),0)</f>
        <v>0</v>
      </c>
      <c r="AG640" s="9">
        <f>IFERROR(VLOOKUP(B640,cubo!$A$6:$BE$37,49,0)-VLOOKUP(B640,#REF!,$AG$2,0),0)</f>
        <v>0</v>
      </c>
      <c r="AH640" s="9">
        <f>IFERROR(VLOOKUP(B640,cubo!$A$6:$BE$37,50,0)-VLOOKUP(B640,#REF!,$AH$2,0),0)</f>
        <v>0</v>
      </c>
      <c r="AI640" s="9">
        <f>IFERROR(VLOOKUP(B640,cubo!$A$6:$BE$37,51,0)-VLOOKUP(B640,#REF!,$AI$2,0),0)</f>
        <v>0</v>
      </c>
      <c r="AJ640" s="9">
        <f>IFERROR(VLOOKUP(B640,cubo!$A$6:$BI$116,62,0)-VLOOKUP(B640,#REF!,$AJ$2,0),0)</f>
        <v>0</v>
      </c>
      <c r="AK640" s="9">
        <f>IFERROR(VLOOKUP(B640,cubo!$A$6:$BJ$37,63,0)-VLOOKUP(B640,#REF!,$AK$2,0),0)</f>
        <v>0</v>
      </c>
      <c r="AL640" s="9">
        <f>IFERROR(VLOOKUP(B640,cubo!$A$6:$BE$37,58,0)-VLOOKUP(B640,#REF!,$AL$2,0),0)</f>
        <v>0</v>
      </c>
      <c r="AM640" s="9">
        <f>IFERROR(VLOOKUP(B640,cubo!$A$6:$BK$37,64,0)-VLOOKUP(B640,#REF!,$AM$2,0),0)</f>
        <v>0</v>
      </c>
      <c r="AN640" s="9">
        <f>IFERROR(VLOOKUP(B640,cubo!$A$6:$AN$37,41,0)-VLOOKUP(B640,#REF!,$AN$2,0),0)</f>
        <v>0</v>
      </c>
    </row>
    <row r="641" spans="2:40" x14ac:dyDescent="0.25">
      <c r="B641" s="7">
        <f>[1]salario!A640</f>
        <v>0</v>
      </c>
      <c r="C641" s="8">
        <f>[1]salario!C640</f>
        <v>0</v>
      </c>
      <c r="D641" s="9">
        <f>IFERROR(VLOOKUP(B641,cubo!$A$6:$BE$37,3,0)-VLOOKUP(B641,#REF!,$D$2,0),0)</f>
        <v>0</v>
      </c>
      <c r="E641" s="10">
        <f>IFERROR(VLOOKUP(B641,cubo!$A$6:$BE$37,5,0)-VLOOKUP(B641,#REF!,$E$2,0),0)</f>
        <v>0</v>
      </c>
      <c r="F641" s="10">
        <f>IFERROR(VLOOKUP(B641,cubo!$A$6:$BE$37,8,0)-VLOOKUP(B641,#REF!,$F$2,0),0)</f>
        <v>0</v>
      </c>
      <c r="G641" s="9">
        <f>IFERROR(VLOOKUP(B641,cubo!$A$6:$BE$37,11,0)-VLOOKUP(B641,#REF!,$G$2,0),0)</f>
        <v>0</v>
      </c>
      <c r="H641" s="9">
        <f>IFERROR(VLOOKUP(B641,cubo!$A$6:$BE$37,53,0)-VLOOKUP(B641,#REF!,$H$2,0),0)</f>
        <v>0</v>
      </c>
      <c r="I641" s="10">
        <f>IFERROR(VLOOKUP(B641,cubo!$A$6:$BE$37,14,0)-VLOOKUP(B641,#REF!,$I$2,0),0)</f>
        <v>0</v>
      </c>
      <c r="J641" s="9">
        <f>IFERROR(VLOOKUP(B641,cubo!$A$6:$BE$37,16,0)-VLOOKUP(B641,#REF!,$J$2,0),0)</f>
        <v>0</v>
      </c>
      <c r="K641" s="9">
        <f>IFERROR(VLOOKUP(B641,cubo!$A$6:$BE$37,17,0)-VLOOKUP(B641,#REF!,$K$2,0),0)</f>
        <v>0</v>
      </c>
      <c r="L641" s="9">
        <f>IFERROR(VLOOKUP(B641,cubo!$A$6:$BE$37,19,0)-VLOOKUP(B641,#REF!,$L$2,0),0)</f>
        <v>0</v>
      </c>
      <c r="M641" s="9">
        <f>IFERROR(VLOOKUP(B641,cubo!$A$6:$BE$37,23,0)-VLOOKUP(B641,#REF!,$M$2,0),0)</f>
        <v>0</v>
      </c>
      <c r="N641" s="9">
        <f>IFERROR(VLOOKUP(B641,cubo!$A$6:$BE$37,25,0)-VLOOKUP(B641,#REF!,$N$2,0),0)</f>
        <v>0</v>
      </c>
      <c r="O641" s="9">
        <f>IFERROR(VLOOKUP(B641,cubo!$A$6:$BE$37,33,0)-VLOOKUP(B641,#REF!,$O$2,0),0)</f>
        <v>0</v>
      </c>
      <c r="P641" s="8">
        <f>IFERROR(VLOOKUP(B641,cubo!$A$6:$BE$37,37,0)-VLOOKUP(B641,#REF!,$P$2,0),0)</f>
        <v>0</v>
      </c>
      <c r="Q641" s="8">
        <f>IFERROR(VLOOKUP(B641,cubo!$A$6:$BE$37,56,0)-VLOOKUP(B641,#REF!,$Q$2,0),0)</f>
        <v>0</v>
      </c>
      <c r="R641" s="9">
        <f>IFERROR(VLOOKUP(B641,cubo!$A$6:$BE$37,40,0)-VLOOKUP(B641,#REF!,$R$2,0),0)</f>
        <v>0</v>
      </c>
      <c r="S641" s="9">
        <f>IFERROR(VLOOKUP(B641,cubo!$A$6:$BE$37,43,0)-VLOOKUP(B641,#REF!,$S$2,0),0)</f>
        <v>0</v>
      </c>
      <c r="T641" s="9">
        <f>IFERROR(VLOOKUP(B641,cubo!$A$6:$BE$37,46,0)-VLOOKUP(B641,#REF!,$T$2,0),0)</f>
        <v>0</v>
      </c>
      <c r="U641" s="9">
        <f>IFERROR(VLOOKUP(B641,cubo!$A$6:$BE$37,51,0)-VLOOKUP(B641,#REF!,$U$2,0),0)</f>
        <v>0</v>
      </c>
      <c r="V641" s="9">
        <f>IFERROR(VLOOKUP(B641,cubo!$A$6:$BJ$37,60,0)-VLOOKUP(B641,#REF!,$V$2,0),0)</f>
        <v>0</v>
      </c>
      <c r="W641" s="9">
        <f>IFERROR(VLOOKUP(B641,cubo!$A$6:$BE$37,26,0)-VLOOKUP(B641,#REF!,$W$2,0),0)</f>
        <v>0</v>
      </c>
      <c r="X641" s="9">
        <f>IFERROR(VLOOKUP(B641,cubo!$A$6:$BE$37,20,0)-VLOOKUP(B641,#REF!,$X$2,0),0)</f>
        <v>0</v>
      </c>
      <c r="Y641" s="9">
        <f>IFERROR(VLOOKUP(B641,cubo!$A$6:$BE$37,21,0)-VLOOKUP(B641,#REF!,$Y$2,0),0)</f>
        <v>0</v>
      </c>
      <c r="Z641" s="9">
        <f>IFERROR(VLOOKUP(B641,cubo!$A$6:$BE$37,27,0)-VLOOKUP(B641,#REF!,$Z$2,0),0)</f>
        <v>0</v>
      </c>
      <c r="AA641" s="9">
        <f>IFERROR(VLOOKUP(B641,cubo!$A$6:$BE$37,28,0)-VLOOKUP(B641,#REF!,$AA$2,0),0)</f>
        <v>0</v>
      </c>
      <c r="AB641" s="9">
        <f>IFERROR(VLOOKUP(B641,cubo!$A$6:$BE$37,29,0)-VLOOKUP(B641,#REF!,$AB$2,0),0)</f>
        <v>0</v>
      </c>
      <c r="AC641" s="9">
        <f>IFERROR(VLOOKUP(B641,cubo!$A$6:$BE$37,30,0)-VLOOKUP(B641,#REF!,$AC$2,0),0)</f>
        <v>0</v>
      </c>
      <c r="AD641" s="9">
        <f>IFERROR(VLOOKUP(B641,cubo!$A$6:$BE$37,31,0)-VLOOKUP(B641,#REF!,$AD$2,0),0)</f>
        <v>0</v>
      </c>
      <c r="AE641" s="9">
        <f>IFERROR(VLOOKUP(B641,cubo!$A$6:$BE$37,35,0)-VLOOKUP(B641,#REF!,$AE$2,0),0)</f>
        <v>0</v>
      </c>
      <c r="AF641" s="9" cm="1">
        <f t="array" aca="1" ref="AF641" ca="1">IFERROR(rrPROCV(B641,cubo!$A$6:$BE$37,48,0)-VLOOKUP(B641,#REF!,$AF$2,0),0)</f>
        <v>0</v>
      </c>
      <c r="AG641" s="9">
        <f>IFERROR(VLOOKUP(B641,cubo!$A$6:$BE$37,49,0)-VLOOKUP(B641,#REF!,$AG$2,0),0)</f>
        <v>0</v>
      </c>
      <c r="AH641" s="9">
        <f>IFERROR(VLOOKUP(B641,cubo!$A$6:$BE$37,50,0)-VLOOKUP(B641,#REF!,$AH$2,0),0)</f>
        <v>0</v>
      </c>
      <c r="AI641" s="9">
        <f>IFERROR(VLOOKUP(B641,cubo!$A$6:$BE$37,51,0)-VLOOKUP(B641,#REF!,$AI$2,0),0)</f>
        <v>0</v>
      </c>
      <c r="AJ641" s="9">
        <f>IFERROR(VLOOKUP(B641,cubo!$A$6:$BI$116,62,0)-VLOOKUP(B641,#REF!,$AJ$2,0),0)</f>
        <v>0</v>
      </c>
      <c r="AK641" s="9">
        <f>IFERROR(VLOOKUP(B641,cubo!$A$6:$BJ$37,63,0)-VLOOKUP(B641,#REF!,$AK$2,0),0)</f>
        <v>0</v>
      </c>
      <c r="AL641" s="9">
        <f>IFERROR(VLOOKUP(B641,cubo!$A$6:$BE$37,58,0)-VLOOKUP(B641,#REF!,$AL$2,0),0)</f>
        <v>0</v>
      </c>
      <c r="AM641" s="9">
        <f>IFERROR(VLOOKUP(B641,cubo!$A$6:$BK$37,64,0)-VLOOKUP(B641,#REF!,$AM$2,0),0)</f>
        <v>0</v>
      </c>
      <c r="AN641" s="9">
        <f>IFERROR(VLOOKUP(B641,cubo!$A$6:$AN$37,41,0)-VLOOKUP(B641,#REF!,$AN$2,0),0)</f>
        <v>0</v>
      </c>
    </row>
    <row r="642" spans="2:40" x14ac:dyDescent="0.25">
      <c r="B642" s="7">
        <f>[1]salario!A641</f>
        <v>0</v>
      </c>
      <c r="C642" s="8">
        <f>[1]salario!C641</f>
        <v>0</v>
      </c>
      <c r="D642" s="9">
        <f>IFERROR(VLOOKUP(B642,cubo!$A$6:$BE$37,3,0)-VLOOKUP(B642,#REF!,$D$2,0),0)</f>
        <v>0</v>
      </c>
      <c r="E642" s="10">
        <f>IFERROR(VLOOKUP(B642,cubo!$A$6:$BE$37,5,0)-VLOOKUP(B642,#REF!,$E$2,0),0)</f>
        <v>0</v>
      </c>
      <c r="F642" s="10">
        <f>IFERROR(VLOOKUP(B642,cubo!$A$6:$BE$37,8,0)-VLOOKUP(B642,#REF!,$F$2,0),0)</f>
        <v>0</v>
      </c>
      <c r="G642" s="9">
        <f>IFERROR(VLOOKUP(B642,cubo!$A$6:$BE$37,11,0)-VLOOKUP(B642,#REF!,$G$2,0),0)</f>
        <v>0</v>
      </c>
      <c r="H642" s="9">
        <f>IFERROR(VLOOKUP(B642,cubo!$A$6:$BE$37,53,0)-VLOOKUP(B642,#REF!,$H$2,0),0)</f>
        <v>0</v>
      </c>
      <c r="I642" s="10">
        <f>IFERROR(VLOOKUP(B642,cubo!$A$6:$BE$37,14,0)-VLOOKUP(B642,#REF!,$I$2,0),0)</f>
        <v>0</v>
      </c>
      <c r="J642" s="9">
        <f>IFERROR(VLOOKUP(B642,cubo!$A$6:$BE$37,16,0)-VLOOKUP(B642,#REF!,$J$2,0),0)</f>
        <v>0</v>
      </c>
      <c r="K642" s="9">
        <f>IFERROR(VLOOKUP(B642,cubo!$A$6:$BE$37,17,0)-VLOOKUP(B642,#REF!,$K$2,0),0)</f>
        <v>0</v>
      </c>
      <c r="L642" s="9">
        <f>IFERROR(VLOOKUP(B642,cubo!$A$6:$BE$37,19,0)-VLOOKUP(B642,#REF!,$L$2,0),0)</f>
        <v>0</v>
      </c>
      <c r="M642" s="9">
        <f>IFERROR(VLOOKUP(B642,cubo!$A$6:$BE$37,23,0)-VLOOKUP(B642,#REF!,$M$2,0),0)</f>
        <v>0</v>
      </c>
      <c r="N642" s="9">
        <f>IFERROR(VLOOKUP(B642,cubo!$A$6:$BE$37,25,0)-VLOOKUP(B642,#REF!,$N$2,0),0)</f>
        <v>0</v>
      </c>
      <c r="O642" s="9">
        <f>IFERROR(VLOOKUP(B642,cubo!$A$6:$BE$37,33,0)-VLOOKUP(B642,#REF!,$O$2,0),0)</f>
        <v>0</v>
      </c>
      <c r="P642" s="8">
        <f>IFERROR(VLOOKUP(B642,cubo!$A$6:$BE$37,37,0)-VLOOKUP(B642,#REF!,$P$2,0),0)</f>
        <v>0</v>
      </c>
      <c r="Q642" s="8">
        <f>IFERROR(VLOOKUP(B642,cubo!$A$6:$BE$37,56,0)-VLOOKUP(B642,#REF!,$Q$2,0),0)</f>
        <v>0</v>
      </c>
      <c r="R642" s="9">
        <f>IFERROR(VLOOKUP(B642,cubo!$A$6:$BE$37,40,0)-VLOOKUP(B642,#REF!,$R$2,0),0)</f>
        <v>0</v>
      </c>
      <c r="S642" s="9">
        <f>IFERROR(VLOOKUP(B642,cubo!$A$6:$BE$37,43,0)-VLOOKUP(B642,#REF!,$S$2,0),0)</f>
        <v>0</v>
      </c>
      <c r="T642" s="9">
        <f>IFERROR(VLOOKUP(B642,cubo!$A$6:$BE$37,46,0)-VLOOKUP(B642,#REF!,$T$2,0),0)</f>
        <v>0</v>
      </c>
      <c r="U642" s="9">
        <f>IFERROR(VLOOKUP(B642,cubo!$A$6:$BE$37,51,0)-VLOOKUP(B642,#REF!,$U$2,0),0)</f>
        <v>0</v>
      </c>
      <c r="V642" s="9">
        <f>IFERROR(VLOOKUP(B642,cubo!$A$6:$BJ$37,60,0)-VLOOKUP(B642,#REF!,$V$2,0),0)</f>
        <v>0</v>
      </c>
      <c r="W642" s="9">
        <f>IFERROR(VLOOKUP(B642,cubo!$A$6:$BE$37,26,0)-VLOOKUP(B642,#REF!,$W$2,0),0)</f>
        <v>0</v>
      </c>
      <c r="X642" s="9">
        <f>IFERROR(VLOOKUP(B642,cubo!$A$6:$BE$37,20,0)-VLOOKUP(B642,#REF!,$X$2,0),0)</f>
        <v>0</v>
      </c>
      <c r="Y642" s="9">
        <f>IFERROR(VLOOKUP(B642,cubo!$A$6:$BE$37,21,0)-VLOOKUP(B642,#REF!,$Y$2,0),0)</f>
        <v>0</v>
      </c>
      <c r="Z642" s="9">
        <f>IFERROR(VLOOKUP(B642,cubo!$A$6:$BE$37,27,0)-VLOOKUP(B642,#REF!,$Z$2,0),0)</f>
        <v>0</v>
      </c>
      <c r="AA642" s="9">
        <f>IFERROR(VLOOKUP(B642,cubo!$A$6:$BE$37,28,0)-VLOOKUP(B642,#REF!,$AA$2,0),0)</f>
        <v>0</v>
      </c>
      <c r="AB642" s="9">
        <f>IFERROR(VLOOKUP(B642,cubo!$A$6:$BE$37,29,0)-VLOOKUP(B642,#REF!,$AB$2,0),0)</f>
        <v>0</v>
      </c>
      <c r="AC642" s="9">
        <f>IFERROR(VLOOKUP(B642,cubo!$A$6:$BE$37,30,0)-VLOOKUP(B642,#REF!,$AC$2,0),0)</f>
        <v>0</v>
      </c>
      <c r="AD642" s="9">
        <f>IFERROR(VLOOKUP(B642,cubo!$A$6:$BE$37,31,0)-VLOOKUP(B642,#REF!,$AD$2,0),0)</f>
        <v>0</v>
      </c>
      <c r="AE642" s="9">
        <f>IFERROR(VLOOKUP(B642,cubo!$A$6:$BE$37,35,0)-VLOOKUP(B642,#REF!,$AE$2,0),0)</f>
        <v>0</v>
      </c>
      <c r="AF642" s="9" cm="1">
        <f t="array" aca="1" ref="AF642" ca="1">IFERROR(rrPROCV(B642,cubo!$A$6:$BE$37,48,0)-VLOOKUP(B642,#REF!,$AF$2,0),0)</f>
        <v>0</v>
      </c>
      <c r="AG642" s="9">
        <f>IFERROR(VLOOKUP(B642,cubo!$A$6:$BE$37,49,0)-VLOOKUP(B642,#REF!,$AG$2,0),0)</f>
        <v>0</v>
      </c>
      <c r="AH642" s="9">
        <f>IFERROR(VLOOKUP(B642,cubo!$A$6:$BE$37,50,0)-VLOOKUP(B642,#REF!,$AH$2,0),0)</f>
        <v>0</v>
      </c>
      <c r="AI642" s="9">
        <f>IFERROR(VLOOKUP(B642,cubo!$A$6:$BE$37,51,0)-VLOOKUP(B642,#REF!,$AI$2,0),0)</f>
        <v>0</v>
      </c>
      <c r="AJ642" s="9">
        <f>IFERROR(VLOOKUP(B642,cubo!$A$6:$BI$116,62,0)-VLOOKUP(B642,#REF!,$AJ$2,0),0)</f>
        <v>0</v>
      </c>
      <c r="AK642" s="9">
        <f>IFERROR(VLOOKUP(B642,cubo!$A$6:$BJ$37,63,0)-VLOOKUP(B642,#REF!,$AK$2,0),0)</f>
        <v>0</v>
      </c>
      <c r="AL642" s="9">
        <f>IFERROR(VLOOKUP(B642,cubo!$A$6:$BE$37,58,0)-VLOOKUP(B642,#REF!,$AL$2,0),0)</f>
        <v>0</v>
      </c>
      <c r="AM642" s="9">
        <f>IFERROR(VLOOKUP(B642,cubo!$A$6:$BK$37,64,0)-VLOOKUP(B642,#REF!,$AM$2,0),0)</f>
        <v>0</v>
      </c>
      <c r="AN642" s="9">
        <f>IFERROR(VLOOKUP(B642,cubo!$A$6:$AN$37,41,0)-VLOOKUP(B642,#REF!,$AN$2,0),0)</f>
        <v>0</v>
      </c>
    </row>
    <row r="643" spans="2:40" x14ac:dyDescent="0.25">
      <c r="B643" s="7">
        <f>[1]salario!A642</f>
        <v>0</v>
      </c>
      <c r="C643" s="8">
        <f>[1]salario!C642</f>
        <v>0</v>
      </c>
      <c r="D643" s="9">
        <f>IFERROR(VLOOKUP(B643,cubo!$A$6:$BE$37,3,0)-VLOOKUP(B643,#REF!,$D$2,0),0)</f>
        <v>0</v>
      </c>
      <c r="E643" s="10">
        <f>IFERROR(VLOOKUP(B643,cubo!$A$6:$BE$37,5,0)-VLOOKUP(B643,#REF!,$E$2,0),0)</f>
        <v>0</v>
      </c>
      <c r="F643" s="10">
        <f>IFERROR(VLOOKUP(B643,cubo!$A$6:$BE$37,8,0)-VLOOKUP(B643,#REF!,$F$2,0),0)</f>
        <v>0</v>
      </c>
      <c r="G643" s="9">
        <f>IFERROR(VLOOKUP(B643,cubo!$A$6:$BE$37,11,0)-VLOOKUP(B643,#REF!,$G$2,0),0)</f>
        <v>0</v>
      </c>
      <c r="H643" s="9">
        <f>IFERROR(VLOOKUP(B643,cubo!$A$6:$BE$37,53,0)-VLOOKUP(B643,#REF!,$H$2,0),0)</f>
        <v>0</v>
      </c>
      <c r="I643" s="10">
        <f>IFERROR(VLOOKUP(B643,cubo!$A$6:$BE$37,14,0)-VLOOKUP(B643,#REF!,$I$2,0),0)</f>
        <v>0</v>
      </c>
      <c r="J643" s="9">
        <f>IFERROR(VLOOKUP(B643,cubo!$A$6:$BE$37,16,0)-VLOOKUP(B643,#REF!,$J$2,0),0)</f>
        <v>0</v>
      </c>
      <c r="K643" s="9">
        <f>IFERROR(VLOOKUP(B643,cubo!$A$6:$BE$37,17,0)-VLOOKUP(B643,#REF!,$K$2,0),0)</f>
        <v>0</v>
      </c>
      <c r="L643" s="9">
        <f>IFERROR(VLOOKUP(B643,cubo!$A$6:$BE$37,19,0)-VLOOKUP(B643,#REF!,$L$2,0),0)</f>
        <v>0</v>
      </c>
      <c r="M643" s="9">
        <f>IFERROR(VLOOKUP(B643,cubo!$A$6:$BE$37,23,0)-VLOOKUP(B643,#REF!,$M$2,0),0)</f>
        <v>0</v>
      </c>
      <c r="N643" s="9">
        <f>IFERROR(VLOOKUP(B643,cubo!$A$6:$BE$37,25,0)-VLOOKUP(B643,#REF!,$N$2,0),0)</f>
        <v>0</v>
      </c>
      <c r="O643" s="9">
        <f>IFERROR(VLOOKUP(B643,cubo!$A$6:$BE$37,33,0)-VLOOKUP(B643,#REF!,$O$2,0),0)</f>
        <v>0</v>
      </c>
      <c r="P643" s="8">
        <f>IFERROR(VLOOKUP(B643,cubo!$A$6:$BE$37,37,0)-VLOOKUP(B643,#REF!,$P$2,0),0)</f>
        <v>0</v>
      </c>
      <c r="Q643" s="8">
        <f>IFERROR(VLOOKUP(B643,cubo!$A$6:$BE$37,56,0)-VLOOKUP(B643,#REF!,$Q$2,0),0)</f>
        <v>0</v>
      </c>
      <c r="R643" s="9">
        <f>IFERROR(VLOOKUP(B643,cubo!$A$6:$BE$37,40,0)-VLOOKUP(B643,#REF!,$R$2,0),0)</f>
        <v>0</v>
      </c>
      <c r="S643" s="9">
        <f>IFERROR(VLOOKUP(B643,cubo!$A$6:$BE$37,43,0)-VLOOKUP(B643,#REF!,$S$2,0),0)</f>
        <v>0</v>
      </c>
      <c r="T643" s="9">
        <f>IFERROR(VLOOKUP(B643,cubo!$A$6:$BE$37,46,0)-VLOOKUP(B643,#REF!,$T$2,0),0)</f>
        <v>0</v>
      </c>
      <c r="U643" s="9">
        <f>IFERROR(VLOOKUP(B643,cubo!$A$6:$BE$37,51,0)-VLOOKUP(B643,#REF!,$U$2,0),0)</f>
        <v>0</v>
      </c>
      <c r="V643" s="9">
        <f>IFERROR(VLOOKUP(B643,cubo!$A$6:$BJ$37,60,0)-VLOOKUP(B643,#REF!,$V$2,0),0)</f>
        <v>0</v>
      </c>
      <c r="W643" s="9">
        <f>IFERROR(VLOOKUP(B643,cubo!$A$6:$BE$37,26,0)-VLOOKUP(B643,#REF!,$W$2,0),0)</f>
        <v>0</v>
      </c>
      <c r="X643" s="9">
        <f>IFERROR(VLOOKUP(B643,cubo!$A$6:$BE$37,20,0)-VLOOKUP(B643,#REF!,$X$2,0),0)</f>
        <v>0</v>
      </c>
      <c r="Y643" s="9">
        <f>IFERROR(VLOOKUP(B643,cubo!$A$6:$BE$37,21,0)-VLOOKUP(B643,#REF!,$Y$2,0),0)</f>
        <v>0</v>
      </c>
      <c r="Z643" s="9">
        <f>IFERROR(VLOOKUP(B643,cubo!$A$6:$BE$37,27,0)-VLOOKUP(B643,#REF!,$Z$2,0),0)</f>
        <v>0</v>
      </c>
      <c r="AA643" s="9">
        <f>IFERROR(VLOOKUP(B643,cubo!$A$6:$BE$37,28,0)-VLOOKUP(B643,#REF!,$AA$2,0),0)</f>
        <v>0</v>
      </c>
      <c r="AB643" s="9">
        <f>IFERROR(VLOOKUP(B643,cubo!$A$6:$BE$37,29,0)-VLOOKUP(B643,#REF!,$AB$2,0),0)</f>
        <v>0</v>
      </c>
      <c r="AC643" s="9">
        <f>IFERROR(VLOOKUP(B643,cubo!$A$6:$BE$37,30,0)-VLOOKUP(B643,#REF!,$AC$2,0),0)</f>
        <v>0</v>
      </c>
      <c r="AD643" s="9">
        <f>IFERROR(VLOOKUP(B643,cubo!$A$6:$BE$37,31,0)-VLOOKUP(B643,#REF!,$AD$2,0),0)</f>
        <v>0</v>
      </c>
      <c r="AE643" s="9">
        <f>IFERROR(VLOOKUP(B643,cubo!$A$6:$BE$37,35,0)-VLOOKUP(B643,#REF!,$AE$2,0),0)</f>
        <v>0</v>
      </c>
      <c r="AF643" s="9" cm="1">
        <f t="array" aca="1" ref="AF643" ca="1">IFERROR(rrPROCV(B643,cubo!$A$6:$BE$37,48,0)-VLOOKUP(B643,#REF!,$AF$2,0),0)</f>
        <v>0</v>
      </c>
      <c r="AG643" s="9">
        <f>IFERROR(VLOOKUP(B643,cubo!$A$6:$BE$37,49,0)-VLOOKUP(B643,#REF!,$AG$2,0),0)</f>
        <v>0</v>
      </c>
      <c r="AH643" s="9">
        <f>IFERROR(VLOOKUP(B643,cubo!$A$6:$BE$37,50,0)-VLOOKUP(B643,#REF!,$AH$2,0),0)</f>
        <v>0</v>
      </c>
      <c r="AI643" s="9">
        <f>IFERROR(VLOOKUP(B643,cubo!$A$6:$BE$37,51,0)-VLOOKUP(B643,#REF!,$AI$2,0),0)</f>
        <v>0</v>
      </c>
      <c r="AJ643" s="9">
        <f>IFERROR(VLOOKUP(B643,cubo!$A$6:$BI$116,62,0)-VLOOKUP(B643,#REF!,$AJ$2,0),0)</f>
        <v>0</v>
      </c>
      <c r="AK643" s="9">
        <f>IFERROR(VLOOKUP(B643,cubo!$A$6:$BJ$37,63,0)-VLOOKUP(B643,#REF!,$AK$2,0),0)</f>
        <v>0</v>
      </c>
      <c r="AL643" s="9">
        <f>IFERROR(VLOOKUP(B643,cubo!$A$6:$BE$37,58,0)-VLOOKUP(B643,#REF!,$AL$2,0),0)</f>
        <v>0</v>
      </c>
      <c r="AM643" s="9">
        <f>IFERROR(VLOOKUP(B643,cubo!$A$6:$BK$37,64,0)-VLOOKUP(B643,#REF!,$AM$2,0),0)</f>
        <v>0</v>
      </c>
      <c r="AN643" s="9">
        <f>IFERROR(VLOOKUP(B643,cubo!$A$6:$AN$37,41,0)-VLOOKUP(B643,#REF!,$AN$2,0),0)</f>
        <v>0</v>
      </c>
    </row>
    <row r="644" spans="2:40" x14ac:dyDescent="0.25">
      <c r="B644" s="7">
        <f>[1]salario!A643</f>
        <v>0</v>
      </c>
      <c r="C644" s="8">
        <f>[1]salario!C643</f>
        <v>0</v>
      </c>
      <c r="D644" s="9">
        <f>IFERROR(VLOOKUP(B644,cubo!$A$6:$BE$37,3,0)-VLOOKUP(B644,#REF!,$D$2,0),0)</f>
        <v>0</v>
      </c>
      <c r="E644" s="10">
        <f>IFERROR(VLOOKUP(B644,cubo!$A$6:$BE$37,5,0)-VLOOKUP(B644,#REF!,$E$2,0),0)</f>
        <v>0</v>
      </c>
      <c r="F644" s="10">
        <f>IFERROR(VLOOKUP(B644,cubo!$A$6:$BE$37,8,0)-VLOOKUP(B644,#REF!,$F$2,0),0)</f>
        <v>0</v>
      </c>
      <c r="G644" s="9">
        <f>IFERROR(VLOOKUP(B644,cubo!$A$6:$BE$37,11,0)-VLOOKUP(B644,#REF!,$G$2,0),0)</f>
        <v>0</v>
      </c>
      <c r="H644" s="9">
        <f>IFERROR(VLOOKUP(B644,cubo!$A$6:$BE$37,53,0)-VLOOKUP(B644,#REF!,$H$2,0),0)</f>
        <v>0</v>
      </c>
      <c r="I644" s="10">
        <f>IFERROR(VLOOKUP(B644,cubo!$A$6:$BE$37,14,0)-VLOOKUP(B644,#REF!,$I$2,0),0)</f>
        <v>0</v>
      </c>
      <c r="J644" s="9">
        <f>IFERROR(VLOOKUP(B644,cubo!$A$6:$BE$37,16,0)-VLOOKUP(B644,#REF!,$J$2,0),0)</f>
        <v>0</v>
      </c>
      <c r="K644" s="9">
        <f>IFERROR(VLOOKUP(B644,cubo!$A$6:$BE$37,17,0)-VLOOKUP(B644,#REF!,$K$2,0),0)</f>
        <v>0</v>
      </c>
      <c r="L644" s="9">
        <f>IFERROR(VLOOKUP(B644,cubo!$A$6:$BE$37,19,0)-VLOOKUP(B644,#REF!,$L$2,0),0)</f>
        <v>0</v>
      </c>
      <c r="M644" s="9">
        <f>IFERROR(VLOOKUP(B644,cubo!$A$6:$BE$37,23,0)-VLOOKUP(B644,#REF!,$M$2,0),0)</f>
        <v>0</v>
      </c>
      <c r="N644" s="9">
        <f>IFERROR(VLOOKUP(B644,cubo!$A$6:$BE$37,25,0)-VLOOKUP(B644,#REF!,$N$2,0),0)</f>
        <v>0</v>
      </c>
      <c r="O644" s="9">
        <f>IFERROR(VLOOKUP(B644,cubo!$A$6:$BE$37,33,0)-VLOOKUP(B644,#REF!,$O$2,0),0)</f>
        <v>0</v>
      </c>
      <c r="P644" s="8">
        <f>IFERROR(VLOOKUP(B644,cubo!$A$6:$BE$37,37,0)-VLOOKUP(B644,#REF!,$P$2,0),0)</f>
        <v>0</v>
      </c>
      <c r="Q644" s="8">
        <f>IFERROR(VLOOKUP(B644,cubo!$A$6:$BE$37,56,0)-VLOOKUP(B644,#REF!,$Q$2,0),0)</f>
        <v>0</v>
      </c>
      <c r="R644" s="9">
        <f>IFERROR(VLOOKUP(B644,cubo!$A$6:$BE$37,40,0)-VLOOKUP(B644,#REF!,$R$2,0),0)</f>
        <v>0</v>
      </c>
      <c r="S644" s="9">
        <f>IFERROR(VLOOKUP(B644,cubo!$A$6:$BE$37,43,0)-VLOOKUP(B644,#REF!,$S$2,0),0)</f>
        <v>0</v>
      </c>
      <c r="T644" s="9">
        <f>IFERROR(VLOOKUP(B644,cubo!$A$6:$BE$37,46,0)-VLOOKUP(B644,#REF!,$T$2,0),0)</f>
        <v>0</v>
      </c>
      <c r="U644" s="9">
        <f>IFERROR(VLOOKUP(B644,cubo!$A$6:$BE$37,51,0)-VLOOKUP(B644,#REF!,$U$2,0),0)</f>
        <v>0</v>
      </c>
      <c r="V644" s="9">
        <f>IFERROR(VLOOKUP(B644,cubo!$A$6:$BJ$37,60,0)-VLOOKUP(B644,#REF!,$V$2,0),0)</f>
        <v>0</v>
      </c>
      <c r="W644" s="9">
        <f>IFERROR(VLOOKUP(B644,cubo!$A$6:$BE$37,26,0)-VLOOKUP(B644,#REF!,$W$2,0),0)</f>
        <v>0</v>
      </c>
      <c r="X644" s="9">
        <f>IFERROR(VLOOKUP(B644,cubo!$A$6:$BE$37,20,0)-VLOOKUP(B644,#REF!,$X$2,0),0)</f>
        <v>0</v>
      </c>
      <c r="Y644" s="9">
        <f>IFERROR(VLOOKUP(B644,cubo!$A$6:$BE$37,21,0)-VLOOKUP(B644,#REF!,$Y$2,0),0)</f>
        <v>0</v>
      </c>
      <c r="Z644" s="9">
        <f>IFERROR(VLOOKUP(B644,cubo!$A$6:$BE$37,27,0)-VLOOKUP(B644,#REF!,$Z$2,0),0)</f>
        <v>0</v>
      </c>
      <c r="AA644" s="9">
        <f>IFERROR(VLOOKUP(B644,cubo!$A$6:$BE$37,28,0)-VLOOKUP(B644,#REF!,$AA$2,0),0)</f>
        <v>0</v>
      </c>
      <c r="AB644" s="9">
        <f>IFERROR(VLOOKUP(B644,cubo!$A$6:$BE$37,29,0)-VLOOKUP(B644,#REF!,$AB$2,0),0)</f>
        <v>0</v>
      </c>
      <c r="AC644" s="9">
        <f>IFERROR(VLOOKUP(B644,cubo!$A$6:$BE$37,30,0)-VLOOKUP(B644,#REF!,$AC$2,0),0)</f>
        <v>0</v>
      </c>
      <c r="AD644" s="9">
        <f>IFERROR(VLOOKUP(B644,cubo!$A$6:$BE$37,31,0)-VLOOKUP(B644,#REF!,$AD$2,0),0)</f>
        <v>0</v>
      </c>
      <c r="AE644" s="9">
        <f>IFERROR(VLOOKUP(B644,cubo!$A$6:$BE$37,35,0)-VLOOKUP(B644,#REF!,$AE$2,0),0)</f>
        <v>0</v>
      </c>
      <c r="AF644" s="9" cm="1">
        <f t="array" aca="1" ref="AF644" ca="1">IFERROR(rrPROCV(B644,cubo!$A$6:$BE$37,48,0)-VLOOKUP(B644,#REF!,$AF$2,0),0)</f>
        <v>0</v>
      </c>
      <c r="AG644" s="9">
        <f>IFERROR(VLOOKUP(B644,cubo!$A$6:$BE$37,49,0)-VLOOKUP(B644,#REF!,$AG$2,0),0)</f>
        <v>0</v>
      </c>
      <c r="AH644" s="9">
        <f>IFERROR(VLOOKUP(B644,cubo!$A$6:$BE$37,50,0)-VLOOKUP(B644,#REF!,$AH$2,0),0)</f>
        <v>0</v>
      </c>
      <c r="AI644" s="9">
        <f>IFERROR(VLOOKUP(B644,cubo!$A$6:$BE$37,51,0)-VLOOKUP(B644,#REF!,$AI$2,0),0)</f>
        <v>0</v>
      </c>
      <c r="AJ644" s="9">
        <f>IFERROR(VLOOKUP(B644,cubo!$A$6:$BI$116,62,0)-VLOOKUP(B644,#REF!,$AJ$2,0),0)</f>
        <v>0</v>
      </c>
      <c r="AK644" s="9">
        <f>IFERROR(VLOOKUP(B644,cubo!$A$6:$BJ$37,63,0)-VLOOKUP(B644,#REF!,$AK$2,0),0)</f>
        <v>0</v>
      </c>
      <c r="AL644" s="9">
        <f>IFERROR(VLOOKUP(B644,cubo!$A$6:$BE$37,58,0)-VLOOKUP(B644,#REF!,$AL$2,0),0)</f>
        <v>0</v>
      </c>
      <c r="AM644" s="9">
        <f>IFERROR(VLOOKUP(B644,cubo!$A$6:$BK$37,64,0)-VLOOKUP(B644,#REF!,$AM$2,0),0)</f>
        <v>0</v>
      </c>
      <c r="AN644" s="9">
        <f>IFERROR(VLOOKUP(B644,cubo!$A$6:$AN$37,41,0)-VLOOKUP(B644,#REF!,$AN$2,0),0)</f>
        <v>0</v>
      </c>
    </row>
    <row r="645" spans="2:40" x14ac:dyDescent="0.25">
      <c r="B645" s="7">
        <f>[1]salario!A644</f>
        <v>0</v>
      </c>
      <c r="C645" s="8">
        <f>[1]salario!C644</f>
        <v>0</v>
      </c>
      <c r="D645" s="9">
        <f>IFERROR(VLOOKUP(B645,cubo!$A$6:$BE$37,3,0)-VLOOKUP(B645,#REF!,$D$2,0),0)</f>
        <v>0</v>
      </c>
      <c r="E645" s="10">
        <f>IFERROR(VLOOKUP(B645,cubo!$A$6:$BE$37,5,0)-VLOOKUP(B645,#REF!,$E$2,0),0)</f>
        <v>0</v>
      </c>
      <c r="F645" s="10">
        <f>IFERROR(VLOOKUP(B645,cubo!$A$6:$BE$37,8,0)-VLOOKUP(B645,#REF!,$F$2,0),0)</f>
        <v>0</v>
      </c>
      <c r="G645" s="9">
        <f>IFERROR(VLOOKUP(B645,cubo!$A$6:$BE$37,11,0)-VLOOKUP(B645,#REF!,$G$2,0),0)</f>
        <v>0</v>
      </c>
      <c r="H645" s="9">
        <f>IFERROR(VLOOKUP(B645,cubo!$A$6:$BE$37,53,0)-VLOOKUP(B645,#REF!,$H$2,0),0)</f>
        <v>0</v>
      </c>
      <c r="I645" s="10">
        <f>IFERROR(VLOOKUP(B645,cubo!$A$6:$BE$37,14,0)-VLOOKUP(B645,#REF!,$I$2,0),0)</f>
        <v>0</v>
      </c>
      <c r="J645" s="9">
        <f>IFERROR(VLOOKUP(B645,cubo!$A$6:$BE$37,16,0)-VLOOKUP(B645,#REF!,$J$2,0),0)</f>
        <v>0</v>
      </c>
      <c r="K645" s="9">
        <f>IFERROR(VLOOKUP(B645,cubo!$A$6:$BE$37,17,0)-VLOOKUP(B645,#REF!,$K$2,0),0)</f>
        <v>0</v>
      </c>
      <c r="L645" s="9">
        <f>IFERROR(VLOOKUP(B645,cubo!$A$6:$BE$37,19,0)-VLOOKUP(B645,#REF!,$L$2,0),0)</f>
        <v>0</v>
      </c>
      <c r="M645" s="9">
        <f>IFERROR(VLOOKUP(B645,cubo!$A$6:$BE$37,23,0)-VLOOKUP(B645,#REF!,$M$2,0),0)</f>
        <v>0</v>
      </c>
      <c r="N645" s="9">
        <f>IFERROR(VLOOKUP(B645,cubo!$A$6:$BE$37,25,0)-VLOOKUP(B645,#REF!,$N$2,0),0)</f>
        <v>0</v>
      </c>
      <c r="O645" s="9">
        <f>IFERROR(VLOOKUP(B645,cubo!$A$6:$BE$37,33,0)-VLOOKUP(B645,#REF!,$O$2,0),0)</f>
        <v>0</v>
      </c>
      <c r="P645" s="8">
        <f>IFERROR(VLOOKUP(B645,cubo!$A$6:$BE$37,37,0)-VLOOKUP(B645,#REF!,$P$2,0),0)</f>
        <v>0</v>
      </c>
      <c r="Q645" s="8">
        <f>IFERROR(VLOOKUP(B645,cubo!$A$6:$BE$37,56,0)-VLOOKUP(B645,#REF!,$Q$2,0),0)</f>
        <v>0</v>
      </c>
      <c r="R645" s="9">
        <f>IFERROR(VLOOKUP(B645,cubo!$A$6:$BE$37,40,0)-VLOOKUP(B645,#REF!,$R$2,0),0)</f>
        <v>0</v>
      </c>
      <c r="S645" s="9">
        <f>IFERROR(VLOOKUP(B645,cubo!$A$6:$BE$37,43,0)-VLOOKUP(B645,#REF!,$S$2,0),0)</f>
        <v>0</v>
      </c>
      <c r="T645" s="9">
        <f>IFERROR(VLOOKUP(B645,cubo!$A$6:$BE$37,46,0)-VLOOKUP(B645,#REF!,$T$2,0),0)</f>
        <v>0</v>
      </c>
      <c r="U645" s="9">
        <f>IFERROR(VLOOKUP(B645,cubo!$A$6:$BE$37,51,0)-VLOOKUP(B645,#REF!,$U$2,0),0)</f>
        <v>0</v>
      </c>
      <c r="V645" s="9">
        <f>IFERROR(VLOOKUP(B645,cubo!$A$6:$BJ$37,60,0)-VLOOKUP(B645,#REF!,$V$2,0),0)</f>
        <v>0</v>
      </c>
      <c r="W645" s="9">
        <f>IFERROR(VLOOKUP(B645,cubo!$A$6:$BE$37,26,0)-VLOOKUP(B645,#REF!,$W$2,0),0)</f>
        <v>0</v>
      </c>
      <c r="X645" s="9">
        <f>IFERROR(VLOOKUP(B645,cubo!$A$6:$BE$37,20,0)-VLOOKUP(B645,#REF!,$X$2,0),0)</f>
        <v>0</v>
      </c>
      <c r="Y645" s="9">
        <f>IFERROR(VLOOKUP(B645,cubo!$A$6:$BE$37,21,0)-VLOOKUP(B645,#REF!,$Y$2,0),0)</f>
        <v>0</v>
      </c>
      <c r="Z645" s="9">
        <f>IFERROR(VLOOKUP(B645,cubo!$A$6:$BE$37,27,0)-VLOOKUP(B645,#REF!,$Z$2,0),0)</f>
        <v>0</v>
      </c>
      <c r="AA645" s="9">
        <f>IFERROR(VLOOKUP(B645,cubo!$A$6:$BE$37,28,0)-VLOOKUP(B645,#REF!,$AA$2,0),0)</f>
        <v>0</v>
      </c>
      <c r="AB645" s="9">
        <f>IFERROR(VLOOKUP(B645,cubo!$A$6:$BE$37,29,0)-VLOOKUP(B645,#REF!,$AB$2,0),0)</f>
        <v>0</v>
      </c>
      <c r="AC645" s="9">
        <f>IFERROR(VLOOKUP(B645,cubo!$A$6:$BE$37,30,0)-VLOOKUP(B645,#REF!,$AC$2,0),0)</f>
        <v>0</v>
      </c>
      <c r="AD645" s="9">
        <f>IFERROR(VLOOKUP(B645,cubo!$A$6:$BE$37,31,0)-VLOOKUP(B645,#REF!,$AD$2,0),0)</f>
        <v>0</v>
      </c>
      <c r="AE645" s="9">
        <f>IFERROR(VLOOKUP(B645,cubo!$A$6:$BE$37,35,0)-VLOOKUP(B645,#REF!,$AE$2,0),0)</f>
        <v>0</v>
      </c>
      <c r="AF645" s="9" cm="1">
        <f t="array" aca="1" ref="AF645" ca="1">IFERROR(rrPROCV(B645,cubo!$A$6:$BE$37,48,0)-VLOOKUP(B645,#REF!,$AF$2,0),0)</f>
        <v>0</v>
      </c>
      <c r="AG645" s="9">
        <f>IFERROR(VLOOKUP(B645,cubo!$A$6:$BE$37,49,0)-VLOOKUP(B645,#REF!,$AG$2,0),0)</f>
        <v>0</v>
      </c>
      <c r="AH645" s="9">
        <f>IFERROR(VLOOKUP(B645,cubo!$A$6:$BE$37,50,0)-VLOOKUP(B645,#REF!,$AH$2,0),0)</f>
        <v>0</v>
      </c>
      <c r="AI645" s="9">
        <f>IFERROR(VLOOKUP(B645,cubo!$A$6:$BE$37,51,0)-VLOOKUP(B645,#REF!,$AI$2,0),0)</f>
        <v>0</v>
      </c>
      <c r="AJ645" s="9">
        <f>IFERROR(VLOOKUP(B645,cubo!$A$6:$BI$116,62,0)-VLOOKUP(B645,#REF!,$AJ$2,0),0)</f>
        <v>0</v>
      </c>
      <c r="AK645" s="9">
        <f>IFERROR(VLOOKUP(B645,cubo!$A$6:$BJ$37,63,0)-VLOOKUP(B645,#REF!,$AK$2,0),0)</f>
        <v>0</v>
      </c>
      <c r="AL645" s="9">
        <f>IFERROR(VLOOKUP(B645,cubo!$A$6:$BE$37,58,0)-VLOOKUP(B645,#REF!,$AL$2,0),0)</f>
        <v>0</v>
      </c>
      <c r="AM645" s="9">
        <f>IFERROR(VLOOKUP(B645,cubo!$A$6:$BK$37,64,0)-VLOOKUP(B645,#REF!,$AM$2,0),0)</f>
        <v>0</v>
      </c>
      <c r="AN645" s="9">
        <f>IFERROR(VLOOKUP(B645,cubo!$A$6:$AN$37,41,0)-VLOOKUP(B645,#REF!,$AN$2,0),0)</f>
        <v>0</v>
      </c>
    </row>
    <row r="646" spans="2:40" x14ac:dyDescent="0.25">
      <c r="B646" s="7">
        <f>[1]salario!A645</f>
        <v>0</v>
      </c>
      <c r="C646" s="8">
        <f>[1]salario!C645</f>
        <v>0</v>
      </c>
      <c r="D646" s="9">
        <f>IFERROR(VLOOKUP(B646,cubo!$A$6:$BE$37,3,0)-VLOOKUP(B646,#REF!,$D$2,0),0)</f>
        <v>0</v>
      </c>
      <c r="E646" s="10">
        <f>IFERROR(VLOOKUP(B646,cubo!$A$6:$BE$37,5,0)-VLOOKUP(B646,#REF!,$E$2,0),0)</f>
        <v>0</v>
      </c>
      <c r="F646" s="10">
        <f>IFERROR(VLOOKUP(B646,cubo!$A$6:$BE$37,8,0)-VLOOKUP(B646,#REF!,$F$2,0),0)</f>
        <v>0</v>
      </c>
      <c r="G646" s="9">
        <f>IFERROR(VLOOKUP(B646,cubo!$A$6:$BE$37,11,0)-VLOOKUP(B646,#REF!,$G$2,0),0)</f>
        <v>0</v>
      </c>
      <c r="H646" s="9">
        <f>IFERROR(VLOOKUP(B646,cubo!$A$6:$BE$37,53,0)-VLOOKUP(B646,#REF!,$H$2,0),0)</f>
        <v>0</v>
      </c>
      <c r="I646" s="10">
        <f>IFERROR(VLOOKUP(B646,cubo!$A$6:$BE$37,14,0)-VLOOKUP(B646,#REF!,$I$2,0),0)</f>
        <v>0</v>
      </c>
      <c r="J646" s="9">
        <f>IFERROR(VLOOKUP(B646,cubo!$A$6:$BE$37,16,0)-VLOOKUP(B646,#REF!,$J$2,0),0)</f>
        <v>0</v>
      </c>
      <c r="K646" s="9">
        <f>IFERROR(VLOOKUP(B646,cubo!$A$6:$BE$37,17,0)-VLOOKUP(B646,#REF!,$K$2,0),0)</f>
        <v>0</v>
      </c>
      <c r="L646" s="9">
        <f>IFERROR(VLOOKUP(B646,cubo!$A$6:$BE$37,19,0)-VLOOKUP(B646,#REF!,$L$2,0),0)</f>
        <v>0</v>
      </c>
      <c r="M646" s="9">
        <f>IFERROR(VLOOKUP(B646,cubo!$A$6:$BE$37,23,0)-VLOOKUP(B646,#REF!,$M$2,0),0)</f>
        <v>0</v>
      </c>
      <c r="N646" s="9">
        <f>IFERROR(VLOOKUP(B646,cubo!$A$6:$BE$37,25,0)-VLOOKUP(B646,#REF!,$N$2,0),0)</f>
        <v>0</v>
      </c>
      <c r="O646" s="9">
        <f>IFERROR(VLOOKUP(B646,cubo!$A$6:$BE$37,33,0)-VLOOKUP(B646,#REF!,$O$2,0),0)</f>
        <v>0</v>
      </c>
      <c r="P646" s="8">
        <f>IFERROR(VLOOKUP(B646,cubo!$A$6:$BE$37,37,0)-VLOOKUP(B646,#REF!,$P$2,0),0)</f>
        <v>0</v>
      </c>
      <c r="Q646" s="8">
        <f>IFERROR(VLOOKUP(B646,cubo!$A$6:$BE$37,56,0)-VLOOKUP(B646,#REF!,$Q$2,0),0)</f>
        <v>0</v>
      </c>
      <c r="R646" s="9">
        <f>IFERROR(VLOOKUP(B646,cubo!$A$6:$BE$37,40,0)-VLOOKUP(B646,#REF!,$R$2,0),0)</f>
        <v>0</v>
      </c>
      <c r="S646" s="9">
        <f>IFERROR(VLOOKUP(B646,cubo!$A$6:$BE$37,43,0)-VLOOKUP(B646,#REF!,$S$2,0),0)</f>
        <v>0</v>
      </c>
      <c r="T646" s="9">
        <f>IFERROR(VLOOKUP(B646,cubo!$A$6:$BE$37,46,0)-VLOOKUP(B646,#REF!,$T$2,0),0)</f>
        <v>0</v>
      </c>
      <c r="U646" s="9">
        <f>IFERROR(VLOOKUP(B646,cubo!$A$6:$BE$37,51,0)-VLOOKUP(B646,#REF!,$U$2,0),0)</f>
        <v>0</v>
      </c>
      <c r="V646" s="9">
        <f>IFERROR(VLOOKUP(B646,cubo!$A$6:$BJ$37,60,0)-VLOOKUP(B646,#REF!,$V$2,0),0)</f>
        <v>0</v>
      </c>
      <c r="W646" s="9">
        <f>IFERROR(VLOOKUP(B646,cubo!$A$6:$BE$37,26,0)-VLOOKUP(B646,#REF!,$W$2,0),0)</f>
        <v>0</v>
      </c>
      <c r="X646" s="9">
        <f>IFERROR(VLOOKUP(B646,cubo!$A$6:$BE$37,20,0)-VLOOKUP(B646,#REF!,$X$2,0),0)</f>
        <v>0</v>
      </c>
      <c r="Y646" s="9">
        <f>IFERROR(VLOOKUP(B646,cubo!$A$6:$BE$37,21,0)-VLOOKUP(B646,#REF!,$Y$2,0),0)</f>
        <v>0</v>
      </c>
      <c r="Z646" s="9">
        <f>IFERROR(VLOOKUP(B646,cubo!$A$6:$BE$37,27,0)-VLOOKUP(B646,#REF!,$Z$2,0),0)</f>
        <v>0</v>
      </c>
      <c r="AA646" s="9">
        <f>IFERROR(VLOOKUP(B646,cubo!$A$6:$BE$37,28,0)-VLOOKUP(B646,#REF!,$AA$2,0),0)</f>
        <v>0</v>
      </c>
      <c r="AB646" s="9">
        <f>IFERROR(VLOOKUP(B646,cubo!$A$6:$BE$37,29,0)-VLOOKUP(B646,#REF!,$AB$2,0),0)</f>
        <v>0</v>
      </c>
      <c r="AC646" s="9">
        <f>IFERROR(VLOOKUP(B646,cubo!$A$6:$BE$37,30,0)-VLOOKUP(B646,#REF!,$AC$2,0),0)</f>
        <v>0</v>
      </c>
      <c r="AD646" s="9">
        <f>IFERROR(VLOOKUP(B646,cubo!$A$6:$BE$37,31,0)-VLOOKUP(B646,#REF!,$AD$2,0),0)</f>
        <v>0</v>
      </c>
      <c r="AE646" s="9">
        <f>IFERROR(VLOOKUP(B646,cubo!$A$6:$BE$37,35,0)-VLOOKUP(B646,#REF!,$AE$2,0),0)</f>
        <v>0</v>
      </c>
      <c r="AF646" s="9" cm="1">
        <f t="array" aca="1" ref="AF646" ca="1">IFERROR(rrPROCV(B646,cubo!$A$6:$BE$37,48,0)-VLOOKUP(B646,#REF!,$AF$2,0),0)</f>
        <v>0</v>
      </c>
      <c r="AG646" s="9">
        <f>IFERROR(VLOOKUP(B646,cubo!$A$6:$BE$37,49,0)-VLOOKUP(B646,#REF!,$AG$2,0),0)</f>
        <v>0</v>
      </c>
      <c r="AH646" s="9">
        <f>IFERROR(VLOOKUP(B646,cubo!$A$6:$BE$37,50,0)-VLOOKUP(B646,#REF!,$AH$2,0),0)</f>
        <v>0</v>
      </c>
      <c r="AI646" s="9">
        <f>IFERROR(VLOOKUP(B646,cubo!$A$6:$BE$37,51,0)-VLOOKUP(B646,#REF!,$AI$2,0),0)</f>
        <v>0</v>
      </c>
      <c r="AJ646" s="9">
        <f>IFERROR(VLOOKUP(B646,cubo!$A$6:$BI$116,62,0)-VLOOKUP(B646,#REF!,$AJ$2,0),0)</f>
        <v>0</v>
      </c>
      <c r="AK646" s="9">
        <f>IFERROR(VLOOKUP(B646,cubo!$A$6:$BJ$37,63,0)-VLOOKUP(B646,#REF!,$AK$2,0),0)</f>
        <v>0</v>
      </c>
      <c r="AL646" s="9">
        <f>IFERROR(VLOOKUP(B646,cubo!$A$6:$BE$37,58,0)-VLOOKUP(B646,#REF!,$AL$2,0),0)</f>
        <v>0</v>
      </c>
      <c r="AM646" s="9">
        <f>IFERROR(VLOOKUP(B646,cubo!$A$6:$BK$37,64,0)-VLOOKUP(B646,#REF!,$AM$2,0),0)</f>
        <v>0</v>
      </c>
      <c r="AN646" s="9">
        <f>IFERROR(VLOOKUP(B646,cubo!$A$6:$AN$37,41,0)-VLOOKUP(B646,#REF!,$AN$2,0),0)</f>
        <v>0</v>
      </c>
    </row>
    <row r="647" spans="2:40" x14ac:dyDescent="0.25">
      <c r="B647" s="7">
        <f>[1]salario!A646</f>
        <v>0</v>
      </c>
      <c r="C647" s="8">
        <f>[1]salario!C646</f>
        <v>0</v>
      </c>
      <c r="D647" s="9">
        <f>IFERROR(VLOOKUP(B647,cubo!$A$6:$BE$37,3,0)-VLOOKUP(B647,#REF!,$D$2,0),0)</f>
        <v>0</v>
      </c>
      <c r="E647" s="10">
        <f>IFERROR(VLOOKUP(B647,cubo!$A$6:$BE$37,5,0)-VLOOKUP(B647,#REF!,$E$2,0),0)</f>
        <v>0</v>
      </c>
      <c r="F647" s="10">
        <f>IFERROR(VLOOKUP(B647,cubo!$A$6:$BE$37,8,0)-VLOOKUP(B647,#REF!,$F$2,0),0)</f>
        <v>0</v>
      </c>
      <c r="G647" s="9">
        <f>IFERROR(VLOOKUP(B647,cubo!$A$6:$BE$37,11,0)-VLOOKUP(B647,#REF!,$G$2,0),0)</f>
        <v>0</v>
      </c>
      <c r="H647" s="9">
        <f>IFERROR(VLOOKUP(B647,cubo!$A$6:$BE$37,53,0)-VLOOKUP(B647,#REF!,$H$2,0),0)</f>
        <v>0</v>
      </c>
      <c r="I647" s="10">
        <f>IFERROR(VLOOKUP(B647,cubo!$A$6:$BE$37,14,0)-VLOOKUP(B647,#REF!,$I$2,0),0)</f>
        <v>0</v>
      </c>
      <c r="J647" s="9">
        <f>IFERROR(VLOOKUP(B647,cubo!$A$6:$BE$37,16,0)-VLOOKUP(B647,#REF!,$J$2,0),0)</f>
        <v>0</v>
      </c>
      <c r="K647" s="9">
        <f>IFERROR(VLOOKUP(B647,cubo!$A$6:$BE$37,17,0)-VLOOKUP(B647,#REF!,$K$2,0),0)</f>
        <v>0</v>
      </c>
      <c r="L647" s="9">
        <f>IFERROR(VLOOKUP(B647,cubo!$A$6:$BE$37,19,0)-VLOOKUP(B647,#REF!,$L$2,0),0)</f>
        <v>0</v>
      </c>
      <c r="M647" s="9">
        <f>IFERROR(VLOOKUP(B647,cubo!$A$6:$BE$37,23,0)-VLOOKUP(B647,#REF!,$M$2,0),0)</f>
        <v>0</v>
      </c>
      <c r="N647" s="9">
        <f>IFERROR(VLOOKUP(B647,cubo!$A$6:$BE$37,25,0)-VLOOKUP(B647,#REF!,$N$2,0),0)</f>
        <v>0</v>
      </c>
      <c r="O647" s="9">
        <f>IFERROR(VLOOKUP(B647,cubo!$A$6:$BE$37,33,0)-VLOOKUP(B647,#REF!,$O$2,0),0)</f>
        <v>0</v>
      </c>
      <c r="P647" s="8">
        <f>IFERROR(VLOOKUP(B647,cubo!$A$6:$BE$37,37,0)-VLOOKUP(B647,#REF!,$P$2,0),0)</f>
        <v>0</v>
      </c>
      <c r="Q647" s="8">
        <f>IFERROR(VLOOKUP(B647,cubo!$A$6:$BE$37,56,0)-VLOOKUP(B647,#REF!,$Q$2,0),0)</f>
        <v>0</v>
      </c>
      <c r="R647" s="9">
        <f>IFERROR(VLOOKUP(B647,cubo!$A$6:$BE$37,40,0)-VLOOKUP(B647,#REF!,$R$2,0),0)</f>
        <v>0</v>
      </c>
      <c r="S647" s="9">
        <f>IFERROR(VLOOKUP(B647,cubo!$A$6:$BE$37,43,0)-VLOOKUP(B647,#REF!,$S$2,0),0)</f>
        <v>0</v>
      </c>
      <c r="T647" s="9">
        <f>IFERROR(VLOOKUP(B647,cubo!$A$6:$BE$37,46,0)-VLOOKUP(B647,#REF!,$T$2,0),0)</f>
        <v>0</v>
      </c>
      <c r="U647" s="9">
        <f>IFERROR(VLOOKUP(B647,cubo!$A$6:$BE$37,51,0)-VLOOKUP(B647,#REF!,$U$2,0),0)</f>
        <v>0</v>
      </c>
      <c r="V647" s="9">
        <f>IFERROR(VLOOKUP(B647,cubo!$A$6:$BJ$37,60,0)-VLOOKUP(B647,#REF!,$V$2,0),0)</f>
        <v>0</v>
      </c>
      <c r="W647" s="9">
        <f>IFERROR(VLOOKUP(B647,cubo!$A$6:$BE$37,26,0)-VLOOKUP(B647,#REF!,$W$2,0),0)</f>
        <v>0</v>
      </c>
      <c r="X647" s="9">
        <f>IFERROR(VLOOKUP(B647,cubo!$A$6:$BE$37,20,0)-VLOOKUP(B647,#REF!,$X$2,0),0)</f>
        <v>0</v>
      </c>
      <c r="Y647" s="9">
        <f>IFERROR(VLOOKUP(B647,cubo!$A$6:$BE$37,21,0)-VLOOKUP(B647,#REF!,$Y$2,0),0)</f>
        <v>0</v>
      </c>
      <c r="Z647" s="9">
        <f>IFERROR(VLOOKUP(B647,cubo!$A$6:$BE$37,27,0)-VLOOKUP(B647,#REF!,$Z$2,0),0)</f>
        <v>0</v>
      </c>
      <c r="AA647" s="9">
        <f>IFERROR(VLOOKUP(B647,cubo!$A$6:$BE$37,28,0)-VLOOKUP(B647,#REF!,$AA$2,0),0)</f>
        <v>0</v>
      </c>
      <c r="AB647" s="9">
        <f>IFERROR(VLOOKUP(B647,cubo!$A$6:$BE$37,29,0)-VLOOKUP(B647,#REF!,$AB$2,0),0)</f>
        <v>0</v>
      </c>
      <c r="AC647" s="9">
        <f>IFERROR(VLOOKUP(B647,cubo!$A$6:$BE$37,30,0)-VLOOKUP(B647,#REF!,$AC$2,0),0)</f>
        <v>0</v>
      </c>
      <c r="AD647" s="9">
        <f>IFERROR(VLOOKUP(B647,cubo!$A$6:$BE$37,31,0)-VLOOKUP(B647,#REF!,$AD$2,0),0)</f>
        <v>0</v>
      </c>
      <c r="AE647" s="9">
        <f>IFERROR(VLOOKUP(B647,cubo!$A$6:$BE$37,35,0)-VLOOKUP(B647,#REF!,$AE$2,0),0)</f>
        <v>0</v>
      </c>
      <c r="AF647" s="9" cm="1">
        <f t="array" aca="1" ref="AF647" ca="1">IFERROR(rrPROCV(B647,cubo!$A$6:$BE$37,48,0)-VLOOKUP(B647,#REF!,$AF$2,0),0)</f>
        <v>0</v>
      </c>
      <c r="AG647" s="9">
        <f>IFERROR(VLOOKUP(B647,cubo!$A$6:$BE$37,49,0)-VLOOKUP(B647,#REF!,$AG$2,0),0)</f>
        <v>0</v>
      </c>
      <c r="AH647" s="9">
        <f>IFERROR(VLOOKUP(B647,cubo!$A$6:$BE$37,50,0)-VLOOKUP(B647,#REF!,$AH$2,0),0)</f>
        <v>0</v>
      </c>
      <c r="AI647" s="9">
        <f>IFERROR(VLOOKUP(B647,cubo!$A$6:$BE$37,51,0)-VLOOKUP(B647,#REF!,$AI$2,0),0)</f>
        <v>0</v>
      </c>
      <c r="AJ647" s="9">
        <f>IFERROR(VLOOKUP(B647,cubo!$A$6:$BI$116,62,0)-VLOOKUP(B647,#REF!,$AJ$2,0),0)</f>
        <v>0</v>
      </c>
      <c r="AK647" s="9">
        <f>IFERROR(VLOOKUP(B647,cubo!$A$6:$BJ$37,63,0)-VLOOKUP(B647,#REF!,$AK$2,0),0)</f>
        <v>0</v>
      </c>
      <c r="AL647" s="9">
        <f>IFERROR(VLOOKUP(B647,cubo!$A$6:$BE$37,58,0)-VLOOKUP(B647,#REF!,$AL$2,0),0)</f>
        <v>0</v>
      </c>
      <c r="AM647" s="9">
        <f>IFERROR(VLOOKUP(B647,cubo!$A$6:$BK$37,64,0)-VLOOKUP(B647,#REF!,$AM$2,0),0)</f>
        <v>0</v>
      </c>
      <c r="AN647" s="9">
        <f>IFERROR(VLOOKUP(B647,cubo!$A$6:$AN$37,41,0)-VLOOKUP(B647,#REF!,$AN$2,0),0)</f>
        <v>0</v>
      </c>
    </row>
    <row r="648" spans="2:40" x14ac:dyDescent="0.25">
      <c r="B648" s="7">
        <f>[1]salario!A647</f>
        <v>0</v>
      </c>
      <c r="C648" s="8">
        <f>[1]salario!C647</f>
        <v>0</v>
      </c>
      <c r="D648" s="9">
        <f>IFERROR(VLOOKUP(B648,cubo!$A$6:$BE$37,3,0)-VLOOKUP(B648,#REF!,$D$2,0),0)</f>
        <v>0</v>
      </c>
      <c r="E648" s="10">
        <f>IFERROR(VLOOKUP(B648,cubo!$A$6:$BE$37,5,0)-VLOOKUP(B648,#REF!,$E$2,0),0)</f>
        <v>0</v>
      </c>
      <c r="F648" s="10">
        <f>IFERROR(VLOOKUP(B648,cubo!$A$6:$BE$37,8,0)-VLOOKUP(B648,#REF!,$F$2,0),0)</f>
        <v>0</v>
      </c>
      <c r="G648" s="9">
        <f>IFERROR(VLOOKUP(B648,cubo!$A$6:$BE$37,11,0)-VLOOKUP(B648,#REF!,$G$2,0),0)</f>
        <v>0</v>
      </c>
      <c r="H648" s="9">
        <f>IFERROR(VLOOKUP(B648,cubo!$A$6:$BE$37,53,0)-VLOOKUP(B648,#REF!,$H$2,0),0)</f>
        <v>0</v>
      </c>
      <c r="I648" s="10">
        <f>IFERROR(VLOOKUP(B648,cubo!$A$6:$BE$37,14,0)-VLOOKUP(B648,#REF!,$I$2,0),0)</f>
        <v>0</v>
      </c>
      <c r="J648" s="9">
        <f>IFERROR(VLOOKUP(B648,cubo!$A$6:$BE$37,16,0)-VLOOKUP(B648,#REF!,$J$2,0),0)</f>
        <v>0</v>
      </c>
      <c r="K648" s="9">
        <f>IFERROR(VLOOKUP(B648,cubo!$A$6:$BE$37,17,0)-VLOOKUP(B648,#REF!,$K$2,0),0)</f>
        <v>0</v>
      </c>
      <c r="L648" s="9">
        <f>IFERROR(VLOOKUP(B648,cubo!$A$6:$BE$37,19,0)-VLOOKUP(B648,#REF!,$L$2,0),0)</f>
        <v>0</v>
      </c>
      <c r="M648" s="9">
        <f>IFERROR(VLOOKUP(B648,cubo!$A$6:$BE$37,23,0)-VLOOKUP(B648,#REF!,$M$2,0),0)</f>
        <v>0</v>
      </c>
      <c r="N648" s="9">
        <f>IFERROR(VLOOKUP(B648,cubo!$A$6:$BE$37,25,0)-VLOOKUP(B648,#REF!,$N$2,0),0)</f>
        <v>0</v>
      </c>
      <c r="O648" s="9">
        <f>IFERROR(VLOOKUP(B648,cubo!$A$6:$BE$37,33,0)-VLOOKUP(B648,#REF!,$O$2,0),0)</f>
        <v>0</v>
      </c>
      <c r="P648" s="8">
        <f>IFERROR(VLOOKUP(B648,cubo!$A$6:$BE$37,37,0)-VLOOKUP(B648,#REF!,$P$2,0),0)</f>
        <v>0</v>
      </c>
      <c r="Q648" s="8">
        <f>IFERROR(VLOOKUP(B648,cubo!$A$6:$BE$37,56,0)-VLOOKUP(B648,#REF!,$Q$2,0),0)</f>
        <v>0</v>
      </c>
      <c r="R648" s="9">
        <f>IFERROR(VLOOKUP(B648,cubo!$A$6:$BE$37,40,0)-VLOOKUP(B648,#REF!,$R$2,0),0)</f>
        <v>0</v>
      </c>
      <c r="S648" s="9">
        <f>IFERROR(VLOOKUP(B648,cubo!$A$6:$BE$37,43,0)-VLOOKUP(B648,#REF!,$S$2,0),0)</f>
        <v>0</v>
      </c>
      <c r="T648" s="9">
        <f>IFERROR(VLOOKUP(B648,cubo!$A$6:$BE$37,46,0)-VLOOKUP(B648,#REF!,$T$2,0),0)</f>
        <v>0</v>
      </c>
      <c r="U648" s="9">
        <f>IFERROR(VLOOKUP(B648,cubo!$A$6:$BE$37,51,0)-VLOOKUP(B648,#REF!,$U$2,0),0)</f>
        <v>0</v>
      </c>
      <c r="V648" s="9">
        <f>IFERROR(VLOOKUP(B648,cubo!$A$6:$BJ$37,60,0)-VLOOKUP(B648,#REF!,$V$2,0),0)</f>
        <v>0</v>
      </c>
      <c r="W648" s="9">
        <f>IFERROR(VLOOKUP(B648,cubo!$A$6:$BE$37,26,0)-VLOOKUP(B648,#REF!,$W$2,0),0)</f>
        <v>0</v>
      </c>
      <c r="X648" s="9">
        <f>IFERROR(VLOOKUP(B648,cubo!$A$6:$BE$37,20,0)-VLOOKUP(B648,#REF!,$X$2,0),0)</f>
        <v>0</v>
      </c>
      <c r="Y648" s="9">
        <f>IFERROR(VLOOKUP(B648,cubo!$A$6:$BE$37,21,0)-VLOOKUP(B648,#REF!,$Y$2,0),0)</f>
        <v>0</v>
      </c>
      <c r="Z648" s="9">
        <f>IFERROR(VLOOKUP(B648,cubo!$A$6:$BE$37,27,0)-VLOOKUP(B648,#REF!,$Z$2,0),0)</f>
        <v>0</v>
      </c>
      <c r="AA648" s="9">
        <f>IFERROR(VLOOKUP(B648,cubo!$A$6:$BE$37,28,0)-VLOOKUP(B648,#REF!,$AA$2,0),0)</f>
        <v>0</v>
      </c>
      <c r="AB648" s="9">
        <f>IFERROR(VLOOKUP(B648,cubo!$A$6:$BE$37,29,0)-VLOOKUP(B648,#REF!,$AB$2,0),0)</f>
        <v>0</v>
      </c>
      <c r="AC648" s="9">
        <f>IFERROR(VLOOKUP(B648,cubo!$A$6:$BE$37,30,0)-VLOOKUP(B648,#REF!,$AC$2,0),0)</f>
        <v>0</v>
      </c>
      <c r="AD648" s="9">
        <f>IFERROR(VLOOKUP(B648,cubo!$A$6:$BE$37,31,0)-VLOOKUP(B648,#REF!,$AD$2,0),0)</f>
        <v>0</v>
      </c>
      <c r="AE648" s="9">
        <f>IFERROR(VLOOKUP(B648,cubo!$A$6:$BE$37,35,0)-VLOOKUP(B648,#REF!,$AE$2,0),0)</f>
        <v>0</v>
      </c>
      <c r="AF648" s="9" cm="1">
        <f t="array" aca="1" ref="AF648" ca="1">IFERROR(rrPROCV(B648,cubo!$A$6:$BE$37,48,0)-VLOOKUP(B648,#REF!,$AF$2,0),0)</f>
        <v>0</v>
      </c>
      <c r="AG648" s="9">
        <f>IFERROR(VLOOKUP(B648,cubo!$A$6:$BE$37,49,0)-VLOOKUP(B648,#REF!,$AG$2,0),0)</f>
        <v>0</v>
      </c>
      <c r="AH648" s="9">
        <f>IFERROR(VLOOKUP(B648,cubo!$A$6:$BE$37,50,0)-VLOOKUP(B648,#REF!,$AH$2,0),0)</f>
        <v>0</v>
      </c>
      <c r="AI648" s="9">
        <f>IFERROR(VLOOKUP(B648,cubo!$A$6:$BE$37,51,0)-VLOOKUP(B648,#REF!,$AI$2,0),0)</f>
        <v>0</v>
      </c>
      <c r="AJ648" s="9">
        <f>IFERROR(VLOOKUP(B648,cubo!$A$6:$BI$116,62,0)-VLOOKUP(B648,#REF!,$AJ$2,0),0)</f>
        <v>0</v>
      </c>
      <c r="AK648" s="9">
        <f>IFERROR(VLOOKUP(B648,cubo!$A$6:$BJ$37,63,0)-VLOOKUP(B648,#REF!,$AK$2,0),0)</f>
        <v>0</v>
      </c>
      <c r="AL648" s="9">
        <f>IFERROR(VLOOKUP(B648,cubo!$A$6:$BE$37,58,0)-VLOOKUP(B648,#REF!,$AL$2,0),0)</f>
        <v>0</v>
      </c>
      <c r="AM648" s="9">
        <f>IFERROR(VLOOKUP(B648,cubo!$A$6:$BK$37,64,0)-VLOOKUP(B648,#REF!,$AM$2,0),0)</f>
        <v>0</v>
      </c>
      <c r="AN648" s="9">
        <f>IFERROR(VLOOKUP(B648,cubo!$A$6:$AN$37,41,0)-VLOOKUP(B648,#REF!,$AN$2,0),0)</f>
        <v>0</v>
      </c>
    </row>
    <row r="649" spans="2:40" x14ac:dyDescent="0.25">
      <c r="B649" s="7">
        <f>[1]salario!A648</f>
        <v>0</v>
      </c>
      <c r="C649" s="8">
        <f>[1]salario!C648</f>
        <v>0</v>
      </c>
      <c r="D649" s="9">
        <f>IFERROR(VLOOKUP(B649,cubo!$A$6:$BE$37,3,0)-VLOOKUP(B649,#REF!,$D$2,0),0)</f>
        <v>0</v>
      </c>
      <c r="E649" s="10">
        <f>IFERROR(VLOOKUP(B649,cubo!$A$6:$BE$37,5,0)-VLOOKUP(B649,#REF!,$E$2,0),0)</f>
        <v>0</v>
      </c>
      <c r="F649" s="10">
        <f>IFERROR(VLOOKUP(B649,cubo!$A$6:$BE$37,8,0)-VLOOKUP(B649,#REF!,$F$2,0),0)</f>
        <v>0</v>
      </c>
      <c r="G649" s="9">
        <f>IFERROR(VLOOKUP(B649,cubo!$A$6:$BE$37,11,0)-VLOOKUP(B649,#REF!,$G$2,0),0)</f>
        <v>0</v>
      </c>
      <c r="H649" s="9">
        <f>IFERROR(VLOOKUP(B649,cubo!$A$6:$BE$37,53,0)-VLOOKUP(B649,#REF!,$H$2,0),0)</f>
        <v>0</v>
      </c>
      <c r="I649" s="10">
        <f>IFERROR(VLOOKUP(B649,cubo!$A$6:$BE$37,14,0)-VLOOKUP(B649,#REF!,$I$2,0),0)</f>
        <v>0</v>
      </c>
      <c r="J649" s="9">
        <f>IFERROR(VLOOKUP(B649,cubo!$A$6:$BE$37,16,0)-VLOOKUP(B649,#REF!,$J$2,0),0)</f>
        <v>0</v>
      </c>
      <c r="K649" s="9">
        <f>IFERROR(VLOOKUP(B649,cubo!$A$6:$BE$37,17,0)-VLOOKUP(B649,#REF!,$K$2,0),0)</f>
        <v>0</v>
      </c>
      <c r="L649" s="9">
        <f>IFERROR(VLOOKUP(B649,cubo!$A$6:$BE$37,19,0)-VLOOKUP(B649,#REF!,$L$2,0),0)</f>
        <v>0</v>
      </c>
      <c r="M649" s="9">
        <f>IFERROR(VLOOKUP(B649,cubo!$A$6:$BE$37,23,0)-VLOOKUP(B649,#REF!,$M$2,0),0)</f>
        <v>0</v>
      </c>
      <c r="N649" s="9">
        <f>IFERROR(VLOOKUP(B649,cubo!$A$6:$BE$37,25,0)-VLOOKUP(B649,#REF!,$N$2,0),0)</f>
        <v>0</v>
      </c>
      <c r="O649" s="9">
        <f>IFERROR(VLOOKUP(B649,cubo!$A$6:$BE$37,33,0)-VLOOKUP(B649,#REF!,$O$2,0),0)</f>
        <v>0</v>
      </c>
      <c r="P649" s="8">
        <f>IFERROR(VLOOKUP(B649,cubo!$A$6:$BE$37,37,0)-VLOOKUP(B649,#REF!,$P$2,0),0)</f>
        <v>0</v>
      </c>
      <c r="Q649" s="8">
        <f>IFERROR(VLOOKUP(B649,cubo!$A$6:$BE$37,56,0)-VLOOKUP(B649,#REF!,$Q$2,0),0)</f>
        <v>0</v>
      </c>
      <c r="R649" s="9">
        <f>IFERROR(VLOOKUP(B649,cubo!$A$6:$BE$37,40,0)-VLOOKUP(B649,#REF!,$R$2,0),0)</f>
        <v>0</v>
      </c>
      <c r="S649" s="9">
        <f>IFERROR(VLOOKUP(B649,cubo!$A$6:$BE$37,43,0)-VLOOKUP(B649,#REF!,$S$2,0),0)</f>
        <v>0</v>
      </c>
      <c r="T649" s="9">
        <f>IFERROR(VLOOKUP(B649,cubo!$A$6:$BE$37,46,0)-VLOOKUP(B649,#REF!,$T$2,0),0)</f>
        <v>0</v>
      </c>
      <c r="U649" s="9">
        <f>IFERROR(VLOOKUP(B649,cubo!$A$6:$BE$37,51,0)-VLOOKUP(B649,#REF!,$U$2,0),0)</f>
        <v>0</v>
      </c>
      <c r="V649" s="9">
        <f>IFERROR(VLOOKUP(B649,cubo!$A$6:$BJ$37,60,0)-VLOOKUP(B649,#REF!,$V$2,0),0)</f>
        <v>0</v>
      </c>
      <c r="W649" s="9">
        <f>IFERROR(VLOOKUP(B649,cubo!$A$6:$BE$37,26,0)-VLOOKUP(B649,#REF!,$W$2,0),0)</f>
        <v>0</v>
      </c>
      <c r="X649" s="9">
        <f>IFERROR(VLOOKUP(B649,cubo!$A$6:$BE$37,20,0)-VLOOKUP(B649,#REF!,$X$2,0),0)</f>
        <v>0</v>
      </c>
      <c r="Y649" s="9">
        <f>IFERROR(VLOOKUP(B649,cubo!$A$6:$BE$37,21,0)-VLOOKUP(B649,#REF!,$Y$2,0),0)</f>
        <v>0</v>
      </c>
      <c r="Z649" s="9">
        <f>IFERROR(VLOOKUP(B649,cubo!$A$6:$BE$37,27,0)-VLOOKUP(B649,#REF!,$Z$2,0),0)</f>
        <v>0</v>
      </c>
      <c r="AA649" s="9">
        <f>IFERROR(VLOOKUP(B649,cubo!$A$6:$BE$37,28,0)-VLOOKUP(B649,#REF!,$AA$2,0),0)</f>
        <v>0</v>
      </c>
      <c r="AB649" s="9">
        <f>IFERROR(VLOOKUP(B649,cubo!$A$6:$BE$37,29,0)-VLOOKUP(B649,#REF!,$AB$2,0),0)</f>
        <v>0</v>
      </c>
      <c r="AC649" s="9">
        <f>IFERROR(VLOOKUP(B649,cubo!$A$6:$BE$37,30,0)-VLOOKUP(B649,#REF!,$AC$2,0),0)</f>
        <v>0</v>
      </c>
      <c r="AD649" s="9">
        <f>IFERROR(VLOOKUP(B649,cubo!$A$6:$BE$37,31,0)-VLOOKUP(B649,#REF!,$AD$2,0),0)</f>
        <v>0</v>
      </c>
      <c r="AE649" s="9">
        <f>IFERROR(VLOOKUP(B649,cubo!$A$6:$BE$37,35,0)-VLOOKUP(B649,#REF!,$AE$2,0),0)</f>
        <v>0</v>
      </c>
      <c r="AF649" s="9" cm="1">
        <f t="array" aca="1" ref="AF649" ca="1">IFERROR(rrPROCV(B649,cubo!$A$6:$BE$37,48,0)-VLOOKUP(B649,#REF!,$AF$2,0),0)</f>
        <v>0</v>
      </c>
      <c r="AG649" s="9">
        <f>IFERROR(VLOOKUP(B649,cubo!$A$6:$BE$37,49,0)-VLOOKUP(B649,#REF!,$AG$2,0),0)</f>
        <v>0</v>
      </c>
      <c r="AH649" s="9">
        <f>IFERROR(VLOOKUP(B649,cubo!$A$6:$BE$37,50,0)-VLOOKUP(B649,#REF!,$AH$2,0),0)</f>
        <v>0</v>
      </c>
      <c r="AI649" s="9">
        <f>IFERROR(VLOOKUP(B649,cubo!$A$6:$BE$37,51,0)-VLOOKUP(B649,#REF!,$AI$2,0),0)</f>
        <v>0</v>
      </c>
      <c r="AJ649" s="9">
        <f>IFERROR(VLOOKUP(B649,cubo!$A$6:$BI$116,62,0)-VLOOKUP(B649,#REF!,$AJ$2,0),0)</f>
        <v>0</v>
      </c>
      <c r="AK649" s="9">
        <f>IFERROR(VLOOKUP(B649,cubo!$A$6:$BJ$37,63,0)-VLOOKUP(B649,#REF!,$AK$2,0),0)</f>
        <v>0</v>
      </c>
      <c r="AL649" s="9">
        <f>IFERROR(VLOOKUP(B649,cubo!$A$6:$BE$37,58,0)-VLOOKUP(B649,#REF!,$AL$2,0),0)</f>
        <v>0</v>
      </c>
      <c r="AM649" s="9">
        <f>IFERROR(VLOOKUP(B649,cubo!$A$6:$BK$37,64,0)-VLOOKUP(B649,#REF!,$AM$2,0),0)</f>
        <v>0</v>
      </c>
      <c r="AN649" s="9">
        <f>IFERROR(VLOOKUP(B649,cubo!$A$6:$AN$37,41,0)-VLOOKUP(B649,#REF!,$AN$2,0),0)</f>
        <v>0</v>
      </c>
    </row>
    <row r="650" spans="2:40" x14ac:dyDescent="0.25">
      <c r="B650" s="7">
        <f>[1]salario!A649</f>
        <v>0</v>
      </c>
      <c r="C650" s="8">
        <f>[1]salario!C649</f>
        <v>0</v>
      </c>
      <c r="D650" s="9">
        <f>IFERROR(VLOOKUP(B650,cubo!$A$6:$BE$37,3,0)-VLOOKUP(B650,#REF!,$D$2,0),0)</f>
        <v>0</v>
      </c>
      <c r="E650" s="10">
        <f>IFERROR(VLOOKUP(B650,cubo!$A$6:$BE$37,5,0)-VLOOKUP(B650,#REF!,$E$2,0),0)</f>
        <v>0</v>
      </c>
      <c r="F650" s="10">
        <f>IFERROR(VLOOKUP(B650,cubo!$A$6:$BE$37,8,0)-VLOOKUP(B650,#REF!,$F$2,0),0)</f>
        <v>0</v>
      </c>
      <c r="G650" s="9">
        <f>IFERROR(VLOOKUP(B650,cubo!$A$6:$BE$37,11,0)-VLOOKUP(B650,#REF!,$G$2,0),0)</f>
        <v>0</v>
      </c>
      <c r="H650" s="9">
        <f>IFERROR(VLOOKUP(B650,cubo!$A$6:$BE$37,53,0)-VLOOKUP(B650,#REF!,$H$2,0),0)</f>
        <v>0</v>
      </c>
      <c r="I650" s="10">
        <f>IFERROR(VLOOKUP(B650,cubo!$A$6:$BE$37,14,0)-VLOOKUP(B650,#REF!,$I$2,0),0)</f>
        <v>0</v>
      </c>
      <c r="J650" s="9">
        <f>IFERROR(VLOOKUP(B650,cubo!$A$6:$BE$37,16,0)-VLOOKUP(B650,#REF!,$J$2,0),0)</f>
        <v>0</v>
      </c>
      <c r="K650" s="9">
        <f>IFERROR(VLOOKUP(B650,cubo!$A$6:$BE$37,17,0)-VLOOKUP(B650,#REF!,$K$2,0),0)</f>
        <v>0</v>
      </c>
      <c r="L650" s="9">
        <f>IFERROR(VLOOKUP(B650,cubo!$A$6:$BE$37,19,0)-VLOOKUP(B650,#REF!,$L$2,0),0)</f>
        <v>0</v>
      </c>
      <c r="M650" s="9">
        <f>IFERROR(VLOOKUP(B650,cubo!$A$6:$BE$37,23,0)-VLOOKUP(B650,#REF!,$M$2,0),0)</f>
        <v>0</v>
      </c>
      <c r="N650" s="9">
        <f>IFERROR(VLOOKUP(B650,cubo!$A$6:$BE$37,25,0)-VLOOKUP(B650,#REF!,$N$2,0),0)</f>
        <v>0</v>
      </c>
      <c r="O650" s="9">
        <f>IFERROR(VLOOKUP(B650,cubo!$A$6:$BE$37,33,0)-VLOOKUP(B650,#REF!,$O$2,0),0)</f>
        <v>0</v>
      </c>
      <c r="P650" s="8">
        <f>IFERROR(VLOOKUP(B650,cubo!$A$6:$BE$37,37,0)-VLOOKUP(B650,#REF!,$P$2,0),0)</f>
        <v>0</v>
      </c>
      <c r="Q650" s="8">
        <f>IFERROR(VLOOKUP(B650,cubo!$A$6:$BE$37,56,0)-VLOOKUP(B650,#REF!,$Q$2,0),0)</f>
        <v>0</v>
      </c>
      <c r="R650" s="9">
        <f>IFERROR(VLOOKUP(B650,cubo!$A$6:$BE$37,40,0)-VLOOKUP(B650,#REF!,$R$2,0),0)</f>
        <v>0</v>
      </c>
      <c r="S650" s="9">
        <f>IFERROR(VLOOKUP(B650,cubo!$A$6:$BE$37,43,0)-VLOOKUP(B650,#REF!,$S$2,0),0)</f>
        <v>0</v>
      </c>
      <c r="T650" s="9">
        <f>IFERROR(VLOOKUP(B650,cubo!$A$6:$BE$37,46,0)-VLOOKUP(B650,#REF!,$T$2,0),0)</f>
        <v>0</v>
      </c>
      <c r="U650" s="9">
        <f>IFERROR(VLOOKUP(B650,cubo!$A$6:$BE$37,51,0)-VLOOKUP(B650,#REF!,$U$2,0),0)</f>
        <v>0</v>
      </c>
      <c r="V650" s="9">
        <f>IFERROR(VLOOKUP(B650,cubo!$A$6:$BJ$37,60,0)-VLOOKUP(B650,#REF!,$V$2,0),0)</f>
        <v>0</v>
      </c>
      <c r="W650" s="9">
        <f>IFERROR(VLOOKUP(B650,cubo!$A$6:$BE$37,26,0)-VLOOKUP(B650,#REF!,$W$2,0),0)</f>
        <v>0</v>
      </c>
      <c r="X650" s="9">
        <f>IFERROR(VLOOKUP(B650,cubo!$A$6:$BE$37,20,0)-VLOOKUP(B650,#REF!,$X$2,0),0)</f>
        <v>0</v>
      </c>
      <c r="Y650" s="9">
        <f>IFERROR(VLOOKUP(B650,cubo!$A$6:$BE$37,21,0)-VLOOKUP(B650,#REF!,$Y$2,0),0)</f>
        <v>0</v>
      </c>
      <c r="Z650" s="9">
        <f>IFERROR(VLOOKUP(B650,cubo!$A$6:$BE$37,27,0)-VLOOKUP(B650,#REF!,$Z$2,0),0)</f>
        <v>0</v>
      </c>
      <c r="AA650" s="9">
        <f>IFERROR(VLOOKUP(B650,cubo!$A$6:$BE$37,28,0)-VLOOKUP(B650,#REF!,$AA$2,0),0)</f>
        <v>0</v>
      </c>
      <c r="AB650" s="9">
        <f>IFERROR(VLOOKUP(B650,cubo!$A$6:$BE$37,29,0)-VLOOKUP(B650,#REF!,$AB$2,0),0)</f>
        <v>0</v>
      </c>
      <c r="AC650" s="9">
        <f>IFERROR(VLOOKUP(B650,cubo!$A$6:$BE$37,30,0)-VLOOKUP(B650,#REF!,$AC$2,0),0)</f>
        <v>0</v>
      </c>
      <c r="AD650" s="9">
        <f>IFERROR(VLOOKUP(B650,cubo!$A$6:$BE$37,31,0)-VLOOKUP(B650,#REF!,$AD$2,0),0)</f>
        <v>0</v>
      </c>
      <c r="AE650" s="9">
        <f>IFERROR(VLOOKUP(B650,cubo!$A$6:$BE$37,35,0)-VLOOKUP(B650,#REF!,$AE$2,0),0)</f>
        <v>0</v>
      </c>
      <c r="AF650" s="9" cm="1">
        <f t="array" aca="1" ref="AF650" ca="1">IFERROR(rrPROCV(B650,cubo!$A$6:$BE$37,48,0)-VLOOKUP(B650,#REF!,$AF$2,0),0)</f>
        <v>0</v>
      </c>
      <c r="AG650" s="9">
        <f>IFERROR(VLOOKUP(B650,cubo!$A$6:$BE$37,49,0)-VLOOKUP(B650,#REF!,$AG$2,0),0)</f>
        <v>0</v>
      </c>
      <c r="AH650" s="9">
        <f>IFERROR(VLOOKUP(B650,cubo!$A$6:$BE$37,50,0)-VLOOKUP(B650,#REF!,$AH$2,0),0)</f>
        <v>0</v>
      </c>
      <c r="AI650" s="9">
        <f>IFERROR(VLOOKUP(B650,cubo!$A$6:$BE$37,51,0)-VLOOKUP(B650,#REF!,$AI$2,0),0)</f>
        <v>0</v>
      </c>
      <c r="AJ650" s="9">
        <f>IFERROR(VLOOKUP(B650,cubo!$A$6:$BI$116,62,0)-VLOOKUP(B650,#REF!,$AJ$2,0),0)</f>
        <v>0</v>
      </c>
      <c r="AK650" s="9">
        <f>IFERROR(VLOOKUP(B650,cubo!$A$6:$BJ$37,63,0)-VLOOKUP(B650,#REF!,$AK$2,0),0)</f>
        <v>0</v>
      </c>
      <c r="AL650" s="9">
        <f>IFERROR(VLOOKUP(B650,cubo!$A$6:$BE$37,58,0)-VLOOKUP(B650,#REF!,$AL$2,0),0)</f>
        <v>0</v>
      </c>
      <c r="AM650" s="9">
        <f>IFERROR(VLOOKUP(B650,cubo!$A$6:$BK$37,64,0)-VLOOKUP(B650,#REF!,$AM$2,0),0)</f>
        <v>0</v>
      </c>
      <c r="AN650" s="9">
        <f>IFERROR(VLOOKUP(B650,cubo!$A$6:$AN$37,41,0)-VLOOKUP(B650,#REF!,$AN$2,0),0)</f>
        <v>0</v>
      </c>
    </row>
    <row r="651" spans="2:40" x14ac:dyDescent="0.25">
      <c r="B651" s="7">
        <f>[1]salario!A650</f>
        <v>0</v>
      </c>
      <c r="C651" s="8">
        <f>[1]salario!C650</f>
        <v>0</v>
      </c>
      <c r="D651" s="9">
        <f>IFERROR(VLOOKUP(B651,cubo!$A$6:$BE$37,3,0)-VLOOKUP(B651,#REF!,$D$2,0),0)</f>
        <v>0</v>
      </c>
      <c r="E651" s="10">
        <f>IFERROR(VLOOKUP(B651,cubo!$A$6:$BE$37,5,0)-VLOOKUP(B651,#REF!,$E$2,0),0)</f>
        <v>0</v>
      </c>
      <c r="F651" s="10">
        <f>IFERROR(VLOOKUP(B651,cubo!$A$6:$BE$37,8,0)-VLOOKUP(B651,#REF!,$F$2,0),0)</f>
        <v>0</v>
      </c>
      <c r="G651" s="9">
        <f>IFERROR(VLOOKUP(B651,cubo!$A$6:$BE$37,11,0)-VLOOKUP(B651,#REF!,$G$2,0),0)</f>
        <v>0</v>
      </c>
      <c r="H651" s="9">
        <f>IFERROR(VLOOKUP(B651,cubo!$A$6:$BE$37,53,0)-VLOOKUP(B651,#REF!,$H$2,0),0)</f>
        <v>0</v>
      </c>
      <c r="I651" s="10">
        <f>IFERROR(VLOOKUP(B651,cubo!$A$6:$BE$37,14,0)-VLOOKUP(B651,#REF!,$I$2,0),0)</f>
        <v>0</v>
      </c>
      <c r="J651" s="9">
        <f>IFERROR(VLOOKUP(B651,cubo!$A$6:$BE$37,16,0)-VLOOKUP(B651,#REF!,$J$2,0),0)</f>
        <v>0</v>
      </c>
      <c r="K651" s="9">
        <f>IFERROR(VLOOKUP(B651,cubo!$A$6:$BE$37,17,0)-VLOOKUP(B651,#REF!,$K$2,0),0)</f>
        <v>0</v>
      </c>
      <c r="L651" s="9">
        <f>IFERROR(VLOOKUP(B651,cubo!$A$6:$BE$37,19,0)-VLOOKUP(B651,#REF!,$L$2,0),0)</f>
        <v>0</v>
      </c>
      <c r="M651" s="9">
        <f>IFERROR(VLOOKUP(B651,cubo!$A$6:$BE$37,23,0)-VLOOKUP(B651,#REF!,$M$2,0),0)</f>
        <v>0</v>
      </c>
      <c r="N651" s="9">
        <f>IFERROR(VLOOKUP(B651,cubo!$A$6:$BE$37,25,0)-VLOOKUP(B651,#REF!,$N$2,0),0)</f>
        <v>0</v>
      </c>
      <c r="O651" s="9">
        <f>IFERROR(VLOOKUP(B651,cubo!$A$6:$BE$37,33,0)-VLOOKUP(B651,#REF!,$O$2,0),0)</f>
        <v>0</v>
      </c>
      <c r="P651" s="8">
        <f>IFERROR(VLOOKUP(B651,cubo!$A$6:$BE$37,37,0)-VLOOKUP(B651,#REF!,$P$2,0),0)</f>
        <v>0</v>
      </c>
      <c r="Q651" s="8">
        <f>IFERROR(VLOOKUP(B651,cubo!$A$6:$BE$37,56,0)-VLOOKUP(B651,#REF!,$Q$2,0),0)</f>
        <v>0</v>
      </c>
      <c r="R651" s="9">
        <f>IFERROR(VLOOKUP(B651,cubo!$A$6:$BE$37,40,0)-VLOOKUP(B651,#REF!,$R$2,0),0)</f>
        <v>0</v>
      </c>
      <c r="S651" s="9">
        <f>IFERROR(VLOOKUP(B651,cubo!$A$6:$BE$37,43,0)-VLOOKUP(B651,#REF!,$S$2,0),0)</f>
        <v>0</v>
      </c>
      <c r="T651" s="9">
        <f>IFERROR(VLOOKUP(B651,cubo!$A$6:$BE$37,46,0)-VLOOKUP(B651,#REF!,$T$2,0),0)</f>
        <v>0</v>
      </c>
      <c r="U651" s="9">
        <f>IFERROR(VLOOKUP(B651,cubo!$A$6:$BE$37,51,0)-VLOOKUP(B651,#REF!,$U$2,0),0)</f>
        <v>0</v>
      </c>
      <c r="V651" s="9">
        <f>IFERROR(VLOOKUP(B651,cubo!$A$6:$BJ$37,60,0)-VLOOKUP(B651,#REF!,$V$2,0),0)</f>
        <v>0</v>
      </c>
      <c r="W651" s="9">
        <f>IFERROR(VLOOKUP(B651,cubo!$A$6:$BE$37,26,0)-VLOOKUP(B651,#REF!,$W$2,0),0)</f>
        <v>0</v>
      </c>
      <c r="X651" s="9">
        <f>IFERROR(VLOOKUP(B651,cubo!$A$6:$BE$37,20,0)-VLOOKUP(B651,#REF!,$X$2,0),0)</f>
        <v>0</v>
      </c>
      <c r="Y651" s="9">
        <f>IFERROR(VLOOKUP(B651,cubo!$A$6:$BE$37,21,0)-VLOOKUP(B651,#REF!,$Y$2,0),0)</f>
        <v>0</v>
      </c>
      <c r="Z651" s="9">
        <f>IFERROR(VLOOKUP(B651,cubo!$A$6:$BE$37,27,0)-VLOOKUP(B651,#REF!,$Z$2,0),0)</f>
        <v>0</v>
      </c>
      <c r="AA651" s="9">
        <f>IFERROR(VLOOKUP(B651,cubo!$A$6:$BE$37,28,0)-VLOOKUP(B651,#REF!,$AA$2,0),0)</f>
        <v>0</v>
      </c>
      <c r="AB651" s="9">
        <f>IFERROR(VLOOKUP(B651,cubo!$A$6:$BE$37,29,0)-VLOOKUP(B651,#REF!,$AB$2,0),0)</f>
        <v>0</v>
      </c>
      <c r="AC651" s="9">
        <f>IFERROR(VLOOKUP(B651,cubo!$A$6:$BE$37,30,0)-VLOOKUP(B651,#REF!,$AC$2,0),0)</f>
        <v>0</v>
      </c>
      <c r="AD651" s="9">
        <f>IFERROR(VLOOKUP(B651,cubo!$A$6:$BE$37,31,0)-VLOOKUP(B651,#REF!,$AD$2,0),0)</f>
        <v>0</v>
      </c>
      <c r="AE651" s="9">
        <f>IFERROR(VLOOKUP(B651,cubo!$A$6:$BE$37,35,0)-VLOOKUP(B651,#REF!,$AE$2,0),0)</f>
        <v>0</v>
      </c>
      <c r="AF651" s="9" cm="1">
        <f t="array" aca="1" ref="AF651" ca="1">IFERROR(rrPROCV(B651,cubo!$A$6:$BE$37,48,0)-VLOOKUP(B651,#REF!,$AF$2,0),0)</f>
        <v>0</v>
      </c>
      <c r="AG651" s="9">
        <f>IFERROR(VLOOKUP(B651,cubo!$A$6:$BE$37,49,0)-VLOOKUP(B651,#REF!,$AG$2,0),0)</f>
        <v>0</v>
      </c>
      <c r="AH651" s="9">
        <f>IFERROR(VLOOKUP(B651,cubo!$A$6:$BE$37,50,0)-VLOOKUP(B651,#REF!,$AH$2,0),0)</f>
        <v>0</v>
      </c>
      <c r="AI651" s="9">
        <f>IFERROR(VLOOKUP(B651,cubo!$A$6:$BE$37,51,0)-VLOOKUP(B651,#REF!,$AI$2,0),0)</f>
        <v>0</v>
      </c>
      <c r="AJ651" s="9">
        <f>IFERROR(VLOOKUP(B651,cubo!$A$6:$BI$116,62,0)-VLOOKUP(B651,#REF!,$AJ$2,0),0)</f>
        <v>0</v>
      </c>
      <c r="AK651" s="9">
        <f>IFERROR(VLOOKUP(B651,cubo!$A$6:$BJ$37,63,0)-VLOOKUP(B651,#REF!,$AK$2,0),0)</f>
        <v>0</v>
      </c>
      <c r="AL651" s="9">
        <f>IFERROR(VLOOKUP(B651,cubo!$A$6:$BE$37,58,0)-VLOOKUP(B651,#REF!,$AL$2,0),0)</f>
        <v>0</v>
      </c>
      <c r="AM651" s="9">
        <f>IFERROR(VLOOKUP(B651,cubo!$A$6:$BK$37,64,0)-VLOOKUP(B651,#REF!,$AM$2,0),0)</f>
        <v>0</v>
      </c>
      <c r="AN651" s="9">
        <f>IFERROR(VLOOKUP(B651,cubo!$A$6:$AN$37,41,0)-VLOOKUP(B651,#REF!,$AN$2,0),0)</f>
        <v>0</v>
      </c>
    </row>
    <row r="652" spans="2:40" x14ac:dyDescent="0.25">
      <c r="B652" s="7">
        <f>[1]salario!A651</f>
        <v>0</v>
      </c>
      <c r="C652" s="8">
        <f>[1]salario!C651</f>
        <v>0</v>
      </c>
      <c r="D652" s="9">
        <f>IFERROR(VLOOKUP(B652,cubo!$A$6:$BE$37,3,0)-VLOOKUP(B652,#REF!,$D$2,0),0)</f>
        <v>0</v>
      </c>
      <c r="E652" s="10">
        <f>IFERROR(VLOOKUP(B652,cubo!$A$6:$BE$37,5,0)-VLOOKUP(B652,#REF!,$E$2,0),0)</f>
        <v>0</v>
      </c>
      <c r="F652" s="10">
        <f>IFERROR(VLOOKUP(B652,cubo!$A$6:$BE$37,8,0)-VLOOKUP(B652,#REF!,$F$2,0),0)</f>
        <v>0</v>
      </c>
      <c r="G652" s="9">
        <f>IFERROR(VLOOKUP(B652,cubo!$A$6:$BE$37,11,0)-VLOOKUP(B652,#REF!,$G$2,0),0)</f>
        <v>0</v>
      </c>
      <c r="H652" s="9">
        <f>IFERROR(VLOOKUP(B652,cubo!$A$6:$BE$37,53,0)-VLOOKUP(B652,#REF!,$H$2,0),0)</f>
        <v>0</v>
      </c>
      <c r="I652" s="10">
        <f>IFERROR(VLOOKUP(B652,cubo!$A$6:$BE$37,14,0)-VLOOKUP(B652,#REF!,$I$2,0),0)</f>
        <v>0</v>
      </c>
      <c r="J652" s="9">
        <f>IFERROR(VLOOKUP(B652,cubo!$A$6:$BE$37,16,0)-VLOOKUP(B652,#REF!,$J$2,0),0)</f>
        <v>0</v>
      </c>
      <c r="K652" s="9">
        <f>IFERROR(VLOOKUP(B652,cubo!$A$6:$BE$37,17,0)-VLOOKUP(B652,#REF!,$K$2,0),0)</f>
        <v>0</v>
      </c>
      <c r="L652" s="9">
        <f>IFERROR(VLOOKUP(B652,cubo!$A$6:$BE$37,19,0)-VLOOKUP(B652,#REF!,$L$2,0),0)</f>
        <v>0</v>
      </c>
      <c r="M652" s="9">
        <f>IFERROR(VLOOKUP(B652,cubo!$A$6:$BE$37,23,0)-VLOOKUP(B652,#REF!,$M$2,0),0)</f>
        <v>0</v>
      </c>
      <c r="N652" s="9">
        <f>IFERROR(VLOOKUP(B652,cubo!$A$6:$BE$37,25,0)-VLOOKUP(B652,#REF!,$N$2,0),0)</f>
        <v>0</v>
      </c>
      <c r="O652" s="9">
        <f>IFERROR(VLOOKUP(B652,cubo!$A$6:$BE$37,33,0)-VLOOKUP(B652,#REF!,$O$2,0),0)</f>
        <v>0</v>
      </c>
      <c r="P652" s="8">
        <f>IFERROR(VLOOKUP(B652,cubo!$A$6:$BE$37,37,0)-VLOOKUP(B652,#REF!,$P$2,0),0)</f>
        <v>0</v>
      </c>
      <c r="Q652" s="8">
        <f>IFERROR(VLOOKUP(B652,cubo!$A$6:$BE$37,56,0)-VLOOKUP(B652,#REF!,$Q$2,0),0)</f>
        <v>0</v>
      </c>
      <c r="R652" s="9">
        <f>IFERROR(VLOOKUP(B652,cubo!$A$6:$BE$37,40,0)-VLOOKUP(B652,#REF!,$R$2,0),0)</f>
        <v>0</v>
      </c>
      <c r="S652" s="9">
        <f>IFERROR(VLOOKUP(B652,cubo!$A$6:$BE$37,43,0)-VLOOKUP(B652,#REF!,$S$2,0),0)</f>
        <v>0</v>
      </c>
      <c r="T652" s="9">
        <f>IFERROR(VLOOKUP(B652,cubo!$A$6:$BE$37,46,0)-VLOOKUP(B652,#REF!,$T$2,0),0)</f>
        <v>0</v>
      </c>
      <c r="U652" s="9">
        <f>IFERROR(VLOOKUP(B652,cubo!$A$6:$BE$37,51,0)-VLOOKUP(B652,#REF!,$U$2,0),0)</f>
        <v>0</v>
      </c>
      <c r="V652" s="9">
        <f>IFERROR(VLOOKUP(B652,cubo!$A$6:$BJ$37,60,0)-VLOOKUP(B652,#REF!,$V$2,0),0)</f>
        <v>0</v>
      </c>
      <c r="W652" s="9">
        <f>IFERROR(VLOOKUP(B652,cubo!$A$6:$BE$37,26,0)-VLOOKUP(B652,#REF!,$W$2,0),0)</f>
        <v>0</v>
      </c>
      <c r="X652" s="9">
        <f>IFERROR(VLOOKUP(B652,cubo!$A$6:$BE$37,20,0)-VLOOKUP(B652,#REF!,$X$2,0),0)</f>
        <v>0</v>
      </c>
      <c r="Y652" s="9">
        <f>IFERROR(VLOOKUP(B652,cubo!$A$6:$BE$37,21,0)-VLOOKUP(B652,#REF!,$Y$2,0),0)</f>
        <v>0</v>
      </c>
      <c r="Z652" s="9">
        <f>IFERROR(VLOOKUP(B652,cubo!$A$6:$BE$37,27,0)-VLOOKUP(B652,#REF!,$Z$2,0),0)</f>
        <v>0</v>
      </c>
      <c r="AA652" s="9">
        <f>IFERROR(VLOOKUP(B652,cubo!$A$6:$BE$37,28,0)-VLOOKUP(B652,#REF!,$AA$2,0),0)</f>
        <v>0</v>
      </c>
      <c r="AB652" s="9">
        <f>IFERROR(VLOOKUP(B652,cubo!$A$6:$BE$37,29,0)-VLOOKUP(B652,#REF!,$AB$2,0),0)</f>
        <v>0</v>
      </c>
      <c r="AC652" s="9">
        <f>IFERROR(VLOOKUP(B652,cubo!$A$6:$BE$37,30,0)-VLOOKUP(B652,#REF!,$AC$2,0),0)</f>
        <v>0</v>
      </c>
      <c r="AD652" s="9">
        <f>IFERROR(VLOOKUP(B652,cubo!$A$6:$BE$37,31,0)-VLOOKUP(B652,#REF!,$AD$2,0),0)</f>
        <v>0</v>
      </c>
      <c r="AE652" s="9">
        <f>IFERROR(VLOOKUP(B652,cubo!$A$6:$BE$37,35,0)-VLOOKUP(B652,#REF!,$AE$2,0),0)</f>
        <v>0</v>
      </c>
      <c r="AF652" s="9" cm="1">
        <f t="array" aca="1" ref="AF652" ca="1">IFERROR(rrPROCV(B652,cubo!$A$6:$BE$37,48,0)-VLOOKUP(B652,#REF!,$AF$2,0),0)</f>
        <v>0</v>
      </c>
      <c r="AG652" s="9">
        <f>IFERROR(VLOOKUP(B652,cubo!$A$6:$BE$37,49,0)-VLOOKUP(B652,#REF!,$AG$2,0),0)</f>
        <v>0</v>
      </c>
      <c r="AH652" s="9">
        <f>IFERROR(VLOOKUP(B652,cubo!$A$6:$BE$37,50,0)-VLOOKUP(B652,#REF!,$AH$2,0),0)</f>
        <v>0</v>
      </c>
      <c r="AI652" s="9">
        <f>IFERROR(VLOOKUP(B652,cubo!$A$6:$BE$37,51,0)-VLOOKUP(B652,#REF!,$AI$2,0),0)</f>
        <v>0</v>
      </c>
      <c r="AJ652" s="9">
        <f>IFERROR(VLOOKUP(B652,cubo!$A$6:$BI$116,62,0)-VLOOKUP(B652,#REF!,$AJ$2,0),0)</f>
        <v>0</v>
      </c>
      <c r="AK652" s="9">
        <f>IFERROR(VLOOKUP(B652,cubo!$A$6:$BJ$37,63,0)-VLOOKUP(B652,#REF!,$AK$2,0),0)</f>
        <v>0</v>
      </c>
      <c r="AL652" s="9">
        <f>IFERROR(VLOOKUP(B652,cubo!$A$6:$BE$37,58,0)-VLOOKUP(B652,#REF!,$AL$2,0),0)</f>
        <v>0</v>
      </c>
      <c r="AM652" s="9">
        <f>IFERROR(VLOOKUP(B652,cubo!$A$6:$BK$37,64,0)-VLOOKUP(B652,#REF!,$AM$2,0),0)</f>
        <v>0</v>
      </c>
      <c r="AN652" s="9">
        <f>IFERROR(VLOOKUP(B652,cubo!$A$6:$AN$37,41,0)-VLOOKUP(B652,#REF!,$AN$2,0),0)</f>
        <v>0</v>
      </c>
    </row>
    <row r="653" spans="2:40" x14ac:dyDescent="0.25">
      <c r="B653" s="7">
        <f>[1]salario!A652</f>
        <v>0</v>
      </c>
      <c r="C653" s="8">
        <f>[1]salario!C652</f>
        <v>0</v>
      </c>
      <c r="D653" s="9">
        <f>IFERROR(VLOOKUP(B653,cubo!$A$6:$BE$37,3,0)-VLOOKUP(B653,#REF!,$D$2,0),0)</f>
        <v>0</v>
      </c>
      <c r="E653" s="10">
        <f>IFERROR(VLOOKUP(B653,cubo!$A$6:$BE$37,5,0)-VLOOKUP(B653,#REF!,$E$2,0),0)</f>
        <v>0</v>
      </c>
      <c r="F653" s="10">
        <f>IFERROR(VLOOKUP(B653,cubo!$A$6:$BE$37,8,0)-VLOOKUP(B653,#REF!,$F$2,0),0)</f>
        <v>0</v>
      </c>
      <c r="G653" s="9">
        <f>IFERROR(VLOOKUP(B653,cubo!$A$6:$BE$37,11,0)-VLOOKUP(B653,#REF!,$G$2,0),0)</f>
        <v>0</v>
      </c>
      <c r="H653" s="9">
        <f>IFERROR(VLOOKUP(B653,cubo!$A$6:$BE$37,53,0)-VLOOKUP(B653,#REF!,$H$2,0),0)</f>
        <v>0</v>
      </c>
      <c r="I653" s="10">
        <f>IFERROR(VLOOKUP(B653,cubo!$A$6:$BE$37,14,0)-VLOOKUP(B653,#REF!,$I$2,0),0)</f>
        <v>0</v>
      </c>
      <c r="J653" s="9">
        <f>IFERROR(VLOOKUP(B653,cubo!$A$6:$BE$37,16,0)-VLOOKUP(B653,#REF!,$J$2,0),0)</f>
        <v>0</v>
      </c>
      <c r="K653" s="9">
        <f>IFERROR(VLOOKUP(B653,cubo!$A$6:$BE$37,17,0)-VLOOKUP(B653,#REF!,$K$2,0),0)</f>
        <v>0</v>
      </c>
      <c r="L653" s="9">
        <f>IFERROR(VLOOKUP(B653,cubo!$A$6:$BE$37,19,0)-VLOOKUP(B653,#REF!,$L$2,0),0)</f>
        <v>0</v>
      </c>
      <c r="M653" s="9">
        <f>IFERROR(VLOOKUP(B653,cubo!$A$6:$BE$37,23,0)-VLOOKUP(B653,#REF!,$M$2,0),0)</f>
        <v>0</v>
      </c>
      <c r="N653" s="9">
        <f>IFERROR(VLOOKUP(B653,cubo!$A$6:$BE$37,25,0)-VLOOKUP(B653,#REF!,$N$2,0),0)</f>
        <v>0</v>
      </c>
      <c r="O653" s="9">
        <f>IFERROR(VLOOKUP(B653,cubo!$A$6:$BE$37,33,0)-VLOOKUP(B653,#REF!,$O$2,0),0)</f>
        <v>0</v>
      </c>
      <c r="P653" s="8">
        <f>IFERROR(VLOOKUP(B653,cubo!$A$6:$BE$37,37,0)-VLOOKUP(B653,#REF!,$P$2,0),0)</f>
        <v>0</v>
      </c>
      <c r="Q653" s="8">
        <f>IFERROR(VLOOKUP(B653,cubo!$A$6:$BE$37,56,0)-VLOOKUP(B653,#REF!,$Q$2,0),0)</f>
        <v>0</v>
      </c>
      <c r="R653" s="9">
        <f>IFERROR(VLOOKUP(B653,cubo!$A$6:$BE$37,40,0)-VLOOKUP(B653,#REF!,$R$2,0),0)</f>
        <v>0</v>
      </c>
      <c r="S653" s="9">
        <f>IFERROR(VLOOKUP(B653,cubo!$A$6:$BE$37,43,0)-VLOOKUP(B653,#REF!,$S$2,0),0)</f>
        <v>0</v>
      </c>
      <c r="T653" s="9">
        <f>IFERROR(VLOOKUP(B653,cubo!$A$6:$BE$37,46,0)-VLOOKUP(B653,#REF!,$T$2,0),0)</f>
        <v>0</v>
      </c>
      <c r="U653" s="9">
        <f>IFERROR(VLOOKUP(B653,cubo!$A$6:$BE$37,51,0)-VLOOKUP(B653,#REF!,$U$2,0),0)</f>
        <v>0</v>
      </c>
      <c r="V653" s="9">
        <f>IFERROR(VLOOKUP(B653,cubo!$A$6:$BJ$37,60,0)-VLOOKUP(B653,#REF!,$V$2,0),0)</f>
        <v>0</v>
      </c>
      <c r="W653" s="9">
        <f>IFERROR(VLOOKUP(B653,cubo!$A$6:$BE$37,26,0)-VLOOKUP(B653,#REF!,$W$2,0),0)</f>
        <v>0</v>
      </c>
      <c r="X653" s="9">
        <f>IFERROR(VLOOKUP(B653,cubo!$A$6:$BE$37,20,0)-VLOOKUP(B653,#REF!,$X$2,0),0)</f>
        <v>0</v>
      </c>
      <c r="Y653" s="9">
        <f>IFERROR(VLOOKUP(B653,cubo!$A$6:$BE$37,21,0)-VLOOKUP(B653,#REF!,$Y$2,0),0)</f>
        <v>0</v>
      </c>
      <c r="Z653" s="9">
        <f>IFERROR(VLOOKUP(B653,cubo!$A$6:$BE$37,27,0)-VLOOKUP(B653,#REF!,$Z$2,0),0)</f>
        <v>0</v>
      </c>
      <c r="AA653" s="9">
        <f>IFERROR(VLOOKUP(B653,cubo!$A$6:$BE$37,28,0)-VLOOKUP(B653,#REF!,$AA$2,0),0)</f>
        <v>0</v>
      </c>
      <c r="AB653" s="9">
        <f>IFERROR(VLOOKUP(B653,cubo!$A$6:$BE$37,29,0)-VLOOKUP(B653,#REF!,$AB$2,0),0)</f>
        <v>0</v>
      </c>
      <c r="AC653" s="9">
        <f>IFERROR(VLOOKUP(B653,cubo!$A$6:$BE$37,30,0)-VLOOKUP(B653,#REF!,$AC$2,0),0)</f>
        <v>0</v>
      </c>
      <c r="AD653" s="9">
        <f>IFERROR(VLOOKUP(B653,cubo!$A$6:$BE$37,31,0)-VLOOKUP(B653,#REF!,$AD$2,0),0)</f>
        <v>0</v>
      </c>
      <c r="AE653" s="9">
        <f>IFERROR(VLOOKUP(B653,cubo!$A$6:$BE$37,35,0)-VLOOKUP(B653,#REF!,$AE$2,0),0)</f>
        <v>0</v>
      </c>
      <c r="AF653" s="9" cm="1">
        <f t="array" aca="1" ref="AF653" ca="1">IFERROR(rrPROCV(B653,cubo!$A$6:$BE$37,48,0)-VLOOKUP(B653,#REF!,$AF$2,0),0)</f>
        <v>0</v>
      </c>
      <c r="AG653" s="9">
        <f>IFERROR(VLOOKUP(B653,cubo!$A$6:$BE$37,49,0)-VLOOKUP(B653,#REF!,$AG$2,0),0)</f>
        <v>0</v>
      </c>
      <c r="AH653" s="9">
        <f>IFERROR(VLOOKUP(B653,cubo!$A$6:$BE$37,50,0)-VLOOKUP(B653,#REF!,$AH$2,0),0)</f>
        <v>0</v>
      </c>
      <c r="AI653" s="9">
        <f>IFERROR(VLOOKUP(B653,cubo!$A$6:$BE$37,51,0)-VLOOKUP(B653,#REF!,$AI$2,0),0)</f>
        <v>0</v>
      </c>
      <c r="AJ653" s="9">
        <f>IFERROR(VLOOKUP(B653,cubo!$A$6:$BI$116,62,0)-VLOOKUP(B653,#REF!,$AJ$2,0),0)</f>
        <v>0</v>
      </c>
      <c r="AK653" s="9">
        <f>IFERROR(VLOOKUP(B653,cubo!$A$6:$BJ$37,63,0)-VLOOKUP(B653,#REF!,$AK$2,0),0)</f>
        <v>0</v>
      </c>
      <c r="AL653" s="9">
        <f>IFERROR(VLOOKUP(B653,cubo!$A$6:$BE$37,58,0)-VLOOKUP(B653,#REF!,$AL$2,0),0)</f>
        <v>0</v>
      </c>
      <c r="AM653" s="9">
        <f>IFERROR(VLOOKUP(B653,cubo!$A$6:$BK$37,64,0)-VLOOKUP(B653,#REF!,$AM$2,0),0)</f>
        <v>0</v>
      </c>
      <c r="AN653" s="9">
        <f>IFERROR(VLOOKUP(B653,cubo!$A$6:$AN$37,41,0)-VLOOKUP(B653,#REF!,$AN$2,0),0)</f>
        <v>0</v>
      </c>
    </row>
    <row r="654" spans="2:40" x14ac:dyDescent="0.25">
      <c r="B654" s="7">
        <f>[1]salario!A653</f>
        <v>0</v>
      </c>
      <c r="C654" s="8">
        <f>[1]salario!C653</f>
        <v>0</v>
      </c>
      <c r="D654" s="9">
        <f>IFERROR(VLOOKUP(B654,cubo!$A$6:$BE$37,3,0)-VLOOKUP(B654,#REF!,$D$2,0),0)</f>
        <v>0</v>
      </c>
      <c r="E654" s="10">
        <f>IFERROR(VLOOKUP(B654,cubo!$A$6:$BE$37,5,0)-VLOOKUP(B654,#REF!,$E$2,0),0)</f>
        <v>0</v>
      </c>
      <c r="F654" s="10">
        <f>IFERROR(VLOOKUP(B654,cubo!$A$6:$BE$37,8,0)-VLOOKUP(B654,#REF!,$F$2,0),0)</f>
        <v>0</v>
      </c>
      <c r="G654" s="9">
        <f>IFERROR(VLOOKUP(B654,cubo!$A$6:$BE$37,11,0)-VLOOKUP(B654,#REF!,$G$2,0),0)</f>
        <v>0</v>
      </c>
      <c r="H654" s="9">
        <f>IFERROR(VLOOKUP(B654,cubo!$A$6:$BE$37,53,0)-VLOOKUP(B654,#REF!,$H$2,0),0)</f>
        <v>0</v>
      </c>
      <c r="I654" s="10">
        <f>IFERROR(VLOOKUP(B654,cubo!$A$6:$BE$37,14,0)-VLOOKUP(B654,#REF!,$I$2,0),0)</f>
        <v>0</v>
      </c>
      <c r="J654" s="9">
        <f>IFERROR(VLOOKUP(B654,cubo!$A$6:$BE$37,16,0)-VLOOKUP(B654,#REF!,$J$2,0),0)</f>
        <v>0</v>
      </c>
      <c r="K654" s="9">
        <f>IFERROR(VLOOKUP(B654,cubo!$A$6:$BE$37,17,0)-VLOOKUP(B654,#REF!,$K$2,0),0)</f>
        <v>0</v>
      </c>
      <c r="L654" s="9">
        <f>IFERROR(VLOOKUP(B654,cubo!$A$6:$BE$37,19,0)-VLOOKUP(B654,#REF!,$L$2,0),0)</f>
        <v>0</v>
      </c>
      <c r="M654" s="9">
        <f>IFERROR(VLOOKUP(B654,cubo!$A$6:$BE$37,23,0)-VLOOKUP(B654,#REF!,$M$2,0),0)</f>
        <v>0</v>
      </c>
      <c r="N654" s="9">
        <f>IFERROR(VLOOKUP(B654,cubo!$A$6:$BE$37,25,0)-VLOOKUP(B654,#REF!,$N$2,0),0)</f>
        <v>0</v>
      </c>
      <c r="O654" s="9">
        <f>IFERROR(VLOOKUP(B654,cubo!$A$6:$BE$37,33,0)-VLOOKUP(B654,#REF!,$O$2,0),0)</f>
        <v>0</v>
      </c>
      <c r="P654" s="8">
        <f>IFERROR(VLOOKUP(B654,cubo!$A$6:$BE$37,37,0)-VLOOKUP(B654,#REF!,$P$2,0),0)</f>
        <v>0</v>
      </c>
      <c r="Q654" s="8">
        <f>IFERROR(VLOOKUP(B654,cubo!$A$6:$BE$37,56,0)-VLOOKUP(B654,#REF!,$Q$2,0),0)</f>
        <v>0</v>
      </c>
      <c r="R654" s="9">
        <f>IFERROR(VLOOKUP(B654,cubo!$A$6:$BE$37,40,0)-VLOOKUP(B654,#REF!,$R$2,0),0)</f>
        <v>0</v>
      </c>
      <c r="S654" s="9">
        <f>IFERROR(VLOOKUP(B654,cubo!$A$6:$BE$37,43,0)-VLOOKUP(B654,#REF!,$S$2,0),0)</f>
        <v>0</v>
      </c>
      <c r="T654" s="9">
        <f>IFERROR(VLOOKUP(B654,cubo!$A$6:$BE$37,46,0)-VLOOKUP(B654,#REF!,$T$2,0),0)</f>
        <v>0</v>
      </c>
      <c r="U654" s="9">
        <f>IFERROR(VLOOKUP(B654,cubo!$A$6:$BE$37,51,0)-VLOOKUP(B654,#REF!,$U$2,0),0)</f>
        <v>0</v>
      </c>
      <c r="V654" s="9">
        <f>IFERROR(VLOOKUP(B654,cubo!$A$6:$BJ$37,60,0)-VLOOKUP(B654,#REF!,$V$2,0),0)</f>
        <v>0</v>
      </c>
      <c r="W654" s="9">
        <f>IFERROR(VLOOKUP(B654,cubo!$A$6:$BE$37,26,0)-VLOOKUP(B654,#REF!,$W$2,0),0)</f>
        <v>0</v>
      </c>
      <c r="X654" s="9">
        <f>IFERROR(VLOOKUP(B654,cubo!$A$6:$BE$37,20,0)-VLOOKUP(B654,#REF!,$X$2,0),0)</f>
        <v>0</v>
      </c>
      <c r="Y654" s="9">
        <f>IFERROR(VLOOKUP(B654,cubo!$A$6:$BE$37,21,0)-VLOOKUP(B654,#REF!,$Y$2,0),0)</f>
        <v>0</v>
      </c>
      <c r="Z654" s="9">
        <f>IFERROR(VLOOKUP(B654,cubo!$A$6:$BE$37,27,0)-VLOOKUP(B654,#REF!,$Z$2,0),0)</f>
        <v>0</v>
      </c>
      <c r="AA654" s="9">
        <f>IFERROR(VLOOKUP(B654,cubo!$A$6:$BE$37,28,0)-VLOOKUP(B654,#REF!,$AA$2,0),0)</f>
        <v>0</v>
      </c>
      <c r="AB654" s="9">
        <f>IFERROR(VLOOKUP(B654,cubo!$A$6:$BE$37,29,0)-VLOOKUP(B654,#REF!,$AB$2,0),0)</f>
        <v>0</v>
      </c>
      <c r="AC654" s="9">
        <f>IFERROR(VLOOKUP(B654,cubo!$A$6:$BE$37,30,0)-VLOOKUP(B654,#REF!,$AC$2,0),0)</f>
        <v>0</v>
      </c>
      <c r="AD654" s="9">
        <f>IFERROR(VLOOKUP(B654,cubo!$A$6:$BE$37,31,0)-VLOOKUP(B654,#REF!,$AD$2,0),0)</f>
        <v>0</v>
      </c>
      <c r="AE654" s="9">
        <f>IFERROR(VLOOKUP(B654,cubo!$A$6:$BE$37,35,0)-VLOOKUP(B654,#REF!,$AE$2,0),0)</f>
        <v>0</v>
      </c>
      <c r="AF654" s="9" cm="1">
        <f t="array" aca="1" ref="AF654" ca="1">IFERROR(rrPROCV(B654,cubo!$A$6:$BE$37,48,0)-VLOOKUP(B654,#REF!,$AF$2,0),0)</f>
        <v>0</v>
      </c>
      <c r="AG654" s="9">
        <f>IFERROR(VLOOKUP(B654,cubo!$A$6:$BE$37,49,0)-VLOOKUP(B654,#REF!,$AG$2,0),0)</f>
        <v>0</v>
      </c>
      <c r="AH654" s="9">
        <f>IFERROR(VLOOKUP(B654,cubo!$A$6:$BE$37,50,0)-VLOOKUP(B654,#REF!,$AH$2,0),0)</f>
        <v>0</v>
      </c>
      <c r="AI654" s="9">
        <f>IFERROR(VLOOKUP(B654,cubo!$A$6:$BE$37,51,0)-VLOOKUP(B654,#REF!,$AI$2,0),0)</f>
        <v>0</v>
      </c>
      <c r="AJ654" s="9">
        <f>IFERROR(VLOOKUP(B654,cubo!$A$6:$BI$116,62,0)-VLOOKUP(B654,#REF!,$AJ$2,0),0)</f>
        <v>0</v>
      </c>
      <c r="AK654" s="9">
        <f>IFERROR(VLOOKUP(B654,cubo!$A$6:$BJ$37,63,0)-VLOOKUP(B654,#REF!,$AK$2,0),0)</f>
        <v>0</v>
      </c>
      <c r="AL654" s="9">
        <f>IFERROR(VLOOKUP(B654,cubo!$A$6:$BE$37,58,0)-VLOOKUP(B654,#REF!,$AL$2,0),0)</f>
        <v>0</v>
      </c>
      <c r="AM654" s="9">
        <f>IFERROR(VLOOKUP(B654,cubo!$A$6:$BK$37,64,0)-VLOOKUP(B654,#REF!,$AM$2,0),0)</f>
        <v>0</v>
      </c>
      <c r="AN654" s="9">
        <f>IFERROR(VLOOKUP(B654,cubo!$A$6:$AN$37,41,0)-VLOOKUP(B654,#REF!,$AN$2,0),0)</f>
        <v>0</v>
      </c>
    </row>
    <row r="655" spans="2:40" x14ac:dyDescent="0.25">
      <c r="B655" s="7">
        <f>[1]salario!A654</f>
        <v>0</v>
      </c>
      <c r="C655" s="8">
        <f>[1]salario!C654</f>
        <v>0</v>
      </c>
      <c r="D655" s="9">
        <f>IFERROR(VLOOKUP(B655,cubo!$A$6:$BE$37,3,0)-VLOOKUP(B655,#REF!,$D$2,0),0)</f>
        <v>0</v>
      </c>
      <c r="E655" s="10">
        <f>IFERROR(VLOOKUP(B655,cubo!$A$6:$BE$37,5,0)-VLOOKUP(B655,#REF!,$E$2,0),0)</f>
        <v>0</v>
      </c>
      <c r="F655" s="10">
        <f>IFERROR(VLOOKUP(B655,cubo!$A$6:$BE$37,8,0)-VLOOKUP(B655,#REF!,$F$2,0),0)</f>
        <v>0</v>
      </c>
      <c r="G655" s="9">
        <f>IFERROR(VLOOKUP(B655,cubo!$A$6:$BE$37,11,0)-VLOOKUP(B655,#REF!,$G$2,0),0)</f>
        <v>0</v>
      </c>
      <c r="H655" s="9">
        <f>IFERROR(VLOOKUP(B655,cubo!$A$6:$BE$37,53,0)-VLOOKUP(B655,#REF!,$H$2,0),0)</f>
        <v>0</v>
      </c>
      <c r="I655" s="10">
        <f>IFERROR(VLOOKUP(B655,cubo!$A$6:$BE$37,14,0)-VLOOKUP(B655,#REF!,$I$2,0),0)</f>
        <v>0</v>
      </c>
      <c r="J655" s="9">
        <f>IFERROR(VLOOKUP(B655,cubo!$A$6:$BE$37,16,0)-VLOOKUP(B655,#REF!,$J$2,0),0)</f>
        <v>0</v>
      </c>
      <c r="K655" s="9">
        <f>IFERROR(VLOOKUP(B655,cubo!$A$6:$BE$37,17,0)-VLOOKUP(B655,#REF!,$K$2,0),0)</f>
        <v>0</v>
      </c>
      <c r="L655" s="9">
        <f>IFERROR(VLOOKUP(B655,cubo!$A$6:$BE$37,19,0)-VLOOKUP(B655,#REF!,$L$2,0),0)</f>
        <v>0</v>
      </c>
      <c r="M655" s="9">
        <f>IFERROR(VLOOKUP(B655,cubo!$A$6:$BE$37,23,0)-VLOOKUP(B655,#REF!,$M$2,0),0)</f>
        <v>0</v>
      </c>
      <c r="N655" s="9">
        <f>IFERROR(VLOOKUP(B655,cubo!$A$6:$BE$37,25,0)-VLOOKUP(B655,#REF!,$N$2,0),0)</f>
        <v>0</v>
      </c>
      <c r="O655" s="9">
        <f>IFERROR(VLOOKUP(B655,cubo!$A$6:$BE$37,33,0)-VLOOKUP(B655,#REF!,$O$2,0),0)</f>
        <v>0</v>
      </c>
      <c r="P655" s="8">
        <f>IFERROR(VLOOKUP(B655,cubo!$A$6:$BE$37,37,0)-VLOOKUP(B655,#REF!,$P$2,0),0)</f>
        <v>0</v>
      </c>
      <c r="Q655" s="8">
        <f>IFERROR(VLOOKUP(B655,cubo!$A$6:$BE$37,56,0)-VLOOKUP(B655,#REF!,$Q$2,0),0)</f>
        <v>0</v>
      </c>
      <c r="R655" s="9">
        <f>IFERROR(VLOOKUP(B655,cubo!$A$6:$BE$37,40,0)-VLOOKUP(B655,#REF!,$R$2,0),0)</f>
        <v>0</v>
      </c>
      <c r="S655" s="9">
        <f>IFERROR(VLOOKUP(B655,cubo!$A$6:$BE$37,43,0)-VLOOKUP(B655,#REF!,$S$2,0),0)</f>
        <v>0</v>
      </c>
      <c r="T655" s="9">
        <f>IFERROR(VLOOKUP(B655,cubo!$A$6:$BE$37,46,0)-VLOOKUP(B655,#REF!,$T$2,0),0)</f>
        <v>0</v>
      </c>
      <c r="U655" s="9">
        <f>IFERROR(VLOOKUP(B655,cubo!$A$6:$BE$37,51,0)-VLOOKUP(B655,#REF!,$U$2,0),0)</f>
        <v>0</v>
      </c>
      <c r="V655" s="9">
        <f>IFERROR(VLOOKUP(B655,cubo!$A$6:$BJ$37,60,0)-VLOOKUP(B655,#REF!,$V$2,0),0)</f>
        <v>0</v>
      </c>
      <c r="W655" s="9">
        <f>IFERROR(VLOOKUP(B655,cubo!$A$6:$BE$37,26,0)-VLOOKUP(B655,#REF!,$W$2,0),0)</f>
        <v>0</v>
      </c>
      <c r="X655" s="9">
        <f>IFERROR(VLOOKUP(B655,cubo!$A$6:$BE$37,20,0)-VLOOKUP(B655,#REF!,$X$2,0),0)</f>
        <v>0</v>
      </c>
      <c r="Y655" s="9">
        <f>IFERROR(VLOOKUP(B655,cubo!$A$6:$BE$37,21,0)-VLOOKUP(B655,#REF!,$Y$2,0),0)</f>
        <v>0</v>
      </c>
      <c r="Z655" s="9">
        <f>IFERROR(VLOOKUP(B655,cubo!$A$6:$BE$37,27,0)-VLOOKUP(B655,#REF!,$Z$2,0),0)</f>
        <v>0</v>
      </c>
      <c r="AA655" s="9">
        <f>IFERROR(VLOOKUP(B655,cubo!$A$6:$BE$37,28,0)-VLOOKUP(B655,#REF!,$AA$2,0),0)</f>
        <v>0</v>
      </c>
      <c r="AB655" s="9">
        <f>IFERROR(VLOOKUP(B655,cubo!$A$6:$BE$37,29,0)-VLOOKUP(B655,#REF!,$AB$2,0),0)</f>
        <v>0</v>
      </c>
      <c r="AC655" s="9">
        <f>IFERROR(VLOOKUP(B655,cubo!$A$6:$BE$37,30,0)-VLOOKUP(B655,#REF!,$AC$2,0),0)</f>
        <v>0</v>
      </c>
      <c r="AD655" s="9">
        <f>IFERROR(VLOOKUP(B655,cubo!$A$6:$BE$37,31,0)-VLOOKUP(B655,#REF!,$AD$2,0),0)</f>
        <v>0</v>
      </c>
      <c r="AE655" s="9">
        <f>IFERROR(VLOOKUP(B655,cubo!$A$6:$BE$37,35,0)-VLOOKUP(B655,#REF!,$AE$2,0),0)</f>
        <v>0</v>
      </c>
      <c r="AF655" s="9" cm="1">
        <f t="array" aca="1" ref="AF655" ca="1">IFERROR(rrPROCV(B655,cubo!$A$6:$BE$37,48,0)-VLOOKUP(B655,#REF!,$AF$2,0),0)</f>
        <v>0</v>
      </c>
      <c r="AG655" s="9">
        <f>IFERROR(VLOOKUP(B655,cubo!$A$6:$BE$37,49,0)-VLOOKUP(B655,#REF!,$AG$2,0),0)</f>
        <v>0</v>
      </c>
      <c r="AH655" s="9">
        <f>IFERROR(VLOOKUP(B655,cubo!$A$6:$BE$37,50,0)-VLOOKUP(B655,#REF!,$AH$2,0),0)</f>
        <v>0</v>
      </c>
      <c r="AI655" s="9">
        <f>IFERROR(VLOOKUP(B655,cubo!$A$6:$BE$37,51,0)-VLOOKUP(B655,#REF!,$AI$2,0),0)</f>
        <v>0</v>
      </c>
      <c r="AJ655" s="9">
        <f>IFERROR(VLOOKUP(B655,cubo!$A$6:$BI$116,62,0)-VLOOKUP(B655,#REF!,$AJ$2,0),0)</f>
        <v>0</v>
      </c>
      <c r="AK655" s="9">
        <f>IFERROR(VLOOKUP(B655,cubo!$A$6:$BJ$37,63,0)-VLOOKUP(B655,#REF!,$AK$2,0),0)</f>
        <v>0</v>
      </c>
      <c r="AL655" s="9">
        <f>IFERROR(VLOOKUP(B655,cubo!$A$6:$BE$37,58,0)-VLOOKUP(B655,#REF!,$AL$2,0),0)</f>
        <v>0</v>
      </c>
      <c r="AM655" s="9">
        <f>IFERROR(VLOOKUP(B655,cubo!$A$6:$BK$37,64,0)-VLOOKUP(B655,#REF!,$AM$2,0),0)</f>
        <v>0</v>
      </c>
      <c r="AN655" s="9">
        <f>IFERROR(VLOOKUP(B655,cubo!$A$6:$AN$37,41,0)-VLOOKUP(B655,#REF!,$AN$2,0),0)</f>
        <v>0</v>
      </c>
    </row>
    <row r="656" spans="2:40" x14ac:dyDescent="0.25">
      <c r="B656" s="7">
        <f>[1]salario!A655</f>
        <v>0</v>
      </c>
      <c r="C656" s="8">
        <f>[1]salario!C655</f>
        <v>0</v>
      </c>
      <c r="D656" s="9">
        <f>IFERROR(VLOOKUP(B656,cubo!$A$6:$BE$37,3,0)-VLOOKUP(B656,#REF!,$D$2,0),0)</f>
        <v>0</v>
      </c>
      <c r="E656" s="10">
        <f>IFERROR(VLOOKUP(B656,cubo!$A$6:$BE$37,5,0)-VLOOKUP(B656,#REF!,$E$2,0),0)</f>
        <v>0</v>
      </c>
      <c r="F656" s="10">
        <f>IFERROR(VLOOKUP(B656,cubo!$A$6:$BE$37,8,0)-VLOOKUP(B656,#REF!,$F$2,0),0)</f>
        <v>0</v>
      </c>
      <c r="G656" s="9">
        <f>IFERROR(VLOOKUP(B656,cubo!$A$6:$BE$37,11,0)-VLOOKUP(B656,#REF!,$G$2,0),0)</f>
        <v>0</v>
      </c>
      <c r="H656" s="9">
        <f>IFERROR(VLOOKUP(B656,cubo!$A$6:$BE$37,53,0)-VLOOKUP(B656,#REF!,$H$2,0),0)</f>
        <v>0</v>
      </c>
      <c r="I656" s="10">
        <f>IFERROR(VLOOKUP(B656,cubo!$A$6:$BE$37,14,0)-VLOOKUP(B656,#REF!,$I$2,0),0)</f>
        <v>0</v>
      </c>
      <c r="J656" s="9">
        <f>IFERROR(VLOOKUP(B656,cubo!$A$6:$BE$37,16,0)-VLOOKUP(B656,#REF!,$J$2,0),0)</f>
        <v>0</v>
      </c>
      <c r="K656" s="9">
        <f>IFERROR(VLOOKUP(B656,cubo!$A$6:$BE$37,17,0)-VLOOKUP(B656,#REF!,$K$2,0),0)</f>
        <v>0</v>
      </c>
      <c r="L656" s="9">
        <f>IFERROR(VLOOKUP(B656,cubo!$A$6:$BE$37,19,0)-VLOOKUP(B656,#REF!,$L$2,0),0)</f>
        <v>0</v>
      </c>
      <c r="M656" s="9">
        <f>IFERROR(VLOOKUP(B656,cubo!$A$6:$BE$37,23,0)-VLOOKUP(B656,#REF!,$M$2,0),0)</f>
        <v>0</v>
      </c>
      <c r="N656" s="9">
        <f>IFERROR(VLOOKUP(B656,cubo!$A$6:$BE$37,25,0)-VLOOKUP(B656,#REF!,$N$2,0),0)</f>
        <v>0</v>
      </c>
      <c r="O656" s="9">
        <f>IFERROR(VLOOKUP(B656,cubo!$A$6:$BE$37,33,0)-VLOOKUP(B656,#REF!,$O$2,0),0)</f>
        <v>0</v>
      </c>
      <c r="P656" s="8">
        <f>IFERROR(VLOOKUP(B656,cubo!$A$6:$BE$37,37,0)-VLOOKUP(B656,#REF!,$P$2,0),0)</f>
        <v>0</v>
      </c>
      <c r="Q656" s="8">
        <f>IFERROR(VLOOKUP(B656,cubo!$A$6:$BE$37,56,0)-VLOOKUP(B656,#REF!,$Q$2,0),0)</f>
        <v>0</v>
      </c>
      <c r="R656" s="9">
        <f>IFERROR(VLOOKUP(B656,cubo!$A$6:$BE$37,40,0)-VLOOKUP(B656,#REF!,$R$2,0),0)</f>
        <v>0</v>
      </c>
      <c r="S656" s="9">
        <f>IFERROR(VLOOKUP(B656,cubo!$A$6:$BE$37,43,0)-VLOOKUP(B656,#REF!,$S$2,0),0)</f>
        <v>0</v>
      </c>
      <c r="T656" s="9">
        <f>IFERROR(VLOOKUP(B656,cubo!$A$6:$BE$37,46,0)-VLOOKUP(B656,#REF!,$T$2,0),0)</f>
        <v>0</v>
      </c>
      <c r="U656" s="9">
        <f>IFERROR(VLOOKUP(B656,cubo!$A$6:$BE$37,51,0)-VLOOKUP(B656,#REF!,$U$2,0),0)</f>
        <v>0</v>
      </c>
      <c r="V656" s="9">
        <f>IFERROR(VLOOKUP(B656,cubo!$A$6:$BJ$37,60,0)-VLOOKUP(B656,#REF!,$V$2,0),0)</f>
        <v>0</v>
      </c>
      <c r="W656" s="9">
        <f>IFERROR(VLOOKUP(B656,cubo!$A$6:$BE$37,26,0)-VLOOKUP(B656,#REF!,$W$2,0),0)</f>
        <v>0</v>
      </c>
      <c r="X656" s="9">
        <f>IFERROR(VLOOKUP(B656,cubo!$A$6:$BE$37,20,0)-VLOOKUP(B656,#REF!,$X$2,0),0)</f>
        <v>0</v>
      </c>
      <c r="Y656" s="9">
        <f>IFERROR(VLOOKUP(B656,cubo!$A$6:$BE$37,21,0)-VLOOKUP(B656,#REF!,$Y$2,0),0)</f>
        <v>0</v>
      </c>
      <c r="Z656" s="9">
        <f>IFERROR(VLOOKUP(B656,cubo!$A$6:$BE$37,27,0)-VLOOKUP(B656,#REF!,$Z$2,0),0)</f>
        <v>0</v>
      </c>
      <c r="AA656" s="9">
        <f>IFERROR(VLOOKUP(B656,cubo!$A$6:$BE$37,28,0)-VLOOKUP(B656,#REF!,$AA$2,0),0)</f>
        <v>0</v>
      </c>
      <c r="AB656" s="9">
        <f>IFERROR(VLOOKUP(B656,cubo!$A$6:$BE$37,29,0)-VLOOKUP(B656,#REF!,$AB$2,0),0)</f>
        <v>0</v>
      </c>
      <c r="AC656" s="9">
        <f>IFERROR(VLOOKUP(B656,cubo!$A$6:$BE$37,30,0)-VLOOKUP(B656,#REF!,$AC$2,0),0)</f>
        <v>0</v>
      </c>
      <c r="AD656" s="9">
        <f>IFERROR(VLOOKUP(B656,cubo!$A$6:$BE$37,31,0)-VLOOKUP(B656,#REF!,$AD$2,0),0)</f>
        <v>0</v>
      </c>
      <c r="AE656" s="9">
        <f>IFERROR(VLOOKUP(B656,cubo!$A$6:$BE$37,35,0)-VLOOKUP(B656,#REF!,$AE$2,0),0)</f>
        <v>0</v>
      </c>
      <c r="AF656" s="9" cm="1">
        <f t="array" aca="1" ref="AF656" ca="1">IFERROR(rrPROCV(B656,cubo!$A$6:$BE$37,48,0)-VLOOKUP(B656,#REF!,$AF$2,0),0)</f>
        <v>0</v>
      </c>
      <c r="AG656" s="9">
        <f>IFERROR(VLOOKUP(B656,cubo!$A$6:$BE$37,49,0)-VLOOKUP(B656,#REF!,$AG$2,0),0)</f>
        <v>0</v>
      </c>
      <c r="AH656" s="9">
        <f>IFERROR(VLOOKUP(B656,cubo!$A$6:$BE$37,50,0)-VLOOKUP(B656,#REF!,$AH$2,0),0)</f>
        <v>0</v>
      </c>
      <c r="AI656" s="9">
        <f>IFERROR(VLOOKUP(B656,cubo!$A$6:$BE$37,51,0)-VLOOKUP(B656,#REF!,$AI$2,0),0)</f>
        <v>0</v>
      </c>
      <c r="AJ656" s="9">
        <f>IFERROR(VLOOKUP(B656,cubo!$A$6:$BI$116,62,0)-VLOOKUP(B656,#REF!,$AJ$2,0),0)</f>
        <v>0</v>
      </c>
      <c r="AK656" s="9">
        <f>IFERROR(VLOOKUP(B656,cubo!$A$6:$BJ$37,63,0)-VLOOKUP(B656,#REF!,$AK$2,0),0)</f>
        <v>0</v>
      </c>
      <c r="AL656" s="9">
        <f>IFERROR(VLOOKUP(B656,cubo!$A$6:$BE$37,58,0)-VLOOKUP(B656,#REF!,$AL$2,0),0)</f>
        <v>0</v>
      </c>
      <c r="AM656" s="9">
        <f>IFERROR(VLOOKUP(B656,cubo!$A$6:$BK$37,64,0)-VLOOKUP(B656,#REF!,$AM$2,0),0)</f>
        <v>0</v>
      </c>
      <c r="AN656" s="9">
        <f>IFERROR(VLOOKUP(B656,cubo!$A$6:$AN$37,41,0)-VLOOKUP(B656,#REF!,$AN$2,0),0)</f>
        <v>0</v>
      </c>
    </row>
    <row r="657" spans="2:40" x14ac:dyDescent="0.25">
      <c r="B657" s="7">
        <f>[1]salario!A656</f>
        <v>0</v>
      </c>
      <c r="C657" s="8">
        <f>[1]salario!C656</f>
        <v>0</v>
      </c>
      <c r="D657" s="9">
        <f>IFERROR(VLOOKUP(B657,cubo!$A$6:$BE$37,3,0)-VLOOKUP(B657,#REF!,$D$2,0),0)</f>
        <v>0</v>
      </c>
      <c r="E657" s="10">
        <f>IFERROR(VLOOKUP(B657,cubo!$A$6:$BE$37,5,0)-VLOOKUP(B657,#REF!,$E$2,0),0)</f>
        <v>0</v>
      </c>
      <c r="F657" s="10">
        <f>IFERROR(VLOOKUP(B657,cubo!$A$6:$BE$37,8,0)-VLOOKUP(B657,#REF!,$F$2,0),0)</f>
        <v>0</v>
      </c>
      <c r="G657" s="9">
        <f>IFERROR(VLOOKUP(B657,cubo!$A$6:$BE$37,11,0)-VLOOKUP(B657,#REF!,$G$2,0),0)</f>
        <v>0</v>
      </c>
      <c r="H657" s="9">
        <f>IFERROR(VLOOKUP(B657,cubo!$A$6:$BE$37,53,0)-VLOOKUP(B657,#REF!,$H$2,0),0)</f>
        <v>0</v>
      </c>
      <c r="I657" s="10">
        <f>IFERROR(VLOOKUP(B657,cubo!$A$6:$BE$37,14,0)-VLOOKUP(B657,#REF!,$I$2,0),0)</f>
        <v>0</v>
      </c>
      <c r="J657" s="9">
        <f>IFERROR(VLOOKUP(B657,cubo!$A$6:$BE$37,16,0)-VLOOKUP(B657,#REF!,$J$2,0),0)</f>
        <v>0</v>
      </c>
      <c r="K657" s="9">
        <f>IFERROR(VLOOKUP(B657,cubo!$A$6:$BE$37,17,0)-VLOOKUP(B657,#REF!,$K$2,0),0)</f>
        <v>0</v>
      </c>
      <c r="L657" s="9">
        <f>IFERROR(VLOOKUP(B657,cubo!$A$6:$BE$37,19,0)-VLOOKUP(B657,#REF!,$L$2,0),0)</f>
        <v>0</v>
      </c>
      <c r="M657" s="9">
        <f>IFERROR(VLOOKUP(B657,cubo!$A$6:$BE$37,23,0)-VLOOKUP(B657,#REF!,$M$2,0),0)</f>
        <v>0</v>
      </c>
      <c r="N657" s="9">
        <f>IFERROR(VLOOKUP(B657,cubo!$A$6:$BE$37,25,0)-VLOOKUP(B657,#REF!,$N$2,0),0)</f>
        <v>0</v>
      </c>
      <c r="O657" s="9">
        <f>IFERROR(VLOOKUP(B657,cubo!$A$6:$BE$37,33,0)-VLOOKUP(B657,#REF!,$O$2,0),0)</f>
        <v>0</v>
      </c>
      <c r="P657" s="8">
        <f>IFERROR(VLOOKUP(B657,cubo!$A$6:$BE$37,37,0)-VLOOKUP(B657,#REF!,$P$2,0),0)</f>
        <v>0</v>
      </c>
      <c r="Q657" s="8">
        <f>IFERROR(VLOOKUP(B657,cubo!$A$6:$BE$37,56,0)-VLOOKUP(B657,#REF!,$Q$2,0),0)</f>
        <v>0</v>
      </c>
      <c r="R657" s="9">
        <f>IFERROR(VLOOKUP(B657,cubo!$A$6:$BE$37,40,0)-VLOOKUP(B657,#REF!,$R$2,0),0)</f>
        <v>0</v>
      </c>
      <c r="S657" s="9">
        <f>IFERROR(VLOOKUP(B657,cubo!$A$6:$BE$37,43,0)-VLOOKUP(B657,#REF!,$S$2,0),0)</f>
        <v>0</v>
      </c>
      <c r="T657" s="9">
        <f>IFERROR(VLOOKUP(B657,cubo!$A$6:$BE$37,46,0)-VLOOKUP(B657,#REF!,$T$2,0),0)</f>
        <v>0</v>
      </c>
      <c r="U657" s="9">
        <f>IFERROR(VLOOKUP(B657,cubo!$A$6:$BE$37,51,0)-VLOOKUP(B657,#REF!,$U$2,0),0)</f>
        <v>0</v>
      </c>
      <c r="V657" s="9">
        <f>IFERROR(VLOOKUP(B657,cubo!$A$6:$BJ$37,60,0)-VLOOKUP(B657,#REF!,$V$2,0),0)</f>
        <v>0</v>
      </c>
      <c r="W657" s="9">
        <f>IFERROR(VLOOKUP(B657,cubo!$A$6:$BE$37,26,0)-VLOOKUP(B657,#REF!,$W$2,0),0)</f>
        <v>0</v>
      </c>
      <c r="X657" s="9">
        <f>IFERROR(VLOOKUP(B657,cubo!$A$6:$BE$37,20,0)-VLOOKUP(B657,#REF!,$X$2,0),0)</f>
        <v>0</v>
      </c>
      <c r="Y657" s="9">
        <f>IFERROR(VLOOKUP(B657,cubo!$A$6:$BE$37,21,0)-VLOOKUP(B657,#REF!,$Y$2,0),0)</f>
        <v>0</v>
      </c>
      <c r="Z657" s="9">
        <f>IFERROR(VLOOKUP(B657,cubo!$A$6:$BE$37,27,0)-VLOOKUP(B657,#REF!,$Z$2,0),0)</f>
        <v>0</v>
      </c>
      <c r="AA657" s="9">
        <f>IFERROR(VLOOKUP(B657,cubo!$A$6:$BE$37,28,0)-VLOOKUP(B657,#REF!,$AA$2,0),0)</f>
        <v>0</v>
      </c>
      <c r="AB657" s="9">
        <f>IFERROR(VLOOKUP(B657,cubo!$A$6:$BE$37,29,0)-VLOOKUP(B657,#REF!,$AB$2,0),0)</f>
        <v>0</v>
      </c>
      <c r="AC657" s="9">
        <f>IFERROR(VLOOKUP(B657,cubo!$A$6:$BE$37,30,0)-VLOOKUP(B657,#REF!,$AC$2,0),0)</f>
        <v>0</v>
      </c>
      <c r="AD657" s="9">
        <f>IFERROR(VLOOKUP(B657,cubo!$A$6:$BE$37,31,0)-VLOOKUP(B657,#REF!,$AD$2,0),0)</f>
        <v>0</v>
      </c>
      <c r="AE657" s="9">
        <f>IFERROR(VLOOKUP(B657,cubo!$A$6:$BE$37,35,0)-VLOOKUP(B657,#REF!,$AE$2,0),0)</f>
        <v>0</v>
      </c>
      <c r="AF657" s="9" cm="1">
        <f t="array" aca="1" ref="AF657" ca="1">IFERROR(rrPROCV(B657,cubo!$A$6:$BE$37,48,0)-VLOOKUP(B657,#REF!,$AF$2,0),0)</f>
        <v>0</v>
      </c>
      <c r="AG657" s="9">
        <f>IFERROR(VLOOKUP(B657,cubo!$A$6:$BE$37,49,0)-VLOOKUP(B657,#REF!,$AG$2,0),0)</f>
        <v>0</v>
      </c>
      <c r="AH657" s="9">
        <f>IFERROR(VLOOKUP(B657,cubo!$A$6:$BE$37,50,0)-VLOOKUP(B657,#REF!,$AH$2,0),0)</f>
        <v>0</v>
      </c>
      <c r="AI657" s="9">
        <f>IFERROR(VLOOKUP(B657,cubo!$A$6:$BE$37,51,0)-VLOOKUP(B657,#REF!,$AI$2,0),0)</f>
        <v>0</v>
      </c>
      <c r="AJ657" s="9">
        <f>IFERROR(VLOOKUP(B657,cubo!$A$6:$BI$116,62,0)-VLOOKUP(B657,#REF!,$AJ$2,0),0)</f>
        <v>0</v>
      </c>
      <c r="AK657" s="9">
        <f>IFERROR(VLOOKUP(B657,cubo!$A$6:$BJ$37,63,0)-VLOOKUP(B657,#REF!,$AK$2,0),0)</f>
        <v>0</v>
      </c>
      <c r="AL657" s="9">
        <f>IFERROR(VLOOKUP(B657,cubo!$A$6:$BE$37,58,0)-VLOOKUP(B657,#REF!,$AL$2,0),0)</f>
        <v>0</v>
      </c>
      <c r="AM657" s="9">
        <f>IFERROR(VLOOKUP(B657,cubo!$A$6:$BK$37,64,0)-VLOOKUP(B657,#REF!,$AM$2,0),0)</f>
        <v>0</v>
      </c>
      <c r="AN657" s="9">
        <f>IFERROR(VLOOKUP(B657,cubo!$A$6:$AN$37,41,0)-VLOOKUP(B657,#REF!,$AN$2,0),0)</f>
        <v>0</v>
      </c>
    </row>
    <row r="658" spans="2:40" x14ac:dyDescent="0.25">
      <c r="B658" s="7">
        <f>[1]salario!A657</f>
        <v>0</v>
      </c>
      <c r="C658" s="8">
        <f>[1]salario!C657</f>
        <v>0</v>
      </c>
      <c r="D658" s="9">
        <f>IFERROR(VLOOKUP(B658,cubo!$A$6:$BE$37,3,0)-VLOOKUP(B658,#REF!,$D$2,0),0)</f>
        <v>0</v>
      </c>
      <c r="E658" s="10">
        <f>IFERROR(VLOOKUP(B658,cubo!$A$6:$BE$37,5,0)-VLOOKUP(B658,#REF!,$E$2,0),0)</f>
        <v>0</v>
      </c>
      <c r="F658" s="10">
        <f>IFERROR(VLOOKUP(B658,cubo!$A$6:$BE$37,8,0)-VLOOKUP(B658,#REF!,$F$2,0),0)</f>
        <v>0</v>
      </c>
      <c r="G658" s="9">
        <f>IFERROR(VLOOKUP(B658,cubo!$A$6:$BE$37,11,0)-VLOOKUP(B658,#REF!,$G$2,0),0)</f>
        <v>0</v>
      </c>
      <c r="H658" s="9">
        <f>IFERROR(VLOOKUP(B658,cubo!$A$6:$BE$37,53,0)-VLOOKUP(B658,#REF!,$H$2,0),0)</f>
        <v>0</v>
      </c>
      <c r="I658" s="10">
        <f>IFERROR(VLOOKUP(B658,cubo!$A$6:$BE$37,14,0)-VLOOKUP(B658,#REF!,$I$2,0),0)</f>
        <v>0</v>
      </c>
      <c r="J658" s="9">
        <f>IFERROR(VLOOKUP(B658,cubo!$A$6:$BE$37,16,0)-VLOOKUP(B658,#REF!,$J$2,0),0)</f>
        <v>0</v>
      </c>
      <c r="K658" s="9">
        <f>IFERROR(VLOOKUP(B658,cubo!$A$6:$BE$37,17,0)-VLOOKUP(B658,#REF!,$K$2,0),0)</f>
        <v>0</v>
      </c>
      <c r="L658" s="9">
        <f>IFERROR(VLOOKUP(B658,cubo!$A$6:$BE$37,19,0)-VLOOKUP(B658,#REF!,$L$2,0),0)</f>
        <v>0</v>
      </c>
      <c r="M658" s="9">
        <f>IFERROR(VLOOKUP(B658,cubo!$A$6:$BE$37,23,0)-VLOOKUP(B658,#REF!,$M$2,0),0)</f>
        <v>0</v>
      </c>
      <c r="N658" s="9">
        <f>IFERROR(VLOOKUP(B658,cubo!$A$6:$BE$37,25,0)-VLOOKUP(B658,#REF!,$N$2,0),0)</f>
        <v>0</v>
      </c>
      <c r="O658" s="9">
        <f>IFERROR(VLOOKUP(B658,cubo!$A$6:$BE$37,33,0)-VLOOKUP(B658,#REF!,$O$2,0),0)</f>
        <v>0</v>
      </c>
      <c r="P658" s="8">
        <f>IFERROR(VLOOKUP(B658,cubo!$A$6:$BE$37,37,0)-VLOOKUP(B658,#REF!,$P$2,0),0)</f>
        <v>0</v>
      </c>
      <c r="Q658" s="8">
        <f>IFERROR(VLOOKUP(B658,cubo!$A$6:$BE$37,56,0)-VLOOKUP(B658,#REF!,$Q$2,0),0)</f>
        <v>0</v>
      </c>
      <c r="R658" s="9">
        <f>IFERROR(VLOOKUP(B658,cubo!$A$6:$BE$37,40,0)-VLOOKUP(B658,#REF!,$R$2,0),0)</f>
        <v>0</v>
      </c>
      <c r="S658" s="9">
        <f>IFERROR(VLOOKUP(B658,cubo!$A$6:$BE$37,43,0)-VLOOKUP(B658,#REF!,$S$2,0),0)</f>
        <v>0</v>
      </c>
      <c r="T658" s="9">
        <f>IFERROR(VLOOKUP(B658,cubo!$A$6:$BE$37,46,0)-VLOOKUP(B658,#REF!,$T$2,0),0)</f>
        <v>0</v>
      </c>
      <c r="U658" s="9">
        <f>IFERROR(VLOOKUP(B658,cubo!$A$6:$BE$37,51,0)-VLOOKUP(B658,#REF!,$U$2,0),0)</f>
        <v>0</v>
      </c>
      <c r="V658" s="9">
        <f>IFERROR(VLOOKUP(B658,cubo!$A$6:$BJ$37,60,0)-VLOOKUP(B658,#REF!,$V$2,0),0)</f>
        <v>0</v>
      </c>
      <c r="W658" s="9">
        <f>IFERROR(VLOOKUP(B658,cubo!$A$6:$BE$37,26,0)-VLOOKUP(B658,#REF!,$W$2,0),0)</f>
        <v>0</v>
      </c>
      <c r="X658" s="9">
        <f>IFERROR(VLOOKUP(B658,cubo!$A$6:$BE$37,20,0)-VLOOKUP(B658,#REF!,$X$2,0),0)</f>
        <v>0</v>
      </c>
      <c r="Y658" s="9">
        <f>IFERROR(VLOOKUP(B658,cubo!$A$6:$BE$37,21,0)-VLOOKUP(B658,#REF!,$Y$2,0),0)</f>
        <v>0</v>
      </c>
      <c r="Z658" s="9">
        <f>IFERROR(VLOOKUP(B658,cubo!$A$6:$BE$37,27,0)-VLOOKUP(B658,#REF!,$Z$2,0),0)</f>
        <v>0</v>
      </c>
      <c r="AA658" s="9">
        <f>IFERROR(VLOOKUP(B658,cubo!$A$6:$BE$37,28,0)-VLOOKUP(B658,#REF!,$AA$2,0),0)</f>
        <v>0</v>
      </c>
      <c r="AB658" s="9">
        <f>IFERROR(VLOOKUP(B658,cubo!$A$6:$BE$37,29,0)-VLOOKUP(B658,#REF!,$AB$2,0),0)</f>
        <v>0</v>
      </c>
      <c r="AC658" s="9">
        <f>IFERROR(VLOOKUP(B658,cubo!$A$6:$BE$37,30,0)-VLOOKUP(B658,#REF!,$AC$2,0),0)</f>
        <v>0</v>
      </c>
      <c r="AD658" s="9">
        <f>IFERROR(VLOOKUP(B658,cubo!$A$6:$BE$37,31,0)-VLOOKUP(B658,#REF!,$AD$2,0),0)</f>
        <v>0</v>
      </c>
      <c r="AE658" s="9">
        <f>IFERROR(VLOOKUP(B658,cubo!$A$6:$BE$37,35,0)-VLOOKUP(B658,#REF!,$AE$2,0),0)</f>
        <v>0</v>
      </c>
      <c r="AF658" s="9" cm="1">
        <f t="array" aca="1" ref="AF658" ca="1">IFERROR(rrPROCV(B658,cubo!$A$6:$BE$37,48,0)-VLOOKUP(B658,#REF!,$AF$2,0),0)</f>
        <v>0</v>
      </c>
      <c r="AG658" s="9">
        <f>IFERROR(VLOOKUP(B658,cubo!$A$6:$BE$37,49,0)-VLOOKUP(B658,#REF!,$AG$2,0),0)</f>
        <v>0</v>
      </c>
      <c r="AH658" s="9">
        <f>IFERROR(VLOOKUP(B658,cubo!$A$6:$BE$37,50,0)-VLOOKUP(B658,#REF!,$AH$2,0),0)</f>
        <v>0</v>
      </c>
      <c r="AI658" s="9">
        <f>IFERROR(VLOOKUP(B658,cubo!$A$6:$BE$37,51,0)-VLOOKUP(B658,#REF!,$AI$2,0),0)</f>
        <v>0</v>
      </c>
      <c r="AJ658" s="9">
        <f>IFERROR(VLOOKUP(B658,cubo!$A$6:$BI$116,62,0)-VLOOKUP(B658,#REF!,$AJ$2,0),0)</f>
        <v>0</v>
      </c>
      <c r="AK658" s="9">
        <f>IFERROR(VLOOKUP(B658,cubo!$A$6:$BJ$37,63,0)-VLOOKUP(B658,#REF!,$AK$2,0),0)</f>
        <v>0</v>
      </c>
      <c r="AL658" s="9">
        <f>IFERROR(VLOOKUP(B658,cubo!$A$6:$BE$37,58,0)-VLOOKUP(B658,#REF!,$AL$2,0),0)</f>
        <v>0</v>
      </c>
      <c r="AM658" s="9">
        <f>IFERROR(VLOOKUP(B658,cubo!$A$6:$BK$37,64,0)-VLOOKUP(B658,#REF!,$AM$2,0),0)</f>
        <v>0</v>
      </c>
      <c r="AN658" s="9">
        <f>IFERROR(VLOOKUP(B658,cubo!$A$6:$AN$37,41,0)-VLOOKUP(B658,#REF!,$AN$2,0),0)</f>
        <v>0</v>
      </c>
    </row>
    <row r="659" spans="2:40" x14ac:dyDescent="0.25">
      <c r="B659" s="7">
        <f>[1]salario!A658</f>
        <v>0</v>
      </c>
      <c r="C659" s="8">
        <f>[1]salario!C658</f>
        <v>0</v>
      </c>
      <c r="D659" s="9">
        <f>IFERROR(VLOOKUP(B659,cubo!$A$6:$BE$37,3,0)-VLOOKUP(B659,#REF!,$D$2,0),0)</f>
        <v>0</v>
      </c>
      <c r="E659" s="10">
        <f>IFERROR(VLOOKUP(B659,cubo!$A$6:$BE$37,5,0)-VLOOKUP(B659,#REF!,$E$2,0),0)</f>
        <v>0</v>
      </c>
      <c r="F659" s="10">
        <f>IFERROR(VLOOKUP(B659,cubo!$A$6:$BE$37,8,0)-VLOOKUP(B659,#REF!,$F$2,0),0)</f>
        <v>0</v>
      </c>
      <c r="G659" s="9">
        <f>IFERROR(VLOOKUP(B659,cubo!$A$6:$BE$37,11,0)-VLOOKUP(B659,#REF!,$G$2,0),0)</f>
        <v>0</v>
      </c>
      <c r="H659" s="9">
        <f>IFERROR(VLOOKUP(B659,cubo!$A$6:$BE$37,53,0)-VLOOKUP(B659,#REF!,$H$2,0),0)</f>
        <v>0</v>
      </c>
      <c r="I659" s="10">
        <f>IFERROR(VLOOKUP(B659,cubo!$A$6:$BE$37,14,0)-VLOOKUP(B659,#REF!,$I$2,0),0)</f>
        <v>0</v>
      </c>
      <c r="J659" s="9">
        <f>IFERROR(VLOOKUP(B659,cubo!$A$6:$BE$37,16,0)-VLOOKUP(B659,#REF!,$J$2,0),0)</f>
        <v>0</v>
      </c>
      <c r="K659" s="9">
        <f>IFERROR(VLOOKUP(B659,cubo!$A$6:$BE$37,17,0)-VLOOKUP(B659,#REF!,$K$2,0),0)</f>
        <v>0</v>
      </c>
      <c r="L659" s="9">
        <f>IFERROR(VLOOKUP(B659,cubo!$A$6:$BE$37,19,0)-VLOOKUP(B659,#REF!,$L$2,0),0)</f>
        <v>0</v>
      </c>
      <c r="M659" s="9">
        <f>IFERROR(VLOOKUP(B659,cubo!$A$6:$BE$37,23,0)-VLOOKUP(B659,#REF!,$M$2,0),0)</f>
        <v>0</v>
      </c>
      <c r="N659" s="9">
        <f>IFERROR(VLOOKUP(B659,cubo!$A$6:$BE$37,25,0)-VLOOKUP(B659,#REF!,$N$2,0),0)</f>
        <v>0</v>
      </c>
      <c r="O659" s="9">
        <f>IFERROR(VLOOKUP(B659,cubo!$A$6:$BE$37,33,0)-VLOOKUP(B659,#REF!,$O$2,0),0)</f>
        <v>0</v>
      </c>
      <c r="P659" s="8">
        <f>IFERROR(VLOOKUP(B659,cubo!$A$6:$BE$37,37,0)-VLOOKUP(B659,#REF!,$P$2,0),0)</f>
        <v>0</v>
      </c>
      <c r="Q659" s="8">
        <f>IFERROR(VLOOKUP(B659,cubo!$A$6:$BE$37,56,0)-VLOOKUP(B659,#REF!,$Q$2,0),0)</f>
        <v>0</v>
      </c>
      <c r="R659" s="9">
        <f>IFERROR(VLOOKUP(B659,cubo!$A$6:$BE$37,40,0)-VLOOKUP(B659,#REF!,$R$2,0),0)</f>
        <v>0</v>
      </c>
      <c r="S659" s="9">
        <f>IFERROR(VLOOKUP(B659,cubo!$A$6:$BE$37,43,0)-VLOOKUP(B659,#REF!,$S$2,0),0)</f>
        <v>0</v>
      </c>
      <c r="T659" s="9">
        <f>IFERROR(VLOOKUP(B659,cubo!$A$6:$BE$37,46,0)-VLOOKUP(B659,#REF!,$T$2,0),0)</f>
        <v>0</v>
      </c>
      <c r="U659" s="9">
        <f>IFERROR(VLOOKUP(B659,cubo!$A$6:$BE$37,51,0)-VLOOKUP(B659,#REF!,$U$2,0),0)</f>
        <v>0</v>
      </c>
      <c r="V659" s="9">
        <f>IFERROR(VLOOKUP(B659,cubo!$A$6:$BJ$37,60,0)-VLOOKUP(B659,#REF!,$V$2,0),0)</f>
        <v>0</v>
      </c>
      <c r="W659" s="9">
        <f>IFERROR(VLOOKUP(B659,cubo!$A$6:$BE$37,26,0)-VLOOKUP(B659,#REF!,$W$2,0),0)</f>
        <v>0</v>
      </c>
      <c r="X659" s="9">
        <f>IFERROR(VLOOKUP(B659,cubo!$A$6:$BE$37,20,0)-VLOOKUP(B659,#REF!,$X$2,0),0)</f>
        <v>0</v>
      </c>
      <c r="Y659" s="9">
        <f>IFERROR(VLOOKUP(B659,cubo!$A$6:$BE$37,21,0)-VLOOKUP(B659,#REF!,$Y$2,0),0)</f>
        <v>0</v>
      </c>
      <c r="Z659" s="9">
        <f>IFERROR(VLOOKUP(B659,cubo!$A$6:$BE$37,27,0)-VLOOKUP(B659,#REF!,$Z$2,0),0)</f>
        <v>0</v>
      </c>
      <c r="AA659" s="9">
        <f>IFERROR(VLOOKUP(B659,cubo!$A$6:$BE$37,28,0)-VLOOKUP(B659,#REF!,$AA$2,0),0)</f>
        <v>0</v>
      </c>
      <c r="AB659" s="9">
        <f>IFERROR(VLOOKUP(B659,cubo!$A$6:$BE$37,29,0)-VLOOKUP(B659,#REF!,$AB$2,0),0)</f>
        <v>0</v>
      </c>
      <c r="AC659" s="9">
        <f>IFERROR(VLOOKUP(B659,cubo!$A$6:$BE$37,30,0)-VLOOKUP(B659,#REF!,$AC$2,0),0)</f>
        <v>0</v>
      </c>
      <c r="AD659" s="9">
        <f>IFERROR(VLOOKUP(B659,cubo!$A$6:$BE$37,31,0)-VLOOKUP(B659,#REF!,$AD$2,0),0)</f>
        <v>0</v>
      </c>
      <c r="AE659" s="9">
        <f>IFERROR(VLOOKUP(B659,cubo!$A$6:$BE$37,35,0)-VLOOKUP(B659,#REF!,$AE$2,0),0)</f>
        <v>0</v>
      </c>
      <c r="AF659" s="9" cm="1">
        <f t="array" aca="1" ref="AF659" ca="1">IFERROR(rrPROCV(B659,cubo!$A$6:$BE$37,48,0)-VLOOKUP(B659,#REF!,$AF$2,0),0)</f>
        <v>0</v>
      </c>
      <c r="AG659" s="9">
        <f>IFERROR(VLOOKUP(B659,cubo!$A$6:$BE$37,49,0)-VLOOKUP(B659,#REF!,$AG$2,0),0)</f>
        <v>0</v>
      </c>
      <c r="AH659" s="9">
        <f>IFERROR(VLOOKUP(B659,cubo!$A$6:$BE$37,50,0)-VLOOKUP(B659,#REF!,$AH$2,0),0)</f>
        <v>0</v>
      </c>
      <c r="AI659" s="9">
        <f>IFERROR(VLOOKUP(B659,cubo!$A$6:$BE$37,51,0)-VLOOKUP(B659,#REF!,$AI$2,0),0)</f>
        <v>0</v>
      </c>
      <c r="AJ659" s="9">
        <f>IFERROR(VLOOKUP(B659,cubo!$A$6:$BI$116,62,0)-VLOOKUP(B659,#REF!,$AJ$2,0),0)</f>
        <v>0</v>
      </c>
      <c r="AK659" s="9">
        <f>IFERROR(VLOOKUP(B659,cubo!$A$6:$BJ$37,63,0)-VLOOKUP(B659,#REF!,$AK$2,0),0)</f>
        <v>0</v>
      </c>
      <c r="AL659" s="9">
        <f>IFERROR(VLOOKUP(B659,cubo!$A$6:$BE$37,58,0)-VLOOKUP(B659,#REF!,$AL$2,0),0)</f>
        <v>0</v>
      </c>
      <c r="AM659" s="9">
        <f>IFERROR(VLOOKUP(B659,cubo!$A$6:$BK$37,64,0)-VLOOKUP(B659,#REF!,$AM$2,0),0)</f>
        <v>0</v>
      </c>
      <c r="AN659" s="9">
        <f>IFERROR(VLOOKUP(B659,cubo!$A$6:$AN$37,41,0)-VLOOKUP(B659,#REF!,$AN$2,0),0)</f>
        <v>0</v>
      </c>
    </row>
    <row r="660" spans="2:40" x14ac:dyDescent="0.25">
      <c r="B660" s="7">
        <f>[1]salario!A659</f>
        <v>0</v>
      </c>
      <c r="C660" s="8">
        <f>[1]salario!C659</f>
        <v>0</v>
      </c>
      <c r="D660" s="9">
        <f>IFERROR(VLOOKUP(B660,cubo!$A$6:$BE$37,3,0)-VLOOKUP(B660,#REF!,$D$2,0),0)</f>
        <v>0</v>
      </c>
      <c r="E660" s="10">
        <f>IFERROR(VLOOKUP(B660,cubo!$A$6:$BE$37,5,0)-VLOOKUP(B660,#REF!,$E$2,0),0)</f>
        <v>0</v>
      </c>
      <c r="F660" s="10">
        <f>IFERROR(VLOOKUP(B660,cubo!$A$6:$BE$37,8,0)-VLOOKUP(B660,#REF!,$F$2,0),0)</f>
        <v>0</v>
      </c>
      <c r="G660" s="9">
        <f>IFERROR(VLOOKUP(B660,cubo!$A$6:$BE$37,11,0)-VLOOKUP(B660,#REF!,$G$2,0),0)</f>
        <v>0</v>
      </c>
      <c r="H660" s="9">
        <f>IFERROR(VLOOKUP(B660,cubo!$A$6:$BE$37,53,0)-VLOOKUP(B660,#REF!,$H$2,0),0)</f>
        <v>0</v>
      </c>
      <c r="I660" s="10">
        <f>IFERROR(VLOOKUP(B660,cubo!$A$6:$BE$37,14,0)-VLOOKUP(B660,#REF!,$I$2,0),0)</f>
        <v>0</v>
      </c>
      <c r="J660" s="9">
        <f>IFERROR(VLOOKUP(B660,cubo!$A$6:$BE$37,16,0)-VLOOKUP(B660,#REF!,$J$2,0),0)</f>
        <v>0</v>
      </c>
      <c r="K660" s="9">
        <f>IFERROR(VLOOKUP(B660,cubo!$A$6:$BE$37,17,0)-VLOOKUP(B660,#REF!,$K$2,0),0)</f>
        <v>0</v>
      </c>
      <c r="L660" s="9">
        <f>IFERROR(VLOOKUP(B660,cubo!$A$6:$BE$37,19,0)-VLOOKUP(B660,#REF!,$L$2,0),0)</f>
        <v>0</v>
      </c>
      <c r="M660" s="9">
        <f>IFERROR(VLOOKUP(B660,cubo!$A$6:$BE$37,23,0)-VLOOKUP(B660,#REF!,$M$2,0),0)</f>
        <v>0</v>
      </c>
      <c r="N660" s="9">
        <f>IFERROR(VLOOKUP(B660,cubo!$A$6:$BE$37,25,0)-VLOOKUP(B660,#REF!,$N$2,0),0)</f>
        <v>0</v>
      </c>
      <c r="O660" s="9">
        <f>IFERROR(VLOOKUP(B660,cubo!$A$6:$BE$37,33,0)-VLOOKUP(B660,#REF!,$O$2,0),0)</f>
        <v>0</v>
      </c>
      <c r="P660" s="8">
        <f>IFERROR(VLOOKUP(B660,cubo!$A$6:$BE$37,37,0)-VLOOKUP(B660,#REF!,$P$2,0),0)</f>
        <v>0</v>
      </c>
      <c r="Q660" s="8">
        <f>IFERROR(VLOOKUP(B660,cubo!$A$6:$BE$37,56,0)-VLOOKUP(B660,#REF!,$Q$2,0),0)</f>
        <v>0</v>
      </c>
      <c r="R660" s="9">
        <f>IFERROR(VLOOKUP(B660,cubo!$A$6:$BE$37,40,0)-VLOOKUP(B660,#REF!,$R$2,0),0)</f>
        <v>0</v>
      </c>
      <c r="S660" s="9">
        <f>IFERROR(VLOOKUP(B660,cubo!$A$6:$BE$37,43,0)-VLOOKUP(B660,#REF!,$S$2,0),0)</f>
        <v>0</v>
      </c>
      <c r="T660" s="9">
        <f>IFERROR(VLOOKUP(B660,cubo!$A$6:$BE$37,46,0)-VLOOKUP(B660,#REF!,$T$2,0),0)</f>
        <v>0</v>
      </c>
      <c r="U660" s="9">
        <f>IFERROR(VLOOKUP(B660,cubo!$A$6:$BE$37,51,0)-VLOOKUP(B660,#REF!,$U$2,0),0)</f>
        <v>0</v>
      </c>
      <c r="V660" s="9">
        <f>IFERROR(VLOOKUP(B660,cubo!$A$6:$BJ$37,60,0)-VLOOKUP(B660,#REF!,$V$2,0),0)</f>
        <v>0</v>
      </c>
      <c r="W660" s="9">
        <f>IFERROR(VLOOKUP(B660,cubo!$A$6:$BE$37,26,0)-VLOOKUP(B660,#REF!,$W$2,0),0)</f>
        <v>0</v>
      </c>
      <c r="X660" s="9">
        <f>IFERROR(VLOOKUP(B660,cubo!$A$6:$BE$37,20,0)-VLOOKUP(B660,#REF!,$X$2,0),0)</f>
        <v>0</v>
      </c>
      <c r="Y660" s="9">
        <f>IFERROR(VLOOKUP(B660,cubo!$A$6:$BE$37,21,0)-VLOOKUP(B660,#REF!,$Y$2,0),0)</f>
        <v>0</v>
      </c>
      <c r="Z660" s="9">
        <f>IFERROR(VLOOKUP(B660,cubo!$A$6:$BE$37,27,0)-VLOOKUP(B660,#REF!,$Z$2,0),0)</f>
        <v>0</v>
      </c>
      <c r="AA660" s="9">
        <f>IFERROR(VLOOKUP(B660,cubo!$A$6:$BE$37,28,0)-VLOOKUP(B660,#REF!,$AA$2,0),0)</f>
        <v>0</v>
      </c>
      <c r="AB660" s="9">
        <f>IFERROR(VLOOKUP(B660,cubo!$A$6:$BE$37,29,0)-VLOOKUP(B660,#REF!,$AB$2,0),0)</f>
        <v>0</v>
      </c>
      <c r="AC660" s="9">
        <f>IFERROR(VLOOKUP(B660,cubo!$A$6:$BE$37,30,0)-VLOOKUP(B660,#REF!,$AC$2,0),0)</f>
        <v>0</v>
      </c>
      <c r="AD660" s="9">
        <f>IFERROR(VLOOKUP(B660,cubo!$A$6:$BE$37,31,0)-VLOOKUP(B660,#REF!,$AD$2,0),0)</f>
        <v>0</v>
      </c>
      <c r="AE660" s="9">
        <f>IFERROR(VLOOKUP(B660,cubo!$A$6:$BE$37,35,0)-VLOOKUP(B660,#REF!,$AE$2,0),0)</f>
        <v>0</v>
      </c>
      <c r="AF660" s="9" cm="1">
        <f t="array" aca="1" ref="AF660" ca="1">IFERROR(rrPROCV(B660,cubo!$A$6:$BE$37,48,0)-VLOOKUP(B660,#REF!,$AF$2,0),0)</f>
        <v>0</v>
      </c>
      <c r="AG660" s="9">
        <f>IFERROR(VLOOKUP(B660,cubo!$A$6:$BE$37,49,0)-VLOOKUP(B660,#REF!,$AG$2,0),0)</f>
        <v>0</v>
      </c>
      <c r="AH660" s="9">
        <f>IFERROR(VLOOKUP(B660,cubo!$A$6:$BE$37,50,0)-VLOOKUP(B660,#REF!,$AH$2,0),0)</f>
        <v>0</v>
      </c>
      <c r="AI660" s="9">
        <f>IFERROR(VLOOKUP(B660,cubo!$A$6:$BE$37,51,0)-VLOOKUP(B660,#REF!,$AI$2,0),0)</f>
        <v>0</v>
      </c>
      <c r="AJ660" s="9">
        <f>IFERROR(VLOOKUP(B660,cubo!$A$6:$BI$116,62,0)-VLOOKUP(B660,#REF!,$AJ$2,0),0)</f>
        <v>0</v>
      </c>
      <c r="AK660" s="9">
        <f>IFERROR(VLOOKUP(B660,cubo!$A$6:$BJ$37,63,0)-VLOOKUP(B660,#REF!,$AK$2,0),0)</f>
        <v>0</v>
      </c>
      <c r="AL660" s="9">
        <f>IFERROR(VLOOKUP(B660,cubo!$A$6:$BE$37,58,0)-VLOOKUP(B660,#REF!,$AL$2,0),0)</f>
        <v>0</v>
      </c>
      <c r="AM660" s="9">
        <f>IFERROR(VLOOKUP(B660,cubo!$A$6:$BK$37,64,0)-VLOOKUP(B660,#REF!,$AM$2,0),0)</f>
        <v>0</v>
      </c>
      <c r="AN660" s="9">
        <f>IFERROR(VLOOKUP(B660,cubo!$A$6:$AN$37,41,0)-VLOOKUP(B660,#REF!,$AN$2,0),0)</f>
        <v>0</v>
      </c>
    </row>
    <row r="661" spans="2:40" x14ac:dyDescent="0.25">
      <c r="B661" s="7">
        <f>[1]salario!A660</f>
        <v>0</v>
      </c>
      <c r="C661" s="8">
        <f>[1]salario!C660</f>
        <v>0</v>
      </c>
      <c r="D661" s="9">
        <f>IFERROR(VLOOKUP(B661,cubo!$A$6:$BE$37,3,0)-VLOOKUP(B661,#REF!,$D$2,0),0)</f>
        <v>0</v>
      </c>
      <c r="E661" s="10">
        <f>IFERROR(VLOOKUP(B661,cubo!$A$6:$BE$37,5,0)-VLOOKUP(B661,#REF!,$E$2,0),0)</f>
        <v>0</v>
      </c>
      <c r="F661" s="10">
        <f>IFERROR(VLOOKUP(B661,cubo!$A$6:$BE$37,8,0)-VLOOKUP(B661,#REF!,$F$2,0),0)</f>
        <v>0</v>
      </c>
      <c r="G661" s="9">
        <f>IFERROR(VLOOKUP(B661,cubo!$A$6:$BE$37,11,0)-VLOOKUP(B661,#REF!,$G$2,0),0)</f>
        <v>0</v>
      </c>
      <c r="H661" s="9">
        <f>IFERROR(VLOOKUP(B661,cubo!$A$6:$BE$37,53,0)-VLOOKUP(B661,#REF!,$H$2,0),0)</f>
        <v>0</v>
      </c>
      <c r="I661" s="10">
        <f>IFERROR(VLOOKUP(B661,cubo!$A$6:$BE$37,14,0)-VLOOKUP(B661,#REF!,$I$2,0),0)</f>
        <v>0</v>
      </c>
      <c r="J661" s="9">
        <f>IFERROR(VLOOKUP(B661,cubo!$A$6:$BE$37,16,0)-VLOOKUP(B661,#REF!,$J$2,0),0)</f>
        <v>0</v>
      </c>
      <c r="K661" s="9">
        <f>IFERROR(VLOOKUP(B661,cubo!$A$6:$BE$37,17,0)-VLOOKUP(B661,#REF!,$K$2,0),0)</f>
        <v>0</v>
      </c>
      <c r="L661" s="9">
        <f>IFERROR(VLOOKUP(B661,cubo!$A$6:$BE$37,19,0)-VLOOKUP(B661,#REF!,$L$2,0),0)</f>
        <v>0</v>
      </c>
      <c r="M661" s="9">
        <f>IFERROR(VLOOKUP(B661,cubo!$A$6:$BE$37,23,0)-VLOOKUP(B661,#REF!,$M$2,0),0)</f>
        <v>0</v>
      </c>
      <c r="N661" s="9">
        <f>IFERROR(VLOOKUP(B661,cubo!$A$6:$BE$37,25,0)-VLOOKUP(B661,#REF!,$N$2,0),0)</f>
        <v>0</v>
      </c>
      <c r="O661" s="9">
        <f>IFERROR(VLOOKUP(B661,cubo!$A$6:$BE$37,33,0)-VLOOKUP(B661,#REF!,$O$2,0),0)</f>
        <v>0</v>
      </c>
      <c r="P661" s="8">
        <f>IFERROR(VLOOKUP(B661,cubo!$A$6:$BE$37,37,0)-VLOOKUP(B661,#REF!,$P$2,0),0)</f>
        <v>0</v>
      </c>
      <c r="Q661" s="8">
        <f>IFERROR(VLOOKUP(B661,cubo!$A$6:$BE$37,56,0)-VLOOKUP(B661,#REF!,$Q$2,0),0)</f>
        <v>0</v>
      </c>
      <c r="R661" s="9">
        <f>IFERROR(VLOOKUP(B661,cubo!$A$6:$BE$37,40,0)-VLOOKUP(B661,#REF!,$R$2,0),0)</f>
        <v>0</v>
      </c>
      <c r="S661" s="9">
        <f>IFERROR(VLOOKUP(B661,cubo!$A$6:$BE$37,43,0)-VLOOKUP(B661,#REF!,$S$2,0),0)</f>
        <v>0</v>
      </c>
      <c r="T661" s="9">
        <f>IFERROR(VLOOKUP(B661,cubo!$A$6:$BE$37,46,0)-VLOOKUP(B661,#REF!,$T$2,0),0)</f>
        <v>0</v>
      </c>
      <c r="U661" s="9">
        <f>IFERROR(VLOOKUP(B661,cubo!$A$6:$BE$37,51,0)-VLOOKUP(B661,#REF!,$U$2,0),0)</f>
        <v>0</v>
      </c>
      <c r="V661" s="9">
        <f>IFERROR(VLOOKUP(B661,cubo!$A$6:$BJ$37,60,0)-VLOOKUP(B661,#REF!,$V$2,0),0)</f>
        <v>0</v>
      </c>
      <c r="W661" s="9">
        <f>IFERROR(VLOOKUP(B661,cubo!$A$6:$BE$37,26,0)-VLOOKUP(B661,#REF!,$W$2,0),0)</f>
        <v>0</v>
      </c>
      <c r="X661" s="9">
        <f>IFERROR(VLOOKUP(B661,cubo!$A$6:$BE$37,20,0)-VLOOKUP(B661,#REF!,$X$2,0),0)</f>
        <v>0</v>
      </c>
      <c r="Y661" s="9">
        <f>IFERROR(VLOOKUP(B661,cubo!$A$6:$BE$37,21,0)-VLOOKUP(B661,#REF!,$Y$2,0),0)</f>
        <v>0</v>
      </c>
      <c r="Z661" s="9">
        <f>IFERROR(VLOOKUP(B661,cubo!$A$6:$BE$37,27,0)-VLOOKUP(B661,#REF!,$Z$2,0),0)</f>
        <v>0</v>
      </c>
      <c r="AA661" s="9">
        <f>IFERROR(VLOOKUP(B661,cubo!$A$6:$BE$37,28,0)-VLOOKUP(B661,#REF!,$AA$2,0),0)</f>
        <v>0</v>
      </c>
      <c r="AB661" s="9">
        <f>IFERROR(VLOOKUP(B661,cubo!$A$6:$BE$37,29,0)-VLOOKUP(B661,#REF!,$AB$2,0),0)</f>
        <v>0</v>
      </c>
      <c r="AC661" s="9">
        <f>IFERROR(VLOOKUP(B661,cubo!$A$6:$BE$37,30,0)-VLOOKUP(B661,#REF!,$AC$2,0),0)</f>
        <v>0</v>
      </c>
      <c r="AD661" s="9">
        <f>IFERROR(VLOOKUP(B661,cubo!$A$6:$BE$37,31,0)-VLOOKUP(B661,#REF!,$AD$2,0),0)</f>
        <v>0</v>
      </c>
      <c r="AE661" s="9">
        <f>IFERROR(VLOOKUP(B661,cubo!$A$6:$BE$37,35,0)-VLOOKUP(B661,#REF!,$AE$2,0),0)</f>
        <v>0</v>
      </c>
      <c r="AF661" s="9" cm="1">
        <f t="array" aca="1" ref="AF661" ca="1">IFERROR(rrPROCV(B661,cubo!$A$6:$BE$37,48,0)-VLOOKUP(B661,#REF!,$AF$2,0),0)</f>
        <v>0</v>
      </c>
      <c r="AG661" s="9">
        <f>IFERROR(VLOOKUP(B661,cubo!$A$6:$BE$37,49,0)-VLOOKUP(B661,#REF!,$AG$2,0),0)</f>
        <v>0</v>
      </c>
      <c r="AH661" s="9">
        <f>IFERROR(VLOOKUP(B661,cubo!$A$6:$BE$37,50,0)-VLOOKUP(B661,#REF!,$AH$2,0),0)</f>
        <v>0</v>
      </c>
      <c r="AI661" s="9">
        <f>IFERROR(VLOOKUP(B661,cubo!$A$6:$BE$37,51,0)-VLOOKUP(B661,#REF!,$AI$2,0),0)</f>
        <v>0</v>
      </c>
      <c r="AJ661" s="9">
        <f>IFERROR(VLOOKUP(B661,cubo!$A$6:$BI$116,62,0)-VLOOKUP(B661,#REF!,$AJ$2,0),0)</f>
        <v>0</v>
      </c>
      <c r="AK661" s="9">
        <f>IFERROR(VLOOKUP(B661,cubo!$A$6:$BJ$37,63,0)-VLOOKUP(B661,#REF!,$AK$2,0),0)</f>
        <v>0</v>
      </c>
      <c r="AL661" s="9">
        <f>IFERROR(VLOOKUP(B661,cubo!$A$6:$BE$37,58,0)-VLOOKUP(B661,#REF!,$AL$2,0),0)</f>
        <v>0</v>
      </c>
      <c r="AM661" s="9">
        <f>IFERROR(VLOOKUP(B661,cubo!$A$6:$BK$37,64,0)-VLOOKUP(B661,#REF!,$AM$2,0),0)</f>
        <v>0</v>
      </c>
      <c r="AN661" s="9">
        <f>IFERROR(VLOOKUP(B661,cubo!$A$6:$AN$37,41,0)-VLOOKUP(B661,#REF!,$AN$2,0),0)</f>
        <v>0</v>
      </c>
    </row>
    <row r="662" spans="2:40" x14ac:dyDescent="0.25">
      <c r="B662" s="7">
        <f>[1]salario!A661</f>
        <v>0</v>
      </c>
      <c r="C662" s="8">
        <f>[1]salario!C661</f>
        <v>0</v>
      </c>
      <c r="D662" s="9">
        <f>IFERROR(VLOOKUP(B662,cubo!$A$6:$BE$37,3,0)-VLOOKUP(B662,#REF!,$D$2,0),0)</f>
        <v>0</v>
      </c>
      <c r="E662" s="10">
        <f>IFERROR(VLOOKUP(B662,cubo!$A$6:$BE$37,5,0)-VLOOKUP(B662,#REF!,$E$2,0),0)</f>
        <v>0</v>
      </c>
      <c r="F662" s="10">
        <f>IFERROR(VLOOKUP(B662,cubo!$A$6:$BE$37,8,0)-VLOOKUP(B662,#REF!,$F$2,0),0)</f>
        <v>0</v>
      </c>
      <c r="G662" s="9">
        <f>IFERROR(VLOOKUP(B662,cubo!$A$6:$BE$37,11,0)-VLOOKUP(B662,#REF!,$G$2,0),0)</f>
        <v>0</v>
      </c>
      <c r="H662" s="9">
        <f>IFERROR(VLOOKUP(B662,cubo!$A$6:$BE$37,53,0)-VLOOKUP(B662,#REF!,$H$2,0),0)</f>
        <v>0</v>
      </c>
      <c r="I662" s="10">
        <f>IFERROR(VLOOKUP(B662,cubo!$A$6:$BE$37,14,0)-VLOOKUP(B662,#REF!,$I$2,0),0)</f>
        <v>0</v>
      </c>
      <c r="J662" s="9">
        <f>IFERROR(VLOOKUP(B662,cubo!$A$6:$BE$37,16,0)-VLOOKUP(B662,#REF!,$J$2,0),0)</f>
        <v>0</v>
      </c>
      <c r="K662" s="9">
        <f>IFERROR(VLOOKUP(B662,cubo!$A$6:$BE$37,17,0)-VLOOKUP(B662,#REF!,$K$2,0),0)</f>
        <v>0</v>
      </c>
      <c r="L662" s="9">
        <f>IFERROR(VLOOKUP(B662,cubo!$A$6:$BE$37,19,0)-VLOOKUP(B662,#REF!,$L$2,0),0)</f>
        <v>0</v>
      </c>
      <c r="M662" s="9">
        <f>IFERROR(VLOOKUP(B662,cubo!$A$6:$BE$37,23,0)-VLOOKUP(B662,#REF!,$M$2,0),0)</f>
        <v>0</v>
      </c>
      <c r="N662" s="9">
        <f>IFERROR(VLOOKUP(B662,cubo!$A$6:$BE$37,25,0)-VLOOKUP(B662,#REF!,$N$2,0),0)</f>
        <v>0</v>
      </c>
      <c r="O662" s="9">
        <f>IFERROR(VLOOKUP(B662,cubo!$A$6:$BE$37,33,0)-VLOOKUP(B662,#REF!,$O$2,0),0)</f>
        <v>0</v>
      </c>
      <c r="P662" s="8">
        <f>IFERROR(VLOOKUP(B662,cubo!$A$6:$BE$37,37,0)-VLOOKUP(B662,#REF!,$P$2,0),0)</f>
        <v>0</v>
      </c>
      <c r="Q662" s="8">
        <f>IFERROR(VLOOKUP(B662,cubo!$A$6:$BE$37,56,0)-VLOOKUP(B662,#REF!,$Q$2,0),0)</f>
        <v>0</v>
      </c>
      <c r="R662" s="9">
        <f>IFERROR(VLOOKUP(B662,cubo!$A$6:$BE$37,40,0)-VLOOKUP(B662,#REF!,$R$2,0),0)</f>
        <v>0</v>
      </c>
      <c r="S662" s="9">
        <f>IFERROR(VLOOKUP(B662,cubo!$A$6:$BE$37,43,0)-VLOOKUP(B662,#REF!,$S$2,0),0)</f>
        <v>0</v>
      </c>
      <c r="T662" s="9">
        <f>IFERROR(VLOOKUP(B662,cubo!$A$6:$BE$37,46,0)-VLOOKUP(B662,#REF!,$T$2,0),0)</f>
        <v>0</v>
      </c>
      <c r="U662" s="9">
        <f>IFERROR(VLOOKUP(B662,cubo!$A$6:$BE$37,51,0)-VLOOKUP(B662,#REF!,$U$2,0),0)</f>
        <v>0</v>
      </c>
      <c r="V662" s="9">
        <f>IFERROR(VLOOKUP(B662,cubo!$A$6:$BJ$37,60,0)-VLOOKUP(B662,#REF!,$V$2,0),0)</f>
        <v>0</v>
      </c>
      <c r="W662" s="9">
        <f>IFERROR(VLOOKUP(B662,cubo!$A$6:$BE$37,26,0)-VLOOKUP(B662,#REF!,$W$2,0),0)</f>
        <v>0</v>
      </c>
      <c r="X662" s="9">
        <f>IFERROR(VLOOKUP(B662,cubo!$A$6:$BE$37,20,0)-VLOOKUP(B662,#REF!,$X$2,0),0)</f>
        <v>0</v>
      </c>
      <c r="Y662" s="9">
        <f>IFERROR(VLOOKUP(B662,cubo!$A$6:$BE$37,21,0)-VLOOKUP(B662,#REF!,$Y$2,0),0)</f>
        <v>0</v>
      </c>
      <c r="Z662" s="9">
        <f>IFERROR(VLOOKUP(B662,cubo!$A$6:$BE$37,27,0)-VLOOKUP(B662,#REF!,$Z$2,0),0)</f>
        <v>0</v>
      </c>
      <c r="AA662" s="9">
        <f>IFERROR(VLOOKUP(B662,cubo!$A$6:$BE$37,28,0)-VLOOKUP(B662,#REF!,$AA$2,0),0)</f>
        <v>0</v>
      </c>
      <c r="AB662" s="9">
        <f>IFERROR(VLOOKUP(B662,cubo!$A$6:$BE$37,29,0)-VLOOKUP(B662,#REF!,$AB$2,0),0)</f>
        <v>0</v>
      </c>
      <c r="AC662" s="9">
        <f>IFERROR(VLOOKUP(B662,cubo!$A$6:$BE$37,30,0)-VLOOKUP(B662,#REF!,$AC$2,0),0)</f>
        <v>0</v>
      </c>
      <c r="AD662" s="9">
        <f>IFERROR(VLOOKUP(B662,cubo!$A$6:$BE$37,31,0)-VLOOKUP(B662,#REF!,$AD$2,0),0)</f>
        <v>0</v>
      </c>
      <c r="AE662" s="9">
        <f>IFERROR(VLOOKUP(B662,cubo!$A$6:$BE$37,35,0)-VLOOKUP(B662,#REF!,$AE$2,0),0)</f>
        <v>0</v>
      </c>
      <c r="AF662" s="9" cm="1">
        <f t="array" aca="1" ref="AF662" ca="1">IFERROR(rrPROCV(B662,cubo!$A$6:$BE$37,48,0)-VLOOKUP(B662,#REF!,$AF$2,0),0)</f>
        <v>0</v>
      </c>
      <c r="AG662" s="9">
        <f>IFERROR(VLOOKUP(B662,cubo!$A$6:$BE$37,49,0)-VLOOKUP(B662,#REF!,$AG$2,0),0)</f>
        <v>0</v>
      </c>
      <c r="AH662" s="9">
        <f>IFERROR(VLOOKUP(B662,cubo!$A$6:$BE$37,50,0)-VLOOKUP(B662,#REF!,$AH$2,0),0)</f>
        <v>0</v>
      </c>
      <c r="AI662" s="9">
        <f>IFERROR(VLOOKUP(B662,cubo!$A$6:$BE$37,51,0)-VLOOKUP(B662,#REF!,$AI$2,0),0)</f>
        <v>0</v>
      </c>
      <c r="AJ662" s="9">
        <f>IFERROR(VLOOKUP(B662,cubo!$A$6:$BI$116,62,0)-VLOOKUP(B662,#REF!,$AJ$2,0),0)</f>
        <v>0</v>
      </c>
      <c r="AK662" s="9">
        <f>IFERROR(VLOOKUP(B662,cubo!$A$6:$BJ$37,63,0)-VLOOKUP(B662,#REF!,$AK$2,0),0)</f>
        <v>0</v>
      </c>
      <c r="AL662" s="9">
        <f>IFERROR(VLOOKUP(B662,cubo!$A$6:$BE$37,58,0)-VLOOKUP(B662,#REF!,$AL$2,0),0)</f>
        <v>0</v>
      </c>
      <c r="AM662" s="9">
        <f>IFERROR(VLOOKUP(B662,cubo!$A$6:$BK$37,64,0)-VLOOKUP(B662,#REF!,$AM$2,0),0)</f>
        <v>0</v>
      </c>
      <c r="AN662" s="9">
        <f>IFERROR(VLOOKUP(B662,cubo!$A$6:$AN$37,41,0)-VLOOKUP(B662,#REF!,$AN$2,0),0)</f>
        <v>0</v>
      </c>
    </row>
    <row r="663" spans="2:40" x14ac:dyDescent="0.25">
      <c r="B663" s="7">
        <f>[1]salario!A662</f>
        <v>0</v>
      </c>
      <c r="C663" s="8">
        <f>[1]salario!C662</f>
        <v>0</v>
      </c>
      <c r="D663" s="9">
        <f>IFERROR(VLOOKUP(B663,cubo!$A$6:$BE$37,3,0)-VLOOKUP(B663,#REF!,$D$2,0),0)</f>
        <v>0</v>
      </c>
      <c r="E663" s="10">
        <f>IFERROR(VLOOKUP(B663,cubo!$A$6:$BE$37,5,0)-VLOOKUP(B663,#REF!,$E$2,0),0)</f>
        <v>0</v>
      </c>
      <c r="F663" s="10">
        <f>IFERROR(VLOOKUP(B663,cubo!$A$6:$BE$37,8,0)-VLOOKUP(B663,#REF!,$F$2,0),0)</f>
        <v>0</v>
      </c>
      <c r="G663" s="9">
        <f>IFERROR(VLOOKUP(B663,cubo!$A$6:$BE$37,11,0)-VLOOKUP(B663,#REF!,$G$2,0),0)</f>
        <v>0</v>
      </c>
      <c r="H663" s="9">
        <f>IFERROR(VLOOKUP(B663,cubo!$A$6:$BE$37,53,0)-VLOOKUP(B663,#REF!,$H$2,0),0)</f>
        <v>0</v>
      </c>
      <c r="I663" s="10">
        <f>IFERROR(VLOOKUP(B663,cubo!$A$6:$BE$37,14,0)-VLOOKUP(B663,#REF!,$I$2,0),0)</f>
        <v>0</v>
      </c>
      <c r="J663" s="9">
        <f>IFERROR(VLOOKUP(B663,cubo!$A$6:$BE$37,16,0)-VLOOKUP(B663,#REF!,$J$2,0),0)</f>
        <v>0</v>
      </c>
      <c r="K663" s="9">
        <f>IFERROR(VLOOKUP(B663,cubo!$A$6:$BE$37,17,0)-VLOOKUP(B663,#REF!,$K$2,0),0)</f>
        <v>0</v>
      </c>
      <c r="L663" s="9">
        <f>IFERROR(VLOOKUP(B663,cubo!$A$6:$BE$37,19,0)-VLOOKUP(B663,#REF!,$L$2,0),0)</f>
        <v>0</v>
      </c>
      <c r="M663" s="9">
        <f>IFERROR(VLOOKUP(B663,cubo!$A$6:$BE$37,23,0)-VLOOKUP(B663,#REF!,$M$2,0),0)</f>
        <v>0</v>
      </c>
      <c r="N663" s="9">
        <f>IFERROR(VLOOKUP(B663,cubo!$A$6:$BE$37,25,0)-VLOOKUP(B663,#REF!,$N$2,0),0)</f>
        <v>0</v>
      </c>
      <c r="O663" s="9">
        <f>IFERROR(VLOOKUP(B663,cubo!$A$6:$BE$37,33,0)-VLOOKUP(B663,#REF!,$O$2,0),0)</f>
        <v>0</v>
      </c>
      <c r="P663" s="8">
        <f>IFERROR(VLOOKUP(B663,cubo!$A$6:$BE$37,37,0)-VLOOKUP(B663,#REF!,$P$2,0),0)</f>
        <v>0</v>
      </c>
      <c r="Q663" s="8">
        <f>IFERROR(VLOOKUP(B663,cubo!$A$6:$BE$37,56,0)-VLOOKUP(B663,#REF!,$Q$2,0),0)</f>
        <v>0</v>
      </c>
      <c r="R663" s="9">
        <f>IFERROR(VLOOKUP(B663,cubo!$A$6:$BE$37,40,0)-VLOOKUP(B663,#REF!,$R$2,0),0)</f>
        <v>0</v>
      </c>
      <c r="S663" s="9">
        <f>IFERROR(VLOOKUP(B663,cubo!$A$6:$BE$37,43,0)-VLOOKUP(B663,#REF!,$S$2,0),0)</f>
        <v>0</v>
      </c>
      <c r="T663" s="9">
        <f>IFERROR(VLOOKUP(B663,cubo!$A$6:$BE$37,46,0)-VLOOKUP(B663,#REF!,$T$2,0),0)</f>
        <v>0</v>
      </c>
      <c r="U663" s="9">
        <f>IFERROR(VLOOKUP(B663,cubo!$A$6:$BE$37,51,0)-VLOOKUP(B663,#REF!,$U$2,0),0)</f>
        <v>0</v>
      </c>
      <c r="V663" s="9">
        <f>IFERROR(VLOOKUP(B663,cubo!$A$6:$BJ$37,60,0)-VLOOKUP(B663,#REF!,$V$2,0),0)</f>
        <v>0</v>
      </c>
      <c r="W663" s="9">
        <f>IFERROR(VLOOKUP(B663,cubo!$A$6:$BE$37,26,0)-VLOOKUP(B663,#REF!,$W$2,0),0)</f>
        <v>0</v>
      </c>
      <c r="X663" s="9">
        <f>IFERROR(VLOOKUP(B663,cubo!$A$6:$BE$37,20,0)-VLOOKUP(B663,#REF!,$X$2,0),0)</f>
        <v>0</v>
      </c>
      <c r="Y663" s="9">
        <f>IFERROR(VLOOKUP(B663,cubo!$A$6:$BE$37,21,0)-VLOOKUP(B663,#REF!,$Y$2,0),0)</f>
        <v>0</v>
      </c>
      <c r="Z663" s="9">
        <f>IFERROR(VLOOKUP(B663,cubo!$A$6:$BE$37,27,0)-VLOOKUP(B663,#REF!,$Z$2,0),0)</f>
        <v>0</v>
      </c>
      <c r="AA663" s="9">
        <f>IFERROR(VLOOKUP(B663,cubo!$A$6:$BE$37,28,0)-VLOOKUP(B663,#REF!,$AA$2,0),0)</f>
        <v>0</v>
      </c>
      <c r="AB663" s="9">
        <f>IFERROR(VLOOKUP(B663,cubo!$A$6:$BE$37,29,0)-VLOOKUP(B663,#REF!,$AB$2,0),0)</f>
        <v>0</v>
      </c>
      <c r="AC663" s="9">
        <f>IFERROR(VLOOKUP(B663,cubo!$A$6:$BE$37,30,0)-VLOOKUP(B663,#REF!,$AC$2,0),0)</f>
        <v>0</v>
      </c>
      <c r="AD663" s="9">
        <f>IFERROR(VLOOKUP(B663,cubo!$A$6:$BE$37,31,0)-VLOOKUP(B663,#REF!,$AD$2,0),0)</f>
        <v>0</v>
      </c>
      <c r="AE663" s="9">
        <f>IFERROR(VLOOKUP(B663,cubo!$A$6:$BE$37,35,0)-VLOOKUP(B663,#REF!,$AE$2,0),0)</f>
        <v>0</v>
      </c>
      <c r="AF663" s="9" cm="1">
        <f t="array" aca="1" ref="AF663" ca="1">IFERROR(rrPROCV(B663,cubo!$A$6:$BE$37,48,0)-VLOOKUP(B663,#REF!,$AF$2,0),0)</f>
        <v>0</v>
      </c>
      <c r="AG663" s="9">
        <f>IFERROR(VLOOKUP(B663,cubo!$A$6:$BE$37,49,0)-VLOOKUP(B663,#REF!,$AG$2,0),0)</f>
        <v>0</v>
      </c>
      <c r="AH663" s="9">
        <f>IFERROR(VLOOKUP(B663,cubo!$A$6:$BE$37,50,0)-VLOOKUP(B663,#REF!,$AH$2,0),0)</f>
        <v>0</v>
      </c>
      <c r="AI663" s="9">
        <f>IFERROR(VLOOKUP(B663,cubo!$A$6:$BE$37,51,0)-VLOOKUP(B663,#REF!,$AI$2,0),0)</f>
        <v>0</v>
      </c>
      <c r="AJ663" s="9">
        <f>IFERROR(VLOOKUP(B663,cubo!$A$6:$BI$116,62,0)-VLOOKUP(B663,#REF!,$AJ$2,0),0)</f>
        <v>0</v>
      </c>
      <c r="AK663" s="9">
        <f>IFERROR(VLOOKUP(B663,cubo!$A$6:$BJ$37,63,0)-VLOOKUP(B663,#REF!,$AK$2,0),0)</f>
        <v>0</v>
      </c>
      <c r="AL663" s="9">
        <f>IFERROR(VLOOKUP(B663,cubo!$A$6:$BE$37,58,0)-VLOOKUP(B663,#REF!,$AL$2,0),0)</f>
        <v>0</v>
      </c>
      <c r="AM663" s="9">
        <f>IFERROR(VLOOKUP(B663,cubo!$A$6:$BK$37,64,0)-VLOOKUP(B663,#REF!,$AM$2,0),0)</f>
        <v>0</v>
      </c>
      <c r="AN663" s="9">
        <f>IFERROR(VLOOKUP(B663,cubo!$A$6:$AN$37,41,0)-VLOOKUP(B663,#REF!,$AN$2,0),0)</f>
        <v>0</v>
      </c>
    </row>
    <row r="664" spans="2:40" x14ac:dyDescent="0.25">
      <c r="B664" s="7">
        <f>[1]salario!A663</f>
        <v>0</v>
      </c>
      <c r="C664" s="8">
        <f>[1]salario!C663</f>
        <v>0</v>
      </c>
      <c r="D664" s="9">
        <f>IFERROR(VLOOKUP(B664,cubo!$A$6:$BE$37,3,0)-VLOOKUP(B664,#REF!,$D$2,0),0)</f>
        <v>0</v>
      </c>
      <c r="E664" s="10">
        <f>IFERROR(VLOOKUP(B664,cubo!$A$6:$BE$37,5,0)-VLOOKUP(B664,#REF!,$E$2,0),0)</f>
        <v>0</v>
      </c>
      <c r="F664" s="10">
        <f>IFERROR(VLOOKUP(B664,cubo!$A$6:$BE$37,8,0)-VLOOKUP(B664,#REF!,$F$2,0),0)</f>
        <v>0</v>
      </c>
      <c r="G664" s="9">
        <f>IFERROR(VLOOKUP(B664,cubo!$A$6:$BE$37,11,0)-VLOOKUP(B664,#REF!,$G$2,0),0)</f>
        <v>0</v>
      </c>
      <c r="H664" s="9">
        <f>IFERROR(VLOOKUP(B664,cubo!$A$6:$BE$37,53,0)-VLOOKUP(B664,#REF!,$H$2,0),0)</f>
        <v>0</v>
      </c>
      <c r="I664" s="10">
        <f>IFERROR(VLOOKUP(B664,cubo!$A$6:$BE$37,14,0)-VLOOKUP(B664,#REF!,$I$2,0),0)</f>
        <v>0</v>
      </c>
      <c r="J664" s="9">
        <f>IFERROR(VLOOKUP(B664,cubo!$A$6:$BE$37,16,0)-VLOOKUP(B664,#REF!,$J$2,0),0)</f>
        <v>0</v>
      </c>
      <c r="K664" s="9">
        <f>IFERROR(VLOOKUP(B664,cubo!$A$6:$BE$37,17,0)-VLOOKUP(B664,#REF!,$K$2,0),0)</f>
        <v>0</v>
      </c>
      <c r="L664" s="9">
        <f>IFERROR(VLOOKUP(B664,cubo!$A$6:$BE$37,19,0)-VLOOKUP(B664,#REF!,$L$2,0),0)</f>
        <v>0</v>
      </c>
      <c r="M664" s="9">
        <f>IFERROR(VLOOKUP(B664,cubo!$A$6:$BE$37,23,0)-VLOOKUP(B664,#REF!,$M$2,0),0)</f>
        <v>0</v>
      </c>
      <c r="N664" s="9">
        <f>IFERROR(VLOOKUP(B664,cubo!$A$6:$BE$37,25,0)-VLOOKUP(B664,#REF!,$N$2,0),0)</f>
        <v>0</v>
      </c>
      <c r="O664" s="9">
        <f>IFERROR(VLOOKUP(B664,cubo!$A$6:$BE$37,33,0)-VLOOKUP(B664,#REF!,$O$2,0),0)</f>
        <v>0</v>
      </c>
      <c r="P664" s="8">
        <f>IFERROR(VLOOKUP(B664,cubo!$A$6:$BE$37,37,0)-VLOOKUP(B664,#REF!,$P$2,0),0)</f>
        <v>0</v>
      </c>
      <c r="Q664" s="8">
        <f>IFERROR(VLOOKUP(B664,cubo!$A$6:$BE$37,56,0)-VLOOKUP(B664,#REF!,$Q$2,0),0)</f>
        <v>0</v>
      </c>
      <c r="R664" s="9">
        <f>IFERROR(VLOOKUP(B664,cubo!$A$6:$BE$37,40,0)-VLOOKUP(B664,#REF!,$R$2,0),0)</f>
        <v>0</v>
      </c>
      <c r="S664" s="9">
        <f>IFERROR(VLOOKUP(B664,cubo!$A$6:$BE$37,43,0)-VLOOKUP(B664,#REF!,$S$2,0),0)</f>
        <v>0</v>
      </c>
      <c r="T664" s="9">
        <f>IFERROR(VLOOKUP(B664,cubo!$A$6:$BE$37,46,0)-VLOOKUP(B664,#REF!,$T$2,0),0)</f>
        <v>0</v>
      </c>
      <c r="U664" s="9">
        <f>IFERROR(VLOOKUP(B664,cubo!$A$6:$BE$37,51,0)-VLOOKUP(B664,#REF!,$U$2,0),0)</f>
        <v>0</v>
      </c>
      <c r="V664" s="9">
        <f>IFERROR(VLOOKUP(B664,cubo!$A$6:$BJ$37,60,0)-VLOOKUP(B664,#REF!,$V$2,0),0)</f>
        <v>0</v>
      </c>
      <c r="W664" s="9">
        <f>IFERROR(VLOOKUP(B664,cubo!$A$6:$BE$37,26,0)-VLOOKUP(B664,#REF!,$W$2,0),0)</f>
        <v>0</v>
      </c>
      <c r="X664" s="9">
        <f>IFERROR(VLOOKUP(B664,cubo!$A$6:$BE$37,20,0)-VLOOKUP(B664,#REF!,$X$2,0),0)</f>
        <v>0</v>
      </c>
      <c r="Y664" s="9">
        <f>IFERROR(VLOOKUP(B664,cubo!$A$6:$BE$37,21,0)-VLOOKUP(B664,#REF!,$Y$2,0),0)</f>
        <v>0</v>
      </c>
      <c r="Z664" s="9">
        <f>IFERROR(VLOOKUP(B664,cubo!$A$6:$BE$37,27,0)-VLOOKUP(B664,#REF!,$Z$2,0),0)</f>
        <v>0</v>
      </c>
      <c r="AA664" s="9">
        <f>IFERROR(VLOOKUP(B664,cubo!$A$6:$BE$37,28,0)-VLOOKUP(B664,#REF!,$AA$2,0),0)</f>
        <v>0</v>
      </c>
      <c r="AB664" s="9">
        <f>IFERROR(VLOOKUP(B664,cubo!$A$6:$BE$37,29,0)-VLOOKUP(B664,#REF!,$AB$2,0),0)</f>
        <v>0</v>
      </c>
      <c r="AC664" s="9">
        <f>IFERROR(VLOOKUP(B664,cubo!$A$6:$BE$37,30,0)-VLOOKUP(B664,#REF!,$AC$2,0),0)</f>
        <v>0</v>
      </c>
      <c r="AD664" s="9">
        <f>IFERROR(VLOOKUP(B664,cubo!$A$6:$BE$37,31,0)-VLOOKUP(B664,#REF!,$AD$2,0),0)</f>
        <v>0</v>
      </c>
      <c r="AE664" s="9">
        <f>IFERROR(VLOOKUP(B664,cubo!$A$6:$BE$37,35,0)-VLOOKUP(B664,#REF!,$AE$2,0),0)</f>
        <v>0</v>
      </c>
      <c r="AF664" s="9" cm="1">
        <f t="array" aca="1" ref="AF664" ca="1">IFERROR(rrPROCV(B664,cubo!$A$6:$BE$37,48,0)-VLOOKUP(B664,#REF!,$AF$2,0),0)</f>
        <v>0</v>
      </c>
      <c r="AG664" s="9">
        <f>IFERROR(VLOOKUP(B664,cubo!$A$6:$BE$37,49,0)-VLOOKUP(B664,#REF!,$AG$2,0),0)</f>
        <v>0</v>
      </c>
      <c r="AH664" s="9">
        <f>IFERROR(VLOOKUP(B664,cubo!$A$6:$BE$37,50,0)-VLOOKUP(B664,#REF!,$AH$2,0),0)</f>
        <v>0</v>
      </c>
      <c r="AI664" s="9">
        <f>IFERROR(VLOOKUP(B664,cubo!$A$6:$BE$37,51,0)-VLOOKUP(B664,#REF!,$AI$2,0),0)</f>
        <v>0</v>
      </c>
      <c r="AJ664" s="9">
        <f>IFERROR(VLOOKUP(B664,cubo!$A$6:$BI$116,62,0)-VLOOKUP(B664,#REF!,$AJ$2,0),0)</f>
        <v>0</v>
      </c>
      <c r="AK664" s="9">
        <f>IFERROR(VLOOKUP(B664,cubo!$A$6:$BJ$37,63,0)-VLOOKUP(B664,#REF!,$AK$2,0),0)</f>
        <v>0</v>
      </c>
      <c r="AL664" s="9">
        <f>IFERROR(VLOOKUP(B664,cubo!$A$6:$BE$37,58,0)-VLOOKUP(B664,#REF!,$AL$2,0),0)</f>
        <v>0</v>
      </c>
      <c r="AM664" s="9">
        <f>IFERROR(VLOOKUP(B664,cubo!$A$6:$BK$37,64,0)-VLOOKUP(B664,#REF!,$AM$2,0),0)</f>
        <v>0</v>
      </c>
      <c r="AN664" s="9">
        <f>IFERROR(VLOOKUP(B664,cubo!$A$6:$AN$37,41,0)-VLOOKUP(B664,#REF!,$AN$2,0),0)</f>
        <v>0</v>
      </c>
    </row>
    <row r="665" spans="2:40" x14ac:dyDescent="0.25">
      <c r="B665" s="7">
        <f>[1]salario!A664</f>
        <v>0</v>
      </c>
      <c r="C665" s="8">
        <f>[1]salario!C664</f>
        <v>0</v>
      </c>
      <c r="D665" s="9">
        <f>IFERROR(VLOOKUP(B665,cubo!$A$6:$BE$37,3,0)-VLOOKUP(B665,#REF!,$D$2,0),0)</f>
        <v>0</v>
      </c>
      <c r="E665" s="10">
        <f>IFERROR(VLOOKUP(B665,cubo!$A$6:$BE$37,5,0)-VLOOKUP(B665,#REF!,$E$2,0),0)</f>
        <v>0</v>
      </c>
      <c r="F665" s="10">
        <f>IFERROR(VLOOKUP(B665,cubo!$A$6:$BE$37,8,0)-VLOOKUP(B665,#REF!,$F$2,0),0)</f>
        <v>0</v>
      </c>
      <c r="G665" s="9">
        <f>IFERROR(VLOOKUP(B665,cubo!$A$6:$BE$37,11,0)-VLOOKUP(B665,#REF!,$G$2,0),0)</f>
        <v>0</v>
      </c>
      <c r="H665" s="9">
        <f>IFERROR(VLOOKUP(B665,cubo!$A$6:$BE$37,53,0)-VLOOKUP(B665,#REF!,$H$2,0),0)</f>
        <v>0</v>
      </c>
      <c r="I665" s="10">
        <f>IFERROR(VLOOKUP(B665,cubo!$A$6:$BE$37,14,0)-VLOOKUP(B665,#REF!,$I$2,0),0)</f>
        <v>0</v>
      </c>
      <c r="J665" s="9">
        <f>IFERROR(VLOOKUP(B665,cubo!$A$6:$BE$37,16,0)-VLOOKUP(B665,#REF!,$J$2,0),0)</f>
        <v>0</v>
      </c>
      <c r="K665" s="9">
        <f>IFERROR(VLOOKUP(B665,cubo!$A$6:$BE$37,17,0)-VLOOKUP(B665,#REF!,$K$2,0),0)</f>
        <v>0</v>
      </c>
      <c r="L665" s="9">
        <f>IFERROR(VLOOKUP(B665,cubo!$A$6:$BE$37,19,0)-VLOOKUP(B665,#REF!,$L$2,0),0)</f>
        <v>0</v>
      </c>
      <c r="M665" s="9">
        <f>IFERROR(VLOOKUP(B665,cubo!$A$6:$BE$37,23,0)-VLOOKUP(B665,#REF!,$M$2,0),0)</f>
        <v>0</v>
      </c>
      <c r="N665" s="9">
        <f>IFERROR(VLOOKUP(B665,cubo!$A$6:$BE$37,25,0)-VLOOKUP(B665,#REF!,$N$2,0),0)</f>
        <v>0</v>
      </c>
      <c r="O665" s="9">
        <f>IFERROR(VLOOKUP(B665,cubo!$A$6:$BE$37,33,0)-VLOOKUP(B665,#REF!,$O$2,0),0)</f>
        <v>0</v>
      </c>
      <c r="P665" s="8">
        <f>IFERROR(VLOOKUP(B665,cubo!$A$6:$BE$37,37,0)-VLOOKUP(B665,#REF!,$P$2,0),0)</f>
        <v>0</v>
      </c>
      <c r="Q665" s="8">
        <f>IFERROR(VLOOKUP(B665,cubo!$A$6:$BE$37,56,0)-VLOOKUP(B665,#REF!,$Q$2,0),0)</f>
        <v>0</v>
      </c>
      <c r="R665" s="9">
        <f>IFERROR(VLOOKUP(B665,cubo!$A$6:$BE$37,40,0)-VLOOKUP(B665,#REF!,$R$2,0),0)</f>
        <v>0</v>
      </c>
      <c r="S665" s="9">
        <f>IFERROR(VLOOKUP(B665,cubo!$A$6:$BE$37,43,0)-VLOOKUP(B665,#REF!,$S$2,0),0)</f>
        <v>0</v>
      </c>
      <c r="T665" s="9">
        <f>IFERROR(VLOOKUP(B665,cubo!$A$6:$BE$37,46,0)-VLOOKUP(B665,#REF!,$T$2,0),0)</f>
        <v>0</v>
      </c>
      <c r="U665" s="9">
        <f>IFERROR(VLOOKUP(B665,cubo!$A$6:$BE$37,51,0)-VLOOKUP(B665,#REF!,$U$2,0),0)</f>
        <v>0</v>
      </c>
      <c r="V665" s="9">
        <f>IFERROR(VLOOKUP(B665,cubo!$A$6:$BJ$37,60,0)-VLOOKUP(B665,#REF!,$V$2,0),0)</f>
        <v>0</v>
      </c>
      <c r="W665" s="9">
        <f>IFERROR(VLOOKUP(B665,cubo!$A$6:$BE$37,26,0)-VLOOKUP(B665,#REF!,$W$2,0),0)</f>
        <v>0</v>
      </c>
      <c r="X665" s="9">
        <f>IFERROR(VLOOKUP(B665,cubo!$A$6:$BE$37,20,0)-VLOOKUP(B665,#REF!,$X$2,0),0)</f>
        <v>0</v>
      </c>
      <c r="Y665" s="9">
        <f>IFERROR(VLOOKUP(B665,cubo!$A$6:$BE$37,21,0)-VLOOKUP(B665,#REF!,$Y$2,0),0)</f>
        <v>0</v>
      </c>
      <c r="Z665" s="9">
        <f>IFERROR(VLOOKUP(B665,cubo!$A$6:$BE$37,27,0)-VLOOKUP(B665,#REF!,$Z$2,0),0)</f>
        <v>0</v>
      </c>
      <c r="AA665" s="9">
        <f>IFERROR(VLOOKUP(B665,cubo!$A$6:$BE$37,28,0)-VLOOKUP(B665,#REF!,$AA$2,0),0)</f>
        <v>0</v>
      </c>
      <c r="AB665" s="9">
        <f>IFERROR(VLOOKUP(B665,cubo!$A$6:$BE$37,29,0)-VLOOKUP(B665,#REF!,$AB$2,0),0)</f>
        <v>0</v>
      </c>
      <c r="AC665" s="9">
        <f>IFERROR(VLOOKUP(B665,cubo!$A$6:$BE$37,30,0)-VLOOKUP(B665,#REF!,$AC$2,0),0)</f>
        <v>0</v>
      </c>
      <c r="AD665" s="9">
        <f>IFERROR(VLOOKUP(B665,cubo!$A$6:$BE$37,31,0)-VLOOKUP(B665,#REF!,$AD$2,0),0)</f>
        <v>0</v>
      </c>
      <c r="AE665" s="9">
        <f>IFERROR(VLOOKUP(B665,cubo!$A$6:$BE$37,35,0)-VLOOKUP(B665,#REF!,$AE$2,0),0)</f>
        <v>0</v>
      </c>
      <c r="AF665" s="9" cm="1">
        <f t="array" aca="1" ref="AF665" ca="1">IFERROR(rrPROCV(B665,cubo!$A$6:$BE$37,48,0)-VLOOKUP(B665,#REF!,$AF$2,0),0)</f>
        <v>0</v>
      </c>
      <c r="AG665" s="9">
        <f>IFERROR(VLOOKUP(B665,cubo!$A$6:$BE$37,49,0)-VLOOKUP(B665,#REF!,$AG$2,0),0)</f>
        <v>0</v>
      </c>
      <c r="AH665" s="9">
        <f>IFERROR(VLOOKUP(B665,cubo!$A$6:$BE$37,50,0)-VLOOKUP(B665,#REF!,$AH$2,0),0)</f>
        <v>0</v>
      </c>
      <c r="AI665" s="9">
        <f>IFERROR(VLOOKUP(B665,cubo!$A$6:$BE$37,51,0)-VLOOKUP(B665,#REF!,$AI$2,0),0)</f>
        <v>0</v>
      </c>
      <c r="AJ665" s="9">
        <f>IFERROR(VLOOKUP(B665,cubo!$A$6:$BI$116,62,0)-VLOOKUP(B665,#REF!,$AJ$2,0),0)</f>
        <v>0</v>
      </c>
      <c r="AK665" s="9">
        <f>IFERROR(VLOOKUP(B665,cubo!$A$6:$BJ$37,63,0)-VLOOKUP(B665,#REF!,$AK$2,0),0)</f>
        <v>0</v>
      </c>
      <c r="AL665" s="9">
        <f>IFERROR(VLOOKUP(B665,cubo!$A$6:$BE$37,58,0)-VLOOKUP(B665,#REF!,$AL$2,0),0)</f>
        <v>0</v>
      </c>
      <c r="AM665" s="9">
        <f>IFERROR(VLOOKUP(B665,cubo!$A$6:$BK$37,64,0)-VLOOKUP(B665,#REF!,$AM$2,0),0)</f>
        <v>0</v>
      </c>
      <c r="AN665" s="9">
        <f>IFERROR(VLOOKUP(B665,cubo!$A$6:$AN$37,41,0)-VLOOKUP(B665,#REF!,$AN$2,0),0)</f>
        <v>0</v>
      </c>
    </row>
    <row r="666" spans="2:40" x14ac:dyDescent="0.25">
      <c r="B666" s="7">
        <f>[1]salario!A665</f>
        <v>0</v>
      </c>
      <c r="C666" s="8">
        <f>[1]salario!C665</f>
        <v>0</v>
      </c>
      <c r="D666" s="9">
        <f>IFERROR(VLOOKUP(B666,cubo!$A$6:$BE$37,3,0)-VLOOKUP(B666,#REF!,$D$2,0),0)</f>
        <v>0</v>
      </c>
      <c r="E666" s="10">
        <f>IFERROR(VLOOKUP(B666,cubo!$A$6:$BE$37,5,0)-VLOOKUP(B666,#REF!,$E$2,0),0)</f>
        <v>0</v>
      </c>
      <c r="F666" s="10">
        <f>IFERROR(VLOOKUP(B666,cubo!$A$6:$BE$37,8,0)-VLOOKUP(B666,#REF!,$F$2,0),0)</f>
        <v>0</v>
      </c>
      <c r="G666" s="9">
        <f>IFERROR(VLOOKUP(B666,cubo!$A$6:$BE$37,11,0)-VLOOKUP(B666,#REF!,$G$2,0),0)</f>
        <v>0</v>
      </c>
      <c r="H666" s="9">
        <f>IFERROR(VLOOKUP(B666,cubo!$A$6:$BE$37,53,0)-VLOOKUP(B666,#REF!,$H$2,0),0)</f>
        <v>0</v>
      </c>
      <c r="I666" s="10">
        <f>IFERROR(VLOOKUP(B666,cubo!$A$6:$BE$37,14,0)-VLOOKUP(B666,#REF!,$I$2,0),0)</f>
        <v>0</v>
      </c>
      <c r="J666" s="9">
        <f>IFERROR(VLOOKUP(B666,cubo!$A$6:$BE$37,16,0)-VLOOKUP(B666,#REF!,$J$2,0),0)</f>
        <v>0</v>
      </c>
      <c r="K666" s="9">
        <f>IFERROR(VLOOKUP(B666,cubo!$A$6:$BE$37,17,0)-VLOOKUP(B666,#REF!,$K$2,0),0)</f>
        <v>0</v>
      </c>
      <c r="L666" s="9">
        <f>IFERROR(VLOOKUP(B666,cubo!$A$6:$BE$37,19,0)-VLOOKUP(B666,#REF!,$L$2,0),0)</f>
        <v>0</v>
      </c>
      <c r="M666" s="9">
        <f>IFERROR(VLOOKUP(B666,cubo!$A$6:$BE$37,23,0)-VLOOKUP(B666,#REF!,$M$2,0),0)</f>
        <v>0</v>
      </c>
      <c r="N666" s="9">
        <f>IFERROR(VLOOKUP(B666,cubo!$A$6:$BE$37,25,0)-VLOOKUP(B666,#REF!,$N$2,0),0)</f>
        <v>0</v>
      </c>
      <c r="O666" s="9">
        <f>IFERROR(VLOOKUP(B666,cubo!$A$6:$BE$37,33,0)-VLOOKUP(B666,#REF!,$O$2,0),0)</f>
        <v>0</v>
      </c>
      <c r="P666" s="8">
        <f>IFERROR(VLOOKUP(B666,cubo!$A$6:$BE$37,37,0)-VLOOKUP(B666,#REF!,$P$2,0),0)</f>
        <v>0</v>
      </c>
      <c r="Q666" s="8">
        <f>IFERROR(VLOOKUP(B666,cubo!$A$6:$BE$37,56,0)-VLOOKUP(B666,#REF!,$Q$2,0),0)</f>
        <v>0</v>
      </c>
      <c r="R666" s="9">
        <f>IFERROR(VLOOKUP(B666,cubo!$A$6:$BE$37,40,0)-VLOOKUP(B666,#REF!,$R$2,0),0)</f>
        <v>0</v>
      </c>
      <c r="S666" s="9">
        <f>IFERROR(VLOOKUP(B666,cubo!$A$6:$BE$37,43,0)-VLOOKUP(B666,#REF!,$S$2,0),0)</f>
        <v>0</v>
      </c>
      <c r="T666" s="9">
        <f>IFERROR(VLOOKUP(B666,cubo!$A$6:$BE$37,46,0)-VLOOKUP(B666,#REF!,$T$2,0),0)</f>
        <v>0</v>
      </c>
      <c r="U666" s="9">
        <f>IFERROR(VLOOKUP(B666,cubo!$A$6:$BE$37,51,0)-VLOOKUP(B666,#REF!,$U$2,0),0)</f>
        <v>0</v>
      </c>
      <c r="V666" s="9">
        <f>IFERROR(VLOOKUP(B666,cubo!$A$6:$BJ$37,60,0)-VLOOKUP(B666,#REF!,$V$2,0),0)</f>
        <v>0</v>
      </c>
      <c r="W666" s="9">
        <f>IFERROR(VLOOKUP(B666,cubo!$A$6:$BE$37,26,0)-VLOOKUP(B666,#REF!,$W$2,0),0)</f>
        <v>0</v>
      </c>
      <c r="X666" s="9">
        <f>IFERROR(VLOOKUP(B666,cubo!$A$6:$BE$37,20,0)-VLOOKUP(B666,#REF!,$X$2,0),0)</f>
        <v>0</v>
      </c>
      <c r="Y666" s="9">
        <f>IFERROR(VLOOKUP(B666,cubo!$A$6:$BE$37,21,0)-VLOOKUP(B666,#REF!,$Y$2,0),0)</f>
        <v>0</v>
      </c>
      <c r="Z666" s="9">
        <f>IFERROR(VLOOKUP(B666,cubo!$A$6:$BE$37,27,0)-VLOOKUP(B666,#REF!,$Z$2,0),0)</f>
        <v>0</v>
      </c>
      <c r="AA666" s="9">
        <f>IFERROR(VLOOKUP(B666,cubo!$A$6:$BE$37,28,0)-VLOOKUP(B666,#REF!,$AA$2,0),0)</f>
        <v>0</v>
      </c>
      <c r="AB666" s="9">
        <f>IFERROR(VLOOKUP(B666,cubo!$A$6:$BE$37,29,0)-VLOOKUP(B666,#REF!,$AB$2,0),0)</f>
        <v>0</v>
      </c>
      <c r="AC666" s="9">
        <f>IFERROR(VLOOKUP(B666,cubo!$A$6:$BE$37,30,0)-VLOOKUP(B666,#REF!,$AC$2,0),0)</f>
        <v>0</v>
      </c>
      <c r="AD666" s="9">
        <f>IFERROR(VLOOKUP(B666,cubo!$A$6:$BE$37,31,0)-VLOOKUP(B666,#REF!,$AD$2,0),0)</f>
        <v>0</v>
      </c>
      <c r="AE666" s="9">
        <f>IFERROR(VLOOKUP(B666,cubo!$A$6:$BE$37,35,0)-VLOOKUP(B666,#REF!,$AE$2,0),0)</f>
        <v>0</v>
      </c>
      <c r="AF666" s="9" cm="1">
        <f t="array" aca="1" ref="AF666" ca="1">IFERROR(rrPROCV(B666,cubo!$A$6:$BE$37,48,0)-VLOOKUP(B666,#REF!,$AF$2,0),0)</f>
        <v>0</v>
      </c>
      <c r="AG666" s="9">
        <f>IFERROR(VLOOKUP(B666,cubo!$A$6:$BE$37,49,0)-VLOOKUP(B666,#REF!,$AG$2,0),0)</f>
        <v>0</v>
      </c>
      <c r="AH666" s="9">
        <f>IFERROR(VLOOKUP(B666,cubo!$A$6:$BE$37,50,0)-VLOOKUP(B666,#REF!,$AH$2,0),0)</f>
        <v>0</v>
      </c>
      <c r="AI666" s="9">
        <f>IFERROR(VLOOKUP(B666,cubo!$A$6:$BE$37,51,0)-VLOOKUP(B666,#REF!,$AI$2,0),0)</f>
        <v>0</v>
      </c>
      <c r="AJ666" s="9">
        <f>IFERROR(VLOOKUP(B666,cubo!$A$6:$BI$116,62,0)-VLOOKUP(B666,#REF!,$AJ$2,0),0)</f>
        <v>0</v>
      </c>
      <c r="AK666" s="9">
        <f>IFERROR(VLOOKUP(B666,cubo!$A$6:$BJ$37,63,0)-VLOOKUP(B666,#REF!,$AK$2,0),0)</f>
        <v>0</v>
      </c>
      <c r="AL666" s="9">
        <f>IFERROR(VLOOKUP(B666,cubo!$A$6:$BE$37,58,0)-VLOOKUP(B666,#REF!,$AL$2,0),0)</f>
        <v>0</v>
      </c>
      <c r="AM666" s="9">
        <f>IFERROR(VLOOKUP(B666,cubo!$A$6:$BK$37,64,0)-VLOOKUP(B666,#REF!,$AM$2,0),0)</f>
        <v>0</v>
      </c>
      <c r="AN666" s="9">
        <f>IFERROR(VLOOKUP(B666,cubo!$A$6:$AN$37,41,0)-VLOOKUP(B666,#REF!,$AN$2,0),0)</f>
        <v>0</v>
      </c>
    </row>
  </sheetData>
  <autoFilter ref="B3:AM666" xr:uid="{D2284A43-0EC3-410B-8309-00809A0E0F1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</vt:lpstr>
      <vt:lpstr>cubo</vt:lpstr>
      <vt:lpstr>conciliacao_custos</vt:lpstr>
      <vt:lpstr>conciliação_descontos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Alves de Macedo</cp:lastModifiedBy>
  <dcterms:created xsi:type="dcterms:W3CDTF">2024-08-20T17:34:30Z</dcterms:created>
  <dcterms:modified xsi:type="dcterms:W3CDTF">2026-02-25T14:08:49Z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