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_macedo\Desktop\area_51\"/>
    </mc:Choice>
  </mc:AlternateContent>
  <xr:revisionPtr revIDLastSave="0" documentId="13_ncr:1_{9AB5E78D-2CF0-4DAA-AC32-ED9FEFE844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adesco" sheetId="1" r:id="rId1"/>
    <sheet name="Planilha2" sheetId="2" r:id="rId2"/>
    <sheet name="tabelas" sheetId="3" r:id="rId3"/>
  </sheets>
  <definedNames>
    <definedName name="_xlnm._FilterDatabase" localSheetId="0" hidden="1">bradesco!$C$3:$V$167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1" l="1"/>
  <c r="V15" i="1" s="1"/>
  <c r="M2" i="1"/>
  <c r="T6" i="1" l="1"/>
  <c r="V6" i="1" s="1"/>
  <c r="T7" i="1" l="1"/>
  <c r="V7" i="1" s="1"/>
  <c r="C42" i="2"/>
  <c r="C41" i="2"/>
  <c r="C40" i="2"/>
  <c r="C39" i="2"/>
  <c r="C38" i="2"/>
  <c r="C37" i="2"/>
  <c r="C36" i="2"/>
  <c r="C35" i="2"/>
  <c r="C32" i="2"/>
  <c r="C31" i="2"/>
  <c r="C30" i="2"/>
  <c r="C29" i="2"/>
  <c r="C28" i="2"/>
  <c r="C27" i="2"/>
  <c r="C26" i="2"/>
  <c r="C25" i="2"/>
  <c r="T9" i="1" l="1"/>
  <c r="V9" i="1" s="1"/>
  <c r="T8" i="1"/>
  <c r="V8" i="1" s="1"/>
  <c r="C22" i="2"/>
  <c r="C21" i="2"/>
  <c r="C20" i="2"/>
  <c r="C19" i="2"/>
  <c r="C18" i="2"/>
  <c r="C17" i="2"/>
  <c r="C16" i="2"/>
  <c r="C15" i="2"/>
  <c r="C12" i="2"/>
  <c r="C11" i="2"/>
  <c r="C10" i="2"/>
  <c r="C9" i="2"/>
  <c r="C8" i="2"/>
  <c r="C7" i="2"/>
  <c r="C6" i="2"/>
  <c r="C5" i="2"/>
  <c r="T10" i="1" l="1"/>
  <c r="V10" i="1" s="1"/>
  <c r="T5" i="1"/>
  <c r="V5" i="1" s="1"/>
  <c r="T11" i="1" l="1"/>
  <c r="V11" i="1" s="1"/>
  <c r="T12" i="1" l="1"/>
  <c r="V12" i="1" s="1"/>
  <c r="T13" i="1" l="1"/>
  <c r="V13" i="1" s="1"/>
  <c r="T14" i="1" l="1"/>
  <c r="V14" i="1" s="1"/>
  <c r="T16" i="1" l="1"/>
  <c r="V16" i="1" s="1"/>
  <c r="T17" i="1" l="1"/>
  <c r="V17" i="1" s="1"/>
  <c r="T18" i="1" l="1"/>
  <c r="V18" i="1" s="1"/>
  <c r="T19" i="1" l="1"/>
  <c r="V19" i="1" s="1"/>
  <c r="T20" i="1" l="1"/>
  <c r="V20" i="1" s="1"/>
  <c r="T21" i="1" l="1"/>
  <c r="V21" i="1" s="1"/>
  <c r="T22" i="1" l="1"/>
  <c r="V22" i="1" s="1"/>
  <c r="T23" i="1" l="1"/>
  <c r="V23" i="1" s="1"/>
  <c r="T24" i="1" l="1"/>
  <c r="V24" i="1" s="1"/>
  <c r="T25" i="1" l="1"/>
  <c r="V25" i="1" s="1"/>
  <c r="T26" i="1" l="1"/>
  <c r="V26" i="1" s="1"/>
  <c r="T27" i="1" l="1"/>
  <c r="V27" i="1" s="1"/>
  <c r="T28" i="1" l="1"/>
  <c r="V28" i="1" s="1"/>
  <c r="T29" i="1" l="1"/>
  <c r="V29" i="1" s="1"/>
  <c r="T30" i="1" l="1"/>
  <c r="V30" i="1" s="1"/>
  <c r="T31" i="1" l="1"/>
  <c r="V31" i="1" s="1"/>
  <c r="T32" i="1" l="1"/>
  <c r="V32" i="1" s="1"/>
  <c r="T33" i="1" l="1"/>
  <c r="V33" i="1" s="1"/>
  <c r="T34" i="1" l="1"/>
  <c r="V34" i="1" s="1"/>
  <c r="T35" i="1" l="1"/>
  <c r="V35" i="1" s="1"/>
  <c r="T36" i="1" l="1"/>
  <c r="V36" i="1" s="1"/>
  <c r="T37" i="1" l="1"/>
  <c r="V37" i="1" s="1"/>
  <c r="T38" i="1" l="1"/>
  <c r="V38" i="1" s="1"/>
  <c r="T39" i="1" l="1"/>
  <c r="V39" i="1" s="1"/>
  <c r="T40" i="1" l="1"/>
  <c r="V40" i="1" s="1"/>
  <c r="T41" i="1" l="1"/>
  <c r="V41" i="1" s="1"/>
  <c r="T42" i="1" l="1"/>
  <c r="V42" i="1" s="1"/>
  <c r="T43" i="1" l="1"/>
  <c r="V43" i="1" s="1"/>
  <c r="T44" i="1" l="1"/>
  <c r="V44" i="1" s="1"/>
  <c r="T45" i="1" l="1"/>
  <c r="V45" i="1" s="1"/>
  <c r="T46" i="1" l="1"/>
  <c r="V46" i="1" s="1"/>
  <c r="T47" i="1" l="1"/>
  <c r="V47" i="1" s="1"/>
  <c r="T48" i="1" l="1"/>
  <c r="V48" i="1" s="1"/>
  <c r="T49" i="1" l="1"/>
  <c r="V49" i="1" s="1"/>
  <c r="T50" i="1" l="1"/>
  <c r="V50" i="1" s="1"/>
  <c r="T51" i="1" l="1"/>
  <c r="V51" i="1" s="1"/>
  <c r="T52" i="1" l="1"/>
  <c r="V52" i="1" s="1"/>
  <c r="T53" i="1" l="1"/>
  <c r="V53" i="1" s="1"/>
  <c r="T54" i="1" l="1"/>
  <c r="V54" i="1" s="1"/>
  <c r="T55" i="1" l="1"/>
  <c r="V55" i="1" s="1"/>
  <c r="T56" i="1" l="1"/>
  <c r="V56" i="1" s="1"/>
  <c r="T57" i="1" l="1"/>
  <c r="V57" i="1" s="1"/>
  <c r="T58" i="1" l="1"/>
  <c r="V58" i="1" s="1"/>
  <c r="T59" i="1" l="1"/>
  <c r="V59" i="1" s="1"/>
  <c r="T60" i="1" l="1"/>
  <c r="V60" i="1" s="1"/>
  <c r="T61" i="1" l="1"/>
  <c r="V61" i="1" s="1"/>
  <c r="T62" i="1" l="1"/>
  <c r="V62" i="1" s="1"/>
  <c r="T63" i="1" l="1"/>
  <c r="V63" i="1" s="1"/>
  <c r="T64" i="1" l="1"/>
  <c r="V64" i="1" s="1"/>
  <c r="T65" i="1" l="1"/>
  <c r="V65" i="1" s="1"/>
  <c r="T66" i="1" l="1"/>
  <c r="V66" i="1" s="1"/>
  <c r="T67" i="1" l="1"/>
  <c r="V67" i="1" s="1"/>
  <c r="T68" i="1" l="1"/>
  <c r="V68" i="1" s="1"/>
  <c r="T69" i="1" l="1"/>
  <c r="V69" i="1" s="1"/>
  <c r="T70" i="1" l="1"/>
  <c r="V70" i="1" s="1"/>
  <c r="T71" i="1" l="1"/>
  <c r="V71" i="1" s="1"/>
  <c r="T72" i="1" l="1"/>
  <c r="V72" i="1" s="1"/>
  <c r="T73" i="1" l="1"/>
  <c r="V73" i="1" s="1"/>
  <c r="T74" i="1" l="1"/>
  <c r="V74" i="1" s="1"/>
  <c r="T75" i="1" l="1"/>
  <c r="V75" i="1" s="1"/>
  <c r="T76" i="1" l="1"/>
  <c r="V76" i="1" s="1"/>
  <c r="T77" i="1" l="1"/>
  <c r="V77" i="1" s="1"/>
  <c r="T78" i="1" l="1"/>
  <c r="V78" i="1" s="1"/>
  <c r="T79" i="1" l="1"/>
  <c r="V79" i="1" s="1"/>
  <c r="T80" i="1" l="1"/>
  <c r="V80" i="1" s="1"/>
  <c r="T81" i="1" l="1"/>
  <c r="V81" i="1" s="1"/>
  <c r="T82" i="1" l="1"/>
  <c r="V82" i="1" s="1"/>
  <c r="T83" i="1" l="1"/>
  <c r="V83" i="1" s="1"/>
  <c r="T84" i="1" l="1"/>
  <c r="V84" i="1" s="1"/>
  <c r="T85" i="1" l="1"/>
  <c r="V85" i="1" s="1"/>
  <c r="T86" i="1" l="1"/>
  <c r="V86" i="1" s="1"/>
  <c r="T87" i="1" l="1"/>
  <c r="V87" i="1" s="1"/>
  <c r="T88" i="1" l="1"/>
  <c r="V88" i="1" s="1"/>
  <c r="T89" i="1" l="1"/>
  <c r="V89" i="1" s="1"/>
  <c r="T90" i="1" l="1"/>
  <c r="V90" i="1" s="1"/>
  <c r="T91" i="1" l="1"/>
  <c r="V91" i="1" s="1"/>
  <c r="T92" i="1" l="1"/>
  <c r="V92" i="1" s="1"/>
  <c r="T93" i="1" l="1"/>
  <c r="V93" i="1" s="1"/>
  <c r="T94" i="1" l="1"/>
  <c r="V94" i="1" s="1"/>
  <c r="T95" i="1" l="1"/>
  <c r="V95" i="1" s="1"/>
  <c r="T96" i="1" l="1"/>
  <c r="V96" i="1" s="1"/>
  <c r="T97" i="1" l="1"/>
  <c r="V97" i="1" s="1"/>
  <c r="T98" i="1" l="1"/>
  <c r="V98" i="1" s="1"/>
  <c r="T99" i="1" l="1"/>
  <c r="V99" i="1" s="1"/>
  <c r="T100" i="1" l="1"/>
  <c r="V100" i="1" s="1"/>
  <c r="T101" i="1" l="1"/>
  <c r="V101" i="1" s="1"/>
  <c r="T102" i="1" l="1"/>
  <c r="V102" i="1" s="1"/>
  <c r="T103" i="1" l="1"/>
  <c r="V103" i="1" s="1"/>
  <c r="T104" i="1" l="1"/>
  <c r="V104" i="1" s="1"/>
  <c r="T105" i="1" l="1"/>
  <c r="V105" i="1" s="1"/>
  <c r="T106" i="1" l="1"/>
  <c r="V106" i="1" s="1"/>
  <c r="T107" i="1" l="1"/>
  <c r="V107" i="1" s="1"/>
  <c r="T108" i="1" l="1"/>
  <c r="V108" i="1" s="1"/>
  <c r="T109" i="1" l="1"/>
  <c r="V109" i="1" s="1"/>
  <c r="T110" i="1" l="1"/>
  <c r="V110" i="1" s="1"/>
  <c r="T111" i="1" l="1"/>
  <c r="V111" i="1" s="1"/>
  <c r="T112" i="1" l="1"/>
  <c r="V112" i="1" s="1"/>
  <c r="T113" i="1" l="1"/>
  <c r="V113" i="1" s="1"/>
  <c r="T114" i="1" l="1"/>
  <c r="V114" i="1" s="1"/>
  <c r="T115" i="1" l="1"/>
  <c r="V115" i="1" s="1"/>
  <c r="T116" i="1" l="1"/>
  <c r="V116" i="1" s="1"/>
  <c r="T117" i="1" l="1"/>
  <c r="V117" i="1" s="1"/>
  <c r="T118" i="1" l="1"/>
  <c r="V118" i="1" s="1"/>
  <c r="T119" i="1" l="1"/>
  <c r="V119" i="1" s="1"/>
  <c r="T120" i="1" l="1"/>
  <c r="V120" i="1" s="1"/>
  <c r="T121" i="1" l="1"/>
  <c r="V121" i="1" s="1"/>
  <c r="T122" i="1" l="1"/>
  <c r="V122" i="1" s="1"/>
  <c r="T123" i="1" l="1"/>
  <c r="V123" i="1" s="1"/>
  <c r="T124" i="1" l="1"/>
  <c r="V124" i="1" s="1"/>
  <c r="T125" i="1" l="1"/>
  <c r="V125" i="1" s="1"/>
  <c r="T126" i="1" l="1"/>
  <c r="V126" i="1" s="1"/>
  <c r="T127" i="1" l="1"/>
  <c r="V127" i="1" s="1"/>
  <c r="T128" i="1" l="1"/>
  <c r="V128" i="1" s="1"/>
  <c r="T129" i="1" l="1"/>
  <c r="V129" i="1" s="1"/>
  <c r="T130" i="1" l="1"/>
  <c r="V130" i="1" s="1"/>
  <c r="T131" i="1" l="1"/>
  <c r="V131" i="1" s="1"/>
  <c r="T132" i="1" l="1"/>
  <c r="V132" i="1" s="1"/>
  <c r="T133" i="1" l="1"/>
  <c r="V133" i="1" s="1"/>
  <c r="T134" i="1" l="1"/>
  <c r="V134" i="1" s="1"/>
  <c r="T135" i="1" l="1"/>
  <c r="V135" i="1" s="1"/>
  <c r="T136" i="1" l="1"/>
  <c r="V136" i="1" s="1"/>
  <c r="T137" i="1" l="1"/>
  <c r="V137" i="1" s="1"/>
  <c r="T138" i="1" l="1"/>
  <c r="V138" i="1" s="1"/>
  <c r="T139" i="1" l="1"/>
  <c r="V139" i="1" s="1"/>
  <c r="T140" i="1" l="1"/>
  <c r="V140" i="1" s="1"/>
  <c r="T141" i="1" l="1"/>
  <c r="V141" i="1" s="1"/>
  <c r="T142" i="1" l="1"/>
  <c r="V142" i="1" s="1"/>
  <c r="T143" i="1" l="1"/>
  <c r="V143" i="1" s="1"/>
  <c r="T144" i="1" l="1"/>
  <c r="V144" i="1" s="1"/>
  <c r="T145" i="1" l="1"/>
  <c r="V145" i="1" s="1"/>
  <c r="T146" i="1" l="1"/>
  <c r="V146" i="1" s="1"/>
  <c r="T147" i="1" l="1"/>
  <c r="V147" i="1" s="1"/>
  <c r="T148" i="1" l="1"/>
  <c r="V148" i="1" s="1"/>
  <c r="T149" i="1" l="1"/>
  <c r="V149" i="1" s="1"/>
  <c r="T150" i="1" l="1"/>
  <c r="V150" i="1" s="1"/>
  <c r="T151" i="1" l="1"/>
  <c r="V151" i="1" s="1"/>
  <c r="T152" i="1" l="1"/>
  <c r="V152" i="1" s="1"/>
  <c r="T153" i="1" l="1"/>
  <c r="V153" i="1" s="1"/>
  <c r="T154" i="1" l="1"/>
  <c r="V154" i="1" s="1"/>
  <c r="T155" i="1" l="1"/>
  <c r="V155" i="1" s="1"/>
  <c r="T156" i="1" l="1"/>
  <c r="V156" i="1" s="1"/>
  <c r="T157" i="1" l="1"/>
  <c r="V157" i="1" s="1"/>
  <c r="T158" i="1" l="1"/>
  <c r="V158" i="1" s="1"/>
  <c r="T159" i="1" l="1"/>
  <c r="V159" i="1" s="1"/>
  <c r="T160" i="1" l="1"/>
  <c r="V160" i="1" s="1"/>
  <c r="T161" i="1" l="1"/>
  <c r="V161" i="1" s="1"/>
  <c r="T162" i="1" l="1"/>
  <c r="V162" i="1" s="1"/>
  <c r="T163" i="1" l="1"/>
  <c r="V163" i="1" s="1"/>
  <c r="T164" i="1" l="1"/>
  <c r="V164" i="1" s="1"/>
  <c r="T165" i="1" l="1"/>
  <c r="V165" i="1" s="1"/>
</calcChain>
</file>

<file path=xl/sharedStrings.xml><?xml version="1.0" encoding="utf-8"?>
<sst xmlns="http://schemas.openxmlformats.org/spreadsheetml/2006/main" count="1279" uniqueCount="316">
  <si>
    <r>
      <rPr>
        <sz val="6"/>
        <rFont val="Arial MT"/>
        <family val="2"/>
      </rPr>
      <t>TNQQ</t>
    </r>
  </si>
  <si>
    <r>
      <rPr>
        <sz val="6"/>
        <rFont val="Arial MT"/>
        <family val="2"/>
      </rPr>
      <t>TNEE</t>
    </r>
  </si>
  <si>
    <r>
      <rPr>
        <sz val="6"/>
        <rFont val="Arial MT"/>
        <family val="2"/>
      </rPr>
      <t>FCEX</t>
    </r>
  </si>
  <si>
    <r>
      <rPr>
        <sz val="6"/>
        <rFont val="Arial MT"/>
        <family val="2"/>
      </rPr>
      <t>FCQX</t>
    </r>
  </si>
  <si>
    <t>Código</t>
  </si>
  <si>
    <t>Faixa Etária</t>
  </si>
  <si>
    <t>Valor individual</t>
  </si>
  <si>
    <t>Bradesco FLEX</t>
  </si>
  <si>
    <t>Flex</t>
  </si>
  <si>
    <t>enfermaria</t>
  </si>
  <si>
    <t>Enfermaria sem coparticipação</t>
  </si>
  <si>
    <t>apartamento</t>
  </si>
  <si>
    <t>Nacional</t>
  </si>
  <si>
    <t>Apartamento sem coparticipação</t>
  </si>
  <si>
    <t>idade</t>
  </si>
  <si>
    <t>CPF Titular</t>
  </si>
  <si>
    <t>Matricula Titular</t>
  </si>
  <si>
    <t>Salário Titular</t>
  </si>
  <si>
    <t>Plano Base Atlântico</t>
  </si>
  <si>
    <t>Custo</t>
  </si>
  <si>
    <t>DESCONTO COLABORADOR</t>
  </si>
  <si>
    <t>TNQQ</t>
  </si>
  <si>
    <t>FAIXA SALARIAL</t>
  </si>
  <si>
    <t>ATLANTICO</t>
  </si>
  <si>
    <t>COLABORADOR</t>
  </si>
  <si>
    <t xml:space="preserve">TABELA DESCONTO </t>
  </si>
  <si>
    <t>X</t>
  </si>
  <si>
    <t>Y</t>
  </si>
  <si>
    <t>MAT</t>
  </si>
  <si>
    <t>Nac Enfermaria sem coparticipação</t>
  </si>
  <si>
    <t>Nac Apartamento sem coparticipação</t>
  </si>
  <si>
    <t>M
o v.</t>
  </si>
  <si>
    <t>Nome Segurado</t>
  </si>
  <si>
    <t>Data Nascimento</t>
  </si>
  <si>
    <t>Sexo</t>
  </si>
  <si>
    <t>Est. Civil</t>
  </si>
  <si>
    <t>Paren.</t>
  </si>
  <si>
    <t>Plano</t>
  </si>
  <si>
    <t>Data Início</t>
  </si>
  <si>
    <t>Lançamento</t>
  </si>
  <si>
    <t>Certif.</t>
  </si>
  <si>
    <t>0000019/00</t>
  </si>
  <si>
    <t>MAS</t>
  </si>
  <si>
    <t>CAS</t>
  </si>
  <si>
    <t>TNEE</t>
  </si>
  <si>
    <t>01/2026</t>
  </si>
  <si>
    <t>0000019/01</t>
  </si>
  <si>
    <t>FEM</t>
  </si>
  <si>
    <t>CONJ</t>
  </si>
  <si>
    <t>0000019/02</t>
  </si>
  <si>
    <t>SOLT</t>
  </si>
  <si>
    <t>FILH</t>
  </si>
  <si>
    <t>0000019/03</t>
  </si>
  <si>
    <t>0000019/04</t>
  </si>
  <si>
    <t>0000027/00</t>
  </si>
  <si>
    <t>0000027/01</t>
  </si>
  <si>
    <t>0000027/02</t>
  </si>
  <si>
    <t>0000027/03</t>
  </si>
  <si>
    <t>0000027/04</t>
  </si>
  <si>
    <t>0000035/00</t>
  </si>
  <si>
    <t>0000051/00</t>
  </si>
  <si>
    <t>0000060/00</t>
  </si>
  <si>
    <t>0000078/00</t>
  </si>
  <si>
    <t>0000078/01</t>
  </si>
  <si>
    <t>0000086/00</t>
  </si>
  <si>
    <t>0000094/00</t>
  </si>
  <si>
    <t>0000094/01</t>
  </si>
  <si>
    <t>0000094/02</t>
  </si>
  <si>
    <t>0000094/03</t>
  </si>
  <si>
    <t>0000108/00</t>
  </si>
  <si>
    <t>0000116/00</t>
  </si>
  <si>
    <t>0000124/00</t>
  </si>
  <si>
    <t>0000132/00</t>
  </si>
  <si>
    <t>0000132/01</t>
  </si>
  <si>
    <t>0000132/02</t>
  </si>
  <si>
    <t>0000140/00</t>
  </si>
  <si>
    <t>0000159/00</t>
  </si>
  <si>
    <t>FCQX</t>
  </si>
  <si>
    <t>0000175/00</t>
  </si>
  <si>
    <t>0000175/01</t>
  </si>
  <si>
    <t>0000175/02</t>
  </si>
  <si>
    <t>0000183/00</t>
  </si>
  <si>
    <t>0000183/01</t>
  </si>
  <si>
    <t>0000183/02</t>
  </si>
  <si>
    <t>0000191/00</t>
  </si>
  <si>
    <t>0000205/00</t>
  </si>
  <si>
    <t>0000213/00</t>
  </si>
  <si>
    <t>0000230/00</t>
  </si>
  <si>
    <t>0000256/00</t>
  </si>
  <si>
    <t>0000256/01</t>
  </si>
  <si>
    <t>0000256/02</t>
  </si>
  <si>
    <t>0000264/00</t>
  </si>
  <si>
    <t>0000264/01</t>
  </si>
  <si>
    <t>0000280/00</t>
  </si>
  <si>
    <t>0000299/00</t>
  </si>
  <si>
    <t>0000302/00</t>
  </si>
  <si>
    <t>0000302/01</t>
  </si>
  <si>
    <t>0000310/00</t>
  </si>
  <si>
    <t>0000310/01</t>
  </si>
  <si>
    <t>0000310/02</t>
  </si>
  <si>
    <t>0000329/00</t>
  </si>
  <si>
    <t>0000337/00</t>
  </si>
  <si>
    <t>0000345/00</t>
  </si>
  <si>
    <t>0000345/01</t>
  </si>
  <si>
    <t>0000345/02</t>
  </si>
  <si>
    <t>0000353/00</t>
  </si>
  <si>
    <t>0000361/00</t>
  </si>
  <si>
    <t>0000370/00</t>
  </si>
  <si>
    <t>0000388/00</t>
  </si>
  <si>
    <t>0000396/00</t>
  </si>
  <si>
    <t>0000400/00</t>
  </si>
  <si>
    <t>0000418/00</t>
  </si>
  <si>
    <t>0000426/00</t>
  </si>
  <si>
    <t>0000426/01</t>
  </si>
  <si>
    <t>0000426/02</t>
  </si>
  <si>
    <t>0000426/03</t>
  </si>
  <si>
    <t>0000434/00</t>
  </si>
  <si>
    <t>0000434/01</t>
  </si>
  <si>
    <t>0000434/02</t>
  </si>
  <si>
    <t>FCEX</t>
  </si>
  <si>
    <t>0000434/03</t>
  </si>
  <si>
    <t>0000442/00</t>
  </si>
  <si>
    <t>0000450/00</t>
  </si>
  <si>
    <t>0000450/01</t>
  </si>
  <si>
    <t>0000450/02</t>
  </si>
  <si>
    <t>0000469/00</t>
  </si>
  <si>
    <t>0000469/01</t>
  </si>
  <si>
    <t>0000477/00</t>
  </si>
  <si>
    <t>0000477/01</t>
  </si>
  <si>
    <t>0000477/02</t>
  </si>
  <si>
    <t>0000485/00</t>
  </si>
  <si>
    <t>0000493/00</t>
  </si>
  <si>
    <t>0000493/01</t>
  </si>
  <si>
    <t>0000493/02</t>
  </si>
  <si>
    <t>VIUV</t>
  </si>
  <si>
    <t>0000507/00</t>
  </si>
  <si>
    <t>0000507/01</t>
  </si>
  <si>
    <t>OUTR</t>
  </si>
  <si>
    <t>0000515/00</t>
  </si>
  <si>
    <t>0000523/00</t>
  </si>
  <si>
    <t>0000523/01</t>
  </si>
  <si>
    <t>0000531/00</t>
  </si>
  <si>
    <t>0000531/01</t>
  </si>
  <si>
    <t>0000531/02</t>
  </si>
  <si>
    <t>0000540/00</t>
  </si>
  <si>
    <t>0000558/00</t>
  </si>
  <si>
    <t>0000566/00</t>
  </si>
  <si>
    <t>0000647/00</t>
  </si>
  <si>
    <t>0000647/01</t>
  </si>
  <si>
    <t>0000647/02</t>
  </si>
  <si>
    <t>0000655/00</t>
  </si>
  <si>
    <t>0000655/01</t>
  </si>
  <si>
    <t>0000663/00</t>
  </si>
  <si>
    <t>0000671/00</t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</si>
  <si>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</si>
  <si>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</si>
  <si>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</si>
  <si>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</si>
  <si>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</si>
  <si>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</si>
  <si>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</si>
  <si>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</si>
  <si>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</si>
  <si>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</si>
  <si>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</si>
  <si>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</si>
  <si>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</si>
  <si>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</si>
  <si>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</si>
  <si>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</si>
  <si>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</si>
  <si>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</si>
  <si>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</si>
  <si>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</si>
  <si>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</si>
  <si>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</si>
  <si>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</si>
  <si>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</si>
  <si>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</si>
  <si>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</si>
  <si>
    <t>Colaborador 31</t>
  </si>
  <si>
    <t>Colaborador 32</t>
  </si>
  <si>
    <t>Colaborador 33</t>
  </si>
  <si>
    <t>Colaborador 34</t>
  </si>
  <si>
    <t>Colaborador 35</t>
  </si>
  <si>
    <t>Colaborador 36</t>
  </si>
  <si>
    <t>Colaborador 37</t>
  </si>
  <si>
    <t>Colaborador 38</t>
  </si>
  <si>
    <t>Colaborador 39</t>
  </si>
  <si>
    <t>Colaborador 40</t>
  </si>
  <si>
    <t>Colaborador 41</t>
  </si>
  <si>
    <t>Colaborador 42</t>
  </si>
  <si>
    <t>Colaborador 43</t>
  </si>
  <si>
    <t>Colaborador 44</t>
  </si>
  <si>
    <t>Colaborador 45</t>
  </si>
  <si>
    <t>Colaborador 46</t>
  </si>
  <si>
    <t>Colaborador 47</t>
  </si>
  <si>
    <t>Colaborador 48</t>
  </si>
  <si>
    <t>Colaborador 49</t>
  </si>
  <si>
    <t>Colaborador 50</t>
  </si>
  <si>
    <t>Colaborador 51</t>
  </si>
  <si>
    <t>Colaborador 52</t>
  </si>
  <si>
    <t>Colaborador 53</t>
  </si>
  <si>
    <t>Colaborador 54</t>
  </si>
  <si>
    <t>Colaborador 55</t>
  </si>
  <si>
    <t>Colaborador 56</t>
  </si>
  <si>
    <t>Colaborador 57</t>
  </si>
  <si>
    <t>Colaborador 58</t>
  </si>
  <si>
    <t>Colaborador 59</t>
  </si>
  <si>
    <t>Colaborador 60</t>
  </si>
  <si>
    <t>Colaborador 61</t>
  </si>
  <si>
    <t>Colaborador 62</t>
  </si>
  <si>
    <t>Colaborador 63</t>
  </si>
  <si>
    <t>Colaborador 64</t>
  </si>
  <si>
    <t>Colaborador 65</t>
  </si>
  <si>
    <t>Colaborador 66</t>
  </si>
  <si>
    <t>Colaborador 67</t>
  </si>
  <si>
    <t>Colaborador 68</t>
  </si>
  <si>
    <t>Colaborador 69</t>
  </si>
  <si>
    <t>Colaborador 70</t>
  </si>
  <si>
    <t>Colaborador 71</t>
  </si>
  <si>
    <t>Colaborador 72</t>
  </si>
  <si>
    <t>Colaborador 73</t>
  </si>
  <si>
    <t>Colaborador 74</t>
  </si>
  <si>
    <t>Colaborador 75</t>
  </si>
  <si>
    <t>Colaborador 76</t>
  </si>
  <si>
    <t>Colaborador 77</t>
  </si>
  <si>
    <t>Colaborador 78</t>
  </si>
  <si>
    <t>Colaborador 79</t>
  </si>
  <si>
    <t>Colaborador 80</t>
  </si>
  <si>
    <t>Colaborador 81</t>
  </si>
  <si>
    <t>Colaborador 82</t>
  </si>
  <si>
    <t>Colaborador 83</t>
  </si>
  <si>
    <t>Colaborador 84</t>
  </si>
  <si>
    <t>Colaborador 85</t>
  </si>
  <si>
    <t>Colaborador 86</t>
  </si>
  <si>
    <t>Colaborador 87</t>
  </si>
  <si>
    <t>Colaborador 88</t>
  </si>
  <si>
    <t>Colaborador 89</t>
  </si>
  <si>
    <t>Colaborador 90</t>
  </si>
  <si>
    <t>Colaborador 91</t>
  </si>
  <si>
    <t>Colaborador 92</t>
  </si>
  <si>
    <t>Colaborador 93</t>
  </si>
  <si>
    <t>Colaborador 94</t>
  </si>
  <si>
    <t>Colaborador 95</t>
  </si>
  <si>
    <t>Colaborador 96</t>
  </si>
  <si>
    <t>Colaborador 97</t>
  </si>
  <si>
    <t>Colaborador 98</t>
  </si>
  <si>
    <t>Colaborador 99</t>
  </si>
  <si>
    <t>Colaborador 100</t>
  </si>
  <si>
    <t>Colaborador 101</t>
  </si>
  <si>
    <t>Colaborador 102</t>
  </si>
  <si>
    <t>Colaborador 103</t>
  </si>
  <si>
    <t>Colaborador 104</t>
  </si>
  <si>
    <t>Colaborador 105</t>
  </si>
  <si>
    <t>Colaborador 106</t>
  </si>
  <si>
    <t>Colaborador 107</t>
  </si>
  <si>
    <t>Colaborador 108</t>
  </si>
  <si>
    <t>Colaborador 109</t>
  </si>
  <si>
    <t>Colaborador 110</t>
  </si>
  <si>
    <t>Colaborador 111</t>
  </si>
  <si>
    <t>Colaborador 112</t>
  </si>
  <si>
    <t>Colaborador 113</t>
  </si>
  <si>
    <t>Colaborador 114</t>
  </si>
  <si>
    <t>Colaborador 115</t>
  </si>
  <si>
    <t>Colaborador 116</t>
  </si>
  <si>
    <t>Colaborador 117</t>
  </si>
  <si>
    <t>Colaborador 118</t>
  </si>
  <si>
    <t>Colaborador 119</t>
  </si>
  <si>
    <t>Colaborador 120</t>
  </si>
  <si>
    <t>Colaborador 121</t>
  </si>
  <si>
    <t>Colaborador 122</t>
  </si>
  <si>
    <t>Colaborador 123</t>
  </si>
  <si>
    <t>Colaborador 124</t>
  </si>
  <si>
    <t>Colaborador 125</t>
  </si>
  <si>
    <t>Colaborador 126</t>
  </si>
  <si>
    <t>Colaborador 127</t>
  </si>
  <si>
    <t>Colaborador 128</t>
  </si>
  <si>
    <t>Colaborador 129</t>
  </si>
  <si>
    <t>Colaborador 130</t>
  </si>
  <si>
    <t>Colaborador 131</t>
  </si>
  <si>
    <t>Colaborador 132</t>
  </si>
  <si>
    <t>Colaborador 133</t>
  </si>
  <si>
    <t>Colaborador 134</t>
  </si>
  <si>
    <t>Colaborador 135</t>
  </si>
  <si>
    <t>Colaborador 136</t>
  </si>
  <si>
    <t>Colaborador 137</t>
  </si>
  <si>
    <t>Colaborador 138</t>
  </si>
  <si>
    <t>Colaborador 139</t>
  </si>
  <si>
    <t>Colaborador 140</t>
  </si>
  <si>
    <t>Colaborador 141</t>
  </si>
  <si>
    <t>Colaborador 142</t>
  </si>
  <si>
    <t>Colaborador 143</t>
  </si>
  <si>
    <t>Colaborador 144</t>
  </si>
  <si>
    <t>Colaborador 145</t>
  </si>
  <si>
    <t>Colaborador 146</t>
  </si>
  <si>
    <t>Colaborador 147</t>
  </si>
  <si>
    <t>Colaborador 148</t>
  </si>
  <si>
    <t>Colaborador 149</t>
  </si>
  <si>
    <t>Colaborador 150</t>
  </si>
  <si>
    <t>Colaborador 151</t>
  </si>
  <si>
    <t>Colaborador 152</t>
  </si>
  <si>
    <t>Colaborador 153</t>
  </si>
  <si>
    <t>Colaborador 154</t>
  </si>
  <si>
    <t>Colaborador 155</t>
  </si>
  <si>
    <t>Colaborador 156</t>
  </si>
  <si>
    <t>Colaborador 157</t>
  </si>
  <si>
    <t>Colaborador 158</t>
  </si>
  <si>
    <t>Colaborador 159</t>
  </si>
  <si>
    <t>Colaborador 160</t>
  </si>
  <si>
    <t>Colaborador 161</t>
  </si>
  <si>
    <t>Colaborador 162</t>
  </si>
  <si>
    <t>Colaborador 163</t>
  </si>
  <si>
    <t>Colaborador 164</t>
  </si>
  <si>
    <t>Colaborador 165</t>
  </si>
  <si>
    <t>000.000.000-00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</si>
</sst>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dd\.mm\.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 MT"/>
    </font>
    <font>
      <sz val="6"/>
      <name val="Arial MT"/>
      <family val="2"/>
    </font>
    <font>
      <b/>
      <sz val="10"/>
      <color theme="0"/>
      <name val="Montserrat"/>
    </font>
    <font>
      <sz val="11"/>
      <color theme="4" tint="-0.49998474074526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D75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ED752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72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2" fillId="0" borderId="8" xfId="0" applyFont="1" applyBorder="1" applyAlignment="1">
      <alignment horizontal="center" vertical="top" wrapText="1"/>
    </xf>
    <xf numFmtId="0" fontId="0" fillId="0" borderId="8" xfId="0" applyBorder="1"/>
    <xf numFmtId="1" fontId="5" fillId="0" borderId="0" xfId="1" applyNumberFormat="1" applyFont="1" applyAlignment="1">
      <alignment horizontal="center"/>
    </xf>
    <xf numFmtId="43" fontId="5" fillId="0" borderId="0" xfId="1" applyFont="1" applyAlignment="1">
      <alignment horizontal="center"/>
    </xf>
    <xf numFmtId="43" fontId="5" fillId="4" borderId="0" xfId="1" applyFont="1" applyFill="1" applyAlignment="1">
      <alignment horizontal="center"/>
    </xf>
    <xf numFmtId="1" fontId="5" fillId="0" borderId="9" xfId="1" applyNumberFormat="1" applyFont="1" applyBorder="1" applyAlignment="1">
      <alignment horizontal="center"/>
    </xf>
    <xf numFmtId="43" fontId="5" fillId="0" borderId="9" xfId="1" applyFont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1" fontId="3" fillId="0" borderId="0" xfId="1" applyNumberFormat="1" applyFont="1" applyAlignment="1">
      <alignment horizontal="center"/>
    </xf>
    <xf numFmtId="43" fontId="5" fillId="4" borderId="9" xfId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4" fontId="6" fillId="5" borderId="8" xfId="0" applyNumberFormat="1" applyFont="1" applyFill="1" applyBorder="1" applyAlignment="1">
      <alignment horizontal="center" vertical="center"/>
    </xf>
    <xf numFmtId="9" fontId="7" fillId="5" borderId="8" xfId="2" applyFont="1" applyFill="1" applyBorder="1" applyAlignment="1">
      <alignment horizontal="center" vertical="center"/>
    </xf>
    <xf numFmtId="9" fontId="6" fillId="5" borderId="8" xfId="2" applyFont="1" applyFill="1" applyBorder="1" applyAlignment="1">
      <alignment horizontal="center" vertical="center"/>
    </xf>
    <xf numFmtId="9" fontId="0" fillId="0" borderId="0" xfId="2" applyFont="1"/>
    <xf numFmtId="0" fontId="2" fillId="4" borderId="8" xfId="0" applyFont="1" applyFill="1" applyBorder="1" applyAlignment="1">
      <alignment horizontal="center" vertical="top" wrapText="1"/>
    </xf>
    <xf numFmtId="43" fontId="5" fillId="0" borderId="0" xfId="1" applyFont="1" applyFill="1" applyAlignment="1">
      <alignment horizontal="center"/>
    </xf>
    <xf numFmtId="43" fontId="5" fillId="0" borderId="9" xfId="1" applyFont="1" applyFill="1" applyBorder="1" applyAlignment="1">
      <alignment horizontal="center"/>
    </xf>
    <xf numFmtId="0" fontId="9" fillId="0" borderId="0" xfId="0" applyFont="1"/>
    <xf numFmtId="43" fontId="9" fillId="0" borderId="0" xfId="1" applyFont="1"/>
    <xf numFmtId="165" fontId="9" fillId="0" borderId="0" xfId="0" applyNumberFormat="1" applyFont="1"/>
    <xf numFmtId="0" fontId="10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top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top" wrapText="1" indent="1"/>
    </xf>
    <xf numFmtId="0" fontId="11" fillId="6" borderId="4" xfId="0" applyFont="1" applyFill="1" applyBorder="1" applyAlignment="1">
      <alignment vertical="top" wrapText="1"/>
    </xf>
    <xf numFmtId="0" fontId="11" fillId="6" borderId="5" xfId="0" applyFont="1" applyFill="1" applyBorder="1" applyAlignment="1">
      <alignment vertical="top" wrapText="1"/>
    </xf>
    <xf numFmtId="0" fontId="11" fillId="6" borderId="5" xfId="0" applyFont="1" applyFill="1" applyBorder="1" applyAlignment="1">
      <alignment horizontal="left" vertical="top" wrapText="1" indent="2"/>
    </xf>
    <xf numFmtId="43" fontId="11" fillId="6" borderId="5" xfId="1" applyFont="1" applyFill="1" applyBorder="1" applyAlignment="1">
      <alignment horizontal="left" vertical="top" wrapText="1" indent="2"/>
    </xf>
    <xf numFmtId="0" fontId="10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vertical="top"/>
    </xf>
    <xf numFmtId="0" fontId="9" fillId="0" borderId="7" xfId="0" applyFont="1" applyBorder="1" applyAlignment="1">
      <alignment horizontal="left"/>
    </xf>
    <xf numFmtId="0" fontId="9" fillId="0" borderId="6" xfId="0" applyFont="1" applyBorder="1"/>
    <xf numFmtId="0" fontId="10" fillId="0" borderId="7" xfId="0" applyFont="1" applyBorder="1" applyAlignment="1">
      <alignment horizontal="center"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 indent="2"/>
    </xf>
    <xf numFmtId="43" fontId="10" fillId="0" borderId="0" xfId="1" applyFont="1" applyFill="1" applyBorder="1" applyAlignment="1">
      <alignment horizontal="left" vertical="top" wrapText="1" indent="2"/>
    </xf>
    <xf numFmtId="0" fontId="10" fillId="0" borderId="0" xfId="3" applyFont="1" applyAlignment="1">
      <alignment horizontal="left" vertical="top" wrapText="1" indent="1"/>
    </xf>
    <xf numFmtId="164" fontId="13" fillId="0" borderId="7" xfId="0" applyNumberFormat="1" applyFont="1" applyBorder="1" applyAlignment="1">
      <alignment horizontal="center" vertical="top" shrinkToFit="1"/>
    </xf>
    <xf numFmtId="164" fontId="13" fillId="0" borderId="6" xfId="0" applyNumberFormat="1" applyFont="1" applyBorder="1" applyAlignment="1">
      <alignment vertical="top" shrinkToFit="1"/>
    </xf>
    <xf numFmtId="0" fontId="9" fillId="0" borderId="7" xfId="0" applyFont="1" applyBorder="1" applyAlignment="1">
      <alignment vertical="top"/>
    </xf>
    <xf numFmtId="2" fontId="13" fillId="0" borderId="6" xfId="0" applyNumberFormat="1" applyFont="1" applyBorder="1" applyAlignment="1">
      <alignment vertical="top" shrinkToFit="1"/>
    </xf>
    <xf numFmtId="2" fontId="13" fillId="0" borderId="0" xfId="3" applyNumberFormat="1" applyFont="1" applyAlignment="1">
      <alignment horizontal="right" vertical="top" shrinkToFit="1"/>
    </xf>
    <xf numFmtId="43" fontId="9" fillId="0" borderId="0" xfId="0" applyNumberFormat="1" applyFont="1"/>
    <xf numFmtId="4" fontId="9" fillId="0" borderId="0" xfId="0" applyNumberFormat="1" applyFont="1"/>
    <xf numFmtId="2" fontId="9" fillId="0" borderId="0" xfId="0" applyNumberFormat="1" applyFont="1"/>
    <xf numFmtId="164" fontId="13" fillId="0" borderId="3" xfId="0" applyNumberFormat="1" applyFont="1" applyBorder="1" applyAlignment="1">
      <alignment horizontal="center" vertical="top" shrinkToFit="1"/>
    </xf>
    <xf numFmtId="0" fontId="10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left"/>
    </xf>
    <xf numFmtId="164" fontId="13" fillId="0" borderId="2" xfId="0" applyNumberFormat="1" applyFont="1" applyBorder="1" applyAlignment="1">
      <alignment vertical="top" shrinkToFit="1"/>
    </xf>
    <xf numFmtId="0" fontId="9" fillId="0" borderId="3" xfId="0" applyFont="1" applyBorder="1" applyAlignment="1">
      <alignment vertical="top"/>
    </xf>
    <xf numFmtId="2" fontId="13" fillId="0" borderId="2" xfId="0" applyNumberFormat="1" applyFont="1" applyBorder="1" applyAlignment="1">
      <alignment vertical="top" shrinkToFit="1"/>
    </xf>
    <xf numFmtId="2" fontId="13" fillId="0" borderId="10" xfId="3" applyNumberFormat="1" applyFont="1" applyBorder="1" applyAlignment="1">
      <alignment horizontal="right" vertical="top" shrinkToFit="1"/>
    </xf>
    <xf numFmtId="0" fontId="10" fillId="0" borderId="1" xfId="3" applyFont="1" applyBorder="1" applyAlignment="1">
      <alignment horizontal="left" vertical="top" wrapText="1" indent="1"/>
    </xf>
    <xf numFmtId="2" fontId="13" fillId="0" borderId="1" xfId="3" applyNumberFormat="1" applyFont="1" applyBorder="1" applyAlignment="1">
      <alignment horizontal="right" vertical="top" shrinkToFit="1"/>
    </xf>
    <xf numFmtId="0" fontId="13" fillId="0" borderId="1" xfId="3" applyFont="1" applyBorder="1" applyAlignment="1">
      <alignment horizontal="left" vertical="center" wrapText="1"/>
    </xf>
    <xf numFmtId="0" fontId="13" fillId="0" borderId="0" xfId="3" applyFont="1" applyAlignment="1">
      <alignment horizontal="left" wrapText="1"/>
    </xf>
    <xf numFmtId="164" fontId="13" fillId="0" borderId="11" xfId="0" applyNumberFormat="1" applyFont="1" applyBorder="1" applyAlignment="1">
      <alignment horizontal="center" vertical="top" shrinkToFit="1"/>
    </xf>
    <xf numFmtId="0" fontId="10" fillId="0" borderId="11" xfId="0" applyFont="1" applyBorder="1" applyAlignment="1">
      <alignment horizontal="center" vertical="top"/>
    </xf>
    <xf numFmtId="164" fontId="13" fillId="0" borderId="12" xfId="0" applyNumberFormat="1" applyFont="1" applyBorder="1" applyAlignment="1">
      <alignment vertical="top" shrinkToFit="1"/>
    </xf>
    <xf numFmtId="0" fontId="9" fillId="0" borderId="11" xfId="0" applyFont="1" applyBorder="1" applyAlignment="1">
      <alignment vertical="top"/>
    </xf>
    <xf numFmtId="2" fontId="13" fillId="0" borderId="12" xfId="0" applyNumberFormat="1" applyFont="1" applyBorder="1" applyAlignment="1">
      <alignment vertical="top" shrinkToFit="1"/>
    </xf>
    <xf numFmtId="0" fontId="3" fillId="0" borderId="2" xfId="0" applyFont="1" applyBorder="1" applyAlignment="1">
      <alignment vertical="top"/>
    </xf>
    <xf numFmtId="43" fontId="0" fillId="0" borderId="0" xfId="1" applyFont="1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167"/>
  <sheetViews>
    <sheetView tabSelected="1" topLeftCell="C1" zoomScaleNormal="100" workbookViewId="0">
      <pane xSplit="2" topLeftCell="E1" activePane="topRight" state="frozen"/>
      <selection activeCell="C115" sqref="C115"/>
      <selection pane="topRight" activeCell="C1" sqref="C1"/>
    </sheetView>
  </sheetViews>
  <sheetFormatPr defaultColWidth="8.85546875" defaultRowHeight="12" x14ac:dyDescent="0.2"/>
  <cols>
    <col min="1" max="1" width="2.7109375" style="21" customWidth="1"/>
    <col min="2" max="2" width="8.85546875" style="21"/>
    <col min="3" max="3" width="26.28515625" style="21" customWidth="1"/>
    <col min="4" max="4" width="27.42578125" style="21" bestFit="1" customWidth="1"/>
    <col min="5" max="12" width="8.85546875" style="21"/>
    <col min="13" max="13" width="14.42578125" style="22" customWidth="1"/>
    <col min="14" max="14" width="3.42578125" style="21" bestFit="1" customWidth="1"/>
    <col min="15" max="15" width="12.7109375" style="21" customWidth="1"/>
    <col min="16" max="16" width="14.28515625" style="21" customWidth="1"/>
    <col min="17" max="17" width="8.7109375" style="21" customWidth="1"/>
    <col min="18" max="18" width="11.5703125" style="21" customWidth="1"/>
    <col min="19" max="19" width="14.7109375" style="22" customWidth="1"/>
    <col min="20" max="21" width="8.85546875" style="21"/>
    <col min="22" max="22" width="18.28515625" style="21" bestFit="1" customWidth="1"/>
    <col min="23" max="26" width="8.85546875" style="21"/>
    <col min="27" max="27" width="9.42578125" style="21" bestFit="1" customWidth="1"/>
    <col min="28" max="16384" width="8.85546875" style="21"/>
  </cols>
  <sheetData>
    <row r="2" spans="2:27" x14ac:dyDescent="0.2">
      <c r="M2" s="22">
        <f>SUM(M5:M168)</f>
        <v>4818.7299999999977</v>
      </c>
      <c r="O2" s="23">
        <v>46022</v>
      </c>
    </row>
    <row r="3" spans="2:27" ht="32.25" customHeight="1" x14ac:dyDescent="0.2">
      <c r="B3" s="24" t="s">
        <v>40</v>
      </c>
      <c r="C3" s="25" t="s">
        <v>28</v>
      </c>
      <c r="D3" s="26" t="s">
        <v>32</v>
      </c>
      <c r="E3" s="27" t="s">
        <v>33</v>
      </c>
      <c r="F3" s="28" t="s">
        <v>34</v>
      </c>
      <c r="G3" s="29" t="s">
        <v>35</v>
      </c>
      <c r="H3" s="28" t="s">
        <v>36</v>
      </c>
      <c r="I3" s="28" t="s">
        <v>37</v>
      </c>
      <c r="J3" s="26" t="s">
        <v>38</v>
      </c>
      <c r="K3" s="25" t="s">
        <v>31</v>
      </c>
      <c r="L3" s="30" t="s">
        <v>39</v>
      </c>
      <c r="M3" s="31" t="s">
        <v>26</v>
      </c>
      <c r="N3" s="31" t="s">
        <v>27</v>
      </c>
      <c r="O3" s="32" t="s">
        <v>14</v>
      </c>
      <c r="P3" s="32" t="s">
        <v>15</v>
      </c>
      <c r="Q3" s="32" t="s">
        <v>16</v>
      </c>
      <c r="R3" s="32" t="s">
        <v>17</v>
      </c>
      <c r="S3" s="33" t="s">
        <v>18</v>
      </c>
      <c r="T3" s="32" t="s">
        <v>19</v>
      </c>
      <c r="U3" s="32"/>
      <c r="V3" s="25" t="s">
        <v>20</v>
      </c>
    </row>
    <row r="4" spans="2:27" ht="11.25" customHeight="1" x14ac:dyDescent="0.2">
      <c r="B4" s="34"/>
      <c r="C4" s="35"/>
      <c r="D4" s="36"/>
      <c r="E4" s="37"/>
      <c r="F4" s="37"/>
      <c r="G4" s="37"/>
      <c r="H4" s="37"/>
      <c r="I4" s="37"/>
      <c r="J4" s="38"/>
      <c r="K4" s="39"/>
      <c r="L4" s="37"/>
      <c r="M4" s="36"/>
      <c r="N4" s="40"/>
      <c r="O4" s="41"/>
      <c r="P4" s="41"/>
      <c r="Q4" s="41"/>
      <c r="R4" s="41"/>
      <c r="S4" s="42"/>
      <c r="T4" s="41"/>
      <c r="U4" s="41"/>
      <c r="V4" s="35"/>
    </row>
    <row r="5" spans="2:27" ht="15" customHeight="1" x14ac:dyDescent="0.25">
      <c r="B5" s="43" t="s">
        <v>41</v>
      </c>
      <c r="C5" s="43">
        <v>1</v>
      </c>
      <c r="D5" s="68" t="s">
        <v>154</v>
      </c>
      <c r="E5" s="44">
        <v>25869</v>
      </c>
      <c r="F5" s="39" t="s">
        <v>42</v>
      </c>
      <c r="G5" s="39" t="s">
        <v>43</v>
      </c>
      <c r="H5" s="37"/>
      <c r="I5" s="39" t="s">
        <v>44</v>
      </c>
      <c r="J5" s="45">
        <v>44531</v>
      </c>
      <c r="K5" s="46"/>
      <c r="L5" s="39" t="s">
        <v>45</v>
      </c>
      <c r="M5" s="47">
        <v>29.93</v>
      </c>
      <c r="N5" s="48"/>
      <c r="O5" s="21">
        <v>0</v>
      </c>
      <c r="P5" t="s">
        <v>315</v>
      </c>
      <c r="R5" s="69">
        <v>7392.51</v>
      </c>
      <c r="S5" s="22">
        <v>29.93</v>
      </c>
      <c r="T5" s="22">
        <f>IF(R5&gt;=0,IF(AND(R5&gt;tabelas!$C$4,R5&lt;=tabelas!$C$5),(S5)*tabelas!$D$4,IF(AND(R5&gt;=tabelas!$C$5,R5&lt;=tabelas!$C$6),(S5)*tabelas!$D$5,IF(AND(R5&gt;=tabelas!$C$6,R5&lt;=tabelas!$C$7),(S5)*tabelas!$D$6,IF(AND(R5&gt;0,R5&gt;tabelas!$C$7),(S5)*tabelas!$D$7,0)))))</f>
        <v>25.4405</v>
      </c>
      <c r="U5" s="22"/>
      <c r="V5" s="49">
        <f>M5-T5</f>
        <v>4.4894999999999996</v>
      </c>
      <c r="Z5" s="50"/>
      <c r="AA5" s="49"/>
    </row>
    <row r="6" spans="2:27" ht="16.5" customHeight="1" x14ac:dyDescent="0.25">
      <c r="B6" s="43" t="s">
        <v>46</v>
      </c>
      <c r="C6" s="43">
        <v>2</v>
      </c>
      <c r="D6" s="68" t="s">
        <v>155</v>
      </c>
      <c r="E6" s="44">
        <v>26545</v>
      </c>
      <c r="F6" s="39" t="s">
        <v>47</v>
      </c>
      <c r="G6" s="39" t="s">
        <v>43</v>
      </c>
      <c r="H6" s="39" t="s">
        <v>48</v>
      </c>
      <c r="I6" s="39" t="s">
        <v>44</v>
      </c>
      <c r="J6" s="45">
        <v>44531</v>
      </c>
      <c r="K6" s="46"/>
      <c r="L6" s="39" t="s">
        <v>45</v>
      </c>
      <c r="M6" s="47">
        <v>29.93</v>
      </c>
      <c r="N6" s="48"/>
      <c r="O6" s="21">
        <v>0</v>
      </c>
      <c r="P6" t="s">
        <v>315</v>
      </c>
      <c r="R6" s="69">
        <v>5535.35</v>
      </c>
      <c r="S6" s="22">
        <v>29.93</v>
      </c>
      <c r="T6" s="22">
        <f>IF(R6&gt;=0,IF(AND(R6&gt;tabelas!$C$4,R6&lt;=tabelas!$C$5),(S6)*tabelas!$D$4,IF(AND(R6&gt;=tabelas!$C$5,R6&lt;=tabelas!$C$6),(S6)*tabelas!$D$5,IF(AND(R6&gt;=tabelas!$C$6,R6&lt;=tabelas!$C$7),(S6)*tabelas!$D$6,IF(AND(R6&gt;0,R6&gt;tabelas!$C$7),(S6)*tabelas!$D$7,0)))))</f>
        <v>25.4405</v>
      </c>
      <c r="U6" s="22"/>
      <c r="V6" s="49">
        <f t="shared" ref="V6:V69" si="0">M6-T6</f>
        <v>4.4894999999999996</v>
      </c>
      <c r="Z6" s="51"/>
      <c r="AA6" s="49"/>
    </row>
    <row r="7" spans="2:27" ht="16.5" customHeight="1" x14ac:dyDescent="0.25">
      <c r="B7" s="43" t="s">
        <v>49</v>
      </c>
      <c r="C7" s="43">
        <v>3</v>
      </c>
      <c r="D7" s="68" t="s">
        <v>156</v>
      </c>
      <c r="E7" s="44">
        <v>43238</v>
      </c>
      <c r="F7" s="39" t="s">
        <v>47</v>
      </c>
      <c r="G7" s="39" t="s">
        <v>50</v>
      </c>
      <c r="H7" s="39" t="s">
        <v>51</v>
      </c>
      <c r="I7" s="39" t="s">
        <v>44</v>
      </c>
      <c r="J7" s="45">
        <v>44531</v>
      </c>
      <c r="K7" s="46"/>
      <c r="L7" s="39" t="s">
        <v>45</v>
      </c>
      <c r="M7" s="47">
        <v>29.93</v>
      </c>
      <c r="N7" s="48"/>
      <c r="O7" s="21">
        <v>0</v>
      </c>
      <c r="P7" t="s">
        <v>315</v>
      </c>
      <c r="R7" s="69">
        <v>4675.68</v>
      </c>
      <c r="S7" s="22">
        <v>29.93</v>
      </c>
      <c r="T7" s="22">
        <f>IF(R7&gt;=0,IF(AND(R7&gt;tabelas!$C$4,R7&lt;=tabelas!$C$5),(S7)*tabelas!$D$4,IF(AND(R7&gt;=tabelas!$C$5,R7&lt;=tabelas!$C$6),(S7)*tabelas!$D$5,IF(AND(R7&gt;=tabelas!$C$6,R7&lt;=tabelas!$C$7),(S7)*tabelas!$D$6,IF(AND(R7&gt;0,R7&gt;tabelas!$C$7),(S7)*tabelas!$D$7,0)))))</f>
        <v>25.4405</v>
      </c>
      <c r="U7" s="22"/>
      <c r="V7" s="49">
        <f t="shared" si="0"/>
        <v>4.4894999999999996</v>
      </c>
      <c r="W7" s="51"/>
      <c r="X7" s="51"/>
    </row>
    <row r="8" spans="2:27" ht="16.5" customHeight="1" x14ac:dyDescent="0.25">
      <c r="B8" s="43" t="s">
        <v>52</v>
      </c>
      <c r="C8" s="43">
        <v>4</v>
      </c>
      <c r="D8" s="68" t="s">
        <v>157</v>
      </c>
      <c r="E8" s="44">
        <v>40070</v>
      </c>
      <c r="F8" s="39" t="s">
        <v>42</v>
      </c>
      <c r="G8" s="39" t="s">
        <v>50</v>
      </c>
      <c r="H8" s="39" t="s">
        <v>51</v>
      </c>
      <c r="I8" s="39" t="s">
        <v>44</v>
      </c>
      <c r="J8" s="45">
        <v>44531</v>
      </c>
      <c r="K8" s="46"/>
      <c r="L8" s="39" t="s">
        <v>45</v>
      </c>
      <c r="M8" s="47">
        <v>29.93</v>
      </c>
      <c r="N8" s="48"/>
      <c r="O8" s="21">
        <v>0</v>
      </c>
      <c r="P8" t="s">
        <v>315</v>
      </c>
      <c r="R8" s="69">
        <v>7718.11</v>
      </c>
      <c r="S8" s="22">
        <v>29.93</v>
      </c>
      <c r="T8" s="22">
        <f>IF(R8&gt;=0,IF(AND(R8&gt;tabelas!$C$4,R8&lt;=tabelas!$C$5),(S8)*tabelas!$D$4,IF(AND(R8&gt;=tabelas!$C$5,R8&lt;=tabelas!$C$6),(S8)*tabelas!$D$5,IF(AND(R8&gt;=tabelas!$C$6,R8&lt;=tabelas!$C$7),(S8)*tabelas!$D$6,IF(AND(R8&gt;0,R8&gt;tabelas!$C$7),(S8)*tabelas!$D$7,0)))))</f>
        <v>23.046099999999999</v>
      </c>
      <c r="U8" s="22"/>
      <c r="V8" s="49">
        <f t="shared" si="0"/>
        <v>6.8839000000000006</v>
      </c>
      <c r="W8" s="51"/>
      <c r="X8" s="51"/>
    </row>
    <row r="9" spans="2:27" ht="16.5" customHeight="1" x14ac:dyDescent="0.25">
      <c r="B9" s="43" t="s">
        <v>53</v>
      </c>
      <c r="C9" s="43">
        <v>5</v>
      </c>
      <c r="D9" s="68" t="s">
        <v>158</v>
      </c>
      <c r="E9" s="44">
        <v>33646</v>
      </c>
      <c r="F9" s="39" t="s">
        <v>42</v>
      </c>
      <c r="G9" s="39" t="s">
        <v>43</v>
      </c>
      <c r="H9" s="37"/>
      <c r="I9" s="39" t="s">
        <v>21</v>
      </c>
      <c r="J9" s="45">
        <v>44531</v>
      </c>
      <c r="K9" s="46"/>
      <c r="L9" s="39" t="s">
        <v>45</v>
      </c>
      <c r="M9" s="47">
        <v>29.93</v>
      </c>
      <c r="N9" s="48"/>
      <c r="O9" s="21">
        <v>0</v>
      </c>
      <c r="P9" t="s">
        <v>315</v>
      </c>
      <c r="R9" s="69">
        <v>6012.94</v>
      </c>
      <c r="S9" s="22">
        <v>29.93</v>
      </c>
      <c r="T9" s="22">
        <f>IF(R9&gt;=0,IF(AND(R9&gt;tabelas!$C$4,R9&lt;=tabelas!$C$5),(S9)*tabelas!$D$4,IF(AND(R9&gt;=tabelas!$C$5,R9&lt;=tabelas!$C$6),(S9)*tabelas!$D$5,IF(AND(R9&gt;=tabelas!$C$6,R9&lt;=tabelas!$C$7),(S9)*tabelas!$D$6,IF(AND(R9&gt;0,R9&gt;tabelas!$C$7),(S9)*tabelas!$D$7,0)))))</f>
        <v>25.4405</v>
      </c>
      <c r="U9" s="22"/>
      <c r="V9" s="49">
        <f t="shared" si="0"/>
        <v>4.4894999999999996</v>
      </c>
      <c r="W9" s="49"/>
      <c r="X9" s="49"/>
    </row>
    <row r="10" spans="2:27" ht="16.5" customHeight="1" x14ac:dyDescent="0.25">
      <c r="B10" s="43" t="s">
        <v>54</v>
      </c>
      <c r="C10" s="43">
        <v>6</v>
      </c>
      <c r="D10" s="68" t="s">
        <v>159</v>
      </c>
      <c r="E10" s="44">
        <v>33671</v>
      </c>
      <c r="F10" s="39" t="s">
        <v>47</v>
      </c>
      <c r="G10" s="39" t="s">
        <v>43</v>
      </c>
      <c r="H10" s="39" t="s">
        <v>48</v>
      </c>
      <c r="I10" s="39" t="s">
        <v>21</v>
      </c>
      <c r="J10" s="45">
        <v>44531</v>
      </c>
      <c r="K10" s="46"/>
      <c r="L10" s="39" t="s">
        <v>45</v>
      </c>
      <c r="M10" s="47">
        <v>29.93</v>
      </c>
      <c r="N10" s="48"/>
      <c r="O10" s="21">
        <v>0</v>
      </c>
      <c r="P10" t="s">
        <v>315</v>
      </c>
      <c r="R10" s="69">
        <v>6226.87</v>
      </c>
      <c r="S10" s="22">
        <v>29.93</v>
      </c>
      <c r="T10" s="22">
        <f>IF(R10&gt;=0,IF(AND(R10&gt;tabelas!$C$4,R10&lt;=tabelas!$C$5),(S10)*tabelas!$D$4,IF(AND(R10&gt;=tabelas!$C$5,R10&lt;=tabelas!$C$6),(S10)*tabelas!$D$5,IF(AND(R10&gt;=tabelas!$C$6,R10&lt;=tabelas!$C$7),(S10)*tabelas!$D$6,IF(AND(R10&gt;0,R10&gt;tabelas!$C$7),(S10)*tabelas!$D$7,0)))))</f>
        <v>25.4405</v>
      </c>
      <c r="U10" s="22"/>
      <c r="V10" s="49">
        <f t="shared" si="0"/>
        <v>4.4894999999999996</v>
      </c>
    </row>
    <row r="11" spans="2:27" ht="16.5" customHeight="1" x14ac:dyDescent="0.25">
      <c r="B11" s="43" t="s">
        <v>55</v>
      </c>
      <c r="C11" s="43">
        <v>7</v>
      </c>
      <c r="D11" s="68" t="s">
        <v>160</v>
      </c>
      <c r="E11" s="44">
        <v>41597</v>
      </c>
      <c r="F11" s="39" t="s">
        <v>42</v>
      </c>
      <c r="G11" s="39" t="s">
        <v>50</v>
      </c>
      <c r="H11" s="39" t="s">
        <v>51</v>
      </c>
      <c r="I11" s="39" t="s">
        <v>21</v>
      </c>
      <c r="J11" s="45">
        <v>44531</v>
      </c>
      <c r="K11" s="46"/>
      <c r="L11" s="39" t="s">
        <v>45</v>
      </c>
      <c r="M11" s="47">
        <v>29.93</v>
      </c>
      <c r="N11" s="48"/>
      <c r="O11" s="21">
        <v>0</v>
      </c>
      <c r="P11" t="s">
        <v>315</v>
      </c>
      <c r="R11" s="69">
        <v>6382.49</v>
      </c>
      <c r="S11" s="22">
        <v>29.93</v>
      </c>
      <c r="T11" s="22">
        <f>IF(R11&gt;=0,IF(AND(R11&gt;tabelas!$C$4,R11&lt;=tabelas!$C$5),(S11)*tabelas!$D$4,IF(AND(R11&gt;=tabelas!$C$5,R11&lt;=tabelas!$C$6),(S11)*tabelas!$D$5,IF(AND(R11&gt;=tabelas!$C$6,R11&lt;=tabelas!$C$7),(S11)*tabelas!$D$6,IF(AND(R11&gt;0,R11&gt;tabelas!$C$7),(S11)*tabelas!$D$7,0)))))</f>
        <v>25.4405</v>
      </c>
      <c r="U11" s="22"/>
      <c r="V11" s="49">
        <f t="shared" si="0"/>
        <v>4.4894999999999996</v>
      </c>
    </row>
    <row r="12" spans="2:27" ht="16.5" customHeight="1" x14ac:dyDescent="0.25">
      <c r="B12" s="43" t="s">
        <v>56</v>
      </c>
      <c r="C12" s="43">
        <v>8</v>
      </c>
      <c r="D12" s="68" t="s">
        <v>161</v>
      </c>
      <c r="E12" s="44">
        <v>43027</v>
      </c>
      <c r="F12" s="39" t="s">
        <v>42</v>
      </c>
      <c r="G12" s="39" t="s">
        <v>50</v>
      </c>
      <c r="H12" s="39" t="s">
        <v>51</v>
      </c>
      <c r="I12" s="39" t="s">
        <v>21</v>
      </c>
      <c r="J12" s="45">
        <v>44531</v>
      </c>
      <c r="K12" s="46"/>
      <c r="L12" s="39" t="s">
        <v>45</v>
      </c>
      <c r="M12" s="47">
        <v>29.93</v>
      </c>
      <c r="N12" s="48"/>
      <c r="O12" s="21">
        <v>0</v>
      </c>
      <c r="P12" t="s">
        <v>315</v>
      </c>
      <c r="R12" s="69">
        <v>7725.51</v>
      </c>
      <c r="S12" s="22">
        <v>29.93</v>
      </c>
      <c r="T12" s="22">
        <f>IF(R12&gt;=0,IF(AND(R12&gt;tabelas!$C$4,R12&lt;=tabelas!$C$5),(S12)*tabelas!$D$4,IF(AND(R12&gt;=tabelas!$C$5,R12&lt;=tabelas!$C$6),(S12)*tabelas!$D$5,IF(AND(R12&gt;=tabelas!$C$6,R12&lt;=tabelas!$C$7),(S12)*tabelas!$D$6,IF(AND(R12&gt;0,R12&gt;tabelas!$C$7),(S12)*tabelas!$D$7,0)))))</f>
        <v>23.046099999999999</v>
      </c>
      <c r="U12" s="22"/>
      <c r="V12" s="49">
        <f t="shared" si="0"/>
        <v>6.8839000000000006</v>
      </c>
      <c r="W12" s="51"/>
      <c r="X12" s="51"/>
    </row>
    <row r="13" spans="2:27" ht="16.5" customHeight="1" x14ac:dyDescent="0.25">
      <c r="B13" s="43" t="s">
        <v>57</v>
      </c>
      <c r="C13" s="43">
        <v>9</v>
      </c>
      <c r="D13" s="68" t="s">
        <v>162</v>
      </c>
      <c r="E13" s="44">
        <v>44093</v>
      </c>
      <c r="F13" s="39" t="s">
        <v>42</v>
      </c>
      <c r="G13" s="39" t="s">
        <v>50</v>
      </c>
      <c r="H13" s="39" t="s">
        <v>51</v>
      </c>
      <c r="I13" s="39" t="s">
        <v>21</v>
      </c>
      <c r="J13" s="45">
        <v>44531</v>
      </c>
      <c r="K13" s="46"/>
      <c r="L13" s="39" t="s">
        <v>45</v>
      </c>
      <c r="M13" s="47">
        <v>29.93</v>
      </c>
      <c r="N13" s="48"/>
      <c r="O13" s="21">
        <v>0</v>
      </c>
      <c r="P13" t="s">
        <v>315</v>
      </c>
      <c r="R13" s="69">
        <v>5442.99</v>
      </c>
      <c r="S13" s="22">
        <v>29.93</v>
      </c>
      <c r="T13" s="22">
        <f>IF(R13&gt;=0,IF(AND(R13&gt;tabelas!$C$4,R13&lt;=tabelas!$C$5),(S13)*tabelas!$D$4,IF(AND(R13&gt;=tabelas!$C$5,R13&lt;=tabelas!$C$6),(S13)*tabelas!$D$5,IF(AND(R13&gt;=tabelas!$C$6,R13&lt;=tabelas!$C$7),(S13)*tabelas!$D$6,IF(AND(R13&gt;0,R13&gt;tabelas!$C$7),(S13)*tabelas!$D$7,0)))))</f>
        <v>25.4405</v>
      </c>
      <c r="U13" s="22"/>
      <c r="V13" s="49">
        <f t="shared" si="0"/>
        <v>4.4894999999999996</v>
      </c>
      <c r="W13" s="51"/>
      <c r="X13" s="51"/>
    </row>
    <row r="14" spans="2:27" ht="16.5" customHeight="1" x14ac:dyDescent="0.25">
      <c r="B14" s="43" t="s">
        <v>58</v>
      </c>
      <c r="C14" s="43">
        <v>10</v>
      </c>
      <c r="D14" s="68" t="s">
        <v>163</v>
      </c>
      <c r="E14" s="44">
        <v>31960</v>
      </c>
      <c r="F14" s="39" t="s">
        <v>47</v>
      </c>
      <c r="G14" s="39" t="s">
        <v>50</v>
      </c>
      <c r="H14" s="37"/>
      <c r="I14" s="39" t="s">
        <v>44</v>
      </c>
      <c r="J14" s="45">
        <v>44531</v>
      </c>
      <c r="K14" s="46"/>
      <c r="L14" s="39" t="s">
        <v>45</v>
      </c>
      <c r="M14" s="47">
        <v>29.93</v>
      </c>
      <c r="N14" s="48"/>
      <c r="O14" s="21">
        <v>0</v>
      </c>
      <c r="P14" t="s">
        <v>315</v>
      </c>
      <c r="R14" s="69">
        <v>2741.17</v>
      </c>
      <c r="S14" s="22">
        <v>29.93</v>
      </c>
      <c r="T14" s="22">
        <f>IF(R14&gt;=0,IF(AND(R14&gt;tabelas!$C$4,R14&lt;=tabelas!$C$5),(S14)*tabelas!$D$4,IF(AND(R14&gt;=tabelas!$C$5,R14&lt;=tabelas!$C$6),(S14)*tabelas!$D$5,IF(AND(R14&gt;=tabelas!$C$6,R14&lt;=tabelas!$C$7),(S14)*tabelas!$D$6,IF(AND(R14&gt;0,R14&gt;tabelas!$C$7),(S14)*tabelas!$D$7,0)))))</f>
        <v>27.834900000000001</v>
      </c>
      <c r="U14" s="22"/>
      <c r="V14" s="49">
        <f t="shared" si="0"/>
        <v>2.0950999999999986</v>
      </c>
      <c r="W14" s="49"/>
      <c r="X14" s="49"/>
    </row>
    <row r="15" spans="2:27" ht="16.5" customHeight="1" x14ac:dyDescent="0.25">
      <c r="B15" s="43" t="s">
        <v>59</v>
      </c>
      <c r="C15" s="43">
        <v>11</v>
      </c>
      <c r="D15" s="68" t="s">
        <v>164</v>
      </c>
      <c r="E15" s="44">
        <v>32851</v>
      </c>
      <c r="F15" s="39" t="s">
        <v>47</v>
      </c>
      <c r="G15" s="39" t="s">
        <v>43</v>
      </c>
      <c r="H15" s="39" t="s">
        <v>48</v>
      </c>
      <c r="I15" s="39" t="s">
        <v>44</v>
      </c>
      <c r="J15" s="45">
        <v>44944</v>
      </c>
      <c r="K15" s="46"/>
      <c r="L15" s="39" t="s">
        <v>45</v>
      </c>
      <c r="M15" s="47">
        <v>29.93</v>
      </c>
      <c r="N15" s="48"/>
      <c r="O15" s="21">
        <v>0</v>
      </c>
      <c r="P15" t="s">
        <v>315</v>
      </c>
      <c r="R15" s="69">
        <v>7930.49</v>
      </c>
      <c r="S15" s="22">
        <v>29.93</v>
      </c>
      <c r="T15" s="22">
        <f>IF(R15&gt;=0,IF(AND(R15&gt;tabelas!$C$4,R15&lt;=tabelas!$C$5),(S15)*tabelas!$D$4,IF(AND(R15&gt;=tabelas!$C$5,R15&lt;=tabelas!$C$6),(S15)*tabelas!$D$5,IF(AND(R15&gt;=tabelas!$C$6,R15&lt;=tabelas!$C$7),(S15)*tabelas!$D$6,IF(AND(R15&gt;0,R15&gt;tabelas!$C$7),(S15)*tabelas!$D$7,0)))))</f>
        <v>23.046099999999999</v>
      </c>
      <c r="U15" s="22"/>
      <c r="V15" s="49">
        <f t="shared" si="0"/>
        <v>6.8839000000000006</v>
      </c>
    </row>
    <row r="16" spans="2:27" ht="16.5" customHeight="1" x14ac:dyDescent="0.25">
      <c r="B16" s="43" t="s">
        <v>60</v>
      </c>
      <c r="C16" s="43">
        <v>12</v>
      </c>
      <c r="D16" s="68" t="s">
        <v>165</v>
      </c>
      <c r="E16" s="44">
        <v>35494</v>
      </c>
      <c r="F16" s="39" t="s">
        <v>42</v>
      </c>
      <c r="G16" s="39" t="s">
        <v>43</v>
      </c>
      <c r="H16" s="37"/>
      <c r="I16" s="39" t="s">
        <v>21</v>
      </c>
      <c r="J16" s="45">
        <v>44531</v>
      </c>
      <c r="K16" s="46"/>
      <c r="L16" s="39" t="s">
        <v>45</v>
      </c>
      <c r="M16" s="47">
        <v>29.93</v>
      </c>
      <c r="N16" s="48"/>
      <c r="O16" s="21">
        <v>0</v>
      </c>
      <c r="P16" t="s">
        <v>315</v>
      </c>
      <c r="R16" s="69">
        <v>7094.63</v>
      </c>
      <c r="S16" s="22">
        <v>29.93</v>
      </c>
      <c r="T16" s="22">
        <f>IF(R16&gt;=0,IF(AND(R16&gt;tabelas!$C$4,R16&lt;=tabelas!$C$5),(S16)*tabelas!$D$4,IF(AND(R16&gt;=tabelas!$C$5,R16&lt;=tabelas!$C$6),(S16)*tabelas!$D$5,IF(AND(R16&gt;=tabelas!$C$6,R16&lt;=tabelas!$C$7),(S16)*tabelas!$D$6,IF(AND(R16&gt;0,R16&gt;tabelas!$C$7),(S16)*tabelas!$D$7,0)))))</f>
        <v>25.4405</v>
      </c>
      <c r="U16" s="22"/>
      <c r="V16" s="49">
        <f t="shared" si="0"/>
        <v>4.4894999999999996</v>
      </c>
    </row>
    <row r="17" spans="2:24" ht="16.5" customHeight="1" x14ac:dyDescent="0.25">
      <c r="B17" s="43" t="s">
        <v>61</v>
      </c>
      <c r="C17" s="43">
        <v>13</v>
      </c>
      <c r="D17" s="68" t="s">
        <v>166</v>
      </c>
      <c r="E17" s="44">
        <v>36298</v>
      </c>
      <c r="F17" s="39" t="s">
        <v>47</v>
      </c>
      <c r="G17" s="39" t="s">
        <v>43</v>
      </c>
      <c r="H17" s="39" t="s">
        <v>48</v>
      </c>
      <c r="I17" s="39" t="s">
        <v>21</v>
      </c>
      <c r="J17" s="45">
        <v>44531</v>
      </c>
      <c r="K17" s="46"/>
      <c r="L17" s="39" t="s">
        <v>45</v>
      </c>
      <c r="M17" s="47">
        <v>29.93</v>
      </c>
      <c r="N17" s="48"/>
      <c r="O17" s="21">
        <v>0</v>
      </c>
      <c r="P17" t="s">
        <v>315</v>
      </c>
      <c r="R17" s="69">
        <v>3011.43</v>
      </c>
      <c r="S17" s="22">
        <v>29.93</v>
      </c>
      <c r="T17" s="22">
        <f>IF(R17&gt;=0,IF(AND(R17&gt;tabelas!$C$4,R17&lt;=tabelas!$C$5),(S17)*tabelas!$D$4,IF(AND(R17&gt;=tabelas!$C$5,R17&lt;=tabelas!$C$6),(S17)*tabelas!$D$5,IF(AND(R17&gt;=tabelas!$C$6,R17&lt;=tabelas!$C$7),(S17)*tabelas!$D$6,IF(AND(R17&gt;0,R17&gt;tabelas!$C$7),(S17)*tabelas!$D$7,0)))))</f>
        <v>27.834900000000001</v>
      </c>
      <c r="U17" s="22"/>
      <c r="V17" s="49">
        <f t="shared" si="0"/>
        <v>2.0950999999999986</v>
      </c>
      <c r="W17" s="51"/>
      <c r="X17" s="51"/>
    </row>
    <row r="18" spans="2:24" ht="16.5" customHeight="1" x14ac:dyDescent="0.25">
      <c r="B18" s="43" t="s">
        <v>62</v>
      </c>
      <c r="C18" s="43">
        <v>14</v>
      </c>
      <c r="D18" s="68" t="s">
        <v>167</v>
      </c>
      <c r="E18" s="44">
        <v>30548</v>
      </c>
      <c r="F18" s="39" t="s">
        <v>42</v>
      </c>
      <c r="G18" s="39" t="s">
        <v>50</v>
      </c>
      <c r="H18" s="37"/>
      <c r="I18" s="39" t="s">
        <v>44</v>
      </c>
      <c r="J18" s="45">
        <v>44531</v>
      </c>
      <c r="K18" s="46"/>
      <c r="L18" s="39" t="s">
        <v>45</v>
      </c>
      <c r="M18" s="47">
        <v>29.93</v>
      </c>
      <c r="N18" s="48"/>
      <c r="O18" s="21">
        <v>0</v>
      </c>
      <c r="P18" t="s">
        <v>315</v>
      </c>
      <c r="R18" s="69">
        <v>3956.56</v>
      </c>
      <c r="S18" s="22">
        <v>29.93</v>
      </c>
      <c r="T18" s="22">
        <f>IF(R18&gt;=0,IF(AND(R18&gt;tabelas!$C$4,R18&lt;=tabelas!$C$5),(S18)*tabelas!$D$4,IF(AND(R18&gt;=tabelas!$C$5,R18&lt;=tabelas!$C$6),(S18)*tabelas!$D$5,IF(AND(R18&gt;=tabelas!$C$6,R18&lt;=tabelas!$C$7),(S18)*tabelas!$D$6,IF(AND(R18&gt;0,R18&gt;tabelas!$C$7),(S18)*tabelas!$D$7,0)))))</f>
        <v>25.4405</v>
      </c>
      <c r="U18" s="22"/>
      <c r="V18" s="49">
        <f t="shared" si="0"/>
        <v>4.4894999999999996</v>
      </c>
      <c r="W18" s="51"/>
      <c r="X18" s="51"/>
    </row>
    <row r="19" spans="2:24" ht="16.5" customHeight="1" x14ac:dyDescent="0.25">
      <c r="B19" s="43" t="s">
        <v>63</v>
      </c>
      <c r="C19" s="43">
        <v>15</v>
      </c>
      <c r="D19" s="68" t="s">
        <v>168</v>
      </c>
      <c r="E19" s="44">
        <v>41079</v>
      </c>
      <c r="F19" s="39" t="s">
        <v>42</v>
      </c>
      <c r="G19" s="39" t="s">
        <v>50</v>
      </c>
      <c r="H19" s="39" t="s">
        <v>51</v>
      </c>
      <c r="I19" s="39" t="s">
        <v>44</v>
      </c>
      <c r="J19" s="45">
        <v>44531</v>
      </c>
      <c r="K19" s="46"/>
      <c r="L19" s="39" t="s">
        <v>45</v>
      </c>
      <c r="M19" s="47">
        <v>29.93</v>
      </c>
      <c r="N19" s="48"/>
      <c r="O19" s="21">
        <v>0</v>
      </c>
      <c r="P19" t="s">
        <v>315</v>
      </c>
      <c r="R19" s="69">
        <v>2358.33</v>
      </c>
      <c r="S19" s="22">
        <v>29.93</v>
      </c>
      <c r="T19" s="22">
        <f>IF(R19&gt;=0,IF(AND(R19&gt;tabelas!$C$4,R19&lt;=tabelas!$C$5),(S19)*tabelas!$D$4,IF(AND(R19&gt;=tabelas!$C$5,R19&lt;=tabelas!$C$6),(S19)*tabelas!$D$5,IF(AND(R19&gt;=tabelas!$C$6,R19&lt;=tabelas!$C$7),(S19)*tabelas!$D$6,IF(AND(R19&gt;0,R19&gt;tabelas!$C$7),(S19)*tabelas!$D$7,0)))))</f>
        <v>27.834900000000001</v>
      </c>
      <c r="U19" s="22"/>
      <c r="V19" s="49">
        <f t="shared" si="0"/>
        <v>2.0950999999999986</v>
      </c>
      <c r="W19" s="49"/>
      <c r="X19" s="49"/>
    </row>
    <row r="20" spans="2:24" ht="16.5" customHeight="1" x14ac:dyDescent="0.25">
      <c r="B20" s="43" t="s">
        <v>64</v>
      </c>
      <c r="C20" s="43">
        <v>16</v>
      </c>
      <c r="D20" s="68" t="s">
        <v>169</v>
      </c>
      <c r="E20" s="44">
        <v>44136</v>
      </c>
      <c r="F20" s="39" t="s">
        <v>47</v>
      </c>
      <c r="G20" s="39" t="s">
        <v>50</v>
      </c>
      <c r="H20" s="39" t="s">
        <v>51</v>
      </c>
      <c r="I20" s="39" t="s">
        <v>44</v>
      </c>
      <c r="J20" s="45">
        <v>44531</v>
      </c>
      <c r="K20" s="46"/>
      <c r="L20" s="39" t="s">
        <v>45</v>
      </c>
      <c r="M20" s="47">
        <v>29.93</v>
      </c>
      <c r="N20" s="48"/>
      <c r="O20" s="21">
        <v>0</v>
      </c>
      <c r="P20" t="s">
        <v>315</v>
      </c>
      <c r="R20" s="69">
        <v>5569.64</v>
      </c>
      <c r="S20" s="22">
        <v>29.93</v>
      </c>
      <c r="T20" s="22">
        <f>IF(R20&gt;=0,IF(AND(R20&gt;tabelas!$C$4,R20&lt;=tabelas!$C$5),(S20)*tabelas!$D$4,IF(AND(R20&gt;=tabelas!$C$5,R20&lt;=tabelas!$C$6),(S20)*tabelas!$D$5,IF(AND(R20&gt;=tabelas!$C$6,R20&lt;=tabelas!$C$7),(S20)*tabelas!$D$6,IF(AND(R20&gt;0,R20&gt;tabelas!$C$7),(S20)*tabelas!$D$7,0)))))</f>
        <v>25.4405</v>
      </c>
      <c r="U20" s="22"/>
      <c r="V20" s="49">
        <f t="shared" si="0"/>
        <v>4.4894999999999996</v>
      </c>
    </row>
    <row r="21" spans="2:24" ht="16.5" customHeight="1" x14ac:dyDescent="0.25">
      <c r="B21" s="43" t="s">
        <v>65</v>
      </c>
      <c r="C21" s="43">
        <v>17</v>
      </c>
      <c r="D21" s="68" t="s">
        <v>170</v>
      </c>
      <c r="E21" s="44">
        <v>44136</v>
      </c>
      <c r="F21" s="39" t="s">
        <v>47</v>
      </c>
      <c r="G21" s="39" t="s">
        <v>50</v>
      </c>
      <c r="H21" s="39" t="s">
        <v>51</v>
      </c>
      <c r="I21" s="39" t="s">
        <v>44</v>
      </c>
      <c r="J21" s="45">
        <v>44531</v>
      </c>
      <c r="K21" s="46"/>
      <c r="L21" s="39" t="s">
        <v>45</v>
      </c>
      <c r="M21" s="47">
        <v>29.93</v>
      </c>
      <c r="N21" s="48"/>
      <c r="O21" s="21">
        <v>0</v>
      </c>
      <c r="P21" t="s">
        <v>315</v>
      </c>
      <c r="R21" s="69">
        <v>7534.26</v>
      </c>
      <c r="S21" s="22">
        <v>29.93</v>
      </c>
      <c r="T21" s="22">
        <f>IF(R21&gt;=0,IF(AND(R21&gt;tabelas!$C$4,R21&lt;=tabelas!$C$5),(S21)*tabelas!$D$4,IF(AND(R21&gt;=tabelas!$C$5,R21&lt;=tabelas!$C$6),(S21)*tabelas!$D$5,IF(AND(R21&gt;=tabelas!$C$6,R21&lt;=tabelas!$C$7),(S21)*tabelas!$D$6,IF(AND(R21&gt;0,R21&gt;tabelas!$C$7),(S21)*tabelas!$D$7,0)))))</f>
        <v>23.046099999999999</v>
      </c>
      <c r="U21" s="22"/>
      <c r="V21" s="49">
        <f t="shared" si="0"/>
        <v>6.8839000000000006</v>
      </c>
    </row>
    <row r="22" spans="2:24" ht="16.5" customHeight="1" x14ac:dyDescent="0.25">
      <c r="B22" s="43" t="s">
        <v>66</v>
      </c>
      <c r="C22" s="43">
        <v>18</v>
      </c>
      <c r="D22" s="68" t="s">
        <v>171</v>
      </c>
      <c r="E22" s="44">
        <v>32714</v>
      </c>
      <c r="F22" s="39" t="s">
        <v>42</v>
      </c>
      <c r="G22" s="39" t="s">
        <v>50</v>
      </c>
      <c r="H22" s="37"/>
      <c r="I22" s="39" t="s">
        <v>21</v>
      </c>
      <c r="J22" s="45">
        <v>44531</v>
      </c>
      <c r="K22" s="46"/>
      <c r="L22" s="39" t="s">
        <v>45</v>
      </c>
      <c r="M22" s="47">
        <v>29.93</v>
      </c>
      <c r="N22" s="48"/>
      <c r="O22" s="21">
        <v>0</v>
      </c>
      <c r="P22" t="s">
        <v>315</v>
      </c>
      <c r="R22" s="69">
        <v>6139.28</v>
      </c>
      <c r="S22" s="22">
        <v>29.93</v>
      </c>
      <c r="T22" s="22">
        <f>IF(R22&gt;=0,IF(AND(R22&gt;tabelas!$C$4,R22&lt;=tabelas!$C$5),(S22)*tabelas!$D$4,IF(AND(R22&gt;=tabelas!$C$5,R22&lt;=tabelas!$C$6),(S22)*tabelas!$D$5,IF(AND(R22&gt;=tabelas!$C$6,R22&lt;=tabelas!$C$7),(S22)*tabelas!$D$6,IF(AND(R22&gt;0,R22&gt;tabelas!$C$7),(S22)*tabelas!$D$7,0)))))</f>
        <v>25.4405</v>
      </c>
      <c r="U22" s="22"/>
      <c r="V22" s="49">
        <f t="shared" si="0"/>
        <v>4.4894999999999996</v>
      </c>
      <c r="W22" s="51"/>
      <c r="X22" s="51"/>
    </row>
    <row r="23" spans="2:24" ht="16.5" customHeight="1" x14ac:dyDescent="0.25">
      <c r="B23" s="43" t="s">
        <v>67</v>
      </c>
      <c r="C23" s="43">
        <v>19</v>
      </c>
      <c r="D23" s="68" t="s">
        <v>172</v>
      </c>
      <c r="E23" s="44">
        <v>33973</v>
      </c>
      <c r="F23" s="39" t="s">
        <v>47</v>
      </c>
      <c r="G23" s="39" t="s">
        <v>50</v>
      </c>
      <c r="H23" s="37"/>
      <c r="I23" s="39" t="s">
        <v>21</v>
      </c>
      <c r="J23" s="45">
        <v>44531</v>
      </c>
      <c r="K23" s="46"/>
      <c r="L23" s="39" t="s">
        <v>45</v>
      </c>
      <c r="M23" s="47">
        <v>29.93</v>
      </c>
      <c r="N23" s="48"/>
      <c r="O23" s="21">
        <v>0</v>
      </c>
      <c r="P23" t="s">
        <v>315</v>
      </c>
      <c r="R23" s="69">
        <v>5923.96</v>
      </c>
      <c r="S23" s="22">
        <v>29.93</v>
      </c>
      <c r="T23" s="22">
        <f>IF(R23&gt;=0,IF(AND(R23&gt;tabelas!$C$4,R23&lt;=tabelas!$C$5),(S23)*tabelas!$D$4,IF(AND(R23&gt;=tabelas!$C$5,R23&lt;=tabelas!$C$6),(S23)*tabelas!$D$5,IF(AND(R23&gt;=tabelas!$C$6,R23&lt;=tabelas!$C$7),(S23)*tabelas!$D$6,IF(AND(R23&gt;0,R23&gt;tabelas!$C$7),(S23)*tabelas!$D$7,0)))))</f>
        <v>25.4405</v>
      </c>
      <c r="U23" s="22"/>
      <c r="V23" s="49">
        <f t="shared" si="0"/>
        <v>4.4894999999999996</v>
      </c>
      <c r="W23" s="51"/>
      <c r="X23" s="51"/>
    </row>
    <row r="24" spans="2:24" ht="16.5" customHeight="1" x14ac:dyDescent="0.25">
      <c r="B24" s="43" t="s">
        <v>68</v>
      </c>
      <c r="C24" s="43">
        <v>20</v>
      </c>
      <c r="D24" s="68" t="s">
        <v>173</v>
      </c>
      <c r="E24" s="44">
        <v>31799</v>
      </c>
      <c r="F24" s="39" t="s">
        <v>47</v>
      </c>
      <c r="G24" s="39" t="s">
        <v>43</v>
      </c>
      <c r="H24" s="37"/>
      <c r="I24" s="39" t="s">
        <v>44</v>
      </c>
      <c r="J24" s="45">
        <v>44531</v>
      </c>
      <c r="K24" s="46"/>
      <c r="L24" s="39" t="s">
        <v>45</v>
      </c>
      <c r="M24" s="47">
        <v>29.93</v>
      </c>
      <c r="N24" s="48"/>
      <c r="O24" s="21">
        <v>0</v>
      </c>
      <c r="P24" t="s">
        <v>315</v>
      </c>
      <c r="R24" s="69">
        <v>5231.8599999999997</v>
      </c>
      <c r="S24" s="22">
        <v>29.93</v>
      </c>
      <c r="T24" s="22">
        <f>IF(R24&gt;=0,IF(AND(R24&gt;tabelas!$C$4,R24&lt;=tabelas!$C$5),(S24)*tabelas!$D$4,IF(AND(R24&gt;=tabelas!$C$5,R24&lt;=tabelas!$C$6),(S24)*tabelas!$D$5,IF(AND(R24&gt;=tabelas!$C$6,R24&lt;=tabelas!$C$7),(S24)*tabelas!$D$6,IF(AND(R24&gt;0,R24&gt;tabelas!$C$7),(S24)*tabelas!$D$7,0)))))</f>
        <v>25.4405</v>
      </c>
      <c r="U24" s="22"/>
      <c r="V24" s="49">
        <f t="shared" si="0"/>
        <v>4.4894999999999996</v>
      </c>
      <c r="W24" s="49"/>
      <c r="X24" s="49"/>
    </row>
    <row r="25" spans="2:24" ht="16.5" customHeight="1" x14ac:dyDescent="0.25">
      <c r="B25" s="43" t="s">
        <v>69</v>
      </c>
      <c r="C25" s="43">
        <v>21</v>
      </c>
      <c r="D25" s="68" t="s">
        <v>174</v>
      </c>
      <c r="E25" s="44">
        <v>31497</v>
      </c>
      <c r="F25" s="39" t="s">
        <v>42</v>
      </c>
      <c r="G25" s="39" t="s">
        <v>50</v>
      </c>
      <c r="H25" s="37"/>
      <c r="I25" s="39" t="s">
        <v>44</v>
      </c>
      <c r="J25" s="45">
        <v>44531</v>
      </c>
      <c r="K25" s="46"/>
      <c r="L25" s="39" t="s">
        <v>45</v>
      </c>
      <c r="M25" s="47">
        <v>29.93</v>
      </c>
      <c r="N25" s="48"/>
      <c r="O25" s="21">
        <v>0</v>
      </c>
      <c r="P25" t="s">
        <v>315</v>
      </c>
      <c r="R25" s="69">
        <v>1691</v>
      </c>
      <c r="S25" s="22">
        <v>29.93</v>
      </c>
      <c r="T25" s="22">
        <f>IF(R25&gt;=0,IF(AND(R25&gt;tabelas!$C$4,R25&lt;=tabelas!$C$5),(S25)*tabelas!$D$4,IF(AND(R25&gt;=tabelas!$C$5,R25&lt;=tabelas!$C$6),(S25)*tabelas!$D$5,IF(AND(R25&gt;=tabelas!$C$6,R25&lt;=tabelas!$C$7),(S25)*tabelas!$D$6,IF(AND(R25&gt;0,R25&gt;tabelas!$C$7),(S25)*tabelas!$D$7,0)))))</f>
        <v>27.834900000000001</v>
      </c>
      <c r="U25" s="22"/>
      <c r="V25" s="49">
        <f t="shared" si="0"/>
        <v>2.0950999999999986</v>
      </c>
      <c r="W25" s="51"/>
      <c r="X25" s="51"/>
    </row>
    <row r="26" spans="2:24" ht="24" x14ac:dyDescent="0.25">
      <c r="B26" s="43" t="s">
        <v>70</v>
      </c>
      <c r="C26" s="43">
        <v>22</v>
      </c>
      <c r="D26" s="68" t="s">
        <v>175</v>
      </c>
      <c r="E26" s="44">
        <v>30575</v>
      </c>
      <c r="F26" s="39" t="s">
        <v>47</v>
      </c>
      <c r="G26" s="39" t="s">
        <v>43</v>
      </c>
      <c r="H26" s="39" t="s">
        <v>48</v>
      </c>
      <c r="I26" s="39" t="s">
        <v>44</v>
      </c>
      <c r="J26" s="45">
        <v>44544</v>
      </c>
      <c r="K26" s="46"/>
      <c r="L26" s="39" t="s">
        <v>45</v>
      </c>
      <c r="M26" s="47">
        <v>29.93</v>
      </c>
      <c r="N26" s="48"/>
      <c r="O26" s="21">
        <v>0</v>
      </c>
      <c r="P26" t="s">
        <v>315</v>
      </c>
      <c r="R26" s="69">
        <v>6905.09</v>
      </c>
      <c r="S26" s="22">
        <v>29.93</v>
      </c>
      <c r="T26" s="22">
        <f>IF(R26&gt;=0,IF(AND(R26&gt;tabelas!$C$4,R26&lt;=tabelas!$C$5),(S26)*tabelas!$D$4,IF(AND(R26&gt;=tabelas!$C$5,R26&lt;=tabelas!$C$6),(S26)*tabelas!$D$5,IF(AND(R26&gt;=tabelas!$C$6,R26&lt;=tabelas!$C$7),(S26)*tabelas!$D$6,IF(AND(R26&gt;0,R26&gt;tabelas!$C$7),(S26)*tabelas!$D$7,0)))))</f>
        <v>25.4405</v>
      </c>
      <c r="U26" s="22"/>
      <c r="V26" s="49">
        <f t="shared" si="0"/>
        <v>4.4894999999999996</v>
      </c>
      <c r="W26" s="49"/>
      <c r="X26" s="49"/>
    </row>
    <row r="27" spans="2:24" ht="16.5" customHeight="1" x14ac:dyDescent="0.25">
      <c r="B27" s="43" t="s">
        <v>71</v>
      </c>
      <c r="C27" s="43">
        <v>23</v>
      </c>
      <c r="D27" s="68" t="s">
        <v>176</v>
      </c>
      <c r="E27" s="44">
        <v>45097</v>
      </c>
      <c r="F27" s="39" t="s">
        <v>42</v>
      </c>
      <c r="G27" s="39" t="s">
        <v>50</v>
      </c>
      <c r="H27" s="39" t="s">
        <v>51</v>
      </c>
      <c r="I27" s="39" t="s">
        <v>44</v>
      </c>
      <c r="J27" s="45">
        <v>45108</v>
      </c>
      <c r="K27" s="46"/>
      <c r="L27" s="39" t="s">
        <v>45</v>
      </c>
      <c r="M27" s="47">
        <v>29.93</v>
      </c>
      <c r="N27" s="48"/>
      <c r="O27" s="21">
        <v>0</v>
      </c>
      <c r="P27" t="s">
        <v>315</v>
      </c>
      <c r="R27" s="69">
        <v>1322.8</v>
      </c>
      <c r="S27" s="22">
        <v>29.93</v>
      </c>
      <c r="T27" s="22">
        <f>IF(R27&gt;=0,IF(AND(R27&gt;tabelas!$C$4,R27&lt;=tabelas!$C$5),(S27)*tabelas!$D$4,IF(AND(R27&gt;=tabelas!$C$5,R27&lt;=tabelas!$C$6),(S27)*tabelas!$D$5,IF(AND(R27&gt;=tabelas!$C$6,R27&lt;=tabelas!$C$7),(S27)*tabelas!$D$6,IF(AND(R27&gt;0,R27&gt;tabelas!$C$7),(S27)*tabelas!$D$7,0)))))</f>
        <v>27.834900000000001</v>
      </c>
      <c r="U27" s="22"/>
      <c r="V27" s="49">
        <f t="shared" si="0"/>
        <v>2.0950999999999986</v>
      </c>
      <c r="W27" s="51"/>
      <c r="X27" s="51"/>
    </row>
    <row r="28" spans="2:24" ht="16.5" customHeight="1" x14ac:dyDescent="0.25">
      <c r="B28" s="43" t="s">
        <v>72</v>
      </c>
      <c r="C28" s="43">
        <v>24</v>
      </c>
      <c r="D28" s="68" t="s">
        <v>177</v>
      </c>
      <c r="E28" s="44">
        <v>33721</v>
      </c>
      <c r="F28" s="39" t="s">
        <v>42</v>
      </c>
      <c r="G28" s="39" t="s">
        <v>50</v>
      </c>
      <c r="H28" s="37"/>
      <c r="I28" s="39" t="s">
        <v>44</v>
      </c>
      <c r="J28" s="45">
        <v>44602</v>
      </c>
      <c r="K28" s="46"/>
      <c r="L28" s="39" t="s">
        <v>45</v>
      </c>
      <c r="M28" s="47">
        <v>29.93</v>
      </c>
      <c r="N28" s="48"/>
      <c r="O28" s="21">
        <v>0</v>
      </c>
      <c r="P28" t="s">
        <v>315</v>
      </c>
      <c r="R28" s="69">
        <v>3477.96</v>
      </c>
      <c r="S28" s="22">
        <v>29.93</v>
      </c>
      <c r="T28" s="22">
        <f>IF(R28&gt;=0,IF(AND(R28&gt;tabelas!$C$4,R28&lt;=tabelas!$C$5),(S28)*tabelas!$D$4,IF(AND(R28&gt;=tabelas!$C$5,R28&lt;=tabelas!$C$6),(S28)*tabelas!$D$5,IF(AND(R28&gt;=tabelas!$C$6,R28&lt;=tabelas!$C$7),(S28)*tabelas!$D$6,IF(AND(R28&gt;0,R28&gt;tabelas!$C$7),(S28)*tabelas!$D$7,0)))))</f>
        <v>27.834900000000001</v>
      </c>
      <c r="U28" s="22"/>
      <c r="V28" s="49">
        <f t="shared" si="0"/>
        <v>2.0950999999999986</v>
      </c>
      <c r="W28" s="51"/>
      <c r="X28" s="51"/>
    </row>
    <row r="29" spans="2:24" ht="16.5" customHeight="1" x14ac:dyDescent="0.25">
      <c r="B29" s="43" t="s">
        <v>73</v>
      </c>
      <c r="C29" s="43">
        <v>25</v>
      </c>
      <c r="D29" s="68" t="s">
        <v>178</v>
      </c>
      <c r="E29" s="44">
        <v>34943</v>
      </c>
      <c r="F29" s="39" t="s">
        <v>42</v>
      </c>
      <c r="G29" s="39" t="s">
        <v>50</v>
      </c>
      <c r="H29" s="37"/>
      <c r="I29" s="39" t="s">
        <v>21</v>
      </c>
      <c r="J29" s="45">
        <v>44627</v>
      </c>
      <c r="K29" s="46"/>
      <c r="L29" s="39" t="s">
        <v>45</v>
      </c>
      <c r="M29" s="47">
        <v>29.93</v>
      </c>
      <c r="N29" s="48"/>
      <c r="O29" s="21">
        <v>0</v>
      </c>
      <c r="P29" t="s">
        <v>315</v>
      </c>
      <c r="R29" s="69">
        <v>2584.41</v>
      </c>
      <c r="S29" s="22">
        <v>29.93</v>
      </c>
      <c r="T29" s="22">
        <f>IF(R29&gt;=0,IF(AND(R29&gt;tabelas!$C$4,R29&lt;=tabelas!$C$5),(S29)*tabelas!$D$4,IF(AND(R29&gt;=tabelas!$C$5,R29&lt;=tabelas!$C$6),(S29)*tabelas!$D$5,IF(AND(R29&gt;=tabelas!$C$6,R29&lt;=tabelas!$C$7),(S29)*tabelas!$D$6,IF(AND(R29&gt;0,R29&gt;tabelas!$C$7),(S29)*tabelas!$D$7,0)))))</f>
        <v>27.834900000000001</v>
      </c>
      <c r="U29" s="22"/>
      <c r="V29" s="49">
        <f t="shared" si="0"/>
        <v>2.0950999999999986</v>
      </c>
      <c r="W29" s="49"/>
      <c r="X29" s="49"/>
    </row>
    <row r="30" spans="2:24" ht="16.5" customHeight="1" x14ac:dyDescent="0.25">
      <c r="B30" s="43" t="s">
        <v>74</v>
      </c>
      <c r="C30" s="43">
        <v>26</v>
      </c>
      <c r="D30" s="68" t="s">
        <v>179</v>
      </c>
      <c r="E30" s="44">
        <v>33366</v>
      </c>
      <c r="F30" s="39" t="s">
        <v>42</v>
      </c>
      <c r="G30" s="39" t="s">
        <v>50</v>
      </c>
      <c r="H30" s="37"/>
      <c r="I30" s="39" t="s">
        <v>44</v>
      </c>
      <c r="J30" s="45">
        <v>44659</v>
      </c>
      <c r="K30" s="46"/>
      <c r="L30" s="39" t="s">
        <v>45</v>
      </c>
      <c r="M30" s="47">
        <v>29.93</v>
      </c>
      <c r="N30" s="48"/>
      <c r="O30" s="21">
        <v>0</v>
      </c>
      <c r="P30" t="s">
        <v>315</v>
      </c>
      <c r="R30" s="69">
        <v>1961.89</v>
      </c>
      <c r="S30" s="22">
        <v>29.93</v>
      </c>
      <c r="T30" s="22">
        <f>IF(R30&gt;=0,IF(AND(R30&gt;tabelas!$C$4,R30&lt;=tabelas!$C$5),(S30)*tabelas!$D$4,IF(AND(R30&gt;=tabelas!$C$5,R30&lt;=tabelas!$C$6),(S30)*tabelas!$D$5,IF(AND(R30&gt;=tabelas!$C$6,R30&lt;=tabelas!$C$7),(S30)*tabelas!$D$6,IF(AND(R30&gt;0,R30&gt;tabelas!$C$7),(S30)*tabelas!$D$7,0)))))</f>
        <v>27.834900000000001</v>
      </c>
      <c r="U30" s="22"/>
      <c r="V30" s="49">
        <f t="shared" si="0"/>
        <v>2.0950999999999986</v>
      </c>
      <c r="W30" s="51"/>
      <c r="X30" s="51"/>
    </row>
    <row r="31" spans="2:24" ht="16.5" customHeight="1" x14ac:dyDescent="0.25">
      <c r="B31" s="43" t="s">
        <v>75</v>
      </c>
      <c r="C31" s="43">
        <v>27</v>
      </c>
      <c r="D31" s="68" t="s">
        <v>180</v>
      </c>
      <c r="E31" s="44">
        <v>34288</v>
      </c>
      <c r="F31" s="39" t="s">
        <v>42</v>
      </c>
      <c r="G31" s="39" t="s">
        <v>50</v>
      </c>
      <c r="H31" s="39" t="s">
        <v>48</v>
      </c>
      <c r="I31" s="39" t="s">
        <v>44</v>
      </c>
      <c r="J31" s="45">
        <v>45413</v>
      </c>
      <c r="K31" s="46"/>
      <c r="L31" s="39" t="s">
        <v>45</v>
      </c>
      <c r="M31" s="47">
        <v>29.93</v>
      </c>
      <c r="N31" s="48"/>
      <c r="O31" s="21">
        <v>0</v>
      </c>
      <c r="P31" t="s">
        <v>315</v>
      </c>
      <c r="R31" s="69">
        <v>3406</v>
      </c>
      <c r="S31" s="22">
        <v>29.93</v>
      </c>
      <c r="T31" s="22">
        <f>IF(R31&gt;=0,IF(AND(R31&gt;tabelas!$C$4,R31&lt;=tabelas!$C$5),(S31)*tabelas!$D$4,IF(AND(R31&gt;=tabelas!$C$5,R31&lt;=tabelas!$C$6),(S31)*tabelas!$D$5,IF(AND(R31&gt;=tabelas!$C$6,R31&lt;=tabelas!$C$7),(S31)*tabelas!$D$6,IF(AND(R31&gt;0,R31&gt;tabelas!$C$7),(S31)*tabelas!$D$7,0)))))</f>
        <v>27.834900000000001</v>
      </c>
      <c r="U31" s="22"/>
      <c r="V31" s="49">
        <f t="shared" si="0"/>
        <v>2.0950999999999986</v>
      </c>
      <c r="W31" s="49"/>
      <c r="X31" s="49"/>
    </row>
    <row r="32" spans="2:24" ht="16.5" customHeight="1" x14ac:dyDescent="0.25">
      <c r="B32" s="43" t="s">
        <v>76</v>
      </c>
      <c r="C32" s="43">
        <v>28</v>
      </c>
      <c r="D32" s="68" t="s">
        <v>181</v>
      </c>
      <c r="E32" s="44">
        <v>33143</v>
      </c>
      <c r="F32" s="39" t="s">
        <v>47</v>
      </c>
      <c r="G32" s="39" t="s">
        <v>50</v>
      </c>
      <c r="H32" s="37"/>
      <c r="I32" s="39" t="s">
        <v>77</v>
      </c>
      <c r="J32" s="45">
        <v>44655</v>
      </c>
      <c r="K32" s="46"/>
      <c r="L32" s="39" t="s">
        <v>45</v>
      </c>
      <c r="M32" s="47">
        <v>29.93</v>
      </c>
      <c r="N32" s="48"/>
      <c r="O32" s="21">
        <v>0</v>
      </c>
      <c r="P32" t="s">
        <v>315</v>
      </c>
      <c r="R32" s="69">
        <v>6180.88</v>
      </c>
      <c r="S32" s="22">
        <v>29.93</v>
      </c>
      <c r="T32" s="22">
        <f>IF(R32&gt;=0,IF(AND(R32&gt;tabelas!$C$4,R32&lt;=tabelas!$C$5),(S32)*tabelas!$D$4,IF(AND(R32&gt;=tabelas!$C$5,R32&lt;=tabelas!$C$6),(S32)*tabelas!$D$5,IF(AND(R32&gt;=tabelas!$C$6,R32&lt;=tabelas!$C$7),(S32)*tabelas!$D$6,IF(AND(R32&gt;0,R32&gt;tabelas!$C$7),(S32)*tabelas!$D$7,0)))))</f>
        <v>25.4405</v>
      </c>
      <c r="U32" s="22"/>
      <c r="V32" s="49">
        <f t="shared" si="0"/>
        <v>4.4894999999999996</v>
      </c>
    </row>
    <row r="33" spans="2:24" ht="16.5" customHeight="1" x14ac:dyDescent="0.25">
      <c r="B33" s="43" t="s">
        <v>78</v>
      </c>
      <c r="C33" s="43">
        <v>29</v>
      </c>
      <c r="D33" s="68" t="s">
        <v>182</v>
      </c>
      <c r="E33" s="52">
        <v>31352</v>
      </c>
      <c r="F33" s="53" t="s">
        <v>47</v>
      </c>
      <c r="G33" s="53" t="s">
        <v>43</v>
      </c>
      <c r="H33" s="54"/>
      <c r="I33" s="53" t="s">
        <v>44</v>
      </c>
      <c r="J33" s="55">
        <v>44697</v>
      </c>
      <c r="K33" s="56"/>
      <c r="L33" s="53" t="s">
        <v>45</v>
      </c>
      <c r="M33" s="57">
        <v>29.93</v>
      </c>
      <c r="N33" s="48"/>
      <c r="O33" s="21">
        <v>0</v>
      </c>
      <c r="P33" t="s">
        <v>315</v>
      </c>
      <c r="R33" s="69">
        <v>4238.79</v>
      </c>
      <c r="S33" s="22">
        <v>29.93</v>
      </c>
      <c r="T33" s="22">
        <f>IF(R33&gt;=0,IF(AND(R33&gt;tabelas!$C$4,R33&lt;=tabelas!$C$5),(S33)*tabelas!$D$4,IF(AND(R33&gt;=tabelas!$C$5,R33&lt;=tabelas!$C$6),(S33)*tabelas!$D$5,IF(AND(R33&gt;=tabelas!$C$6,R33&lt;=tabelas!$C$7),(S33)*tabelas!$D$6,IF(AND(R33&gt;0,R33&gt;tabelas!$C$7),(S33)*tabelas!$D$7,0)))))</f>
        <v>25.4405</v>
      </c>
      <c r="U33" s="22"/>
      <c r="V33" s="49">
        <f t="shared" si="0"/>
        <v>4.4894999999999996</v>
      </c>
    </row>
    <row r="34" spans="2:24" ht="16.5" customHeight="1" x14ac:dyDescent="0.25">
      <c r="B34" s="43" t="s">
        <v>79</v>
      </c>
      <c r="C34" s="43">
        <v>30</v>
      </c>
      <c r="D34" s="68" t="s">
        <v>183</v>
      </c>
      <c r="E34" s="44">
        <v>34301</v>
      </c>
      <c r="F34" s="39" t="s">
        <v>42</v>
      </c>
      <c r="G34" s="39" t="s">
        <v>43</v>
      </c>
      <c r="H34" s="39" t="s">
        <v>48</v>
      </c>
      <c r="I34" s="39" t="s">
        <v>44</v>
      </c>
      <c r="J34" s="45">
        <v>44697</v>
      </c>
      <c r="K34" s="46"/>
      <c r="L34" s="39" t="s">
        <v>45</v>
      </c>
      <c r="M34" s="47">
        <v>29.93</v>
      </c>
      <c r="N34" s="48"/>
      <c r="O34" s="21">
        <v>0</v>
      </c>
      <c r="P34" t="s">
        <v>315</v>
      </c>
      <c r="R34" s="69">
        <v>5556.85</v>
      </c>
      <c r="S34" s="22">
        <v>29.93</v>
      </c>
      <c r="T34" s="22">
        <f>IF(R34&gt;=0,IF(AND(R34&gt;tabelas!$C$4,R34&lt;=tabelas!$C$5),(S34)*tabelas!$D$4,IF(AND(R34&gt;=tabelas!$C$5,R34&lt;=tabelas!$C$6),(S34)*tabelas!$D$5,IF(AND(R34&gt;=tabelas!$C$6,R34&lt;=tabelas!$C$7),(S34)*tabelas!$D$6,IF(AND(R34&gt;0,R34&gt;tabelas!$C$7),(S34)*tabelas!$D$7,0)))))</f>
        <v>25.4405</v>
      </c>
      <c r="U34" s="22"/>
      <c r="V34" s="49">
        <f t="shared" si="0"/>
        <v>4.4894999999999996</v>
      </c>
    </row>
    <row r="35" spans="2:24" ht="16.5" customHeight="1" x14ac:dyDescent="0.25">
      <c r="B35" s="43" t="s">
        <v>80</v>
      </c>
      <c r="C35" s="43">
        <v>31</v>
      </c>
      <c r="D35" s="68" t="s">
        <v>184</v>
      </c>
      <c r="E35" s="44">
        <v>43481</v>
      </c>
      <c r="F35" s="39" t="s">
        <v>42</v>
      </c>
      <c r="G35" s="39" t="s">
        <v>50</v>
      </c>
      <c r="H35" s="39" t="s">
        <v>51</v>
      </c>
      <c r="I35" s="39" t="s">
        <v>44</v>
      </c>
      <c r="J35" s="45">
        <v>44697</v>
      </c>
      <c r="K35" s="46"/>
      <c r="L35" s="39" t="s">
        <v>45</v>
      </c>
      <c r="M35" s="47">
        <v>29.93</v>
      </c>
      <c r="N35" s="48"/>
      <c r="O35" s="21">
        <v>0</v>
      </c>
      <c r="P35" t="s">
        <v>315</v>
      </c>
      <c r="R35" s="69">
        <v>7645.71</v>
      </c>
      <c r="S35" s="22">
        <v>29.93</v>
      </c>
      <c r="T35" s="22">
        <f>IF(R35&gt;=0,IF(AND(R35&gt;tabelas!$C$4,R35&lt;=tabelas!$C$5),(S35)*tabelas!$D$4,IF(AND(R35&gt;=tabelas!$C$5,R35&lt;=tabelas!$C$6),(S35)*tabelas!$D$5,IF(AND(R35&gt;=tabelas!$C$6,R35&lt;=tabelas!$C$7),(S35)*tabelas!$D$6,IF(AND(R35&gt;0,R35&gt;tabelas!$C$7),(S35)*tabelas!$D$7,0)))))</f>
        <v>23.046099999999999</v>
      </c>
      <c r="U35" s="22"/>
      <c r="V35" s="49">
        <f t="shared" si="0"/>
        <v>6.8839000000000006</v>
      </c>
    </row>
    <row r="36" spans="2:24" ht="16.5" customHeight="1" x14ac:dyDescent="0.25">
      <c r="B36" s="43" t="s">
        <v>81</v>
      </c>
      <c r="C36" s="43">
        <v>32</v>
      </c>
      <c r="D36" s="68" t="s">
        <v>185</v>
      </c>
      <c r="E36" s="44">
        <v>30373</v>
      </c>
      <c r="F36" s="39" t="s">
        <v>42</v>
      </c>
      <c r="G36" s="39" t="s">
        <v>43</v>
      </c>
      <c r="H36" s="37"/>
      <c r="I36" s="39" t="s">
        <v>21</v>
      </c>
      <c r="J36" s="45">
        <v>44697</v>
      </c>
      <c r="K36" s="46"/>
      <c r="L36" s="39" t="s">
        <v>45</v>
      </c>
      <c r="M36" s="47">
        <v>29.93</v>
      </c>
      <c r="N36" s="48"/>
      <c r="O36" s="21">
        <v>0</v>
      </c>
      <c r="P36" t="s">
        <v>315</v>
      </c>
      <c r="R36" s="69">
        <v>2782.34</v>
      </c>
      <c r="S36" s="22">
        <v>29.93</v>
      </c>
      <c r="T36" s="22">
        <f>IF(R36&gt;=0,IF(AND(R36&gt;tabelas!$C$4,R36&lt;=tabelas!$C$5),(S36)*tabelas!$D$4,IF(AND(R36&gt;=tabelas!$C$5,R36&lt;=tabelas!$C$6),(S36)*tabelas!$D$5,IF(AND(R36&gt;=tabelas!$C$6,R36&lt;=tabelas!$C$7),(S36)*tabelas!$D$6,IF(AND(R36&gt;0,R36&gt;tabelas!$C$7),(S36)*tabelas!$D$7,0)))))</f>
        <v>27.834900000000001</v>
      </c>
      <c r="U36" s="22"/>
      <c r="V36" s="49">
        <f t="shared" si="0"/>
        <v>2.0950999999999986</v>
      </c>
    </row>
    <row r="37" spans="2:24" ht="16.5" customHeight="1" x14ac:dyDescent="0.25">
      <c r="B37" s="43" t="s">
        <v>82</v>
      </c>
      <c r="C37" s="43">
        <v>33</v>
      </c>
      <c r="D37" s="68" t="s">
        <v>186</v>
      </c>
      <c r="E37" s="44">
        <v>40124</v>
      </c>
      <c r="F37" s="39" t="s">
        <v>47</v>
      </c>
      <c r="G37" s="39" t="s">
        <v>50</v>
      </c>
      <c r="H37" s="39" t="s">
        <v>51</v>
      </c>
      <c r="I37" s="39" t="s">
        <v>21</v>
      </c>
      <c r="J37" s="45">
        <v>44697</v>
      </c>
      <c r="K37" s="46"/>
      <c r="L37" s="39" t="s">
        <v>45</v>
      </c>
      <c r="M37" s="47">
        <v>29.93</v>
      </c>
      <c r="N37" s="48"/>
      <c r="O37" s="21">
        <v>0</v>
      </c>
      <c r="P37" t="s">
        <v>315</v>
      </c>
      <c r="R37" s="69">
        <v>1741.37</v>
      </c>
      <c r="S37" s="22">
        <v>29.93</v>
      </c>
      <c r="T37" s="22">
        <f>IF(R37&gt;=0,IF(AND(R37&gt;tabelas!$C$4,R37&lt;=tabelas!$C$5),(S37)*tabelas!$D$4,IF(AND(R37&gt;=tabelas!$C$5,R37&lt;=tabelas!$C$6),(S37)*tabelas!$D$5,IF(AND(R37&gt;=tabelas!$C$6,R37&lt;=tabelas!$C$7),(S37)*tabelas!$D$6,IF(AND(R37&gt;0,R37&gt;tabelas!$C$7),(S37)*tabelas!$D$7,0)))))</f>
        <v>27.834900000000001</v>
      </c>
      <c r="U37" s="22"/>
      <c r="V37" s="49">
        <f t="shared" si="0"/>
        <v>2.0950999999999986</v>
      </c>
      <c r="W37" s="51"/>
      <c r="X37" s="51"/>
    </row>
    <row r="38" spans="2:24" ht="16.5" customHeight="1" x14ac:dyDescent="0.25">
      <c r="B38" s="43" t="s">
        <v>83</v>
      </c>
      <c r="C38" s="43">
        <v>34</v>
      </c>
      <c r="D38" s="68" t="s">
        <v>187</v>
      </c>
      <c r="E38" s="44">
        <v>44529</v>
      </c>
      <c r="F38" s="39" t="s">
        <v>42</v>
      </c>
      <c r="G38" s="39" t="s">
        <v>50</v>
      </c>
      <c r="H38" s="39" t="s">
        <v>51</v>
      </c>
      <c r="I38" s="39" t="s">
        <v>21</v>
      </c>
      <c r="J38" s="45">
        <v>44697</v>
      </c>
      <c r="K38" s="46"/>
      <c r="L38" s="39" t="s">
        <v>45</v>
      </c>
      <c r="M38" s="47">
        <v>29.93</v>
      </c>
      <c r="N38" s="48"/>
      <c r="O38" s="21">
        <v>0</v>
      </c>
      <c r="P38" t="s">
        <v>315</v>
      </c>
      <c r="R38" s="69">
        <v>6507.02</v>
      </c>
      <c r="S38" s="22">
        <v>29.93</v>
      </c>
      <c r="T38" s="22">
        <f>IF(R38&gt;=0,IF(AND(R38&gt;tabelas!$C$4,R38&lt;=tabelas!$C$5),(S38)*tabelas!$D$4,IF(AND(R38&gt;=tabelas!$C$5,R38&lt;=tabelas!$C$6),(S38)*tabelas!$D$5,IF(AND(R38&gt;=tabelas!$C$6,R38&lt;=tabelas!$C$7),(S38)*tabelas!$D$6,IF(AND(R38&gt;0,R38&gt;tabelas!$C$7),(S38)*tabelas!$D$7,0)))))</f>
        <v>25.4405</v>
      </c>
      <c r="U38" s="22"/>
      <c r="V38" s="49">
        <f t="shared" si="0"/>
        <v>4.4894999999999996</v>
      </c>
      <c r="W38" s="49"/>
      <c r="X38" s="49"/>
    </row>
    <row r="39" spans="2:24" ht="16.5" customHeight="1" x14ac:dyDescent="0.25">
      <c r="B39" s="43" t="s">
        <v>84</v>
      </c>
      <c r="C39" s="43">
        <v>35</v>
      </c>
      <c r="D39" s="68" t="s">
        <v>188</v>
      </c>
      <c r="E39" s="44">
        <v>34095</v>
      </c>
      <c r="F39" s="39" t="s">
        <v>42</v>
      </c>
      <c r="G39" s="39" t="s">
        <v>43</v>
      </c>
      <c r="H39" s="37"/>
      <c r="I39" s="39" t="s">
        <v>21</v>
      </c>
      <c r="J39" s="45">
        <v>44662</v>
      </c>
      <c r="K39" s="46"/>
      <c r="L39" s="39" t="s">
        <v>45</v>
      </c>
      <c r="M39" s="47">
        <v>29.93</v>
      </c>
      <c r="N39" s="48"/>
      <c r="O39" s="21">
        <v>0</v>
      </c>
      <c r="P39" t="s">
        <v>315</v>
      </c>
      <c r="R39" s="69">
        <v>1463.11</v>
      </c>
      <c r="S39" s="22">
        <v>29.93</v>
      </c>
      <c r="T39" s="22">
        <f>IF(R39&gt;=0,IF(AND(R39&gt;tabelas!$C$4,R39&lt;=tabelas!$C$5),(S39)*tabelas!$D$4,IF(AND(R39&gt;=tabelas!$C$5,R39&lt;=tabelas!$C$6),(S39)*tabelas!$D$5,IF(AND(R39&gt;=tabelas!$C$6,R39&lt;=tabelas!$C$7),(S39)*tabelas!$D$6,IF(AND(R39&gt;0,R39&gt;tabelas!$C$7),(S39)*tabelas!$D$7,0)))))</f>
        <v>27.834900000000001</v>
      </c>
      <c r="U39" s="22"/>
      <c r="V39" s="49">
        <f t="shared" si="0"/>
        <v>2.0950999999999986</v>
      </c>
    </row>
    <row r="40" spans="2:24" ht="16.5" customHeight="1" x14ac:dyDescent="0.25">
      <c r="B40" s="43" t="s">
        <v>85</v>
      </c>
      <c r="C40" s="43">
        <v>36</v>
      </c>
      <c r="D40" s="68" t="s">
        <v>189</v>
      </c>
      <c r="E40" s="44">
        <v>34435</v>
      </c>
      <c r="F40" s="39" t="s">
        <v>47</v>
      </c>
      <c r="G40" s="39" t="s">
        <v>43</v>
      </c>
      <c r="H40" s="39" t="s">
        <v>48</v>
      </c>
      <c r="I40" s="39" t="s">
        <v>21</v>
      </c>
      <c r="J40" s="45">
        <v>44662</v>
      </c>
      <c r="K40" s="46"/>
      <c r="L40" s="39" t="s">
        <v>45</v>
      </c>
      <c r="M40" s="47">
        <v>29.93</v>
      </c>
      <c r="N40" s="48"/>
      <c r="O40" s="21">
        <v>0</v>
      </c>
      <c r="P40" t="s">
        <v>315</v>
      </c>
      <c r="R40" s="69">
        <v>6190.63</v>
      </c>
      <c r="S40" s="22">
        <v>29.93</v>
      </c>
      <c r="T40" s="22">
        <f>IF(R40&gt;=0,IF(AND(R40&gt;tabelas!$C$4,R40&lt;=tabelas!$C$5),(S40)*tabelas!$D$4,IF(AND(R40&gt;=tabelas!$C$5,R40&lt;=tabelas!$C$6),(S40)*tabelas!$D$5,IF(AND(R40&gt;=tabelas!$C$6,R40&lt;=tabelas!$C$7),(S40)*tabelas!$D$6,IF(AND(R40&gt;0,R40&gt;tabelas!$C$7),(S40)*tabelas!$D$7,0)))))</f>
        <v>25.4405</v>
      </c>
      <c r="U40" s="22"/>
      <c r="V40" s="49">
        <f t="shared" si="0"/>
        <v>4.4894999999999996</v>
      </c>
    </row>
    <row r="41" spans="2:24" ht="16.5" customHeight="1" x14ac:dyDescent="0.25">
      <c r="B41" s="43" t="s">
        <v>86</v>
      </c>
      <c r="C41" s="43">
        <v>37</v>
      </c>
      <c r="D41" s="68" t="s">
        <v>190</v>
      </c>
      <c r="E41" s="44">
        <v>33532</v>
      </c>
      <c r="F41" s="39" t="s">
        <v>42</v>
      </c>
      <c r="G41" s="39" t="s">
        <v>50</v>
      </c>
      <c r="H41" s="37"/>
      <c r="I41" s="39" t="s">
        <v>21</v>
      </c>
      <c r="J41" s="45">
        <v>44704</v>
      </c>
      <c r="K41" s="46"/>
      <c r="L41" s="39" t="s">
        <v>45</v>
      </c>
      <c r="M41" s="47">
        <v>29.93</v>
      </c>
      <c r="N41" s="48"/>
      <c r="O41" s="21">
        <v>0</v>
      </c>
      <c r="P41" t="s">
        <v>315</v>
      </c>
      <c r="R41" s="69">
        <v>3295.14</v>
      </c>
      <c r="S41" s="22">
        <v>29.93</v>
      </c>
      <c r="T41" s="22">
        <f>IF(R41&gt;=0,IF(AND(R41&gt;tabelas!$C$4,R41&lt;=tabelas!$C$5),(S41)*tabelas!$D$4,IF(AND(R41&gt;=tabelas!$C$5,R41&lt;=tabelas!$C$6),(S41)*tabelas!$D$5,IF(AND(R41&gt;=tabelas!$C$6,R41&lt;=tabelas!$C$7),(S41)*tabelas!$D$6,IF(AND(R41&gt;0,R41&gt;tabelas!$C$7),(S41)*tabelas!$D$7,0)))))</f>
        <v>27.834900000000001</v>
      </c>
      <c r="U41" s="22"/>
      <c r="V41" s="49">
        <f t="shared" si="0"/>
        <v>2.0950999999999986</v>
      </c>
    </row>
    <row r="42" spans="2:24" ht="16.5" customHeight="1" x14ac:dyDescent="0.25">
      <c r="B42" s="43" t="s">
        <v>87</v>
      </c>
      <c r="C42" s="43">
        <v>38</v>
      </c>
      <c r="D42" s="68" t="s">
        <v>191</v>
      </c>
      <c r="E42" s="44">
        <v>33361</v>
      </c>
      <c r="F42" s="39" t="s">
        <v>47</v>
      </c>
      <c r="G42" s="39" t="s">
        <v>43</v>
      </c>
      <c r="H42" s="37"/>
      <c r="I42" s="39" t="s">
        <v>77</v>
      </c>
      <c r="J42" s="45">
        <v>44655</v>
      </c>
      <c r="K42" s="46"/>
      <c r="L42" s="39" t="s">
        <v>45</v>
      </c>
      <c r="M42" s="47">
        <v>29.93</v>
      </c>
      <c r="N42" s="48"/>
      <c r="O42" s="21">
        <v>0</v>
      </c>
      <c r="P42" t="s">
        <v>315</v>
      </c>
      <c r="R42" s="69">
        <v>6890.29</v>
      </c>
      <c r="S42" s="22">
        <v>29.93</v>
      </c>
      <c r="T42" s="22">
        <f>IF(R42&gt;=0,IF(AND(R42&gt;tabelas!$C$4,R42&lt;=tabelas!$C$5),(S42)*tabelas!$D$4,IF(AND(R42&gt;=tabelas!$C$5,R42&lt;=tabelas!$C$6),(S42)*tabelas!$D$5,IF(AND(R42&gt;=tabelas!$C$6,R42&lt;=tabelas!$C$7),(S42)*tabelas!$D$6,IF(AND(R42&gt;0,R42&gt;tabelas!$C$7),(S42)*tabelas!$D$7,0)))))</f>
        <v>25.4405</v>
      </c>
      <c r="U42" s="22"/>
      <c r="V42" s="49">
        <f t="shared" si="0"/>
        <v>4.4894999999999996</v>
      </c>
    </row>
    <row r="43" spans="2:24" ht="16.5" customHeight="1" x14ac:dyDescent="0.25">
      <c r="B43" s="43" t="s">
        <v>88</v>
      </c>
      <c r="C43" s="43">
        <v>39</v>
      </c>
      <c r="D43" s="68" t="s">
        <v>192</v>
      </c>
      <c r="E43" s="44">
        <v>29119</v>
      </c>
      <c r="F43" s="39" t="s">
        <v>42</v>
      </c>
      <c r="G43" s="39" t="s">
        <v>43</v>
      </c>
      <c r="H43" s="37"/>
      <c r="I43" s="39" t="s">
        <v>44</v>
      </c>
      <c r="J43" s="45">
        <v>44732</v>
      </c>
      <c r="K43" s="46"/>
      <c r="L43" s="39" t="s">
        <v>45</v>
      </c>
      <c r="M43" s="47">
        <v>29.93</v>
      </c>
      <c r="N43" s="48"/>
      <c r="O43" s="21">
        <v>0</v>
      </c>
      <c r="P43" t="s">
        <v>315</v>
      </c>
      <c r="R43" s="69">
        <v>7602.91</v>
      </c>
      <c r="S43" s="22">
        <v>29.93</v>
      </c>
      <c r="T43" s="22">
        <f>IF(R43&gt;=0,IF(AND(R43&gt;tabelas!$C$4,R43&lt;=tabelas!$C$5),(S43)*tabelas!$D$4,IF(AND(R43&gt;=tabelas!$C$5,R43&lt;=tabelas!$C$6),(S43)*tabelas!$D$5,IF(AND(R43&gt;=tabelas!$C$6,R43&lt;=tabelas!$C$7),(S43)*tabelas!$D$6,IF(AND(R43&gt;0,R43&gt;tabelas!$C$7),(S43)*tabelas!$D$7,0)))))</f>
        <v>23.046099999999999</v>
      </c>
      <c r="U43" s="22"/>
      <c r="V43" s="49">
        <f t="shared" si="0"/>
        <v>6.8839000000000006</v>
      </c>
    </row>
    <row r="44" spans="2:24" ht="16.5" customHeight="1" x14ac:dyDescent="0.25">
      <c r="B44" s="43" t="s">
        <v>89</v>
      </c>
      <c r="C44" s="43">
        <v>40</v>
      </c>
      <c r="D44" s="68" t="s">
        <v>193</v>
      </c>
      <c r="E44" s="44">
        <v>31909</v>
      </c>
      <c r="F44" s="39" t="s">
        <v>47</v>
      </c>
      <c r="G44" s="39" t="s">
        <v>43</v>
      </c>
      <c r="H44" s="39" t="s">
        <v>48</v>
      </c>
      <c r="I44" s="39" t="s">
        <v>44</v>
      </c>
      <c r="J44" s="45">
        <v>44732</v>
      </c>
      <c r="K44" s="46"/>
      <c r="L44" s="39" t="s">
        <v>45</v>
      </c>
      <c r="M44" s="47">
        <v>29.93</v>
      </c>
      <c r="N44" s="48"/>
      <c r="O44" s="21">
        <v>0</v>
      </c>
      <c r="P44" t="s">
        <v>315</v>
      </c>
      <c r="R44" s="69">
        <v>5481.18</v>
      </c>
      <c r="S44" s="22">
        <v>29.93</v>
      </c>
      <c r="T44" s="22">
        <f>IF(R44&gt;=0,IF(AND(R44&gt;tabelas!$C$4,R44&lt;=tabelas!$C$5),(S44)*tabelas!$D$4,IF(AND(R44&gt;=tabelas!$C$5,R44&lt;=tabelas!$C$6),(S44)*tabelas!$D$5,IF(AND(R44&gt;=tabelas!$C$6,R44&lt;=tabelas!$C$7),(S44)*tabelas!$D$6,IF(AND(R44&gt;0,R44&gt;tabelas!$C$7),(S44)*tabelas!$D$7,0)))))</f>
        <v>25.4405</v>
      </c>
      <c r="U44" s="22"/>
      <c r="V44" s="49">
        <f t="shared" si="0"/>
        <v>4.4894999999999996</v>
      </c>
    </row>
    <row r="45" spans="2:24" ht="24" x14ac:dyDescent="0.25">
      <c r="B45" s="43" t="s">
        <v>90</v>
      </c>
      <c r="C45" s="43">
        <v>41</v>
      </c>
      <c r="D45" s="68" t="s">
        <v>194</v>
      </c>
      <c r="E45" s="44">
        <v>41917</v>
      </c>
      <c r="F45" s="39" t="s">
        <v>42</v>
      </c>
      <c r="G45" s="39" t="s">
        <v>50</v>
      </c>
      <c r="H45" s="39" t="s">
        <v>51</v>
      </c>
      <c r="I45" s="39" t="s">
        <v>44</v>
      </c>
      <c r="J45" s="45">
        <v>44732</v>
      </c>
      <c r="K45" s="46"/>
      <c r="L45" s="39" t="s">
        <v>45</v>
      </c>
      <c r="M45" s="47">
        <v>29.93</v>
      </c>
      <c r="N45" s="48"/>
      <c r="O45" s="21">
        <v>0</v>
      </c>
      <c r="P45" t="s">
        <v>315</v>
      </c>
      <c r="R45" s="69">
        <v>2680.95</v>
      </c>
      <c r="S45" s="22">
        <v>29.93</v>
      </c>
      <c r="T45" s="22">
        <f>IF(R45&gt;=0,IF(AND(R45&gt;tabelas!$C$4,R45&lt;=tabelas!$C$5),(S45)*tabelas!$D$4,IF(AND(R45&gt;=tabelas!$C$5,R45&lt;=tabelas!$C$6),(S45)*tabelas!$D$5,IF(AND(R45&gt;=tabelas!$C$6,R45&lt;=tabelas!$C$7),(S45)*tabelas!$D$6,IF(AND(R45&gt;0,R45&gt;tabelas!$C$7),(S45)*tabelas!$D$7,0)))))</f>
        <v>27.834900000000001</v>
      </c>
      <c r="U45" s="22"/>
      <c r="V45" s="49">
        <f t="shared" si="0"/>
        <v>2.0950999999999986</v>
      </c>
    </row>
    <row r="46" spans="2:24" ht="16.5" customHeight="1" x14ac:dyDescent="0.25">
      <c r="B46" s="43" t="s">
        <v>91</v>
      </c>
      <c r="C46" s="43">
        <v>42</v>
      </c>
      <c r="D46" s="68" t="s">
        <v>195</v>
      </c>
      <c r="E46" s="44">
        <v>33649</v>
      </c>
      <c r="F46" s="39" t="s">
        <v>42</v>
      </c>
      <c r="G46" s="39" t="s">
        <v>50</v>
      </c>
      <c r="H46" s="37"/>
      <c r="I46" s="39" t="s">
        <v>21</v>
      </c>
      <c r="J46" s="45">
        <v>44732</v>
      </c>
      <c r="K46" s="46"/>
      <c r="L46" s="39" t="s">
        <v>45</v>
      </c>
      <c r="M46" s="47">
        <v>29.93</v>
      </c>
      <c r="N46" s="48"/>
      <c r="O46" s="21">
        <v>0</v>
      </c>
      <c r="P46" t="s">
        <v>315</v>
      </c>
      <c r="R46" s="69">
        <v>5594.45</v>
      </c>
      <c r="S46" s="22">
        <v>29.93</v>
      </c>
      <c r="T46" s="22">
        <f>IF(R46&gt;=0,IF(AND(R46&gt;tabelas!$C$4,R46&lt;=tabelas!$C$5),(S46)*tabelas!$D$4,IF(AND(R46&gt;=tabelas!$C$5,R46&lt;=tabelas!$C$6),(S46)*tabelas!$D$5,IF(AND(R46&gt;=tabelas!$C$6,R46&lt;=tabelas!$C$7),(S46)*tabelas!$D$6,IF(AND(R46&gt;0,R46&gt;tabelas!$C$7),(S46)*tabelas!$D$7,0)))))</f>
        <v>25.4405</v>
      </c>
      <c r="U46" s="22"/>
      <c r="V46" s="49">
        <f t="shared" si="0"/>
        <v>4.4894999999999996</v>
      </c>
      <c r="W46" s="51"/>
      <c r="X46" s="51"/>
    </row>
    <row r="47" spans="2:24" ht="16.5" customHeight="1" x14ac:dyDescent="0.25">
      <c r="B47" s="43" t="s">
        <v>92</v>
      </c>
      <c r="C47" s="43">
        <v>43</v>
      </c>
      <c r="D47" s="68" t="s">
        <v>196</v>
      </c>
      <c r="E47" s="44">
        <v>35080</v>
      </c>
      <c r="F47" s="39" t="s">
        <v>47</v>
      </c>
      <c r="G47" s="39" t="s">
        <v>50</v>
      </c>
      <c r="H47" s="37"/>
      <c r="I47" s="39" t="s">
        <v>44</v>
      </c>
      <c r="J47" s="45">
        <v>44718</v>
      </c>
      <c r="K47" s="46"/>
      <c r="L47" s="39" t="s">
        <v>45</v>
      </c>
      <c r="M47" s="47">
        <v>29.93</v>
      </c>
      <c r="N47" s="48"/>
      <c r="O47" s="21">
        <v>0</v>
      </c>
      <c r="P47" t="s">
        <v>315</v>
      </c>
      <c r="R47" s="69">
        <v>5827.5</v>
      </c>
      <c r="S47" s="22">
        <v>29.93</v>
      </c>
      <c r="T47" s="22">
        <f>IF(R47&gt;=0,IF(AND(R47&gt;tabelas!$C$4,R47&lt;=tabelas!$C$5),(S47)*tabelas!$D$4,IF(AND(R47&gt;=tabelas!$C$5,R47&lt;=tabelas!$C$6),(S47)*tabelas!$D$5,IF(AND(R47&gt;=tabelas!$C$6,R47&lt;=tabelas!$C$7),(S47)*tabelas!$D$6,IF(AND(R47&gt;0,R47&gt;tabelas!$C$7),(S47)*tabelas!$D$7,0)))))</f>
        <v>25.4405</v>
      </c>
      <c r="U47" s="22"/>
      <c r="V47" s="49">
        <f t="shared" si="0"/>
        <v>4.4894999999999996</v>
      </c>
      <c r="W47" s="49"/>
      <c r="X47" s="49"/>
    </row>
    <row r="48" spans="2:24" ht="16.5" customHeight="1" x14ac:dyDescent="0.25">
      <c r="B48" s="43" t="s">
        <v>93</v>
      </c>
      <c r="C48" s="43">
        <v>44</v>
      </c>
      <c r="D48" s="68" t="s">
        <v>197</v>
      </c>
      <c r="E48" s="44">
        <v>34263</v>
      </c>
      <c r="F48" s="39" t="s">
        <v>47</v>
      </c>
      <c r="G48" s="39" t="s">
        <v>43</v>
      </c>
      <c r="H48" s="37"/>
      <c r="I48" s="39" t="s">
        <v>21</v>
      </c>
      <c r="J48" s="45">
        <v>44753</v>
      </c>
      <c r="K48" s="46"/>
      <c r="L48" s="39" t="s">
        <v>45</v>
      </c>
      <c r="M48" s="47">
        <v>29.93</v>
      </c>
      <c r="N48" s="48"/>
      <c r="O48" s="21">
        <v>0</v>
      </c>
      <c r="P48" t="s">
        <v>315</v>
      </c>
      <c r="R48" s="69">
        <v>5573.6</v>
      </c>
      <c r="S48" s="22">
        <v>29.93</v>
      </c>
      <c r="T48" s="22">
        <f>IF(R48&gt;=0,IF(AND(R48&gt;tabelas!$C$4,R48&lt;=tabelas!$C$5),(S48)*tabelas!$D$4,IF(AND(R48&gt;=tabelas!$C$5,R48&lt;=tabelas!$C$6),(S48)*tabelas!$D$5,IF(AND(R48&gt;=tabelas!$C$6,R48&lt;=tabelas!$C$7),(S48)*tabelas!$D$6,IF(AND(R48&gt;0,R48&gt;tabelas!$C$7),(S48)*tabelas!$D$7,0)))))</f>
        <v>25.4405</v>
      </c>
      <c r="U48" s="22"/>
      <c r="V48" s="49">
        <f t="shared" si="0"/>
        <v>4.4894999999999996</v>
      </c>
    </row>
    <row r="49" spans="2:26" ht="16.5" customHeight="1" x14ac:dyDescent="0.25">
      <c r="B49" s="43" t="s">
        <v>94</v>
      </c>
      <c r="C49" s="43">
        <v>45</v>
      </c>
      <c r="D49" s="68" t="s">
        <v>198</v>
      </c>
      <c r="E49" s="44">
        <v>44953</v>
      </c>
      <c r="F49" s="39" t="s">
        <v>42</v>
      </c>
      <c r="G49" s="39" t="s">
        <v>50</v>
      </c>
      <c r="H49" s="39" t="s">
        <v>51</v>
      </c>
      <c r="I49" s="39" t="s">
        <v>21</v>
      </c>
      <c r="J49" s="45">
        <v>44958</v>
      </c>
      <c r="K49" s="46"/>
      <c r="L49" s="39" t="s">
        <v>45</v>
      </c>
      <c r="M49" s="47">
        <v>29.93</v>
      </c>
      <c r="N49" s="48"/>
      <c r="O49" s="21">
        <v>0</v>
      </c>
      <c r="P49" t="s">
        <v>315</v>
      </c>
      <c r="R49" s="69">
        <v>2227.7800000000002</v>
      </c>
      <c r="S49" s="22">
        <v>29.93</v>
      </c>
      <c r="T49" s="22">
        <f>IF(R49&gt;=0,IF(AND(R49&gt;tabelas!$C$4,R49&lt;=tabelas!$C$5),(S49)*tabelas!$D$4,IF(AND(R49&gt;=tabelas!$C$5,R49&lt;=tabelas!$C$6),(S49)*tabelas!$D$5,IF(AND(R49&gt;=tabelas!$C$6,R49&lt;=tabelas!$C$7),(S49)*tabelas!$D$6,IF(AND(R49&gt;0,R49&gt;tabelas!$C$7),(S49)*tabelas!$D$7,0)))))</f>
        <v>27.834900000000001</v>
      </c>
      <c r="U49" s="22"/>
      <c r="V49" s="49">
        <f t="shared" si="0"/>
        <v>2.0950999999999986</v>
      </c>
    </row>
    <row r="50" spans="2:26" ht="16.5" customHeight="1" x14ac:dyDescent="0.25">
      <c r="B50" s="43" t="s">
        <v>95</v>
      </c>
      <c r="C50" s="43">
        <v>46</v>
      </c>
      <c r="D50" s="68" t="s">
        <v>199</v>
      </c>
      <c r="E50" s="44">
        <v>34554</v>
      </c>
      <c r="F50" s="39" t="s">
        <v>42</v>
      </c>
      <c r="G50" s="39" t="s">
        <v>43</v>
      </c>
      <c r="H50" s="39" t="s">
        <v>48</v>
      </c>
      <c r="I50" s="39" t="s">
        <v>21</v>
      </c>
      <c r="J50" s="45">
        <v>45593</v>
      </c>
      <c r="K50" s="46"/>
      <c r="L50" s="39" t="s">
        <v>45</v>
      </c>
      <c r="M50" s="47">
        <v>29.93</v>
      </c>
      <c r="N50" s="48"/>
      <c r="O50" s="21">
        <v>0</v>
      </c>
      <c r="P50" t="s">
        <v>315</v>
      </c>
      <c r="R50" s="69">
        <v>5025.1499999999996</v>
      </c>
      <c r="S50" s="22">
        <v>29.93</v>
      </c>
      <c r="T50" s="22">
        <f>IF(R50&gt;=0,IF(AND(R50&gt;tabelas!$C$4,R50&lt;=tabelas!$C$5),(S50)*tabelas!$D$4,IF(AND(R50&gt;=tabelas!$C$5,R50&lt;=tabelas!$C$6),(S50)*tabelas!$D$5,IF(AND(R50&gt;=tabelas!$C$6,R50&lt;=tabelas!$C$7),(S50)*tabelas!$D$6,IF(AND(R50&gt;0,R50&gt;tabelas!$C$7),(S50)*tabelas!$D$7,0)))))</f>
        <v>25.4405</v>
      </c>
      <c r="U50" s="22"/>
      <c r="V50" s="49">
        <f t="shared" si="0"/>
        <v>4.4894999999999996</v>
      </c>
    </row>
    <row r="51" spans="2:26" ht="16.5" customHeight="1" x14ac:dyDescent="0.25">
      <c r="B51" s="43" t="s">
        <v>96</v>
      </c>
      <c r="C51" s="43">
        <v>47</v>
      </c>
      <c r="D51" s="68" t="s">
        <v>200</v>
      </c>
      <c r="E51" s="44">
        <v>34059</v>
      </c>
      <c r="F51" s="39" t="s">
        <v>42</v>
      </c>
      <c r="G51" s="39" t="s">
        <v>50</v>
      </c>
      <c r="H51" s="37"/>
      <c r="I51" s="39" t="s">
        <v>21</v>
      </c>
      <c r="J51" s="45">
        <v>44753</v>
      </c>
      <c r="K51" s="46"/>
      <c r="L51" s="39" t="s">
        <v>45</v>
      </c>
      <c r="M51" s="47">
        <v>29.93</v>
      </c>
      <c r="N51" s="48"/>
      <c r="O51" s="21">
        <v>0</v>
      </c>
      <c r="P51" t="s">
        <v>315</v>
      </c>
      <c r="R51" s="69">
        <v>3766.22</v>
      </c>
      <c r="S51" s="22">
        <v>29.93</v>
      </c>
      <c r="T51" s="22">
        <f>IF(R51&gt;=0,IF(AND(R51&gt;tabelas!$C$4,R51&lt;=tabelas!$C$5),(S51)*tabelas!$D$4,IF(AND(R51&gt;=tabelas!$C$5,R51&lt;=tabelas!$C$6),(S51)*tabelas!$D$5,IF(AND(R51&gt;=tabelas!$C$6,R51&lt;=tabelas!$C$7),(S51)*tabelas!$D$6,IF(AND(R51&gt;0,R51&gt;tabelas!$C$7),(S51)*tabelas!$D$7,0)))))</f>
        <v>25.4405</v>
      </c>
      <c r="U51" s="22"/>
      <c r="V51" s="49">
        <f t="shared" si="0"/>
        <v>4.4894999999999996</v>
      </c>
    </row>
    <row r="52" spans="2:26" ht="16.5" customHeight="1" x14ac:dyDescent="0.25">
      <c r="B52" s="43" t="s">
        <v>97</v>
      </c>
      <c r="C52" s="43">
        <v>48</v>
      </c>
      <c r="D52" s="68" t="s">
        <v>201</v>
      </c>
      <c r="E52" s="44">
        <v>45524</v>
      </c>
      <c r="F52" s="39" t="s">
        <v>47</v>
      </c>
      <c r="G52" s="39" t="s">
        <v>50</v>
      </c>
      <c r="H52" s="39" t="s">
        <v>51</v>
      </c>
      <c r="I52" s="39" t="s">
        <v>21</v>
      </c>
      <c r="J52" s="45">
        <v>45530</v>
      </c>
      <c r="K52" s="46"/>
      <c r="L52" s="39" t="s">
        <v>45</v>
      </c>
      <c r="M52" s="47">
        <v>29.93</v>
      </c>
      <c r="N52" s="48"/>
      <c r="O52" s="21">
        <v>0</v>
      </c>
      <c r="P52" t="s">
        <v>315</v>
      </c>
      <c r="R52" s="69">
        <v>3669.92</v>
      </c>
      <c r="S52" s="22">
        <v>29.93</v>
      </c>
      <c r="T52" s="22">
        <f>IF(R52&gt;=0,IF(AND(R52&gt;tabelas!$C$4,R52&lt;=tabelas!$C$5),(S52)*tabelas!$D$4,IF(AND(R52&gt;=tabelas!$C$5,R52&lt;=tabelas!$C$6),(S52)*tabelas!$D$5,IF(AND(R52&gt;=tabelas!$C$6,R52&lt;=tabelas!$C$7),(S52)*tabelas!$D$6,IF(AND(R52&gt;0,R52&gt;tabelas!$C$7),(S52)*tabelas!$D$7,0)))))</f>
        <v>27.834900000000001</v>
      </c>
      <c r="U52" s="22"/>
      <c r="V52" s="49">
        <f t="shared" si="0"/>
        <v>2.0950999999999986</v>
      </c>
    </row>
    <row r="53" spans="2:26" ht="16.5" customHeight="1" x14ac:dyDescent="0.25">
      <c r="B53" s="43" t="s">
        <v>98</v>
      </c>
      <c r="C53" s="43">
        <v>49</v>
      </c>
      <c r="D53" s="68" t="s">
        <v>202</v>
      </c>
      <c r="E53" s="44">
        <v>34747</v>
      </c>
      <c r="F53" s="39" t="s">
        <v>42</v>
      </c>
      <c r="G53" s="39" t="s">
        <v>43</v>
      </c>
      <c r="H53" s="37"/>
      <c r="I53" s="39" t="s">
        <v>21</v>
      </c>
      <c r="J53" s="45">
        <v>44809</v>
      </c>
      <c r="K53" s="46"/>
      <c r="L53" s="39" t="s">
        <v>45</v>
      </c>
      <c r="M53" s="47">
        <v>29.93</v>
      </c>
      <c r="N53" s="48"/>
      <c r="O53" s="21">
        <v>0</v>
      </c>
      <c r="P53" t="s">
        <v>315</v>
      </c>
      <c r="R53" s="69">
        <v>7217.81</v>
      </c>
      <c r="S53" s="22">
        <v>29.93</v>
      </c>
      <c r="T53" s="22">
        <f>IF(R53&gt;=0,IF(AND(R53&gt;tabelas!$C$4,R53&lt;=tabelas!$C$5),(S53)*tabelas!$D$4,IF(AND(R53&gt;=tabelas!$C$5,R53&lt;=tabelas!$C$6),(S53)*tabelas!$D$5,IF(AND(R53&gt;=tabelas!$C$6,R53&lt;=tabelas!$C$7),(S53)*tabelas!$D$6,IF(AND(R53&gt;0,R53&gt;tabelas!$C$7),(S53)*tabelas!$D$7,0)))))</f>
        <v>25.4405</v>
      </c>
      <c r="U53" s="22"/>
      <c r="V53" s="49">
        <f t="shared" si="0"/>
        <v>4.4894999999999996</v>
      </c>
    </row>
    <row r="54" spans="2:26" ht="16.5" customHeight="1" x14ac:dyDescent="0.25">
      <c r="B54" s="43" t="s">
        <v>99</v>
      </c>
      <c r="C54" s="43">
        <v>50</v>
      </c>
      <c r="D54" s="68" t="s">
        <v>203</v>
      </c>
      <c r="E54" s="44">
        <v>35507</v>
      </c>
      <c r="F54" s="39" t="s">
        <v>47</v>
      </c>
      <c r="G54" s="39" t="s">
        <v>43</v>
      </c>
      <c r="H54" s="39" t="s">
        <v>48</v>
      </c>
      <c r="I54" s="39" t="s">
        <v>21</v>
      </c>
      <c r="J54" s="45">
        <v>44809</v>
      </c>
      <c r="K54" s="46"/>
      <c r="L54" s="39" t="s">
        <v>45</v>
      </c>
      <c r="M54" s="47">
        <v>29.93</v>
      </c>
      <c r="N54" s="48"/>
      <c r="O54" s="21">
        <v>0</v>
      </c>
      <c r="P54" t="s">
        <v>315</v>
      </c>
      <c r="R54" s="69">
        <v>6518.86</v>
      </c>
      <c r="S54" s="22">
        <v>29.93</v>
      </c>
      <c r="T54" s="22">
        <f>IF(R54&gt;=0,IF(AND(R54&gt;tabelas!$C$4,R54&lt;=tabelas!$C$5),(S54)*tabelas!$D$4,IF(AND(R54&gt;=tabelas!$C$5,R54&lt;=tabelas!$C$6),(S54)*tabelas!$D$5,IF(AND(R54&gt;=tabelas!$C$6,R54&lt;=tabelas!$C$7),(S54)*tabelas!$D$6,IF(AND(R54&gt;0,R54&gt;tabelas!$C$7),(S54)*tabelas!$D$7,0)))))</f>
        <v>25.4405</v>
      </c>
      <c r="U54" s="22"/>
      <c r="V54" s="49">
        <f t="shared" si="0"/>
        <v>4.4894999999999996</v>
      </c>
    </row>
    <row r="55" spans="2:26" ht="16.5" customHeight="1" x14ac:dyDescent="0.25">
      <c r="B55" s="43" t="s">
        <v>100</v>
      </c>
      <c r="C55" s="43">
        <v>51</v>
      </c>
      <c r="D55" s="68" t="s">
        <v>204</v>
      </c>
      <c r="E55" s="44">
        <v>44930</v>
      </c>
      <c r="F55" s="39" t="s">
        <v>42</v>
      </c>
      <c r="G55" s="39" t="s">
        <v>50</v>
      </c>
      <c r="H55" s="39" t="s">
        <v>51</v>
      </c>
      <c r="I55" s="39" t="s">
        <v>21</v>
      </c>
      <c r="J55" s="45">
        <v>44931</v>
      </c>
      <c r="K55" s="46"/>
      <c r="L55" s="39" t="s">
        <v>45</v>
      </c>
      <c r="M55" s="47">
        <v>29.93</v>
      </c>
      <c r="N55" s="48"/>
      <c r="O55" s="21">
        <v>0</v>
      </c>
      <c r="P55" t="s">
        <v>315</v>
      </c>
      <c r="R55" s="69">
        <v>4675.07</v>
      </c>
      <c r="S55" s="22">
        <v>29.93</v>
      </c>
      <c r="T55" s="22">
        <f>IF(R55&gt;=0,IF(AND(R55&gt;tabelas!$C$4,R55&lt;=tabelas!$C$5),(S55)*tabelas!$D$4,IF(AND(R55&gt;=tabelas!$C$5,R55&lt;=tabelas!$C$6),(S55)*tabelas!$D$5,IF(AND(R55&gt;=tabelas!$C$6,R55&lt;=tabelas!$C$7),(S55)*tabelas!$D$6,IF(AND(R55&gt;0,R55&gt;tabelas!$C$7),(S55)*tabelas!$D$7,0)))))</f>
        <v>25.4405</v>
      </c>
      <c r="U55" s="22"/>
      <c r="V55" s="49">
        <f t="shared" si="0"/>
        <v>4.4894999999999996</v>
      </c>
    </row>
    <row r="56" spans="2:26" ht="16.5" customHeight="1" x14ac:dyDescent="0.25">
      <c r="B56" s="43" t="s">
        <v>101</v>
      </c>
      <c r="C56" s="43">
        <v>52</v>
      </c>
      <c r="D56" s="68" t="s">
        <v>205</v>
      </c>
      <c r="E56" s="44">
        <v>30970</v>
      </c>
      <c r="F56" s="39" t="s">
        <v>42</v>
      </c>
      <c r="G56" s="39" t="s">
        <v>43</v>
      </c>
      <c r="H56" s="37"/>
      <c r="I56" s="39" t="s">
        <v>44</v>
      </c>
      <c r="J56" s="45">
        <v>44823</v>
      </c>
      <c r="K56" s="46"/>
      <c r="L56" s="39" t="s">
        <v>45</v>
      </c>
      <c r="M56" s="47">
        <v>29.93</v>
      </c>
      <c r="N56" s="48"/>
      <c r="O56" s="21">
        <v>0</v>
      </c>
      <c r="P56" t="s">
        <v>315</v>
      </c>
      <c r="R56" s="69">
        <v>6269.27</v>
      </c>
      <c r="S56" s="22">
        <v>29.93</v>
      </c>
      <c r="T56" s="22">
        <f>IF(R56&gt;=0,IF(AND(R56&gt;tabelas!$C$4,R56&lt;=tabelas!$C$5),(S56)*tabelas!$D$4,IF(AND(R56&gt;=tabelas!$C$5,R56&lt;=tabelas!$C$6),(S56)*tabelas!$D$5,IF(AND(R56&gt;=tabelas!$C$6,R56&lt;=tabelas!$C$7),(S56)*tabelas!$D$6,IF(AND(R56&gt;0,R56&gt;tabelas!$C$7),(S56)*tabelas!$D$7,0)))))</f>
        <v>25.4405</v>
      </c>
      <c r="U56" s="22"/>
      <c r="V56" s="49">
        <f t="shared" si="0"/>
        <v>4.4894999999999996</v>
      </c>
    </row>
    <row r="57" spans="2:26" ht="16.5" customHeight="1" x14ac:dyDescent="0.25">
      <c r="B57" s="43" t="s">
        <v>102</v>
      </c>
      <c r="C57" s="43">
        <v>53</v>
      </c>
      <c r="D57" s="68" t="s">
        <v>206</v>
      </c>
      <c r="E57" s="44">
        <v>29483</v>
      </c>
      <c r="F57" s="39" t="s">
        <v>47</v>
      </c>
      <c r="G57" s="39" t="s">
        <v>43</v>
      </c>
      <c r="H57" s="39" t="s">
        <v>48</v>
      </c>
      <c r="I57" s="39" t="s">
        <v>44</v>
      </c>
      <c r="J57" s="45">
        <v>44823</v>
      </c>
      <c r="K57" s="46"/>
      <c r="L57" s="39" t="s">
        <v>45</v>
      </c>
      <c r="M57" s="47">
        <v>29.93</v>
      </c>
      <c r="N57" s="48"/>
      <c r="O57" s="21">
        <v>0</v>
      </c>
      <c r="P57" t="s">
        <v>315</v>
      </c>
      <c r="R57" s="69">
        <v>6723.45</v>
      </c>
      <c r="S57" s="22">
        <v>29.93</v>
      </c>
      <c r="T57" s="22">
        <f>IF(R57&gt;=0,IF(AND(R57&gt;tabelas!$C$4,R57&lt;=tabelas!$C$5),(S57)*tabelas!$D$4,IF(AND(R57&gt;=tabelas!$C$5,R57&lt;=tabelas!$C$6),(S57)*tabelas!$D$5,IF(AND(R57&gt;=tabelas!$C$6,R57&lt;=tabelas!$C$7),(S57)*tabelas!$D$6,IF(AND(R57&gt;0,R57&gt;tabelas!$C$7),(S57)*tabelas!$D$7,0)))))</f>
        <v>25.4405</v>
      </c>
      <c r="U57" s="22"/>
      <c r="V57" s="49">
        <f t="shared" si="0"/>
        <v>4.4894999999999996</v>
      </c>
    </row>
    <row r="58" spans="2:26" ht="16.5" customHeight="1" x14ac:dyDescent="0.25">
      <c r="B58" s="43" t="s">
        <v>103</v>
      </c>
      <c r="C58" s="43">
        <v>54</v>
      </c>
      <c r="D58" s="68" t="s">
        <v>207</v>
      </c>
      <c r="E58" s="44">
        <v>36336</v>
      </c>
      <c r="F58" s="39" t="s">
        <v>47</v>
      </c>
      <c r="G58" s="39" t="s">
        <v>50</v>
      </c>
      <c r="H58" s="37"/>
      <c r="I58" s="39" t="s">
        <v>44</v>
      </c>
      <c r="J58" s="45">
        <v>44874</v>
      </c>
      <c r="K58" s="46"/>
      <c r="L58" s="39" t="s">
        <v>45</v>
      </c>
      <c r="M58" s="47">
        <v>29.93</v>
      </c>
      <c r="N58" s="48"/>
      <c r="O58" s="21">
        <v>0</v>
      </c>
      <c r="P58" t="s">
        <v>315</v>
      </c>
      <c r="R58" s="69">
        <v>3462.92</v>
      </c>
      <c r="S58" s="22">
        <v>29.93</v>
      </c>
      <c r="T58" s="22">
        <f>IF(R58&gt;=0,IF(AND(R58&gt;tabelas!$C$4,R58&lt;=tabelas!$C$5),(S58)*tabelas!$D$4,IF(AND(R58&gt;=tabelas!$C$5,R58&lt;=tabelas!$C$6),(S58)*tabelas!$D$5,IF(AND(R58&gt;=tabelas!$C$6,R58&lt;=tabelas!$C$7),(S58)*tabelas!$D$6,IF(AND(R58&gt;0,R58&gt;tabelas!$C$7),(S58)*tabelas!$D$7,0)))))</f>
        <v>27.834900000000001</v>
      </c>
      <c r="U58" s="22"/>
      <c r="V58" s="49">
        <f t="shared" si="0"/>
        <v>2.0950999999999986</v>
      </c>
    </row>
    <row r="59" spans="2:26" ht="24" x14ac:dyDescent="0.25">
      <c r="B59" s="43" t="s">
        <v>104</v>
      </c>
      <c r="C59" s="43">
        <v>55</v>
      </c>
      <c r="D59" s="68" t="s">
        <v>208</v>
      </c>
      <c r="E59" s="44">
        <v>33725</v>
      </c>
      <c r="F59" s="39" t="s">
        <v>42</v>
      </c>
      <c r="G59" s="39" t="s">
        <v>50</v>
      </c>
      <c r="H59" s="37"/>
      <c r="I59" s="39" t="s">
        <v>21</v>
      </c>
      <c r="J59" s="45">
        <v>44886</v>
      </c>
      <c r="K59" s="46"/>
      <c r="L59" s="39" t="s">
        <v>45</v>
      </c>
      <c r="M59" s="47">
        <v>29.93</v>
      </c>
      <c r="N59" s="48"/>
      <c r="O59" s="21">
        <v>0</v>
      </c>
      <c r="P59" t="s">
        <v>315</v>
      </c>
      <c r="R59" s="69">
        <v>7447.56</v>
      </c>
      <c r="S59" s="22">
        <v>29.93</v>
      </c>
      <c r="T59" s="22">
        <f>IF(R59&gt;=0,IF(AND(R59&gt;tabelas!$C$4,R59&lt;=tabelas!$C$5),(S59)*tabelas!$D$4,IF(AND(R59&gt;=tabelas!$C$5,R59&lt;=tabelas!$C$6),(S59)*tabelas!$D$5,IF(AND(R59&gt;=tabelas!$C$6,R59&lt;=tabelas!$C$7),(S59)*tabelas!$D$6,IF(AND(R59&gt;0,R59&gt;tabelas!$C$7),(S59)*tabelas!$D$7,0)))))</f>
        <v>23.046099999999999</v>
      </c>
      <c r="U59" s="22"/>
      <c r="V59" s="49">
        <f t="shared" si="0"/>
        <v>6.8839000000000006</v>
      </c>
    </row>
    <row r="60" spans="2:26" ht="16.5" customHeight="1" x14ac:dyDescent="0.25">
      <c r="B60" s="43" t="s">
        <v>105</v>
      </c>
      <c r="C60" s="43">
        <v>56</v>
      </c>
      <c r="D60" s="68" t="s">
        <v>209</v>
      </c>
      <c r="E60" s="44">
        <v>35119</v>
      </c>
      <c r="F60" s="39" t="s">
        <v>42</v>
      </c>
      <c r="G60" s="39" t="s">
        <v>50</v>
      </c>
      <c r="H60" s="37"/>
      <c r="I60" s="39" t="s">
        <v>21</v>
      </c>
      <c r="J60" s="45">
        <v>44900</v>
      </c>
      <c r="K60" s="46"/>
      <c r="L60" s="39" t="s">
        <v>45</v>
      </c>
      <c r="M60" s="47">
        <v>29.93</v>
      </c>
      <c r="N60" s="48"/>
      <c r="O60" s="21">
        <v>0</v>
      </c>
      <c r="P60" t="s">
        <v>315</v>
      </c>
      <c r="R60" s="69">
        <v>4094.2</v>
      </c>
      <c r="S60" s="22">
        <v>29.93</v>
      </c>
      <c r="T60" s="22">
        <f>IF(R60&gt;=0,IF(AND(R60&gt;tabelas!$C$4,R60&lt;=tabelas!$C$5),(S60)*tabelas!$D$4,IF(AND(R60&gt;=tabelas!$C$5,R60&lt;=tabelas!$C$6),(S60)*tabelas!$D$5,IF(AND(R60&gt;=tabelas!$C$6,R60&lt;=tabelas!$C$7),(S60)*tabelas!$D$6,IF(AND(R60&gt;0,R60&gt;tabelas!$C$7),(S60)*tabelas!$D$7,0)))))</f>
        <v>25.4405</v>
      </c>
      <c r="U60" s="22"/>
      <c r="V60" s="49">
        <f t="shared" si="0"/>
        <v>4.4894999999999996</v>
      </c>
    </row>
    <row r="61" spans="2:26" ht="16.5" customHeight="1" x14ac:dyDescent="0.25">
      <c r="B61" s="43" t="s">
        <v>106</v>
      </c>
      <c r="C61" s="43">
        <v>57</v>
      </c>
      <c r="D61" s="68" t="s">
        <v>210</v>
      </c>
      <c r="E61" s="44">
        <v>36192</v>
      </c>
      <c r="F61" s="39" t="s">
        <v>47</v>
      </c>
      <c r="G61" s="39" t="s">
        <v>43</v>
      </c>
      <c r="H61" s="39" t="s">
        <v>48</v>
      </c>
      <c r="I61" s="39" t="s">
        <v>21</v>
      </c>
      <c r="J61" s="45">
        <v>45852</v>
      </c>
      <c r="K61" s="46"/>
      <c r="L61" s="39" t="s">
        <v>45</v>
      </c>
      <c r="M61" s="47">
        <v>29.93</v>
      </c>
      <c r="N61" s="48"/>
      <c r="O61" s="21">
        <v>0</v>
      </c>
      <c r="P61" t="s">
        <v>315</v>
      </c>
      <c r="R61" s="69">
        <v>5605.7</v>
      </c>
      <c r="S61" s="22">
        <v>29.93</v>
      </c>
      <c r="T61" s="22">
        <f>IF(R61&gt;=0,IF(AND(R61&gt;tabelas!$C$4,R61&lt;=tabelas!$C$5),(S61)*tabelas!$D$4,IF(AND(R61&gt;=tabelas!$C$5,R61&lt;=tabelas!$C$6),(S61)*tabelas!$D$5,IF(AND(R61&gt;=tabelas!$C$6,R61&lt;=tabelas!$C$7),(S61)*tabelas!$D$6,IF(AND(R61&gt;0,R61&gt;tabelas!$C$7),(S61)*tabelas!$D$7,0)))))</f>
        <v>25.4405</v>
      </c>
      <c r="U61" s="22"/>
      <c r="V61" s="49">
        <f t="shared" si="0"/>
        <v>4.4894999999999996</v>
      </c>
      <c r="W61" s="51"/>
      <c r="X61" s="51"/>
      <c r="Z61" s="49"/>
    </row>
    <row r="62" spans="2:26" ht="16.5" customHeight="1" x14ac:dyDescent="0.25">
      <c r="B62" s="43" t="s">
        <v>107</v>
      </c>
      <c r="C62" s="43">
        <v>58</v>
      </c>
      <c r="D62" s="68" t="s">
        <v>211</v>
      </c>
      <c r="E62" s="44">
        <v>45888</v>
      </c>
      <c r="F62" s="39" t="s">
        <v>47</v>
      </c>
      <c r="G62" s="39" t="s">
        <v>50</v>
      </c>
      <c r="H62" s="39" t="s">
        <v>51</v>
      </c>
      <c r="I62" s="39" t="s">
        <v>21</v>
      </c>
      <c r="J62" s="45">
        <v>45894</v>
      </c>
      <c r="K62" s="46"/>
      <c r="L62" s="39" t="s">
        <v>45</v>
      </c>
      <c r="M62" s="47">
        <v>29.93</v>
      </c>
      <c r="N62" s="48"/>
      <c r="O62" s="21">
        <v>0</v>
      </c>
      <c r="P62" t="s">
        <v>315</v>
      </c>
      <c r="R62" s="69">
        <v>5774.88</v>
      </c>
      <c r="S62" s="22">
        <v>29.93</v>
      </c>
      <c r="T62" s="22">
        <f>IF(R62&gt;=0,IF(AND(R62&gt;tabelas!$C$4,R62&lt;=tabelas!$C$5),(S62)*tabelas!$D$4,IF(AND(R62&gt;=tabelas!$C$5,R62&lt;=tabelas!$C$6),(S62)*tabelas!$D$5,IF(AND(R62&gt;=tabelas!$C$6,R62&lt;=tabelas!$C$7),(S62)*tabelas!$D$6,IF(AND(R62&gt;0,R62&gt;tabelas!$C$7),(S62)*tabelas!$D$7,0)))))</f>
        <v>25.4405</v>
      </c>
      <c r="U62" s="22"/>
      <c r="V62" s="49">
        <f t="shared" si="0"/>
        <v>4.4894999999999996</v>
      </c>
      <c r="W62" s="51"/>
      <c r="X62" s="51"/>
      <c r="Z62" s="51"/>
    </row>
    <row r="63" spans="2:26" ht="16.5" customHeight="1" x14ac:dyDescent="0.25">
      <c r="B63" s="43" t="s">
        <v>108</v>
      </c>
      <c r="C63" s="43">
        <v>59</v>
      </c>
      <c r="D63" s="68" t="s">
        <v>212</v>
      </c>
      <c r="E63" s="44">
        <v>28077</v>
      </c>
      <c r="F63" s="39" t="s">
        <v>42</v>
      </c>
      <c r="G63" s="39" t="s">
        <v>50</v>
      </c>
      <c r="H63" s="37"/>
      <c r="I63" s="39" t="s">
        <v>44</v>
      </c>
      <c r="J63" s="45">
        <v>44908</v>
      </c>
      <c r="K63" s="46"/>
      <c r="L63" s="39" t="s">
        <v>45</v>
      </c>
      <c r="M63" s="47">
        <v>29.93</v>
      </c>
      <c r="N63" s="48"/>
      <c r="O63" s="21">
        <v>0</v>
      </c>
      <c r="P63" t="s">
        <v>315</v>
      </c>
      <c r="R63" s="69">
        <v>3649.51</v>
      </c>
      <c r="S63" s="22">
        <v>29.93</v>
      </c>
      <c r="T63" s="22">
        <f>IF(R63&gt;=0,IF(AND(R63&gt;tabelas!$C$4,R63&lt;=tabelas!$C$5),(S63)*tabelas!$D$4,IF(AND(R63&gt;=tabelas!$C$5,R63&lt;=tabelas!$C$6),(S63)*tabelas!$D$5,IF(AND(R63&gt;=tabelas!$C$6,R63&lt;=tabelas!$C$7),(S63)*tabelas!$D$6,IF(AND(R63&gt;0,R63&gt;tabelas!$C$7),(S63)*tabelas!$D$7,0)))))</f>
        <v>27.834900000000001</v>
      </c>
      <c r="U63" s="22"/>
      <c r="V63" s="49">
        <f t="shared" si="0"/>
        <v>2.0950999999999986</v>
      </c>
      <c r="W63" s="49"/>
      <c r="X63" s="49"/>
    </row>
    <row r="64" spans="2:26" ht="16.5" customHeight="1" x14ac:dyDescent="0.25">
      <c r="B64" s="43" t="s">
        <v>109</v>
      </c>
      <c r="C64" s="43">
        <v>60</v>
      </c>
      <c r="D64" s="68" t="s">
        <v>213</v>
      </c>
      <c r="E64" s="44">
        <v>34529</v>
      </c>
      <c r="F64" s="39" t="s">
        <v>42</v>
      </c>
      <c r="G64" s="39" t="s">
        <v>50</v>
      </c>
      <c r="H64" s="37"/>
      <c r="I64" s="39" t="s">
        <v>44</v>
      </c>
      <c r="J64" s="45">
        <v>44929</v>
      </c>
      <c r="K64" s="46"/>
      <c r="L64" s="39" t="s">
        <v>45</v>
      </c>
      <c r="M64" s="47">
        <v>29.93</v>
      </c>
      <c r="N64" s="48"/>
      <c r="O64" s="21">
        <v>0</v>
      </c>
      <c r="P64" t="s">
        <v>315</v>
      </c>
      <c r="R64" s="69">
        <v>2670.46</v>
      </c>
      <c r="S64" s="22">
        <v>29.93</v>
      </c>
      <c r="T64" s="22">
        <f>IF(R64&gt;=0,IF(AND(R64&gt;tabelas!$C$4,R64&lt;=tabelas!$C$5),(S64)*tabelas!$D$4,IF(AND(R64&gt;=tabelas!$C$5,R64&lt;=tabelas!$C$6),(S64)*tabelas!$D$5,IF(AND(R64&gt;=tabelas!$C$6,R64&lt;=tabelas!$C$7),(S64)*tabelas!$D$6,IF(AND(R64&gt;0,R64&gt;tabelas!$C$7),(S64)*tabelas!$D$7,0)))))</f>
        <v>27.834900000000001</v>
      </c>
      <c r="U64" s="22"/>
      <c r="V64" s="49">
        <f t="shared" si="0"/>
        <v>2.0950999999999986</v>
      </c>
      <c r="W64" s="51"/>
      <c r="X64" s="51"/>
    </row>
    <row r="65" spans="2:24" ht="24.75" customHeight="1" x14ac:dyDescent="0.25">
      <c r="B65" s="43" t="s">
        <v>110</v>
      </c>
      <c r="C65" s="43">
        <v>61</v>
      </c>
      <c r="D65" s="68" t="s">
        <v>214</v>
      </c>
      <c r="E65" s="44">
        <v>31715</v>
      </c>
      <c r="F65" s="39" t="s">
        <v>42</v>
      </c>
      <c r="G65" s="39" t="s">
        <v>43</v>
      </c>
      <c r="H65" s="37"/>
      <c r="I65" s="39" t="s">
        <v>21</v>
      </c>
      <c r="J65" s="45">
        <v>44942</v>
      </c>
      <c r="K65" s="46"/>
      <c r="L65" s="39" t="s">
        <v>45</v>
      </c>
      <c r="M65" s="47">
        <v>29.93</v>
      </c>
      <c r="N65" s="48"/>
      <c r="O65" s="21">
        <v>0</v>
      </c>
      <c r="P65" t="s">
        <v>315</v>
      </c>
      <c r="R65" s="69">
        <v>5891.99</v>
      </c>
      <c r="S65" s="22">
        <v>29.93</v>
      </c>
      <c r="T65" s="22">
        <f>IF(R65&gt;=0,IF(AND(R65&gt;tabelas!$C$4,R65&lt;=tabelas!$C$5),(S65)*tabelas!$D$4,IF(AND(R65&gt;=tabelas!$C$5,R65&lt;=tabelas!$C$6),(S65)*tabelas!$D$5,IF(AND(R65&gt;=tabelas!$C$6,R65&lt;=tabelas!$C$7),(S65)*tabelas!$D$6,IF(AND(R65&gt;0,R65&gt;tabelas!$C$7),(S65)*tabelas!$D$7,0)))))</f>
        <v>25.4405</v>
      </c>
      <c r="U65" s="22"/>
      <c r="V65" s="49">
        <f t="shared" si="0"/>
        <v>4.4894999999999996</v>
      </c>
      <c r="W65" s="49"/>
      <c r="X65" s="49"/>
    </row>
    <row r="66" spans="2:24" ht="16.5" customHeight="1" x14ac:dyDescent="0.25">
      <c r="B66" s="43" t="s">
        <v>111</v>
      </c>
      <c r="C66" s="43">
        <v>62</v>
      </c>
      <c r="D66" s="68" t="s">
        <v>215</v>
      </c>
      <c r="E66" s="44">
        <v>31867</v>
      </c>
      <c r="F66" s="39" t="s">
        <v>47</v>
      </c>
      <c r="G66" s="39" t="s">
        <v>43</v>
      </c>
      <c r="H66" s="39" t="s">
        <v>48</v>
      </c>
      <c r="I66" s="39" t="s">
        <v>21</v>
      </c>
      <c r="J66" s="45">
        <v>44942</v>
      </c>
      <c r="K66" s="46"/>
      <c r="L66" s="39" t="s">
        <v>45</v>
      </c>
      <c r="M66" s="47">
        <v>29.93</v>
      </c>
      <c r="N66" s="58"/>
      <c r="O66" s="21">
        <v>0</v>
      </c>
      <c r="P66" t="s">
        <v>315</v>
      </c>
      <c r="R66" s="69">
        <v>6019.03</v>
      </c>
      <c r="S66" s="22">
        <v>29.93</v>
      </c>
      <c r="T66" s="22">
        <f>IF(R66&gt;=0,IF(AND(R66&gt;tabelas!$C$4,R66&lt;=tabelas!$C$5),(S66)*tabelas!$D$4,IF(AND(R66&gt;=tabelas!$C$5,R66&lt;=tabelas!$C$6),(S66)*tabelas!$D$5,IF(AND(R66&gt;=tabelas!$C$6,R66&lt;=tabelas!$C$7),(S66)*tabelas!$D$6,IF(AND(R66&gt;0,R66&gt;tabelas!$C$7),(S66)*tabelas!$D$7,0)))))</f>
        <v>25.4405</v>
      </c>
      <c r="U66" s="22"/>
      <c r="V66" s="49">
        <f t="shared" si="0"/>
        <v>4.4894999999999996</v>
      </c>
    </row>
    <row r="67" spans="2:24" ht="24" x14ac:dyDescent="0.25">
      <c r="B67" s="59" t="s">
        <v>112</v>
      </c>
      <c r="C67" s="43">
        <v>63</v>
      </c>
      <c r="D67" s="68" t="s">
        <v>216</v>
      </c>
      <c r="E67" s="44">
        <v>33409</v>
      </c>
      <c r="F67" s="39" t="s">
        <v>42</v>
      </c>
      <c r="G67" s="39" t="s">
        <v>50</v>
      </c>
      <c r="H67" s="37"/>
      <c r="I67" s="39" t="s">
        <v>21</v>
      </c>
      <c r="J67" s="45">
        <v>45019</v>
      </c>
      <c r="K67" s="46"/>
      <c r="L67" s="39" t="s">
        <v>45</v>
      </c>
      <c r="M67" s="47">
        <v>29.93</v>
      </c>
      <c r="N67" s="60"/>
      <c r="O67" s="21">
        <v>0</v>
      </c>
      <c r="P67" t="s">
        <v>315</v>
      </c>
      <c r="R67" s="69">
        <v>2383.2600000000002</v>
      </c>
      <c r="S67" s="22">
        <v>29.93</v>
      </c>
      <c r="T67" s="22">
        <f>IF(R67&gt;=0,IF(AND(R67&gt;tabelas!$C$4,R67&lt;=tabelas!$C$5),(S67)*tabelas!$D$4,IF(AND(R67&gt;=tabelas!$C$5,R67&lt;=tabelas!$C$6),(S67)*tabelas!$D$5,IF(AND(R67&gt;=tabelas!$C$6,R67&lt;=tabelas!$C$7),(S67)*tabelas!$D$6,IF(AND(R67&gt;0,R67&gt;tabelas!$C$7),(S67)*tabelas!$D$7,0)))))</f>
        <v>27.834900000000001</v>
      </c>
      <c r="U67" s="22"/>
      <c r="V67" s="49">
        <f t="shared" si="0"/>
        <v>2.0950999999999986</v>
      </c>
    </row>
    <row r="68" spans="2:24" ht="16.5" customHeight="1" x14ac:dyDescent="0.25">
      <c r="B68" s="43" t="s">
        <v>113</v>
      </c>
      <c r="C68" s="43">
        <v>64</v>
      </c>
      <c r="D68" s="68" t="s">
        <v>217</v>
      </c>
      <c r="E68" s="44">
        <v>33470</v>
      </c>
      <c r="F68" s="39" t="s">
        <v>42</v>
      </c>
      <c r="G68" s="39" t="s">
        <v>43</v>
      </c>
      <c r="H68" s="37"/>
      <c r="I68" s="39" t="s">
        <v>21</v>
      </c>
      <c r="J68" s="45">
        <v>45026</v>
      </c>
      <c r="K68" s="46"/>
      <c r="L68" s="39" t="s">
        <v>45</v>
      </c>
      <c r="M68" s="47">
        <v>29.93</v>
      </c>
      <c r="N68" s="48"/>
      <c r="O68" s="21">
        <v>0</v>
      </c>
      <c r="P68" t="s">
        <v>315</v>
      </c>
      <c r="R68" s="69">
        <v>1600.57</v>
      </c>
      <c r="S68" s="22">
        <v>29.93</v>
      </c>
      <c r="T68" s="22">
        <f>IF(R68&gt;=0,IF(AND(R68&gt;tabelas!$C$4,R68&lt;=tabelas!$C$5),(S68)*tabelas!$D$4,IF(AND(R68&gt;=tabelas!$C$5,R68&lt;=tabelas!$C$6),(S68)*tabelas!$D$5,IF(AND(R68&gt;=tabelas!$C$6,R68&lt;=tabelas!$C$7),(S68)*tabelas!$D$6,IF(AND(R68&gt;0,R68&gt;tabelas!$C$7),(S68)*tabelas!$D$7,0)))))</f>
        <v>27.834900000000001</v>
      </c>
      <c r="U68" s="22"/>
      <c r="V68" s="49">
        <f t="shared" si="0"/>
        <v>2.0950999999999986</v>
      </c>
    </row>
    <row r="69" spans="2:24" ht="16.5" customHeight="1" x14ac:dyDescent="0.25">
      <c r="B69" s="43" t="s">
        <v>114</v>
      </c>
      <c r="C69" s="43">
        <v>65</v>
      </c>
      <c r="D69" s="68" t="s">
        <v>218</v>
      </c>
      <c r="E69" s="44">
        <v>33949</v>
      </c>
      <c r="F69" s="39" t="s">
        <v>47</v>
      </c>
      <c r="G69" s="39" t="s">
        <v>43</v>
      </c>
      <c r="H69" s="39" t="s">
        <v>48</v>
      </c>
      <c r="I69" s="39" t="s">
        <v>21</v>
      </c>
      <c r="J69" s="45">
        <v>45026</v>
      </c>
      <c r="K69" s="46"/>
      <c r="L69" s="39" t="s">
        <v>45</v>
      </c>
      <c r="M69" s="47">
        <v>29.93</v>
      </c>
      <c r="N69" s="48"/>
      <c r="O69" s="21">
        <v>0</v>
      </c>
      <c r="P69" t="s">
        <v>315</v>
      </c>
      <c r="R69" s="69">
        <v>3062.71</v>
      </c>
      <c r="S69" s="22">
        <v>29.93</v>
      </c>
      <c r="T69" s="22">
        <f>IF(R69&gt;=0,IF(AND(R69&gt;tabelas!$C$4,R69&lt;=tabelas!$C$5),(S69)*tabelas!$D$4,IF(AND(R69&gt;=tabelas!$C$5,R69&lt;=tabelas!$C$6),(S69)*tabelas!$D$5,IF(AND(R69&gt;=tabelas!$C$6,R69&lt;=tabelas!$C$7),(S69)*tabelas!$D$6,IF(AND(R69&gt;0,R69&gt;tabelas!$C$7),(S69)*tabelas!$D$7,0)))))</f>
        <v>27.834900000000001</v>
      </c>
      <c r="U69" s="22"/>
      <c r="V69" s="49">
        <f t="shared" si="0"/>
        <v>2.0950999999999986</v>
      </c>
    </row>
    <row r="70" spans="2:24" ht="16.5" customHeight="1" x14ac:dyDescent="0.25">
      <c r="B70" s="43" t="s">
        <v>115</v>
      </c>
      <c r="C70" s="43">
        <v>66</v>
      </c>
      <c r="D70" s="68" t="s">
        <v>219</v>
      </c>
      <c r="E70" s="44">
        <v>43960</v>
      </c>
      <c r="F70" s="39" t="s">
        <v>42</v>
      </c>
      <c r="G70" s="39" t="s">
        <v>50</v>
      </c>
      <c r="H70" s="39" t="s">
        <v>51</v>
      </c>
      <c r="I70" s="39" t="s">
        <v>21</v>
      </c>
      <c r="J70" s="45">
        <v>45026</v>
      </c>
      <c r="K70" s="46"/>
      <c r="L70" s="39" t="s">
        <v>45</v>
      </c>
      <c r="M70" s="47">
        <v>29.93</v>
      </c>
      <c r="N70" s="48"/>
      <c r="O70" s="21">
        <v>0</v>
      </c>
      <c r="P70" t="s">
        <v>315</v>
      </c>
      <c r="R70" s="69">
        <v>2449.5500000000002</v>
      </c>
      <c r="S70" s="22">
        <v>29.93</v>
      </c>
      <c r="T70" s="22">
        <f>IF(R70&gt;=0,IF(AND(R70&gt;tabelas!$C$4,R70&lt;=tabelas!$C$5),(S70)*tabelas!$D$4,IF(AND(R70&gt;=tabelas!$C$5,R70&lt;=tabelas!$C$6),(S70)*tabelas!$D$5,IF(AND(R70&gt;=tabelas!$C$6,R70&lt;=tabelas!$C$7),(S70)*tabelas!$D$6,IF(AND(R70&gt;0,R70&gt;tabelas!$C$7),(S70)*tabelas!$D$7,0)))))</f>
        <v>27.834900000000001</v>
      </c>
      <c r="U70" s="22"/>
      <c r="V70" s="49">
        <f t="shared" ref="V70:V133" si="1">M70-T70</f>
        <v>2.0950999999999986</v>
      </c>
    </row>
    <row r="71" spans="2:24" ht="24" x14ac:dyDescent="0.25">
      <c r="B71" s="43" t="s">
        <v>116</v>
      </c>
      <c r="C71" s="43">
        <v>67</v>
      </c>
      <c r="D71" s="68" t="s">
        <v>220</v>
      </c>
      <c r="E71" s="44">
        <v>26089</v>
      </c>
      <c r="F71" s="39" t="s">
        <v>42</v>
      </c>
      <c r="G71" s="39" t="s">
        <v>43</v>
      </c>
      <c r="H71" s="37"/>
      <c r="I71" s="39" t="s">
        <v>21</v>
      </c>
      <c r="J71" s="45">
        <v>45103</v>
      </c>
      <c r="K71" s="46"/>
      <c r="L71" s="39" t="s">
        <v>45</v>
      </c>
      <c r="M71" s="47">
        <v>29.93</v>
      </c>
      <c r="N71" s="48"/>
      <c r="O71" s="21">
        <v>0</v>
      </c>
      <c r="P71" t="s">
        <v>315</v>
      </c>
      <c r="R71" s="69">
        <v>5577.96</v>
      </c>
      <c r="S71" s="22">
        <v>29.93</v>
      </c>
      <c r="T71" s="22">
        <f>IF(R71&gt;=0,IF(AND(R71&gt;tabelas!$C$4,R71&lt;=tabelas!$C$5),(S71)*tabelas!$D$4,IF(AND(R71&gt;=tabelas!$C$5,R71&lt;=tabelas!$C$6),(S71)*tabelas!$D$5,IF(AND(R71&gt;=tabelas!$C$6,R71&lt;=tabelas!$C$7),(S71)*tabelas!$D$6,IF(AND(R71&gt;0,R71&gt;tabelas!$C$7),(S71)*tabelas!$D$7,0)))))</f>
        <v>25.4405</v>
      </c>
      <c r="U71" s="22"/>
      <c r="V71" s="49">
        <f t="shared" si="1"/>
        <v>4.4894999999999996</v>
      </c>
    </row>
    <row r="72" spans="2:24" ht="16.5" customHeight="1" x14ac:dyDescent="0.25">
      <c r="B72" s="43" t="s">
        <v>117</v>
      </c>
      <c r="C72" s="43">
        <v>68</v>
      </c>
      <c r="D72" s="68" t="s">
        <v>221</v>
      </c>
      <c r="E72" s="44">
        <v>26263</v>
      </c>
      <c r="F72" s="39" t="s">
        <v>47</v>
      </c>
      <c r="G72" s="39" t="s">
        <v>43</v>
      </c>
      <c r="H72" s="39" t="s">
        <v>48</v>
      </c>
      <c r="I72" s="39" t="s">
        <v>21</v>
      </c>
      <c r="J72" s="45">
        <v>45103</v>
      </c>
      <c r="K72" s="46"/>
      <c r="L72" s="39" t="s">
        <v>45</v>
      </c>
      <c r="M72" s="47">
        <v>29.93</v>
      </c>
      <c r="N72" s="48"/>
      <c r="O72" s="21">
        <v>0</v>
      </c>
      <c r="P72" t="s">
        <v>315</v>
      </c>
      <c r="R72" s="69">
        <v>2617.83</v>
      </c>
      <c r="S72" s="22">
        <v>29.93</v>
      </c>
      <c r="T72" s="22">
        <f>IF(R72&gt;=0,IF(AND(R72&gt;tabelas!$C$4,R72&lt;=tabelas!$C$5),(S72)*tabelas!$D$4,IF(AND(R72&gt;=tabelas!$C$5,R72&lt;=tabelas!$C$6),(S72)*tabelas!$D$5,IF(AND(R72&gt;=tabelas!$C$6,R72&lt;=tabelas!$C$7),(S72)*tabelas!$D$6,IF(AND(R72&gt;0,R72&gt;tabelas!$C$7),(S72)*tabelas!$D$7,0)))))</f>
        <v>27.834900000000001</v>
      </c>
      <c r="U72" s="22"/>
      <c r="V72" s="49">
        <f t="shared" si="1"/>
        <v>2.0950999999999986</v>
      </c>
    </row>
    <row r="73" spans="2:24" ht="16.5" customHeight="1" x14ac:dyDescent="0.25">
      <c r="B73" s="43" t="s">
        <v>118</v>
      </c>
      <c r="C73" s="43">
        <v>69</v>
      </c>
      <c r="D73" s="68" t="s">
        <v>222</v>
      </c>
      <c r="E73" s="44">
        <v>34329</v>
      </c>
      <c r="F73" s="39" t="s">
        <v>42</v>
      </c>
      <c r="G73" s="39" t="s">
        <v>43</v>
      </c>
      <c r="H73" s="37"/>
      <c r="I73" s="39" t="s">
        <v>119</v>
      </c>
      <c r="J73" s="45">
        <v>45108</v>
      </c>
      <c r="K73" s="46"/>
      <c r="L73" s="39" t="s">
        <v>45</v>
      </c>
      <c r="M73" s="47">
        <v>29.93</v>
      </c>
      <c r="N73" s="48"/>
      <c r="O73" s="21">
        <v>0</v>
      </c>
      <c r="P73" t="s">
        <v>315</v>
      </c>
      <c r="R73" s="69">
        <v>2539.84</v>
      </c>
      <c r="S73" s="22">
        <v>29.93</v>
      </c>
      <c r="T73" s="22">
        <f>IF(R73&gt;=0,IF(AND(R73&gt;tabelas!$C$4,R73&lt;=tabelas!$C$5),(S73)*tabelas!$D$4,IF(AND(R73&gt;=tabelas!$C$5,R73&lt;=tabelas!$C$6),(S73)*tabelas!$D$5,IF(AND(R73&gt;=tabelas!$C$6,R73&lt;=tabelas!$C$7),(S73)*tabelas!$D$6,IF(AND(R73&gt;0,R73&gt;tabelas!$C$7),(S73)*tabelas!$D$7,0)))))</f>
        <v>27.834900000000001</v>
      </c>
      <c r="U73" s="22"/>
      <c r="V73" s="49">
        <f t="shared" si="1"/>
        <v>2.0950999999999986</v>
      </c>
      <c r="W73" s="51"/>
      <c r="X73" s="51"/>
    </row>
    <row r="74" spans="2:24" ht="16.5" customHeight="1" x14ac:dyDescent="0.25">
      <c r="B74" s="43" t="s">
        <v>120</v>
      </c>
      <c r="C74" s="43">
        <v>70</v>
      </c>
      <c r="D74" s="68" t="s">
        <v>223</v>
      </c>
      <c r="E74" s="44">
        <v>30857</v>
      </c>
      <c r="F74" s="39" t="s">
        <v>42</v>
      </c>
      <c r="G74" s="39" t="s">
        <v>43</v>
      </c>
      <c r="H74" s="37"/>
      <c r="I74" s="39" t="s">
        <v>21</v>
      </c>
      <c r="J74" s="45">
        <v>45146</v>
      </c>
      <c r="K74" s="46"/>
      <c r="L74" s="39" t="s">
        <v>45</v>
      </c>
      <c r="M74" s="47">
        <v>29.93</v>
      </c>
      <c r="N74" s="48"/>
      <c r="O74" s="21">
        <v>0</v>
      </c>
      <c r="P74" t="s">
        <v>315</v>
      </c>
      <c r="R74" s="69">
        <v>7642.98</v>
      </c>
      <c r="S74" s="22">
        <v>29.93</v>
      </c>
      <c r="T74" s="22">
        <f>IF(R74&gt;=0,IF(AND(R74&gt;tabelas!$C$4,R74&lt;=tabelas!$C$5),(S74)*tabelas!$D$4,IF(AND(R74&gt;=tabelas!$C$5,R74&lt;=tabelas!$C$6),(S74)*tabelas!$D$5,IF(AND(R74&gt;=tabelas!$C$6,R74&lt;=tabelas!$C$7),(S74)*tabelas!$D$6,IF(AND(R74&gt;0,R74&gt;tabelas!$C$7),(S74)*tabelas!$D$7,0)))))</f>
        <v>23.046099999999999</v>
      </c>
      <c r="U74" s="22"/>
      <c r="V74" s="49">
        <f t="shared" si="1"/>
        <v>6.8839000000000006</v>
      </c>
      <c r="W74" s="49"/>
      <c r="X74" s="49"/>
    </row>
    <row r="75" spans="2:24" ht="24" x14ac:dyDescent="0.25">
      <c r="B75" s="43" t="s">
        <v>121</v>
      </c>
      <c r="C75" s="43">
        <v>71</v>
      </c>
      <c r="D75" s="68" t="s">
        <v>224</v>
      </c>
      <c r="E75" s="44">
        <v>44107</v>
      </c>
      <c r="F75" s="39" t="s">
        <v>47</v>
      </c>
      <c r="G75" s="39" t="s">
        <v>50</v>
      </c>
      <c r="H75" s="39" t="s">
        <v>51</v>
      </c>
      <c r="I75" s="39" t="s">
        <v>21</v>
      </c>
      <c r="J75" s="45">
        <v>45146</v>
      </c>
      <c r="K75" s="46"/>
      <c r="L75" s="39" t="s">
        <v>45</v>
      </c>
      <c r="M75" s="47">
        <v>29.93</v>
      </c>
      <c r="N75" s="48"/>
      <c r="O75" s="21">
        <v>0</v>
      </c>
      <c r="P75" t="s">
        <v>315</v>
      </c>
      <c r="R75" s="69">
        <v>1364.41</v>
      </c>
      <c r="S75" s="22">
        <v>29.93</v>
      </c>
      <c r="T75" s="22">
        <f>IF(R75&gt;=0,IF(AND(R75&gt;tabelas!$C$4,R75&lt;=tabelas!$C$5),(S75)*tabelas!$D$4,IF(AND(R75&gt;=tabelas!$C$5,R75&lt;=tabelas!$C$6),(S75)*tabelas!$D$5,IF(AND(R75&gt;=tabelas!$C$6,R75&lt;=tabelas!$C$7),(S75)*tabelas!$D$6,IF(AND(R75&gt;0,R75&gt;tabelas!$C$7),(S75)*tabelas!$D$7,0)))))</f>
        <v>27.834900000000001</v>
      </c>
      <c r="U75" s="22"/>
      <c r="V75" s="49">
        <f t="shared" si="1"/>
        <v>2.0950999999999986</v>
      </c>
      <c r="W75" s="49"/>
      <c r="X75" s="49"/>
    </row>
    <row r="76" spans="2:24" ht="16.5" customHeight="1" x14ac:dyDescent="0.25">
      <c r="B76" s="43" t="s">
        <v>122</v>
      </c>
      <c r="C76" s="43">
        <v>72</v>
      </c>
      <c r="D76" s="68" t="s">
        <v>225</v>
      </c>
      <c r="E76" s="44">
        <v>45115</v>
      </c>
      <c r="F76" s="39" t="s">
        <v>42</v>
      </c>
      <c r="G76" s="39" t="s">
        <v>50</v>
      </c>
      <c r="H76" s="39" t="s">
        <v>51</v>
      </c>
      <c r="I76" s="39" t="s">
        <v>21</v>
      </c>
      <c r="J76" s="45">
        <v>45146</v>
      </c>
      <c r="K76" s="46"/>
      <c r="L76" s="39" t="s">
        <v>45</v>
      </c>
      <c r="M76" s="47">
        <v>29.93</v>
      </c>
      <c r="N76" s="48"/>
      <c r="O76" s="21">
        <v>0</v>
      </c>
      <c r="P76" t="s">
        <v>315</v>
      </c>
      <c r="R76" s="69">
        <v>6050.54</v>
      </c>
      <c r="S76" s="22">
        <v>29.93</v>
      </c>
      <c r="T76" s="22">
        <f>IF(R76&gt;=0,IF(AND(R76&gt;tabelas!$C$4,R76&lt;=tabelas!$C$5),(S76)*tabelas!$D$4,IF(AND(R76&gt;=tabelas!$C$5,R76&lt;=tabelas!$C$6),(S76)*tabelas!$D$5,IF(AND(R76&gt;=tabelas!$C$6,R76&lt;=tabelas!$C$7),(S76)*tabelas!$D$6,IF(AND(R76&gt;0,R76&gt;tabelas!$C$7),(S76)*tabelas!$D$7,0)))))</f>
        <v>25.4405</v>
      </c>
      <c r="U76" s="22"/>
      <c r="V76" s="49">
        <f t="shared" si="1"/>
        <v>4.4894999999999996</v>
      </c>
      <c r="W76" s="49"/>
      <c r="X76" s="49"/>
    </row>
    <row r="77" spans="2:24" ht="16.5" customHeight="1" x14ac:dyDescent="0.25">
      <c r="B77" s="43" t="s">
        <v>123</v>
      </c>
      <c r="C77" s="43">
        <v>73</v>
      </c>
      <c r="D77" s="68" t="s">
        <v>226</v>
      </c>
      <c r="E77" s="44">
        <v>32343</v>
      </c>
      <c r="F77" s="39" t="s">
        <v>47</v>
      </c>
      <c r="G77" s="39" t="s">
        <v>43</v>
      </c>
      <c r="H77" s="39" t="s">
        <v>48</v>
      </c>
      <c r="I77" s="39" t="s">
        <v>21</v>
      </c>
      <c r="J77" s="45">
        <v>45514</v>
      </c>
      <c r="K77" s="46"/>
      <c r="L77" s="39" t="s">
        <v>45</v>
      </c>
      <c r="M77" s="47">
        <v>29.93</v>
      </c>
      <c r="N77" s="48"/>
      <c r="O77" s="21">
        <v>0</v>
      </c>
      <c r="P77" t="s">
        <v>315</v>
      </c>
      <c r="R77" s="69">
        <v>6605.65</v>
      </c>
      <c r="S77" s="22">
        <v>29.93</v>
      </c>
      <c r="T77" s="22">
        <f>IF(R77&gt;=0,IF(AND(R77&gt;tabelas!$C$4,R77&lt;=tabelas!$C$5),(S77)*tabelas!$D$4,IF(AND(R77&gt;=tabelas!$C$5,R77&lt;=tabelas!$C$6),(S77)*tabelas!$D$5,IF(AND(R77&gt;=tabelas!$C$6,R77&lt;=tabelas!$C$7),(S77)*tabelas!$D$6,IF(AND(R77&gt;0,R77&gt;tabelas!$C$7),(S77)*tabelas!$D$7,0)))))</f>
        <v>25.4405</v>
      </c>
      <c r="U77" s="22"/>
      <c r="V77" s="49">
        <f t="shared" si="1"/>
        <v>4.4894999999999996</v>
      </c>
      <c r="W77" s="51"/>
      <c r="X77" s="51"/>
    </row>
    <row r="78" spans="2:24" ht="16.5" customHeight="1" x14ac:dyDescent="0.25">
      <c r="B78" s="43" t="s">
        <v>124</v>
      </c>
      <c r="C78" s="43">
        <v>74</v>
      </c>
      <c r="D78" s="68" t="s">
        <v>227</v>
      </c>
      <c r="E78" s="44">
        <v>42852</v>
      </c>
      <c r="F78" s="39" t="s">
        <v>42</v>
      </c>
      <c r="G78" s="39" t="s">
        <v>50</v>
      </c>
      <c r="H78" s="39" t="s">
        <v>51</v>
      </c>
      <c r="I78" s="39" t="s">
        <v>21</v>
      </c>
      <c r="J78" s="45">
        <v>45514</v>
      </c>
      <c r="K78" s="46"/>
      <c r="L78" s="39" t="s">
        <v>45</v>
      </c>
      <c r="M78" s="47">
        <v>29.93</v>
      </c>
      <c r="N78" s="48"/>
      <c r="O78" s="21">
        <v>0</v>
      </c>
      <c r="P78" t="s">
        <v>315</v>
      </c>
      <c r="R78" s="69">
        <v>7655.29</v>
      </c>
      <c r="S78" s="22">
        <v>29.93</v>
      </c>
      <c r="T78" s="22">
        <f>IF(R78&gt;=0,IF(AND(R78&gt;tabelas!$C$4,R78&lt;=tabelas!$C$5),(S78)*tabelas!$D$4,IF(AND(R78&gt;=tabelas!$C$5,R78&lt;=tabelas!$C$6),(S78)*tabelas!$D$5,IF(AND(R78&gt;=tabelas!$C$6,R78&lt;=tabelas!$C$7),(S78)*tabelas!$D$6,IF(AND(R78&gt;0,R78&gt;tabelas!$C$7),(S78)*tabelas!$D$7,0)))))</f>
        <v>23.046099999999999</v>
      </c>
      <c r="U78" s="22"/>
      <c r="V78" s="49">
        <f t="shared" si="1"/>
        <v>6.8839000000000006</v>
      </c>
      <c r="W78" s="51"/>
      <c r="X78" s="51"/>
    </row>
    <row r="79" spans="2:24" ht="16.5" customHeight="1" x14ac:dyDescent="0.25">
      <c r="B79" s="43" t="s">
        <v>125</v>
      </c>
      <c r="C79" s="43">
        <v>75</v>
      </c>
      <c r="D79" s="68" t="s">
        <v>228</v>
      </c>
      <c r="E79" s="44">
        <v>31592</v>
      </c>
      <c r="F79" s="39" t="s">
        <v>42</v>
      </c>
      <c r="G79" s="39" t="s">
        <v>50</v>
      </c>
      <c r="H79" s="37"/>
      <c r="I79" s="39" t="s">
        <v>21</v>
      </c>
      <c r="J79" s="45">
        <v>45163</v>
      </c>
      <c r="K79" s="46"/>
      <c r="L79" s="39" t="s">
        <v>45</v>
      </c>
      <c r="M79" s="47">
        <v>29.93</v>
      </c>
      <c r="N79" s="48"/>
      <c r="O79" s="21">
        <v>0</v>
      </c>
      <c r="P79" t="s">
        <v>315</v>
      </c>
      <c r="R79" s="69">
        <v>3727.14</v>
      </c>
      <c r="S79" s="22">
        <v>29.93</v>
      </c>
      <c r="T79" s="22">
        <f>IF(R79&gt;=0,IF(AND(R79&gt;tabelas!$C$4,R79&lt;=tabelas!$C$5),(S79)*tabelas!$D$4,IF(AND(R79&gt;=tabelas!$C$5,R79&lt;=tabelas!$C$6),(S79)*tabelas!$D$5,IF(AND(R79&gt;=tabelas!$C$6,R79&lt;=tabelas!$C$7),(S79)*tabelas!$D$6,IF(AND(R79&gt;0,R79&gt;tabelas!$C$7),(S79)*tabelas!$D$7,0)))))</f>
        <v>25.4405</v>
      </c>
      <c r="U79" s="22"/>
      <c r="V79" s="49">
        <f t="shared" si="1"/>
        <v>4.4894999999999996</v>
      </c>
      <c r="W79" s="49"/>
      <c r="X79" s="49"/>
    </row>
    <row r="80" spans="2:24" ht="16.5" customHeight="1" x14ac:dyDescent="0.25">
      <c r="B80" s="43" t="s">
        <v>126</v>
      </c>
      <c r="C80" s="43">
        <v>76</v>
      </c>
      <c r="D80" s="68" t="s">
        <v>229</v>
      </c>
      <c r="E80" s="44">
        <v>32034</v>
      </c>
      <c r="F80" s="39" t="s">
        <v>42</v>
      </c>
      <c r="G80" s="39" t="s">
        <v>43</v>
      </c>
      <c r="H80" s="37"/>
      <c r="I80" s="39" t="s">
        <v>21</v>
      </c>
      <c r="J80" s="45">
        <v>45139</v>
      </c>
      <c r="K80" s="46"/>
      <c r="L80" s="39" t="s">
        <v>45</v>
      </c>
      <c r="M80" s="47">
        <v>29.93</v>
      </c>
      <c r="N80" s="48"/>
      <c r="O80" s="21">
        <v>0</v>
      </c>
      <c r="P80" t="s">
        <v>315</v>
      </c>
      <c r="R80" s="69">
        <v>2789.36</v>
      </c>
      <c r="S80" s="22">
        <v>29.93</v>
      </c>
      <c r="T80" s="22">
        <f>IF(R80&gt;=0,IF(AND(R80&gt;tabelas!$C$4,R80&lt;=tabelas!$C$5),(S80)*tabelas!$D$4,IF(AND(R80&gt;=tabelas!$C$5,R80&lt;=tabelas!$C$6),(S80)*tabelas!$D$5,IF(AND(R80&gt;=tabelas!$C$6,R80&lt;=tabelas!$C$7),(S80)*tabelas!$D$6,IF(AND(R80&gt;0,R80&gt;tabelas!$C$7),(S80)*tabelas!$D$7,0)))))</f>
        <v>27.834900000000001</v>
      </c>
      <c r="U80" s="22"/>
      <c r="V80" s="49">
        <f t="shared" si="1"/>
        <v>2.0950999999999986</v>
      </c>
      <c r="W80" s="49"/>
      <c r="X80" s="49"/>
    </row>
    <row r="81" spans="2:24" ht="16.5" customHeight="1" x14ac:dyDescent="0.25">
      <c r="B81" s="43" t="s">
        <v>127</v>
      </c>
      <c r="C81" s="43">
        <v>77</v>
      </c>
      <c r="D81" s="68" t="s">
        <v>230</v>
      </c>
      <c r="E81" s="44">
        <v>44361</v>
      </c>
      <c r="F81" s="39" t="s">
        <v>47</v>
      </c>
      <c r="G81" s="39" t="s">
        <v>50</v>
      </c>
      <c r="H81" s="39" t="s">
        <v>51</v>
      </c>
      <c r="I81" s="39" t="s">
        <v>21</v>
      </c>
      <c r="J81" s="45">
        <v>45139</v>
      </c>
      <c r="K81" s="46"/>
      <c r="L81" s="39" t="s">
        <v>45</v>
      </c>
      <c r="M81" s="47">
        <v>29.93</v>
      </c>
      <c r="N81" s="48"/>
      <c r="O81" s="21">
        <v>0</v>
      </c>
      <c r="P81" t="s">
        <v>315</v>
      </c>
      <c r="R81" s="69">
        <v>7971.94</v>
      </c>
      <c r="S81" s="22">
        <v>29.93</v>
      </c>
      <c r="T81" s="22">
        <f>IF(R81&gt;=0,IF(AND(R81&gt;tabelas!$C$4,R81&lt;=tabelas!$C$5),(S81)*tabelas!$D$4,IF(AND(R81&gt;=tabelas!$C$5,R81&lt;=tabelas!$C$6),(S81)*tabelas!$D$5,IF(AND(R81&gt;=tabelas!$C$6,R81&lt;=tabelas!$C$7),(S81)*tabelas!$D$6,IF(AND(R81&gt;0,R81&gt;tabelas!$C$7),(S81)*tabelas!$D$7,0)))))</f>
        <v>23.046099999999999</v>
      </c>
      <c r="U81" s="22"/>
      <c r="V81" s="49">
        <f t="shared" si="1"/>
        <v>6.8839000000000006</v>
      </c>
    </row>
    <row r="82" spans="2:24" ht="16.5" customHeight="1" x14ac:dyDescent="0.25">
      <c r="B82" s="43" t="s">
        <v>128</v>
      </c>
      <c r="C82" s="43">
        <v>78</v>
      </c>
      <c r="D82" s="68" t="s">
        <v>231</v>
      </c>
      <c r="E82" s="44">
        <v>33405</v>
      </c>
      <c r="F82" s="39" t="s">
        <v>47</v>
      </c>
      <c r="G82" s="39" t="s">
        <v>43</v>
      </c>
      <c r="H82" s="39" t="s">
        <v>48</v>
      </c>
      <c r="I82" s="39" t="s">
        <v>21</v>
      </c>
      <c r="J82" s="45">
        <v>45341</v>
      </c>
      <c r="K82" s="46"/>
      <c r="L82" s="39" t="s">
        <v>45</v>
      </c>
      <c r="M82" s="47">
        <v>29.93</v>
      </c>
      <c r="N82" s="48"/>
      <c r="O82" s="21">
        <v>0</v>
      </c>
      <c r="P82" t="s">
        <v>315</v>
      </c>
      <c r="R82" s="69">
        <v>7724.12</v>
      </c>
      <c r="S82" s="22">
        <v>29.93</v>
      </c>
      <c r="T82" s="22">
        <f>IF(R82&gt;=0,IF(AND(R82&gt;tabelas!$C$4,R82&lt;=tabelas!$C$5),(S82)*tabelas!$D$4,IF(AND(R82&gt;=tabelas!$C$5,R82&lt;=tabelas!$C$6),(S82)*tabelas!$D$5,IF(AND(R82&gt;=tabelas!$C$6,R82&lt;=tabelas!$C$7),(S82)*tabelas!$D$6,IF(AND(R82&gt;0,R82&gt;tabelas!$C$7),(S82)*tabelas!$D$7,0)))))</f>
        <v>23.046099999999999</v>
      </c>
      <c r="U82" s="22"/>
      <c r="V82" s="49">
        <f t="shared" si="1"/>
        <v>6.8839000000000006</v>
      </c>
    </row>
    <row r="83" spans="2:24" ht="16.5" customHeight="1" x14ac:dyDescent="0.25">
      <c r="B83" s="43" t="s">
        <v>129</v>
      </c>
      <c r="C83" s="43">
        <v>79</v>
      </c>
      <c r="D83" s="68" t="s">
        <v>232</v>
      </c>
      <c r="E83" s="44">
        <v>45219</v>
      </c>
      <c r="F83" s="39" t="s">
        <v>42</v>
      </c>
      <c r="G83" s="39" t="s">
        <v>50</v>
      </c>
      <c r="H83" s="39" t="s">
        <v>51</v>
      </c>
      <c r="I83" s="39" t="s">
        <v>21</v>
      </c>
      <c r="J83" s="45">
        <v>45341</v>
      </c>
      <c r="K83" s="46"/>
      <c r="L83" s="39" t="s">
        <v>45</v>
      </c>
      <c r="M83" s="47">
        <v>29.93</v>
      </c>
      <c r="N83" s="48"/>
      <c r="O83" s="21">
        <v>0</v>
      </c>
      <c r="P83" t="s">
        <v>315</v>
      </c>
      <c r="R83" s="69">
        <v>6351.95</v>
      </c>
      <c r="S83" s="22">
        <v>29.93</v>
      </c>
      <c r="T83" s="22">
        <f>IF(R83&gt;=0,IF(AND(R83&gt;tabelas!$C$4,R83&lt;=tabelas!$C$5),(S83)*tabelas!$D$4,IF(AND(R83&gt;=tabelas!$C$5,R83&lt;=tabelas!$C$6),(S83)*tabelas!$D$5,IF(AND(R83&gt;=tabelas!$C$6,R83&lt;=tabelas!$C$7),(S83)*tabelas!$D$6,IF(AND(R83&gt;0,R83&gt;tabelas!$C$7),(S83)*tabelas!$D$7,0)))))</f>
        <v>25.4405</v>
      </c>
      <c r="U83" s="22"/>
      <c r="V83" s="49">
        <f t="shared" si="1"/>
        <v>4.4894999999999996</v>
      </c>
      <c r="W83" s="49"/>
      <c r="X83" s="49"/>
    </row>
    <row r="84" spans="2:24" ht="24" x14ac:dyDescent="0.25">
      <c r="B84" s="43" t="s">
        <v>130</v>
      </c>
      <c r="C84" s="43">
        <v>80</v>
      </c>
      <c r="D84" s="68" t="s">
        <v>233</v>
      </c>
      <c r="E84" s="44">
        <v>31539</v>
      </c>
      <c r="F84" s="39" t="s">
        <v>42</v>
      </c>
      <c r="G84" s="39" t="s">
        <v>43</v>
      </c>
      <c r="H84" s="37"/>
      <c r="I84" s="39" t="s">
        <v>119</v>
      </c>
      <c r="J84" s="45">
        <v>45250</v>
      </c>
      <c r="K84" s="46"/>
      <c r="L84" s="39" t="s">
        <v>45</v>
      </c>
      <c r="M84" s="47">
        <v>29.93</v>
      </c>
      <c r="N84" s="48"/>
      <c r="O84" s="21">
        <v>0</v>
      </c>
      <c r="P84" t="s">
        <v>315</v>
      </c>
      <c r="R84" s="69">
        <v>3505.74</v>
      </c>
      <c r="S84" s="22">
        <v>29.93</v>
      </c>
      <c r="T84" s="22">
        <f>IF(R84&gt;=0,IF(AND(R84&gt;tabelas!$C$4,R84&lt;=tabelas!$C$5),(S84)*tabelas!$D$4,IF(AND(R84&gt;=tabelas!$C$5,R84&lt;=tabelas!$C$6),(S84)*tabelas!$D$5,IF(AND(R84&gt;=tabelas!$C$6,R84&lt;=tabelas!$C$7),(S84)*tabelas!$D$6,IF(AND(R84&gt;0,R84&gt;tabelas!$C$7),(S84)*tabelas!$D$7,0)))))</f>
        <v>27.834900000000001</v>
      </c>
      <c r="U84" s="22"/>
      <c r="V84" s="49">
        <f t="shared" si="1"/>
        <v>2.0950999999999986</v>
      </c>
      <c r="W84" s="49"/>
      <c r="X84" s="49"/>
    </row>
    <row r="85" spans="2:24" ht="16.5" customHeight="1" x14ac:dyDescent="0.25">
      <c r="B85" s="43" t="s">
        <v>131</v>
      </c>
      <c r="C85" s="43">
        <v>81</v>
      </c>
      <c r="D85" s="68" t="s">
        <v>234</v>
      </c>
      <c r="E85" s="44">
        <v>34019</v>
      </c>
      <c r="F85" s="39" t="s">
        <v>47</v>
      </c>
      <c r="G85" s="39" t="s">
        <v>43</v>
      </c>
      <c r="H85" s="39" t="s">
        <v>48</v>
      </c>
      <c r="I85" s="39" t="s">
        <v>119</v>
      </c>
      <c r="J85" s="45">
        <v>45250</v>
      </c>
      <c r="K85" s="46"/>
      <c r="L85" s="39" t="s">
        <v>45</v>
      </c>
      <c r="M85" s="47">
        <v>29.93</v>
      </c>
      <c r="N85" s="48"/>
      <c r="O85" s="21">
        <v>0</v>
      </c>
      <c r="P85" t="s">
        <v>315</v>
      </c>
      <c r="R85" s="69">
        <v>7171.63</v>
      </c>
      <c r="S85" s="22">
        <v>29.93</v>
      </c>
      <c r="T85" s="22">
        <f>IF(R85&gt;=0,IF(AND(R85&gt;tabelas!$C$4,R85&lt;=tabelas!$C$5),(S85)*tabelas!$D$4,IF(AND(R85&gt;=tabelas!$C$5,R85&lt;=tabelas!$C$6),(S85)*tabelas!$D$5,IF(AND(R85&gt;=tabelas!$C$6,R85&lt;=tabelas!$C$7),(S85)*tabelas!$D$6,IF(AND(R85&gt;0,R85&gt;tabelas!$C$7),(S85)*tabelas!$D$7,0)))))</f>
        <v>25.4405</v>
      </c>
      <c r="U85" s="22"/>
      <c r="V85" s="49">
        <f t="shared" si="1"/>
        <v>4.4894999999999996</v>
      </c>
    </row>
    <row r="86" spans="2:24" ht="16.5" customHeight="1" x14ac:dyDescent="0.25">
      <c r="B86" s="43" t="s">
        <v>132</v>
      </c>
      <c r="C86" s="43">
        <v>82</v>
      </c>
      <c r="D86" s="68" t="s">
        <v>235</v>
      </c>
      <c r="E86" s="44">
        <v>43235</v>
      </c>
      <c r="F86" s="39" t="s">
        <v>42</v>
      </c>
      <c r="G86" s="39" t="s">
        <v>50</v>
      </c>
      <c r="H86" s="39" t="s">
        <v>51</v>
      </c>
      <c r="I86" s="39" t="s">
        <v>119</v>
      </c>
      <c r="J86" s="45">
        <v>45250</v>
      </c>
      <c r="K86" s="46"/>
      <c r="L86" s="39" t="s">
        <v>45</v>
      </c>
      <c r="M86" s="47">
        <v>29.93</v>
      </c>
      <c r="N86" s="48"/>
      <c r="O86" s="21">
        <v>0</v>
      </c>
      <c r="P86" t="s">
        <v>315</v>
      </c>
      <c r="R86" s="69">
        <v>2858.97</v>
      </c>
      <c r="S86" s="22">
        <v>29.93</v>
      </c>
      <c r="T86" s="22">
        <f>IF(R86&gt;=0,IF(AND(R86&gt;tabelas!$C$4,R86&lt;=tabelas!$C$5),(S86)*tabelas!$D$4,IF(AND(R86&gt;=tabelas!$C$5,R86&lt;=tabelas!$C$6),(S86)*tabelas!$D$5,IF(AND(R86&gt;=tabelas!$C$6,R86&lt;=tabelas!$C$7),(S86)*tabelas!$D$6,IF(AND(R86&gt;0,R86&gt;tabelas!$C$7),(S86)*tabelas!$D$7,0)))))</f>
        <v>27.834900000000001</v>
      </c>
      <c r="U86" s="22"/>
      <c r="V86" s="49">
        <f t="shared" si="1"/>
        <v>2.0950999999999986</v>
      </c>
    </row>
    <row r="87" spans="2:24" ht="16.5" customHeight="1" x14ac:dyDescent="0.25">
      <c r="B87" s="43" t="s">
        <v>133</v>
      </c>
      <c r="C87" s="43">
        <v>83</v>
      </c>
      <c r="D87" s="68" t="s">
        <v>236</v>
      </c>
      <c r="E87" s="44">
        <v>31562</v>
      </c>
      <c r="F87" s="39" t="s">
        <v>42</v>
      </c>
      <c r="G87" s="39" t="s">
        <v>134</v>
      </c>
      <c r="H87" s="37"/>
      <c r="I87" s="39" t="s">
        <v>21</v>
      </c>
      <c r="J87" s="45">
        <v>45352</v>
      </c>
      <c r="K87" s="46"/>
      <c r="L87" s="39" t="s">
        <v>45</v>
      </c>
      <c r="M87" s="47">
        <v>29.93</v>
      </c>
      <c r="N87" s="48"/>
      <c r="O87" s="21">
        <v>0</v>
      </c>
      <c r="P87" t="s">
        <v>315</v>
      </c>
      <c r="R87" s="69">
        <v>1017.47</v>
      </c>
      <c r="S87" s="22">
        <v>29.93</v>
      </c>
      <c r="T87" s="22">
        <f>IF(R87&gt;=0,IF(AND(R87&gt;tabelas!$C$4,R87&lt;=tabelas!$C$5),(S87)*tabelas!$D$4,IF(AND(R87&gt;=tabelas!$C$5,R87&lt;=tabelas!$C$6),(S87)*tabelas!$D$5,IF(AND(R87&gt;=tabelas!$C$6,R87&lt;=tabelas!$C$7),(S87)*tabelas!$D$6,IF(AND(R87&gt;0,R87&gt;tabelas!$C$7),(S87)*tabelas!$D$7,0)))))</f>
        <v>27.834900000000001</v>
      </c>
      <c r="U87" s="22"/>
      <c r="V87" s="49">
        <f t="shared" si="1"/>
        <v>2.0950999999999986</v>
      </c>
      <c r="W87" s="49"/>
      <c r="X87" s="49"/>
    </row>
    <row r="88" spans="2:24" ht="16.5" customHeight="1" x14ac:dyDescent="0.25">
      <c r="B88" s="43" t="s">
        <v>135</v>
      </c>
      <c r="C88" s="43">
        <v>84</v>
      </c>
      <c r="D88" s="68" t="s">
        <v>237</v>
      </c>
      <c r="E88" s="44">
        <v>44317</v>
      </c>
      <c r="F88" s="39" t="s">
        <v>42</v>
      </c>
      <c r="G88" s="39" t="s">
        <v>50</v>
      </c>
      <c r="H88" s="39" t="s">
        <v>51</v>
      </c>
      <c r="I88" s="39" t="s">
        <v>21</v>
      </c>
      <c r="J88" s="45">
        <v>45352</v>
      </c>
      <c r="K88" s="46"/>
      <c r="L88" s="39" t="s">
        <v>45</v>
      </c>
      <c r="M88" s="47">
        <v>29.93</v>
      </c>
      <c r="N88" s="48"/>
      <c r="O88" s="21">
        <v>0</v>
      </c>
      <c r="P88" t="s">
        <v>315</v>
      </c>
      <c r="R88" s="69">
        <v>3841.85</v>
      </c>
      <c r="S88" s="22">
        <v>29.93</v>
      </c>
      <c r="T88" s="22">
        <f>IF(R88&gt;=0,IF(AND(R88&gt;tabelas!$C$4,R88&lt;=tabelas!$C$5),(S88)*tabelas!$D$4,IF(AND(R88&gt;=tabelas!$C$5,R88&lt;=tabelas!$C$6),(S88)*tabelas!$D$5,IF(AND(R88&gt;=tabelas!$C$6,R88&lt;=tabelas!$C$7),(S88)*tabelas!$D$6,IF(AND(R88&gt;0,R88&gt;tabelas!$C$7),(S88)*tabelas!$D$7,0)))))</f>
        <v>25.4405</v>
      </c>
      <c r="U88" s="22"/>
      <c r="V88" s="49">
        <f t="shared" si="1"/>
        <v>4.4894999999999996</v>
      </c>
      <c r="W88" s="49"/>
      <c r="X88" s="49"/>
    </row>
    <row r="89" spans="2:24" ht="16.5" customHeight="1" x14ac:dyDescent="0.25">
      <c r="B89" s="43" t="s">
        <v>136</v>
      </c>
      <c r="C89" s="43">
        <v>85</v>
      </c>
      <c r="D89" s="68" t="s">
        <v>238</v>
      </c>
      <c r="E89" s="44">
        <v>24113</v>
      </c>
      <c r="F89" s="39" t="s">
        <v>42</v>
      </c>
      <c r="G89" s="39" t="s">
        <v>137</v>
      </c>
      <c r="H89" s="37"/>
      <c r="I89" s="39" t="s">
        <v>44</v>
      </c>
      <c r="J89" s="45">
        <v>45383</v>
      </c>
      <c r="K89" s="46"/>
      <c r="L89" s="39" t="s">
        <v>45</v>
      </c>
      <c r="M89" s="47">
        <v>29.93</v>
      </c>
      <c r="N89" s="48"/>
      <c r="O89" s="21">
        <v>0</v>
      </c>
      <c r="P89" t="s">
        <v>315</v>
      </c>
      <c r="R89" s="69">
        <v>5667.35</v>
      </c>
      <c r="S89" s="22">
        <v>29.93</v>
      </c>
      <c r="T89" s="22">
        <f>IF(R89&gt;=0,IF(AND(R89&gt;tabelas!$C$4,R89&lt;=tabelas!$C$5),(S89)*tabelas!$D$4,IF(AND(R89&gt;=tabelas!$C$5,R89&lt;=tabelas!$C$6),(S89)*tabelas!$D$5,IF(AND(R89&gt;=tabelas!$C$6,R89&lt;=tabelas!$C$7),(S89)*tabelas!$D$6,IF(AND(R89&gt;0,R89&gt;tabelas!$C$7),(S89)*tabelas!$D$7,0)))))</f>
        <v>25.4405</v>
      </c>
      <c r="U89" s="22"/>
      <c r="V89" s="49">
        <f t="shared" si="1"/>
        <v>4.4894999999999996</v>
      </c>
    </row>
    <row r="90" spans="2:24" ht="16.5" customHeight="1" x14ac:dyDescent="0.25">
      <c r="B90" s="43" t="s">
        <v>138</v>
      </c>
      <c r="C90" s="43">
        <v>86</v>
      </c>
      <c r="D90" s="68" t="s">
        <v>239</v>
      </c>
      <c r="E90" s="44">
        <v>35285</v>
      </c>
      <c r="F90" s="39" t="s">
        <v>42</v>
      </c>
      <c r="G90" s="39" t="s">
        <v>50</v>
      </c>
      <c r="H90" s="37"/>
      <c r="I90" s="39" t="s">
        <v>21</v>
      </c>
      <c r="J90" s="45">
        <v>45383</v>
      </c>
      <c r="K90" s="46"/>
      <c r="L90" s="39" t="s">
        <v>45</v>
      </c>
      <c r="M90" s="47">
        <v>29.93</v>
      </c>
      <c r="N90" s="48"/>
      <c r="O90" s="21">
        <v>0</v>
      </c>
      <c r="P90" t="s">
        <v>315</v>
      </c>
      <c r="R90" s="69">
        <v>7383.29</v>
      </c>
      <c r="S90" s="22">
        <v>29.93</v>
      </c>
      <c r="T90" s="22">
        <f>IF(R90&gt;=0,IF(AND(R90&gt;tabelas!$C$4,R90&lt;=tabelas!$C$5),(S90)*tabelas!$D$4,IF(AND(R90&gt;=tabelas!$C$5,R90&lt;=tabelas!$C$6),(S90)*tabelas!$D$5,IF(AND(R90&gt;=tabelas!$C$6,R90&lt;=tabelas!$C$7),(S90)*tabelas!$D$6,IF(AND(R90&gt;0,R90&gt;tabelas!$C$7),(S90)*tabelas!$D$7,0)))))</f>
        <v>25.4405</v>
      </c>
      <c r="U90" s="22"/>
      <c r="V90" s="49">
        <f t="shared" si="1"/>
        <v>4.4894999999999996</v>
      </c>
    </row>
    <row r="91" spans="2:24" ht="16.5" customHeight="1" x14ac:dyDescent="0.25">
      <c r="B91" s="43" t="s">
        <v>139</v>
      </c>
      <c r="C91" s="43">
        <v>87</v>
      </c>
      <c r="D91" s="68" t="s">
        <v>240</v>
      </c>
      <c r="E91" s="44">
        <v>29391</v>
      </c>
      <c r="F91" s="39" t="s">
        <v>42</v>
      </c>
      <c r="G91" s="39" t="s">
        <v>43</v>
      </c>
      <c r="H91" s="37"/>
      <c r="I91" s="39" t="s">
        <v>77</v>
      </c>
      <c r="J91" s="45">
        <v>45383</v>
      </c>
      <c r="K91" s="46"/>
      <c r="L91" s="39" t="s">
        <v>45</v>
      </c>
      <c r="M91" s="47">
        <v>29.93</v>
      </c>
      <c r="N91" s="48"/>
      <c r="O91" s="21">
        <v>0</v>
      </c>
      <c r="P91" t="s">
        <v>315</v>
      </c>
      <c r="R91" s="69">
        <v>1584.35</v>
      </c>
      <c r="S91" s="22">
        <v>29.93</v>
      </c>
      <c r="T91" s="22">
        <f>IF(R91&gt;=0,IF(AND(R91&gt;tabelas!$C$4,R91&lt;=tabelas!$C$5),(S91)*tabelas!$D$4,IF(AND(R91&gt;=tabelas!$C$5,R91&lt;=tabelas!$C$6),(S91)*tabelas!$D$5,IF(AND(R91&gt;=tabelas!$C$6,R91&lt;=tabelas!$C$7),(S91)*tabelas!$D$6,IF(AND(R91&gt;0,R91&gt;tabelas!$C$7),(S91)*tabelas!$D$7,0)))))</f>
        <v>27.834900000000001</v>
      </c>
      <c r="U91" s="22"/>
      <c r="V91" s="49">
        <f t="shared" si="1"/>
        <v>2.0950999999999986</v>
      </c>
      <c r="W91" s="49"/>
      <c r="X91" s="49"/>
    </row>
    <row r="92" spans="2:24" ht="16.5" customHeight="1" x14ac:dyDescent="0.25">
      <c r="B92" s="43" t="s">
        <v>140</v>
      </c>
      <c r="C92" s="43">
        <v>88</v>
      </c>
      <c r="D92" s="68" t="s">
        <v>241</v>
      </c>
      <c r="E92" s="44">
        <v>29718</v>
      </c>
      <c r="F92" s="39" t="s">
        <v>47</v>
      </c>
      <c r="G92" s="39" t="s">
        <v>43</v>
      </c>
      <c r="H92" s="39" t="s">
        <v>48</v>
      </c>
      <c r="I92" s="39" t="s">
        <v>77</v>
      </c>
      <c r="J92" s="45">
        <v>45383</v>
      </c>
      <c r="K92" s="46"/>
      <c r="L92" s="39" t="s">
        <v>45</v>
      </c>
      <c r="M92" s="47">
        <v>29.93</v>
      </c>
      <c r="N92" s="48"/>
      <c r="O92" s="21">
        <v>0</v>
      </c>
      <c r="P92" t="s">
        <v>315</v>
      </c>
      <c r="R92" s="69">
        <v>7823.99</v>
      </c>
      <c r="S92" s="22">
        <v>29.93</v>
      </c>
      <c r="T92" s="22">
        <f>IF(R92&gt;=0,IF(AND(R92&gt;tabelas!$C$4,R92&lt;=tabelas!$C$5),(S92)*tabelas!$D$4,IF(AND(R92&gt;=tabelas!$C$5,R92&lt;=tabelas!$C$6),(S92)*tabelas!$D$5,IF(AND(R92&gt;=tabelas!$C$6,R92&lt;=tabelas!$C$7),(S92)*tabelas!$D$6,IF(AND(R92&gt;0,R92&gt;tabelas!$C$7),(S92)*tabelas!$D$7,0)))))</f>
        <v>23.046099999999999</v>
      </c>
      <c r="U92" s="22"/>
      <c r="V92" s="49">
        <f t="shared" si="1"/>
        <v>6.8839000000000006</v>
      </c>
      <c r="W92" s="49"/>
      <c r="X92" s="49"/>
    </row>
    <row r="93" spans="2:24" ht="24" x14ac:dyDescent="0.25">
      <c r="B93" s="43" t="s">
        <v>141</v>
      </c>
      <c r="C93" s="43">
        <v>89</v>
      </c>
      <c r="D93" s="68" t="s">
        <v>242</v>
      </c>
      <c r="E93" s="44">
        <v>39021</v>
      </c>
      <c r="F93" s="39" t="s">
        <v>47</v>
      </c>
      <c r="G93" s="39" t="s">
        <v>50</v>
      </c>
      <c r="H93" s="39" t="s">
        <v>51</v>
      </c>
      <c r="I93" s="39" t="s">
        <v>77</v>
      </c>
      <c r="J93" s="45">
        <v>45383</v>
      </c>
      <c r="K93" s="46"/>
      <c r="L93" s="39" t="s">
        <v>45</v>
      </c>
      <c r="M93" s="47">
        <v>29.93</v>
      </c>
      <c r="N93" s="48"/>
      <c r="O93" s="21">
        <v>0</v>
      </c>
      <c r="P93" t="s">
        <v>315</v>
      </c>
      <c r="R93" s="69">
        <v>5928.85</v>
      </c>
      <c r="S93" s="22">
        <v>29.93</v>
      </c>
      <c r="T93" s="22">
        <f>IF(R93&gt;=0,IF(AND(R93&gt;tabelas!$C$4,R93&lt;=tabelas!$C$5),(S93)*tabelas!$D$4,IF(AND(R93&gt;=tabelas!$C$5,R93&lt;=tabelas!$C$6),(S93)*tabelas!$D$5,IF(AND(R93&gt;=tabelas!$C$6,R93&lt;=tabelas!$C$7),(S93)*tabelas!$D$6,IF(AND(R93&gt;0,R93&gt;tabelas!$C$7),(S93)*tabelas!$D$7,0)))))</f>
        <v>25.4405</v>
      </c>
      <c r="U93" s="22"/>
      <c r="V93" s="49">
        <f t="shared" si="1"/>
        <v>4.4894999999999996</v>
      </c>
    </row>
    <row r="94" spans="2:24" ht="16.5" customHeight="1" x14ac:dyDescent="0.25">
      <c r="B94" s="43" t="s">
        <v>142</v>
      </c>
      <c r="C94" s="43">
        <v>90</v>
      </c>
      <c r="D94" s="68" t="s">
        <v>243</v>
      </c>
      <c r="E94" s="44">
        <v>42565</v>
      </c>
      <c r="F94" s="39" t="s">
        <v>47</v>
      </c>
      <c r="G94" s="39" t="s">
        <v>50</v>
      </c>
      <c r="H94" s="39" t="s">
        <v>51</v>
      </c>
      <c r="I94" s="39" t="s">
        <v>77</v>
      </c>
      <c r="J94" s="45">
        <v>45383</v>
      </c>
      <c r="K94" s="46"/>
      <c r="L94" s="39" t="s">
        <v>45</v>
      </c>
      <c r="M94" s="47">
        <v>29.93</v>
      </c>
      <c r="N94" s="48"/>
      <c r="O94" s="21">
        <v>0</v>
      </c>
      <c r="P94" t="s">
        <v>315</v>
      </c>
      <c r="R94" s="69">
        <v>1104.48</v>
      </c>
      <c r="S94" s="22">
        <v>29.93</v>
      </c>
      <c r="T94" s="22">
        <f>IF(R94&gt;=0,IF(AND(R94&gt;tabelas!$C$4,R94&lt;=tabelas!$C$5),(S94)*tabelas!$D$4,IF(AND(R94&gt;=tabelas!$C$5,R94&lt;=tabelas!$C$6),(S94)*tabelas!$D$5,IF(AND(R94&gt;=tabelas!$C$6,R94&lt;=tabelas!$C$7),(S94)*tabelas!$D$6,IF(AND(R94&gt;0,R94&gt;tabelas!$C$7),(S94)*tabelas!$D$7,0)))))</f>
        <v>27.834900000000001</v>
      </c>
      <c r="U94" s="22"/>
      <c r="V94" s="49">
        <f t="shared" si="1"/>
        <v>2.0950999999999986</v>
      </c>
    </row>
    <row r="95" spans="2:24" ht="16.5" customHeight="1" x14ac:dyDescent="0.25">
      <c r="B95" s="43" t="s">
        <v>143</v>
      </c>
      <c r="C95" s="43">
        <v>91</v>
      </c>
      <c r="D95" s="68" t="s">
        <v>244</v>
      </c>
      <c r="E95" s="44">
        <v>21587</v>
      </c>
      <c r="F95" s="39" t="s">
        <v>42</v>
      </c>
      <c r="G95" s="39" t="s">
        <v>50</v>
      </c>
      <c r="H95" s="37"/>
      <c r="I95" s="39" t="s">
        <v>21</v>
      </c>
      <c r="J95" s="45">
        <v>45397</v>
      </c>
      <c r="K95" s="46"/>
      <c r="L95" s="39" t="s">
        <v>45</v>
      </c>
      <c r="M95" s="47">
        <v>29.93</v>
      </c>
      <c r="N95" s="48"/>
      <c r="O95" s="21">
        <v>0</v>
      </c>
      <c r="P95" t="s">
        <v>315</v>
      </c>
      <c r="R95" s="69">
        <v>2626.41</v>
      </c>
      <c r="S95" s="22">
        <v>29.93</v>
      </c>
      <c r="T95" s="22">
        <f>IF(R95&gt;=0,IF(AND(R95&gt;tabelas!$C$4,R95&lt;=tabelas!$C$5),(S95)*tabelas!$D$4,IF(AND(R95&gt;=tabelas!$C$5,R95&lt;=tabelas!$C$6),(S95)*tabelas!$D$5,IF(AND(R95&gt;=tabelas!$C$6,R95&lt;=tabelas!$C$7),(S95)*tabelas!$D$6,IF(AND(R95&gt;0,R95&gt;tabelas!$C$7),(S95)*tabelas!$D$7,0)))))</f>
        <v>27.834900000000001</v>
      </c>
      <c r="U95" s="22"/>
      <c r="V95" s="49">
        <f t="shared" si="1"/>
        <v>2.0950999999999986</v>
      </c>
      <c r="W95" s="49"/>
      <c r="X95" s="49"/>
    </row>
    <row r="96" spans="2:24" ht="16.5" customHeight="1" x14ac:dyDescent="0.25">
      <c r="B96" s="43" t="s">
        <v>144</v>
      </c>
      <c r="C96" s="43">
        <v>92</v>
      </c>
      <c r="D96" s="68" t="s">
        <v>245</v>
      </c>
      <c r="E96" s="52">
        <v>36854</v>
      </c>
      <c r="F96" s="53" t="s">
        <v>42</v>
      </c>
      <c r="G96" s="53" t="s">
        <v>50</v>
      </c>
      <c r="H96" s="54"/>
      <c r="I96" s="53" t="s">
        <v>119</v>
      </c>
      <c r="J96" s="55">
        <v>45397</v>
      </c>
      <c r="K96" s="56"/>
      <c r="L96" s="53" t="s">
        <v>45</v>
      </c>
      <c r="M96" s="57">
        <v>29.93</v>
      </c>
      <c r="N96" s="48"/>
      <c r="O96" s="21">
        <v>0</v>
      </c>
      <c r="P96" t="s">
        <v>315</v>
      </c>
      <c r="R96" s="69">
        <v>5797.71</v>
      </c>
      <c r="S96" s="22">
        <v>29.93</v>
      </c>
      <c r="T96" s="22">
        <f>IF(R96&gt;=0,IF(AND(R96&gt;tabelas!$C$4,R96&lt;=tabelas!$C$5),(S96)*tabelas!$D$4,IF(AND(R96&gt;=tabelas!$C$5,R96&lt;=tabelas!$C$6),(S96)*tabelas!$D$5,IF(AND(R96&gt;=tabelas!$C$6,R96&lt;=tabelas!$C$7),(S96)*tabelas!$D$6,IF(AND(R96&gt;0,R96&gt;tabelas!$C$7),(S96)*tabelas!$D$7,0)))))</f>
        <v>25.4405</v>
      </c>
      <c r="U96" s="22"/>
      <c r="V96" s="49">
        <f t="shared" si="1"/>
        <v>4.4894999999999996</v>
      </c>
      <c r="W96" s="49"/>
      <c r="X96" s="49"/>
    </row>
    <row r="97" spans="2:24" ht="16.5" customHeight="1" x14ac:dyDescent="0.25">
      <c r="B97" s="43" t="s">
        <v>145</v>
      </c>
      <c r="C97" s="43">
        <v>93</v>
      </c>
      <c r="D97" s="68" t="s">
        <v>246</v>
      </c>
      <c r="E97" s="44">
        <v>36900</v>
      </c>
      <c r="F97" s="39" t="s">
        <v>47</v>
      </c>
      <c r="G97" s="39" t="s">
        <v>43</v>
      </c>
      <c r="H97" s="39" t="s">
        <v>48</v>
      </c>
      <c r="I97" s="39" t="s">
        <v>119</v>
      </c>
      <c r="J97" s="45">
        <v>45698</v>
      </c>
      <c r="K97" s="46"/>
      <c r="L97" s="39" t="s">
        <v>45</v>
      </c>
      <c r="M97" s="47">
        <v>29.93</v>
      </c>
      <c r="N97" s="48"/>
      <c r="O97" s="21">
        <v>0</v>
      </c>
      <c r="P97" t="s">
        <v>315</v>
      </c>
      <c r="R97" s="69">
        <v>3024.55</v>
      </c>
      <c r="S97" s="22">
        <v>29.93</v>
      </c>
      <c r="T97" s="22">
        <f>IF(R97&gt;=0,IF(AND(R97&gt;tabelas!$C$4,R97&lt;=tabelas!$C$5),(S97)*tabelas!$D$4,IF(AND(R97&gt;=tabelas!$C$5,R97&lt;=tabelas!$C$6),(S97)*tabelas!$D$5,IF(AND(R97&gt;=tabelas!$C$6,R97&lt;=tabelas!$C$7),(S97)*tabelas!$D$6,IF(AND(R97&gt;0,R97&gt;tabelas!$C$7),(S97)*tabelas!$D$7,0)))))</f>
        <v>27.834900000000001</v>
      </c>
      <c r="U97" s="22"/>
      <c r="V97" s="49">
        <f t="shared" si="1"/>
        <v>2.0950999999999986</v>
      </c>
    </row>
    <row r="98" spans="2:24" ht="16.5" customHeight="1" x14ac:dyDescent="0.25">
      <c r="B98" s="43" t="s">
        <v>146</v>
      </c>
      <c r="C98" s="43">
        <v>94</v>
      </c>
      <c r="D98" s="68" t="s">
        <v>247</v>
      </c>
      <c r="E98" s="44">
        <v>45712</v>
      </c>
      <c r="F98" s="39" t="s">
        <v>47</v>
      </c>
      <c r="G98" s="39" t="s">
        <v>50</v>
      </c>
      <c r="H98" s="39" t="s">
        <v>51</v>
      </c>
      <c r="I98" s="39" t="s">
        <v>119</v>
      </c>
      <c r="J98" s="45">
        <v>45733</v>
      </c>
      <c r="K98" s="46"/>
      <c r="L98" s="39" t="s">
        <v>45</v>
      </c>
      <c r="M98" s="47">
        <v>29.93</v>
      </c>
      <c r="N98" s="58"/>
      <c r="O98" s="21">
        <v>0</v>
      </c>
      <c r="P98" t="s">
        <v>315</v>
      </c>
      <c r="R98" s="69">
        <v>4285.37</v>
      </c>
      <c r="S98" s="22">
        <v>29.93</v>
      </c>
      <c r="T98" s="22">
        <f>IF(R98&gt;=0,IF(AND(R98&gt;tabelas!$C$4,R98&lt;=tabelas!$C$5),(S98)*tabelas!$D$4,IF(AND(R98&gt;=tabelas!$C$5,R98&lt;=tabelas!$C$6),(S98)*tabelas!$D$5,IF(AND(R98&gt;=tabelas!$C$6,R98&lt;=tabelas!$C$7),(S98)*tabelas!$D$6,IF(AND(R98&gt;0,R98&gt;tabelas!$C$7),(S98)*tabelas!$D$7,0)))))</f>
        <v>25.4405</v>
      </c>
      <c r="U98" s="22"/>
      <c r="V98" s="49">
        <f t="shared" si="1"/>
        <v>4.4894999999999996</v>
      </c>
      <c r="W98" s="49"/>
      <c r="X98" s="49"/>
    </row>
    <row r="99" spans="2:24" ht="16.5" customHeight="1" x14ac:dyDescent="0.25">
      <c r="B99" s="61"/>
      <c r="C99" s="43">
        <v>95</v>
      </c>
      <c r="D99" s="68" t="s">
        <v>248</v>
      </c>
      <c r="E99" s="44">
        <v>31164</v>
      </c>
      <c r="F99" s="39" t="s">
        <v>42</v>
      </c>
      <c r="G99" s="39" t="s">
        <v>43</v>
      </c>
      <c r="H99" s="37"/>
      <c r="I99" s="39" t="s">
        <v>21</v>
      </c>
      <c r="J99" s="45">
        <v>45397</v>
      </c>
      <c r="K99" s="46"/>
      <c r="L99" s="39" t="s">
        <v>45</v>
      </c>
      <c r="M99" s="47">
        <v>29.93</v>
      </c>
      <c r="N99" s="60"/>
      <c r="O99" s="21">
        <v>0</v>
      </c>
      <c r="P99" t="s">
        <v>315</v>
      </c>
      <c r="R99" s="69">
        <v>7622.38</v>
      </c>
      <c r="S99" s="22">
        <v>29.93</v>
      </c>
      <c r="T99" s="22">
        <f>IF(R99&gt;=0,IF(AND(R99&gt;tabelas!$C$4,R99&lt;=tabelas!$C$5),(S99)*tabelas!$D$4,IF(AND(R99&gt;=tabelas!$C$5,R99&lt;=tabelas!$C$6),(S99)*tabelas!$D$5,IF(AND(R99&gt;=tabelas!$C$6,R99&lt;=tabelas!$C$7),(S99)*tabelas!$D$6,IF(AND(R99&gt;0,R99&gt;tabelas!$C$7),(S99)*tabelas!$D$7,0)))))</f>
        <v>23.046099999999999</v>
      </c>
      <c r="U99" s="22"/>
      <c r="V99" s="49">
        <f t="shared" si="1"/>
        <v>6.8839000000000006</v>
      </c>
      <c r="W99" s="49"/>
      <c r="X99" s="49"/>
    </row>
    <row r="100" spans="2:24" ht="15" x14ac:dyDescent="0.25">
      <c r="B100" s="62"/>
      <c r="C100" s="43">
        <v>96</v>
      </c>
      <c r="D100" s="68" t="s">
        <v>249</v>
      </c>
      <c r="E100" s="44">
        <v>32150</v>
      </c>
      <c r="F100" s="39" t="s">
        <v>47</v>
      </c>
      <c r="G100" s="39" t="s">
        <v>43</v>
      </c>
      <c r="H100" s="39" t="s">
        <v>48</v>
      </c>
      <c r="I100" s="39" t="s">
        <v>21</v>
      </c>
      <c r="J100" s="45">
        <v>45397</v>
      </c>
      <c r="K100" s="46"/>
      <c r="L100" s="39" t="s">
        <v>45</v>
      </c>
      <c r="M100" s="47">
        <v>29.93</v>
      </c>
      <c r="N100" s="48"/>
      <c r="O100" s="21">
        <v>0</v>
      </c>
      <c r="P100" t="s">
        <v>315</v>
      </c>
      <c r="R100" s="69">
        <v>3275.49</v>
      </c>
      <c r="S100" s="22">
        <v>29.93</v>
      </c>
      <c r="T100" s="22">
        <f>IF(R100&gt;=0,IF(AND(R100&gt;tabelas!$C$4,R100&lt;=tabelas!$C$5),(S100)*tabelas!$D$4,IF(AND(R100&gt;=tabelas!$C$5,R100&lt;=tabelas!$C$6),(S100)*tabelas!$D$5,IF(AND(R100&gt;=tabelas!$C$6,R100&lt;=tabelas!$C$7),(S100)*tabelas!$D$6,IF(AND(R100&gt;0,R100&gt;tabelas!$C$7),(S100)*tabelas!$D$7,0)))))</f>
        <v>27.834900000000001</v>
      </c>
      <c r="U100" s="22"/>
      <c r="V100" s="49">
        <f t="shared" si="1"/>
        <v>2.0950999999999986</v>
      </c>
      <c r="W100" s="49"/>
      <c r="X100" s="49"/>
    </row>
    <row r="101" spans="2:24" ht="24" x14ac:dyDescent="0.25">
      <c r="B101" s="43" t="s">
        <v>147</v>
      </c>
      <c r="C101" s="43">
        <v>97</v>
      </c>
      <c r="D101" s="68" t="s">
        <v>250</v>
      </c>
      <c r="E101" s="44">
        <v>41026</v>
      </c>
      <c r="F101" s="39" t="s">
        <v>47</v>
      </c>
      <c r="G101" s="39" t="s">
        <v>50</v>
      </c>
      <c r="H101" s="39" t="s">
        <v>51</v>
      </c>
      <c r="I101" s="39" t="s">
        <v>21</v>
      </c>
      <c r="J101" s="45">
        <v>45397</v>
      </c>
      <c r="K101" s="46"/>
      <c r="L101" s="39" t="s">
        <v>45</v>
      </c>
      <c r="M101" s="47">
        <v>29.93</v>
      </c>
      <c r="N101" s="48"/>
      <c r="O101" s="21">
        <v>0</v>
      </c>
      <c r="P101" t="s">
        <v>315</v>
      </c>
      <c r="R101" s="69">
        <v>4345.25</v>
      </c>
      <c r="S101" s="22">
        <v>29.93</v>
      </c>
      <c r="T101" s="22">
        <f>IF(R101&gt;=0,IF(AND(R101&gt;tabelas!$C$4,R101&lt;=tabelas!$C$5),(S101)*tabelas!$D$4,IF(AND(R101&gt;=tabelas!$C$5,R101&lt;=tabelas!$C$6),(S101)*tabelas!$D$5,IF(AND(R101&gt;=tabelas!$C$6,R101&lt;=tabelas!$C$7),(S101)*tabelas!$D$6,IF(AND(R101&gt;0,R101&gt;tabelas!$C$7),(S101)*tabelas!$D$7,0)))))</f>
        <v>25.4405</v>
      </c>
      <c r="U101" s="22"/>
      <c r="V101" s="49">
        <f t="shared" si="1"/>
        <v>4.4894999999999996</v>
      </c>
      <c r="W101" s="49"/>
      <c r="X101" s="49"/>
    </row>
    <row r="102" spans="2:24" ht="16.5" customHeight="1" x14ac:dyDescent="0.25">
      <c r="B102" s="62"/>
      <c r="C102" s="43">
        <v>98</v>
      </c>
      <c r="D102" s="68" t="s">
        <v>251</v>
      </c>
      <c r="E102" s="44">
        <v>43534</v>
      </c>
      <c r="F102" s="39" t="s">
        <v>42</v>
      </c>
      <c r="G102" s="39" t="s">
        <v>50</v>
      </c>
      <c r="H102" s="39" t="s">
        <v>51</v>
      </c>
      <c r="I102" s="39" t="s">
        <v>21</v>
      </c>
      <c r="J102" s="45">
        <v>45397</v>
      </c>
      <c r="K102" s="46"/>
      <c r="L102" s="39" t="s">
        <v>45</v>
      </c>
      <c r="M102" s="47">
        <v>29.93</v>
      </c>
      <c r="N102" s="48"/>
      <c r="O102" s="21">
        <v>0</v>
      </c>
      <c r="P102" t="s">
        <v>315</v>
      </c>
      <c r="R102" s="69">
        <v>5099.43</v>
      </c>
      <c r="S102" s="22">
        <v>29.93</v>
      </c>
      <c r="T102" s="22">
        <f>IF(R102&gt;=0,IF(AND(R102&gt;tabelas!$C$4,R102&lt;=tabelas!$C$5),(S102)*tabelas!$D$4,IF(AND(R102&gt;=tabelas!$C$5,R102&lt;=tabelas!$C$6),(S102)*tabelas!$D$5,IF(AND(R102&gt;=tabelas!$C$6,R102&lt;=tabelas!$C$7),(S102)*tabelas!$D$6,IF(AND(R102&gt;0,R102&gt;tabelas!$C$7),(S102)*tabelas!$D$7,0)))))</f>
        <v>25.4405</v>
      </c>
      <c r="U102" s="22"/>
      <c r="V102" s="49">
        <f t="shared" si="1"/>
        <v>4.4894999999999996</v>
      </c>
      <c r="W102" s="49"/>
      <c r="X102" s="49"/>
    </row>
    <row r="103" spans="2:24" ht="15" x14ac:dyDescent="0.25">
      <c r="B103" s="62"/>
      <c r="C103" s="43">
        <v>99</v>
      </c>
      <c r="D103" s="68" t="s">
        <v>252</v>
      </c>
      <c r="E103" s="44">
        <v>34420</v>
      </c>
      <c r="F103" s="39" t="s">
        <v>42</v>
      </c>
      <c r="G103" s="39" t="s">
        <v>43</v>
      </c>
      <c r="H103" s="37"/>
      <c r="I103" s="39" t="s">
        <v>44</v>
      </c>
      <c r="J103" s="45">
        <v>45397</v>
      </c>
      <c r="K103" s="46"/>
      <c r="L103" s="39" t="s">
        <v>45</v>
      </c>
      <c r="M103" s="47">
        <v>29.93</v>
      </c>
      <c r="N103" s="48"/>
      <c r="O103" s="21">
        <v>0</v>
      </c>
      <c r="P103" t="s">
        <v>315</v>
      </c>
      <c r="R103" s="69">
        <v>4575.6400000000003</v>
      </c>
      <c r="S103" s="22">
        <v>29.93</v>
      </c>
      <c r="T103" s="22">
        <f>IF(R103&gt;=0,IF(AND(R103&gt;tabelas!$C$4,R103&lt;=tabelas!$C$5),(S103)*tabelas!$D$4,IF(AND(R103&gt;=tabelas!$C$5,R103&lt;=tabelas!$C$6),(S103)*tabelas!$D$5,IF(AND(R103&gt;=tabelas!$C$6,R103&lt;=tabelas!$C$7),(S103)*tabelas!$D$6,IF(AND(R103&gt;0,R103&gt;tabelas!$C$7),(S103)*tabelas!$D$7,0)))))</f>
        <v>25.4405</v>
      </c>
      <c r="U103" s="22"/>
      <c r="V103" s="49">
        <f t="shared" si="1"/>
        <v>4.4894999999999996</v>
      </c>
      <c r="W103" s="49"/>
      <c r="X103" s="49"/>
    </row>
    <row r="104" spans="2:24" ht="24" x14ac:dyDescent="0.25">
      <c r="B104" s="43" t="s">
        <v>148</v>
      </c>
      <c r="C104" s="43">
        <v>100</v>
      </c>
      <c r="D104" s="68" t="s">
        <v>253</v>
      </c>
      <c r="E104" s="44">
        <v>35116</v>
      </c>
      <c r="F104" s="39" t="s">
        <v>47</v>
      </c>
      <c r="G104" s="39" t="s">
        <v>43</v>
      </c>
      <c r="H104" s="39" t="s">
        <v>48</v>
      </c>
      <c r="I104" s="39" t="s">
        <v>44</v>
      </c>
      <c r="J104" s="45">
        <v>45397</v>
      </c>
      <c r="K104" s="46"/>
      <c r="L104" s="39" t="s">
        <v>45</v>
      </c>
      <c r="M104" s="47">
        <v>29.93</v>
      </c>
      <c r="N104" s="48"/>
      <c r="O104" s="21">
        <v>0</v>
      </c>
      <c r="P104" t="s">
        <v>315</v>
      </c>
      <c r="R104" s="69">
        <v>1479.67</v>
      </c>
      <c r="S104" s="22">
        <v>29.93</v>
      </c>
      <c r="T104" s="22">
        <f>IF(R104&gt;=0,IF(AND(R104&gt;tabelas!$C$4,R104&lt;=tabelas!$C$5),(S104)*tabelas!$D$4,IF(AND(R104&gt;=tabelas!$C$5,R104&lt;=tabelas!$C$6),(S104)*tabelas!$D$5,IF(AND(R104&gt;=tabelas!$C$6,R104&lt;=tabelas!$C$7),(S104)*tabelas!$D$6,IF(AND(R104&gt;0,R104&gt;tabelas!$C$7),(S104)*tabelas!$D$7,0)))))</f>
        <v>27.834900000000001</v>
      </c>
      <c r="U104" s="22"/>
      <c r="V104" s="49">
        <f t="shared" si="1"/>
        <v>2.0950999999999986</v>
      </c>
      <c r="W104" s="51"/>
      <c r="X104" s="51"/>
    </row>
    <row r="105" spans="2:24" ht="16.5" customHeight="1" x14ac:dyDescent="0.25">
      <c r="B105" s="62"/>
      <c r="C105" s="43">
        <v>101</v>
      </c>
      <c r="D105" s="68" t="s">
        <v>254</v>
      </c>
      <c r="E105" s="44">
        <v>45177</v>
      </c>
      <c r="F105" s="39" t="s">
        <v>47</v>
      </c>
      <c r="G105" s="39" t="s">
        <v>50</v>
      </c>
      <c r="H105" s="39" t="s">
        <v>51</v>
      </c>
      <c r="I105" s="39" t="s">
        <v>44</v>
      </c>
      <c r="J105" s="45">
        <v>45397</v>
      </c>
      <c r="K105" s="46"/>
      <c r="L105" s="39" t="s">
        <v>45</v>
      </c>
      <c r="M105" s="47">
        <v>29.93</v>
      </c>
      <c r="N105" s="48"/>
      <c r="O105" s="21">
        <v>0</v>
      </c>
      <c r="P105" t="s">
        <v>315</v>
      </c>
      <c r="R105" s="69">
        <v>7638.35</v>
      </c>
      <c r="S105" s="22">
        <v>29.93</v>
      </c>
      <c r="T105" s="22">
        <f>IF(R105&gt;=0,IF(AND(R105&gt;tabelas!$C$4,R105&lt;=tabelas!$C$5),(S105)*tabelas!$D$4,IF(AND(R105&gt;=tabelas!$C$5,R105&lt;=tabelas!$C$6),(S105)*tabelas!$D$5,IF(AND(R105&gt;=tabelas!$C$6,R105&lt;=tabelas!$C$7),(S105)*tabelas!$D$6,IF(AND(R105&gt;0,R105&gt;tabelas!$C$7),(S105)*tabelas!$D$7,0)))))</f>
        <v>23.046099999999999</v>
      </c>
      <c r="U105" s="22"/>
      <c r="V105" s="49">
        <f t="shared" si="1"/>
        <v>6.8839000000000006</v>
      </c>
      <c r="W105" s="49"/>
      <c r="X105" s="49"/>
    </row>
    <row r="106" spans="2:24" ht="15" x14ac:dyDescent="0.25">
      <c r="B106" s="62"/>
      <c r="C106" s="43">
        <v>102</v>
      </c>
      <c r="D106" s="68" t="s">
        <v>255</v>
      </c>
      <c r="E106" s="44">
        <v>35482</v>
      </c>
      <c r="F106" s="39" t="s">
        <v>42</v>
      </c>
      <c r="G106" s="39" t="s">
        <v>50</v>
      </c>
      <c r="H106" s="37"/>
      <c r="I106" s="39" t="s">
        <v>77</v>
      </c>
      <c r="J106" s="45">
        <v>45444</v>
      </c>
      <c r="K106" s="46"/>
      <c r="L106" s="39" t="s">
        <v>45</v>
      </c>
      <c r="M106" s="47">
        <v>29.93</v>
      </c>
      <c r="N106" s="48"/>
      <c r="O106" s="21">
        <v>0</v>
      </c>
      <c r="P106" t="s">
        <v>315</v>
      </c>
      <c r="R106" s="69">
        <v>4294.6099999999997</v>
      </c>
      <c r="S106" s="22">
        <v>29.93</v>
      </c>
      <c r="T106" s="22">
        <f>IF(R106&gt;=0,IF(AND(R106&gt;tabelas!$C$4,R106&lt;=tabelas!$C$5),(S106)*tabelas!$D$4,IF(AND(R106&gt;=tabelas!$C$5,R106&lt;=tabelas!$C$6),(S106)*tabelas!$D$5,IF(AND(R106&gt;=tabelas!$C$6,R106&lt;=tabelas!$C$7),(S106)*tabelas!$D$6,IF(AND(R106&gt;0,R106&gt;tabelas!$C$7),(S106)*tabelas!$D$7,0)))))</f>
        <v>25.4405</v>
      </c>
      <c r="U106" s="22"/>
      <c r="V106" s="49">
        <f t="shared" si="1"/>
        <v>4.4894999999999996</v>
      </c>
      <c r="W106" s="49"/>
      <c r="X106" s="49"/>
    </row>
    <row r="107" spans="2:24" ht="24" x14ac:dyDescent="0.25">
      <c r="B107" s="43" t="s">
        <v>149</v>
      </c>
      <c r="C107" s="43">
        <v>103</v>
      </c>
      <c r="D107" s="68" t="s">
        <v>256</v>
      </c>
      <c r="E107" s="44">
        <v>34971</v>
      </c>
      <c r="F107" s="39" t="s">
        <v>42</v>
      </c>
      <c r="G107" s="39" t="s">
        <v>50</v>
      </c>
      <c r="H107" s="37"/>
      <c r="I107" s="39" t="s">
        <v>119</v>
      </c>
      <c r="J107" s="45">
        <v>45439</v>
      </c>
      <c r="K107" s="46"/>
      <c r="L107" s="39" t="s">
        <v>45</v>
      </c>
      <c r="M107" s="47">
        <v>29.93</v>
      </c>
      <c r="N107" s="48"/>
      <c r="O107" s="21">
        <v>0</v>
      </c>
      <c r="P107" t="s">
        <v>315</v>
      </c>
      <c r="R107" s="69">
        <v>4066.19</v>
      </c>
      <c r="S107" s="22">
        <v>29.93</v>
      </c>
      <c r="T107" s="22">
        <f>IF(R107&gt;=0,IF(AND(R107&gt;tabelas!$C$4,R107&lt;=tabelas!$C$5),(S107)*tabelas!$D$4,IF(AND(R107&gt;=tabelas!$C$5,R107&lt;=tabelas!$C$6),(S107)*tabelas!$D$5,IF(AND(R107&gt;=tabelas!$C$6,R107&lt;=tabelas!$C$7),(S107)*tabelas!$D$6,IF(AND(R107&gt;0,R107&gt;tabelas!$C$7),(S107)*tabelas!$D$7,0)))))</f>
        <v>25.4405</v>
      </c>
      <c r="U107" s="22"/>
      <c r="V107" s="49">
        <f t="shared" si="1"/>
        <v>4.4894999999999996</v>
      </c>
      <c r="W107" s="49"/>
      <c r="X107" s="49"/>
    </row>
    <row r="108" spans="2:24" ht="16.5" customHeight="1" x14ac:dyDescent="0.25">
      <c r="B108" s="62"/>
      <c r="C108" s="43">
        <v>104</v>
      </c>
      <c r="D108" s="68" t="s">
        <v>257</v>
      </c>
      <c r="E108" s="44">
        <v>45255</v>
      </c>
      <c r="F108" s="39" t="s">
        <v>42</v>
      </c>
      <c r="G108" s="39" t="s">
        <v>50</v>
      </c>
      <c r="H108" s="39" t="s">
        <v>51</v>
      </c>
      <c r="I108" s="39" t="s">
        <v>119</v>
      </c>
      <c r="J108" s="45">
        <v>45439</v>
      </c>
      <c r="K108" s="46"/>
      <c r="L108" s="39" t="s">
        <v>45</v>
      </c>
      <c r="M108" s="47">
        <v>29.93</v>
      </c>
      <c r="N108" s="48"/>
      <c r="O108" s="21">
        <v>0</v>
      </c>
      <c r="P108" t="s">
        <v>315</v>
      </c>
      <c r="R108" s="69">
        <v>3448.29</v>
      </c>
      <c r="S108" s="22">
        <v>29.93</v>
      </c>
      <c r="T108" s="22">
        <f>IF(R108&gt;=0,IF(AND(R108&gt;tabelas!$C$4,R108&lt;=tabelas!$C$5),(S108)*tabelas!$D$4,IF(AND(R108&gt;=tabelas!$C$5,R108&lt;=tabelas!$C$6),(S108)*tabelas!$D$5,IF(AND(R108&gt;=tabelas!$C$6,R108&lt;=tabelas!$C$7),(S108)*tabelas!$D$6,IF(AND(R108&gt;0,R108&gt;tabelas!$C$7),(S108)*tabelas!$D$7,0)))))</f>
        <v>27.834900000000001</v>
      </c>
      <c r="U108" s="22"/>
      <c r="V108" s="49">
        <f t="shared" si="1"/>
        <v>2.0950999999999986</v>
      </c>
      <c r="W108" s="49"/>
      <c r="X108" s="49"/>
    </row>
    <row r="109" spans="2:24" ht="15" x14ac:dyDescent="0.25">
      <c r="B109" s="62"/>
      <c r="C109" s="43">
        <v>105</v>
      </c>
      <c r="D109" s="68" t="s">
        <v>258</v>
      </c>
      <c r="E109" s="44">
        <v>36676</v>
      </c>
      <c r="F109" s="39" t="s">
        <v>47</v>
      </c>
      <c r="G109" s="39" t="s">
        <v>43</v>
      </c>
      <c r="H109" s="39" t="s">
        <v>48</v>
      </c>
      <c r="I109" s="39" t="s">
        <v>119</v>
      </c>
      <c r="J109" s="45">
        <v>45929</v>
      </c>
      <c r="K109" s="46"/>
      <c r="L109" s="39" t="s">
        <v>45</v>
      </c>
      <c r="M109" s="47">
        <v>29.93</v>
      </c>
      <c r="N109" s="48"/>
      <c r="O109" s="21">
        <v>0</v>
      </c>
      <c r="P109" t="s">
        <v>315</v>
      </c>
      <c r="R109" s="69">
        <v>5798.61</v>
      </c>
      <c r="S109" s="22">
        <v>29.93</v>
      </c>
      <c r="T109" s="22">
        <f>IF(R109&gt;=0,IF(AND(R109&gt;tabelas!$C$4,R109&lt;=tabelas!$C$5),(S109)*tabelas!$D$4,IF(AND(R109&gt;=tabelas!$C$5,R109&lt;=tabelas!$C$6),(S109)*tabelas!$D$5,IF(AND(R109&gt;=tabelas!$C$6,R109&lt;=tabelas!$C$7),(S109)*tabelas!$D$6,IF(AND(R109&gt;0,R109&gt;tabelas!$C$7),(S109)*tabelas!$D$7,0)))))</f>
        <v>25.4405</v>
      </c>
      <c r="U109" s="22"/>
      <c r="V109" s="49">
        <f t="shared" si="1"/>
        <v>4.4894999999999996</v>
      </c>
      <c r="W109" s="49"/>
      <c r="X109" s="49"/>
    </row>
    <row r="110" spans="2:24" ht="24" x14ac:dyDescent="0.25">
      <c r="B110" s="43" t="s">
        <v>150</v>
      </c>
      <c r="C110" s="43">
        <v>106</v>
      </c>
      <c r="D110" s="68" t="s">
        <v>259</v>
      </c>
      <c r="E110" s="44">
        <v>26431</v>
      </c>
      <c r="F110" s="39" t="s">
        <v>42</v>
      </c>
      <c r="G110" s="39" t="s">
        <v>43</v>
      </c>
      <c r="H110" s="37"/>
      <c r="I110" s="39" t="s">
        <v>21</v>
      </c>
      <c r="J110" s="45">
        <v>45439</v>
      </c>
      <c r="K110" s="46"/>
      <c r="L110" s="39" t="s">
        <v>45</v>
      </c>
      <c r="M110" s="47">
        <v>29.93</v>
      </c>
      <c r="N110" s="48"/>
      <c r="O110" s="21">
        <v>0</v>
      </c>
      <c r="P110" t="s">
        <v>315</v>
      </c>
      <c r="R110" s="69">
        <v>6437.91</v>
      </c>
      <c r="S110" s="22">
        <v>29.93</v>
      </c>
      <c r="T110" s="22">
        <f>IF(R110&gt;=0,IF(AND(R110&gt;tabelas!$C$4,R110&lt;=tabelas!$C$5),(S110)*tabelas!$D$4,IF(AND(R110&gt;=tabelas!$C$5,R110&lt;=tabelas!$C$6),(S110)*tabelas!$D$5,IF(AND(R110&gt;=tabelas!$C$6,R110&lt;=tabelas!$C$7),(S110)*tabelas!$D$6,IF(AND(R110&gt;0,R110&gt;tabelas!$C$7),(S110)*tabelas!$D$7,0)))))</f>
        <v>25.4405</v>
      </c>
      <c r="U110" s="22"/>
      <c r="V110" s="49">
        <f t="shared" si="1"/>
        <v>4.4894999999999996</v>
      </c>
      <c r="W110" s="49"/>
      <c r="X110" s="49"/>
    </row>
    <row r="111" spans="2:24" ht="16.5" customHeight="1" x14ac:dyDescent="0.25">
      <c r="B111" s="62"/>
      <c r="C111" s="43">
        <v>107</v>
      </c>
      <c r="D111" s="68" t="s">
        <v>260</v>
      </c>
      <c r="E111" s="44">
        <v>26274</v>
      </c>
      <c r="F111" s="39" t="s">
        <v>42</v>
      </c>
      <c r="G111" s="39" t="s">
        <v>43</v>
      </c>
      <c r="H111" s="39" t="s">
        <v>48</v>
      </c>
      <c r="I111" s="39" t="s">
        <v>21</v>
      </c>
      <c r="J111" s="45">
        <v>45439</v>
      </c>
      <c r="K111" s="46"/>
      <c r="L111" s="39" t="s">
        <v>45</v>
      </c>
      <c r="M111" s="47">
        <v>29.93</v>
      </c>
      <c r="N111" s="48"/>
      <c r="O111" s="21">
        <v>0</v>
      </c>
      <c r="P111" t="s">
        <v>315</v>
      </c>
      <c r="R111" s="69">
        <v>5076.58</v>
      </c>
      <c r="S111" s="22">
        <v>29.93</v>
      </c>
      <c r="T111" s="22">
        <f>IF(R111&gt;=0,IF(AND(R111&gt;tabelas!$C$4,R111&lt;=tabelas!$C$5),(S111)*tabelas!$D$4,IF(AND(R111&gt;=tabelas!$C$5,R111&lt;=tabelas!$C$6),(S111)*tabelas!$D$5,IF(AND(R111&gt;=tabelas!$C$6,R111&lt;=tabelas!$C$7),(S111)*tabelas!$D$6,IF(AND(R111&gt;0,R111&gt;tabelas!$C$7),(S111)*tabelas!$D$7,0)))))</f>
        <v>25.4405</v>
      </c>
      <c r="U111" s="22"/>
      <c r="V111" s="49">
        <f t="shared" si="1"/>
        <v>4.4894999999999996</v>
      </c>
      <c r="W111" s="49"/>
      <c r="X111" s="49"/>
    </row>
    <row r="112" spans="2:24" ht="15" x14ac:dyDescent="0.25">
      <c r="B112" s="62"/>
      <c r="C112" s="43">
        <v>108</v>
      </c>
      <c r="D112" s="68" t="s">
        <v>261</v>
      </c>
      <c r="E112" s="44">
        <v>28956</v>
      </c>
      <c r="F112" s="39" t="s">
        <v>42</v>
      </c>
      <c r="G112" s="39" t="s">
        <v>43</v>
      </c>
      <c r="H112" s="37"/>
      <c r="I112" s="39" t="s">
        <v>21</v>
      </c>
      <c r="J112" s="45">
        <v>45446</v>
      </c>
      <c r="K112" s="46"/>
      <c r="L112" s="39" t="s">
        <v>45</v>
      </c>
      <c r="M112" s="47">
        <v>29.93</v>
      </c>
      <c r="N112" s="48"/>
      <c r="O112" s="21">
        <v>0</v>
      </c>
      <c r="P112" t="s">
        <v>315</v>
      </c>
      <c r="R112" s="69">
        <v>1908.93</v>
      </c>
      <c r="S112" s="22">
        <v>29.93</v>
      </c>
      <c r="T112" s="22">
        <f>IF(R112&gt;=0,IF(AND(R112&gt;tabelas!$C$4,R112&lt;=tabelas!$C$5),(S112)*tabelas!$D$4,IF(AND(R112&gt;=tabelas!$C$5,R112&lt;=tabelas!$C$6),(S112)*tabelas!$D$5,IF(AND(R112&gt;=tabelas!$C$6,R112&lt;=tabelas!$C$7),(S112)*tabelas!$D$6,IF(AND(R112&gt;0,R112&gt;tabelas!$C$7),(S112)*tabelas!$D$7,0)))))</f>
        <v>27.834900000000001</v>
      </c>
      <c r="U112" s="22"/>
      <c r="V112" s="49">
        <f t="shared" si="1"/>
        <v>2.0950999999999986</v>
      </c>
      <c r="W112" s="49"/>
      <c r="X112" s="49"/>
    </row>
    <row r="113" spans="2:26" ht="24" x14ac:dyDescent="0.25">
      <c r="B113" s="43" t="s">
        <v>151</v>
      </c>
      <c r="C113" s="43">
        <v>109</v>
      </c>
      <c r="D113" s="68" t="s">
        <v>262</v>
      </c>
      <c r="E113" s="44">
        <v>45313</v>
      </c>
      <c r="F113" s="39" t="s">
        <v>47</v>
      </c>
      <c r="G113" s="39" t="s">
        <v>50</v>
      </c>
      <c r="H113" s="39" t="s">
        <v>51</v>
      </c>
      <c r="I113" s="39" t="s">
        <v>21</v>
      </c>
      <c r="J113" s="45">
        <v>45446</v>
      </c>
      <c r="K113" s="46"/>
      <c r="L113" s="39" t="s">
        <v>45</v>
      </c>
      <c r="M113" s="47">
        <v>29.93</v>
      </c>
      <c r="N113" s="48"/>
      <c r="O113" s="21">
        <v>0</v>
      </c>
      <c r="P113" t="s">
        <v>315</v>
      </c>
      <c r="R113" s="69">
        <v>2018.03</v>
      </c>
      <c r="S113" s="22">
        <v>29.93</v>
      </c>
      <c r="T113" s="22">
        <f>IF(R113&gt;=0,IF(AND(R113&gt;tabelas!$C$4,R113&lt;=tabelas!$C$5),(S113)*tabelas!$D$4,IF(AND(R113&gt;=tabelas!$C$5,R113&lt;=tabelas!$C$6),(S113)*tabelas!$D$5,IF(AND(R113&gt;=tabelas!$C$6,R113&lt;=tabelas!$C$7),(S113)*tabelas!$D$6,IF(AND(R113&gt;0,R113&gt;tabelas!$C$7),(S113)*tabelas!$D$7,0)))))</f>
        <v>27.834900000000001</v>
      </c>
      <c r="U113" s="22"/>
      <c r="V113" s="49">
        <f t="shared" si="1"/>
        <v>2.0950999999999986</v>
      </c>
      <c r="W113" s="49"/>
      <c r="X113" s="49"/>
    </row>
    <row r="114" spans="2:26" ht="16.5" customHeight="1" x14ac:dyDescent="0.25">
      <c r="B114" s="62"/>
      <c r="C114" s="43">
        <v>110</v>
      </c>
      <c r="D114" s="68" t="s">
        <v>263</v>
      </c>
      <c r="E114" s="44">
        <v>29505</v>
      </c>
      <c r="F114" s="39" t="s">
        <v>47</v>
      </c>
      <c r="G114" s="39" t="s">
        <v>43</v>
      </c>
      <c r="H114" s="39" t="s">
        <v>48</v>
      </c>
      <c r="I114" s="39" t="s">
        <v>21</v>
      </c>
      <c r="J114" s="45">
        <v>45809</v>
      </c>
      <c r="K114" s="46"/>
      <c r="L114" s="39" t="s">
        <v>45</v>
      </c>
      <c r="M114" s="47">
        <v>29.93</v>
      </c>
      <c r="N114" s="48"/>
      <c r="O114" s="21">
        <v>0</v>
      </c>
      <c r="P114" t="s">
        <v>315</v>
      </c>
      <c r="R114" s="69">
        <v>1573.63</v>
      </c>
      <c r="S114" s="22">
        <v>29.93</v>
      </c>
      <c r="T114" s="22">
        <f>IF(R114&gt;=0,IF(AND(R114&gt;tabelas!$C$4,R114&lt;=tabelas!$C$5),(S114)*tabelas!$D$4,IF(AND(R114&gt;=tabelas!$C$5,R114&lt;=tabelas!$C$6),(S114)*tabelas!$D$5,IF(AND(R114&gt;=tabelas!$C$6,R114&lt;=tabelas!$C$7),(S114)*tabelas!$D$6,IF(AND(R114&gt;0,R114&gt;tabelas!$C$7),(S114)*tabelas!$D$7,0)))))</f>
        <v>27.834900000000001</v>
      </c>
      <c r="U114" s="22"/>
      <c r="V114" s="49">
        <f t="shared" si="1"/>
        <v>2.0950999999999986</v>
      </c>
      <c r="W114" s="49"/>
      <c r="X114" s="49"/>
    </row>
    <row r="115" spans="2:26" ht="15" x14ac:dyDescent="0.25">
      <c r="B115" s="62"/>
      <c r="C115" s="43">
        <v>111</v>
      </c>
      <c r="D115" s="68" t="s">
        <v>264</v>
      </c>
      <c r="E115" s="44">
        <v>35082</v>
      </c>
      <c r="F115" s="39" t="s">
        <v>47</v>
      </c>
      <c r="G115" s="39" t="s">
        <v>50</v>
      </c>
      <c r="H115" s="37"/>
      <c r="I115" s="39" t="s">
        <v>44</v>
      </c>
      <c r="J115" s="45">
        <v>45446</v>
      </c>
      <c r="K115" s="46"/>
      <c r="L115" s="39" t="s">
        <v>45</v>
      </c>
      <c r="M115" s="47">
        <v>29.93</v>
      </c>
      <c r="N115" s="48"/>
      <c r="O115" s="21">
        <v>0</v>
      </c>
      <c r="P115" t="s">
        <v>315</v>
      </c>
      <c r="R115" s="69">
        <v>3567.03</v>
      </c>
      <c r="S115" s="22">
        <v>29.93</v>
      </c>
      <c r="T115" s="22">
        <f>IF(R115&gt;=0,IF(AND(R115&gt;tabelas!$C$4,R115&lt;=tabelas!$C$5),(S115)*tabelas!$D$4,IF(AND(R115&gt;=tabelas!$C$5,R115&lt;=tabelas!$C$6),(S115)*tabelas!$D$5,IF(AND(R115&gt;=tabelas!$C$6,R115&lt;=tabelas!$C$7),(S115)*tabelas!$D$6,IF(AND(R115&gt;0,R115&gt;tabelas!$C$7),(S115)*tabelas!$D$7,0)))))</f>
        <v>27.834900000000001</v>
      </c>
      <c r="U115" s="22"/>
      <c r="V115" s="49">
        <f t="shared" si="1"/>
        <v>2.0950999999999986</v>
      </c>
      <c r="W115" s="51"/>
      <c r="X115" s="51"/>
      <c r="Z115" s="51"/>
    </row>
    <row r="116" spans="2:26" ht="24" x14ac:dyDescent="0.25">
      <c r="B116" s="43" t="s">
        <v>152</v>
      </c>
      <c r="C116" s="43">
        <v>112</v>
      </c>
      <c r="D116" s="68" t="s">
        <v>265</v>
      </c>
      <c r="E116" s="44">
        <v>27959</v>
      </c>
      <c r="F116" s="39" t="s">
        <v>42</v>
      </c>
      <c r="G116" s="39" t="s">
        <v>43</v>
      </c>
      <c r="H116" s="37"/>
      <c r="I116" s="39" t="s">
        <v>21</v>
      </c>
      <c r="J116" s="45">
        <v>45446</v>
      </c>
      <c r="K116" s="46"/>
      <c r="L116" s="39" t="s">
        <v>45</v>
      </c>
      <c r="M116" s="47">
        <v>29.93</v>
      </c>
      <c r="N116" s="48"/>
      <c r="O116" s="21">
        <v>0</v>
      </c>
      <c r="P116" t="s">
        <v>315</v>
      </c>
      <c r="R116" s="69">
        <v>4498.04</v>
      </c>
      <c r="S116" s="22">
        <v>29.93</v>
      </c>
      <c r="T116" s="22">
        <f>IF(R116&gt;=0,IF(AND(R116&gt;tabelas!$C$4,R116&lt;=tabelas!$C$5),(S116)*tabelas!$D$4,IF(AND(R116&gt;=tabelas!$C$5,R116&lt;=tabelas!$C$6),(S116)*tabelas!$D$5,IF(AND(R116&gt;=tabelas!$C$6,R116&lt;=tabelas!$C$7),(S116)*tabelas!$D$6,IF(AND(R116&gt;0,R116&gt;tabelas!$C$7),(S116)*tabelas!$D$7,0)))))</f>
        <v>25.4405</v>
      </c>
      <c r="U116" s="22"/>
      <c r="V116" s="49">
        <f t="shared" si="1"/>
        <v>4.4894999999999996</v>
      </c>
      <c r="W116" s="49"/>
      <c r="X116" s="49"/>
    </row>
    <row r="117" spans="2:26" ht="16.5" customHeight="1" x14ac:dyDescent="0.25">
      <c r="B117" s="62"/>
      <c r="C117" s="43">
        <v>113</v>
      </c>
      <c r="D117" s="68" t="s">
        <v>266</v>
      </c>
      <c r="E117" s="44">
        <v>28754</v>
      </c>
      <c r="F117" s="39" t="s">
        <v>47</v>
      </c>
      <c r="G117" s="39" t="s">
        <v>43</v>
      </c>
      <c r="H117" s="39" t="s">
        <v>48</v>
      </c>
      <c r="I117" s="39" t="s">
        <v>21</v>
      </c>
      <c r="J117" s="45">
        <v>45446</v>
      </c>
      <c r="K117" s="46"/>
      <c r="L117" s="39" t="s">
        <v>45</v>
      </c>
      <c r="M117" s="47">
        <v>29.93</v>
      </c>
      <c r="N117" s="48"/>
      <c r="O117" s="21">
        <v>0</v>
      </c>
      <c r="P117" t="s">
        <v>315</v>
      </c>
      <c r="R117" s="69">
        <v>6138.87</v>
      </c>
      <c r="S117" s="22">
        <v>29.93</v>
      </c>
      <c r="T117" s="22">
        <f>IF(R117&gt;=0,IF(AND(R117&gt;tabelas!$C$4,R117&lt;=tabelas!$C$5),(S117)*tabelas!$D$4,IF(AND(R117&gt;=tabelas!$C$5,R117&lt;=tabelas!$C$6),(S117)*tabelas!$D$5,IF(AND(R117&gt;=tabelas!$C$6,R117&lt;=tabelas!$C$7),(S117)*tabelas!$D$6,IF(AND(R117&gt;0,R117&gt;tabelas!$C$7),(S117)*tabelas!$D$7,0)))))</f>
        <v>25.4405</v>
      </c>
      <c r="U117" s="22"/>
      <c r="V117" s="49">
        <f t="shared" si="1"/>
        <v>4.4894999999999996</v>
      </c>
      <c r="W117" s="49"/>
      <c r="X117" s="49"/>
    </row>
    <row r="118" spans="2:26" ht="15" x14ac:dyDescent="0.25">
      <c r="B118" s="62"/>
      <c r="C118" s="43">
        <v>114</v>
      </c>
      <c r="D118" s="68" t="s">
        <v>267</v>
      </c>
      <c r="E118" s="44">
        <v>40203</v>
      </c>
      <c r="F118" s="39" t="s">
        <v>47</v>
      </c>
      <c r="G118" s="39" t="s">
        <v>50</v>
      </c>
      <c r="H118" s="39" t="s">
        <v>51</v>
      </c>
      <c r="I118" s="39" t="s">
        <v>21</v>
      </c>
      <c r="J118" s="45">
        <v>45446</v>
      </c>
      <c r="K118" s="46"/>
      <c r="L118" s="39" t="s">
        <v>45</v>
      </c>
      <c r="M118" s="47">
        <v>29.93</v>
      </c>
      <c r="N118" s="48"/>
      <c r="O118" s="21">
        <v>0</v>
      </c>
      <c r="P118" t="s">
        <v>315</v>
      </c>
      <c r="R118" s="69">
        <v>6680.72</v>
      </c>
      <c r="S118" s="22">
        <v>29.93</v>
      </c>
      <c r="T118" s="22">
        <f>IF(R118&gt;=0,IF(AND(R118&gt;tabelas!$C$4,R118&lt;=tabelas!$C$5),(S118)*tabelas!$D$4,IF(AND(R118&gt;=tabelas!$C$5,R118&lt;=tabelas!$C$6),(S118)*tabelas!$D$5,IF(AND(R118&gt;=tabelas!$C$6,R118&lt;=tabelas!$C$7),(S118)*tabelas!$D$6,IF(AND(R118&gt;0,R118&gt;tabelas!$C$7),(S118)*tabelas!$D$7,0)))))</f>
        <v>25.4405</v>
      </c>
      <c r="U118" s="22"/>
      <c r="V118" s="49">
        <f t="shared" si="1"/>
        <v>4.4894999999999996</v>
      </c>
      <c r="W118" s="49"/>
      <c r="X118" s="49"/>
    </row>
    <row r="119" spans="2:26" ht="24" x14ac:dyDescent="0.25">
      <c r="B119" s="43" t="s">
        <v>153</v>
      </c>
      <c r="C119" s="43">
        <v>115</v>
      </c>
      <c r="D119" s="68" t="s">
        <v>268</v>
      </c>
      <c r="E119" s="44">
        <v>40203</v>
      </c>
      <c r="F119" s="39" t="s">
        <v>42</v>
      </c>
      <c r="G119" s="39" t="s">
        <v>50</v>
      </c>
      <c r="H119" s="39" t="s">
        <v>51</v>
      </c>
      <c r="I119" s="39" t="s">
        <v>21</v>
      </c>
      <c r="J119" s="45">
        <v>45446</v>
      </c>
      <c r="K119" s="46"/>
      <c r="L119" s="39" t="s">
        <v>45</v>
      </c>
      <c r="M119" s="47">
        <v>29.93</v>
      </c>
      <c r="N119" s="48"/>
      <c r="O119" s="21">
        <v>0</v>
      </c>
      <c r="P119" t="s">
        <v>315</v>
      </c>
      <c r="R119" s="69">
        <v>1101.06</v>
      </c>
      <c r="S119" s="22">
        <v>29.93</v>
      </c>
      <c r="T119" s="22">
        <f>IF(R119&gt;=0,IF(AND(R119&gt;tabelas!$C$4,R119&lt;=tabelas!$C$5),(S119)*tabelas!$D$4,IF(AND(R119&gt;=tabelas!$C$5,R119&lt;=tabelas!$C$6),(S119)*tabelas!$D$5,IF(AND(R119&gt;=tabelas!$C$6,R119&lt;=tabelas!$C$7),(S119)*tabelas!$D$6,IF(AND(R119&gt;0,R119&gt;tabelas!$C$7),(S119)*tabelas!$D$7,0)))))</f>
        <v>27.834900000000001</v>
      </c>
      <c r="U119" s="22"/>
      <c r="V119" s="49">
        <f t="shared" si="1"/>
        <v>2.0950999999999986</v>
      </c>
      <c r="W119" s="51"/>
      <c r="X119" s="51"/>
    </row>
    <row r="120" spans="2:26" ht="16.5" customHeight="1" x14ac:dyDescent="0.25">
      <c r="B120" s="62"/>
      <c r="C120" s="43">
        <v>116</v>
      </c>
      <c r="D120" s="68" t="s">
        <v>269</v>
      </c>
      <c r="E120" s="44">
        <v>28358</v>
      </c>
      <c r="F120" s="39" t="s">
        <v>47</v>
      </c>
      <c r="G120" s="39" t="s">
        <v>50</v>
      </c>
      <c r="H120" s="37"/>
      <c r="I120" s="39" t="s">
        <v>119</v>
      </c>
      <c r="J120" s="45">
        <v>45467</v>
      </c>
      <c r="K120" s="46"/>
      <c r="L120" s="39" t="s">
        <v>45</v>
      </c>
      <c r="M120" s="47">
        <v>29.93</v>
      </c>
      <c r="N120" s="48"/>
      <c r="O120" s="21">
        <v>0</v>
      </c>
      <c r="P120" t="s">
        <v>315</v>
      </c>
      <c r="R120" s="69">
        <v>7913.07</v>
      </c>
      <c r="S120" s="22">
        <v>29.93</v>
      </c>
      <c r="T120" s="22">
        <f>IF(R120&gt;=0,IF(AND(R120&gt;tabelas!$C$4,R120&lt;=tabelas!$C$5),(S120)*tabelas!$D$4,IF(AND(R120&gt;=tabelas!$C$5,R120&lt;=tabelas!$C$6),(S120)*tabelas!$D$5,IF(AND(R120&gt;=tabelas!$C$6,R120&lt;=tabelas!$C$7),(S120)*tabelas!$D$6,IF(AND(R120&gt;0,R120&gt;tabelas!$C$7),(S120)*tabelas!$D$7,0)))))</f>
        <v>23.046099999999999</v>
      </c>
      <c r="U120" s="22"/>
      <c r="V120" s="49">
        <f t="shared" si="1"/>
        <v>6.8839000000000006</v>
      </c>
      <c r="W120" s="49"/>
      <c r="X120" s="49"/>
    </row>
    <row r="121" spans="2:26" ht="15" x14ac:dyDescent="0.25">
      <c r="B121" s="62"/>
      <c r="C121" s="43">
        <v>117</v>
      </c>
      <c r="D121" s="68" t="s">
        <v>270</v>
      </c>
      <c r="E121" s="44">
        <v>32933</v>
      </c>
      <c r="F121" s="39" t="s">
        <v>42</v>
      </c>
      <c r="G121" s="39" t="s">
        <v>43</v>
      </c>
      <c r="H121" s="37"/>
      <c r="I121" s="39" t="s">
        <v>21</v>
      </c>
      <c r="J121" s="45">
        <v>45467</v>
      </c>
      <c r="K121" s="46"/>
      <c r="L121" s="39" t="s">
        <v>45</v>
      </c>
      <c r="M121" s="47">
        <v>29.93</v>
      </c>
      <c r="N121" s="48"/>
      <c r="O121" s="21">
        <v>0</v>
      </c>
      <c r="P121" t="s">
        <v>315</v>
      </c>
      <c r="R121" s="69">
        <v>7329.61</v>
      </c>
      <c r="S121" s="22">
        <v>29.93</v>
      </c>
      <c r="T121" s="22">
        <f>IF(R121&gt;=0,IF(AND(R121&gt;tabelas!$C$4,R121&lt;=tabelas!$C$5),(S121)*tabelas!$D$4,IF(AND(R121&gt;=tabelas!$C$5,R121&lt;=tabelas!$C$6),(S121)*tabelas!$D$5,IF(AND(R121&gt;=tabelas!$C$6,R121&lt;=tabelas!$C$7),(S121)*tabelas!$D$6,IF(AND(R121&gt;0,R121&gt;tabelas!$C$7),(S121)*tabelas!$D$7,0)))))</f>
        <v>25.4405</v>
      </c>
      <c r="U121" s="22"/>
      <c r="V121" s="49">
        <f t="shared" si="1"/>
        <v>4.4894999999999996</v>
      </c>
      <c r="W121" s="49"/>
      <c r="X121" s="49"/>
    </row>
    <row r="122" spans="2:26" ht="15" x14ac:dyDescent="0.25">
      <c r="C122" s="43">
        <v>118</v>
      </c>
      <c r="D122" s="68" t="s">
        <v>271</v>
      </c>
      <c r="E122" s="44">
        <v>35549</v>
      </c>
      <c r="F122" s="39" t="s">
        <v>47</v>
      </c>
      <c r="G122" s="39" t="s">
        <v>43</v>
      </c>
      <c r="H122" s="39" t="s">
        <v>48</v>
      </c>
      <c r="I122" s="39" t="s">
        <v>21</v>
      </c>
      <c r="J122" s="45">
        <v>45467</v>
      </c>
      <c r="K122" s="46"/>
      <c r="L122" s="39" t="s">
        <v>45</v>
      </c>
      <c r="M122" s="47">
        <v>29.93</v>
      </c>
      <c r="O122" s="21">
        <v>0</v>
      </c>
      <c r="P122" t="s">
        <v>315</v>
      </c>
      <c r="R122" s="69">
        <v>6627.98</v>
      </c>
      <c r="S122" s="22">
        <v>29.93</v>
      </c>
      <c r="T122" s="22">
        <f>IF(R122&gt;=0,IF(AND(R122&gt;tabelas!$C$4,R122&lt;=tabelas!$C$5),(S122)*tabelas!$D$4,IF(AND(R122&gt;=tabelas!$C$5,R122&lt;=tabelas!$C$6),(S122)*tabelas!$D$5,IF(AND(R122&gt;=tabelas!$C$6,R122&lt;=tabelas!$C$7),(S122)*tabelas!$D$6,IF(AND(R122&gt;0,R122&gt;tabelas!$C$7),(S122)*tabelas!$D$7,0)))))</f>
        <v>25.4405</v>
      </c>
      <c r="V122" s="49">
        <f t="shared" si="1"/>
        <v>4.4894999999999996</v>
      </c>
      <c r="W122" s="49"/>
      <c r="X122" s="49"/>
    </row>
    <row r="123" spans="2:26" ht="15" x14ac:dyDescent="0.25">
      <c r="C123" s="43">
        <v>119</v>
      </c>
      <c r="D123" s="68" t="s">
        <v>272</v>
      </c>
      <c r="E123" s="44">
        <v>34761</v>
      </c>
      <c r="F123" s="39" t="s">
        <v>42</v>
      </c>
      <c r="G123" s="39" t="s">
        <v>50</v>
      </c>
      <c r="H123" s="37"/>
      <c r="I123" s="39" t="s">
        <v>119</v>
      </c>
      <c r="J123" s="45">
        <v>45474</v>
      </c>
      <c r="K123" s="46"/>
      <c r="L123" s="39" t="s">
        <v>45</v>
      </c>
      <c r="M123" s="47">
        <v>29.93</v>
      </c>
      <c r="O123" s="21">
        <v>0</v>
      </c>
      <c r="P123" t="s">
        <v>315</v>
      </c>
      <c r="R123" s="69">
        <v>4015.43</v>
      </c>
      <c r="S123" s="22">
        <v>29.93</v>
      </c>
      <c r="T123" s="22">
        <f>IF(R123&gt;=0,IF(AND(R123&gt;tabelas!$C$4,R123&lt;=tabelas!$C$5),(S123)*tabelas!$D$4,IF(AND(R123&gt;=tabelas!$C$5,R123&lt;=tabelas!$C$6),(S123)*tabelas!$D$5,IF(AND(R123&gt;=tabelas!$C$6,R123&lt;=tabelas!$C$7),(S123)*tabelas!$D$6,IF(AND(R123&gt;0,R123&gt;tabelas!$C$7),(S123)*tabelas!$D$7,0)))))</f>
        <v>25.4405</v>
      </c>
      <c r="V123" s="49">
        <f t="shared" si="1"/>
        <v>4.4894999999999996</v>
      </c>
      <c r="W123" s="51"/>
      <c r="X123" s="51"/>
      <c r="Z123" s="51"/>
    </row>
    <row r="124" spans="2:26" ht="15" x14ac:dyDescent="0.25">
      <c r="C124" s="43">
        <v>120</v>
      </c>
      <c r="D124" s="68" t="s">
        <v>273</v>
      </c>
      <c r="E124" s="44">
        <v>35988</v>
      </c>
      <c r="F124" s="39" t="s">
        <v>42</v>
      </c>
      <c r="G124" s="39" t="s">
        <v>50</v>
      </c>
      <c r="H124" s="37"/>
      <c r="I124" s="39" t="s">
        <v>119</v>
      </c>
      <c r="J124" s="45">
        <v>45509</v>
      </c>
      <c r="K124" s="46"/>
      <c r="L124" s="39" t="s">
        <v>45</v>
      </c>
      <c r="M124" s="47">
        <v>29.93</v>
      </c>
      <c r="O124" s="21">
        <v>0</v>
      </c>
      <c r="P124" t="s">
        <v>315</v>
      </c>
      <c r="R124" s="69">
        <v>3908.84</v>
      </c>
      <c r="S124" s="22">
        <v>29.93</v>
      </c>
      <c r="T124" s="22">
        <f>IF(R124&gt;=0,IF(AND(R124&gt;tabelas!$C$4,R124&lt;=tabelas!$C$5),(S124)*tabelas!$D$4,IF(AND(R124&gt;=tabelas!$C$5,R124&lt;=tabelas!$C$6),(S124)*tabelas!$D$5,IF(AND(R124&gt;=tabelas!$C$6,R124&lt;=tabelas!$C$7),(S124)*tabelas!$D$6,IF(AND(R124&gt;0,R124&gt;tabelas!$C$7),(S124)*tabelas!$D$7,0)))))</f>
        <v>25.4405</v>
      </c>
      <c r="V124" s="49">
        <f t="shared" si="1"/>
        <v>4.4894999999999996</v>
      </c>
      <c r="W124" s="49"/>
      <c r="X124" s="49"/>
    </row>
    <row r="125" spans="2:26" ht="15" x14ac:dyDescent="0.25">
      <c r="C125" s="43">
        <v>121</v>
      </c>
      <c r="D125" s="68" t="s">
        <v>274</v>
      </c>
      <c r="E125" s="44">
        <v>32928</v>
      </c>
      <c r="F125" s="39" t="s">
        <v>47</v>
      </c>
      <c r="G125" s="39" t="s">
        <v>43</v>
      </c>
      <c r="H125" s="37"/>
      <c r="I125" s="39" t="s">
        <v>119</v>
      </c>
      <c r="J125" s="45">
        <v>45523</v>
      </c>
      <c r="K125" s="46"/>
      <c r="L125" s="39" t="s">
        <v>45</v>
      </c>
      <c r="M125" s="47">
        <v>29.93</v>
      </c>
      <c r="O125" s="21">
        <v>0</v>
      </c>
      <c r="P125" t="s">
        <v>315</v>
      </c>
      <c r="R125" s="69">
        <v>6341.86</v>
      </c>
      <c r="S125" s="22">
        <v>29.93</v>
      </c>
      <c r="T125" s="22">
        <f>IF(R125&gt;=0,IF(AND(R125&gt;tabelas!$C$4,R125&lt;=tabelas!$C$5),(S125)*tabelas!$D$4,IF(AND(R125&gt;=tabelas!$C$5,R125&lt;=tabelas!$C$6),(S125)*tabelas!$D$5,IF(AND(R125&gt;=tabelas!$C$6,R125&lt;=tabelas!$C$7),(S125)*tabelas!$D$6,IF(AND(R125&gt;0,R125&gt;tabelas!$C$7),(S125)*tabelas!$D$7,0)))))</f>
        <v>25.4405</v>
      </c>
      <c r="V125" s="49">
        <f t="shared" si="1"/>
        <v>4.4894999999999996</v>
      </c>
      <c r="W125" s="51"/>
      <c r="X125" s="51"/>
    </row>
    <row r="126" spans="2:26" ht="15" x14ac:dyDescent="0.25">
      <c r="C126" s="43">
        <v>122</v>
      </c>
      <c r="D126" s="68" t="s">
        <v>275</v>
      </c>
      <c r="E126" s="44">
        <v>41519</v>
      </c>
      <c r="F126" s="39" t="s">
        <v>47</v>
      </c>
      <c r="G126" s="39" t="s">
        <v>50</v>
      </c>
      <c r="H126" s="39" t="s">
        <v>51</v>
      </c>
      <c r="I126" s="39" t="s">
        <v>119</v>
      </c>
      <c r="J126" s="45">
        <v>45523</v>
      </c>
      <c r="K126" s="46"/>
      <c r="L126" s="39" t="s">
        <v>45</v>
      </c>
      <c r="M126" s="47">
        <v>29.93</v>
      </c>
      <c r="O126" s="21">
        <v>0</v>
      </c>
      <c r="P126" t="s">
        <v>315</v>
      </c>
      <c r="R126" s="69">
        <v>7312.17</v>
      </c>
      <c r="S126" s="22">
        <v>29.93</v>
      </c>
      <c r="T126" s="22">
        <f>IF(R126&gt;=0,IF(AND(R126&gt;tabelas!$C$4,R126&lt;=tabelas!$C$5),(S126)*tabelas!$D$4,IF(AND(R126&gt;=tabelas!$C$5,R126&lt;=tabelas!$C$6),(S126)*tabelas!$D$5,IF(AND(R126&gt;=tabelas!$C$6,R126&lt;=tabelas!$C$7),(S126)*tabelas!$D$6,IF(AND(R126&gt;0,R126&gt;tabelas!$C$7),(S126)*tabelas!$D$7,0)))))</f>
        <v>25.4405</v>
      </c>
      <c r="V126" s="49">
        <f t="shared" si="1"/>
        <v>4.4894999999999996</v>
      </c>
      <c r="W126" s="49"/>
      <c r="X126" s="49"/>
    </row>
    <row r="127" spans="2:26" ht="15" x14ac:dyDescent="0.25">
      <c r="C127" s="43">
        <v>123</v>
      </c>
      <c r="D127" s="68" t="s">
        <v>276</v>
      </c>
      <c r="E127" s="44">
        <v>43147</v>
      </c>
      <c r="F127" s="39" t="s">
        <v>42</v>
      </c>
      <c r="G127" s="39" t="s">
        <v>50</v>
      </c>
      <c r="H127" s="39" t="s">
        <v>51</v>
      </c>
      <c r="I127" s="39" t="s">
        <v>119</v>
      </c>
      <c r="J127" s="45">
        <v>45523</v>
      </c>
      <c r="K127" s="46"/>
      <c r="L127" s="39" t="s">
        <v>45</v>
      </c>
      <c r="M127" s="47">
        <v>29.93</v>
      </c>
      <c r="O127" s="21">
        <v>0</v>
      </c>
      <c r="P127" t="s">
        <v>315</v>
      </c>
      <c r="R127" s="69">
        <v>2756.36</v>
      </c>
      <c r="S127" s="22">
        <v>29.93</v>
      </c>
      <c r="T127" s="22">
        <f>IF(R127&gt;=0,IF(AND(R127&gt;tabelas!$C$4,R127&lt;=tabelas!$C$5),(S127)*tabelas!$D$4,IF(AND(R127&gt;=tabelas!$C$5,R127&lt;=tabelas!$C$6),(S127)*tabelas!$D$5,IF(AND(R127&gt;=tabelas!$C$6,R127&lt;=tabelas!$C$7),(S127)*tabelas!$D$6,IF(AND(R127&gt;0,R127&gt;tabelas!$C$7),(S127)*tabelas!$D$7,0)))))</f>
        <v>27.834900000000001</v>
      </c>
      <c r="V127" s="49">
        <f t="shared" si="1"/>
        <v>2.0950999999999986</v>
      </c>
      <c r="W127" s="49"/>
      <c r="X127" s="49"/>
    </row>
    <row r="128" spans="2:26" ht="15" x14ac:dyDescent="0.25">
      <c r="C128" s="43">
        <v>124</v>
      </c>
      <c r="D128" s="68" t="s">
        <v>277</v>
      </c>
      <c r="E128" s="44">
        <v>32220</v>
      </c>
      <c r="F128" s="39" t="s">
        <v>42</v>
      </c>
      <c r="G128" s="39" t="s">
        <v>43</v>
      </c>
      <c r="H128" s="39" t="s">
        <v>48</v>
      </c>
      <c r="I128" s="39" t="s">
        <v>119</v>
      </c>
      <c r="J128" s="45">
        <v>45523</v>
      </c>
      <c r="K128" s="46"/>
      <c r="L128" s="39" t="s">
        <v>45</v>
      </c>
      <c r="M128" s="47">
        <v>29.93</v>
      </c>
      <c r="O128" s="21">
        <v>0</v>
      </c>
      <c r="P128" t="s">
        <v>315</v>
      </c>
      <c r="R128" s="69">
        <v>3891.25</v>
      </c>
      <c r="S128" s="22">
        <v>29.93</v>
      </c>
      <c r="T128" s="22">
        <f>IF(R128&gt;=0,IF(AND(R128&gt;tabelas!$C$4,R128&lt;=tabelas!$C$5),(S128)*tabelas!$D$4,IF(AND(R128&gt;=tabelas!$C$5,R128&lt;=tabelas!$C$6),(S128)*tabelas!$D$5,IF(AND(R128&gt;=tabelas!$C$6,R128&lt;=tabelas!$C$7),(S128)*tabelas!$D$6,IF(AND(R128&gt;0,R128&gt;tabelas!$C$7),(S128)*tabelas!$D$7,0)))))</f>
        <v>25.4405</v>
      </c>
      <c r="V128" s="49">
        <f t="shared" si="1"/>
        <v>4.4894999999999996</v>
      </c>
      <c r="W128" s="51"/>
      <c r="X128" s="51"/>
    </row>
    <row r="129" spans="3:24" ht="15" x14ac:dyDescent="0.25">
      <c r="C129" s="43">
        <v>125</v>
      </c>
      <c r="D129" s="68" t="s">
        <v>278</v>
      </c>
      <c r="E129" s="44">
        <v>31705</v>
      </c>
      <c r="F129" s="39" t="s">
        <v>42</v>
      </c>
      <c r="G129" s="39" t="s">
        <v>50</v>
      </c>
      <c r="H129" s="37"/>
      <c r="I129" s="39" t="s">
        <v>77</v>
      </c>
      <c r="J129" s="45">
        <v>45544</v>
      </c>
      <c r="K129" s="46"/>
      <c r="L129" s="39" t="s">
        <v>45</v>
      </c>
      <c r="M129" s="47">
        <v>29.93</v>
      </c>
      <c r="O129" s="21">
        <v>0</v>
      </c>
      <c r="P129" t="s">
        <v>315</v>
      </c>
      <c r="R129" s="69">
        <v>6211.39</v>
      </c>
      <c r="S129" s="22">
        <v>29.93</v>
      </c>
      <c r="T129" s="22">
        <f>IF(R129&gt;=0,IF(AND(R129&gt;tabelas!$C$4,R129&lt;=tabelas!$C$5),(S129)*tabelas!$D$4,IF(AND(R129&gt;=tabelas!$C$5,R129&lt;=tabelas!$C$6),(S129)*tabelas!$D$5,IF(AND(R129&gt;=tabelas!$C$6,R129&lt;=tabelas!$C$7),(S129)*tabelas!$D$6,IF(AND(R129&gt;0,R129&gt;tabelas!$C$7),(S129)*tabelas!$D$7,0)))))</f>
        <v>25.4405</v>
      </c>
      <c r="V129" s="49">
        <f t="shared" si="1"/>
        <v>4.4894999999999996</v>
      </c>
    </row>
    <row r="130" spans="3:24" ht="15" x14ac:dyDescent="0.25">
      <c r="C130" s="43">
        <v>126</v>
      </c>
      <c r="D130" s="68" t="s">
        <v>279</v>
      </c>
      <c r="E130" s="44">
        <v>32557</v>
      </c>
      <c r="F130" s="39" t="s">
        <v>42</v>
      </c>
      <c r="G130" s="39" t="s">
        <v>50</v>
      </c>
      <c r="H130" s="37"/>
      <c r="I130" s="39" t="s">
        <v>119</v>
      </c>
      <c r="J130" s="45">
        <v>45558</v>
      </c>
      <c r="K130" s="46"/>
      <c r="L130" s="39" t="s">
        <v>45</v>
      </c>
      <c r="M130" s="47">
        <v>29.93</v>
      </c>
      <c r="O130" s="21">
        <v>0</v>
      </c>
      <c r="P130" t="s">
        <v>315</v>
      </c>
      <c r="R130" s="69">
        <v>7009.86</v>
      </c>
      <c r="S130" s="22">
        <v>29.93</v>
      </c>
      <c r="T130" s="22">
        <f>IF(R130&gt;=0,IF(AND(R130&gt;tabelas!$C$4,R130&lt;=tabelas!$C$5),(S130)*tabelas!$D$4,IF(AND(R130&gt;=tabelas!$C$5,R130&lt;=tabelas!$C$6),(S130)*tabelas!$D$5,IF(AND(R130&gt;=tabelas!$C$6,R130&lt;=tabelas!$C$7),(S130)*tabelas!$D$6,IF(AND(R130&gt;0,R130&gt;tabelas!$C$7),(S130)*tabelas!$D$7,0)))))</f>
        <v>25.4405</v>
      </c>
      <c r="V130" s="49">
        <f t="shared" si="1"/>
        <v>4.4894999999999996</v>
      </c>
      <c r="W130" s="51"/>
      <c r="X130" s="51"/>
    </row>
    <row r="131" spans="3:24" ht="15" x14ac:dyDescent="0.25">
      <c r="C131" s="43">
        <v>127</v>
      </c>
      <c r="D131" s="68" t="s">
        <v>280</v>
      </c>
      <c r="E131" s="44">
        <v>32627</v>
      </c>
      <c r="F131" s="39" t="s">
        <v>42</v>
      </c>
      <c r="G131" s="39" t="s">
        <v>50</v>
      </c>
      <c r="H131" s="37"/>
      <c r="I131" s="39" t="s">
        <v>119</v>
      </c>
      <c r="J131" s="45">
        <v>45558</v>
      </c>
      <c r="K131" s="46"/>
      <c r="L131" s="39" t="s">
        <v>45</v>
      </c>
      <c r="M131" s="47">
        <v>29.93</v>
      </c>
      <c r="O131" s="21">
        <v>0</v>
      </c>
      <c r="P131" t="s">
        <v>315</v>
      </c>
      <c r="R131" s="69">
        <v>6541.3</v>
      </c>
      <c r="S131" s="22">
        <v>29.93</v>
      </c>
      <c r="T131" s="22">
        <f>IF(R131&gt;=0,IF(AND(R131&gt;tabelas!$C$4,R131&lt;=tabelas!$C$5),(S131)*tabelas!$D$4,IF(AND(R131&gt;=tabelas!$C$5,R131&lt;=tabelas!$C$6),(S131)*tabelas!$D$5,IF(AND(R131&gt;=tabelas!$C$6,R131&lt;=tabelas!$C$7),(S131)*tabelas!$D$6,IF(AND(R131&gt;0,R131&gt;tabelas!$C$7),(S131)*tabelas!$D$7,0)))))</f>
        <v>25.4405</v>
      </c>
      <c r="V131" s="49">
        <f t="shared" si="1"/>
        <v>4.4894999999999996</v>
      </c>
      <c r="W131" s="49"/>
      <c r="X131" s="49"/>
    </row>
    <row r="132" spans="3:24" ht="15" x14ac:dyDescent="0.25">
      <c r="C132" s="43">
        <v>128</v>
      </c>
      <c r="D132" s="68" t="s">
        <v>281</v>
      </c>
      <c r="E132" s="44">
        <v>33904</v>
      </c>
      <c r="F132" s="39" t="s">
        <v>47</v>
      </c>
      <c r="G132" s="39" t="s">
        <v>50</v>
      </c>
      <c r="H132" s="37"/>
      <c r="I132" s="39" t="s">
        <v>119</v>
      </c>
      <c r="J132" s="45">
        <v>45589</v>
      </c>
      <c r="K132" s="46"/>
      <c r="L132" s="39" t="s">
        <v>45</v>
      </c>
      <c r="M132" s="47">
        <v>29.93</v>
      </c>
      <c r="O132" s="21">
        <v>0</v>
      </c>
      <c r="P132" t="s">
        <v>315</v>
      </c>
      <c r="R132" s="69">
        <v>6881.22</v>
      </c>
      <c r="S132" s="22">
        <v>29.93</v>
      </c>
      <c r="T132" s="22">
        <f>IF(R132&gt;=0,IF(AND(R132&gt;tabelas!$C$4,R132&lt;=tabelas!$C$5),(S132)*tabelas!$D$4,IF(AND(R132&gt;=tabelas!$C$5,R132&lt;=tabelas!$C$6),(S132)*tabelas!$D$5,IF(AND(R132&gt;=tabelas!$C$6,R132&lt;=tabelas!$C$7),(S132)*tabelas!$D$6,IF(AND(R132&gt;0,R132&gt;tabelas!$C$7),(S132)*tabelas!$D$7,0)))))</f>
        <v>25.4405</v>
      </c>
      <c r="V132" s="49">
        <f t="shared" si="1"/>
        <v>4.4894999999999996</v>
      </c>
      <c r="W132" s="51"/>
      <c r="X132" s="51"/>
    </row>
    <row r="133" spans="3:24" ht="15" x14ac:dyDescent="0.25">
      <c r="C133" s="43">
        <v>129</v>
      </c>
      <c r="D133" s="68" t="s">
        <v>282</v>
      </c>
      <c r="E133" s="44">
        <v>35752</v>
      </c>
      <c r="F133" s="39" t="s">
        <v>42</v>
      </c>
      <c r="G133" s="39" t="s">
        <v>50</v>
      </c>
      <c r="H133" s="37"/>
      <c r="I133" s="39" t="s">
        <v>119</v>
      </c>
      <c r="J133" s="45">
        <v>45589</v>
      </c>
      <c r="K133" s="46"/>
      <c r="L133" s="39" t="s">
        <v>45</v>
      </c>
      <c r="M133" s="47">
        <v>29.93</v>
      </c>
      <c r="O133" s="21">
        <v>0</v>
      </c>
      <c r="P133" t="s">
        <v>315</v>
      </c>
      <c r="R133" s="69">
        <v>4885.16</v>
      </c>
      <c r="S133" s="22">
        <v>29.93</v>
      </c>
      <c r="T133" s="22">
        <f>IF(R133&gt;=0,IF(AND(R133&gt;tabelas!$C$4,R133&lt;=tabelas!$C$5),(S133)*tabelas!$D$4,IF(AND(R133&gt;=tabelas!$C$5,R133&lt;=tabelas!$C$6),(S133)*tabelas!$D$5,IF(AND(R133&gt;=tabelas!$C$6,R133&lt;=tabelas!$C$7),(S133)*tabelas!$D$6,IF(AND(R133&gt;0,R133&gt;tabelas!$C$7),(S133)*tabelas!$D$7,0)))))</f>
        <v>25.4405</v>
      </c>
      <c r="V133" s="49">
        <f t="shared" si="1"/>
        <v>4.4894999999999996</v>
      </c>
      <c r="W133" s="51"/>
      <c r="X133" s="51"/>
    </row>
    <row r="134" spans="3:24" ht="15" x14ac:dyDescent="0.25">
      <c r="C134" s="43">
        <v>130</v>
      </c>
      <c r="D134" s="68" t="s">
        <v>283</v>
      </c>
      <c r="E134" s="44">
        <v>37246</v>
      </c>
      <c r="F134" s="39" t="s">
        <v>42</v>
      </c>
      <c r="G134" s="39" t="s">
        <v>50</v>
      </c>
      <c r="H134" s="37"/>
      <c r="I134" s="39" t="s">
        <v>119</v>
      </c>
      <c r="J134" s="45">
        <v>45627</v>
      </c>
      <c r="K134" s="46"/>
      <c r="L134" s="39" t="s">
        <v>45</v>
      </c>
      <c r="M134" s="47">
        <v>29.93</v>
      </c>
      <c r="O134" s="21">
        <v>0</v>
      </c>
      <c r="P134" t="s">
        <v>315</v>
      </c>
      <c r="R134" s="69">
        <v>5734.76</v>
      </c>
      <c r="S134" s="22">
        <v>29.93</v>
      </c>
      <c r="T134" s="22">
        <f>IF(R134&gt;=0,IF(AND(R134&gt;tabelas!$C$4,R134&lt;=tabelas!$C$5),(S134)*tabelas!$D$4,IF(AND(R134&gt;=tabelas!$C$5,R134&lt;=tabelas!$C$6),(S134)*tabelas!$D$5,IF(AND(R134&gt;=tabelas!$C$6,R134&lt;=tabelas!$C$7),(S134)*tabelas!$D$6,IF(AND(R134&gt;0,R134&gt;tabelas!$C$7),(S134)*tabelas!$D$7,0)))))</f>
        <v>25.4405</v>
      </c>
      <c r="V134" s="49">
        <f t="shared" ref="V134:V165" si="2">M134-T134</f>
        <v>4.4894999999999996</v>
      </c>
      <c r="W134" s="51"/>
      <c r="X134" s="51"/>
    </row>
    <row r="135" spans="3:24" ht="15" x14ac:dyDescent="0.25">
      <c r="C135" s="43">
        <v>131</v>
      </c>
      <c r="D135" s="68" t="s">
        <v>284</v>
      </c>
      <c r="E135" s="44">
        <v>37620</v>
      </c>
      <c r="F135" s="39" t="s">
        <v>42</v>
      </c>
      <c r="G135" s="39" t="s">
        <v>50</v>
      </c>
      <c r="H135" s="37"/>
      <c r="I135" s="39" t="s">
        <v>21</v>
      </c>
      <c r="J135" s="45">
        <v>45670</v>
      </c>
      <c r="K135" s="46"/>
      <c r="L135" s="39" t="s">
        <v>45</v>
      </c>
      <c r="M135" s="47">
        <v>29.93</v>
      </c>
      <c r="O135" s="21">
        <v>0</v>
      </c>
      <c r="P135" t="s">
        <v>315</v>
      </c>
      <c r="R135" s="69">
        <v>7457.95</v>
      </c>
      <c r="S135" s="22">
        <v>29.93</v>
      </c>
      <c r="T135" s="22">
        <f>IF(R135&gt;=0,IF(AND(R135&gt;tabelas!$C$4,R135&lt;=tabelas!$C$5),(S135)*tabelas!$D$4,IF(AND(R135&gt;=tabelas!$C$5,R135&lt;=tabelas!$C$6),(S135)*tabelas!$D$5,IF(AND(R135&gt;=tabelas!$C$6,R135&lt;=tabelas!$C$7),(S135)*tabelas!$D$6,IF(AND(R135&gt;0,R135&gt;tabelas!$C$7),(S135)*tabelas!$D$7,0)))))</f>
        <v>23.046099999999999</v>
      </c>
      <c r="V135" s="49">
        <f t="shared" si="2"/>
        <v>6.8839000000000006</v>
      </c>
      <c r="W135" s="49"/>
      <c r="X135" s="49"/>
    </row>
    <row r="136" spans="3:24" ht="15" x14ac:dyDescent="0.25">
      <c r="C136" s="43">
        <v>132</v>
      </c>
      <c r="D136" s="68" t="s">
        <v>285</v>
      </c>
      <c r="E136" s="44">
        <v>35432</v>
      </c>
      <c r="F136" s="39" t="s">
        <v>47</v>
      </c>
      <c r="G136" s="39" t="s">
        <v>50</v>
      </c>
      <c r="H136" s="37"/>
      <c r="I136" s="39" t="s">
        <v>119</v>
      </c>
      <c r="J136" s="45">
        <v>45689</v>
      </c>
      <c r="K136" s="46"/>
      <c r="L136" s="39" t="s">
        <v>45</v>
      </c>
      <c r="M136" s="47">
        <v>29.93</v>
      </c>
      <c r="O136" s="21">
        <v>0</v>
      </c>
      <c r="P136" t="s">
        <v>315</v>
      </c>
      <c r="R136" s="69">
        <v>1966.13</v>
      </c>
      <c r="S136" s="22">
        <v>29.93</v>
      </c>
      <c r="T136" s="22">
        <f>IF(R136&gt;=0,IF(AND(R136&gt;tabelas!$C$4,R136&lt;=tabelas!$C$5),(S136)*tabelas!$D$4,IF(AND(R136&gt;=tabelas!$C$5,R136&lt;=tabelas!$C$6),(S136)*tabelas!$D$5,IF(AND(R136&gt;=tabelas!$C$6,R136&lt;=tabelas!$C$7),(S136)*tabelas!$D$6,IF(AND(R136&gt;0,R136&gt;tabelas!$C$7),(S136)*tabelas!$D$7,0)))))</f>
        <v>27.834900000000001</v>
      </c>
      <c r="V136" s="49">
        <f t="shared" si="2"/>
        <v>2.0950999999999986</v>
      </c>
      <c r="W136" s="51"/>
      <c r="X136" s="51"/>
    </row>
    <row r="137" spans="3:24" ht="15" x14ac:dyDescent="0.25">
      <c r="C137" s="43">
        <v>133</v>
      </c>
      <c r="D137" s="68" t="s">
        <v>286</v>
      </c>
      <c r="E137" s="44">
        <v>35302</v>
      </c>
      <c r="F137" s="39" t="s">
        <v>42</v>
      </c>
      <c r="G137" s="39" t="s">
        <v>43</v>
      </c>
      <c r="H137" s="37"/>
      <c r="I137" s="39" t="s">
        <v>119</v>
      </c>
      <c r="J137" s="45">
        <v>45748</v>
      </c>
      <c r="K137" s="46"/>
      <c r="L137" s="39" t="s">
        <v>45</v>
      </c>
      <c r="M137" s="47">
        <v>29.93</v>
      </c>
      <c r="O137" s="21">
        <v>0</v>
      </c>
      <c r="P137" t="s">
        <v>315</v>
      </c>
      <c r="R137" s="69">
        <v>1499.16</v>
      </c>
      <c r="S137" s="22">
        <v>29.93</v>
      </c>
      <c r="T137" s="22">
        <f>IF(R137&gt;=0,IF(AND(R137&gt;tabelas!$C$4,R137&lt;=tabelas!$C$5),(S137)*tabelas!$D$4,IF(AND(R137&gt;=tabelas!$C$5,R137&lt;=tabelas!$C$6),(S137)*tabelas!$D$5,IF(AND(R137&gt;=tabelas!$C$6,R137&lt;=tabelas!$C$7),(S137)*tabelas!$D$6,IF(AND(R137&gt;0,R137&gt;tabelas!$C$7),(S137)*tabelas!$D$7,0)))))</f>
        <v>27.834900000000001</v>
      </c>
      <c r="V137" s="49">
        <f t="shared" si="2"/>
        <v>2.0950999999999986</v>
      </c>
      <c r="W137" s="51"/>
      <c r="X137" s="51"/>
    </row>
    <row r="138" spans="3:24" ht="15" x14ac:dyDescent="0.25">
      <c r="C138" s="43">
        <v>134</v>
      </c>
      <c r="D138" s="68" t="s">
        <v>287</v>
      </c>
      <c r="E138" s="44">
        <v>35237</v>
      </c>
      <c r="F138" s="39" t="s">
        <v>47</v>
      </c>
      <c r="G138" s="39" t="s">
        <v>43</v>
      </c>
      <c r="H138" s="39" t="s">
        <v>48</v>
      </c>
      <c r="I138" s="39" t="s">
        <v>119</v>
      </c>
      <c r="J138" s="45">
        <v>45748</v>
      </c>
      <c r="K138" s="46"/>
      <c r="L138" s="39" t="s">
        <v>45</v>
      </c>
      <c r="M138" s="47">
        <v>29.93</v>
      </c>
      <c r="O138" s="21">
        <v>0</v>
      </c>
      <c r="P138" t="s">
        <v>315</v>
      </c>
      <c r="R138" s="69">
        <v>3737.76</v>
      </c>
      <c r="S138" s="22">
        <v>29.93</v>
      </c>
      <c r="T138" s="22">
        <f>IF(R138&gt;=0,IF(AND(R138&gt;tabelas!$C$4,R138&lt;=tabelas!$C$5),(S138)*tabelas!$D$4,IF(AND(R138&gt;=tabelas!$C$5,R138&lt;=tabelas!$C$6),(S138)*tabelas!$D$5,IF(AND(R138&gt;=tabelas!$C$6,R138&lt;=tabelas!$C$7),(S138)*tabelas!$D$6,IF(AND(R138&gt;0,R138&gt;tabelas!$C$7),(S138)*tabelas!$D$7,0)))))</f>
        <v>25.4405</v>
      </c>
      <c r="V138" s="49">
        <f t="shared" si="2"/>
        <v>4.4894999999999996</v>
      </c>
      <c r="W138" s="49"/>
      <c r="X138" s="49"/>
    </row>
    <row r="139" spans="3:24" ht="15" x14ac:dyDescent="0.25">
      <c r="C139" s="43">
        <v>135</v>
      </c>
      <c r="D139" s="68" t="s">
        <v>288</v>
      </c>
      <c r="E139" s="44">
        <v>25744</v>
      </c>
      <c r="F139" s="39" t="s">
        <v>42</v>
      </c>
      <c r="G139" s="39" t="s">
        <v>50</v>
      </c>
      <c r="H139" s="37"/>
      <c r="I139" s="39" t="s">
        <v>119</v>
      </c>
      <c r="J139" s="45">
        <v>45761</v>
      </c>
      <c r="K139" s="46"/>
      <c r="L139" s="39" t="s">
        <v>45</v>
      </c>
      <c r="M139" s="47">
        <v>29.93</v>
      </c>
      <c r="O139" s="21">
        <v>0</v>
      </c>
      <c r="P139" t="s">
        <v>315</v>
      </c>
      <c r="R139" s="69">
        <v>1704.04</v>
      </c>
      <c r="S139" s="22">
        <v>29.93</v>
      </c>
      <c r="T139" s="22">
        <f>IF(R139&gt;=0,IF(AND(R139&gt;tabelas!$C$4,R139&lt;=tabelas!$C$5),(S139)*tabelas!$D$4,IF(AND(R139&gt;=tabelas!$C$5,R139&lt;=tabelas!$C$6),(S139)*tabelas!$D$5,IF(AND(R139&gt;=tabelas!$C$6,R139&lt;=tabelas!$C$7),(S139)*tabelas!$D$6,IF(AND(R139&gt;0,R139&gt;tabelas!$C$7),(S139)*tabelas!$D$7,0)))))</f>
        <v>27.834900000000001</v>
      </c>
      <c r="V139" s="49">
        <f t="shared" si="2"/>
        <v>2.0950999999999986</v>
      </c>
      <c r="W139" s="51"/>
      <c r="X139" s="51"/>
    </row>
    <row r="140" spans="3:24" ht="15" x14ac:dyDescent="0.25">
      <c r="C140" s="43">
        <v>136</v>
      </c>
      <c r="D140" s="68" t="s">
        <v>289</v>
      </c>
      <c r="E140" s="44">
        <v>37130</v>
      </c>
      <c r="F140" s="39" t="s">
        <v>42</v>
      </c>
      <c r="G140" s="39" t="s">
        <v>50</v>
      </c>
      <c r="H140" s="37"/>
      <c r="I140" s="39" t="s">
        <v>119</v>
      </c>
      <c r="J140" s="45">
        <v>45782</v>
      </c>
      <c r="K140" s="46"/>
      <c r="L140" s="39" t="s">
        <v>45</v>
      </c>
      <c r="M140" s="47">
        <v>29.93</v>
      </c>
      <c r="O140" s="21">
        <v>0</v>
      </c>
      <c r="P140" t="s">
        <v>315</v>
      </c>
      <c r="R140" s="69">
        <v>5518.3</v>
      </c>
      <c r="S140" s="22">
        <v>29.93</v>
      </c>
      <c r="T140" s="22">
        <f>IF(R140&gt;=0,IF(AND(R140&gt;tabelas!$C$4,R140&lt;=tabelas!$C$5),(S140)*tabelas!$D$4,IF(AND(R140&gt;=tabelas!$C$5,R140&lt;=tabelas!$C$6),(S140)*tabelas!$D$5,IF(AND(R140&gt;=tabelas!$C$6,R140&lt;=tabelas!$C$7),(S140)*tabelas!$D$6,IF(AND(R140&gt;0,R140&gt;tabelas!$C$7),(S140)*tabelas!$D$7,0)))))</f>
        <v>25.4405</v>
      </c>
      <c r="V140" s="49">
        <f t="shared" si="2"/>
        <v>4.4894999999999996</v>
      </c>
      <c r="W140" s="51"/>
      <c r="X140" s="51"/>
    </row>
    <row r="141" spans="3:24" ht="15" x14ac:dyDescent="0.25">
      <c r="C141" s="43">
        <v>137</v>
      </c>
      <c r="D141" s="68" t="s">
        <v>290</v>
      </c>
      <c r="E141" s="44">
        <v>32880</v>
      </c>
      <c r="F141" s="39" t="s">
        <v>42</v>
      </c>
      <c r="G141" s="39" t="s">
        <v>43</v>
      </c>
      <c r="H141" s="37"/>
      <c r="I141" s="39" t="s">
        <v>44</v>
      </c>
      <c r="J141" s="45">
        <v>45796</v>
      </c>
      <c r="K141" s="46"/>
      <c r="L141" s="39" t="s">
        <v>45</v>
      </c>
      <c r="M141" s="47">
        <v>29.93</v>
      </c>
      <c r="O141" s="21">
        <v>0</v>
      </c>
      <c r="P141" t="s">
        <v>315</v>
      </c>
      <c r="R141" s="69">
        <v>6750.92</v>
      </c>
      <c r="S141" s="22">
        <v>29.93</v>
      </c>
      <c r="T141" s="22">
        <f>IF(R141&gt;=0,IF(AND(R141&gt;tabelas!$C$4,R141&lt;=tabelas!$C$5),(S141)*tabelas!$D$4,IF(AND(R141&gt;=tabelas!$C$5,R141&lt;=tabelas!$C$6),(S141)*tabelas!$D$5,IF(AND(R141&gt;=tabelas!$C$6,R141&lt;=tabelas!$C$7),(S141)*tabelas!$D$6,IF(AND(R141&gt;0,R141&gt;tabelas!$C$7),(S141)*tabelas!$D$7,0)))))</f>
        <v>25.4405</v>
      </c>
      <c r="V141" s="49">
        <f t="shared" si="2"/>
        <v>4.4894999999999996</v>
      </c>
      <c r="W141" s="49"/>
      <c r="X141" s="49"/>
    </row>
    <row r="142" spans="3:24" ht="15" x14ac:dyDescent="0.25">
      <c r="C142" s="43">
        <v>138</v>
      </c>
      <c r="D142" s="68" t="s">
        <v>291</v>
      </c>
      <c r="E142" s="44">
        <v>32824</v>
      </c>
      <c r="F142" s="39" t="s">
        <v>47</v>
      </c>
      <c r="G142" s="39" t="s">
        <v>43</v>
      </c>
      <c r="H142" s="39" t="s">
        <v>48</v>
      </c>
      <c r="I142" s="39" t="s">
        <v>44</v>
      </c>
      <c r="J142" s="45">
        <v>45796</v>
      </c>
      <c r="K142" s="46"/>
      <c r="L142" s="39" t="s">
        <v>45</v>
      </c>
      <c r="M142" s="47">
        <v>29.93</v>
      </c>
      <c r="O142" s="21">
        <v>0</v>
      </c>
      <c r="P142" t="s">
        <v>315</v>
      </c>
      <c r="R142" s="69">
        <v>3359.29</v>
      </c>
      <c r="S142" s="22">
        <v>29.93</v>
      </c>
      <c r="T142" s="22">
        <f>IF(R142&gt;=0,IF(AND(R142&gt;tabelas!$C$4,R142&lt;=tabelas!$C$5),(S142)*tabelas!$D$4,IF(AND(R142&gt;=tabelas!$C$5,R142&lt;=tabelas!$C$6),(S142)*tabelas!$D$5,IF(AND(R142&gt;=tabelas!$C$6,R142&lt;=tabelas!$C$7),(S142)*tabelas!$D$6,IF(AND(R142&gt;0,R142&gt;tabelas!$C$7),(S142)*tabelas!$D$7,0)))))</f>
        <v>27.834900000000001</v>
      </c>
      <c r="V142" s="49">
        <f t="shared" si="2"/>
        <v>2.0950999999999986</v>
      </c>
      <c r="W142" s="51"/>
      <c r="X142" s="51"/>
    </row>
    <row r="143" spans="3:24" ht="15" x14ac:dyDescent="0.25">
      <c r="C143" s="43">
        <v>139</v>
      </c>
      <c r="D143" s="68" t="s">
        <v>292</v>
      </c>
      <c r="E143" s="44">
        <v>45276</v>
      </c>
      <c r="F143" s="39" t="s">
        <v>47</v>
      </c>
      <c r="G143" s="39" t="s">
        <v>50</v>
      </c>
      <c r="H143" s="39" t="s">
        <v>51</v>
      </c>
      <c r="I143" s="39" t="s">
        <v>44</v>
      </c>
      <c r="J143" s="45">
        <v>45796</v>
      </c>
      <c r="K143" s="46"/>
      <c r="L143" s="39" t="s">
        <v>45</v>
      </c>
      <c r="M143" s="47">
        <v>29.93</v>
      </c>
      <c r="O143" s="21">
        <v>0</v>
      </c>
      <c r="P143" t="s">
        <v>315</v>
      </c>
      <c r="R143" s="69">
        <v>4670.5200000000004</v>
      </c>
      <c r="S143" s="22">
        <v>29.93</v>
      </c>
      <c r="T143" s="22">
        <f>IF(R143&gt;=0,IF(AND(R143&gt;tabelas!$C$4,R143&lt;=tabelas!$C$5),(S143)*tabelas!$D$4,IF(AND(R143&gt;=tabelas!$C$5,R143&lt;=tabelas!$C$6),(S143)*tabelas!$D$5,IF(AND(R143&gt;=tabelas!$C$6,R143&lt;=tabelas!$C$7),(S143)*tabelas!$D$6,IF(AND(R143&gt;0,R143&gt;tabelas!$C$7),(S143)*tabelas!$D$7,0)))))</f>
        <v>25.4405</v>
      </c>
      <c r="V143" s="49">
        <f t="shared" si="2"/>
        <v>4.4894999999999996</v>
      </c>
      <c r="W143" s="49"/>
      <c r="X143" s="49"/>
    </row>
    <row r="144" spans="3:24" ht="15" x14ac:dyDescent="0.25">
      <c r="C144" s="43">
        <v>140</v>
      </c>
      <c r="D144" s="68" t="s">
        <v>293</v>
      </c>
      <c r="E144" s="44">
        <v>32974</v>
      </c>
      <c r="F144" s="39" t="s">
        <v>47</v>
      </c>
      <c r="G144" s="39" t="s">
        <v>50</v>
      </c>
      <c r="H144" s="37"/>
      <c r="I144" s="39" t="s">
        <v>119</v>
      </c>
      <c r="J144" s="45">
        <v>45809</v>
      </c>
      <c r="K144" s="46"/>
      <c r="L144" s="39" t="s">
        <v>45</v>
      </c>
      <c r="M144" s="47">
        <v>29.93</v>
      </c>
      <c r="O144" s="21">
        <v>0</v>
      </c>
      <c r="P144" t="s">
        <v>315</v>
      </c>
      <c r="R144" s="69">
        <v>4819.71</v>
      </c>
      <c r="S144" s="22">
        <v>29.93</v>
      </c>
      <c r="T144" s="22">
        <f>IF(R144&gt;=0,IF(AND(R144&gt;tabelas!$C$4,R144&lt;=tabelas!$C$5),(S144)*tabelas!$D$4,IF(AND(R144&gt;=tabelas!$C$5,R144&lt;=tabelas!$C$6),(S144)*tabelas!$D$5,IF(AND(R144&gt;=tabelas!$C$6,R144&lt;=tabelas!$C$7),(S144)*tabelas!$D$6,IF(AND(R144&gt;0,R144&gt;tabelas!$C$7),(S144)*tabelas!$D$7,0)))))</f>
        <v>25.4405</v>
      </c>
      <c r="V144" s="49">
        <f t="shared" si="2"/>
        <v>4.4894999999999996</v>
      </c>
    </row>
    <row r="145" spans="3:24" ht="15" x14ac:dyDescent="0.25">
      <c r="C145" s="43">
        <v>141</v>
      </c>
      <c r="D145" s="68" t="s">
        <v>294</v>
      </c>
      <c r="E145" s="44">
        <v>36020</v>
      </c>
      <c r="F145" s="39" t="s">
        <v>42</v>
      </c>
      <c r="G145" s="39" t="s">
        <v>50</v>
      </c>
      <c r="H145" s="37"/>
      <c r="I145" s="39" t="s">
        <v>119</v>
      </c>
      <c r="J145" s="45">
        <v>45839</v>
      </c>
      <c r="K145" s="46"/>
      <c r="L145" s="39" t="s">
        <v>45</v>
      </c>
      <c r="M145" s="47">
        <v>29.93</v>
      </c>
      <c r="O145" s="21">
        <v>0</v>
      </c>
      <c r="P145" t="s">
        <v>315</v>
      </c>
      <c r="R145" s="69">
        <v>1723.75</v>
      </c>
      <c r="S145" s="22">
        <v>29.93</v>
      </c>
      <c r="T145" s="22">
        <f>IF(R145&gt;=0,IF(AND(R145&gt;tabelas!$C$4,R145&lt;=tabelas!$C$5),(S145)*tabelas!$D$4,IF(AND(R145&gt;=tabelas!$C$5,R145&lt;=tabelas!$C$6),(S145)*tabelas!$D$5,IF(AND(R145&gt;=tabelas!$C$6,R145&lt;=tabelas!$C$7),(S145)*tabelas!$D$6,IF(AND(R145&gt;0,R145&gt;tabelas!$C$7),(S145)*tabelas!$D$7,0)))))</f>
        <v>27.834900000000001</v>
      </c>
      <c r="V145" s="49">
        <f t="shared" si="2"/>
        <v>2.0950999999999986</v>
      </c>
      <c r="W145" s="51"/>
      <c r="X145" s="51"/>
    </row>
    <row r="146" spans="3:24" ht="15" x14ac:dyDescent="0.25">
      <c r="C146" s="43">
        <v>142</v>
      </c>
      <c r="D146" s="68" t="s">
        <v>295</v>
      </c>
      <c r="E146" s="44">
        <v>29765</v>
      </c>
      <c r="F146" s="39" t="s">
        <v>42</v>
      </c>
      <c r="G146" s="39" t="s">
        <v>43</v>
      </c>
      <c r="H146" s="37"/>
      <c r="I146" s="39" t="s">
        <v>119</v>
      </c>
      <c r="J146" s="45">
        <v>45870</v>
      </c>
      <c r="K146" s="46"/>
      <c r="L146" s="39" t="s">
        <v>45</v>
      </c>
      <c r="M146" s="47">
        <v>29.93</v>
      </c>
      <c r="O146" s="21">
        <v>0</v>
      </c>
      <c r="P146" t="s">
        <v>315</v>
      </c>
      <c r="R146" s="69">
        <v>3458.54</v>
      </c>
      <c r="S146" s="22">
        <v>29.93</v>
      </c>
      <c r="T146" s="22">
        <f>IF(R146&gt;=0,IF(AND(R146&gt;tabelas!$C$4,R146&lt;=tabelas!$C$5),(S146)*tabelas!$D$4,IF(AND(R146&gt;=tabelas!$C$5,R146&lt;=tabelas!$C$6),(S146)*tabelas!$D$5,IF(AND(R146&gt;=tabelas!$C$6,R146&lt;=tabelas!$C$7),(S146)*tabelas!$D$6,IF(AND(R146&gt;0,R146&gt;tabelas!$C$7),(S146)*tabelas!$D$7,0)))))</f>
        <v>27.834900000000001</v>
      </c>
      <c r="V146" s="49">
        <f t="shared" si="2"/>
        <v>2.0950999999999986</v>
      </c>
      <c r="W146" s="49"/>
      <c r="X146" s="49"/>
    </row>
    <row r="147" spans="3:24" ht="15" x14ac:dyDescent="0.25">
      <c r="C147" s="43">
        <v>143</v>
      </c>
      <c r="D147" s="68" t="s">
        <v>296</v>
      </c>
      <c r="E147" s="44">
        <v>30511</v>
      </c>
      <c r="F147" s="39" t="s">
        <v>47</v>
      </c>
      <c r="G147" s="39" t="s">
        <v>43</v>
      </c>
      <c r="H147" s="39" t="s">
        <v>48</v>
      </c>
      <c r="I147" s="39" t="s">
        <v>119</v>
      </c>
      <c r="J147" s="45">
        <v>45870</v>
      </c>
      <c r="K147" s="46"/>
      <c r="L147" s="39" t="s">
        <v>45</v>
      </c>
      <c r="M147" s="47">
        <v>29.93</v>
      </c>
      <c r="O147" s="21">
        <v>0</v>
      </c>
      <c r="P147" t="s">
        <v>315</v>
      </c>
      <c r="R147" s="69">
        <v>3611.55</v>
      </c>
      <c r="S147" s="22">
        <v>29.93</v>
      </c>
      <c r="T147" s="22">
        <f>IF(R147&gt;=0,IF(AND(R147&gt;tabelas!$C$4,R147&lt;=tabelas!$C$5),(S147)*tabelas!$D$4,IF(AND(R147&gt;=tabelas!$C$5,R147&lt;=tabelas!$C$6),(S147)*tabelas!$D$5,IF(AND(R147&gt;=tabelas!$C$6,R147&lt;=tabelas!$C$7),(S147)*tabelas!$D$6,IF(AND(R147&gt;0,R147&gt;tabelas!$C$7),(S147)*tabelas!$D$7,0)))))</f>
        <v>27.834900000000001</v>
      </c>
      <c r="V147" s="49">
        <f t="shared" si="2"/>
        <v>2.0950999999999986</v>
      </c>
    </row>
    <row r="148" spans="3:24" ht="15" x14ac:dyDescent="0.25">
      <c r="C148" s="43">
        <v>144</v>
      </c>
      <c r="D148" s="68" t="s">
        <v>297</v>
      </c>
      <c r="E148" s="44">
        <v>42373</v>
      </c>
      <c r="F148" s="39" t="s">
        <v>42</v>
      </c>
      <c r="G148" s="39" t="s">
        <v>50</v>
      </c>
      <c r="H148" s="39" t="s">
        <v>51</v>
      </c>
      <c r="I148" s="39" t="s">
        <v>119</v>
      </c>
      <c r="J148" s="45">
        <v>45870</v>
      </c>
      <c r="K148" s="46"/>
      <c r="L148" s="39" t="s">
        <v>45</v>
      </c>
      <c r="M148" s="47">
        <v>29.93</v>
      </c>
      <c r="O148" s="21">
        <v>0</v>
      </c>
      <c r="P148" t="s">
        <v>315</v>
      </c>
      <c r="R148" s="69">
        <v>7926.86</v>
      </c>
      <c r="S148" s="22">
        <v>29.93</v>
      </c>
      <c r="T148" s="22">
        <f>IF(R148&gt;=0,IF(AND(R148&gt;tabelas!$C$4,R148&lt;=tabelas!$C$5),(S148)*tabelas!$D$4,IF(AND(R148&gt;=tabelas!$C$5,R148&lt;=tabelas!$C$6),(S148)*tabelas!$D$5,IF(AND(R148&gt;=tabelas!$C$6,R148&lt;=tabelas!$C$7),(S148)*tabelas!$D$6,IF(AND(R148&gt;0,R148&gt;tabelas!$C$7),(S148)*tabelas!$D$7,0)))))</f>
        <v>23.046099999999999</v>
      </c>
      <c r="V148" s="49">
        <f t="shared" si="2"/>
        <v>6.8839000000000006</v>
      </c>
      <c r="W148" s="51"/>
      <c r="X148" s="51"/>
    </row>
    <row r="149" spans="3:24" ht="15" x14ac:dyDescent="0.25">
      <c r="C149" s="43">
        <v>145</v>
      </c>
      <c r="D149" s="68" t="s">
        <v>298</v>
      </c>
      <c r="E149" s="44">
        <v>33718</v>
      </c>
      <c r="F149" s="39" t="s">
        <v>42</v>
      </c>
      <c r="G149" s="39" t="s">
        <v>43</v>
      </c>
      <c r="H149" s="37"/>
      <c r="I149" s="39" t="s">
        <v>77</v>
      </c>
      <c r="J149" s="45">
        <v>45859</v>
      </c>
      <c r="K149" s="46"/>
      <c r="L149" s="39" t="s">
        <v>45</v>
      </c>
      <c r="M149" s="47">
        <v>29.93</v>
      </c>
      <c r="O149" s="21">
        <v>0</v>
      </c>
      <c r="P149" t="s">
        <v>315</v>
      </c>
      <c r="R149" s="69">
        <v>6678.28</v>
      </c>
      <c r="S149" s="22">
        <v>29.93</v>
      </c>
      <c r="T149" s="22">
        <f>IF(R149&gt;=0,IF(AND(R149&gt;tabelas!$C$4,R149&lt;=tabelas!$C$5),(S149)*tabelas!$D$4,IF(AND(R149&gt;=tabelas!$C$5,R149&lt;=tabelas!$C$6),(S149)*tabelas!$D$5,IF(AND(R149&gt;=tabelas!$C$6,R149&lt;=tabelas!$C$7),(S149)*tabelas!$D$6,IF(AND(R149&gt;0,R149&gt;tabelas!$C$7),(S149)*tabelas!$D$7,0)))))</f>
        <v>25.4405</v>
      </c>
      <c r="V149" s="49">
        <f t="shared" si="2"/>
        <v>4.4894999999999996</v>
      </c>
      <c r="W149" s="49"/>
      <c r="X149" s="49"/>
    </row>
    <row r="150" spans="3:24" ht="15" x14ac:dyDescent="0.25">
      <c r="C150" s="43">
        <v>146</v>
      </c>
      <c r="D150" s="68" t="s">
        <v>299</v>
      </c>
      <c r="E150" s="44">
        <v>33188</v>
      </c>
      <c r="F150" s="39" t="s">
        <v>47</v>
      </c>
      <c r="G150" s="39" t="s">
        <v>43</v>
      </c>
      <c r="H150" s="39" t="s">
        <v>48</v>
      </c>
      <c r="I150" s="39" t="s">
        <v>77</v>
      </c>
      <c r="J150" s="45">
        <v>45859</v>
      </c>
      <c r="K150" s="46"/>
      <c r="L150" s="39" t="s">
        <v>45</v>
      </c>
      <c r="M150" s="47">
        <v>29.93</v>
      </c>
      <c r="O150" s="21">
        <v>0</v>
      </c>
      <c r="P150" t="s">
        <v>315</v>
      </c>
      <c r="R150" s="69">
        <v>2108.2399999999998</v>
      </c>
      <c r="S150" s="22">
        <v>29.93</v>
      </c>
      <c r="T150" s="22">
        <f>IF(R150&gt;=0,IF(AND(R150&gt;tabelas!$C$4,R150&lt;=tabelas!$C$5),(S150)*tabelas!$D$4,IF(AND(R150&gt;=tabelas!$C$5,R150&lt;=tabelas!$C$6),(S150)*tabelas!$D$5,IF(AND(R150&gt;=tabelas!$C$6,R150&lt;=tabelas!$C$7),(S150)*tabelas!$D$6,IF(AND(R150&gt;0,R150&gt;tabelas!$C$7),(S150)*tabelas!$D$7,0)))))</f>
        <v>27.834900000000001</v>
      </c>
      <c r="V150" s="49">
        <f t="shared" si="2"/>
        <v>2.0950999999999986</v>
      </c>
    </row>
    <row r="151" spans="3:24" ht="15" x14ac:dyDescent="0.25">
      <c r="C151" s="43">
        <v>147</v>
      </c>
      <c r="D151" s="68" t="s">
        <v>300</v>
      </c>
      <c r="E151" s="44">
        <v>43014</v>
      </c>
      <c r="F151" s="39" t="s">
        <v>42</v>
      </c>
      <c r="G151" s="39" t="s">
        <v>50</v>
      </c>
      <c r="H151" s="39" t="s">
        <v>51</v>
      </c>
      <c r="I151" s="39" t="s">
        <v>77</v>
      </c>
      <c r="J151" s="45">
        <v>45859</v>
      </c>
      <c r="K151" s="46"/>
      <c r="L151" s="39" t="s">
        <v>45</v>
      </c>
      <c r="M151" s="47">
        <v>29.93</v>
      </c>
      <c r="O151" s="21">
        <v>0</v>
      </c>
      <c r="P151" t="s">
        <v>315</v>
      </c>
      <c r="R151" s="69">
        <v>1335.73</v>
      </c>
      <c r="S151" s="22">
        <v>29.93</v>
      </c>
      <c r="T151" s="22">
        <f>IF(R151&gt;=0,IF(AND(R151&gt;tabelas!$C$4,R151&lt;=tabelas!$C$5),(S151)*tabelas!$D$4,IF(AND(R151&gt;=tabelas!$C$5,R151&lt;=tabelas!$C$6),(S151)*tabelas!$D$5,IF(AND(R151&gt;=tabelas!$C$6,R151&lt;=tabelas!$C$7),(S151)*tabelas!$D$6,IF(AND(R151&gt;0,R151&gt;tabelas!$C$7),(S151)*tabelas!$D$7,0)))))</f>
        <v>27.834900000000001</v>
      </c>
      <c r="V151" s="49">
        <f t="shared" si="2"/>
        <v>2.0950999999999986</v>
      </c>
      <c r="W151" s="51"/>
      <c r="X151" s="51"/>
    </row>
    <row r="152" spans="3:24" ht="15" x14ac:dyDescent="0.25">
      <c r="C152" s="43">
        <v>148</v>
      </c>
      <c r="D152" s="68" t="s">
        <v>301</v>
      </c>
      <c r="E152" s="44">
        <v>45126</v>
      </c>
      <c r="F152" s="39" t="s">
        <v>47</v>
      </c>
      <c r="G152" s="39" t="s">
        <v>50</v>
      </c>
      <c r="H152" s="39" t="s">
        <v>51</v>
      </c>
      <c r="I152" s="39" t="s">
        <v>77</v>
      </c>
      <c r="J152" s="45">
        <v>45859</v>
      </c>
      <c r="K152" s="46"/>
      <c r="L152" s="39" t="s">
        <v>45</v>
      </c>
      <c r="M152" s="47">
        <v>29.93</v>
      </c>
      <c r="O152" s="21">
        <v>0</v>
      </c>
      <c r="P152" t="s">
        <v>315</v>
      </c>
      <c r="R152" s="69">
        <v>7510.56</v>
      </c>
      <c r="S152" s="22">
        <v>29.93</v>
      </c>
      <c r="T152" s="22">
        <f>IF(R152&gt;=0,IF(AND(R152&gt;tabelas!$C$4,R152&lt;=tabelas!$C$5),(S152)*tabelas!$D$4,IF(AND(R152&gt;=tabelas!$C$5,R152&lt;=tabelas!$C$6),(S152)*tabelas!$D$5,IF(AND(R152&gt;=tabelas!$C$6,R152&lt;=tabelas!$C$7),(S152)*tabelas!$D$6,IF(AND(R152&gt;0,R152&gt;tabelas!$C$7),(S152)*tabelas!$D$7,0)))))</f>
        <v>23.046099999999999</v>
      </c>
      <c r="V152" s="49">
        <f t="shared" si="2"/>
        <v>6.8839000000000006</v>
      </c>
      <c r="W152" s="49"/>
      <c r="X152" s="49"/>
    </row>
    <row r="153" spans="3:24" ht="15" x14ac:dyDescent="0.25">
      <c r="C153" s="43">
        <v>149</v>
      </c>
      <c r="D153" s="68" t="s">
        <v>302</v>
      </c>
      <c r="E153" s="44">
        <v>33854</v>
      </c>
      <c r="F153" s="39" t="s">
        <v>47</v>
      </c>
      <c r="G153" s="39" t="s">
        <v>50</v>
      </c>
      <c r="H153" s="37"/>
      <c r="I153" s="39" t="s">
        <v>119</v>
      </c>
      <c r="J153" s="45">
        <v>45882</v>
      </c>
      <c r="K153" s="46"/>
      <c r="L153" s="39" t="s">
        <v>45</v>
      </c>
      <c r="M153" s="47">
        <v>29.93</v>
      </c>
      <c r="O153" s="21">
        <v>0</v>
      </c>
      <c r="P153" t="s">
        <v>315</v>
      </c>
      <c r="R153" s="69">
        <v>4883.42</v>
      </c>
      <c r="S153" s="22">
        <v>29.93</v>
      </c>
      <c r="T153" s="22">
        <f>IF(R153&gt;=0,IF(AND(R153&gt;tabelas!$C$4,R153&lt;=tabelas!$C$5),(S153)*tabelas!$D$4,IF(AND(R153&gt;=tabelas!$C$5,R153&lt;=tabelas!$C$6),(S153)*tabelas!$D$5,IF(AND(R153&gt;=tabelas!$C$6,R153&lt;=tabelas!$C$7),(S153)*tabelas!$D$6,IF(AND(R153&gt;0,R153&gt;tabelas!$C$7),(S153)*tabelas!$D$7,0)))))</f>
        <v>25.4405</v>
      </c>
      <c r="V153" s="49">
        <f t="shared" si="2"/>
        <v>4.4894999999999996</v>
      </c>
    </row>
    <row r="154" spans="3:24" ht="15" x14ac:dyDescent="0.25">
      <c r="C154" s="43">
        <v>150</v>
      </c>
      <c r="D154" s="68" t="s">
        <v>303</v>
      </c>
      <c r="E154" s="44">
        <v>44322</v>
      </c>
      <c r="F154" s="39" t="s">
        <v>42</v>
      </c>
      <c r="G154" s="39" t="s">
        <v>50</v>
      </c>
      <c r="H154" s="39" t="s">
        <v>51</v>
      </c>
      <c r="I154" s="39" t="s">
        <v>119</v>
      </c>
      <c r="J154" s="45">
        <v>45882</v>
      </c>
      <c r="K154" s="46"/>
      <c r="L154" s="39" t="s">
        <v>45</v>
      </c>
      <c r="M154" s="47">
        <v>29.93</v>
      </c>
      <c r="O154" s="21">
        <v>0</v>
      </c>
      <c r="P154" t="s">
        <v>315</v>
      </c>
      <c r="R154" s="69">
        <v>7713.91</v>
      </c>
      <c r="S154" s="22">
        <v>29.93</v>
      </c>
      <c r="T154" s="22">
        <f>IF(R154&gt;=0,IF(AND(R154&gt;tabelas!$C$4,R154&lt;=tabelas!$C$5),(S154)*tabelas!$D$4,IF(AND(R154&gt;=tabelas!$C$5,R154&lt;=tabelas!$C$6),(S154)*tabelas!$D$5,IF(AND(R154&gt;=tabelas!$C$6,R154&lt;=tabelas!$C$7),(S154)*tabelas!$D$6,IF(AND(R154&gt;0,R154&gt;tabelas!$C$7),(S154)*tabelas!$D$7,0)))))</f>
        <v>23.046099999999999</v>
      </c>
      <c r="V154" s="49">
        <f t="shared" si="2"/>
        <v>6.8839000000000006</v>
      </c>
      <c r="W154" s="51"/>
      <c r="X154" s="51"/>
    </row>
    <row r="155" spans="3:24" ht="15" x14ac:dyDescent="0.25">
      <c r="C155" s="43">
        <v>151</v>
      </c>
      <c r="D155" s="68" t="s">
        <v>304</v>
      </c>
      <c r="E155" s="44">
        <v>33477</v>
      </c>
      <c r="F155" s="39" t="s">
        <v>47</v>
      </c>
      <c r="G155" s="39" t="s">
        <v>50</v>
      </c>
      <c r="H155" s="37"/>
      <c r="I155" s="39" t="s">
        <v>119</v>
      </c>
      <c r="J155" s="45">
        <v>45888</v>
      </c>
      <c r="K155" s="46"/>
      <c r="L155" s="39" t="s">
        <v>45</v>
      </c>
      <c r="M155" s="47">
        <v>29.93</v>
      </c>
      <c r="O155" s="21">
        <v>0</v>
      </c>
      <c r="P155" t="s">
        <v>315</v>
      </c>
      <c r="R155" s="69">
        <v>5018.55</v>
      </c>
      <c r="S155" s="22">
        <v>29.93</v>
      </c>
      <c r="T155" s="22">
        <f>IF(R155&gt;=0,IF(AND(R155&gt;tabelas!$C$4,R155&lt;=tabelas!$C$5),(S155)*tabelas!$D$4,IF(AND(R155&gt;=tabelas!$C$5,R155&lt;=tabelas!$C$6),(S155)*tabelas!$D$5,IF(AND(R155&gt;=tabelas!$C$6,R155&lt;=tabelas!$C$7),(S155)*tabelas!$D$6,IF(AND(R155&gt;0,R155&gt;tabelas!$C$7),(S155)*tabelas!$D$7,0)))))</f>
        <v>25.4405</v>
      </c>
      <c r="V155" s="49">
        <f t="shared" si="2"/>
        <v>4.4894999999999996</v>
      </c>
      <c r="W155" s="49"/>
      <c r="X155" s="49"/>
    </row>
    <row r="156" spans="3:24" ht="15" x14ac:dyDescent="0.25">
      <c r="C156" s="43">
        <v>152</v>
      </c>
      <c r="D156" s="68" t="s">
        <v>305</v>
      </c>
      <c r="E156" s="44">
        <v>35491</v>
      </c>
      <c r="F156" s="39" t="s">
        <v>47</v>
      </c>
      <c r="G156" s="39" t="s">
        <v>50</v>
      </c>
      <c r="H156" s="37"/>
      <c r="I156" s="39" t="s">
        <v>119</v>
      </c>
      <c r="J156" s="45">
        <v>45901</v>
      </c>
      <c r="K156" s="46"/>
      <c r="L156" s="39" t="s">
        <v>45</v>
      </c>
      <c r="M156" s="47">
        <v>29.93</v>
      </c>
      <c r="O156" s="21">
        <v>0</v>
      </c>
      <c r="P156" t="s">
        <v>315</v>
      </c>
      <c r="R156" s="69">
        <v>6394.96</v>
      </c>
      <c r="S156" s="22">
        <v>29.93</v>
      </c>
      <c r="T156" s="22">
        <f>IF(R156&gt;=0,IF(AND(R156&gt;tabelas!$C$4,R156&lt;=tabelas!$C$5),(S156)*tabelas!$D$4,IF(AND(R156&gt;=tabelas!$C$5,R156&lt;=tabelas!$C$6),(S156)*tabelas!$D$5,IF(AND(R156&gt;=tabelas!$C$6,R156&lt;=tabelas!$C$7),(S156)*tabelas!$D$6,IF(AND(R156&gt;0,R156&gt;tabelas!$C$7),(S156)*tabelas!$D$7,0)))))</f>
        <v>25.4405</v>
      </c>
      <c r="V156" s="49">
        <f t="shared" si="2"/>
        <v>4.4894999999999996</v>
      </c>
    </row>
    <row r="157" spans="3:24" ht="15" x14ac:dyDescent="0.25">
      <c r="C157" s="43">
        <v>153</v>
      </c>
      <c r="D157" s="68" t="s">
        <v>306</v>
      </c>
      <c r="E157" s="44">
        <v>33781</v>
      </c>
      <c r="F157" s="39" t="s">
        <v>42</v>
      </c>
      <c r="G157" s="39" t="s">
        <v>43</v>
      </c>
      <c r="H157" s="37"/>
      <c r="I157" s="39" t="s">
        <v>119</v>
      </c>
      <c r="J157" s="45">
        <v>45901</v>
      </c>
      <c r="K157" s="46"/>
      <c r="L157" s="39" t="s">
        <v>45</v>
      </c>
      <c r="M157" s="47">
        <v>29.93</v>
      </c>
      <c r="O157" s="21">
        <v>0</v>
      </c>
      <c r="P157" t="s">
        <v>315</v>
      </c>
      <c r="R157" s="69">
        <v>5662.8</v>
      </c>
      <c r="S157" s="22">
        <v>29.93</v>
      </c>
      <c r="T157" s="22">
        <f>IF(R157&gt;=0,IF(AND(R157&gt;tabelas!$C$4,R157&lt;=tabelas!$C$5),(S157)*tabelas!$D$4,IF(AND(R157&gt;=tabelas!$C$5,R157&lt;=tabelas!$C$6),(S157)*tabelas!$D$5,IF(AND(R157&gt;=tabelas!$C$6,R157&lt;=tabelas!$C$7),(S157)*tabelas!$D$6,IF(AND(R157&gt;0,R157&gt;tabelas!$C$7),(S157)*tabelas!$D$7,0)))))</f>
        <v>25.4405</v>
      </c>
      <c r="V157" s="49">
        <f t="shared" si="2"/>
        <v>4.4894999999999996</v>
      </c>
    </row>
    <row r="158" spans="3:24" ht="15" x14ac:dyDescent="0.25">
      <c r="C158" s="43">
        <v>154</v>
      </c>
      <c r="D158" s="68" t="s">
        <v>307</v>
      </c>
      <c r="E158" s="44">
        <v>34786</v>
      </c>
      <c r="F158" s="39" t="s">
        <v>47</v>
      </c>
      <c r="G158" s="39" t="s">
        <v>43</v>
      </c>
      <c r="H158" s="39" t="s">
        <v>48</v>
      </c>
      <c r="I158" s="39" t="s">
        <v>119</v>
      </c>
      <c r="J158" s="45">
        <v>45901</v>
      </c>
      <c r="K158" s="46"/>
      <c r="L158" s="39" t="s">
        <v>45</v>
      </c>
      <c r="M158" s="47">
        <v>29.93</v>
      </c>
      <c r="O158" s="21">
        <v>0</v>
      </c>
      <c r="P158" t="s">
        <v>315</v>
      </c>
      <c r="R158" s="69">
        <v>5003.9399999999996</v>
      </c>
      <c r="S158" s="22">
        <v>29.93</v>
      </c>
      <c r="T158" s="22">
        <f>IF(R158&gt;=0,IF(AND(R158&gt;tabelas!$C$4,R158&lt;=tabelas!$C$5),(S158)*tabelas!$D$4,IF(AND(R158&gt;=tabelas!$C$5,R158&lt;=tabelas!$C$6),(S158)*tabelas!$D$5,IF(AND(R158&gt;=tabelas!$C$6,R158&lt;=tabelas!$C$7),(S158)*tabelas!$D$6,IF(AND(R158&gt;0,R158&gt;tabelas!$C$7),(S158)*tabelas!$D$7,0)))))</f>
        <v>25.4405</v>
      </c>
      <c r="V158" s="49">
        <f t="shared" si="2"/>
        <v>4.4894999999999996</v>
      </c>
    </row>
    <row r="159" spans="3:24" ht="15" x14ac:dyDescent="0.25">
      <c r="C159" s="43">
        <v>155</v>
      </c>
      <c r="D159" s="68" t="s">
        <v>308</v>
      </c>
      <c r="E159" s="52">
        <v>44739</v>
      </c>
      <c r="F159" s="53" t="s">
        <v>42</v>
      </c>
      <c r="G159" s="53" t="s">
        <v>50</v>
      </c>
      <c r="H159" s="53" t="s">
        <v>51</v>
      </c>
      <c r="I159" s="53" t="s">
        <v>119</v>
      </c>
      <c r="J159" s="55">
        <v>45901</v>
      </c>
      <c r="K159" s="56"/>
      <c r="L159" s="53" t="s">
        <v>45</v>
      </c>
      <c r="M159" s="57">
        <v>29.93</v>
      </c>
      <c r="O159" s="21">
        <v>0</v>
      </c>
      <c r="P159" t="s">
        <v>315</v>
      </c>
      <c r="R159" s="69">
        <v>1520.7</v>
      </c>
      <c r="S159" s="22">
        <v>29.93</v>
      </c>
      <c r="T159" s="22">
        <f>IF(R159&gt;=0,IF(AND(R159&gt;tabelas!$C$4,R159&lt;=tabelas!$C$5),(S159)*tabelas!$D$4,IF(AND(R159&gt;=tabelas!$C$5,R159&lt;=tabelas!$C$6),(S159)*tabelas!$D$5,IF(AND(R159&gt;=tabelas!$C$6,R159&lt;=tabelas!$C$7),(S159)*tabelas!$D$6,IF(AND(R159&gt;0,R159&gt;tabelas!$C$7),(S159)*tabelas!$D$7,0)))))</f>
        <v>27.834900000000001</v>
      </c>
      <c r="V159" s="49">
        <f t="shared" si="2"/>
        <v>2.0950999999999986</v>
      </c>
    </row>
    <row r="160" spans="3:24" ht="15" x14ac:dyDescent="0.25">
      <c r="C160" s="43">
        <v>156</v>
      </c>
      <c r="D160" s="68" t="s">
        <v>309</v>
      </c>
      <c r="E160" s="44">
        <v>45482</v>
      </c>
      <c r="F160" s="39" t="s">
        <v>42</v>
      </c>
      <c r="G160" s="39" t="s">
        <v>50</v>
      </c>
      <c r="H160" s="39" t="s">
        <v>51</v>
      </c>
      <c r="I160" s="39" t="s">
        <v>119</v>
      </c>
      <c r="J160" s="45">
        <v>45901</v>
      </c>
      <c r="K160" s="46"/>
      <c r="L160" s="39" t="s">
        <v>45</v>
      </c>
      <c r="M160" s="47">
        <v>29.93</v>
      </c>
      <c r="O160" s="21">
        <v>0</v>
      </c>
      <c r="P160" t="s">
        <v>315</v>
      </c>
      <c r="R160" s="69">
        <v>5118.68</v>
      </c>
      <c r="S160" s="22">
        <v>29.93</v>
      </c>
      <c r="T160" s="22">
        <f>IF(R160&gt;=0,IF(AND(R160&gt;tabelas!$C$4,R160&lt;=tabelas!$C$5),(S160)*tabelas!$D$4,IF(AND(R160&gt;=tabelas!$C$5,R160&lt;=tabelas!$C$6),(S160)*tabelas!$D$5,IF(AND(R160&gt;=tabelas!$C$6,R160&lt;=tabelas!$C$7),(S160)*tabelas!$D$6,IF(AND(R160&gt;0,R160&gt;tabelas!$C$7),(S160)*tabelas!$D$7,0)))))</f>
        <v>25.4405</v>
      </c>
      <c r="V160" s="49">
        <f t="shared" si="2"/>
        <v>4.4894999999999996</v>
      </c>
      <c r="W160" s="51"/>
      <c r="X160" s="51"/>
    </row>
    <row r="161" spans="3:24" ht="15" x14ac:dyDescent="0.25">
      <c r="C161" s="43">
        <v>157</v>
      </c>
      <c r="D161" s="68" t="s">
        <v>310</v>
      </c>
      <c r="E161" s="44">
        <v>32582</v>
      </c>
      <c r="F161" s="39" t="s">
        <v>47</v>
      </c>
      <c r="G161" s="39" t="s">
        <v>43</v>
      </c>
      <c r="H161" s="37"/>
      <c r="I161" s="39" t="s">
        <v>119</v>
      </c>
      <c r="J161" s="45">
        <v>45929</v>
      </c>
      <c r="K161" s="46"/>
      <c r="L161" s="39" t="s">
        <v>45</v>
      </c>
      <c r="M161" s="47">
        <v>29.93</v>
      </c>
      <c r="O161" s="21">
        <v>0</v>
      </c>
      <c r="P161" t="s">
        <v>315</v>
      </c>
      <c r="R161" s="69">
        <v>5787.31</v>
      </c>
      <c r="S161" s="22">
        <v>29.93</v>
      </c>
      <c r="T161" s="22">
        <f>IF(R161&gt;=0,IF(AND(R161&gt;tabelas!$C$4,R161&lt;=tabelas!$C$5),(S161)*tabelas!$D$4,IF(AND(R161&gt;=tabelas!$C$5,R161&lt;=tabelas!$C$6),(S161)*tabelas!$D$5,IF(AND(R161&gt;=tabelas!$C$6,R161&lt;=tabelas!$C$7),(S161)*tabelas!$D$6,IF(AND(R161&gt;0,R161&gt;tabelas!$C$7),(S161)*tabelas!$D$7,0)))))</f>
        <v>25.4405</v>
      </c>
      <c r="V161" s="49">
        <f t="shared" si="2"/>
        <v>4.4894999999999996</v>
      </c>
      <c r="W161" s="49"/>
      <c r="X161" s="49"/>
    </row>
    <row r="162" spans="3:24" ht="15" x14ac:dyDescent="0.25">
      <c r="C162" s="43">
        <v>158</v>
      </c>
      <c r="D162" s="68" t="s">
        <v>311</v>
      </c>
      <c r="E162" s="44">
        <v>32928</v>
      </c>
      <c r="F162" s="39" t="s">
        <v>42</v>
      </c>
      <c r="G162" s="39" t="s">
        <v>43</v>
      </c>
      <c r="H162" s="39" t="s">
        <v>48</v>
      </c>
      <c r="I162" s="39" t="s">
        <v>119</v>
      </c>
      <c r="J162" s="45">
        <v>45929</v>
      </c>
      <c r="K162" s="46"/>
      <c r="L162" s="39" t="s">
        <v>45</v>
      </c>
      <c r="M162" s="47">
        <v>29.93</v>
      </c>
      <c r="O162" s="21">
        <v>0</v>
      </c>
      <c r="P162" t="s">
        <v>315</v>
      </c>
      <c r="R162" s="69">
        <v>3206.64</v>
      </c>
      <c r="S162" s="22">
        <v>29.93</v>
      </c>
      <c r="T162" s="22">
        <f>IF(R162&gt;=0,IF(AND(R162&gt;tabelas!$C$4,R162&lt;=tabelas!$C$5),(S162)*tabelas!$D$4,IF(AND(R162&gt;=tabelas!$C$5,R162&lt;=tabelas!$C$6),(S162)*tabelas!$D$5,IF(AND(R162&gt;=tabelas!$C$6,R162&lt;=tabelas!$C$7),(S162)*tabelas!$D$6,IF(AND(R162&gt;0,R162&gt;tabelas!$C$7),(S162)*tabelas!$D$7,0)))))</f>
        <v>27.834900000000001</v>
      </c>
      <c r="V162" s="49">
        <f t="shared" si="2"/>
        <v>2.0950999999999986</v>
      </c>
    </row>
    <row r="163" spans="3:24" ht="15" x14ac:dyDescent="0.25">
      <c r="C163" s="43">
        <v>159</v>
      </c>
      <c r="D163" s="68" t="s">
        <v>312</v>
      </c>
      <c r="E163" s="44">
        <v>34179</v>
      </c>
      <c r="F163" s="39" t="s">
        <v>42</v>
      </c>
      <c r="G163" s="39" t="s">
        <v>137</v>
      </c>
      <c r="H163" s="37"/>
      <c r="I163" s="39" t="s">
        <v>119</v>
      </c>
      <c r="J163" s="45">
        <v>45950</v>
      </c>
      <c r="K163" s="46"/>
      <c r="L163" s="39" t="s">
        <v>45</v>
      </c>
      <c r="M163" s="47">
        <v>29.93</v>
      </c>
      <c r="O163" s="21">
        <v>0</v>
      </c>
      <c r="P163" t="s">
        <v>315</v>
      </c>
      <c r="R163" s="69">
        <v>1442.87</v>
      </c>
      <c r="S163" s="22">
        <v>29.93</v>
      </c>
      <c r="T163" s="22">
        <f>IF(R163&gt;=0,IF(AND(R163&gt;tabelas!$C$4,R163&lt;=tabelas!$C$5),(S163)*tabelas!$D$4,IF(AND(R163&gt;=tabelas!$C$5,R163&lt;=tabelas!$C$6),(S163)*tabelas!$D$5,IF(AND(R163&gt;=tabelas!$C$6,R163&lt;=tabelas!$C$7),(S163)*tabelas!$D$6,IF(AND(R163&gt;0,R163&gt;tabelas!$C$7),(S163)*tabelas!$D$7,0)))))</f>
        <v>27.834900000000001</v>
      </c>
      <c r="V163" s="49">
        <f t="shared" si="2"/>
        <v>2.0950999999999986</v>
      </c>
      <c r="X163" s="51"/>
    </row>
    <row r="164" spans="3:24" ht="15" x14ac:dyDescent="0.25">
      <c r="C164" s="43">
        <v>160</v>
      </c>
      <c r="D164" s="68" t="s">
        <v>313</v>
      </c>
      <c r="E164" s="44">
        <v>34370</v>
      </c>
      <c r="F164" s="39" t="s">
        <v>47</v>
      </c>
      <c r="G164" s="39" t="s">
        <v>50</v>
      </c>
      <c r="H164" s="37"/>
      <c r="I164" s="39" t="s">
        <v>77</v>
      </c>
      <c r="J164" s="45">
        <v>45968</v>
      </c>
      <c r="K164" s="46"/>
      <c r="L164" s="39" t="s">
        <v>45</v>
      </c>
      <c r="M164" s="47">
        <v>29.93</v>
      </c>
      <c r="O164" s="21">
        <v>0</v>
      </c>
      <c r="P164" t="s">
        <v>315</v>
      </c>
      <c r="R164" s="69">
        <v>1089.0999999999999</v>
      </c>
      <c r="S164" s="22">
        <v>29.93</v>
      </c>
      <c r="T164" s="22">
        <f>IF(R164&gt;=0,IF(AND(R164&gt;tabelas!$C$4,R164&lt;=tabelas!$C$5),(S164)*tabelas!$D$4,IF(AND(R164&gt;=tabelas!$C$5,R164&lt;=tabelas!$C$6),(S164)*tabelas!$D$5,IF(AND(R164&gt;=tabelas!$C$6,R164&lt;=tabelas!$C$7),(S164)*tabelas!$D$6,IF(AND(R164&gt;0,R164&gt;tabelas!$C$7),(S164)*tabelas!$D$7,0)))))</f>
        <v>27.834900000000001</v>
      </c>
      <c r="V164" s="49">
        <f t="shared" si="2"/>
        <v>2.0950999999999986</v>
      </c>
    </row>
    <row r="165" spans="3:24" ht="15" x14ac:dyDescent="0.25">
      <c r="C165" s="43">
        <v>161</v>
      </c>
      <c r="D165" s="68" t="s">
        <v>314</v>
      </c>
      <c r="E165" s="63">
        <v>33043</v>
      </c>
      <c r="F165" s="64" t="s">
        <v>42</v>
      </c>
      <c r="G165" s="64" t="s">
        <v>43</v>
      </c>
      <c r="H165" s="64" t="s">
        <v>48</v>
      </c>
      <c r="I165" s="64" t="s">
        <v>77</v>
      </c>
      <c r="J165" s="65">
        <v>45968</v>
      </c>
      <c r="K165" s="66"/>
      <c r="L165" s="64" t="s">
        <v>45</v>
      </c>
      <c r="M165" s="67">
        <v>29.93</v>
      </c>
      <c r="O165" s="21">
        <v>0</v>
      </c>
      <c r="P165" t="s">
        <v>315</v>
      </c>
      <c r="R165" s="69">
        <v>7520.08</v>
      </c>
      <c r="S165" s="22">
        <v>29.93</v>
      </c>
      <c r="T165" s="22">
        <f>IF(R165&gt;=0,IF(AND(R165&gt;tabelas!$C$4,R165&lt;=tabelas!$C$5),(S165)*tabelas!$D$4,IF(AND(R165&gt;=tabelas!$C$5,R165&lt;=tabelas!$C$6),(S165)*tabelas!$D$5,IF(AND(R165&gt;=tabelas!$C$6,R165&lt;=tabelas!$C$7),(S165)*tabelas!$D$6,IF(AND(R165&gt;0,R165&gt;tabelas!$C$7),(S165)*tabelas!$D$7,0)))))</f>
        <v>23.046099999999999</v>
      </c>
      <c r="V165" s="49">
        <f t="shared" si="2"/>
        <v>6.8839000000000006</v>
      </c>
      <c r="W165" s="51"/>
      <c r="X165" s="51"/>
    </row>
    <row r="166" spans="3:24" x14ac:dyDescent="0.2">
      <c r="C166" s="43">
        <v>162</v>
      </c>
      <c r="M166" s="21"/>
      <c r="R166" s="22"/>
      <c r="T166" s="22"/>
      <c r="V166" s="49"/>
    </row>
    <row r="167" spans="3:24" x14ac:dyDescent="0.2">
      <c r="C167" s="43"/>
      <c r="M167" s="21"/>
      <c r="R167" s="22"/>
      <c r="T167" s="22"/>
      <c r="V167" s="49"/>
    </row>
  </sheetData>
  <autoFilter ref="C3:V167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43"/>
  <sheetViews>
    <sheetView zoomScale="90" zoomScaleNormal="90" workbookViewId="0">
      <selection activeCell="B11" sqref="B11:F11"/>
    </sheetView>
  </sheetViews>
  <sheetFormatPr defaultRowHeight="15" x14ac:dyDescent="0.25"/>
  <cols>
    <col min="2" max="2" width="10" customWidth="1"/>
    <col min="3" max="3" width="12.42578125" bestFit="1" customWidth="1"/>
    <col min="5" max="5" width="14" customWidth="1"/>
    <col min="6" max="6" width="32.28515625" bestFit="1" customWidth="1"/>
    <col min="10" max="10" width="14.42578125" customWidth="1"/>
    <col min="11" max="11" width="15" customWidth="1"/>
  </cols>
  <sheetData>
    <row r="3" spans="1:11" ht="27.75" customHeight="1" x14ac:dyDescent="0.25">
      <c r="B3" s="1" t="s">
        <v>4</v>
      </c>
      <c r="C3" s="2" t="s">
        <v>5</v>
      </c>
      <c r="D3" s="2"/>
      <c r="E3" s="1" t="s">
        <v>6</v>
      </c>
      <c r="F3" s="1" t="s">
        <v>7</v>
      </c>
    </row>
    <row r="4" spans="1:11" x14ac:dyDescent="0.25">
      <c r="A4" s="70" t="s">
        <v>8</v>
      </c>
      <c r="B4" s="5" t="s">
        <v>2</v>
      </c>
      <c r="C4" s="5">
        <v>0</v>
      </c>
      <c r="D4" s="5">
        <v>18</v>
      </c>
      <c r="E4" s="7">
        <v>332.85</v>
      </c>
      <c r="F4" s="6" t="s">
        <v>10</v>
      </c>
      <c r="I4" s="3" t="s">
        <v>2</v>
      </c>
      <c r="J4" s="4" t="s">
        <v>8</v>
      </c>
      <c r="K4" s="4" t="s">
        <v>9</v>
      </c>
    </row>
    <row r="5" spans="1:11" x14ac:dyDescent="0.25">
      <c r="A5" s="70"/>
      <c r="B5" s="5" t="s">
        <v>2</v>
      </c>
      <c r="C5" s="5">
        <f>D4+1</f>
        <v>19</v>
      </c>
      <c r="D5" s="5">
        <v>23</v>
      </c>
      <c r="E5" s="7">
        <v>392.75</v>
      </c>
      <c r="F5" s="6" t="s">
        <v>10</v>
      </c>
      <c r="I5" s="3" t="s">
        <v>3</v>
      </c>
      <c r="J5" s="4" t="s">
        <v>8</v>
      </c>
      <c r="K5" s="4" t="s">
        <v>11</v>
      </c>
    </row>
    <row r="6" spans="1:11" x14ac:dyDescent="0.25">
      <c r="A6" s="70"/>
      <c r="B6" s="5" t="s">
        <v>2</v>
      </c>
      <c r="C6" s="5">
        <f t="shared" ref="C6:C12" si="0">D5+1</f>
        <v>24</v>
      </c>
      <c r="D6" s="5">
        <v>28</v>
      </c>
      <c r="E6" s="7">
        <v>475.24</v>
      </c>
      <c r="F6" s="6" t="s">
        <v>10</v>
      </c>
      <c r="I6" s="3" t="s">
        <v>1</v>
      </c>
      <c r="J6" s="4" t="s">
        <v>12</v>
      </c>
      <c r="K6" s="4" t="s">
        <v>9</v>
      </c>
    </row>
    <row r="7" spans="1:11" x14ac:dyDescent="0.25">
      <c r="A7" s="70"/>
      <c r="B7" s="5" t="s">
        <v>2</v>
      </c>
      <c r="C7" s="5">
        <f t="shared" si="0"/>
        <v>29</v>
      </c>
      <c r="D7" s="5">
        <v>33</v>
      </c>
      <c r="E7" s="7">
        <v>570.29</v>
      </c>
      <c r="F7" s="6" t="s">
        <v>10</v>
      </c>
      <c r="I7" s="3" t="s">
        <v>0</v>
      </c>
      <c r="J7" s="4" t="s">
        <v>12</v>
      </c>
      <c r="K7" s="4" t="s">
        <v>11</v>
      </c>
    </row>
    <row r="8" spans="1:11" x14ac:dyDescent="0.25">
      <c r="A8" s="70"/>
      <c r="B8" s="5" t="s">
        <v>2</v>
      </c>
      <c r="C8" s="5">
        <f t="shared" si="0"/>
        <v>34</v>
      </c>
      <c r="D8" s="5">
        <v>38</v>
      </c>
      <c r="E8" s="7">
        <v>650.14</v>
      </c>
      <c r="F8" s="6" t="s">
        <v>10</v>
      </c>
    </row>
    <row r="9" spans="1:11" x14ac:dyDescent="0.25">
      <c r="A9" s="70"/>
      <c r="B9" s="5" t="s">
        <v>2</v>
      </c>
      <c r="C9" s="5">
        <f t="shared" si="0"/>
        <v>39</v>
      </c>
      <c r="D9" s="5">
        <v>43</v>
      </c>
      <c r="E9" s="7">
        <v>669.63</v>
      </c>
      <c r="F9" s="6" t="s">
        <v>10</v>
      </c>
      <c r="I9" s="18" t="s">
        <v>2</v>
      </c>
      <c r="J9" s="3" t="s">
        <v>2</v>
      </c>
    </row>
    <row r="10" spans="1:11" x14ac:dyDescent="0.25">
      <c r="A10" s="70"/>
      <c r="B10" s="5" t="s">
        <v>2</v>
      </c>
      <c r="C10" s="5">
        <f t="shared" si="0"/>
        <v>44</v>
      </c>
      <c r="D10" s="5">
        <v>48</v>
      </c>
      <c r="E10" s="7">
        <v>815.32</v>
      </c>
      <c r="F10" s="6" t="s">
        <v>10</v>
      </c>
      <c r="I10" s="3" t="s">
        <v>3</v>
      </c>
      <c r="J10" s="3" t="s">
        <v>2</v>
      </c>
    </row>
    <row r="11" spans="1:11" x14ac:dyDescent="0.25">
      <c r="A11" s="70"/>
      <c r="B11" s="5" t="s">
        <v>2</v>
      </c>
      <c r="C11" s="5">
        <f t="shared" si="0"/>
        <v>49</v>
      </c>
      <c r="D11" s="5">
        <v>53</v>
      </c>
      <c r="E11" s="7">
        <v>958.98</v>
      </c>
      <c r="F11" s="6" t="s">
        <v>10</v>
      </c>
      <c r="I11" s="3" t="s">
        <v>1</v>
      </c>
      <c r="J11" s="3" t="s">
        <v>1</v>
      </c>
    </row>
    <row r="12" spans="1:11" x14ac:dyDescent="0.25">
      <c r="A12" s="70"/>
      <c r="B12" s="5" t="s">
        <v>2</v>
      </c>
      <c r="C12" s="5">
        <f t="shared" si="0"/>
        <v>54</v>
      </c>
      <c r="D12" s="5">
        <v>58</v>
      </c>
      <c r="E12" s="7">
        <v>1141.2</v>
      </c>
      <c r="F12" s="6" t="s">
        <v>10</v>
      </c>
      <c r="I12" s="3" t="s">
        <v>0</v>
      </c>
      <c r="J12" s="3" t="s">
        <v>1</v>
      </c>
    </row>
    <row r="13" spans="1:11" x14ac:dyDescent="0.25">
      <c r="A13" s="70"/>
      <c r="B13" s="8" t="s">
        <v>2</v>
      </c>
      <c r="C13" s="8">
        <v>59</v>
      </c>
      <c r="D13" s="8">
        <v>100</v>
      </c>
      <c r="E13" s="12">
        <v>1997.1</v>
      </c>
      <c r="F13" s="9" t="s">
        <v>10</v>
      </c>
    </row>
    <row r="14" spans="1:11" x14ac:dyDescent="0.25">
      <c r="A14" s="70" t="s">
        <v>8</v>
      </c>
      <c r="B14" s="5" t="s">
        <v>3</v>
      </c>
      <c r="C14" s="5">
        <v>0</v>
      </c>
      <c r="D14" s="5">
        <v>18</v>
      </c>
      <c r="E14" s="6">
        <v>369.83</v>
      </c>
      <c r="F14" s="10" t="s">
        <v>13</v>
      </c>
    </row>
    <row r="15" spans="1:11" x14ac:dyDescent="0.25">
      <c r="A15" s="70"/>
      <c r="B15" s="5" t="s">
        <v>3</v>
      </c>
      <c r="C15" s="5">
        <f>D14+1</f>
        <v>19</v>
      </c>
      <c r="D15" s="5">
        <v>23</v>
      </c>
      <c r="E15" s="6">
        <v>436.4</v>
      </c>
      <c r="F15" s="10" t="s">
        <v>13</v>
      </c>
    </row>
    <row r="16" spans="1:11" x14ac:dyDescent="0.25">
      <c r="A16" s="70"/>
      <c r="B16" s="5" t="s">
        <v>3</v>
      </c>
      <c r="C16" s="5">
        <f t="shared" ref="C16:C22" si="1">D15+1</f>
        <v>24</v>
      </c>
      <c r="D16" s="5">
        <v>28</v>
      </c>
      <c r="E16" s="6">
        <v>528.04</v>
      </c>
      <c r="F16" s="10" t="s">
        <v>13</v>
      </c>
    </row>
    <row r="17" spans="1:6" x14ac:dyDescent="0.25">
      <c r="A17" s="70"/>
      <c r="B17" s="5" t="s">
        <v>3</v>
      </c>
      <c r="C17" s="5">
        <f t="shared" si="1"/>
        <v>29</v>
      </c>
      <c r="D17" s="5">
        <v>33</v>
      </c>
      <c r="E17" s="6">
        <v>633.65</v>
      </c>
      <c r="F17" s="10" t="s">
        <v>13</v>
      </c>
    </row>
    <row r="18" spans="1:6" x14ac:dyDescent="0.25">
      <c r="A18" s="70"/>
      <c r="B18" s="5" t="s">
        <v>3</v>
      </c>
      <c r="C18" s="5">
        <f t="shared" si="1"/>
        <v>34</v>
      </c>
      <c r="D18" s="5">
        <v>38</v>
      </c>
      <c r="E18" s="6">
        <v>722.37</v>
      </c>
      <c r="F18" s="10" t="s">
        <v>13</v>
      </c>
    </row>
    <row r="19" spans="1:6" x14ac:dyDescent="0.25">
      <c r="A19" s="70"/>
      <c r="B19" s="5" t="s">
        <v>3</v>
      </c>
      <c r="C19" s="5">
        <f t="shared" si="1"/>
        <v>39</v>
      </c>
      <c r="D19" s="5">
        <v>43</v>
      </c>
      <c r="E19" s="6">
        <v>744.05</v>
      </c>
      <c r="F19" s="10" t="s">
        <v>13</v>
      </c>
    </row>
    <row r="20" spans="1:6" x14ac:dyDescent="0.25">
      <c r="A20" s="70"/>
      <c r="B20" s="5" t="s">
        <v>3</v>
      </c>
      <c r="C20" s="5">
        <f t="shared" si="1"/>
        <v>44</v>
      </c>
      <c r="D20" s="5">
        <v>48</v>
      </c>
      <c r="E20" s="6">
        <v>905.91</v>
      </c>
      <c r="F20" s="10" t="s">
        <v>13</v>
      </c>
    </row>
    <row r="21" spans="1:6" x14ac:dyDescent="0.25">
      <c r="A21" s="70"/>
      <c r="B21" s="5" t="s">
        <v>3</v>
      </c>
      <c r="C21" s="5">
        <f t="shared" si="1"/>
        <v>49</v>
      </c>
      <c r="D21" s="5">
        <v>53</v>
      </c>
      <c r="E21" s="6">
        <v>1065.53</v>
      </c>
      <c r="F21" s="10" t="s">
        <v>13</v>
      </c>
    </row>
    <row r="22" spans="1:6" x14ac:dyDescent="0.25">
      <c r="A22" s="70"/>
      <c r="B22" s="5" t="s">
        <v>3</v>
      </c>
      <c r="C22" s="5">
        <f t="shared" si="1"/>
        <v>54</v>
      </c>
      <c r="D22" s="5">
        <v>58</v>
      </c>
      <c r="E22" s="6">
        <v>1267.99</v>
      </c>
      <c r="F22" s="10" t="s">
        <v>13</v>
      </c>
    </row>
    <row r="23" spans="1:6" x14ac:dyDescent="0.25">
      <c r="A23" s="70"/>
      <c r="B23" s="8" t="s">
        <v>3</v>
      </c>
      <c r="C23" s="8">
        <v>59</v>
      </c>
      <c r="D23" s="8">
        <v>100</v>
      </c>
      <c r="E23" s="9">
        <v>1739.11</v>
      </c>
      <c r="F23" s="9" t="s">
        <v>13</v>
      </c>
    </row>
    <row r="24" spans="1:6" x14ac:dyDescent="0.25">
      <c r="A24" s="70" t="s">
        <v>12</v>
      </c>
      <c r="B24" s="5" t="s">
        <v>1</v>
      </c>
      <c r="C24" s="5">
        <v>0</v>
      </c>
      <c r="D24" s="5">
        <v>18</v>
      </c>
      <c r="E24" s="19">
        <v>339.64</v>
      </c>
      <c r="F24" s="6" t="s">
        <v>29</v>
      </c>
    </row>
    <row r="25" spans="1:6" x14ac:dyDescent="0.25">
      <c r="A25" s="70"/>
      <c r="B25" s="5" t="s">
        <v>1</v>
      </c>
      <c r="C25" s="5">
        <f>D24+1</f>
        <v>19</v>
      </c>
      <c r="D25" s="5">
        <v>23</v>
      </c>
      <c r="E25" s="19">
        <v>400.78</v>
      </c>
      <c r="F25" s="6" t="s">
        <v>29</v>
      </c>
    </row>
    <row r="26" spans="1:6" x14ac:dyDescent="0.25">
      <c r="A26" s="70"/>
      <c r="B26" s="5" t="s">
        <v>1</v>
      </c>
      <c r="C26" s="5">
        <f t="shared" ref="C26:C32" si="2">D25+1</f>
        <v>24</v>
      </c>
      <c r="D26" s="5">
        <v>28</v>
      </c>
      <c r="E26" s="19">
        <v>484.94</v>
      </c>
      <c r="F26" s="6" t="s">
        <v>29</v>
      </c>
    </row>
    <row r="27" spans="1:6" x14ac:dyDescent="0.25">
      <c r="A27" s="70"/>
      <c r="B27" s="5" t="s">
        <v>1</v>
      </c>
      <c r="C27" s="5">
        <f t="shared" si="2"/>
        <v>29</v>
      </c>
      <c r="D27" s="5">
        <v>33</v>
      </c>
      <c r="E27" s="19">
        <v>581.92999999999995</v>
      </c>
      <c r="F27" s="6" t="s">
        <v>29</v>
      </c>
    </row>
    <row r="28" spans="1:6" x14ac:dyDescent="0.25">
      <c r="A28" s="70"/>
      <c r="B28" s="5" t="s">
        <v>1</v>
      </c>
      <c r="C28" s="5">
        <f t="shared" si="2"/>
        <v>34</v>
      </c>
      <c r="D28" s="5">
        <v>38</v>
      </c>
      <c r="E28" s="19">
        <v>663.41</v>
      </c>
      <c r="F28" s="6" t="s">
        <v>29</v>
      </c>
    </row>
    <row r="29" spans="1:6" x14ac:dyDescent="0.25">
      <c r="A29" s="70"/>
      <c r="B29" s="5" t="s">
        <v>1</v>
      </c>
      <c r="C29" s="5">
        <f t="shared" si="2"/>
        <v>39</v>
      </c>
      <c r="D29" s="5">
        <v>43</v>
      </c>
      <c r="E29" s="19">
        <v>683.3</v>
      </c>
      <c r="F29" s="6" t="s">
        <v>29</v>
      </c>
    </row>
    <row r="30" spans="1:6" x14ac:dyDescent="0.25">
      <c r="A30" s="70"/>
      <c r="B30" s="5" t="s">
        <v>1</v>
      </c>
      <c r="C30" s="5">
        <f t="shared" si="2"/>
        <v>44</v>
      </c>
      <c r="D30" s="5">
        <v>48</v>
      </c>
      <c r="E30" s="19">
        <v>831.96</v>
      </c>
      <c r="F30" s="6" t="s">
        <v>29</v>
      </c>
    </row>
    <row r="31" spans="1:6" x14ac:dyDescent="0.25">
      <c r="A31" s="70"/>
      <c r="B31" s="5" t="s">
        <v>1</v>
      </c>
      <c r="C31" s="5">
        <f t="shared" si="2"/>
        <v>49</v>
      </c>
      <c r="D31" s="5">
        <v>53</v>
      </c>
      <c r="E31" s="19">
        <v>978.55</v>
      </c>
      <c r="F31" s="6" t="s">
        <v>29</v>
      </c>
    </row>
    <row r="32" spans="1:6" x14ac:dyDescent="0.25">
      <c r="A32" s="70"/>
      <c r="B32" s="5" t="s">
        <v>1</v>
      </c>
      <c r="C32" s="5">
        <f t="shared" si="2"/>
        <v>54</v>
      </c>
      <c r="D32" s="5">
        <v>58</v>
      </c>
      <c r="E32" s="19">
        <v>1164.48</v>
      </c>
      <c r="F32" s="6" t="s">
        <v>29</v>
      </c>
    </row>
    <row r="33" spans="1:6" x14ac:dyDescent="0.25">
      <c r="A33" s="70"/>
      <c r="B33" s="8" t="s">
        <v>1</v>
      </c>
      <c r="C33" s="8">
        <v>59</v>
      </c>
      <c r="D33" s="8">
        <v>100</v>
      </c>
      <c r="E33" s="20">
        <v>2037.85</v>
      </c>
      <c r="F33" s="6" t="s">
        <v>29</v>
      </c>
    </row>
    <row r="34" spans="1:6" x14ac:dyDescent="0.25">
      <c r="A34" s="70" t="s">
        <v>12</v>
      </c>
      <c r="B34" s="11" t="s">
        <v>21</v>
      </c>
      <c r="C34" s="5">
        <v>0</v>
      </c>
      <c r="D34" s="5">
        <v>18</v>
      </c>
      <c r="E34" s="6">
        <v>376.65</v>
      </c>
      <c r="F34" s="10" t="s">
        <v>30</v>
      </c>
    </row>
    <row r="35" spans="1:6" x14ac:dyDescent="0.25">
      <c r="A35" s="70"/>
      <c r="B35" s="11" t="s">
        <v>21</v>
      </c>
      <c r="C35" s="5">
        <f>D34+1</f>
        <v>19</v>
      </c>
      <c r="D35" s="5">
        <v>23</v>
      </c>
      <c r="E35" s="6">
        <v>444.44</v>
      </c>
      <c r="F35" s="10" t="s">
        <v>30</v>
      </c>
    </row>
    <row r="36" spans="1:6" x14ac:dyDescent="0.25">
      <c r="A36" s="70"/>
      <c r="B36" s="11" t="s">
        <v>21</v>
      </c>
      <c r="C36" s="5">
        <f t="shared" ref="C36:C42" si="3">D35+1</f>
        <v>24</v>
      </c>
      <c r="D36" s="5">
        <v>28</v>
      </c>
      <c r="E36" s="6">
        <v>537.78</v>
      </c>
      <c r="F36" s="10" t="s">
        <v>30</v>
      </c>
    </row>
    <row r="37" spans="1:6" x14ac:dyDescent="0.25">
      <c r="A37" s="70"/>
      <c r="B37" s="11" t="s">
        <v>21</v>
      </c>
      <c r="C37" s="5">
        <f t="shared" si="3"/>
        <v>29</v>
      </c>
      <c r="D37" s="5">
        <v>33</v>
      </c>
      <c r="E37" s="6">
        <v>645.34</v>
      </c>
      <c r="F37" s="10" t="s">
        <v>30</v>
      </c>
    </row>
    <row r="38" spans="1:6" x14ac:dyDescent="0.25">
      <c r="A38" s="70"/>
      <c r="B38" s="11" t="s">
        <v>21</v>
      </c>
      <c r="C38" s="5">
        <f t="shared" si="3"/>
        <v>34</v>
      </c>
      <c r="D38" s="5">
        <v>38</v>
      </c>
      <c r="E38" s="6">
        <v>735.69</v>
      </c>
      <c r="F38" s="10" t="s">
        <v>30</v>
      </c>
    </row>
    <row r="39" spans="1:6" x14ac:dyDescent="0.25">
      <c r="A39" s="70"/>
      <c r="B39" s="11" t="s">
        <v>21</v>
      </c>
      <c r="C39" s="5">
        <f t="shared" si="3"/>
        <v>39</v>
      </c>
      <c r="D39" s="5">
        <v>43</v>
      </c>
      <c r="E39" s="6">
        <v>757.76</v>
      </c>
      <c r="F39" s="10" t="s">
        <v>30</v>
      </c>
    </row>
    <row r="40" spans="1:6" x14ac:dyDescent="0.25">
      <c r="A40" s="70"/>
      <c r="B40" s="11" t="s">
        <v>21</v>
      </c>
      <c r="C40" s="5">
        <f t="shared" si="3"/>
        <v>44</v>
      </c>
      <c r="D40" s="5">
        <v>48</v>
      </c>
      <c r="E40" s="6">
        <v>922.61</v>
      </c>
      <c r="F40" s="10" t="s">
        <v>30</v>
      </c>
    </row>
    <row r="41" spans="1:6" x14ac:dyDescent="0.25">
      <c r="A41" s="70"/>
      <c r="B41" s="11" t="s">
        <v>21</v>
      </c>
      <c r="C41" s="5">
        <f t="shared" si="3"/>
        <v>49</v>
      </c>
      <c r="D41" s="5">
        <v>53</v>
      </c>
      <c r="E41" s="6">
        <v>1085.18</v>
      </c>
      <c r="F41" s="10" t="s">
        <v>30</v>
      </c>
    </row>
    <row r="42" spans="1:6" x14ac:dyDescent="0.25">
      <c r="A42" s="70"/>
      <c r="B42" s="11" t="s">
        <v>21</v>
      </c>
      <c r="C42" s="5">
        <f t="shared" si="3"/>
        <v>54</v>
      </c>
      <c r="D42" s="5">
        <v>58</v>
      </c>
      <c r="E42" s="6">
        <v>1291.3699999999999</v>
      </c>
      <c r="F42" s="10" t="s">
        <v>30</v>
      </c>
    </row>
    <row r="43" spans="1:6" x14ac:dyDescent="0.25">
      <c r="A43" s="70"/>
      <c r="B43" s="11" t="s">
        <v>21</v>
      </c>
      <c r="C43" s="8">
        <v>59</v>
      </c>
      <c r="D43" s="8">
        <v>100</v>
      </c>
      <c r="E43" s="9">
        <v>2259.91</v>
      </c>
      <c r="F43" s="10" t="s">
        <v>30</v>
      </c>
    </row>
  </sheetData>
  <mergeCells count="4">
    <mergeCell ref="A24:A33"/>
    <mergeCell ref="A34:A43"/>
    <mergeCell ref="A4:A13"/>
    <mergeCell ref="A14:A2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L8"/>
  <sheetViews>
    <sheetView workbookViewId="0">
      <selection activeCell="C4" sqref="C4:E7"/>
    </sheetView>
  </sheetViews>
  <sheetFormatPr defaultRowHeight="15" x14ac:dyDescent="0.25"/>
  <cols>
    <col min="1" max="1" width="4" customWidth="1"/>
    <col min="2" max="2" width="5" customWidth="1"/>
    <col min="3" max="5" width="18.42578125" customWidth="1"/>
  </cols>
  <sheetData>
    <row r="2" spans="3:12" ht="25.5" customHeight="1" x14ac:dyDescent="0.25">
      <c r="C2" s="71" t="s">
        <v>25</v>
      </c>
      <c r="D2" s="71"/>
      <c r="E2" s="71"/>
    </row>
    <row r="3" spans="3:12" x14ac:dyDescent="0.25">
      <c r="C3" s="13" t="s">
        <v>22</v>
      </c>
      <c r="D3" s="13" t="s">
        <v>23</v>
      </c>
      <c r="E3" s="13" t="s">
        <v>24</v>
      </c>
    </row>
    <row r="4" spans="3:12" ht="15.75" x14ac:dyDescent="0.25">
      <c r="C4" s="14">
        <v>0</v>
      </c>
      <c r="D4" s="15">
        <v>0.93</v>
      </c>
      <c r="E4" s="16">
        <v>7.0000000000000007E-2</v>
      </c>
    </row>
    <row r="5" spans="3:12" ht="15.75" x14ac:dyDescent="0.25">
      <c r="C5" s="14">
        <v>3712.13751</v>
      </c>
      <c r="D5" s="15">
        <v>0.85</v>
      </c>
      <c r="E5" s="16">
        <v>0.15</v>
      </c>
    </row>
    <row r="6" spans="3:12" ht="15.75" x14ac:dyDescent="0.25">
      <c r="C6" s="14">
        <v>7411.3001100000001</v>
      </c>
      <c r="D6" s="15">
        <v>0.77</v>
      </c>
      <c r="E6" s="16">
        <v>0.23</v>
      </c>
    </row>
    <row r="7" spans="3:12" ht="15.75" x14ac:dyDescent="0.25">
      <c r="C7" s="14">
        <v>15265.627734</v>
      </c>
      <c r="D7" s="15">
        <v>0.69</v>
      </c>
      <c r="E7" s="16">
        <v>0.31</v>
      </c>
    </row>
    <row r="8" spans="3:12" x14ac:dyDescent="0.25">
      <c r="L8" s="17"/>
    </row>
  </sheetData>
  <mergeCells count="1">
    <mergeCell ref="C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bradesco</vt:lpstr>
      <vt:lpstr>Planilha2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Juliane Castro Oliveira</dc:creator>
  <cp:lastModifiedBy>Daniel Alves de Macedo</cp:lastModifiedBy>
  <dcterms:created xsi:type="dcterms:W3CDTF">2022-08-12T13:27:38Z</dcterms:created>
  <dcterms:modified xsi:type="dcterms:W3CDTF">2026-02-25T14:03:26Z</dcterms:modified>
</cp:coreProperties>
</file>